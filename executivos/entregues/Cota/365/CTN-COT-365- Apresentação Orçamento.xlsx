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OTA 08.2021\365 (antigo Afonso Pena)\03. Custo\03.5 Custo - Determinação do orçamento\2025 - preliminar\"/>
    </mc:Choice>
  </mc:AlternateContent>
  <xr:revisionPtr revIDLastSave="0" documentId="13_ncr:1_{710B0DC8-06C3-4751-BD5C-463F7EE6FA3F}" xr6:coauthVersionLast="47" xr6:coauthVersionMax="47" xr10:uidLastSave="{00000000-0000-0000-0000-000000000000}"/>
  <bookViews>
    <workbookView xWindow="19230" yWindow="705" windowWidth="19305" windowHeight="12240" tabRatio="719" firstSheet="4" activeTab="4" xr2:uid="{00000000-000D-0000-FFFF-FFFF00000000}"/>
  </bookViews>
  <sheets>
    <sheet name="MÃO DE OBRA" sheetId="11" r:id="rId1"/>
    <sheet name="ALVENARIA-DRYWALL" sheetId="13" state="hidden" r:id="rId2"/>
    <sheet name="ORÇAMENTO_EXECUTIVO" sheetId="2" r:id="rId3"/>
    <sheet name="ANÁLISE_CUSTOS VERSÕES" sheetId="15" r:id="rId4"/>
    <sheet name="ANÁLISE_CUSTOS" sheetId="14" r:id="rId5"/>
    <sheet name="AREA PRIVATIVA" sheetId="6" r:id="rId6"/>
    <sheet name="CÁLCULO_MÉDIAS" sheetId="5" r:id="rId7"/>
    <sheet name="ANÁLISE_CONSTRUTORA" sheetId="16" r:id="rId8"/>
    <sheet name="VERSÕES" sheetId="10" state="hidden" r:id="rId9"/>
    <sheet name="CONSTRUTORA" sheetId="12" state="hidden" r:id="rId10"/>
  </sheets>
  <externalReferences>
    <externalReference r:id="rId11"/>
  </externalReferences>
  <definedNames>
    <definedName name="\0">#REF!</definedName>
    <definedName name="\a">#REF!</definedName>
    <definedName name="\m">#REF!</definedName>
    <definedName name="aa">#REF!</definedName>
    <definedName name="aaaa">#REF!</definedName>
    <definedName name="angelo">#REF!</definedName>
    <definedName name="area">#REF!</definedName>
    <definedName name="_xlnm.Print_Area">#REF!</definedName>
    <definedName name="aux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hidden="1">{#N/A,#N/A,FALSE,"ET-CAPA";#N/A,#N/A,FALSE,"ET-PAG1";#N/A,#N/A,FALSE,"ET-PAG2";#N/A,#N/A,FALSE,"ET-PAG3";#N/A,#N/A,FALSE,"ET-PAG4";#N/A,#N/A,FALSE,"ET-PAG5"}</definedName>
    <definedName name="FFFFFFF">#REF!</definedName>
    <definedName name="item_1">#REF!</definedName>
    <definedName name="LS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#REF!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_xlnm.Print_Titles">#REF!</definedName>
    <definedName name="TOT">#REF!</definedName>
    <definedName name="Total">#REF!</definedName>
    <definedName name="TRP">#REF!</definedName>
    <definedName name="u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>#REF!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0" roundtripDataSignature="AMtx7mi6xe1SFltZWVqnyhpgiyWbNfDL2Q=="/>
    </ext>
  </extLst>
</workbook>
</file>

<file path=xl/calcChain.xml><?xml version="1.0" encoding="utf-8"?>
<calcChain xmlns="http://schemas.openxmlformats.org/spreadsheetml/2006/main">
  <c r="C12" i="6" l="1"/>
  <c r="AD13" i="5"/>
  <c r="C16" i="16" l="1"/>
  <c r="D21" i="16"/>
  <c r="E20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3" i="16"/>
  <c r="E21" i="16" l="1"/>
  <c r="G21" i="15"/>
  <c r="E20" i="15"/>
  <c r="E21" i="15" s="1"/>
  <c r="D20" i="15"/>
  <c r="A19" i="15"/>
  <c r="A3" i="15"/>
  <c r="G16" i="16" l="1"/>
  <c r="F16" i="16"/>
  <c r="A19" i="16"/>
  <c r="A3" i="16"/>
  <c r="H27" i="15" l="1"/>
  <c r="D25" i="15"/>
  <c r="D79" i="15"/>
  <c r="B27" i="16" l="1"/>
  <c r="A18" i="16"/>
  <c r="A17" i="16"/>
  <c r="A15" i="16"/>
  <c r="A14" i="16"/>
  <c r="A12" i="16"/>
  <c r="A10" i="16"/>
  <c r="A9" i="16"/>
  <c r="A8" i="16"/>
  <c r="A7" i="16"/>
  <c r="A6" i="16"/>
  <c r="A4" i="16"/>
  <c r="D80" i="15" l="1"/>
  <c r="F27" i="15"/>
  <c r="D28" i="15"/>
  <c r="B27" i="15"/>
  <c r="A18" i="15"/>
  <c r="A17" i="15"/>
  <c r="A15" i="15"/>
  <c r="A14" i="15"/>
  <c r="A13" i="15"/>
  <c r="A12" i="15"/>
  <c r="A11" i="15"/>
  <c r="A10" i="15"/>
  <c r="A9" i="15"/>
  <c r="A8" i="15"/>
  <c r="A7" i="15"/>
  <c r="A6" i="15"/>
  <c r="A4" i="15"/>
  <c r="F19" i="15" l="1"/>
  <c r="G19" i="15"/>
  <c r="G3" i="15"/>
  <c r="F3" i="15"/>
  <c r="F10" i="15"/>
  <c r="G13" i="15"/>
  <c r="G4" i="15"/>
  <c r="G14" i="15"/>
  <c r="G17" i="15"/>
  <c r="G15" i="15"/>
  <c r="G18" i="15"/>
  <c r="G9" i="15"/>
  <c r="G12" i="15"/>
  <c r="G16" i="15"/>
  <c r="I16" i="15" s="1"/>
  <c r="G5" i="15"/>
  <c r="G6" i="15"/>
  <c r="G8" i="15"/>
  <c r="G10" i="15"/>
  <c r="G11" i="15"/>
  <c r="G7" i="15"/>
  <c r="F5" i="15"/>
  <c r="F15" i="15"/>
  <c r="F12" i="15"/>
  <c r="F4" i="15"/>
  <c r="F9" i="15"/>
  <c r="F7" i="15"/>
  <c r="F16" i="15"/>
  <c r="H16" i="15" s="1"/>
  <c r="F11" i="15"/>
  <c r="F17" i="15"/>
  <c r="F6" i="15"/>
  <c r="F14" i="15"/>
  <c r="F8" i="15"/>
  <c r="F18" i="15"/>
  <c r="F13" i="15"/>
  <c r="I2" i="11"/>
  <c r="C18" i="11"/>
  <c r="C17" i="11"/>
  <c r="C16" i="11"/>
  <c r="C15" i="11"/>
  <c r="C14" i="11"/>
  <c r="C13" i="11"/>
  <c r="C12" i="11"/>
  <c r="C11" i="11"/>
  <c r="C10" i="11"/>
  <c r="C8" i="11"/>
  <c r="C7" i="11"/>
  <c r="C6" i="11"/>
  <c r="C5" i="11"/>
  <c r="C4" i="11"/>
  <c r="C2" i="11"/>
  <c r="B23" i="14"/>
  <c r="D16" i="14"/>
  <c r="A16" i="14"/>
  <c r="D15" i="14"/>
  <c r="A15" i="14"/>
  <c r="D14" i="14"/>
  <c r="A14" i="14"/>
  <c r="D13" i="14"/>
  <c r="A13" i="14"/>
  <c r="D12" i="14"/>
  <c r="A12" i="14"/>
  <c r="D11" i="14"/>
  <c r="A11" i="14"/>
  <c r="D10" i="14"/>
  <c r="A10" i="14"/>
  <c r="D9" i="14"/>
  <c r="A9" i="14"/>
  <c r="D8" i="14"/>
  <c r="A8" i="14"/>
  <c r="D7" i="14"/>
  <c r="A7" i="14"/>
  <c r="D6" i="14"/>
  <c r="A6" i="14"/>
  <c r="D5" i="14"/>
  <c r="A5" i="14"/>
  <c r="D4" i="14"/>
  <c r="D3" i="14"/>
  <c r="A3" i="14"/>
  <c r="G20" i="15" l="1"/>
  <c r="F20" i="15"/>
  <c r="J7" i="13" l="1"/>
  <c r="D6" i="13" l="1"/>
  <c r="AE12" i="5" l="1"/>
  <c r="AD12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9" i="5"/>
  <c r="Z5" i="5"/>
  <c r="Y25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9" i="5"/>
  <c r="X5" i="5"/>
  <c r="W25" i="5"/>
  <c r="Z25" i="5" l="1"/>
  <c r="X25" i="5"/>
  <c r="E20" i="12" l="1"/>
  <c r="G19" i="12" l="1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L4" i="12"/>
  <c r="G3" i="12"/>
  <c r="F19" i="12" l="1"/>
  <c r="G4" i="12"/>
  <c r="G20" i="12" s="1"/>
  <c r="G21" i="12" s="1"/>
  <c r="F18" i="12" l="1"/>
  <c r="F4" i="12"/>
  <c r="F8" i="12"/>
  <c r="F15" i="12"/>
  <c r="F14" i="12"/>
  <c r="F10" i="12"/>
  <c r="F9" i="12"/>
  <c r="F16" i="12"/>
  <c r="F3" i="12"/>
  <c r="F13" i="12"/>
  <c r="F5" i="12"/>
  <c r="F11" i="12"/>
  <c r="F17" i="12"/>
  <c r="F12" i="12"/>
  <c r="F7" i="12"/>
  <c r="F6" i="12"/>
  <c r="F20" i="12" l="1"/>
  <c r="H6" i="11" l="1"/>
  <c r="F12" i="10"/>
  <c r="E5" i="13" l="1"/>
  <c r="I6" i="13"/>
  <c r="M4" i="10"/>
  <c r="AB11" i="5" l="1"/>
  <c r="AA25" i="5"/>
  <c r="AB24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0" i="5"/>
  <c r="AB9" i="5"/>
  <c r="AB5" i="5"/>
  <c r="AB25" i="5" l="1"/>
  <c r="G29" i="6" l="1"/>
  <c r="F29" i="6"/>
  <c r="D29" i="6"/>
  <c r="C29" i="6"/>
  <c r="F3" i="10" l="1"/>
  <c r="J10" i="6" l="1"/>
  <c r="F5" i="10" l="1"/>
  <c r="F6" i="10"/>
  <c r="F7" i="10"/>
  <c r="F8" i="10"/>
  <c r="F9" i="10"/>
  <c r="H9" i="10" s="1"/>
  <c r="F10" i="10"/>
  <c r="F11" i="10"/>
  <c r="F13" i="10"/>
  <c r="H13" i="10" s="1"/>
  <c r="F14" i="10"/>
  <c r="H14" i="10" s="1"/>
  <c r="F15" i="10"/>
  <c r="H15" i="10" s="1"/>
  <c r="F16" i="10"/>
  <c r="H16" i="10" s="1"/>
  <c r="F17" i="10"/>
  <c r="H17" i="10" s="1"/>
  <c r="F18" i="10"/>
  <c r="H18" i="10" s="1"/>
  <c r="F19" i="10"/>
  <c r="F4" i="10"/>
  <c r="H19" i="10" l="1"/>
  <c r="H11" i="10"/>
  <c r="H8" i="10"/>
  <c r="F20" i="10"/>
  <c r="H7" i="10"/>
  <c r="H6" i="10"/>
  <c r="H12" i="10"/>
  <c r="H10" i="10"/>
  <c r="H3" i="10"/>
  <c r="H5" i="10"/>
  <c r="H4" i="10"/>
  <c r="G8" i="10" l="1"/>
  <c r="G12" i="10"/>
  <c r="G3" i="10"/>
  <c r="G14" i="10"/>
  <c r="G11" i="10"/>
  <c r="G5" i="10"/>
  <c r="G13" i="10"/>
  <c r="G9" i="10"/>
  <c r="G19" i="10"/>
  <c r="G6" i="10"/>
  <c r="G18" i="10"/>
  <c r="G15" i="10"/>
  <c r="G17" i="10"/>
  <c r="G7" i="10"/>
  <c r="G4" i="10"/>
  <c r="G10" i="10"/>
  <c r="G16" i="10"/>
  <c r="AE13" i="5" l="1"/>
  <c r="AE14" i="5"/>
  <c r="AE15" i="5"/>
  <c r="AE16" i="5"/>
  <c r="AE17" i="5"/>
  <c r="AE21" i="5"/>
  <c r="AE22" i="5"/>
  <c r="AE23" i="5"/>
  <c r="AE24" i="5"/>
  <c r="AE9" i="5"/>
  <c r="AD14" i="5"/>
  <c r="AD15" i="5"/>
  <c r="AD16" i="5"/>
  <c r="AD17" i="5"/>
  <c r="AD20" i="5"/>
  <c r="AD21" i="5"/>
  <c r="AD22" i="5"/>
  <c r="AD23" i="5"/>
  <c r="AD24" i="5"/>
  <c r="AD9" i="5"/>
  <c r="P5" i="5"/>
  <c r="P14" i="5" s="1"/>
  <c r="O25" i="5"/>
  <c r="P21" i="5" l="1"/>
  <c r="P13" i="5"/>
  <c r="P20" i="5"/>
  <c r="P12" i="5"/>
  <c r="P9" i="5"/>
  <c r="P19" i="5"/>
  <c r="P11" i="5"/>
  <c r="P18" i="5"/>
  <c r="P10" i="5"/>
  <c r="P24" i="5"/>
  <c r="P16" i="5"/>
  <c r="P23" i="5"/>
  <c r="P15" i="5"/>
  <c r="P17" i="5"/>
  <c r="P22" i="5"/>
  <c r="AE25" i="5"/>
  <c r="AD25" i="5"/>
  <c r="D17" i="14" l="1"/>
  <c r="P25" i="5"/>
  <c r="Q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5" i="5"/>
  <c r="U25" i="5"/>
  <c r="R25" i="5" l="1"/>
  <c r="S25" i="5" l="1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5" i="5"/>
  <c r="T25" i="5" l="1"/>
  <c r="V25" i="5"/>
  <c r="G3" i="6" l="1"/>
  <c r="N5" i="5" l="1"/>
  <c r="M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25" i="5" l="1"/>
  <c r="I25" i="5" l="1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5" i="5"/>
  <c r="J25" i="5" l="1"/>
  <c r="L5" i="5" l="1"/>
  <c r="H5" i="5"/>
  <c r="F5" i="5"/>
  <c r="D5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9" i="5"/>
  <c r="E25" i="5"/>
  <c r="G25" i="5"/>
  <c r="K25" i="5"/>
  <c r="C25" i="5"/>
  <c r="L25" i="5" l="1"/>
  <c r="H25" i="5"/>
  <c r="F25" i="5"/>
  <c r="D25" i="5"/>
  <c r="E20" i="10" l="1"/>
  <c r="G20" i="10" l="1"/>
  <c r="H20" i="10"/>
  <c r="H21" i="10" s="1"/>
  <c r="B16" i="12" l="1"/>
  <c r="C19" i="11"/>
  <c r="H16" i="12" l="1"/>
  <c r="D16" i="12"/>
  <c r="I16" i="12" s="1"/>
  <c r="B16" i="10"/>
  <c r="D16" i="10" l="1"/>
  <c r="J16" i="10" s="1"/>
  <c r="I16" i="10"/>
  <c r="B3" i="16" l="1"/>
  <c r="C3" i="16" s="1"/>
  <c r="F3" i="16" l="1"/>
  <c r="G3" i="16" l="1"/>
  <c r="B20" i="16" l="1"/>
  <c r="C20" i="16" s="1"/>
  <c r="B19" i="16" l="1"/>
  <c r="C19" i="16" s="1"/>
  <c r="B18" i="16"/>
  <c r="C18" i="16" s="1"/>
  <c r="B10" i="16"/>
  <c r="C10" i="16" s="1"/>
  <c r="B17" i="16"/>
  <c r="C17" i="16" s="1"/>
  <c r="B15" i="16"/>
  <c r="C15" i="16" s="1"/>
  <c r="B14" i="16"/>
  <c r="C14" i="16" s="1"/>
  <c r="B13" i="16"/>
  <c r="C13" i="16" s="1"/>
  <c r="B12" i="16"/>
  <c r="C12" i="16" s="1"/>
  <c r="B7" i="16"/>
  <c r="C7" i="16" s="1"/>
  <c r="B6" i="16"/>
  <c r="C6" i="16" s="1"/>
  <c r="B5" i="16"/>
  <c r="C5" i="16" s="1"/>
  <c r="B11" i="16"/>
  <c r="C11" i="16" s="1"/>
  <c r="B9" i="16"/>
  <c r="C9" i="16" s="1"/>
  <c r="B8" i="16" l="1"/>
  <c r="C8" i="16" s="1"/>
  <c r="B4" i="16"/>
  <c r="F12" i="16"/>
  <c r="F17" i="16"/>
  <c r="F11" i="16"/>
  <c r="F14" i="16"/>
  <c r="F18" i="16"/>
  <c r="F13" i="16"/>
  <c r="F15" i="16"/>
  <c r="F6" i="16"/>
  <c r="B21" i="16" l="1"/>
  <c r="C4" i="16"/>
  <c r="F5" i="16"/>
  <c r="F19" i="16"/>
  <c r="G13" i="16"/>
  <c r="G17" i="16"/>
  <c r="G15" i="16"/>
  <c r="G14" i="16"/>
  <c r="G12" i="16"/>
  <c r="G6" i="16"/>
  <c r="G18" i="16"/>
  <c r="G11" i="16"/>
  <c r="G5" i="16"/>
  <c r="F7" i="16" l="1"/>
  <c r="F9" i="16"/>
  <c r="G19" i="16"/>
  <c r="F10" i="16"/>
  <c r="G8" i="16"/>
  <c r="F20" i="16" l="1"/>
  <c r="G7" i="16"/>
  <c r="E7" i="13"/>
  <c r="G9" i="16"/>
  <c r="G10" i="16"/>
  <c r="F4" i="16"/>
  <c r="G20" i="16" l="1"/>
  <c r="G4" i="16"/>
  <c r="G21" i="16" s="1"/>
  <c r="C21" i="16"/>
  <c r="B17" i="11" l="1"/>
  <c r="D17" i="11" s="1"/>
  <c r="B4" i="11"/>
  <c r="D4" i="11" s="1"/>
  <c r="B6" i="11"/>
  <c r="D6" i="11" s="1"/>
  <c r="B10" i="11"/>
  <c r="D10" i="11" s="1"/>
  <c r="B12" i="11"/>
  <c r="D12" i="11" s="1"/>
  <c r="B5" i="11"/>
  <c r="D5" i="11" s="1"/>
  <c r="B7" i="11"/>
  <c r="D7" i="11" s="1"/>
  <c r="B16" i="11"/>
  <c r="D16" i="11" s="1"/>
  <c r="B16" i="2" l="1"/>
  <c r="F16" i="11"/>
  <c r="B17" i="2"/>
  <c r="F17" i="11"/>
  <c r="B7" i="2"/>
  <c r="C4" i="13"/>
  <c r="F7" i="11"/>
  <c r="B6" i="2"/>
  <c r="F6" i="11"/>
  <c r="F5" i="11"/>
  <c r="B5" i="2"/>
  <c r="D5" i="2" s="1"/>
  <c r="B4" i="2"/>
  <c r="F4" i="11"/>
  <c r="F12" i="11"/>
  <c r="B12" i="2"/>
  <c r="F10" i="11"/>
  <c r="B10" i="2"/>
  <c r="B3" i="11"/>
  <c r="D3" i="11" s="1"/>
  <c r="D16" i="2" l="1"/>
  <c r="B17" i="12"/>
  <c r="B15" i="14"/>
  <c r="B17" i="15"/>
  <c r="H17" i="15" s="1"/>
  <c r="B17" i="10"/>
  <c r="D17" i="2"/>
  <c r="B18" i="12"/>
  <c r="B18" i="15"/>
  <c r="H18" i="15" s="1"/>
  <c r="B18" i="10"/>
  <c r="B16" i="14"/>
  <c r="C6" i="13"/>
  <c r="E6" i="13" s="1"/>
  <c r="E4" i="13"/>
  <c r="B6" i="14"/>
  <c r="B7" i="12"/>
  <c r="I4" i="13"/>
  <c r="I7" i="13" s="1"/>
  <c r="B7" i="15"/>
  <c r="H7" i="15" s="1"/>
  <c r="D7" i="2"/>
  <c r="B7" i="10"/>
  <c r="B6" i="12"/>
  <c r="B6" i="15"/>
  <c r="H6" i="15" s="1"/>
  <c r="B5" i="14"/>
  <c r="D6" i="2"/>
  <c r="B6" i="10"/>
  <c r="D4" i="2"/>
  <c r="B4" i="14"/>
  <c r="B5" i="15"/>
  <c r="H5" i="15" s="1"/>
  <c r="B5" i="12"/>
  <c r="B5" i="10"/>
  <c r="B3" i="2"/>
  <c r="F3" i="11"/>
  <c r="B12" i="15"/>
  <c r="H12" i="15" s="1"/>
  <c r="B12" i="12"/>
  <c r="B12" i="10"/>
  <c r="B11" i="14"/>
  <c r="D12" i="2"/>
  <c r="B10" i="10"/>
  <c r="B9" i="14"/>
  <c r="B10" i="12"/>
  <c r="D10" i="2"/>
  <c r="B10" i="15"/>
  <c r="H10" i="15" s="1"/>
  <c r="D17" i="10" l="1"/>
  <c r="J17" i="10" s="1"/>
  <c r="I17" i="10"/>
  <c r="D17" i="12"/>
  <c r="I17" i="12" s="1"/>
  <c r="H17" i="12"/>
  <c r="C17" i="15"/>
  <c r="I17" i="15" s="1"/>
  <c r="C15" i="14"/>
  <c r="D18" i="10"/>
  <c r="J18" i="10" s="1"/>
  <c r="I18" i="10"/>
  <c r="H18" i="12"/>
  <c r="D18" i="12"/>
  <c r="I18" i="12" s="1"/>
  <c r="C18" i="15"/>
  <c r="I18" i="15" s="1"/>
  <c r="C16" i="14"/>
  <c r="C7" i="15"/>
  <c r="I7" i="15" s="1"/>
  <c r="C6" i="14"/>
  <c r="D7" i="12"/>
  <c r="I7" i="12" s="1"/>
  <c r="H7" i="12"/>
  <c r="I7" i="10"/>
  <c r="D7" i="10"/>
  <c r="J7" i="10" s="1"/>
  <c r="D6" i="10"/>
  <c r="J6" i="10" s="1"/>
  <c r="I6" i="10"/>
  <c r="C6" i="15"/>
  <c r="I6" i="15" s="1"/>
  <c r="C5" i="14"/>
  <c r="H6" i="12"/>
  <c r="D6" i="12"/>
  <c r="I6" i="12" s="1"/>
  <c r="I5" i="10"/>
  <c r="D5" i="10"/>
  <c r="J5" i="10" s="1"/>
  <c r="H5" i="12"/>
  <c r="D5" i="12"/>
  <c r="I5" i="12" s="1"/>
  <c r="C5" i="15"/>
  <c r="I5" i="15" s="1"/>
  <c r="C4" i="14"/>
  <c r="B4" i="15"/>
  <c r="H4" i="15" s="1"/>
  <c r="B4" i="10"/>
  <c r="D3" i="2"/>
  <c r="B4" i="12"/>
  <c r="B3" i="14"/>
  <c r="C12" i="15"/>
  <c r="I12" i="15" s="1"/>
  <c r="C11" i="14"/>
  <c r="I12" i="10"/>
  <c r="D12" i="10"/>
  <c r="J12" i="10" s="1"/>
  <c r="H12" i="12"/>
  <c r="D12" i="12"/>
  <c r="I12" i="12" s="1"/>
  <c r="C10" i="15"/>
  <c r="I10" i="15" s="1"/>
  <c r="C9" i="14"/>
  <c r="H10" i="12"/>
  <c r="D10" i="12"/>
  <c r="I10" i="12" s="1"/>
  <c r="D10" i="10"/>
  <c r="J10" i="10" s="1"/>
  <c r="I10" i="10"/>
  <c r="H4" i="12" l="1"/>
  <c r="D4" i="12"/>
  <c r="I4" i="12" s="1"/>
  <c r="D4" i="10"/>
  <c r="J4" i="10" s="1"/>
  <c r="I4" i="10"/>
  <c r="C4" i="15"/>
  <c r="I4" i="15" s="1"/>
  <c r="C3" i="14"/>
  <c r="F8" i="16"/>
  <c r="F21" i="16" s="1"/>
  <c r="B2" i="11" l="1"/>
  <c r="D2" i="11" s="1"/>
  <c r="F2" i="11" l="1"/>
  <c r="B2" i="2"/>
  <c r="B3" i="15" l="1"/>
  <c r="H3" i="15" s="1"/>
  <c r="B3" i="10"/>
  <c r="D2" i="2"/>
  <c r="C3" i="15" s="1"/>
  <c r="I3" i="15" s="1"/>
  <c r="B3" i="12"/>
  <c r="D3" i="12" l="1"/>
  <c r="I3" i="12" s="1"/>
  <c r="H3" i="12"/>
  <c r="D3" i="10"/>
  <c r="J3" i="10" s="1"/>
  <c r="I3" i="10"/>
  <c r="B14" i="11" l="1"/>
  <c r="D14" i="11" s="1"/>
  <c r="B15" i="11"/>
  <c r="B18" i="11"/>
  <c r="D18" i="11" s="1"/>
  <c r="H12" i="11" l="1"/>
  <c r="B14" i="2"/>
  <c r="F14" i="11"/>
  <c r="H11" i="11"/>
  <c r="I11" i="11" s="1"/>
  <c r="B18" i="2"/>
  <c r="F18" i="11"/>
  <c r="D15" i="11"/>
  <c r="I12" i="11"/>
  <c r="B9" i="11"/>
  <c r="D9" i="11" s="1"/>
  <c r="B11" i="11" l="1"/>
  <c r="D11" i="11" s="1"/>
  <c r="F11" i="11" s="1"/>
  <c r="D14" i="2"/>
  <c r="B14" i="15"/>
  <c r="H14" i="15" s="1"/>
  <c r="B14" i="12"/>
  <c r="B13" i="14"/>
  <c r="B14" i="10"/>
  <c r="B8" i="11"/>
  <c r="D8" i="11" s="1"/>
  <c r="B8" i="2" s="1"/>
  <c r="F9" i="11"/>
  <c r="B9" i="2"/>
  <c r="D18" i="2"/>
  <c r="C19" i="15" s="1"/>
  <c r="I19" i="15" s="1"/>
  <c r="B19" i="10"/>
  <c r="B19" i="12"/>
  <c r="B19" i="15"/>
  <c r="H19" i="15" s="1"/>
  <c r="B13" i="11"/>
  <c r="F15" i="11"/>
  <c r="B15" i="2"/>
  <c r="B11" i="2" l="1"/>
  <c r="B10" i="14" s="1"/>
  <c r="D14" i="10"/>
  <c r="J14" i="10" s="1"/>
  <c r="I14" i="10"/>
  <c r="H14" i="12"/>
  <c r="D14" i="12"/>
  <c r="I14" i="12" s="1"/>
  <c r="C14" i="15"/>
  <c r="I14" i="15" s="1"/>
  <c r="C13" i="14"/>
  <c r="F8" i="11"/>
  <c r="B8" i="14"/>
  <c r="B9" i="10"/>
  <c r="B9" i="12"/>
  <c r="B9" i="15"/>
  <c r="H9" i="15" s="1"/>
  <c r="D9" i="2"/>
  <c r="B8" i="10"/>
  <c r="B7" i="14"/>
  <c r="D8" i="2"/>
  <c r="B8" i="12"/>
  <c r="B8" i="15"/>
  <c r="H8" i="15" s="1"/>
  <c r="D19" i="12"/>
  <c r="I19" i="12" s="1"/>
  <c r="H19" i="12"/>
  <c r="D19" i="10"/>
  <c r="J19" i="10" s="1"/>
  <c r="I19" i="10"/>
  <c r="D13" i="11"/>
  <c r="B19" i="11"/>
  <c r="D15" i="2"/>
  <c r="B15" i="15"/>
  <c r="B15" i="12"/>
  <c r="B14" i="14"/>
  <c r="B15" i="10"/>
  <c r="B11" i="12" l="1"/>
  <c r="B11" i="15"/>
  <c r="H11" i="15" s="1"/>
  <c r="D11" i="2"/>
  <c r="B11" i="10"/>
  <c r="C8" i="14"/>
  <c r="C9" i="15"/>
  <c r="I9" i="15" s="1"/>
  <c r="D9" i="10"/>
  <c r="J9" i="10" s="1"/>
  <c r="I9" i="10"/>
  <c r="D9" i="12"/>
  <c r="I9" i="12" s="1"/>
  <c r="H9" i="12"/>
  <c r="C8" i="15"/>
  <c r="I8" i="15" s="1"/>
  <c r="C7" i="14"/>
  <c r="D8" i="12"/>
  <c r="I8" i="12" s="1"/>
  <c r="H8" i="12"/>
  <c r="D8" i="10"/>
  <c r="J8" i="10" s="1"/>
  <c r="I8" i="10"/>
  <c r="B13" i="2"/>
  <c r="F13" i="11"/>
  <c r="F19" i="11" s="1"/>
  <c r="F20" i="11" s="1"/>
  <c r="D19" i="11"/>
  <c r="I15" i="10"/>
  <c r="D15" i="10"/>
  <c r="D15" i="12"/>
  <c r="H15" i="12"/>
  <c r="H15" i="15"/>
  <c r="C15" i="15"/>
  <c r="C14" i="14"/>
  <c r="C11" i="15" l="1"/>
  <c r="I11" i="15" s="1"/>
  <c r="C10" i="14"/>
  <c r="I11" i="10"/>
  <c r="D11" i="10"/>
  <c r="J11" i="10" s="1"/>
  <c r="H11" i="12"/>
  <c r="D11" i="12"/>
  <c r="I11" i="12" s="1"/>
  <c r="E15" i="11"/>
  <c r="E14" i="11"/>
  <c r="E13" i="11"/>
  <c r="E12" i="11"/>
  <c r="E4" i="11"/>
  <c r="E16" i="11"/>
  <c r="E18" i="11"/>
  <c r="E2" i="11"/>
  <c r="E8" i="11"/>
  <c r="E3" i="11"/>
  <c r="E7" i="11"/>
  <c r="E9" i="11"/>
  <c r="E17" i="11"/>
  <c r="E10" i="11"/>
  <c r="E5" i="11"/>
  <c r="E11" i="11"/>
  <c r="E6" i="11"/>
  <c r="B13" i="15"/>
  <c r="B13" i="12"/>
  <c r="B13" i="10"/>
  <c r="B12" i="14"/>
  <c r="B17" i="14" s="1"/>
  <c r="D13" i="2"/>
  <c r="B19" i="2"/>
  <c r="D4" i="6" s="1"/>
  <c r="I15" i="12"/>
  <c r="J15" i="10"/>
  <c r="I15" i="15"/>
  <c r="I13" i="10" l="1"/>
  <c r="I20" i="10" s="1"/>
  <c r="D13" i="10"/>
  <c r="B20" i="10"/>
  <c r="C8" i="2"/>
  <c r="C18" i="2"/>
  <c r="C7" i="2"/>
  <c r="C14" i="2"/>
  <c r="C5" i="2"/>
  <c r="C13" i="2"/>
  <c r="C17" i="2"/>
  <c r="K3" i="6"/>
  <c r="C10" i="2"/>
  <c r="C9" i="2"/>
  <c r="C4" i="2"/>
  <c r="C6" i="2"/>
  <c r="C8" i="13"/>
  <c r="C11" i="2"/>
  <c r="C3" i="2"/>
  <c r="C12" i="2"/>
  <c r="C2" i="2"/>
  <c r="C15" i="2"/>
  <c r="C16" i="2"/>
  <c r="D3" i="6"/>
  <c r="D12" i="6" s="1"/>
  <c r="E19" i="11"/>
  <c r="C13" i="15"/>
  <c r="C12" i="14"/>
  <c r="C17" i="14" s="1"/>
  <c r="D19" i="2"/>
  <c r="D20" i="2" s="1"/>
  <c r="D13" i="12"/>
  <c r="H13" i="12"/>
  <c r="H20" i="12" s="1"/>
  <c r="B20" i="12"/>
  <c r="C13" i="12" s="1"/>
  <c r="H13" i="15"/>
  <c r="H20" i="15" s="1"/>
  <c r="B20" i="15"/>
  <c r="I13" i="12" l="1"/>
  <c r="I20" i="12" s="1"/>
  <c r="D20" i="12"/>
  <c r="D21" i="12" s="1"/>
  <c r="D5" i="6"/>
  <c r="D6" i="6"/>
  <c r="D10" i="6"/>
  <c r="K5" i="6"/>
  <c r="K7" i="6"/>
  <c r="K8" i="6"/>
  <c r="D11" i="6"/>
  <c r="D15" i="6"/>
  <c r="D9" i="6"/>
  <c r="D8" i="6"/>
  <c r="D7" i="6"/>
  <c r="K6" i="6"/>
  <c r="I21" i="15"/>
  <c r="J13" i="10"/>
  <c r="J20" i="10" s="1"/>
  <c r="D20" i="10"/>
  <c r="D21" i="10" s="1"/>
  <c r="I13" i="15"/>
  <c r="I20" i="15" s="1"/>
  <c r="C20" i="15"/>
  <c r="C21" i="15" s="1"/>
  <c r="C19" i="2"/>
  <c r="D8" i="13"/>
  <c r="C10" i="13"/>
  <c r="C11" i="13"/>
  <c r="C9" i="13"/>
  <c r="C15" i="10"/>
  <c r="C12" i="10"/>
  <c r="C6" i="10"/>
  <c r="C16" i="10"/>
  <c r="C5" i="10"/>
  <c r="C19" i="10"/>
  <c r="C10" i="10"/>
  <c r="C18" i="10"/>
  <c r="C4" i="10"/>
  <c r="C3" i="10"/>
  <c r="C20" i="10" s="1"/>
  <c r="C8" i="10"/>
  <c r="C17" i="10"/>
  <c r="C11" i="10"/>
  <c r="C9" i="10"/>
  <c r="C13" i="10"/>
  <c r="C14" i="10"/>
  <c r="C7" i="10"/>
  <c r="C15" i="12"/>
  <c r="C7" i="12"/>
  <c r="C8" i="12"/>
  <c r="C3" i="12"/>
  <c r="C20" i="12" s="1"/>
  <c r="C17" i="12"/>
  <c r="C5" i="12"/>
  <c r="C14" i="12"/>
  <c r="C11" i="12"/>
  <c r="C10" i="12"/>
  <c r="C18" i="12"/>
  <c r="C6" i="12"/>
  <c r="C19" i="12"/>
  <c r="C16" i="12"/>
  <c r="C4" i="12"/>
  <c r="C9" i="12"/>
  <c r="C12" i="12"/>
  <c r="E8" i="13" l="1"/>
  <c r="E12" i="13" s="1"/>
  <c r="D11" i="13"/>
  <c r="E11" i="13" s="1"/>
  <c r="D10" i="13"/>
  <c r="E10" i="13" s="1"/>
  <c r="D9" i="13"/>
  <c r="E9" i="13" s="1"/>
  <c r="I21" i="10"/>
  <c r="H2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C13" authorId="0" shapeId="0" xr:uid="{768DCD56-F274-4137-A619-8C226B4B2AE5}">
      <text>
        <r>
          <rPr>
            <b/>
            <sz val="9"/>
            <color indexed="81"/>
            <rFont val="Segoe UI"/>
            <family val="2"/>
          </rPr>
          <t>ALVENARIA ESTRUTURAL</t>
        </r>
      </text>
    </comment>
  </commentList>
</comments>
</file>

<file path=xl/sharedStrings.xml><?xml version="1.0" encoding="utf-8"?>
<sst xmlns="http://schemas.openxmlformats.org/spreadsheetml/2006/main" count="444" uniqueCount="165">
  <si>
    <t>ETAPA</t>
  </si>
  <si>
    <t>OBRA SIMILAR</t>
  </si>
  <si>
    <t>VALOR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</si>
  <si>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</si>
  <si>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</si>
  <si>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</si>
  <si>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</si>
  <si>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</si>
  <si>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</si>
  <si>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</si>
  <si>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</si>
  <si>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</si>
  <si>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</si>
  <si>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</si>
  <si>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</si>
  <si>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</si>
  <si>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</si>
  <si>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</si>
  <si>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</si>
  <si>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</si>
  <si>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</si>
  <si>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</si>
  <si>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</si>
  <si>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</si>
  <si>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</si>
  <si>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</si>
  <si>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</si>
  <si>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</si>
  <si>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</si>
  <si>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</si>
  <si>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</si>
  <si>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</si>
  <si>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</si>
  <si>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</si>
  <si>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</si>
  <si>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</si>
  <si>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</si>
  <si>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</si>
  <si>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IMPREVISTOS E CONTINGENCIAS</t>
  </si>
  <si>
    <t>COBERTURA</t>
  </si>
  <si>
    <t>EQUIPAMENTOS E SISTEMAS ESPECIAIS</t>
  </si>
  <si>
    <t>GERENCIAMENTO TECNICO E ADMINISTRATIVO</t>
  </si>
  <si>
    <t>DATA BASE</t>
  </si>
  <si>
    <t>ÁREA CONSTRUÍDA</t>
  </si>
  <si>
    <t>m²</t>
  </si>
  <si>
    <t>CUB</t>
  </si>
  <si>
    <t>VALOR / M2</t>
  </si>
  <si>
    <t>INDEXADO</t>
  </si>
  <si>
    <t>MÉDIAS</t>
  </si>
  <si>
    <t>MÍNIMA</t>
  </si>
  <si>
    <t>MÁXIMA</t>
  </si>
  <si>
    <t>BELISSIMO</t>
  </si>
  <si>
    <t>CELEBRATION</t>
  </si>
  <si>
    <t>INDICE</t>
  </si>
  <si>
    <t>CUB/SC</t>
  </si>
  <si>
    <t>BARÃO DE ALBUQUERQUE</t>
  </si>
  <si>
    <t>ONE PALACE</t>
  </si>
  <si>
    <t>VANCOUVER</t>
  </si>
  <si>
    <t>Rótulos de Linha</t>
  </si>
  <si>
    <t>Total Geral</t>
  </si>
  <si>
    <t>Soma de %</t>
  </si>
  <si>
    <t>VALOR POR ÁREA PRIVATIVA (R$/m²)</t>
  </si>
  <si>
    <t>VALOR TOTAL</t>
  </si>
  <si>
    <t>AREA (m²)</t>
  </si>
  <si>
    <t>DESCRIÇÃO</t>
  </si>
  <si>
    <t>AS RAMOS</t>
  </si>
  <si>
    <t>TIPO 2</t>
  </si>
  <si>
    <t>TIPO 3</t>
  </si>
  <si>
    <t>TIPO 4</t>
  </si>
  <si>
    <t>TIPO 5</t>
  </si>
  <si>
    <t>TIPO 6</t>
  </si>
  <si>
    <t>DIFERENÇA</t>
  </si>
  <si>
    <t>LUMIS - LIVE</t>
  </si>
  <si>
    <t>M VILLAGE</t>
  </si>
  <si>
    <t>CONTENÇÃO</t>
  </si>
  <si>
    <t>OK</t>
  </si>
  <si>
    <t>COSTÃO DO SANTINHO</t>
  </si>
  <si>
    <t>INFRAESTRUTURA+CONTENÇÃO</t>
  </si>
  <si>
    <t>MENDES - BRAVA MUNDO</t>
  </si>
  <si>
    <t>MATERIAL</t>
  </si>
  <si>
    <t>EMPREITADA GLOBAL</t>
  </si>
  <si>
    <t>INFRAESTRUTURA E CONTENÇÃO</t>
  </si>
  <si>
    <t>VALOR INDEXADO</t>
  </si>
  <si>
    <t>ÁREA CONSTRUÍDA ANTERIOR</t>
  </si>
  <si>
    <t>PARAMÉTRICO NOVO</t>
  </si>
  <si>
    <t>AREA COMERCIAL</t>
  </si>
  <si>
    <t>LOJA</t>
  </si>
  <si>
    <t>SALA COMERCIAL 1</t>
  </si>
  <si>
    <t>SALA COMERCIAL 2</t>
  </si>
  <si>
    <t>SALA COMERCIAL 3</t>
  </si>
  <si>
    <t>SÃO FRANCISCO</t>
  </si>
  <si>
    <t>laje impermeabilizada</t>
  </si>
  <si>
    <t>TIPO 1A</t>
  </si>
  <si>
    <t>TIPO 1B</t>
  </si>
  <si>
    <t>QUANT</t>
  </si>
  <si>
    <t>ÁREA</t>
  </si>
  <si>
    <t>TIPO</t>
  </si>
  <si>
    <t>DORM</t>
  </si>
  <si>
    <t>W.C.</t>
  </si>
  <si>
    <t>STUDIO</t>
  </si>
  <si>
    <t>KIT</t>
  </si>
  <si>
    <t>APTO 2 DORM</t>
  </si>
  <si>
    <t>Terraço</t>
  </si>
  <si>
    <t>Paramétrico anterior considerado custo baixo de mov de terra subsolos</t>
  </si>
  <si>
    <t>Novo paramétrico considerado divisórias internas em drywall</t>
  </si>
  <si>
    <t>Custo menor na MO paramétrico anterior</t>
  </si>
  <si>
    <t>PARAMÉTRICO ANTERIOR</t>
  </si>
  <si>
    <t xml:space="preserve">maior proporção de forro (ANTERIOR 0,33m²/m² e NOVO 0,41m²/m²) + consideração negativo  </t>
  </si>
  <si>
    <t>Novo paramétrico com quant de projeto</t>
  </si>
  <si>
    <t>Novo paramétrico laje impermeab.</t>
  </si>
  <si>
    <t>ÁREA CONSTRUÍDA SF</t>
  </si>
  <si>
    <t>ÁREA CONSTRUÍDA 365</t>
  </si>
  <si>
    <t>3 SUBSOLOS</t>
  </si>
  <si>
    <t>GRAN TOWER</t>
  </si>
  <si>
    <t>NOUVE 354</t>
  </si>
  <si>
    <t>mesmo prazo, menos ac</t>
  </si>
  <si>
    <t>um pouco menos de área pra distribuir</t>
  </si>
  <si>
    <t>um pouco mais de mo (distribuição custo do drywall)</t>
  </si>
  <si>
    <t>divisórias internas em drywall</t>
  </si>
  <si>
    <t>forro de madeira + mineral</t>
  </si>
  <si>
    <t>porcelanato contra ceramica</t>
  </si>
  <si>
    <t>Mais guarda-corpos e portas de entrada (fechadura biometrica)</t>
  </si>
  <si>
    <t xml:space="preserve">Madeira em floreiras e porcelanato </t>
  </si>
  <si>
    <t>Maiior proporção de área de lazer</t>
  </si>
  <si>
    <t>PAREDES</t>
  </si>
  <si>
    <t>VALOR PAREDE</t>
  </si>
  <si>
    <t>VALOR ARGAMASSADOS</t>
  </si>
  <si>
    <t xml:space="preserve">VALOR TOTAL </t>
  </si>
  <si>
    <t>VALOR / PAREDE</t>
  </si>
  <si>
    <t>VALOR TOTAL ORÇADO</t>
  </si>
  <si>
    <t>VALOR / AC*</t>
  </si>
  <si>
    <t>VALOR / AP**</t>
  </si>
  <si>
    <t>VALOR / UNIDADE</t>
  </si>
  <si>
    <t>DRYWALL</t>
  </si>
  <si>
    <t>PAREDES E PAINEIS</t>
  </si>
  <si>
    <t>ARGAMASSADOS</t>
  </si>
  <si>
    <t>MO PAREDE</t>
  </si>
  <si>
    <t>PISO</t>
  </si>
  <si>
    <t>PAREDE</t>
  </si>
  <si>
    <t>REVESTIMENTOS</t>
  </si>
  <si>
    <t>ACABAMENTOS</t>
  </si>
  <si>
    <t>365 - AFONSO PENA</t>
  </si>
  <si>
    <t>365 PARAMETRICO- INDEXADO</t>
  </si>
  <si>
    <t>365 - PRELIMINAR R00</t>
  </si>
  <si>
    <t>365 - PARAMETRICO</t>
  </si>
  <si>
    <t>Adição de remoção de residuos e aumento do ticket medio da equipe</t>
  </si>
  <si>
    <t>mais projetos</t>
  </si>
  <si>
    <t>Redução da área de contenção significativaemnte</t>
  </si>
  <si>
    <t>custos não acompanharam aumento de cub</t>
  </si>
  <si>
    <t>REVESTIMENTOS E ACABAMENTOS EM PAREDE</t>
  </si>
  <si>
    <t>PISOS E PAVIMENTAÇÕES</t>
  </si>
  <si>
    <t>MAO DE OBRA</t>
  </si>
  <si>
    <t>aumento pequeno de louças e metais</t>
  </si>
  <si>
    <t>redução de incertezas</t>
  </si>
  <si>
    <t>Auemtno volume de concreto e por consequencia aço e aumento nos jogos de formas</t>
  </si>
  <si>
    <t>gesso acartonado para mineral e maior proporção de estucamento</t>
  </si>
  <si>
    <t>mais da distribuição de mo e cobertura</t>
  </si>
  <si>
    <t>perolado e calçada</t>
  </si>
  <si>
    <t>são francisco tem drywall</t>
  </si>
  <si>
    <t>SF Ccom Mais guarda-corpos e portas de entrada (fechadura biometrica)</t>
  </si>
  <si>
    <t>troca de ceramica para um porcelanato mias elevado</t>
  </si>
  <si>
    <t>rufo e porcelanato</t>
  </si>
  <si>
    <t xml:space="preserve">PRELIMINAR </t>
  </si>
  <si>
    <t>VALOR MÉDIO POR UNIDADE RESIDENCIAL + COMERCIAL</t>
  </si>
  <si>
    <t xml:space="preserve">176+4 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</si>
</sst>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0.0000"/>
    <numFmt numFmtId="168" formatCode="[$-416]mmm\-yy;@"/>
    <numFmt numFmtId="169" formatCode="_(&quot;R$&quot;* #,##0.00_);_(&quot;R$&quot;* \(#,##0.00\);_(&quot;R$&quot;* &quot;-&quot;??_);_(@_)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b/>
      <sz val="9"/>
      <color indexed="81"/>
      <name val="Segoe U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b/>
      <sz val="11"/>
      <color theme="1"/>
      <name val="Poppins"/>
    </font>
    <font>
      <b/>
      <sz val="11"/>
      <name val="Poppins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Poppins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58595B"/>
      <name val="Open Sans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121212"/>
        <bgColor rgb="FF121212"/>
      </patternFill>
    </fill>
    <fill>
      <patternFill patternType="solid">
        <fgColor rgb="FFFFAD98"/>
        <bgColor rgb="FFFFAD9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medium">
        <color indexed="64"/>
      </bottom>
      <diagonal/>
    </border>
    <border>
      <left style="thin">
        <color rgb="FF646464"/>
      </left>
      <right style="thin">
        <color rgb="FF646464"/>
      </right>
      <top/>
      <bottom style="medium">
        <color indexed="64"/>
      </bottom>
      <diagonal/>
    </border>
    <border>
      <left style="medium">
        <color indexed="64"/>
      </left>
      <right style="thin">
        <color rgb="FF6464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646464"/>
      </right>
      <top/>
      <bottom/>
      <diagonal/>
    </border>
    <border>
      <left style="thin">
        <color rgb="FF646464"/>
      </left>
      <right style="thin">
        <color rgb="FF646464"/>
      </right>
      <top/>
      <bottom/>
      <diagonal/>
    </border>
    <border>
      <left style="thin">
        <color rgb="FF6464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indexed="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indexed="64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medium">
        <color indexed="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medium">
        <color indexed="64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medium">
        <color indexed="64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medium">
        <color indexed="64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44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5" fillId="0" borderId="5"/>
    <xf numFmtId="9" fontId="5" fillId="0" borderId="5" applyFont="0" applyFill="0" applyBorder="0" applyAlignment="0" applyProtection="0"/>
    <xf numFmtId="9" fontId="23" fillId="0" borderId="0" applyFont="0" applyFill="0" applyBorder="0" applyAlignment="0" applyProtection="0"/>
    <xf numFmtId="0" fontId="3" fillId="0" borderId="5"/>
    <xf numFmtId="44" fontId="3" fillId="0" borderId="5" applyFont="0" applyFill="0" applyBorder="0" applyAlignment="0" applyProtection="0"/>
    <xf numFmtId="43" fontId="3" fillId="0" borderId="5" applyFont="0" applyFill="0" applyBorder="0" applyAlignment="0" applyProtection="0"/>
    <xf numFmtId="0" fontId="2" fillId="0" borderId="5"/>
    <xf numFmtId="43" fontId="2" fillId="0" borderId="5" applyFont="0" applyFill="0" applyBorder="0" applyAlignment="0" applyProtection="0"/>
    <xf numFmtId="44" fontId="2" fillId="0" borderId="5" applyFont="0" applyFill="0" applyBorder="0" applyAlignment="0" applyProtection="0"/>
    <xf numFmtId="9" fontId="1" fillId="0" borderId="5" applyFont="0" applyFill="0" applyBorder="0" applyAlignment="0" applyProtection="0"/>
    <xf numFmtId="169" fontId="34" fillId="0" borderId="5" applyFont="0" applyFill="0" applyBorder="0" applyAlignment="0" applyProtection="0"/>
    <xf numFmtId="0" fontId="34" fillId="0" borderId="5" applyNumberFormat="0" applyFont="0" applyFill="0" applyBorder="0" applyAlignment="0" applyProtection="0"/>
  </cellStyleXfs>
  <cellXfs count="224">
    <xf numFmtId="0" fontId="0" fillId="0" borderId="0" xfId="0"/>
    <xf numFmtId="0" fontId="10" fillId="0" borderId="0" xfId="0" applyFont="1"/>
    <xf numFmtId="0" fontId="10" fillId="3" borderId="1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164" fontId="10" fillId="0" borderId="0" xfId="0" applyNumberFormat="1" applyFont="1"/>
    <xf numFmtId="164" fontId="10" fillId="4" borderId="2" xfId="0" applyNumberFormat="1" applyFont="1" applyFill="1" applyBorder="1" applyAlignment="1">
      <alignment horizontal="center"/>
    </xf>
    <xf numFmtId="164" fontId="10" fillId="3" borderId="2" xfId="0" applyNumberFormat="1" applyFont="1" applyFill="1" applyBorder="1" applyAlignment="1">
      <alignment horizontal="center"/>
    </xf>
    <xf numFmtId="0" fontId="11" fillId="0" borderId="0" xfId="0" applyFont="1" applyAlignment="1">
      <alignment vertical="center"/>
    </xf>
    <xf numFmtId="10" fontId="10" fillId="4" borderId="3" xfId="0" applyNumberFormat="1" applyFont="1" applyFill="1" applyBorder="1" applyAlignment="1">
      <alignment horizontal="center" vertical="center"/>
    </xf>
    <xf numFmtId="10" fontId="10" fillId="3" borderId="3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4" fontId="12" fillId="0" borderId="0" xfId="0" applyNumberFormat="1" applyFont="1"/>
    <xf numFmtId="165" fontId="14" fillId="0" borderId="0" xfId="0" applyNumberFormat="1" applyFont="1" applyAlignment="1">
      <alignment horizontal="left"/>
    </xf>
    <xf numFmtId="165" fontId="11" fillId="0" borderId="0" xfId="0" applyNumberFormat="1" applyFont="1" applyAlignment="1">
      <alignment vertical="center"/>
    </xf>
    <xf numFmtId="4" fontId="11" fillId="0" borderId="0" xfId="0" applyNumberFormat="1" applyFont="1" applyAlignment="1">
      <alignment vertical="center"/>
    </xf>
    <xf numFmtId="164" fontId="10" fillId="4" borderId="3" xfId="0" applyNumberFormat="1" applyFont="1" applyFill="1" applyBorder="1" applyAlignment="1">
      <alignment horizontal="center" vertical="center"/>
    </xf>
    <xf numFmtId="164" fontId="10" fillId="3" borderId="3" xfId="0" applyNumberFormat="1" applyFont="1" applyFill="1" applyBorder="1" applyAlignment="1">
      <alignment horizontal="center" vertical="center"/>
    </xf>
    <xf numFmtId="0" fontId="0" fillId="0" borderId="5" xfId="0" applyBorder="1"/>
    <xf numFmtId="44" fontId="0" fillId="0" borderId="8" xfId="1" applyFont="1" applyBorder="1"/>
    <xf numFmtId="44" fontId="0" fillId="0" borderId="10" xfId="1" applyFont="1" applyBorder="1"/>
    <xf numFmtId="0" fontId="16" fillId="0" borderId="0" xfId="0" applyFont="1"/>
    <xf numFmtId="44" fontId="0" fillId="0" borderId="8" xfId="1" applyFont="1" applyFill="1" applyBorder="1"/>
    <xf numFmtId="44" fontId="0" fillId="0" borderId="10" xfId="1" applyFont="1" applyFill="1" applyBorder="1"/>
    <xf numFmtId="0" fontId="6" fillId="0" borderId="0" xfId="0" applyFont="1"/>
    <xf numFmtId="166" fontId="11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vertical="center"/>
    </xf>
    <xf numFmtId="164" fontId="13" fillId="0" borderId="5" xfId="0" applyNumberFormat="1" applyFont="1" applyBorder="1" applyAlignment="1">
      <alignment vertical="center"/>
    </xf>
    <xf numFmtId="0" fontId="20" fillId="0" borderId="1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0" fillId="4" borderId="19" xfId="0" applyFont="1" applyFill="1" applyBorder="1" applyAlignment="1">
      <alignment horizontal="left" vertical="center"/>
    </xf>
    <xf numFmtId="0" fontId="10" fillId="3" borderId="19" xfId="0" applyFont="1" applyFill="1" applyBorder="1" applyAlignment="1">
      <alignment horizontal="left" vertical="center"/>
    </xf>
    <xf numFmtId="164" fontId="10" fillId="3" borderId="20" xfId="0" applyNumberFormat="1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left" vertical="center"/>
    </xf>
    <xf numFmtId="0" fontId="10" fillId="3" borderId="22" xfId="0" applyFont="1" applyFill="1" applyBorder="1" applyAlignment="1">
      <alignment horizontal="left" vertical="center"/>
    </xf>
    <xf numFmtId="0" fontId="10" fillId="4" borderId="22" xfId="0" applyFont="1" applyFill="1" applyBorder="1" applyAlignment="1">
      <alignment horizontal="left" vertical="center"/>
    </xf>
    <xf numFmtId="0" fontId="10" fillId="4" borderId="23" xfId="0" applyFont="1" applyFill="1" applyBorder="1" applyAlignment="1">
      <alignment horizontal="left" vertical="center"/>
    </xf>
    <xf numFmtId="0" fontId="10" fillId="4" borderId="24" xfId="0" applyFont="1" applyFill="1" applyBorder="1" applyAlignment="1">
      <alignment horizontal="left" vertical="center"/>
    </xf>
    <xf numFmtId="44" fontId="0" fillId="0" borderId="25" xfId="1" applyFont="1" applyBorder="1"/>
    <xf numFmtId="44" fontId="0" fillId="0" borderId="25" xfId="1" applyFont="1" applyFill="1" applyBorder="1"/>
    <xf numFmtId="44" fontId="0" fillId="0" borderId="29" xfId="1" applyFont="1" applyBorder="1"/>
    <xf numFmtId="44" fontId="0" fillId="0" borderId="30" xfId="1" applyFont="1" applyBorder="1"/>
    <xf numFmtId="0" fontId="0" fillId="0" borderId="11" xfId="0" applyBorder="1"/>
    <xf numFmtId="0" fontId="7" fillId="7" borderId="15" xfId="0" applyFont="1" applyFill="1" applyBorder="1" applyAlignment="1">
      <alignment horizontal="left" vertical="center"/>
    </xf>
    <xf numFmtId="44" fontId="19" fillId="5" borderId="27" xfId="0" applyNumberFormat="1" applyFont="1" applyFill="1" applyBorder="1" applyAlignment="1">
      <alignment horizontal="center"/>
    </xf>
    <xf numFmtId="44" fontId="19" fillId="5" borderId="33" xfId="0" applyNumberFormat="1" applyFont="1" applyFill="1" applyBorder="1" applyAlignment="1">
      <alignment horizontal="center"/>
    </xf>
    <xf numFmtId="44" fontId="19" fillId="5" borderId="28" xfId="0" applyNumberFormat="1" applyFont="1" applyFill="1" applyBorder="1" applyAlignment="1">
      <alignment horizontal="center"/>
    </xf>
    <xf numFmtId="0" fontId="19" fillId="5" borderId="6" xfId="0" applyFont="1" applyFill="1" applyBorder="1"/>
    <xf numFmtId="0" fontId="19" fillId="5" borderId="10" xfId="0" applyFont="1" applyFill="1" applyBorder="1"/>
    <xf numFmtId="43" fontId="0" fillId="0" borderId="0" xfId="2" applyFont="1"/>
    <xf numFmtId="43" fontId="19" fillId="5" borderId="12" xfId="2" applyFont="1" applyFill="1" applyBorder="1" applyAlignment="1">
      <alignment horizontal="center"/>
    </xf>
    <xf numFmtId="43" fontId="0" fillId="0" borderId="12" xfId="2" applyFont="1" applyBorder="1"/>
    <xf numFmtId="43" fontId="19" fillId="5" borderId="27" xfId="2" applyFont="1" applyFill="1" applyBorder="1"/>
    <xf numFmtId="43" fontId="10" fillId="0" borderId="0" xfId="2" applyFont="1" applyAlignment="1">
      <alignment horizontal="center"/>
    </xf>
    <xf numFmtId="43" fontId="10" fillId="0" borderId="0" xfId="2" applyFont="1"/>
    <xf numFmtId="0" fontId="10" fillId="4" borderId="35" xfId="0" applyFont="1" applyFill="1" applyBorder="1" applyAlignment="1">
      <alignment horizontal="left" vertical="center"/>
    </xf>
    <xf numFmtId="10" fontId="10" fillId="4" borderId="36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/>
    </xf>
    <xf numFmtId="164" fontId="7" fillId="2" borderId="12" xfId="0" applyNumberFormat="1" applyFont="1" applyFill="1" applyBorder="1" applyAlignment="1">
      <alignment horizontal="left" vertical="center"/>
    </xf>
    <xf numFmtId="9" fontId="7" fillId="2" borderId="12" xfId="0" applyNumberFormat="1" applyFont="1" applyFill="1" applyBorder="1" applyAlignment="1">
      <alignment horizontal="center" vertical="center"/>
    </xf>
    <xf numFmtId="164" fontId="7" fillId="2" borderId="12" xfId="0" applyNumberFormat="1" applyFont="1" applyFill="1" applyBorder="1" applyAlignment="1">
      <alignment horizontal="center" vertical="center"/>
    </xf>
    <xf numFmtId="17" fontId="7" fillId="2" borderId="12" xfId="0" applyNumberFormat="1" applyFont="1" applyFill="1" applyBorder="1" applyAlignment="1">
      <alignment horizontal="center" vertical="center"/>
    </xf>
    <xf numFmtId="0" fontId="10" fillId="4" borderId="37" xfId="0" applyFont="1" applyFill="1" applyBorder="1" applyAlignment="1">
      <alignment horizontal="left" vertical="center"/>
    </xf>
    <xf numFmtId="164" fontId="10" fillId="4" borderId="36" xfId="0" applyNumberFormat="1" applyFont="1" applyFill="1" applyBorder="1" applyAlignment="1">
      <alignment horizontal="center" vertical="center"/>
    </xf>
    <xf numFmtId="43" fontId="10" fillId="4" borderId="38" xfId="2" applyFont="1" applyFill="1" applyBorder="1" applyAlignment="1">
      <alignment horizontal="center" vertical="center"/>
    </xf>
    <xf numFmtId="44" fontId="0" fillId="6" borderId="32" xfId="1" applyFont="1" applyFill="1" applyBorder="1"/>
    <xf numFmtId="43" fontId="7" fillId="2" borderId="7" xfId="2" applyFont="1" applyFill="1" applyBorder="1" applyAlignment="1">
      <alignment horizontal="center" vertical="center"/>
    </xf>
    <xf numFmtId="43" fontId="7" fillId="2" borderId="9" xfId="2" applyFont="1" applyFill="1" applyBorder="1" applyAlignment="1">
      <alignment horizontal="center" vertical="center"/>
    </xf>
    <xf numFmtId="0" fontId="19" fillId="5" borderId="5" xfId="0" applyFont="1" applyFill="1" applyBorder="1"/>
    <xf numFmtId="44" fontId="0" fillId="6" borderId="26" xfId="1" applyFont="1" applyFill="1" applyBorder="1"/>
    <xf numFmtId="44" fontId="4" fillId="0" borderId="25" xfId="1" applyFont="1" applyBorder="1"/>
    <xf numFmtId="44" fontId="6" fillId="0" borderId="25" xfId="1" applyFont="1" applyBorder="1"/>
    <xf numFmtId="44" fontId="19" fillId="5" borderId="27" xfId="1" applyFont="1" applyFill="1" applyBorder="1"/>
    <xf numFmtId="44" fontId="19" fillId="6" borderId="27" xfId="1" applyFont="1" applyFill="1" applyBorder="1"/>
    <xf numFmtId="44" fontId="22" fillId="0" borderId="30" xfId="1" applyFont="1" applyBorder="1"/>
    <xf numFmtId="44" fontId="22" fillId="0" borderId="31" xfId="1" applyFont="1" applyBorder="1"/>
    <xf numFmtId="167" fontId="0" fillId="0" borderId="11" xfId="0" applyNumberFormat="1" applyBorder="1"/>
    <xf numFmtId="43" fontId="11" fillId="0" borderId="17" xfId="2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3" fillId="0" borderId="5" xfId="6"/>
    <xf numFmtId="44" fontId="18" fillId="4" borderId="38" xfId="7" applyFont="1" applyFill="1" applyBorder="1" applyAlignment="1">
      <alignment horizontal="left" vertical="center"/>
    </xf>
    <xf numFmtId="43" fontId="18" fillId="4" borderId="36" xfId="8" applyFont="1" applyFill="1" applyBorder="1" applyAlignment="1">
      <alignment horizontal="left" vertical="center"/>
    </xf>
    <xf numFmtId="0" fontId="10" fillId="4" borderId="37" xfId="6" applyFont="1" applyFill="1" applyBorder="1" applyAlignment="1">
      <alignment horizontal="left" vertical="center"/>
    </xf>
    <xf numFmtId="0" fontId="7" fillId="2" borderId="7" xfId="6" applyFont="1" applyFill="1" applyBorder="1" applyAlignment="1">
      <alignment horizontal="center" vertical="center"/>
    </xf>
    <xf numFmtId="0" fontId="7" fillId="2" borderId="13" xfId="6" applyFont="1" applyFill="1" applyBorder="1" applyAlignment="1">
      <alignment horizontal="center" vertical="center"/>
    </xf>
    <xf numFmtId="0" fontId="7" fillId="2" borderId="6" xfId="6" applyFont="1" applyFill="1" applyBorder="1" applyAlignment="1">
      <alignment horizontal="left" vertical="center"/>
    </xf>
    <xf numFmtId="43" fontId="3" fillId="0" borderId="5" xfId="6" applyNumberFormat="1"/>
    <xf numFmtId="168" fontId="0" fillId="0" borderId="7" xfId="0" applyNumberFormat="1" applyBorder="1"/>
    <xf numFmtId="44" fontId="18" fillId="4" borderId="36" xfId="1" applyFont="1" applyFill="1" applyBorder="1" applyAlignment="1">
      <alignment horizontal="left" vertical="center"/>
    </xf>
    <xf numFmtId="44" fontId="10" fillId="3" borderId="3" xfId="1" applyFont="1" applyFill="1" applyBorder="1" applyAlignment="1">
      <alignment horizontal="left" vertical="center"/>
    </xf>
    <xf numFmtId="44" fontId="10" fillId="4" borderId="3" xfId="1" applyFont="1" applyFill="1" applyBorder="1" applyAlignment="1">
      <alignment horizontal="left" vertical="center"/>
    </xf>
    <xf numFmtId="44" fontId="7" fillId="2" borderId="12" xfId="1" applyFont="1" applyFill="1" applyBorder="1" applyAlignment="1">
      <alignment horizontal="left" vertical="center"/>
    </xf>
    <xf numFmtId="44" fontId="10" fillId="4" borderId="4" xfId="1" applyFont="1" applyFill="1" applyBorder="1" applyAlignment="1">
      <alignment horizontal="center" vertical="center"/>
    </xf>
    <xf numFmtId="44" fontId="10" fillId="3" borderId="4" xfId="1" applyFont="1" applyFill="1" applyBorder="1" applyAlignment="1">
      <alignment horizontal="center" vertical="center"/>
    </xf>
    <xf numFmtId="44" fontId="7" fillId="2" borderId="12" xfId="1" applyFont="1" applyFill="1" applyBorder="1" applyAlignment="1">
      <alignment horizontal="center" vertical="center"/>
    </xf>
    <xf numFmtId="0" fontId="10" fillId="3" borderId="41" xfId="6" applyFont="1" applyFill="1" applyBorder="1" applyAlignment="1">
      <alignment horizontal="left" vertical="center"/>
    </xf>
    <xf numFmtId="164" fontId="10" fillId="3" borderId="40" xfId="6" applyNumberFormat="1" applyFont="1" applyFill="1" applyBorder="1" applyAlignment="1">
      <alignment horizontal="left" vertical="center"/>
    </xf>
    <xf numFmtId="44" fontId="10" fillId="3" borderId="39" xfId="7" applyFont="1" applyFill="1" applyBorder="1" applyAlignment="1">
      <alignment horizontal="left" vertical="center"/>
    </xf>
    <xf numFmtId="10" fontId="3" fillId="0" borderId="5" xfId="5" applyNumberFormat="1" applyFont="1" applyBorder="1" applyAlignment="1">
      <alignment horizontal="left"/>
    </xf>
    <xf numFmtId="0" fontId="10" fillId="3" borderId="46" xfId="0" applyFont="1" applyFill="1" applyBorder="1" applyAlignment="1">
      <alignment horizontal="left" vertical="center"/>
    </xf>
    <xf numFmtId="0" fontId="10" fillId="4" borderId="46" xfId="0" applyFont="1" applyFill="1" applyBorder="1" applyAlignment="1">
      <alignment horizontal="left" vertical="center"/>
    </xf>
    <xf numFmtId="44" fontId="10" fillId="3" borderId="47" xfId="1" applyFont="1" applyFill="1" applyBorder="1" applyAlignment="1">
      <alignment horizontal="left" vertical="center"/>
    </xf>
    <xf numFmtId="44" fontId="10" fillId="3" borderId="48" xfId="1" applyFont="1" applyFill="1" applyBorder="1" applyAlignment="1">
      <alignment horizontal="center" vertical="center"/>
    </xf>
    <xf numFmtId="44" fontId="18" fillId="4" borderId="49" xfId="1" applyFont="1" applyFill="1" applyBorder="1" applyAlignment="1">
      <alignment horizontal="left" vertical="center"/>
    </xf>
    <xf numFmtId="44" fontId="10" fillId="4" borderId="48" xfId="1" applyFont="1" applyFill="1" applyBorder="1" applyAlignment="1">
      <alignment horizontal="center" vertical="center"/>
    </xf>
    <xf numFmtId="44" fontId="18" fillId="4" borderId="36" xfId="1" applyFont="1" applyFill="1" applyBorder="1" applyAlignment="1">
      <alignment horizontal="center" vertical="center"/>
    </xf>
    <xf numFmtId="44" fontId="10" fillId="3" borderId="3" xfId="1" applyFont="1" applyFill="1" applyBorder="1" applyAlignment="1">
      <alignment horizontal="center" vertical="center"/>
    </xf>
    <xf numFmtId="165" fontId="24" fillId="8" borderId="53" xfId="0" applyNumberFormat="1" applyFont="1" applyFill="1" applyBorder="1" applyAlignment="1">
      <alignment horizontal="center"/>
    </xf>
    <xf numFmtId="164" fontId="24" fillId="8" borderId="53" xfId="0" applyNumberFormat="1" applyFont="1" applyFill="1" applyBorder="1" applyAlignment="1">
      <alignment horizontal="center"/>
    </xf>
    <xf numFmtId="165" fontId="12" fillId="0" borderId="54" xfId="0" applyNumberFormat="1" applyFont="1" applyBorder="1" applyAlignment="1">
      <alignment horizontal="center" vertical="center"/>
    </xf>
    <xf numFmtId="165" fontId="12" fillId="9" borderId="55" xfId="0" applyNumberFormat="1" applyFont="1" applyFill="1" applyBorder="1" applyAlignment="1">
      <alignment horizontal="center" vertical="center"/>
    </xf>
    <xf numFmtId="165" fontId="12" fillId="0" borderId="56" xfId="0" applyNumberFormat="1" applyFont="1" applyBorder="1" applyAlignment="1">
      <alignment horizontal="center" vertical="center"/>
    </xf>
    <xf numFmtId="165" fontId="12" fillId="0" borderId="57" xfId="0" applyNumberFormat="1" applyFont="1" applyBorder="1" applyAlignment="1">
      <alignment horizontal="center" vertical="center"/>
    </xf>
    <xf numFmtId="165" fontId="12" fillId="0" borderId="58" xfId="0" applyNumberFormat="1" applyFont="1" applyBorder="1" applyAlignment="1">
      <alignment horizontal="center" vertical="center"/>
    </xf>
    <xf numFmtId="165" fontId="24" fillId="8" borderId="53" xfId="0" applyNumberFormat="1" applyFont="1" applyFill="1" applyBorder="1" applyAlignment="1">
      <alignment horizontal="center" vertical="center"/>
    </xf>
    <xf numFmtId="165" fontId="24" fillId="9" borderId="53" xfId="0" applyNumberFormat="1" applyFont="1" applyFill="1" applyBorder="1" applyAlignment="1">
      <alignment horizontal="center" vertical="center"/>
    </xf>
    <xf numFmtId="0" fontId="24" fillId="8" borderId="59" xfId="0" applyFont="1" applyFill="1" applyBorder="1"/>
    <xf numFmtId="0" fontId="24" fillId="8" borderId="58" xfId="0" applyFont="1" applyFill="1" applyBorder="1"/>
    <xf numFmtId="164" fontId="12" fillId="0" borderId="60" xfId="0" applyNumberFormat="1" applyFont="1" applyBorder="1"/>
    <xf numFmtId="0" fontId="10" fillId="3" borderId="64" xfId="6" applyFont="1" applyFill="1" applyBorder="1" applyAlignment="1">
      <alignment horizontal="left" vertical="center"/>
    </xf>
    <xf numFmtId="164" fontId="10" fillId="3" borderId="65" xfId="6" applyNumberFormat="1" applyFont="1" applyFill="1" applyBorder="1" applyAlignment="1">
      <alignment horizontal="left" vertical="center"/>
    </xf>
    <xf numFmtId="44" fontId="10" fillId="3" borderId="66" xfId="7" applyFont="1" applyFill="1" applyBorder="1" applyAlignment="1">
      <alignment horizontal="left" vertical="center"/>
    </xf>
    <xf numFmtId="0" fontId="10" fillId="3" borderId="61" xfId="6" applyFont="1" applyFill="1" applyBorder="1" applyAlignment="1">
      <alignment horizontal="left" vertical="center"/>
    </xf>
    <xf numFmtId="164" fontId="10" fillId="3" borderId="62" xfId="6" applyNumberFormat="1" applyFont="1" applyFill="1" applyBorder="1" applyAlignment="1">
      <alignment horizontal="left" vertical="center"/>
    </xf>
    <xf numFmtId="44" fontId="10" fillId="3" borderId="63" xfId="7" applyFont="1" applyFill="1" applyBorder="1" applyAlignment="1">
      <alignment horizontal="left" vertical="center"/>
    </xf>
    <xf numFmtId="0" fontId="26" fillId="4" borderId="37" xfId="6" applyFont="1" applyFill="1" applyBorder="1" applyAlignment="1">
      <alignment horizontal="left" vertical="center"/>
    </xf>
    <xf numFmtId="43" fontId="27" fillId="4" borderId="36" xfId="8" applyFont="1" applyFill="1" applyBorder="1" applyAlignment="1">
      <alignment horizontal="left" vertical="center"/>
    </xf>
    <xf numFmtId="44" fontId="27" fillId="4" borderId="38" xfId="7" applyFont="1" applyFill="1" applyBorder="1" applyAlignment="1">
      <alignment horizontal="left" vertical="center"/>
    </xf>
    <xf numFmtId="0" fontId="26" fillId="4" borderId="61" xfId="6" applyFont="1" applyFill="1" applyBorder="1" applyAlignment="1">
      <alignment horizontal="left" vertical="center"/>
    </xf>
    <xf numFmtId="43" fontId="27" fillId="4" borderId="62" xfId="8" applyFont="1" applyFill="1" applyBorder="1" applyAlignment="1">
      <alignment horizontal="left" vertical="center"/>
    </xf>
    <xf numFmtId="44" fontId="27" fillId="4" borderId="63" xfId="7" applyFont="1" applyFill="1" applyBorder="1" applyAlignment="1">
      <alignment horizontal="left" vertical="center"/>
    </xf>
    <xf numFmtId="0" fontId="26" fillId="3" borderId="67" xfId="6" applyFont="1" applyFill="1" applyBorder="1" applyAlignment="1">
      <alignment horizontal="left" vertical="center"/>
    </xf>
    <xf numFmtId="44" fontId="26" fillId="3" borderId="69" xfId="7" applyFont="1" applyFill="1" applyBorder="1" applyAlignment="1">
      <alignment horizontal="left" vertical="center"/>
    </xf>
    <xf numFmtId="0" fontId="10" fillId="4" borderId="70" xfId="6" applyFont="1" applyFill="1" applyBorder="1" applyAlignment="1">
      <alignment horizontal="left" vertical="center"/>
    </xf>
    <xf numFmtId="44" fontId="18" fillId="4" borderId="72" xfId="7" applyFont="1" applyFill="1" applyBorder="1" applyAlignment="1">
      <alignment horizontal="left" vertical="center"/>
    </xf>
    <xf numFmtId="0" fontId="10" fillId="4" borderId="41" xfId="6" applyFont="1" applyFill="1" applyBorder="1" applyAlignment="1">
      <alignment horizontal="left" vertical="center"/>
    </xf>
    <xf numFmtId="44" fontId="18" fillId="4" borderId="39" xfId="7" applyFont="1" applyFill="1" applyBorder="1" applyAlignment="1">
      <alignment horizontal="left" vertical="center"/>
    </xf>
    <xf numFmtId="0" fontId="28" fillId="10" borderId="0" xfId="0" applyFont="1" applyFill="1"/>
    <xf numFmtId="0" fontId="28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28" fillId="10" borderId="0" xfId="0" applyNumberFormat="1" applyFont="1" applyFill="1" applyAlignment="1">
      <alignment horizontal="center" vertical="center"/>
    </xf>
    <xf numFmtId="0" fontId="7" fillId="2" borderId="10" xfId="0" applyFont="1" applyFill="1" applyBorder="1" applyAlignment="1">
      <alignment horizontal="right" vertical="center"/>
    </xf>
    <xf numFmtId="44" fontId="7" fillId="2" borderId="14" xfId="1" applyFont="1" applyFill="1" applyBorder="1" applyAlignment="1">
      <alignment horizontal="right" vertical="center"/>
    </xf>
    <xf numFmtId="164" fontId="7" fillId="2" borderId="14" xfId="0" applyNumberFormat="1" applyFont="1" applyFill="1" applyBorder="1" applyAlignment="1">
      <alignment horizontal="center" vertical="center"/>
    </xf>
    <xf numFmtId="43" fontId="8" fillId="2" borderId="1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4" fontId="0" fillId="0" borderId="7" xfId="2" applyNumberFormat="1" applyFont="1" applyBorder="1"/>
    <xf numFmtId="43" fontId="0" fillId="0" borderId="11" xfId="2" applyFont="1" applyBorder="1"/>
    <xf numFmtId="43" fontId="19" fillId="5" borderId="27" xfId="2" applyFont="1" applyFill="1" applyBorder="1" applyAlignment="1">
      <alignment horizontal="center"/>
    </xf>
    <xf numFmtId="44" fontId="1" fillId="0" borderId="30" xfId="1" applyFont="1" applyBorder="1"/>
    <xf numFmtId="44" fontId="0" fillId="0" borderId="73" xfId="1" applyFont="1" applyBorder="1"/>
    <xf numFmtId="44" fontId="32" fillId="0" borderId="31" xfId="1" applyFont="1" applyBorder="1"/>
    <xf numFmtId="44" fontId="19" fillId="5" borderId="27" xfId="0" applyNumberFormat="1" applyFont="1" applyFill="1" applyBorder="1"/>
    <xf numFmtId="44" fontId="0" fillId="0" borderId="74" xfId="1" applyFont="1" applyBorder="1"/>
    <xf numFmtId="43" fontId="27" fillId="4" borderId="36" xfId="8" applyFont="1" applyFill="1" applyBorder="1" applyAlignment="1">
      <alignment horizontal="right" vertical="center"/>
    </xf>
    <xf numFmtId="164" fontId="26" fillId="3" borderId="68" xfId="6" applyNumberFormat="1" applyFont="1" applyFill="1" applyBorder="1" applyAlignment="1">
      <alignment horizontal="right" vertical="center"/>
    </xf>
    <xf numFmtId="43" fontId="18" fillId="4" borderId="71" xfId="8" applyFont="1" applyFill="1" applyBorder="1" applyAlignment="1">
      <alignment horizontal="right" vertical="center"/>
    </xf>
    <xf numFmtId="164" fontId="10" fillId="3" borderId="65" xfId="6" applyNumberFormat="1" applyFont="1" applyFill="1" applyBorder="1" applyAlignment="1">
      <alignment horizontal="right" vertical="center"/>
    </xf>
    <xf numFmtId="43" fontId="18" fillId="4" borderId="36" xfId="8" applyFont="1" applyFill="1" applyBorder="1" applyAlignment="1">
      <alignment horizontal="right" vertical="center"/>
    </xf>
    <xf numFmtId="43" fontId="18" fillId="4" borderId="40" xfId="8" applyFont="1" applyFill="1" applyBorder="1" applyAlignment="1">
      <alignment horizontal="right" vertical="center"/>
    </xf>
    <xf numFmtId="0" fontId="7" fillId="2" borderId="16" xfId="6" applyFont="1" applyFill="1" applyBorder="1" applyAlignment="1">
      <alignment horizontal="center" vertical="center"/>
    </xf>
    <xf numFmtId="0" fontId="7" fillId="2" borderId="17" xfId="6" applyFont="1" applyFill="1" applyBorder="1" applyAlignment="1">
      <alignment horizontal="center" vertical="center"/>
    </xf>
    <xf numFmtId="0" fontId="7" fillId="2" borderId="18" xfId="6" applyFont="1" applyFill="1" applyBorder="1" applyAlignment="1">
      <alignment horizontal="center" vertical="center"/>
    </xf>
    <xf numFmtId="4" fontId="10" fillId="3" borderId="19" xfId="6" applyNumberFormat="1" applyFont="1" applyFill="1" applyBorder="1" applyAlignment="1">
      <alignment horizontal="center" vertical="center"/>
    </xf>
    <xf numFmtId="4" fontId="10" fillId="4" borderId="37" xfId="6" applyNumberFormat="1" applyFont="1" applyFill="1" applyBorder="1" applyAlignment="1">
      <alignment horizontal="center" vertical="center"/>
    </xf>
    <xf numFmtId="10" fontId="7" fillId="2" borderId="33" xfId="12" applyNumberFormat="1" applyFont="1" applyFill="1" applyBorder="1" applyAlignment="1">
      <alignment vertical="center"/>
    </xf>
    <xf numFmtId="10" fontId="7" fillId="2" borderId="27" xfId="12" applyNumberFormat="1" applyFont="1" applyFill="1" applyBorder="1" applyAlignment="1">
      <alignment vertical="center"/>
    </xf>
    <xf numFmtId="10" fontId="7" fillId="2" borderId="28" xfId="12" applyNumberFormat="1" applyFont="1" applyFill="1" applyBorder="1" applyAlignment="1">
      <alignment horizontal="center" vertical="center"/>
    </xf>
    <xf numFmtId="44" fontId="10" fillId="4" borderId="36" xfId="1" applyFont="1" applyFill="1" applyBorder="1" applyAlignment="1">
      <alignment horizontal="center" vertical="center"/>
    </xf>
    <xf numFmtId="44" fontId="18" fillId="3" borderId="3" xfId="1" applyFont="1" applyFill="1" applyBorder="1" applyAlignment="1">
      <alignment horizontal="center" vertical="center"/>
    </xf>
    <xf numFmtId="44" fontId="26" fillId="3" borderId="20" xfId="1" applyFont="1" applyFill="1" applyBorder="1" applyAlignment="1">
      <alignment horizontal="center" vertical="center"/>
    </xf>
    <xf numFmtId="44" fontId="26" fillId="4" borderId="38" xfId="1" applyFont="1" applyFill="1" applyBorder="1" applyAlignment="1">
      <alignment horizontal="center" vertical="center"/>
    </xf>
    <xf numFmtId="44" fontId="0" fillId="0" borderId="0" xfId="0" applyNumberFormat="1"/>
    <xf numFmtId="0" fontId="7" fillId="2" borderId="5" xfId="6" applyFont="1" applyFill="1" applyAlignment="1">
      <alignment horizontal="center" vertical="center"/>
    </xf>
    <xf numFmtId="43" fontId="0" fillId="0" borderId="0" xfId="0" applyNumberFormat="1"/>
    <xf numFmtId="4" fontId="0" fillId="0" borderId="0" xfId="0" applyNumberFormat="1"/>
    <xf numFmtId="43" fontId="11" fillId="0" borderId="0" xfId="0" applyNumberFormat="1" applyFont="1" applyAlignment="1">
      <alignment vertical="center"/>
    </xf>
    <xf numFmtId="44" fontId="11" fillId="0" borderId="0" xfId="0" applyNumberFormat="1" applyFont="1" applyAlignment="1">
      <alignment vertical="center"/>
    </xf>
    <xf numFmtId="4" fontId="33" fillId="0" borderId="0" xfId="0" applyNumberFormat="1" applyFont="1"/>
    <xf numFmtId="14" fontId="10" fillId="0" borderId="0" xfId="0" applyNumberFormat="1" applyFont="1"/>
    <xf numFmtId="44" fontId="10" fillId="4" borderId="3" xfId="1" applyFont="1" applyFill="1" applyBorder="1" applyAlignment="1">
      <alignment horizontal="center" vertical="center"/>
    </xf>
    <xf numFmtId="0" fontId="10" fillId="0" borderId="5" xfId="0" applyFont="1" applyBorder="1"/>
    <xf numFmtId="17" fontId="7" fillId="2" borderId="42" xfId="0" applyNumberFormat="1" applyFont="1" applyFill="1" applyBorder="1" applyAlignment="1">
      <alignment horizontal="center" vertical="center"/>
    </xf>
    <xf numFmtId="164" fontId="10" fillId="0" borderId="5" xfId="0" applyNumberFormat="1" applyFont="1" applyBorder="1"/>
    <xf numFmtId="0" fontId="7" fillId="2" borderId="8" xfId="0" applyFont="1" applyFill="1" applyBorder="1" applyAlignment="1">
      <alignment horizontal="left" vertical="center"/>
    </xf>
    <xf numFmtId="44" fontId="7" fillId="2" borderId="12" xfId="1" applyFont="1" applyFill="1" applyBorder="1" applyAlignment="1">
      <alignment horizontal="right" vertical="center"/>
    </xf>
    <xf numFmtId="0" fontId="7" fillId="2" borderId="25" xfId="0" applyFont="1" applyFill="1" applyBorder="1" applyAlignment="1">
      <alignment horizontal="left" vertical="center"/>
    </xf>
    <xf numFmtId="44" fontId="7" fillId="2" borderId="42" xfId="1" applyFont="1" applyFill="1" applyBorder="1" applyAlignment="1">
      <alignment horizontal="right" vertical="center"/>
    </xf>
    <xf numFmtId="10" fontId="7" fillId="2" borderId="42" xfId="0" applyNumberFormat="1" applyFont="1" applyFill="1" applyBorder="1" applyAlignment="1">
      <alignment horizontal="center" vertical="center"/>
    </xf>
    <xf numFmtId="44" fontId="18" fillId="3" borderId="3" xfId="1" applyFont="1" applyFill="1" applyBorder="1" applyAlignment="1">
      <alignment horizontal="left" vertical="center"/>
    </xf>
    <xf numFmtId="44" fontId="18" fillId="4" borderId="3" xfId="1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8" fillId="2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43" fontId="7" fillId="2" borderId="12" xfId="2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9" fillId="0" borderId="53" xfId="0" applyFont="1" applyBorder="1"/>
    <xf numFmtId="0" fontId="7" fillId="2" borderId="34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0" fontId="7" fillId="2" borderId="50" xfId="5" applyNumberFormat="1" applyFont="1" applyFill="1" applyBorder="1" applyAlignment="1">
      <alignment horizontal="center" vertical="center"/>
    </xf>
    <xf numFmtId="10" fontId="7" fillId="2" borderId="51" xfId="5" applyNumberFormat="1" applyFont="1" applyFill="1" applyBorder="1" applyAlignment="1">
      <alignment horizontal="center" vertical="center"/>
    </xf>
    <xf numFmtId="0" fontId="30" fillId="11" borderId="0" xfId="0" applyFont="1" applyFill="1" applyAlignment="1">
      <alignment vertical="center"/>
    </xf>
    <xf numFmtId="2" fontId="3" fillId="0" borderId="5" xfId="5" applyNumberFormat="1" applyFont="1" applyBorder="1" applyAlignment="1">
      <alignment horizontal="left"/>
    </xf>
  </cellXfs>
  <cellStyles count="15">
    <cellStyle name="Moeda" xfId="1" builtinId="4"/>
    <cellStyle name="Moeda 2" xfId="7" xr:uid="{022473E6-C3E8-4A04-B34F-70D064CF4373}"/>
    <cellStyle name="Moeda 3" xfId="11" xr:uid="{AE968C11-6D3B-43D1-8915-4159D3D054F0}"/>
    <cellStyle name="Moeda 9" xfId="13" xr:uid="{EC12E027-C47B-4B0F-A831-1E88C482A2E6}"/>
    <cellStyle name="Normal" xfId="0" builtinId="0"/>
    <cellStyle name="Normal 2" xfId="3" xr:uid="{89934119-66BE-4554-8D7F-F4FDAB4F0E33}"/>
    <cellStyle name="Normal 2 4" xfId="14" xr:uid="{0C936442-21CB-429C-83D1-2C92F8C6E7D9}"/>
    <cellStyle name="Normal 3" xfId="6" xr:uid="{2F5461D9-E01D-49D5-89C9-2CE51148B2DB}"/>
    <cellStyle name="Normal 4" xfId="9" xr:uid="{30355516-BC29-432E-8226-C88CC13473A1}"/>
    <cellStyle name="Porcentagem" xfId="5" builtinId="5"/>
    <cellStyle name="Porcentagem 2" xfId="4" xr:uid="{910739D4-B953-4402-8BEC-DCBA788BEB45}"/>
    <cellStyle name="Porcentagem 3" xfId="12" xr:uid="{0AD79ACA-1CE5-4C11-AA67-948A0014C670}"/>
    <cellStyle name="Vírgula" xfId="2" builtinId="3"/>
    <cellStyle name="Vírgula 2" xfId="8" xr:uid="{2D946CD5-1C07-429E-B529-7D3E43E0D232}"/>
    <cellStyle name="Vírgula 3" xfId="10" xr:uid="{F2F59B6F-938B-43B5-BE43-5AC4E54502EC}"/>
  </cellStyles>
  <dxfs count="0"/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[CTN-COT-365- Apresentação Orçamento.xlsx]ORÇAMENTO_EXECUTIVO!Tabela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ORÇAMENTO_EXECUTIVO!$B$23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ORÇAMENTO_EXECUTIVO!$A$24:$A$42</c:f>
              <c:strCache>
                <c:ptCount val="18"/>
                <c:pt idx="0">
                  <c:v>SUPRAESTRUTURA</c:v>
                </c:pt>
                <c:pt idx="1">
                  <c:v>INSTALAÇÕES ELÉTRICAS, HIDRÁULICAS, GLP E PREVENTIVAS</c:v>
                </c:pt>
                <c:pt idx="2">
                  <c:v>ESQUADRIAS, VIDROS E FERRAGENS</c:v>
                </c:pt>
                <c:pt idx="3">
                  <c:v>SERVIÇOS COMPLEMENTARES</c:v>
                </c:pt>
                <c:pt idx="4">
                  <c:v>ALVENARIA</c:v>
                </c:pt>
                <c:pt idx="5">
                  <c:v>INFRAESTRUTURA</c:v>
                </c:pt>
                <c:pt idx="6">
                  <c:v>GERENCIAMENTO TÉCNICO E ADMINISTRATIVO</c:v>
                </c:pt>
                <c:pt idx="7">
                  <c:v>ACABAMENTOS EM PISO E PAREDE</c:v>
                </c:pt>
                <c:pt idx="8">
                  <c:v>EQUIPAMENTOS E SISTEMAS ESPECIAIS</c:v>
                </c:pt>
                <c:pt idx="9">
                  <c:v>REVESTIMENTOS INTERNOS EM PISO E PAREDE</c:v>
                </c:pt>
                <c:pt idx="10">
                  <c:v>CONTENÇÃO</c:v>
                </c:pt>
                <c:pt idx="11">
                  <c:v>IMPREVISTOS E CONTINGENCIAS</c:v>
                </c:pt>
                <c:pt idx="12">
                  <c:v>PINTURA INTERNA</c:v>
                </c:pt>
                <c:pt idx="13">
                  <c:v>REVESTIMENTOS E ACABAMENTOS DE FACHADA</c:v>
                </c:pt>
                <c:pt idx="14">
                  <c:v>REVESTIMENTOS E ACABAMENTOS INTERNOS EM TETO</c:v>
                </c:pt>
                <c:pt idx="15">
                  <c:v>MOVIMENTAÇÃO DE TERRA</c:v>
                </c:pt>
                <c:pt idx="16">
                  <c:v>IMPERMEABILIZAÇÃO</c:v>
                </c:pt>
                <c:pt idx="17">
                  <c:v>COBERTURA</c:v>
                </c:pt>
              </c:strCache>
            </c:strRef>
          </c:cat>
          <c:val>
            <c:numRef>
              <c:f>ORÇAMENTO_EXECUTIVO!$B$24:$B$42</c:f>
              <c:numCache>
                <c:formatCode>0.00%</c:formatCode>
                <c:ptCount val="18"/>
                <c:pt idx="0">
                  <c:v>0.17808562515455903</c:v>
                </c:pt>
                <c:pt idx="1">
                  <c:v>0.10140635540599127</c:v>
                </c:pt>
                <c:pt idx="2">
                  <c:v>9.7736624053979551E-2</c:v>
                </c:pt>
                <c:pt idx="3">
                  <c:v>6.561572360315869E-2</c:v>
                </c:pt>
                <c:pt idx="4">
                  <c:v>6.4250496505989685E-2</c:v>
                </c:pt>
                <c:pt idx="5">
                  <c:v>6.3094853893212635E-2</c:v>
                </c:pt>
                <c:pt idx="6">
                  <c:v>5.6178200908956442E-2</c:v>
                </c:pt>
                <c:pt idx="7">
                  <c:v>5.6149060949362353E-2</c:v>
                </c:pt>
                <c:pt idx="8">
                  <c:v>5.3398093945191606E-2</c:v>
                </c:pt>
                <c:pt idx="9">
                  <c:v>4.877873457261047E-2</c:v>
                </c:pt>
                <c:pt idx="10">
                  <c:v>4.3693150526180148E-2</c:v>
                </c:pt>
                <c:pt idx="11">
                  <c:v>3.5823182610047591E-2</c:v>
                </c:pt>
                <c:pt idx="12">
                  <c:v>3.5501955604686559E-2</c:v>
                </c:pt>
                <c:pt idx="13">
                  <c:v>3.4711805294695648E-2</c:v>
                </c:pt>
                <c:pt idx="14">
                  <c:v>2.7238112322849024E-2</c:v>
                </c:pt>
                <c:pt idx="15">
                  <c:v>2.2147008988498803E-2</c:v>
                </c:pt>
                <c:pt idx="16">
                  <c:v>1.6191015660030707E-2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0-4724-A38A-9B706B451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3524479"/>
        <c:axId val="1116435552"/>
      </c:barChart>
      <c:catAx>
        <c:axId val="86352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6435552"/>
        <c:crosses val="autoZero"/>
        <c:auto val="1"/>
        <c:lblAlgn val="ctr"/>
        <c:lblOffset val="100"/>
        <c:noMultiLvlLbl val="0"/>
      </c:catAx>
      <c:valAx>
        <c:axId val="111643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352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106455</xdr:colOff>
      <xdr:row>22</xdr:row>
      <xdr:rowOff>124383</xdr:rowOff>
    </xdr:from>
    <xdr:to>
      <xdr:col>12</xdr:col>
      <xdr:colOff>179294</xdr:colOff>
      <xdr:row>37</xdr:row>
      <xdr:rowOff>179292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B89F9E-37F1-7EAC-6D69-CA3720DDD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COTA%2008.2021\365%20(antigo%20Afonso%20Pena)\03.%20Custo\03.5%20Custo%20-%20Determina&#231;&#227;o%20do%20or&#231;amento\2025%20-%20preliminar\CTN_COTA_365%20-%20Or&#231;amento_R00.xlsx" TargetMode="External"/><Relationship Id="rId2" Type="http://schemas.microsoft.com/office/2019/04/relationships/externalLinkLongPath" Target="CTN_COTA_365%20-%20Or&#231;amento_R00.xlsx?846EE62E" TargetMode="External"/><Relationship Id="rId1" Type="http://schemas.openxmlformats.org/officeDocument/2006/relationships/externalLinkPath" Target="file:///\\846EE62E\CTN_COTA_365%20-%20Or&#231;amento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ÃO DE OBRA"/>
      <sheetName val="Obra "/>
      <sheetName val="Ger_Tec e Adm"/>
      <sheetName val="Ger_Executivo"/>
      <sheetName val="Estrutura"/>
      <sheetName val="BASES"/>
      <sheetName val="Arquitetura"/>
      <sheetName val="ESQUADRIAS"/>
      <sheetName val="Estacas"/>
      <sheetName val="CONFERÊNCIAS"/>
      <sheetName val="Controle Tecnologico"/>
      <sheetName val="EPCs"/>
      <sheetName val="CANTEIRO"/>
      <sheetName val="Movimentação de Terra"/>
      <sheetName val="FUNDAÇÃO RASA"/>
      <sheetName val="INSTALAÇÕES"/>
      <sheetName val="SISTEMAS ESPECIAIS"/>
      <sheetName val="Louças e metais"/>
      <sheetName val="COMPLEMENTARES"/>
      <sheetName val="MO Infra"/>
      <sheetName val="Cotações"/>
      <sheetName val="Arm. Cortina"/>
      <sheetName val="Cortina"/>
      <sheetName val="Tabela de Aço"/>
      <sheetName val="Piso Arm.Térreo"/>
      <sheetName val="Pilares"/>
      <sheetName val="Vigas - T1 "/>
      <sheetName val="Lajes - T1 "/>
      <sheetName val="Escada - T1"/>
      <sheetName val="Indices de Bloco"/>
      <sheetName val="Resumo Esquadrias - T1"/>
    </sheetNames>
    <sheetDataSet>
      <sheetData sheetId="0">
        <row r="12">
          <cell r="D12">
            <v>226030.60034192004</v>
          </cell>
        </row>
        <row r="13">
          <cell r="D13">
            <v>339045.90051288006</v>
          </cell>
        </row>
        <row r="14">
          <cell r="D14">
            <v>1130153.0017096002</v>
          </cell>
        </row>
        <row r="15">
          <cell r="D15">
            <v>5424734.408206081</v>
          </cell>
        </row>
        <row r="16">
          <cell r="D16">
            <v>1130153.0017096002</v>
          </cell>
        </row>
        <row r="18">
          <cell r="E18">
            <v>904122.40136768017</v>
          </cell>
        </row>
        <row r="20">
          <cell r="D20">
            <v>452061.20068384008</v>
          </cell>
        </row>
        <row r="21">
          <cell r="D21">
            <v>791107.10119672015</v>
          </cell>
        </row>
        <row r="22">
          <cell r="D22">
            <v>2260306.0034192004</v>
          </cell>
        </row>
        <row r="23">
          <cell r="D23">
            <v>1582214.2023934403</v>
          </cell>
        </row>
        <row r="24">
          <cell r="D24">
            <v>2034275.4030772801</v>
          </cell>
        </row>
        <row r="25">
          <cell r="E25">
            <v>2712367.2041030405</v>
          </cell>
        </row>
        <row r="27">
          <cell r="D27">
            <v>1808244.8027353603</v>
          </cell>
        </row>
        <row r="28">
          <cell r="D28">
            <v>678091.80102576013</v>
          </cell>
        </row>
        <row r="29">
          <cell r="D29">
            <v>1130153.0017096002</v>
          </cell>
        </row>
      </sheetData>
      <sheetData sheetId="1">
        <row r="9">
          <cell r="E9">
            <v>17505.560000000001</v>
          </cell>
        </row>
        <row r="33">
          <cell r="C33">
            <v>3667981.1343704127</v>
          </cell>
        </row>
        <row r="34">
          <cell r="C34">
            <v>1400464.8625340608</v>
          </cell>
        </row>
        <row r="35">
          <cell r="C35">
            <v>2627275.6511329794</v>
          </cell>
        </row>
        <row r="36">
          <cell r="C36">
            <v>1381816.5856349999</v>
          </cell>
        </row>
        <row r="37">
          <cell r="C37">
            <v>6463760.8192929588</v>
          </cell>
        </row>
        <row r="38">
          <cell r="C38">
            <v>1539779.4021499997</v>
          </cell>
        </row>
        <row r="39">
          <cell r="C39">
            <v>3600893.6920000007</v>
          </cell>
        </row>
        <row r="40">
          <cell r="C40">
            <v>1083704.8630416146</v>
          </cell>
        </row>
        <row r="41">
          <cell r="C41">
            <v>1426224.3488217001</v>
          </cell>
        </row>
        <row r="42">
          <cell r="C42">
            <v>349137.95659999998</v>
          </cell>
        </row>
        <row r="43">
          <cell r="C43">
            <v>511572.58159000007</v>
          </cell>
        </row>
        <row r="44">
          <cell r="C44">
            <v>2539181.4009000002</v>
          </cell>
        </row>
        <row r="45">
          <cell r="C45">
            <v>786426.23940044013</v>
          </cell>
        </row>
        <row r="46">
          <cell r="C46">
            <v>561222.52478157997</v>
          </cell>
        </row>
        <row r="47">
          <cell r="C47">
            <v>5007297.9494829997</v>
          </cell>
        </row>
        <row r="48">
          <cell r="C48">
            <v>510955.57</v>
          </cell>
        </row>
        <row r="49">
          <cell r="C49">
            <v>2305575.008879907</v>
          </cell>
        </row>
        <row r="50">
          <cell r="C50">
            <v>1941982.0046400004</v>
          </cell>
        </row>
        <row r="51">
          <cell r="C51">
            <v>22603060.034191996</v>
          </cell>
        </row>
        <row r="52">
          <cell r="C52">
            <v>680745.42921766511</v>
          </cell>
        </row>
      </sheetData>
      <sheetData sheetId="2" refreshError="1"/>
      <sheetData sheetId="3">
        <row r="166">
          <cell r="N166">
            <v>261847.99293540002</v>
          </cell>
        </row>
        <row r="168">
          <cell r="N168">
            <v>569913.34308630007</v>
          </cell>
        </row>
        <row r="189">
          <cell r="N189">
            <v>795882.17999999993</v>
          </cell>
        </row>
        <row r="193">
          <cell r="N193">
            <v>67635.565700000006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Bragatto" refreshedDate="45601.336977777777" createdVersion="8" refreshedVersion="7" minRefreshableVersion="3" recordCount="18" xr:uid="{7FA12C78-9C2A-45C7-8AD9-221429429376}">
  <cacheSource type="worksheet">
    <worksheetSource ref="A1:D18" sheet="ORÇAMENTO_EXECUTIVO"/>
  </cacheSource>
  <cacheFields count="4">
    <cacheField name="ETAPA" numFmtId="0">
      <sharedItems count="18">
        <s v="GERENCIAMENTO TÉCNICO E ADMINISTRATIVO"/>
        <s v="MOVIMENTAÇÃO DE TERRA"/>
        <s v="INFRAESTRUTURA"/>
        <s v="CONTENÇÃO"/>
        <s v="SUPRAESTRUTURA"/>
        <s v="ALVENARIA"/>
        <s v="INSTALAÇÕES ELÉTRICAS, HIDRÁULICAS, GLP E PREVENTIVAS"/>
        <s v="EQUIPAMENTOS E SISTEMAS ESPECIAIS"/>
        <s v="IMPERMEABILIZAÇÃO"/>
        <s v="REVESTIMENTOS INTERNOS EM PISO E PAREDE"/>
        <s v="REVESTIMENTOS E ACABAMENTOS INTERNOS EM TETO"/>
        <s v="ACABAMENTOS EM PISO E PAREDE"/>
        <s v="PINTURA INTERNA"/>
        <s v="ESQUADRIAS, VIDROS E FERRAGENS"/>
        <s v="COBERTURA"/>
        <s v="REVESTIMENTOS E ACABAMENTOS DE FACHADA"/>
        <s v="SERVIÇOS COMPLEMENTARES"/>
        <s v="IMPREVISTOS E CONTINGENCIAS"/>
      </sharedItems>
    </cacheField>
    <cacheField name="VALOR ORÇADO" numFmtId="44">
      <sharedItems containsSemiMixedTypes="0" containsString="0" containsNumber="1" minValue="0" maxValue="10513783.641754214"/>
    </cacheField>
    <cacheField name="%" numFmtId="10">
      <sharedItems containsSemiMixedTypes="0" containsString="0" containsNumber="1" minValue="0" maxValue="0.17808562515455903"/>
    </cacheField>
    <cacheField name="VALOR / m²" numFmtId="44">
      <sharedItems containsSemiMixedTypes="0" containsString="0" containsNumber="1" minValue="0" maxValue="647.722337501098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n v="3316637.4277943638"/>
    <n v="5.6178200908956442E-2"/>
    <n v="204.32797749832361"/>
  </r>
  <r>
    <x v="1"/>
    <n v="1307510.7023094911"/>
    <n v="2.2147008988498803E-2"/>
    <n v="80.551770634144617"/>
  </r>
  <r>
    <x v="2"/>
    <n v="3724981.4080479634"/>
    <n v="6.3094853893212635E-2"/>
    <n v="229.48481222183457"/>
  </r>
  <r>
    <x v="3"/>
    <n v="2579547.5118228379"/>
    <n v="4.3693150526180148E-2"/>
    <n v="158.91810227267106"/>
  </r>
  <r>
    <x v="4"/>
    <n v="10513783.641754214"/>
    <n v="0.17808562515455903"/>
    <n v="647.72233750109899"/>
  </r>
  <r>
    <x v="5"/>
    <n v="3793208.0062778005"/>
    <n v="6.4250496505989685E-2"/>
    <n v="233.688046108984"/>
  </r>
  <r>
    <x v="6"/>
    <n v="5986808.19809072"/>
    <n v="0.10140635540599127"/>
    <n v="368.82910399999997"/>
  </r>
  <r>
    <x v="7"/>
    <n v="3152506.0270000002"/>
    <n v="5.3398093945191606E-2"/>
    <n v="194.2163394617892"/>
  </r>
  <r>
    <x v="8"/>
    <n v="955881.95533512009"/>
    <n v="1.6191015660030707E-2"/>
    <n v="58.888989500023726"/>
  </r>
  <r>
    <x v="9"/>
    <n v="2879789.2090946995"/>
    <n v="4.877873457261047E-2"/>
    <n v="177.41508305510803"/>
  </r>
  <r>
    <x v="10"/>
    <n v="1608078.2462014602"/>
    <n v="2.7238112322849024E-2"/>
    <n v="99.068825839038254"/>
  </r>
  <r>
    <x v="11"/>
    <n v="3314917.06866804"/>
    <n v="5.6149060949362353E-2"/>
    <n v="204.22199138784111"/>
  </r>
  <r>
    <x v="12"/>
    <n v="2095957.3787209874"/>
    <n v="3.5501955604686559E-2"/>
    <n v="129.12558018183836"/>
  </r>
  <r>
    <x v="13"/>
    <n v="5770155.3299834393"/>
    <n v="9.7736624053979551E-2"/>
    <n v="355.48177758180572"/>
  </r>
  <r>
    <x v="14"/>
    <n v="0"/>
    <n v="0"/>
    <n v="0"/>
  </r>
  <r>
    <x v="15"/>
    <n v="2049308.6422129201"/>
    <n v="3.4711805294695648E-2"/>
    <n v="126.25169294180792"/>
  </r>
  <r>
    <x v="16"/>
    <n v="3873808.0115226801"/>
    <n v="6.561572360315869E-2"/>
    <n v="238.65356809219114"/>
  </r>
  <r>
    <x v="17"/>
    <n v="2114921.9146363558"/>
    <n v="3.5823182610047591E-2"/>
    <n v="130.293927748354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93286-33A9-46B8-8953-F477485FA991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1">
  <location ref="A23:B42" firstHeaderRow="1" firstDataRow="1" firstDataCol="1"/>
  <pivotFields count="4">
    <pivotField axis="axisRow" showAll="0" sortType="descending">
      <items count="19">
        <item x="11"/>
        <item x="5"/>
        <item x="14"/>
        <item x="7"/>
        <item x="13"/>
        <item x="0"/>
        <item x="8"/>
        <item x="17"/>
        <item x="2"/>
        <item x="6"/>
        <item x="1"/>
        <item x="12"/>
        <item x="15"/>
        <item x="10"/>
        <item x="9"/>
        <item x="16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0" showAll="0"/>
    <pivotField numFmtId="164" showAll="0"/>
  </pivotFields>
  <rowFields count="1">
    <field x="0"/>
  </rowFields>
  <rowItems count="19">
    <i>
      <x v="16"/>
    </i>
    <i>
      <x v="9"/>
    </i>
    <i>
      <x v="4"/>
    </i>
    <i>
      <x v="15"/>
    </i>
    <i>
      <x v="1"/>
    </i>
    <i>
      <x v="8"/>
    </i>
    <i>
      <x v="5"/>
    </i>
    <i>
      <x/>
    </i>
    <i>
      <x v="3"/>
    </i>
    <i>
      <x v="14"/>
    </i>
    <i>
      <x v="17"/>
    </i>
    <i>
      <x v="7"/>
    </i>
    <i>
      <x v="11"/>
    </i>
    <i>
      <x v="12"/>
    </i>
    <i>
      <x v="13"/>
    </i>
    <i>
      <x v="10"/>
    </i>
    <i>
      <x v="6"/>
    </i>
    <i>
      <x v="2"/>
    </i>
    <i t="grand">
      <x/>
    </i>
  </rowItems>
  <colItems count="1">
    <i/>
  </colItems>
  <dataFields count="1">
    <dataField name="Soma de %" fld="2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101B-E28A-46B6-8A8A-3FE047E46941}">
  <dimension ref="A1:S979"/>
  <sheetViews>
    <sheetView showGridLines="0" zoomScale="80" zoomScaleNormal="80" workbookViewId="0">
      <selection activeCell="B2" sqref="B2"/>
    </sheetView>
  </sheetViews>
  <sheetFormatPr defaultColWidth="14.42578125" defaultRowHeight="15" customHeight="1" x14ac:dyDescent="0.25"/>
  <cols>
    <col min="1" max="1" width="55" bestFit="1" customWidth="1"/>
    <col min="2" max="2" width="22.85546875" bestFit="1" customWidth="1"/>
    <col min="3" max="3" width="24" bestFit="1" customWidth="1"/>
    <col min="4" max="4" width="23.28515625" bestFit="1" customWidth="1"/>
    <col min="5" max="5" width="14.28515625" style="29" customWidth="1"/>
    <col min="6" max="6" width="16.85546875" style="29" bestFit="1" customWidth="1"/>
    <col min="7" max="7" width="17.7109375" customWidth="1"/>
    <col min="8" max="8" width="19.28515625" bestFit="1" customWidth="1"/>
    <col min="9" max="9" width="18.5703125" customWidth="1"/>
    <col min="10" max="19" width="9.140625" customWidth="1"/>
  </cols>
  <sheetData>
    <row r="1" spans="1:19" ht="22.5" customHeight="1" thickBot="1" x14ac:dyDescent="0.3">
      <c r="A1" s="61" t="s">
        <v>0</v>
      </c>
      <c r="B1" s="62" t="s">
        <v>79</v>
      </c>
      <c r="C1" s="62" t="s">
        <v>80</v>
      </c>
      <c r="D1" s="62" t="s">
        <v>62</v>
      </c>
      <c r="E1" s="62" t="s">
        <v>34</v>
      </c>
      <c r="F1" s="62" t="s">
        <v>3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22.5" customHeight="1" thickBot="1" x14ac:dyDescent="0.3">
      <c r="A2" s="59" t="s">
        <v>35</v>
      </c>
      <c r="B2" s="112">
        <f>'[1]Obra '!$C$33</f>
        <v>3667981.1343704127</v>
      </c>
      <c r="C2" s="112">
        <f>'[1]MÃO DE OBRA'!$D$12</f>
        <v>226030.60034192004</v>
      </c>
      <c r="D2" s="112">
        <f>C2+B2</f>
        <v>3894011.7347123325</v>
      </c>
      <c r="E2" s="60">
        <f t="shared" ref="E2:E18" si="0">D2/D$19</f>
        <v>6.3847710698643922E-2</v>
      </c>
      <c r="F2" s="99">
        <f>D2/'MÃO DE OBRA'!I$2</f>
        <v>222.44428254293678</v>
      </c>
      <c r="G2" s="9"/>
      <c r="H2" s="32" t="s">
        <v>43</v>
      </c>
      <c r="I2" s="82">
        <f>'[1]Obra '!$E$9</f>
        <v>17505.560000000001</v>
      </c>
      <c r="J2" s="33" t="s">
        <v>44</v>
      </c>
      <c r="K2" s="9"/>
      <c r="L2" s="9"/>
      <c r="M2" s="9"/>
      <c r="N2" s="9"/>
      <c r="O2" s="9"/>
      <c r="P2" s="9"/>
      <c r="Q2" s="9"/>
      <c r="R2" s="9"/>
      <c r="S2" s="9"/>
    </row>
    <row r="3" spans="1:19" ht="19.5" customHeight="1" x14ac:dyDescent="0.25">
      <c r="A3" s="2" t="s">
        <v>4</v>
      </c>
      <c r="B3" s="113">
        <f>'[1]Obra '!$C$34</f>
        <v>1400464.8625340608</v>
      </c>
      <c r="C3" s="113">
        <v>0</v>
      </c>
      <c r="D3" s="113">
        <f>C3+B3</f>
        <v>1400464.8625340608</v>
      </c>
      <c r="E3" s="11">
        <f t="shared" si="0"/>
        <v>2.2962559303457371E-2</v>
      </c>
      <c r="F3" s="100">
        <f>D3/'MÃO DE OBRA'!I$2</f>
        <v>80.001146066396089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19.5" customHeight="1" x14ac:dyDescent="0.25">
      <c r="A4" s="59" t="s">
        <v>5</v>
      </c>
      <c r="B4" s="112">
        <f>'[1]Obra '!$C$35</f>
        <v>2627275.6511329794</v>
      </c>
      <c r="C4" s="112">
        <f>'[1]MÃO DE OBRA'!$D$14</f>
        <v>1130153.0017096002</v>
      </c>
      <c r="D4" s="112">
        <f t="shared" ref="D4:D18" si="1">C4+B4</f>
        <v>3757428.6528425794</v>
      </c>
      <c r="E4" s="60">
        <f t="shared" si="0"/>
        <v>6.1608242075626679E-2</v>
      </c>
      <c r="F4" s="99">
        <f>D4/'MÃO DE OBRA'!I$2</f>
        <v>214.64201389973124</v>
      </c>
      <c r="G4" s="9"/>
      <c r="H4" s="12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ht="19.5" customHeight="1" x14ac:dyDescent="0.25">
      <c r="A5" s="2" t="s">
        <v>74</v>
      </c>
      <c r="B5" s="113">
        <f>'[1]Obra '!$C$36</f>
        <v>1381816.5856349999</v>
      </c>
      <c r="C5" s="113">
        <f>'[1]MÃO DE OBRA'!$D$13</f>
        <v>339045.90051288006</v>
      </c>
      <c r="D5" s="113">
        <f t="shared" si="1"/>
        <v>1720862.4861478801</v>
      </c>
      <c r="E5" s="11">
        <f t="shared" si="0"/>
        <v>2.8215921690291409E-2</v>
      </c>
      <c r="F5" s="100">
        <f>D5/'MÃO DE OBRA'!I$2</f>
        <v>98.303766697430987</v>
      </c>
      <c r="G5" s="9"/>
      <c r="H5" s="12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ht="19.5" customHeight="1" x14ac:dyDescent="0.25">
      <c r="A6" s="59" t="s">
        <v>6</v>
      </c>
      <c r="B6" s="112">
        <f>'[1]Obra '!$C$37</f>
        <v>6463760.8192929588</v>
      </c>
      <c r="C6" s="112">
        <f>'[1]MÃO DE OBRA'!$D$15</f>
        <v>5424734.408206081</v>
      </c>
      <c r="D6" s="112">
        <f t="shared" si="1"/>
        <v>11888495.22749904</v>
      </c>
      <c r="E6" s="60">
        <f t="shared" si="0"/>
        <v>0.19492832986638192</v>
      </c>
      <c r="F6" s="99">
        <f>D6/'MÃO DE OBRA'!I$2</f>
        <v>679.12681613721804</v>
      </c>
      <c r="G6" s="9"/>
      <c r="H6" s="12">
        <f>C6/ORÇAMENTO_EXECUTIVO!G2</f>
        <v>309.88636800000006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ht="19.5" customHeight="1" x14ac:dyDescent="0.25">
      <c r="A7" s="2" t="s">
        <v>7</v>
      </c>
      <c r="B7" s="113">
        <f>'[1]Obra '!$C$38</f>
        <v>1539779.4021499997</v>
      </c>
      <c r="C7" s="113">
        <f>'[1]MÃO DE OBRA'!$D$16</f>
        <v>1130153.0017096002</v>
      </c>
      <c r="D7" s="113">
        <f t="shared" si="1"/>
        <v>2669932.4038596</v>
      </c>
      <c r="E7" s="11">
        <f t="shared" si="0"/>
        <v>4.3777236259190666E-2</v>
      </c>
      <c r="F7" s="100">
        <f>D7/'MÃO DE OBRA'!I$2</f>
        <v>152.51910843523999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ht="19.5" customHeight="1" x14ac:dyDescent="0.25">
      <c r="A8" s="59" t="s">
        <v>8</v>
      </c>
      <c r="B8" s="112">
        <f>'[1]Obra '!$C$39+'[1]Obra '!$C$48</f>
        <v>4111849.2620000006</v>
      </c>
      <c r="C8" s="112">
        <f>'[1]MÃO DE OBRA'!$E$25</f>
        <v>2712367.2041030405</v>
      </c>
      <c r="D8" s="112">
        <f t="shared" si="1"/>
        <v>6824216.4661030415</v>
      </c>
      <c r="E8" s="60">
        <f t="shared" si="0"/>
        <v>0.1118924719174882</v>
      </c>
      <c r="F8" s="99">
        <f>D8/'MÃO DE OBRA'!I$2</f>
        <v>389.8313716386703</v>
      </c>
      <c r="G8" s="9"/>
      <c r="H8" s="14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ht="19.5" customHeight="1" x14ac:dyDescent="0.25">
      <c r="A9" s="2" t="s">
        <v>40</v>
      </c>
      <c r="B9" s="113">
        <f>'[1]Obra '!$C$40+'[1]Obra '!$C$49</f>
        <v>3389279.8719215216</v>
      </c>
      <c r="C9" s="113">
        <v>0</v>
      </c>
      <c r="D9" s="113">
        <f t="shared" si="1"/>
        <v>3389279.8719215216</v>
      </c>
      <c r="E9" s="11">
        <f t="shared" si="0"/>
        <v>5.5571933389453043E-2</v>
      </c>
      <c r="F9" s="100">
        <f>D9/'MÃO DE OBRA'!I$2</f>
        <v>193.61162236006854</v>
      </c>
      <c r="G9" s="28"/>
      <c r="H9" s="15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ht="19.5" customHeight="1" x14ac:dyDescent="0.25">
      <c r="A10" s="59" t="s">
        <v>9</v>
      </c>
      <c r="B10" s="112">
        <f>'[1]Obra '!$C$43</f>
        <v>511572.58159000007</v>
      </c>
      <c r="C10" s="112">
        <f>'[1]MÃO DE OBRA'!$D$20</f>
        <v>452061.20068384008</v>
      </c>
      <c r="D10" s="112">
        <f t="shared" si="1"/>
        <v>963633.78227384016</v>
      </c>
      <c r="E10" s="60">
        <f t="shared" si="0"/>
        <v>1.5800109281027975E-2</v>
      </c>
      <c r="F10" s="99">
        <f>D10/'MÃO DE OBRA'!I$2</f>
        <v>55.047298245462592</v>
      </c>
      <c r="G10" s="9"/>
      <c r="H10" s="14" t="s">
        <v>139</v>
      </c>
      <c r="I10" s="30" t="s">
        <v>140</v>
      </c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9" ht="19.5" customHeight="1" x14ac:dyDescent="0.25">
      <c r="A11" s="2" t="s">
        <v>36</v>
      </c>
      <c r="B11" s="113">
        <f>H11+H12</f>
        <v>1695279.0817217</v>
      </c>
      <c r="C11" s="113">
        <f>'[1]MÃO DE OBRA'!$D$22</f>
        <v>2260306.0034192004</v>
      </c>
      <c r="D11" s="113">
        <f t="shared" si="1"/>
        <v>3955585.0851409007</v>
      </c>
      <c r="E11" s="11">
        <f t="shared" si="0"/>
        <v>6.4857290980558466E-2</v>
      </c>
      <c r="F11" s="100">
        <f>D11/'MÃO DE OBRA'!I$2</f>
        <v>225.96164219487412</v>
      </c>
      <c r="G11" s="9" t="s">
        <v>137</v>
      </c>
      <c r="H11" s="13">
        <f>[1]Ger_Executivo!$N$189+[1]Ger_Executivo!$N$193</f>
        <v>863517.74569999997</v>
      </c>
      <c r="I11" s="187">
        <f>'[1]Obra '!$C$44-H11</f>
        <v>1675663.6552000004</v>
      </c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ht="19.5" customHeight="1" x14ac:dyDescent="0.25">
      <c r="A12" s="59" t="s">
        <v>37</v>
      </c>
      <c r="B12" s="112">
        <f>'[1]Obra '!$C$42</f>
        <v>349137.95659999998</v>
      </c>
      <c r="C12" s="112">
        <f>'[1]MÃO DE OBRA'!$D$21</f>
        <v>791107.10119672015</v>
      </c>
      <c r="D12" s="112">
        <f t="shared" si="1"/>
        <v>1140245.0577967202</v>
      </c>
      <c r="E12" s="60">
        <f t="shared" si="0"/>
        <v>1.869589552768559E-2</v>
      </c>
      <c r="F12" s="99">
        <f>D12/'MÃO DE OBRA'!I$2</f>
        <v>65.136165755149804</v>
      </c>
      <c r="G12" s="9" t="s">
        <v>138</v>
      </c>
      <c r="H12" s="18">
        <f>[1]Ger_Executivo!$N$166+[1]Ger_Executivo!$N$168</f>
        <v>831761.33602170006</v>
      </c>
      <c r="I12" s="31">
        <f>'[1]Obra '!$C$41-H12</f>
        <v>594463.01280000003</v>
      </c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 ht="19.5" customHeight="1" x14ac:dyDescent="0.25">
      <c r="A13" s="2" t="s">
        <v>10</v>
      </c>
      <c r="B13" s="113">
        <f>I11+I12</f>
        <v>2270126.6680000005</v>
      </c>
      <c r="C13" s="113">
        <f>'[1]MÃO DE OBRA'!$D$24</f>
        <v>2034275.4030772801</v>
      </c>
      <c r="D13" s="113">
        <f t="shared" si="1"/>
        <v>4304402.0710772807</v>
      </c>
      <c r="E13" s="11">
        <f t="shared" si="0"/>
        <v>7.0576628137739433E-2</v>
      </c>
      <c r="F13" s="100">
        <f>D13/'MÃO DE OBRA'!I$2</f>
        <v>245.88771059464995</v>
      </c>
      <c r="G13" s="9"/>
      <c r="H13" s="9"/>
      <c r="I13" s="13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ht="19.5" customHeight="1" x14ac:dyDescent="0.25">
      <c r="A14" s="59" t="s">
        <v>11</v>
      </c>
      <c r="B14" s="112">
        <f>'[1]Obra '!$C$45</f>
        <v>786426.23940044013</v>
      </c>
      <c r="C14" s="112">
        <f>'[1]MÃO DE OBRA'!$D$27</f>
        <v>1808244.8027353603</v>
      </c>
      <c r="D14" s="112">
        <f t="shared" si="1"/>
        <v>2594671.0421358002</v>
      </c>
      <c r="E14" s="60">
        <f t="shared" si="0"/>
        <v>4.2543222091413084E-2</v>
      </c>
      <c r="F14" s="99">
        <f>D14/'MÃO DE OBRA'!I$2</f>
        <v>148.21982513760199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ht="19.5" customHeight="1" x14ac:dyDescent="0.25">
      <c r="A15" s="2" t="s">
        <v>12</v>
      </c>
      <c r="B15" s="113">
        <f>'[1]Obra '!$C$47</f>
        <v>5007297.9494829997</v>
      </c>
      <c r="C15" s="113">
        <f>'[1]MÃO DE OBRA'!$E$18</f>
        <v>904122.40136768017</v>
      </c>
      <c r="D15" s="113">
        <f t="shared" si="1"/>
        <v>5911420.3508506799</v>
      </c>
      <c r="E15" s="11">
        <f t="shared" si="0"/>
        <v>9.6925916533498274E-2</v>
      </c>
      <c r="F15" s="100">
        <f>D15/'MÃO DE OBRA'!I$2</f>
        <v>337.68816026740529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ht="19.149999999999999" customHeight="1" x14ac:dyDescent="0.25">
      <c r="A16" s="59" t="s">
        <v>13</v>
      </c>
      <c r="B16" s="112">
        <f>'[1]Obra '!$C$46</f>
        <v>561222.52478157997</v>
      </c>
      <c r="C16" s="112">
        <f>'[1]MÃO DE OBRA'!$D$23</f>
        <v>1582214.2023934403</v>
      </c>
      <c r="D16" s="112">
        <f t="shared" si="1"/>
        <v>2143436.7271750201</v>
      </c>
      <c r="E16" s="60">
        <f t="shared" si="0"/>
        <v>3.5144611105705569E-2</v>
      </c>
      <c r="F16" s="99">
        <f>D16/'MÃO DE OBRA'!I$2</f>
        <v>122.44319674292167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ht="19.5" customHeight="1" x14ac:dyDescent="0.25">
      <c r="A17" s="2" t="s">
        <v>14</v>
      </c>
      <c r="B17" s="113">
        <f>'[1]Obra '!$C$50</f>
        <v>1941982.0046400004</v>
      </c>
      <c r="C17" s="113">
        <f>'[1]MÃO DE OBRA'!$D$28</f>
        <v>678091.80102576013</v>
      </c>
      <c r="D17" s="113">
        <f t="shared" si="1"/>
        <v>2620073.8056657603</v>
      </c>
      <c r="E17" s="11">
        <f t="shared" si="0"/>
        <v>4.2959735550360527E-2</v>
      </c>
      <c r="F17" s="100">
        <f>D17/'MÃO DE OBRA'!I$2</f>
        <v>149.67095058174431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ht="19.5" customHeight="1" x14ac:dyDescent="0.25">
      <c r="A18" s="59" t="s">
        <v>38</v>
      </c>
      <c r="B18" s="112">
        <f>'[1]Obra '!$C$52</f>
        <v>680745.42921766511</v>
      </c>
      <c r="C18" s="112">
        <f>'[1]MÃO DE OBRA'!$D$29</f>
        <v>1130153.0017096002</v>
      </c>
      <c r="D18" s="112">
        <f t="shared" si="1"/>
        <v>1810898.4309272654</v>
      </c>
      <c r="E18" s="60">
        <f t="shared" si="0"/>
        <v>2.9692185591478123E-2</v>
      </c>
      <c r="F18" s="99">
        <f>D18/'MÃO DE OBRA'!I$2</f>
        <v>103.44704373509133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19" ht="19.5" customHeight="1" x14ac:dyDescent="0.25">
      <c r="A19" s="61" t="s">
        <v>15</v>
      </c>
      <c r="B19" s="101">
        <f>SUM(B2:B18)</f>
        <v>38385998.02447132</v>
      </c>
      <c r="C19" s="101">
        <f>SUM(C2:C18)</f>
        <v>22603060.034192</v>
      </c>
      <c r="D19" s="101">
        <f>SUM(D2:D18)</f>
        <v>60989058.058663309</v>
      </c>
      <c r="E19" s="64">
        <f t="shared" ref="E19" si="2">SUM(E2:E18)</f>
        <v>1</v>
      </c>
      <c r="F19" s="101">
        <f>SUM(F2:F18)</f>
        <v>3483.9821210325936</v>
      </c>
      <c r="G19" s="13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ht="19.5" customHeight="1" x14ac:dyDescent="0.25">
      <c r="A20" s="61" t="s">
        <v>54</v>
      </c>
      <c r="B20" s="63">
        <v>2965.54</v>
      </c>
      <c r="C20" s="63"/>
      <c r="D20" s="63"/>
      <c r="E20" s="66">
        <v>45839</v>
      </c>
      <c r="F20" s="65">
        <f>+F19/B20</f>
        <v>1.1748221642711256</v>
      </c>
      <c r="G20" s="13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ht="22.5" customHeight="1" x14ac:dyDescent="0.25">
      <c r="A21" s="9"/>
      <c r="B21" s="9"/>
      <c r="C21" s="9"/>
      <c r="D21" s="9"/>
      <c r="E21" s="14"/>
      <c r="F21" s="14"/>
      <c r="G21" s="9"/>
      <c r="H21" s="13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ht="19.5" customHeight="1" x14ac:dyDescent="0.25">
      <c r="A22" s="9"/>
      <c r="B22" s="9"/>
      <c r="C22" s="9"/>
      <c r="D22" s="9"/>
      <c r="E22" s="14"/>
      <c r="F22" s="14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 ht="19.5" customHeight="1" x14ac:dyDescent="0.25">
      <c r="A23" s="9"/>
      <c r="B23" s="9"/>
      <c r="C23" s="9"/>
      <c r="D23" s="188"/>
      <c r="E23" s="14"/>
      <c r="F23" s="14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ht="19.5" customHeight="1" x14ac:dyDescent="0.25">
      <c r="A24" s="9"/>
      <c r="B24" s="9"/>
      <c r="C24" s="9"/>
      <c r="D24" s="9"/>
      <c r="E24" s="14"/>
      <c r="F24" s="14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ht="19.5" customHeight="1" x14ac:dyDescent="0.25">
      <c r="A25" s="9"/>
      <c r="B25" s="9"/>
      <c r="C25" s="9"/>
      <c r="D25" s="9"/>
      <c r="E25" s="14"/>
      <c r="F25" s="14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9.5" customHeight="1" x14ac:dyDescent="0.25">
      <c r="A26" s="9"/>
      <c r="B26" s="9"/>
      <c r="C26" s="9"/>
      <c r="D26" s="9"/>
      <c r="E26" s="14"/>
      <c r="F26" s="14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ht="19.5" customHeight="1" x14ac:dyDescent="0.25">
      <c r="A27" s="9"/>
      <c r="B27" s="9"/>
      <c r="C27" s="9"/>
      <c r="D27" s="9"/>
      <c r="E27" s="14"/>
      <c r="F27" s="14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ht="19.5" customHeight="1" x14ac:dyDescent="0.25">
      <c r="A28" s="9"/>
      <c r="B28" s="9"/>
      <c r="C28" s="9"/>
      <c r="D28" s="9"/>
      <c r="E28" s="14"/>
      <c r="F28" s="14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ht="19.5" customHeight="1" x14ac:dyDescent="0.25">
      <c r="A29" s="9"/>
      <c r="B29" s="9"/>
      <c r="C29" s="9"/>
      <c r="D29" s="9"/>
      <c r="E29" s="14"/>
      <c r="F29" s="14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ht="19.5" customHeight="1" x14ac:dyDescent="0.25">
      <c r="A30" s="9"/>
      <c r="B30" s="9"/>
      <c r="C30" s="9"/>
      <c r="D30" s="9"/>
      <c r="E30" s="14"/>
      <c r="F30" s="14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ht="19.5" customHeight="1" x14ac:dyDescent="0.25">
      <c r="A31" s="9"/>
      <c r="B31" s="9"/>
      <c r="C31" s="9"/>
      <c r="D31" s="9"/>
      <c r="E31" s="14"/>
      <c r="F31" s="14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ht="19.5" customHeight="1" x14ac:dyDescent="0.25">
      <c r="A32" s="9"/>
      <c r="B32" s="9"/>
      <c r="C32" s="9"/>
      <c r="D32" s="9"/>
      <c r="E32" s="14"/>
      <c r="F32" s="14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ht="19.5" customHeight="1" x14ac:dyDescent="0.25">
      <c r="A33" s="9"/>
      <c r="B33" s="9"/>
      <c r="C33" s="9"/>
      <c r="D33" s="9"/>
      <c r="E33" s="14"/>
      <c r="F33" s="14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ht="19.5" customHeight="1" x14ac:dyDescent="0.25">
      <c r="A34" s="9"/>
      <c r="B34" s="9"/>
      <c r="C34" s="9"/>
      <c r="D34" s="9"/>
      <c r="E34" s="14"/>
      <c r="F34" s="14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ht="19.5" customHeight="1" x14ac:dyDescent="0.25">
      <c r="A35" s="9"/>
      <c r="B35" s="9"/>
      <c r="C35" s="9"/>
      <c r="D35" s="9"/>
      <c r="E35" s="14"/>
      <c r="F35" s="14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ht="19.5" customHeight="1" x14ac:dyDescent="0.25">
      <c r="A36" s="9"/>
      <c r="B36" s="9"/>
      <c r="C36" s="9"/>
      <c r="D36" s="9"/>
      <c r="E36" s="14"/>
      <c r="F36" s="14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ht="19.5" customHeight="1" x14ac:dyDescent="0.25">
      <c r="A37" s="9"/>
      <c r="B37" s="9"/>
      <c r="C37" s="9"/>
      <c r="D37" s="9"/>
      <c r="E37" s="14"/>
      <c r="F37" s="14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ht="19.5" customHeight="1" x14ac:dyDescent="0.25">
      <c r="A38" s="9"/>
      <c r="B38" s="9"/>
      <c r="C38" s="9"/>
      <c r="D38" s="9"/>
      <c r="E38" s="14"/>
      <c r="F38" s="14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19" ht="19.5" customHeight="1" x14ac:dyDescent="0.25">
      <c r="A39" s="9"/>
      <c r="B39" s="9"/>
      <c r="C39" s="9"/>
      <c r="D39" s="9"/>
      <c r="E39" s="14"/>
      <c r="F39" s="14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ht="19.5" customHeight="1" x14ac:dyDescent="0.25">
      <c r="A40" s="9"/>
      <c r="B40" s="9"/>
      <c r="C40" s="9"/>
      <c r="D40" s="9"/>
      <c r="E40" s="14"/>
      <c r="F40" s="14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ht="19.5" customHeight="1" x14ac:dyDescent="0.25">
      <c r="A41" s="9"/>
      <c r="B41" s="9"/>
      <c r="C41" s="9"/>
      <c r="D41" s="9"/>
      <c r="E41" s="14"/>
      <c r="F41" s="14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ht="19.5" customHeight="1" x14ac:dyDescent="0.25">
      <c r="A42" s="9"/>
      <c r="B42" s="9"/>
      <c r="C42" s="9"/>
      <c r="D42" s="9"/>
      <c r="E42" s="14"/>
      <c r="F42" s="14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ht="19.5" customHeight="1" x14ac:dyDescent="0.25">
      <c r="A43" s="9"/>
      <c r="B43" s="9"/>
      <c r="C43" s="9"/>
      <c r="D43" s="9"/>
      <c r="E43" s="14"/>
      <c r="F43" s="14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19" ht="19.5" customHeight="1" x14ac:dyDescent="0.25">
      <c r="A44" s="9"/>
      <c r="B44" s="9"/>
      <c r="C44" s="9"/>
      <c r="D44" s="9"/>
      <c r="E44" s="14"/>
      <c r="F44" s="14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19" ht="19.5" customHeight="1" x14ac:dyDescent="0.25">
      <c r="A45" s="9"/>
      <c r="B45" s="9"/>
      <c r="C45" s="9"/>
      <c r="D45" s="9"/>
      <c r="E45" s="14"/>
      <c r="F45" s="14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ht="19.5" customHeight="1" x14ac:dyDescent="0.25">
      <c r="A46" s="9"/>
      <c r="B46" s="9"/>
      <c r="C46" s="9"/>
      <c r="D46" s="9"/>
      <c r="E46" s="14"/>
      <c r="F46" s="14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 ht="19.5" customHeight="1" x14ac:dyDescent="0.25">
      <c r="A47" s="9"/>
      <c r="B47" s="9"/>
      <c r="C47" s="9"/>
      <c r="D47" s="9"/>
      <c r="E47" s="14"/>
      <c r="F47" s="14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19" ht="19.5" customHeight="1" x14ac:dyDescent="0.25">
      <c r="A48" s="9"/>
      <c r="B48" s="9"/>
      <c r="C48" s="9"/>
      <c r="D48" s="9"/>
      <c r="E48" s="14"/>
      <c r="F48" s="14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 ht="19.5" customHeight="1" x14ac:dyDescent="0.25">
      <c r="A49" s="9"/>
      <c r="B49" s="9"/>
      <c r="C49" s="9"/>
      <c r="D49" s="9"/>
      <c r="E49" s="14"/>
      <c r="F49" s="14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ht="19.5" customHeight="1" x14ac:dyDescent="0.25">
      <c r="A50" s="9"/>
      <c r="B50" s="9"/>
      <c r="C50" s="9"/>
      <c r="D50" s="9"/>
      <c r="E50" s="14"/>
      <c r="F50" s="14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19" ht="19.5" customHeight="1" x14ac:dyDescent="0.25">
      <c r="A51" s="9"/>
      <c r="B51" s="9"/>
      <c r="C51" s="9"/>
      <c r="D51" s="9"/>
      <c r="E51" s="14"/>
      <c r="F51" s="14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ht="19.5" customHeight="1" x14ac:dyDescent="0.25">
      <c r="A52" s="9"/>
      <c r="B52" s="9"/>
      <c r="C52" s="9"/>
      <c r="D52" s="9"/>
      <c r="E52" s="14"/>
      <c r="F52" s="14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19" ht="19.5" customHeight="1" x14ac:dyDescent="0.25">
      <c r="A53" s="9"/>
      <c r="B53" s="9"/>
      <c r="C53" s="9"/>
      <c r="D53" s="9"/>
      <c r="E53" s="14"/>
      <c r="F53" s="14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ht="19.5" customHeight="1" x14ac:dyDescent="0.25">
      <c r="A54" s="9"/>
      <c r="B54" s="9"/>
      <c r="C54" s="9"/>
      <c r="D54" s="9"/>
      <c r="E54" s="14"/>
      <c r="F54" s="14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19" ht="19.5" customHeight="1" x14ac:dyDescent="0.25">
      <c r="A55" s="9"/>
      <c r="B55" s="9"/>
      <c r="C55" s="9"/>
      <c r="D55" s="9"/>
      <c r="E55" s="14"/>
      <c r="F55" s="14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ht="19.5" customHeight="1" x14ac:dyDescent="0.25">
      <c r="A56" s="9"/>
      <c r="B56" s="9"/>
      <c r="C56" s="9"/>
      <c r="D56" s="9"/>
      <c r="E56" s="14"/>
      <c r="F56" s="14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ht="19.5" customHeight="1" x14ac:dyDescent="0.25">
      <c r="A57" s="9"/>
      <c r="B57" s="9"/>
      <c r="C57" s="9"/>
      <c r="D57" s="9"/>
      <c r="E57" s="14"/>
      <c r="F57" s="14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ht="19.5" customHeight="1" x14ac:dyDescent="0.25">
      <c r="A58" s="9"/>
      <c r="B58" s="9"/>
      <c r="C58" s="9"/>
      <c r="D58" s="9"/>
      <c r="E58" s="14"/>
      <c r="F58" s="14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ht="19.5" customHeight="1" x14ac:dyDescent="0.25">
      <c r="A59" s="9"/>
      <c r="B59" s="9"/>
      <c r="C59" s="9"/>
      <c r="D59" s="9"/>
      <c r="E59" s="14"/>
      <c r="F59" s="14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ht="19.5" customHeight="1" x14ac:dyDescent="0.25">
      <c r="A60" s="9"/>
      <c r="B60" s="9"/>
      <c r="C60" s="9"/>
      <c r="D60" s="9"/>
      <c r="E60" s="14"/>
      <c r="F60" s="14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ht="19.5" customHeight="1" x14ac:dyDescent="0.25">
      <c r="A61" s="9"/>
      <c r="B61" s="9"/>
      <c r="C61" s="9"/>
      <c r="D61" s="9"/>
      <c r="E61" s="14"/>
      <c r="F61" s="14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ht="19.5" customHeight="1" x14ac:dyDescent="0.25">
      <c r="A62" s="9"/>
      <c r="B62" s="9"/>
      <c r="C62" s="9"/>
      <c r="D62" s="9"/>
      <c r="E62" s="14"/>
      <c r="F62" s="14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ht="19.5" customHeight="1" x14ac:dyDescent="0.25">
      <c r="A63" s="9"/>
      <c r="B63" s="9"/>
      <c r="C63" s="9"/>
      <c r="D63" s="9"/>
      <c r="E63" s="14"/>
      <c r="F63" s="14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19" ht="19.5" customHeight="1" x14ac:dyDescent="0.25">
      <c r="A64" s="9"/>
      <c r="B64" s="9"/>
      <c r="C64" s="9"/>
      <c r="D64" s="9"/>
      <c r="E64" s="14"/>
      <c r="F64" s="14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ht="19.5" customHeight="1" x14ac:dyDescent="0.25">
      <c r="A65" s="9"/>
      <c r="B65" s="9"/>
      <c r="C65" s="9"/>
      <c r="D65" s="9"/>
      <c r="E65" s="14"/>
      <c r="F65" s="14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ht="19.5" customHeight="1" x14ac:dyDescent="0.25">
      <c r="A66" s="9"/>
      <c r="B66" s="9"/>
      <c r="C66" s="9"/>
      <c r="D66" s="9"/>
      <c r="E66" s="14"/>
      <c r="F66" s="14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19" ht="19.5" customHeight="1" x14ac:dyDescent="0.25">
      <c r="A67" s="9"/>
      <c r="B67" s="9"/>
      <c r="C67" s="9"/>
      <c r="D67" s="9"/>
      <c r="E67" s="14"/>
      <c r="F67" s="14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19" ht="19.5" customHeight="1" x14ac:dyDescent="0.25">
      <c r="A68" s="9"/>
      <c r="B68" s="9"/>
      <c r="C68" s="9"/>
      <c r="D68" s="9"/>
      <c r="E68" s="14"/>
      <c r="F68" s="14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ht="19.5" customHeight="1" x14ac:dyDescent="0.25">
      <c r="A69" s="9"/>
      <c r="B69" s="9"/>
      <c r="C69" s="9"/>
      <c r="D69" s="9"/>
      <c r="E69" s="14"/>
      <c r="F69" s="14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ht="19.5" customHeight="1" x14ac:dyDescent="0.25">
      <c r="A70" s="9"/>
      <c r="B70" s="9"/>
      <c r="C70" s="9"/>
      <c r="D70" s="9"/>
      <c r="E70" s="14"/>
      <c r="F70" s="14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ht="19.5" customHeight="1" x14ac:dyDescent="0.25">
      <c r="A71" s="9"/>
      <c r="B71" s="9"/>
      <c r="C71" s="9"/>
      <c r="D71" s="9"/>
      <c r="E71" s="14"/>
      <c r="F71" s="14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ht="19.5" customHeight="1" x14ac:dyDescent="0.25">
      <c r="A72" s="9"/>
      <c r="B72" s="9"/>
      <c r="C72" s="9"/>
      <c r="D72" s="9"/>
      <c r="E72" s="14"/>
      <c r="F72" s="14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ht="19.5" customHeight="1" x14ac:dyDescent="0.25">
      <c r="A73" s="9"/>
      <c r="B73" s="9"/>
      <c r="C73" s="9"/>
      <c r="D73" s="9"/>
      <c r="E73" s="14"/>
      <c r="F73" s="14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ht="19.5" customHeight="1" x14ac:dyDescent="0.25">
      <c r="A74" s="9"/>
      <c r="B74" s="9"/>
      <c r="C74" s="9"/>
      <c r="D74" s="9"/>
      <c r="E74" s="14"/>
      <c r="F74" s="14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19" ht="19.5" customHeight="1" x14ac:dyDescent="0.25">
      <c r="A75" s="9"/>
      <c r="B75" s="9"/>
      <c r="C75" s="9"/>
      <c r="D75" s="9"/>
      <c r="E75" s="14"/>
      <c r="F75" s="14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ht="19.5" customHeight="1" x14ac:dyDescent="0.25">
      <c r="A76" s="9"/>
      <c r="B76" s="9"/>
      <c r="C76" s="9"/>
      <c r="D76" s="9"/>
      <c r="E76" s="14"/>
      <c r="F76" s="14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19" ht="19.5" customHeight="1" x14ac:dyDescent="0.25">
      <c r="A77" s="9"/>
      <c r="B77" s="9"/>
      <c r="C77" s="9"/>
      <c r="D77" s="9"/>
      <c r="E77" s="14"/>
      <c r="F77" s="14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19" ht="19.5" customHeight="1" x14ac:dyDescent="0.25">
      <c r="A78" s="9"/>
      <c r="B78" s="9"/>
      <c r="C78" s="9"/>
      <c r="D78" s="9"/>
      <c r="E78" s="14"/>
      <c r="F78" s="14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19" ht="19.5" customHeight="1" x14ac:dyDescent="0.25">
      <c r="A79" s="9"/>
      <c r="B79" s="9"/>
      <c r="C79" s="9"/>
      <c r="D79" s="9"/>
      <c r="E79" s="14"/>
      <c r="F79" s="14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ht="19.5" customHeight="1" x14ac:dyDescent="0.25">
      <c r="A80" s="9"/>
      <c r="B80" s="9"/>
      <c r="C80" s="9"/>
      <c r="D80" s="9"/>
      <c r="E80" s="14"/>
      <c r="F80" s="14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 ht="19.5" customHeight="1" x14ac:dyDescent="0.25">
      <c r="A81" s="9"/>
      <c r="B81" s="9"/>
      <c r="C81" s="9"/>
      <c r="D81" s="9"/>
      <c r="E81" s="14"/>
      <c r="F81" s="14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19" ht="19.5" customHeight="1" x14ac:dyDescent="0.25">
      <c r="A82" s="9"/>
      <c r="B82" s="9"/>
      <c r="C82" s="9"/>
      <c r="D82" s="9"/>
      <c r="E82" s="14"/>
      <c r="F82" s="14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19" ht="19.5" customHeight="1" x14ac:dyDescent="0.25">
      <c r="A83" s="9"/>
      <c r="B83" s="9"/>
      <c r="C83" s="9"/>
      <c r="D83" s="9"/>
      <c r="E83" s="14"/>
      <c r="F83" s="14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19" ht="19.5" customHeight="1" x14ac:dyDescent="0.25">
      <c r="A84" s="9"/>
      <c r="B84" s="9"/>
      <c r="C84" s="9"/>
      <c r="D84" s="9"/>
      <c r="E84" s="14"/>
      <c r="F84" s="14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19" ht="19.5" customHeight="1" x14ac:dyDescent="0.25">
      <c r="A85" s="9"/>
      <c r="B85" s="9"/>
      <c r="C85" s="9"/>
      <c r="D85" s="9"/>
      <c r="E85" s="14"/>
      <c r="F85" s="14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19" ht="19.5" customHeight="1" x14ac:dyDescent="0.25">
      <c r="A86" s="9"/>
      <c r="B86" s="9"/>
      <c r="C86" s="9"/>
      <c r="D86" s="9"/>
      <c r="E86" s="14"/>
      <c r="F86" s="14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19" ht="19.5" customHeight="1" x14ac:dyDescent="0.25">
      <c r="A87" s="9"/>
      <c r="B87" s="9"/>
      <c r="C87" s="9"/>
      <c r="D87" s="9"/>
      <c r="E87" s="14"/>
      <c r="F87" s="14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19" ht="19.5" customHeight="1" x14ac:dyDescent="0.25">
      <c r="A88" s="9"/>
      <c r="B88" s="9"/>
      <c r="C88" s="9"/>
      <c r="D88" s="9"/>
      <c r="E88" s="14"/>
      <c r="F88" s="14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19" ht="19.5" customHeight="1" x14ac:dyDescent="0.25">
      <c r="A89" s="9"/>
      <c r="B89" s="9"/>
      <c r="C89" s="9"/>
      <c r="D89" s="9"/>
      <c r="E89" s="14"/>
      <c r="F89" s="14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19" ht="19.5" customHeight="1" x14ac:dyDescent="0.25">
      <c r="A90" s="9"/>
      <c r="B90" s="9"/>
      <c r="C90" s="9"/>
      <c r="D90" s="9"/>
      <c r="E90" s="14"/>
      <c r="F90" s="14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19" ht="19.5" customHeight="1" x14ac:dyDescent="0.25">
      <c r="A91" s="9"/>
      <c r="B91" s="9"/>
      <c r="C91" s="9"/>
      <c r="D91" s="9"/>
      <c r="E91" s="14"/>
      <c r="F91" s="14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19" ht="19.5" customHeight="1" x14ac:dyDescent="0.25">
      <c r="A92" s="9"/>
      <c r="B92" s="9"/>
      <c r="C92" s="9"/>
      <c r="D92" s="9"/>
      <c r="E92" s="14"/>
      <c r="F92" s="14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19" ht="19.5" customHeight="1" x14ac:dyDescent="0.25">
      <c r="A93" s="9"/>
      <c r="B93" s="9"/>
      <c r="C93" s="9"/>
      <c r="D93" s="9"/>
      <c r="E93" s="14"/>
      <c r="F93" s="14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19" ht="19.5" customHeight="1" x14ac:dyDescent="0.25">
      <c r="A94" s="9"/>
      <c r="B94" s="9"/>
      <c r="C94" s="9"/>
      <c r="D94" s="9"/>
      <c r="E94" s="14"/>
      <c r="F94" s="14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19" ht="19.5" customHeight="1" x14ac:dyDescent="0.25">
      <c r="A95" s="9"/>
      <c r="B95" s="9"/>
      <c r="C95" s="9"/>
      <c r="D95" s="9"/>
      <c r="E95" s="14"/>
      <c r="F95" s="14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19" ht="19.5" customHeight="1" x14ac:dyDescent="0.25">
      <c r="A96" s="9"/>
      <c r="B96" s="9"/>
      <c r="C96" s="9"/>
      <c r="D96" s="9"/>
      <c r="E96" s="14"/>
      <c r="F96" s="14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19" ht="19.5" customHeight="1" x14ac:dyDescent="0.25">
      <c r="A97" s="9"/>
      <c r="B97" s="9"/>
      <c r="C97" s="9"/>
      <c r="D97" s="9"/>
      <c r="E97" s="14"/>
      <c r="F97" s="14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19" ht="19.5" customHeight="1" x14ac:dyDescent="0.25">
      <c r="A98" s="9"/>
      <c r="B98" s="9"/>
      <c r="C98" s="9"/>
      <c r="D98" s="9"/>
      <c r="E98" s="14"/>
      <c r="F98" s="14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19" ht="19.5" customHeight="1" x14ac:dyDescent="0.25">
      <c r="A99" s="9"/>
      <c r="B99" s="9"/>
      <c r="C99" s="9"/>
      <c r="D99" s="9"/>
      <c r="E99" s="14"/>
      <c r="F99" s="14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19" ht="19.5" customHeight="1" x14ac:dyDescent="0.25">
      <c r="A100" s="9"/>
      <c r="B100" s="9"/>
      <c r="C100" s="9"/>
      <c r="D100" s="9"/>
      <c r="E100" s="14"/>
      <c r="F100" s="14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19" ht="19.5" customHeight="1" x14ac:dyDescent="0.25">
      <c r="A101" s="9"/>
      <c r="B101" s="9"/>
      <c r="C101" s="9"/>
      <c r="D101" s="9"/>
      <c r="E101" s="14"/>
      <c r="F101" s="14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19" ht="19.5" customHeight="1" x14ac:dyDescent="0.25">
      <c r="A102" s="9"/>
      <c r="B102" s="9"/>
      <c r="C102" s="9"/>
      <c r="D102" s="9"/>
      <c r="E102" s="14"/>
      <c r="F102" s="14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19" ht="19.5" customHeight="1" x14ac:dyDescent="0.25">
      <c r="A103" s="9"/>
      <c r="B103" s="9"/>
      <c r="C103" s="9"/>
      <c r="D103" s="9"/>
      <c r="E103" s="14"/>
      <c r="F103" s="14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19" ht="19.5" customHeight="1" x14ac:dyDescent="0.25">
      <c r="A104" s="9"/>
      <c r="B104" s="9"/>
      <c r="C104" s="9"/>
      <c r="D104" s="9"/>
      <c r="E104" s="14"/>
      <c r="F104" s="14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19" ht="19.5" customHeight="1" x14ac:dyDescent="0.25">
      <c r="A105" s="9"/>
      <c r="B105" s="9"/>
      <c r="C105" s="9"/>
      <c r="D105" s="9"/>
      <c r="E105" s="14"/>
      <c r="F105" s="14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19" ht="19.5" customHeight="1" x14ac:dyDescent="0.25">
      <c r="A106" s="9"/>
      <c r="B106" s="9"/>
      <c r="C106" s="9"/>
      <c r="D106" s="9"/>
      <c r="E106" s="14"/>
      <c r="F106" s="14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19" ht="19.5" customHeight="1" x14ac:dyDescent="0.25">
      <c r="A107" s="9"/>
      <c r="B107" s="9"/>
      <c r="C107" s="9"/>
      <c r="D107" s="9"/>
      <c r="E107" s="14"/>
      <c r="F107" s="14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19" ht="19.5" customHeight="1" x14ac:dyDescent="0.25">
      <c r="A108" s="9"/>
      <c r="B108" s="9"/>
      <c r="C108" s="9"/>
      <c r="D108" s="9"/>
      <c r="E108" s="14"/>
      <c r="F108" s="14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19" ht="19.5" customHeight="1" x14ac:dyDescent="0.25">
      <c r="A109" s="9"/>
      <c r="B109" s="9"/>
      <c r="C109" s="9"/>
      <c r="D109" s="9"/>
      <c r="E109" s="14"/>
      <c r="F109" s="14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19" ht="19.5" customHeight="1" x14ac:dyDescent="0.25">
      <c r="A110" s="9"/>
      <c r="B110" s="9"/>
      <c r="C110" s="9"/>
      <c r="D110" s="9"/>
      <c r="E110" s="14"/>
      <c r="F110" s="14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19" ht="19.5" customHeight="1" x14ac:dyDescent="0.25">
      <c r="A111" s="9"/>
      <c r="B111" s="9"/>
      <c r="C111" s="9"/>
      <c r="D111" s="9"/>
      <c r="E111" s="14"/>
      <c r="F111" s="14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19" ht="19.5" customHeight="1" x14ac:dyDescent="0.25">
      <c r="A112" s="9"/>
      <c r="B112" s="9"/>
      <c r="C112" s="9"/>
      <c r="D112" s="9"/>
      <c r="E112" s="14"/>
      <c r="F112" s="14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19" ht="19.5" customHeight="1" x14ac:dyDescent="0.25">
      <c r="A113" s="9"/>
      <c r="B113" s="9"/>
      <c r="C113" s="9"/>
      <c r="D113" s="9"/>
      <c r="E113" s="14"/>
      <c r="F113" s="14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1:19" ht="19.5" customHeight="1" x14ac:dyDescent="0.25">
      <c r="A114" s="9"/>
      <c r="B114" s="9"/>
      <c r="C114" s="9"/>
      <c r="D114" s="9"/>
      <c r="E114" s="14"/>
      <c r="F114" s="14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1:19" ht="19.5" customHeight="1" x14ac:dyDescent="0.25">
      <c r="A115" s="9"/>
      <c r="B115" s="9"/>
      <c r="C115" s="9"/>
      <c r="D115" s="9"/>
      <c r="E115" s="14"/>
      <c r="F115" s="14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1:19" ht="19.5" customHeight="1" x14ac:dyDescent="0.25">
      <c r="A116" s="9"/>
      <c r="B116" s="9"/>
      <c r="C116" s="9"/>
      <c r="D116" s="9"/>
      <c r="E116" s="14"/>
      <c r="F116" s="14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spans="1:19" ht="19.5" customHeight="1" x14ac:dyDescent="0.25">
      <c r="A117" s="9"/>
      <c r="B117" s="9"/>
      <c r="C117" s="9"/>
      <c r="D117" s="9"/>
      <c r="E117" s="14"/>
      <c r="F117" s="14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spans="1:19" ht="19.5" customHeight="1" x14ac:dyDescent="0.25">
      <c r="A118" s="9"/>
      <c r="B118" s="9"/>
      <c r="C118" s="9"/>
      <c r="D118" s="9"/>
      <c r="E118" s="14"/>
      <c r="F118" s="14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spans="1:19" ht="19.5" customHeight="1" x14ac:dyDescent="0.25">
      <c r="A119" s="9"/>
      <c r="B119" s="9"/>
      <c r="C119" s="9"/>
      <c r="D119" s="9"/>
      <c r="E119" s="14"/>
      <c r="F119" s="14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1:19" ht="19.5" customHeight="1" x14ac:dyDescent="0.25">
      <c r="A120" s="9"/>
      <c r="B120" s="9"/>
      <c r="C120" s="9"/>
      <c r="D120" s="9"/>
      <c r="E120" s="14"/>
      <c r="F120" s="14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1:19" ht="19.5" customHeight="1" x14ac:dyDescent="0.25">
      <c r="A121" s="9"/>
      <c r="B121" s="9"/>
      <c r="C121" s="9"/>
      <c r="D121" s="9"/>
      <c r="E121" s="14"/>
      <c r="F121" s="14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19" ht="19.5" customHeight="1" x14ac:dyDescent="0.25">
      <c r="A122" s="9"/>
      <c r="B122" s="9"/>
      <c r="C122" s="9"/>
      <c r="D122" s="9"/>
      <c r="E122" s="14"/>
      <c r="F122" s="14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19" ht="19.5" customHeight="1" x14ac:dyDescent="0.25">
      <c r="A123" s="9"/>
      <c r="B123" s="9"/>
      <c r="C123" s="9"/>
      <c r="D123" s="9"/>
      <c r="E123" s="14"/>
      <c r="F123" s="14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1:19" ht="19.5" customHeight="1" x14ac:dyDescent="0.25">
      <c r="A124" s="9"/>
      <c r="B124" s="9"/>
      <c r="C124" s="9"/>
      <c r="D124" s="9"/>
      <c r="E124" s="14"/>
      <c r="F124" s="14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1:19" ht="19.5" customHeight="1" x14ac:dyDescent="0.25">
      <c r="A125" s="9"/>
      <c r="B125" s="9"/>
      <c r="C125" s="9"/>
      <c r="D125" s="9"/>
      <c r="E125" s="14"/>
      <c r="F125" s="14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1:19" ht="19.5" customHeight="1" x14ac:dyDescent="0.25">
      <c r="A126" s="9"/>
      <c r="B126" s="9"/>
      <c r="C126" s="9"/>
      <c r="D126" s="9"/>
      <c r="E126" s="14"/>
      <c r="F126" s="14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1:19" ht="19.5" customHeight="1" x14ac:dyDescent="0.25">
      <c r="A127" s="9"/>
      <c r="B127" s="9"/>
      <c r="C127" s="9"/>
      <c r="D127" s="9"/>
      <c r="E127" s="14"/>
      <c r="F127" s="14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1:19" ht="19.5" customHeight="1" x14ac:dyDescent="0.25">
      <c r="A128" s="9"/>
      <c r="B128" s="9"/>
      <c r="C128" s="9"/>
      <c r="D128" s="9"/>
      <c r="E128" s="14"/>
      <c r="F128" s="14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1:19" ht="19.5" customHeight="1" x14ac:dyDescent="0.25">
      <c r="A129" s="9"/>
      <c r="B129" s="9"/>
      <c r="C129" s="9"/>
      <c r="D129" s="9"/>
      <c r="E129" s="14"/>
      <c r="F129" s="14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19" ht="19.5" customHeight="1" x14ac:dyDescent="0.25">
      <c r="A130" s="9"/>
      <c r="B130" s="9"/>
      <c r="C130" s="9"/>
      <c r="D130" s="9"/>
      <c r="E130" s="14"/>
      <c r="F130" s="14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19" ht="19.5" customHeight="1" x14ac:dyDescent="0.25">
      <c r="A131" s="9"/>
      <c r="B131" s="9"/>
      <c r="C131" s="9"/>
      <c r="D131" s="9"/>
      <c r="E131" s="14"/>
      <c r="F131" s="14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spans="1:19" ht="19.5" customHeight="1" x14ac:dyDescent="0.25">
      <c r="A132" s="9"/>
      <c r="B132" s="9"/>
      <c r="C132" s="9"/>
      <c r="D132" s="9"/>
      <c r="E132" s="14"/>
      <c r="F132" s="14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spans="1:19" ht="19.5" customHeight="1" x14ac:dyDescent="0.25">
      <c r="A133" s="9"/>
      <c r="B133" s="9"/>
      <c r="C133" s="9"/>
      <c r="D133" s="9"/>
      <c r="E133" s="14"/>
      <c r="F133" s="14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19" ht="19.5" customHeight="1" x14ac:dyDescent="0.25">
      <c r="A134" s="9"/>
      <c r="B134" s="9"/>
      <c r="C134" s="9"/>
      <c r="D134" s="9"/>
      <c r="E134" s="14"/>
      <c r="F134" s="14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19" ht="19.5" customHeight="1" x14ac:dyDescent="0.25">
      <c r="A135" s="9"/>
      <c r="B135" s="9"/>
      <c r="C135" s="9"/>
      <c r="D135" s="9"/>
      <c r="E135" s="14"/>
      <c r="F135" s="14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1:19" ht="19.5" customHeight="1" x14ac:dyDescent="0.25">
      <c r="A136" s="9"/>
      <c r="B136" s="9"/>
      <c r="C136" s="9"/>
      <c r="D136" s="9"/>
      <c r="E136" s="14"/>
      <c r="F136" s="14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spans="1:19" ht="19.5" customHeight="1" x14ac:dyDescent="0.25">
      <c r="A137" s="9"/>
      <c r="B137" s="9"/>
      <c r="C137" s="9"/>
      <c r="D137" s="9"/>
      <c r="E137" s="14"/>
      <c r="F137" s="14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spans="1:19" ht="19.5" customHeight="1" x14ac:dyDescent="0.25">
      <c r="A138" s="9"/>
      <c r="B138" s="9"/>
      <c r="C138" s="9"/>
      <c r="D138" s="9"/>
      <c r="E138" s="14"/>
      <c r="F138" s="14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spans="1:19" ht="19.5" customHeight="1" x14ac:dyDescent="0.25">
      <c r="A139" s="9"/>
      <c r="B139" s="9"/>
      <c r="C139" s="9"/>
      <c r="D139" s="9"/>
      <c r="E139" s="14"/>
      <c r="F139" s="14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19" ht="19.5" customHeight="1" x14ac:dyDescent="0.25">
      <c r="A140" s="9"/>
      <c r="B140" s="9"/>
      <c r="C140" s="9"/>
      <c r="D140" s="9"/>
      <c r="E140" s="14"/>
      <c r="F140" s="14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19" ht="19.5" customHeight="1" x14ac:dyDescent="0.25">
      <c r="A141" s="9"/>
      <c r="B141" s="9"/>
      <c r="C141" s="9"/>
      <c r="D141" s="9"/>
      <c r="E141" s="14"/>
      <c r="F141" s="14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19" ht="19.5" customHeight="1" x14ac:dyDescent="0.25">
      <c r="A142" s="9"/>
      <c r="B142" s="9"/>
      <c r="C142" s="9"/>
      <c r="D142" s="9"/>
      <c r="E142" s="14"/>
      <c r="F142" s="14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spans="1:19" ht="19.5" customHeight="1" x14ac:dyDescent="0.25">
      <c r="A143" s="9"/>
      <c r="B143" s="9"/>
      <c r="C143" s="9"/>
      <c r="D143" s="9"/>
      <c r="E143" s="14"/>
      <c r="F143" s="14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19" ht="19.5" customHeight="1" x14ac:dyDescent="0.25">
      <c r="A144" s="9"/>
      <c r="B144" s="9"/>
      <c r="C144" s="9"/>
      <c r="D144" s="9"/>
      <c r="E144" s="14"/>
      <c r="F144" s="14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spans="1:19" ht="19.5" customHeight="1" x14ac:dyDescent="0.25">
      <c r="A145" s="9"/>
      <c r="B145" s="9"/>
      <c r="C145" s="9"/>
      <c r="D145" s="9"/>
      <c r="E145" s="14"/>
      <c r="F145" s="14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19" ht="19.5" customHeight="1" x14ac:dyDescent="0.25">
      <c r="A146" s="9"/>
      <c r="B146" s="9"/>
      <c r="C146" s="9"/>
      <c r="D146" s="9"/>
      <c r="E146" s="14"/>
      <c r="F146" s="14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19" ht="19.5" customHeight="1" x14ac:dyDescent="0.25">
      <c r="A147" s="9"/>
      <c r="B147" s="9"/>
      <c r="C147" s="9"/>
      <c r="D147" s="9"/>
      <c r="E147" s="14"/>
      <c r="F147" s="14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19" ht="19.5" customHeight="1" x14ac:dyDescent="0.25">
      <c r="A148" s="9"/>
      <c r="B148" s="9"/>
      <c r="C148" s="9"/>
      <c r="D148" s="9"/>
      <c r="E148" s="14"/>
      <c r="F148" s="14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19" ht="19.5" customHeight="1" x14ac:dyDescent="0.25">
      <c r="A149" s="9"/>
      <c r="B149" s="9"/>
      <c r="C149" s="9"/>
      <c r="D149" s="9"/>
      <c r="E149" s="14"/>
      <c r="F149" s="14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spans="1:19" ht="19.5" customHeight="1" x14ac:dyDescent="0.25">
      <c r="A150" s="9"/>
      <c r="B150" s="9"/>
      <c r="C150" s="9"/>
      <c r="D150" s="9"/>
      <c r="E150" s="14"/>
      <c r="F150" s="14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1:19" ht="19.5" customHeight="1" x14ac:dyDescent="0.25">
      <c r="A151" s="9"/>
      <c r="B151" s="9"/>
      <c r="C151" s="9"/>
      <c r="D151" s="9"/>
      <c r="E151" s="14"/>
      <c r="F151" s="14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spans="1:19" ht="19.5" customHeight="1" x14ac:dyDescent="0.25">
      <c r="A152" s="9"/>
      <c r="B152" s="9"/>
      <c r="C152" s="9"/>
      <c r="D152" s="9"/>
      <c r="E152" s="14"/>
      <c r="F152" s="14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spans="1:19" ht="19.5" customHeight="1" x14ac:dyDescent="0.25">
      <c r="A153" s="9"/>
      <c r="B153" s="9"/>
      <c r="C153" s="9"/>
      <c r="D153" s="9"/>
      <c r="E153" s="14"/>
      <c r="F153" s="14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spans="1:19" ht="19.5" customHeight="1" x14ac:dyDescent="0.25">
      <c r="A154" s="9"/>
      <c r="B154" s="9"/>
      <c r="C154" s="9"/>
      <c r="D154" s="9"/>
      <c r="E154" s="14"/>
      <c r="F154" s="14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19" ht="19.5" customHeight="1" x14ac:dyDescent="0.25">
      <c r="A155" s="9"/>
      <c r="B155" s="9"/>
      <c r="C155" s="9"/>
      <c r="D155" s="9"/>
      <c r="E155" s="14"/>
      <c r="F155" s="14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spans="1:19" ht="19.5" customHeight="1" x14ac:dyDescent="0.25">
      <c r="A156" s="9"/>
      <c r="B156" s="9"/>
      <c r="C156" s="9"/>
      <c r="D156" s="9"/>
      <c r="E156" s="14"/>
      <c r="F156" s="14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spans="1:19" ht="19.5" customHeight="1" x14ac:dyDescent="0.25">
      <c r="A157" s="9"/>
      <c r="B157" s="9"/>
      <c r="C157" s="9"/>
      <c r="D157" s="9"/>
      <c r="E157" s="14"/>
      <c r="F157" s="14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19" ht="19.5" customHeight="1" x14ac:dyDescent="0.25">
      <c r="A158" s="9"/>
      <c r="B158" s="9"/>
      <c r="C158" s="9"/>
      <c r="D158" s="9"/>
      <c r="E158" s="14"/>
      <c r="F158" s="14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19" ht="19.5" customHeight="1" x14ac:dyDescent="0.25">
      <c r="A159" s="9"/>
      <c r="B159" s="9"/>
      <c r="C159" s="9"/>
      <c r="D159" s="9"/>
      <c r="E159" s="14"/>
      <c r="F159" s="14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1:19" ht="19.5" customHeight="1" x14ac:dyDescent="0.25">
      <c r="A160" s="9"/>
      <c r="B160" s="9"/>
      <c r="C160" s="9"/>
      <c r="D160" s="9"/>
      <c r="E160" s="14"/>
      <c r="F160" s="14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spans="1:19" ht="19.5" customHeight="1" x14ac:dyDescent="0.25">
      <c r="A161" s="9"/>
      <c r="B161" s="9"/>
      <c r="C161" s="9"/>
      <c r="D161" s="9"/>
      <c r="E161" s="14"/>
      <c r="F161" s="14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spans="1:19" ht="19.5" customHeight="1" x14ac:dyDescent="0.25">
      <c r="A162" s="9"/>
      <c r="B162" s="9"/>
      <c r="C162" s="9"/>
      <c r="D162" s="9"/>
      <c r="E162" s="14"/>
      <c r="F162" s="14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19" ht="19.5" customHeight="1" x14ac:dyDescent="0.25">
      <c r="A163" s="9"/>
      <c r="B163" s="9"/>
      <c r="C163" s="9"/>
      <c r="D163" s="9"/>
      <c r="E163" s="14"/>
      <c r="F163" s="14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spans="1:19" ht="19.5" customHeight="1" x14ac:dyDescent="0.25">
      <c r="A164" s="9"/>
      <c r="B164" s="9"/>
      <c r="C164" s="9"/>
      <c r="D164" s="9"/>
      <c r="E164" s="14"/>
      <c r="F164" s="14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19" ht="19.5" customHeight="1" x14ac:dyDescent="0.25">
      <c r="A165" s="9"/>
      <c r="B165" s="9"/>
      <c r="C165" s="9"/>
      <c r="D165" s="9"/>
      <c r="E165" s="14"/>
      <c r="F165" s="14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19" ht="19.5" customHeight="1" x14ac:dyDescent="0.25">
      <c r="A166" s="9"/>
      <c r="B166" s="9"/>
      <c r="C166" s="9"/>
      <c r="D166" s="9"/>
      <c r="E166" s="14"/>
      <c r="F166" s="14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1:19" ht="19.5" customHeight="1" x14ac:dyDescent="0.25">
      <c r="A167" s="9"/>
      <c r="B167" s="9"/>
      <c r="C167" s="9"/>
      <c r="D167" s="9"/>
      <c r="E167" s="14"/>
      <c r="F167" s="14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19" ht="19.5" customHeight="1" x14ac:dyDescent="0.25">
      <c r="A168" s="9"/>
      <c r="B168" s="9"/>
      <c r="C168" s="9"/>
      <c r="D168" s="9"/>
      <c r="E168" s="14"/>
      <c r="F168" s="14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spans="1:19" ht="19.5" customHeight="1" x14ac:dyDescent="0.25">
      <c r="A169" s="9"/>
      <c r="B169" s="9"/>
      <c r="C169" s="9"/>
      <c r="D169" s="9"/>
      <c r="E169" s="14"/>
      <c r="F169" s="14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19" ht="19.5" customHeight="1" x14ac:dyDescent="0.25">
      <c r="A170" s="9"/>
      <c r="B170" s="9"/>
      <c r="C170" s="9"/>
      <c r="D170" s="9"/>
      <c r="E170" s="14"/>
      <c r="F170" s="14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19" ht="19.5" customHeight="1" x14ac:dyDescent="0.25">
      <c r="A171" s="9"/>
      <c r="B171" s="9"/>
      <c r="C171" s="9"/>
      <c r="D171" s="9"/>
      <c r="E171" s="14"/>
      <c r="F171" s="14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spans="1:19" ht="19.5" customHeight="1" x14ac:dyDescent="0.25">
      <c r="A172" s="9"/>
      <c r="B172" s="9"/>
      <c r="C172" s="9"/>
      <c r="D172" s="9"/>
      <c r="E172" s="14"/>
      <c r="F172" s="14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spans="1:19" ht="19.5" customHeight="1" x14ac:dyDescent="0.25">
      <c r="A173" s="9"/>
      <c r="B173" s="9"/>
      <c r="C173" s="9"/>
      <c r="D173" s="9"/>
      <c r="E173" s="14"/>
      <c r="F173" s="14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spans="1:19" ht="19.5" customHeight="1" x14ac:dyDescent="0.25">
      <c r="A174" s="9"/>
      <c r="B174" s="9"/>
      <c r="C174" s="9"/>
      <c r="D174" s="9"/>
      <c r="E174" s="14"/>
      <c r="F174" s="14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spans="1:19" ht="19.5" customHeight="1" x14ac:dyDescent="0.25">
      <c r="A175" s="9"/>
      <c r="B175" s="9"/>
      <c r="C175" s="9"/>
      <c r="D175" s="9"/>
      <c r="E175" s="14"/>
      <c r="F175" s="14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spans="1:19" ht="19.5" customHeight="1" x14ac:dyDescent="0.25">
      <c r="A176" s="9"/>
      <c r="B176" s="9"/>
      <c r="C176" s="9"/>
      <c r="D176" s="9"/>
      <c r="E176" s="14"/>
      <c r="F176" s="14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spans="1:19" ht="19.5" customHeight="1" x14ac:dyDescent="0.25">
      <c r="A177" s="9"/>
      <c r="B177" s="9"/>
      <c r="C177" s="9"/>
      <c r="D177" s="9"/>
      <c r="E177" s="14"/>
      <c r="F177" s="14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1:19" ht="19.5" customHeight="1" x14ac:dyDescent="0.25">
      <c r="A178" s="9"/>
      <c r="B178" s="9"/>
      <c r="C178" s="9"/>
      <c r="D178" s="9"/>
      <c r="E178" s="14"/>
      <c r="F178" s="14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1:19" ht="19.5" customHeight="1" x14ac:dyDescent="0.25">
      <c r="A179" s="9"/>
      <c r="B179" s="9"/>
      <c r="C179" s="9"/>
      <c r="D179" s="9"/>
      <c r="E179" s="14"/>
      <c r="F179" s="14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19" ht="19.5" customHeight="1" x14ac:dyDescent="0.25">
      <c r="A180" s="9"/>
      <c r="B180" s="9"/>
      <c r="C180" s="9"/>
      <c r="D180" s="9"/>
      <c r="E180" s="14"/>
      <c r="F180" s="14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19" ht="19.5" customHeight="1" x14ac:dyDescent="0.25">
      <c r="A181" s="9"/>
      <c r="B181" s="9"/>
      <c r="C181" s="9"/>
      <c r="D181" s="9"/>
      <c r="E181" s="14"/>
      <c r="F181" s="14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19" ht="19.5" customHeight="1" x14ac:dyDescent="0.25">
      <c r="A182" s="9"/>
      <c r="B182" s="9"/>
      <c r="C182" s="9"/>
      <c r="D182" s="9"/>
      <c r="E182" s="14"/>
      <c r="F182" s="14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19" ht="19.5" customHeight="1" x14ac:dyDescent="0.25">
      <c r="A183" s="9"/>
      <c r="B183" s="9"/>
      <c r="C183" s="9"/>
      <c r="D183" s="9"/>
      <c r="E183" s="14"/>
      <c r="F183" s="14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19" ht="19.5" customHeight="1" x14ac:dyDescent="0.25">
      <c r="A184" s="9"/>
      <c r="B184" s="9"/>
      <c r="C184" s="9"/>
      <c r="D184" s="9"/>
      <c r="E184" s="14"/>
      <c r="F184" s="14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19" ht="19.5" customHeight="1" x14ac:dyDescent="0.25">
      <c r="A185" s="9"/>
      <c r="B185" s="9"/>
      <c r="C185" s="9"/>
      <c r="D185" s="9"/>
      <c r="E185" s="14"/>
      <c r="F185" s="14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19" ht="19.5" customHeight="1" x14ac:dyDescent="0.25">
      <c r="A186" s="9"/>
      <c r="B186" s="9"/>
      <c r="C186" s="9"/>
      <c r="D186" s="9"/>
      <c r="E186" s="14"/>
      <c r="F186" s="14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19" ht="19.5" customHeight="1" x14ac:dyDescent="0.25">
      <c r="A187" s="9"/>
      <c r="B187" s="9"/>
      <c r="C187" s="9"/>
      <c r="D187" s="9"/>
      <c r="E187" s="14"/>
      <c r="F187" s="14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19" ht="19.5" customHeight="1" x14ac:dyDescent="0.25">
      <c r="A188" s="9"/>
      <c r="B188" s="9"/>
      <c r="C188" s="9"/>
      <c r="D188" s="9"/>
      <c r="E188" s="14"/>
      <c r="F188" s="14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19" ht="19.5" customHeight="1" x14ac:dyDescent="0.25">
      <c r="A189" s="9"/>
      <c r="B189" s="9"/>
      <c r="C189" s="9"/>
      <c r="D189" s="9"/>
      <c r="E189" s="14"/>
      <c r="F189" s="14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19" ht="19.5" customHeight="1" x14ac:dyDescent="0.25">
      <c r="A190" s="9"/>
      <c r="B190" s="9"/>
      <c r="C190" s="9"/>
      <c r="D190" s="9"/>
      <c r="E190" s="14"/>
      <c r="F190" s="14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19" ht="19.5" customHeight="1" x14ac:dyDescent="0.25">
      <c r="A191" s="9"/>
      <c r="B191" s="9"/>
      <c r="C191" s="9"/>
      <c r="D191" s="9"/>
      <c r="E191" s="14"/>
      <c r="F191" s="14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19" ht="19.5" customHeight="1" x14ac:dyDescent="0.25">
      <c r="A192" s="9"/>
      <c r="B192" s="9"/>
      <c r="C192" s="9"/>
      <c r="D192" s="9"/>
      <c r="E192" s="14"/>
      <c r="F192" s="14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1:19" ht="19.5" customHeight="1" x14ac:dyDescent="0.25">
      <c r="A193" s="9"/>
      <c r="B193" s="9"/>
      <c r="C193" s="9"/>
      <c r="D193" s="9"/>
      <c r="E193" s="14"/>
      <c r="F193" s="14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19" ht="19.5" customHeight="1" x14ac:dyDescent="0.25">
      <c r="A194" s="9"/>
      <c r="B194" s="9"/>
      <c r="C194" s="9"/>
      <c r="D194" s="9"/>
      <c r="E194" s="14"/>
      <c r="F194" s="14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19" ht="19.5" customHeight="1" x14ac:dyDescent="0.25">
      <c r="A195" s="9"/>
      <c r="B195" s="9"/>
      <c r="C195" s="9"/>
      <c r="D195" s="9"/>
      <c r="E195" s="14"/>
      <c r="F195" s="14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spans="1:19" ht="19.5" customHeight="1" x14ac:dyDescent="0.25">
      <c r="A196" s="9"/>
      <c r="B196" s="9"/>
      <c r="C196" s="9"/>
      <c r="D196" s="9"/>
      <c r="E196" s="14"/>
      <c r="F196" s="14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spans="1:19" ht="19.5" customHeight="1" x14ac:dyDescent="0.25">
      <c r="A197" s="9"/>
      <c r="B197" s="9"/>
      <c r="C197" s="9"/>
      <c r="D197" s="9"/>
      <c r="E197" s="14"/>
      <c r="F197" s="14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spans="1:19" ht="19.5" customHeight="1" x14ac:dyDescent="0.25">
      <c r="A198" s="9"/>
      <c r="B198" s="9"/>
      <c r="C198" s="9"/>
      <c r="D198" s="9"/>
      <c r="E198" s="14"/>
      <c r="F198" s="14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spans="1:19" ht="19.5" customHeight="1" x14ac:dyDescent="0.25">
      <c r="A199" s="9"/>
      <c r="B199" s="9"/>
      <c r="C199" s="9"/>
      <c r="D199" s="9"/>
      <c r="E199" s="14"/>
      <c r="F199" s="14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1:19" ht="19.5" customHeight="1" x14ac:dyDescent="0.25">
      <c r="A200" s="9"/>
      <c r="B200" s="9"/>
      <c r="C200" s="9"/>
      <c r="D200" s="9"/>
      <c r="E200" s="14"/>
      <c r="F200" s="14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spans="1:19" ht="19.5" customHeight="1" x14ac:dyDescent="0.25">
      <c r="A201" s="9"/>
      <c r="B201" s="9"/>
      <c r="C201" s="9"/>
      <c r="D201" s="9"/>
      <c r="E201" s="14"/>
      <c r="F201" s="14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spans="1:19" ht="19.5" customHeight="1" x14ac:dyDescent="0.25">
      <c r="A202" s="9"/>
      <c r="B202" s="9"/>
      <c r="C202" s="9"/>
      <c r="D202" s="9"/>
      <c r="E202" s="14"/>
      <c r="F202" s="14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spans="1:19" ht="19.5" customHeight="1" x14ac:dyDescent="0.25">
      <c r="A203" s="9"/>
      <c r="B203" s="9"/>
      <c r="C203" s="9"/>
      <c r="D203" s="9"/>
      <c r="E203" s="14"/>
      <c r="F203" s="14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spans="1:19" ht="19.5" customHeight="1" x14ac:dyDescent="0.25">
      <c r="A204" s="9"/>
      <c r="B204" s="9"/>
      <c r="C204" s="9"/>
      <c r="D204" s="9"/>
      <c r="E204" s="14"/>
      <c r="F204" s="14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spans="1:19" ht="19.5" customHeight="1" x14ac:dyDescent="0.25">
      <c r="A205" s="9"/>
      <c r="B205" s="9"/>
      <c r="C205" s="9"/>
      <c r="D205" s="9"/>
      <c r="E205" s="14"/>
      <c r="F205" s="14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19" ht="19.5" customHeight="1" x14ac:dyDescent="0.25">
      <c r="A206" s="9"/>
      <c r="B206" s="9"/>
      <c r="C206" s="9"/>
      <c r="D206" s="9"/>
      <c r="E206" s="14"/>
      <c r="F206" s="14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19" ht="19.5" customHeight="1" x14ac:dyDescent="0.25">
      <c r="A207" s="9"/>
      <c r="B207" s="9"/>
      <c r="C207" s="9"/>
      <c r="D207" s="9"/>
      <c r="E207" s="14"/>
      <c r="F207" s="14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spans="1:19" ht="19.5" customHeight="1" x14ac:dyDescent="0.25">
      <c r="A208" s="9"/>
      <c r="B208" s="9"/>
      <c r="C208" s="9"/>
      <c r="D208" s="9"/>
      <c r="E208" s="14"/>
      <c r="F208" s="14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spans="1:19" ht="19.5" customHeight="1" x14ac:dyDescent="0.25">
      <c r="A209" s="9"/>
      <c r="B209" s="9"/>
      <c r="C209" s="9"/>
      <c r="D209" s="9"/>
      <c r="E209" s="14"/>
      <c r="F209" s="14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spans="1:19" ht="19.5" customHeight="1" x14ac:dyDescent="0.25">
      <c r="A210" s="9"/>
      <c r="B210" s="9"/>
      <c r="C210" s="9"/>
      <c r="D210" s="9"/>
      <c r="E210" s="14"/>
      <c r="F210" s="14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spans="1:19" ht="19.5" customHeight="1" x14ac:dyDescent="0.25">
      <c r="A211" s="9"/>
      <c r="B211" s="9"/>
      <c r="C211" s="9"/>
      <c r="D211" s="9"/>
      <c r="E211" s="14"/>
      <c r="F211" s="14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spans="1:19" ht="19.5" customHeight="1" x14ac:dyDescent="0.25">
      <c r="A212" s="9"/>
      <c r="B212" s="9"/>
      <c r="C212" s="9"/>
      <c r="D212" s="9"/>
      <c r="E212" s="14"/>
      <c r="F212" s="14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spans="1:19" ht="19.5" customHeight="1" x14ac:dyDescent="0.25">
      <c r="A213" s="9"/>
      <c r="B213" s="9"/>
      <c r="C213" s="9"/>
      <c r="D213" s="9"/>
      <c r="E213" s="14"/>
      <c r="F213" s="14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spans="1:19" ht="19.5" customHeight="1" x14ac:dyDescent="0.25">
      <c r="A214" s="9"/>
      <c r="B214" s="9"/>
      <c r="C214" s="9"/>
      <c r="D214" s="9"/>
      <c r="E214" s="14"/>
      <c r="F214" s="14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spans="1:19" ht="19.5" customHeight="1" x14ac:dyDescent="0.25">
      <c r="A215" s="9"/>
      <c r="B215" s="9"/>
      <c r="C215" s="9"/>
      <c r="D215" s="9"/>
      <c r="E215" s="14"/>
      <c r="F215" s="14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spans="1:19" ht="19.5" customHeight="1" x14ac:dyDescent="0.25">
      <c r="A216" s="9"/>
      <c r="B216" s="9"/>
      <c r="C216" s="9"/>
      <c r="D216" s="9"/>
      <c r="E216" s="14"/>
      <c r="F216" s="14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1:19" ht="19.5" customHeight="1" x14ac:dyDescent="0.25">
      <c r="A217" s="9"/>
      <c r="B217" s="9"/>
      <c r="C217" s="9"/>
      <c r="D217" s="9"/>
      <c r="E217" s="14"/>
      <c r="F217" s="14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19" ht="19.5" customHeight="1" x14ac:dyDescent="0.25">
      <c r="A218" s="9"/>
      <c r="B218" s="9"/>
      <c r="C218" s="9"/>
      <c r="D218" s="9"/>
      <c r="E218" s="14"/>
      <c r="F218" s="14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19" ht="19.5" customHeight="1" x14ac:dyDescent="0.25">
      <c r="A219" s="9"/>
      <c r="B219" s="9"/>
      <c r="C219" s="9"/>
      <c r="D219" s="9"/>
      <c r="E219" s="14"/>
      <c r="F219" s="14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spans="1:19" ht="19.5" customHeight="1" x14ac:dyDescent="0.25">
      <c r="A220" s="9"/>
      <c r="B220" s="9"/>
      <c r="C220" s="9"/>
      <c r="D220" s="9"/>
      <c r="E220" s="14"/>
      <c r="F220" s="14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spans="1:19" ht="19.5" customHeight="1" x14ac:dyDescent="0.25">
      <c r="A221" s="9"/>
      <c r="B221" s="9"/>
      <c r="C221" s="9"/>
      <c r="D221" s="9"/>
      <c r="E221" s="14"/>
      <c r="F221" s="14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spans="1:19" ht="19.5" customHeight="1" x14ac:dyDescent="0.25">
      <c r="A222" s="9"/>
      <c r="B222" s="9"/>
      <c r="C222" s="9"/>
      <c r="D222" s="9"/>
      <c r="E222" s="14"/>
      <c r="F222" s="14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1:19" ht="19.5" customHeight="1" x14ac:dyDescent="0.25">
      <c r="A223" s="9"/>
      <c r="B223" s="9"/>
      <c r="C223" s="9"/>
      <c r="D223" s="9"/>
      <c r="E223" s="14"/>
      <c r="F223" s="14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spans="1:19" ht="19.5" customHeight="1" x14ac:dyDescent="0.25">
      <c r="A224" s="9"/>
      <c r="B224" s="9"/>
      <c r="C224" s="9"/>
      <c r="D224" s="9"/>
      <c r="E224" s="14"/>
      <c r="F224" s="14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spans="1:19" ht="19.5" customHeight="1" x14ac:dyDescent="0.25">
      <c r="A225" s="9"/>
      <c r="B225" s="9"/>
      <c r="C225" s="9"/>
      <c r="D225" s="9"/>
      <c r="E225" s="14"/>
      <c r="F225" s="14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spans="1:19" ht="19.5" customHeight="1" x14ac:dyDescent="0.25">
      <c r="A226" s="9"/>
      <c r="B226" s="9"/>
      <c r="C226" s="9"/>
      <c r="D226" s="9"/>
      <c r="E226" s="14"/>
      <c r="F226" s="14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19" ht="19.5" customHeight="1" x14ac:dyDescent="0.25">
      <c r="A227" s="9"/>
      <c r="B227" s="9"/>
      <c r="C227" s="9"/>
      <c r="D227" s="9"/>
      <c r="E227" s="14"/>
      <c r="F227" s="14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spans="1:19" ht="19.5" customHeight="1" x14ac:dyDescent="0.25">
      <c r="A228" s="9"/>
      <c r="B228" s="9"/>
      <c r="C228" s="9"/>
      <c r="D228" s="9"/>
      <c r="E228" s="14"/>
      <c r="F228" s="14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spans="1:19" ht="19.5" customHeight="1" x14ac:dyDescent="0.25">
      <c r="A229" s="9"/>
      <c r="B229" s="9"/>
      <c r="C229" s="9"/>
      <c r="D229" s="9"/>
      <c r="E229" s="14"/>
      <c r="F229" s="14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19" ht="19.5" customHeight="1" x14ac:dyDescent="0.25">
      <c r="A230" s="9"/>
      <c r="B230" s="9"/>
      <c r="C230" s="9"/>
      <c r="D230" s="9"/>
      <c r="E230" s="14"/>
      <c r="F230" s="14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19" ht="19.5" customHeight="1" x14ac:dyDescent="0.25">
      <c r="A231" s="9"/>
      <c r="B231" s="9"/>
      <c r="C231" s="9"/>
      <c r="D231" s="9"/>
      <c r="E231" s="14"/>
      <c r="F231" s="14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spans="1:19" ht="19.5" customHeight="1" x14ac:dyDescent="0.25">
      <c r="A232" s="9"/>
      <c r="B232" s="9"/>
      <c r="C232" s="9"/>
      <c r="D232" s="9"/>
      <c r="E232" s="14"/>
      <c r="F232" s="14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spans="1:19" ht="19.5" customHeight="1" x14ac:dyDescent="0.25">
      <c r="A233" s="9"/>
      <c r="B233" s="9"/>
      <c r="C233" s="9"/>
      <c r="D233" s="9"/>
      <c r="E233" s="14"/>
      <c r="F233" s="14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spans="1:19" ht="19.5" customHeight="1" x14ac:dyDescent="0.25">
      <c r="A234" s="9"/>
      <c r="B234" s="9"/>
      <c r="C234" s="9"/>
      <c r="D234" s="9"/>
      <c r="E234" s="14"/>
      <c r="F234" s="14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spans="1:19" ht="19.5" customHeight="1" x14ac:dyDescent="0.25">
      <c r="A235" s="9"/>
      <c r="B235" s="9"/>
      <c r="C235" s="9"/>
      <c r="D235" s="9"/>
      <c r="E235" s="14"/>
      <c r="F235" s="14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spans="1:19" ht="19.5" customHeight="1" x14ac:dyDescent="0.25">
      <c r="A236" s="9"/>
      <c r="B236" s="9"/>
      <c r="C236" s="9"/>
      <c r="D236" s="9"/>
      <c r="E236" s="14"/>
      <c r="F236" s="14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spans="1:19" ht="19.5" customHeight="1" x14ac:dyDescent="0.25">
      <c r="A237" s="9"/>
      <c r="B237" s="9"/>
      <c r="C237" s="9"/>
      <c r="D237" s="9"/>
      <c r="E237" s="14"/>
      <c r="F237" s="14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spans="1:19" ht="19.5" customHeight="1" x14ac:dyDescent="0.25">
      <c r="A238" s="9"/>
      <c r="B238" s="9"/>
      <c r="C238" s="9"/>
      <c r="D238" s="9"/>
      <c r="E238" s="14"/>
      <c r="F238" s="14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spans="1:19" ht="19.5" customHeight="1" x14ac:dyDescent="0.25">
      <c r="A239" s="9"/>
      <c r="B239" s="9"/>
      <c r="C239" s="9"/>
      <c r="D239" s="9"/>
      <c r="E239" s="14"/>
      <c r="F239" s="14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spans="1:19" ht="19.5" customHeight="1" x14ac:dyDescent="0.25">
      <c r="A240" s="9"/>
      <c r="B240" s="9"/>
      <c r="C240" s="9"/>
      <c r="D240" s="9"/>
      <c r="E240" s="14"/>
      <c r="F240" s="14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spans="1:19" ht="19.5" customHeight="1" x14ac:dyDescent="0.25">
      <c r="A241" s="9"/>
      <c r="B241" s="9"/>
      <c r="C241" s="9"/>
      <c r="D241" s="9"/>
      <c r="E241" s="14"/>
      <c r="F241" s="14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19" ht="19.5" customHeight="1" x14ac:dyDescent="0.25">
      <c r="A242" s="9"/>
      <c r="B242" s="9"/>
      <c r="C242" s="9"/>
      <c r="D242" s="9"/>
      <c r="E242" s="14"/>
      <c r="F242" s="14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19" ht="19.5" customHeight="1" x14ac:dyDescent="0.25">
      <c r="A243" s="9"/>
      <c r="B243" s="9"/>
      <c r="C243" s="9"/>
      <c r="D243" s="9"/>
      <c r="E243" s="14"/>
      <c r="F243" s="14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spans="1:19" ht="19.5" customHeight="1" x14ac:dyDescent="0.25">
      <c r="A244" s="9"/>
      <c r="B244" s="9"/>
      <c r="C244" s="9"/>
      <c r="D244" s="9"/>
      <c r="E244" s="14"/>
      <c r="F244" s="14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spans="1:19" ht="19.5" customHeight="1" x14ac:dyDescent="0.25">
      <c r="A245" s="9"/>
      <c r="B245" s="9"/>
      <c r="C245" s="9"/>
      <c r="D245" s="9"/>
      <c r="E245" s="14"/>
      <c r="F245" s="14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spans="1:19" ht="19.5" customHeight="1" x14ac:dyDescent="0.25">
      <c r="A246" s="9"/>
      <c r="B246" s="9"/>
      <c r="C246" s="9"/>
      <c r="D246" s="9"/>
      <c r="E246" s="14"/>
      <c r="F246" s="14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spans="1:19" ht="19.5" customHeight="1" x14ac:dyDescent="0.25">
      <c r="A247" s="9"/>
      <c r="B247" s="9"/>
      <c r="C247" s="9"/>
      <c r="D247" s="9"/>
      <c r="E247" s="14"/>
      <c r="F247" s="14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spans="1:19" ht="19.5" customHeight="1" x14ac:dyDescent="0.25">
      <c r="A248" s="9"/>
      <c r="B248" s="9"/>
      <c r="C248" s="9"/>
      <c r="D248" s="9"/>
      <c r="E248" s="14"/>
      <c r="F248" s="14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spans="1:19" ht="19.5" customHeight="1" x14ac:dyDescent="0.25">
      <c r="A249" s="9"/>
      <c r="B249" s="9"/>
      <c r="C249" s="9"/>
      <c r="D249" s="9"/>
      <c r="E249" s="14"/>
      <c r="F249" s="14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spans="1:19" ht="19.5" customHeight="1" x14ac:dyDescent="0.25">
      <c r="A250" s="9"/>
      <c r="B250" s="9"/>
      <c r="C250" s="9"/>
      <c r="D250" s="9"/>
      <c r="E250" s="14"/>
      <c r="F250" s="14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spans="1:19" ht="19.5" customHeight="1" x14ac:dyDescent="0.25">
      <c r="A251" s="9"/>
      <c r="B251" s="9"/>
      <c r="C251" s="9"/>
      <c r="D251" s="9"/>
      <c r="E251" s="14"/>
      <c r="F251" s="14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spans="1:19" ht="19.5" customHeight="1" x14ac:dyDescent="0.25">
      <c r="A252" s="9"/>
      <c r="B252" s="9"/>
      <c r="C252" s="9"/>
      <c r="D252" s="9"/>
      <c r="E252" s="14"/>
      <c r="F252" s="14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spans="1:19" ht="19.5" customHeight="1" x14ac:dyDescent="0.25">
      <c r="A253" s="9"/>
      <c r="B253" s="9"/>
      <c r="C253" s="9"/>
      <c r="D253" s="9"/>
      <c r="E253" s="14"/>
      <c r="F253" s="14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spans="1:19" ht="19.5" customHeight="1" x14ac:dyDescent="0.25">
      <c r="A254" s="9"/>
      <c r="B254" s="9"/>
      <c r="C254" s="9"/>
      <c r="D254" s="9"/>
      <c r="E254" s="14"/>
      <c r="F254" s="14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spans="1:19" ht="19.5" customHeight="1" x14ac:dyDescent="0.25">
      <c r="A255" s="9"/>
      <c r="B255" s="9"/>
      <c r="C255" s="9"/>
      <c r="D255" s="9"/>
      <c r="E255" s="14"/>
      <c r="F255" s="14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spans="1:19" ht="19.5" customHeight="1" x14ac:dyDescent="0.25">
      <c r="A256" s="9"/>
      <c r="B256" s="9"/>
      <c r="C256" s="9"/>
      <c r="D256" s="9"/>
      <c r="E256" s="14"/>
      <c r="F256" s="14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spans="1:19" ht="19.5" customHeight="1" x14ac:dyDescent="0.25">
      <c r="A257" s="9"/>
      <c r="B257" s="9"/>
      <c r="C257" s="9"/>
      <c r="D257" s="9"/>
      <c r="E257" s="14"/>
      <c r="F257" s="14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spans="1:19" ht="19.5" customHeight="1" x14ac:dyDescent="0.25">
      <c r="A258" s="9"/>
      <c r="B258" s="9"/>
      <c r="C258" s="9"/>
      <c r="D258" s="9"/>
      <c r="E258" s="14"/>
      <c r="F258" s="14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spans="1:19" ht="19.5" customHeight="1" x14ac:dyDescent="0.25">
      <c r="A259" s="9"/>
      <c r="B259" s="9"/>
      <c r="C259" s="9"/>
      <c r="D259" s="9"/>
      <c r="E259" s="14"/>
      <c r="F259" s="14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spans="1:19" ht="19.5" customHeight="1" x14ac:dyDescent="0.25">
      <c r="A260" s="9"/>
      <c r="B260" s="9"/>
      <c r="C260" s="9"/>
      <c r="D260" s="9"/>
      <c r="E260" s="14"/>
      <c r="F260" s="14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spans="1:19" ht="19.5" customHeight="1" x14ac:dyDescent="0.25">
      <c r="A261" s="9"/>
      <c r="B261" s="9"/>
      <c r="C261" s="9"/>
      <c r="D261" s="9"/>
      <c r="E261" s="14"/>
      <c r="F261" s="14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spans="1:19" ht="19.5" customHeight="1" x14ac:dyDescent="0.25">
      <c r="A262" s="9"/>
      <c r="B262" s="9"/>
      <c r="C262" s="9"/>
      <c r="D262" s="9"/>
      <c r="E262" s="14"/>
      <c r="F262" s="14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spans="1:19" ht="19.5" customHeight="1" x14ac:dyDescent="0.25">
      <c r="A263" s="9"/>
      <c r="B263" s="9"/>
      <c r="C263" s="9"/>
      <c r="D263" s="9"/>
      <c r="E263" s="14"/>
      <c r="F263" s="14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spans="1:19" ht="19.5" customHeight="1" x14ac:dyDescent="0.25">
      <c r="A264" s="9"/>
      <c r="B264" s="9"/>
      <c r="C264" s="9"/>
      <c r="D264" s="9"/>
      <c r="E264" s="14"/>
      <c r="F264" s="14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spans="1:19" ht="19.5" customHeight="1" x14ac:dyDescent="0.25">
      <c r="A265" s="9"/>
      <c r="B265" s="9"/>
      <c r="C265" s="9"/>
      <c r="D265" s="9"/>
      <c r="E265" s="14"/>
      <c r="F265" s="14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spans="1:19" ht="19.5" customHeight="1" x14ac:dyDescent="0.25">
      <c r="A266" s="9"/>
      <c r="B266" s="9"/>
      <c r="C266" s="9"/>
      <c r="D266" s="9"/>
      <c r="E266" s="14"/>
      <c r="F266" s="14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spans="1:19" ht="19.5" customHeight="1" x14ac:dyDescent="0.25">
      <c r="A267" s="9"/>
      <c r="B267" s="9"/>
      <c r="C267" s="9"/>
      <c r="D267" s="9"/>
      <c r="E267" s="14"/>
      <c r="F267" s="14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spans="1:19" ht="19.5" customHeight="1" x14ac:dyDescent="0.25">
      <c r="A268" s="9"/>
      <c r="B268" s="9"/>
      <c r="C268" s="9"/>
      <c r="D268" s="9"/>
      <c r="E268" s="14"/>
      <c r="F268" s="14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spans="1:19" ht="19.5" customHeight="1" x14ac:dyDescent="0.25">
      <c r="A269" s="9"/>
      <c r="B269" s="9"/>
      <c r="C269" s="9"/>
      <c r="D269" s="9"/>
      <c r="E269" s="14"/>
      <c r="F269" s="14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spans="1:19" ht="19.5" customHeight="1" x14ac:dyDescent="0.25">
      <c r="A270" s="9"/>
      <c r="B270" s="9"/>
      <c r="C270" s="9"/>
      <c r="D270" s="9"/>
      <c r="E270" s="14"/>
      <c r="F270" s="14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spans="1:19" ht="19.5" customHeight="1" x14ac:dyDescent="0.25">
      <c r="A271" s="9"/>
      <c r="B271" s="9"/>
      <c r="C271" s="9"/>
      <c r="D271" s="9"/>
      <c r="E271" s="14"/>
      <c r="F271" s="14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spans="1:19" ht="19.5" customHeight="1" x14ac:dyDescent="0.25">
      <c r="A272" s="9"/>
      <c r="B272" s="9"/>
      <c r="C272" s="9"/>
      <c r="D272" s="9"/>
      <c r="E272" s="14"/>
      <c r="F272" s="14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spans="1:19" ht="19.5" customHeight="1" x14ac:dyDescent="0.25">
      <c r="A273" s="9"/>
      <c r="B273" s="9"/>
      <c r="C273" s="9"/>
      <c r="D273" s="9"/>
      <c r="E273" s="14"/>
      <c r="F273" s="14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spans="1:19" ht="19.5" customHeight="1" x14ac:dyDescent="0.25">
      <c r="A274" s="9"/>
      <c r="B274" s="9"/>
      <c r="C274" s="9"/>
      <c r="D274" s="9"/>
      <c r="E274" s="14"/>
      <c r="F274" s="14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spans="1:19" ht="19.5" customHeight="1" x14ac:dyDescent="0.25">
      <c r="A275" s="9"/>
      <c r="B275" s="9"/>
      <c r="C275" s="9"/>
      <c r="D275" s="9"/>
      <c r="E275" s="14"/>
      <c r="F275" s="14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spans="1:19" ht="19.5" customHeight="1" x14ac:dyDescent="0.25">
      <c r="A276" s="9"/>
      <c r="B276" s="9"/>
      <c r="C276" s="9"/>
      <c r="D276" s="9"/>
      <c r="E276" s="14"/>
      <c r="F276" s="14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spans="1:19" ht="19.5" customHeight="1" x14ac:dyDescent="0.25">
      <c r="A277" s="9"/>
      <c r="B277" s="9"/>
      <c r="C277" s="9"/>
      <c r="D277" s="9"/>
      <c r="E277" s="14"/>
      <c r="F277" s="14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spans="1:19" ht="19.5" customHeight="1" x14ac:dyDescent="0.25">
      <c r="A278" s="9"/>
      <c r="B278" s="9"/>
      <c r="C278" s="9"/>
      <c r="D278" s="9"/>
      <c r="E278" s="14"/>
      <c r="F278" s="14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spans="1:19" ht="19.5" customHeight="1" x14ac:dyDescent="0.25">
      <c r="A279" s="9"/>
      <c r="B279" s="9"/>
      <c r="C279" s="9"/>
      <c r="D279" s="9"/>
      <c r="E279" s="14"/>
      <c r="F279" s="14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spans="1:19" ht="19.5" customHeight="1" x14ac:dyDescent="0.25">
      <c r="A280" s="9"/>
      <c r="B280" s="9"/>
      <c r="C280" s="9"/>
      <c r="D280" s="9"/>
      <c r="E280" s="14"/>
      <c r="F280" s="14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spans="1:19" ht="19.5" customHeight="1" x14ac:dyDescent="0.25">
      <c r="A281" s="9"/>
      <c r="B281" s="9"/>
      <c r="C281" s="9"/>
      <c r="D281" s="9"/>
      <c r="E281" s="14"/>
      <c r="F281" s="14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spans="1:19" ht="19.5" customHeight="1" x14ac:dyDescent="0.25">
      <c r="A282" s="9"/>
      <c r="B282" s="9"/>
      <c r="C282" s="9"/>
      <c r="D282" s="9"/>
      <c r="E282" s="14"/>
      <c r="F282" s="14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spans="1:19" ht="19.5" customHeight="1" x14ac:dyDescent="0.25">
      <c r="A283" s="9"/>
      <c r="B283" s="9"/>
      <c r="C283" s="9"/>
      <c r="D283" s="9"/>
      <c r="E283" s="14"/>
      <c r="F283" s="14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spans="1:19" ht="19.5" customHeight="1" x14ac:dyDescent="0.25">
      <c r="A284" s="9"/>
      <c r="B284" s="9"/>
      <c r="C284" s="9"/>
      <c r="D284" s="9"/>
      <c r="E284" s="14"/>
      <c r="F284" s="14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spans="1:19" ht="19.5" customHeight="1" x14ac:dyDescent="0.25">
      <c r="A285" s="9"/>
      <c r="B285" s="9"/>
      <c r="C285" s="9"/>
      <c r="D285" s="9"/>
      <c r="E285" s="14"/>
      <c r="F285" s="14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spans="1:19" ht="19.5" customHeight="1" x14ac:dyDescent="0.25">
      <c r="A286" s="9"/>
      <c r="B286" s="9"/>
      <c r="C286" s="9"/>
      <c r="D286" s="9"/>
      <c r="E286" s="14"/>
      <c r="F286" s="14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spans="1:19" ht="19.5" customHeight="1" x14ac:dyDescent="0.25">
      <c r="A287" s="9"/>
      <c r="B287" s="9"/>
      <c r="C287" s="9"/>
      <c r="D287" s="9"/>
      <c r="E287" s="14"/>
      <c r="F287" s="14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spans="1:19" ht="19.5" customHeight="1" x14ac:dyDescent="0.25">
      <c r="A288" s="9"/>
      <c r="B288" s="9"/>
      <c r="C288" s="9"/>
      <c r="D288" s="9"/>
      <c r="E288" s="14"/>
      <c r="F288" s="14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spans="1:19" ht="19.5" customHeight="1" x14ac:dyDescent="0.25">
      <c r="A289" s="9"/>
      <c r="B289" s="9"/>
      <c r="C289" s="9"/>
      <c r="D289" s="9"/>
      <c r="E289" s="14"/>
      <c r="F289" s="14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spans="1:19" ht="19.5" customHeight="1" x14ac:dyDescent="0.25">
      <c r="A290" s="9"/>
      <c r="B290" s="9"/>
      <c r="C290" s="9"/>
      <c r="D290" s="9"/>
      <c r="E290" s="14"/>
      <c r="F290" s="14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spans="1:19" ht="19.5" customHeight="1" x14ac:dyDescent="0.25">
      <c r="A291" s="9"/>
      <c r="B291" s="9"/>
      <c r="C291" s="9"/>
      <c r="D291" s="9"/>
      <c r="E291" s="14"/>
      <c r="F291" s="14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spans="1:19" ht="19.5" customHeight="1" x14ac:dyDescent="0.25">
      <c r="A292" s="9"/>
      <c r="B292" s="9"/>
      <c r="C292" s="9"/>
      <c r="D292" s="9"/>
      <c r="E292" s="14"/>
      <c r="F292" s="14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spans="1:19" ht="19.5" customHeight="1" x14ac:dyDescent="0.25">
      <c r="A293" s="9"/>
      <c r="B293" s="9"/>
      <c r="C293" s="9"/>
      <c r="D293" s="9"/>
      <c r="E293" s="14"/>
      <c r="F293" s="14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spans="1:19" ht="19.5" customHeight="1" x14ac:dyDescent="0.25">
      <c r="A294" s="9"/>
      <c r="B294" s="9"/>
      <c r="C294" s="9"/>
      <c r="D294" s="9"/>
      <c r="E294" s="14"/>
      <c r="F294" s="14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spans="1:19" ht="19.5" customHeight="1" x14ac:dyDescent="0.25">
      <c r="A295" s="9"/>
      <c r="B295" s="9"/>
      <c r="C295" s="9"/>
      <c r="D295" s="9"/>
      <c r="E295" s="14"/>
      <c r="F295" s="14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spans="1:19" ht="19.5" customHeight="1" x14ac:dyDescent="0.25">
      <c r="A296" s="9"/>
      <c r="B296" s="9"/>
      <c r="C296" s="9"/>
      <c r="D296" s="9"/>
      <c r="E296" s="14"/>
      <c r="F296" s="14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spans="1:19" ht="19.5" customHeight="1" x14ac:dyDescent="0.25">
      <c r="A297" s="9"/>
      <c r="B297" s="9"/>
      <c r="C297" s="9"/>
      <c r="D297" s="9"/>
      <c r="E297" s="14"/>
      <c r="F297" s="14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spans="1:19" ht="19.5" customHeight="1" x14ac:dyDescent="0.25">
      <c r="A298" s="9"/>
      <c r="B298" s="9"/>
      <c r="C298" s="9"/>
      <c r="D298" s="9"/>
      <c r="E298" s="14"/>
      <c r="F298" s="14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spans="1:19" ht="19.5" customHeight="1" x14ac:dyDescent="0.25">
      <c r="A299" s="9"/>
      <c r="B299" s="9"/>
      <c r="C299" s="9"/>
      <c r="D299" s="9"/>
      <c r="E299" s="14"/>
      <c r="F299" s="14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spans="1:19" ht="19.5" customHeight="1" x14ac:dyDescent="0.25">
      <c r="A300" s="9"/>
      <c r="B300" s="9"/>
      <c r="C300" s="9"/>
      <c r="D300" s="9"/>
      <c r="E300" s="14"/>
      <c r="F300" s="14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spans="1:19" ht="19.5" customHeight="1" x14ac:dyDescent="0.25">
      <c r="A301" s="9"/>
      <c r="B301" s="9"/>
      <c r="C301" s="9"/>
      <c r="D301" s="9"/>
      <c r="E301" s="14"/>
      <c r="F301" s="14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spans="1:19" ht="19.5" customHeight="1" x14ac:dyDescent="0.25">
      <c r="A302" s="9"/>
      <c r="B302" s="9"/>
      <c r="C302" s="9"/>
      <c r="D302" s="9"/>
      <c r="E302" s="14"/>
      <c r="F302" s="14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spans="1:19" ht="19.5" customHeight="1" x14ac:dyDescent="0.25">
      <c r="A303" s="9"/>
      <c r="B303" s="9"/>
      <c r="C303" s="9"/>
      <c r="D303" s="9"/>
      <c r="E303" s="14"/>
      <c r="F303" s="14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spans="1:19" ht="19.5" customHeight="1" x14ac:dyDescent="0.25">
      <c r="A304" s="9"/>
      <c r="B304" s="9"/>
      <c r="C304" s="9"/>
      <c r="D304" s="9"/>
      <c r="E304" s="14"/>
      <c r="F304" s="14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spans="1:19" ht="19.5" customHeight="1" x14ac:dyDescent="0.25">
      <c r="A305" s="9"/>
      <c r="B305" s="9"/>
      <c r="C305" s="9"/>
      <c r="D305" s="9"/>
      <c r="E305" s="14"/>
      <c r="F305" s="14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spans="1:19" ht="19.5" customHeight="1" x14ac:dyDescent="0.25">
      <c r="A306" s="9"/>
      <c r="B306" s="9"/>
      <c r="C306" s="9"/>
      <c r="D306" s="9"/>
      <c r="E306" s="14"/>
      <c r="F306" s="14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spans="1:19" ht="19.5" customHeight="1" x14ac:dyDescent="0.25">
      <c r="A307" s="9"/>
      <c r="B307" s="9"/>
      <c r="C307" s="9"/>
      <c r="D307" s="9"/>
      <c r="E307" s="14"/>
      <c r="F307" s="14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spans="1:19" ht="19.5" customHeight="1" x14ac:dyDescent="0.25">
      <c r="A308" s="9"/>
      <c r="B308" s="9"/>
      <c r="C308" s="9"/>
      <c r="D308" s="9"/>
      <c r="E308" s="14"/>
      <c r="F308" s="14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spans="1:19" ht="19.5" customHeight="1" x14ac:dyDescent="0.25">
      <c r="A309" s="9"/>
      <c r="B309" s="9"/>
      <c r="C309" s="9"/>
      <c r="D309" s="9"/>
      <c r="E309" s="14"/>
      <c r="F309" s="14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spans="1:19" ht="19.5" customHeight="1" x14ac:dyDescent="0.25">
      <c r="A310" s="9"/>
      <c r="B310" s="9"/>
      <c r="C310" s="9"/>
      <c r="D310" s="9"/>
      <c r="E310" s="14"/>
      <c r="F310" s="14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spans="1:19" ht="19.5" customHeight="1" x14ac:dyDescent="0.25">
      <c r="A311" s="9"/>
      <c r="B311" s="9"/>
      <c r="C311" s="9"/>
      <c r="D311" s="9"/>
      <c r="E311" s="14"/>
      <c r="F311" s="14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spans="1:19" ht="19.5" customHeight="1" x14ac:dyDescent="0.25">
      <c r="A312" s="9"/>
      <c r="B312" s="9"/>
      <c r="C312" s="9"/>
      <c r="D312" s="9"/>
      <c r="E312" s="14"/>
      <c r="F312" s="14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spans="1:19" ht="19.5" customHeight="1" x14ac:dyDescent="0.25">
      <c r="A313" s="9"/>
      <c r="B313" s="9"/>
      <c r="C313" s="9"/>
      <c r="D313" s="9"/>
      <c r="E313" s="14"/>
      <c r="F313" s="14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spans="1:19" ht="19.5" customHeight="1" x14ac:dyDescent="0.25">
      <c r="A314" s="9"/>
      <c r="B314" s="9"/>
      <c r="C314" s="9"/>
      <c r="D314" s="9"/>
      <c r="E314" s="14"/>
      <c r="F314" s="14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spans="1:19" ht="19.5" customHeight="1" x14ac:dyDescent="0.25">
      <c r="A315" s="9"/>
      <c r="B315" s="9"/>
      <c r="C315" s="9"/>
      <c r="D315" s="9"/>
      <c r="E315" s="14"/>
      <c r="F315" s="14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spans="1:19" ht="19.5" customHeight="1" x14ac:dyDescent="0.25">
      <c r="A316" s="9"/>
      <c r="B316" s="9"/>
      <c r="C316" s="9"/>
      <c r="D316" s="9"/>
      <c r="E316" s="14"/>
      <c r="F316" s="14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spans="1:19" ht="19.5" customHeight="1" x14ac:dyDescent="0.25">
      <c r="A317" s="9"/>
      <c r="B317" s="9"/>
      <c r="C317" s="9"/>
      <c r="D317" s="9"/>
      <c r="E317" s="14"/>
      <c r="F317" s="14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spans="1:19" ht="19.5" customHeight="1" x14ac:dyDescent="0.25">
      <c r="A318" s="9"/>
      <c r="B318" s="9"/>
      <c r="C318" s="9"/>
      <c r="D318" s="9"/>
      <c r="E318" s="14"/>
      <c r="F318" s="14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spans="1:19" ht="19.5" customHeight="1" x14ac:dyDescent="0.25">
      <c r="A319" s="9"/>
      <c r="B319" s="9"/>
      <c r="C319" s="9"/>
      <c r="D319" s="9"/>
      <c r="E319" s="14"/>
      <c r="F319" s="14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spans="1:19" ht="19.5" customHeight="1" x14ac:dyDescent="0.25">
      <c r="A320" s="9"/>
      <c r="B320" s="9"/>
      <c r="C320" s="9"/>
      <c r="D320" s="9"/>
      <c r="E320" s="14"/>
      <c r="F320" s="14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spans="1:19" ht="19.5" customHeight="1" x14ac:dyDescent="0.25">
      <c r="A321" s="9"/>
      <c r="B321" s="9"/>
      <c r="C321" s="9"/>
      <c r="D321" s="9"/>
      <c r="E321" s="14"/>
      <c r="F321" s="14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spans="1:19" ht="19.5" customHeight="1" x14ac:dyDescent="0.25">
      <c r="A322" s="9"/>
      <c r="B322" s="9"/>
      <c r="C322" s="9"/>
      <c r="D322" s="9"/>
      <c r="E322" s="14"/>
      <c r="F322" s="14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spans="1:19" ht="19.5" customHeight="1" x14ac:dyDescent="0.25">
      <c r="A323" s="9"/>
      <c r="B323" s="9"/>
      <c r="C323" s="9"/>
      <c r="D323" s="9"/>
      <c r="E323" s="14"/>
      <c r="F323" s="14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spans="1:19" ht="19.5" customHeight="1" x14ac:dyDescent="0.25">
      <c r="A324" s="9"/>
      <c r="B324" s="9"/>
      <c r="C324" s="9"/>
      <c r="D324" s="9"/>
      <c r="E324" s="14"/>
      <c r="F324" s="14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spans="1:19" ht="19.5" customHeight="1" x14ac:dyDescent="0.25">
      <c r="A325" s="9"/>
      <c r="B325" s="9"/>
      <c r="C325" s="9"/>
      <c r="D325" s="9"/>
      <c r="E325" s="14"/>
      <c r="F325" s="14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spans="1:19" ht="19.5" customHeight="1" x14ac:dyDescent="0.25">
      <c r="A326" s="9"/>
      <c r="B326" s="9"/>
      <c r="C326" s="9"/>
      <c r="D326" s="9"/>
      <c r="E326" s="14"/>
      <c r="F326" s="14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spans="1:19" ht="19.5" customHeight="1" x14ac:dyDescent="0.25">
      <c r="A327" s="9"/>
      <c r="B327" s="9"/>
      <c r="C327" s="9"/>
      <c r="D327" s="9"/>
      <c r="E327" s="14"/>
      <c r="F327" s="14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spans="1:19" ht="19.5" customHeight="1" x14ac:dyDescent="0.25">
      <c r="A328" s="9"/>
      <c r="B328" s="9"/>
      <c r="C328" s="9"/>
      <c r="D328" s="9"/>
      <c r="E328" s="14"/>
      <c r="F328" s="14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spans="1:19" ht="19.5" customHeight="1" x14ac:dyDescent="0.25">
      <c r="A329" s="9"/>
      <c r="B329" s="9"/>
      <c r="C329" s="9"/>
      <c r="D329" s="9"/>
      <c r="E329" s="14"/>
      <c r="F329" s="14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spans="1:19" ht="19.5" customHeight="1" x14ac:dyDescent="0.25">
      <c r="A330" s="9"/>
      <c r="B330" s="9"/>
      <c r="C330" s="9"/>
      <c r="D330" s="9"/>
      <c r="E330" s="14"/>
      <c r="F330" s="14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spans="1:19" ht="19.5" customHeight="1" x14ac:dyDescent="0.25">
      <c r="A331" s="9"/>
      <c r="B331" s="9"/>
      <c r="C331" s="9"/>
      <c r="D331" s="9"/>
      <c r="E331" s="14"/>
      <c r="F331" s="14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spans="1:19" ht="19.5" customHeight="1" x14ac:dyDescent="0.25">
      <c r="A332" s="9"/>
      <c r="B332" s="9"/>
      <c r="C332" s="9"/>
      <c r="D332" s="9"/>
      <c r="E332" s="14"/>
      <c r="F332" s="14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spans="1:19" ht="19.5" customHeight="1" x14ac:dyDescent="0.25">
      <c r="A333" s="9"/>
      <c r="B333" s="9"/>
      <c r="C333" s="9"/>
      <c r="D333" s="9"/>
      <c r="E333" s="14"/>
      <c r="F333" s="14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spans="1:19" ht="19.5" customHeight="1" x14ac:dyDescent="0.25">
      <c r="A334" s="9"/>
      <c r="B334" s="9"/>
      <c r="C334" s="9"/>
      <c r="D334" s="9"/>
      <c r="E334" s="14"/>
      <c r="F334" s="14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spans="1:19" ht="19.5" customHeight="1" x14ac:dyDescent="0.25">
      <c r="A335" s="9"/>
      <c r="B335" s="9"/>
      <c r="C335" s="9"/>
      <c r="D335" s="9"/>
      <c r="E335" s="14"/>
      <c r="F335" s="14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spans="1:19" ht="19.5" customHeight="1" x14ac:dyDescent="0.25">
      <c r="A336" s="9"/>
      <c r="B336" s="9"/>
      <c r="C336" s="9"/>
      <c r="D336" s="9"/>
      <c r="E336" s="14"/>
      <c r="F336" s="14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spans="1:19" ht="19.5" customHeight="1" x14ac:dyDescent="0.25">
      <c r="A337" s="9"/>
      <c r="B337" s="9"/>
      <c r="C337" s="9"/>
      <c r="D337" s="9"/>
      <c r="E337" s="14"/>
      <c r="F337" s="14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spans="1:19" ht="19.5" customHeight="1" x14ac:dyDescent="0.25">
      <c r="A338" s="9"/>
      <c r="B338" s="9"/>
      <c r="C338" s="9"/>
      <c r="D338" s="9"/>
      <c r="E338" s="14"/>
      <c r="F338" s="14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spans="1:19" ht="19.5" customHeight="1" x14ac:dyDescent="0.25">
      <c r="A339" s="9"/>
      <c r="B339" s="9"/>
      <c r="C339" s="9"/>
      <c r="D339" s="9"/>
      <c r="E339" s="14"/>
      <c r="F339" s="14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spans="1:19" ht="19.5" customHeight="1" x14ac:dyDescent="0.25">
      <c r="A340" s="9"/>
      <c r="B340" s="9"/>
      <c r="C340" s="9"/>
      <c r="D340" s="9"/>
      <c r="E340" s="14"/>
      <c r="F340" s="14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spans="1:19" ht="19.5" customHeight="1" x14ac:dyDescent="0.25">
      <c r="A341" s="9"/>
      <c r="B341" s="9"/>
      <c r="C341" s="9"/>
      <c r="D341" s="9"/>
      <c r="E341" s="14"/>
      <c r="F341" s="14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spans="1:19" ht="19.5" customHeight="1" x14ac:dyDescent="0.25">
      <c r="A342" s="9"/>
      <c r="B342" s="9"/>
      <c r="C342" s="9"/>
      <c r="D342" s="9"/>
      <c r="E342" s="14"/>
      <c r="F342" s="14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spans="1:19" ht="19.5" customHeight="1" x14ac:dyDescent="0.25">
      <c r="A343" s="9"/>
      <c r="B343" s="9"/>
      <c r="C343" s="9"/>
      <c r="D343" s="9"/>
      <c r="E343" s="14"/>
      <c r="F343" s="14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spans="1:19" ht="19.5" customHeight="1" x14ac:dyDescent="0.25">
      <c r="A344" s="9"/>
      <c r="B344" s="9"/>
      <c r="C344" s="9"/>
      <c r="D344" s="9"/>
      <c r="E344" s="14"/>
      <c r="F344" s="14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spans="1:19" ht="19.5" customHeight="1" x14ac:dyDescent="0.25">
      <c r="A345" s="9"/>
      <c r="B345" s="9"/>
      <c r="C345" s="9"/>
      <c r="D345" s="9"/>
      <c r="E345" s="14"/>
      <c r="F345" s="14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spans="1:19" ht="19.5" customHeight="1" x14ac:dyDescent="0.25">
      <c r="A346" s="9"/>
      <c r="B346" s="9"/>
      <c r="C346" s="9"/>
      <c r="D346" s="9"/>
      <c r="E346" s="14"/>
      <c r="F346" s="14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spans="1:19" ht="19.5" customHeight="1" x14ac:dyDescent="0.25">
      <c r="A347" s="9"/>
      <c r="B347" s="9"/>
      <c r="C347" s="9"/>
      <c r="D347" s="9"/>
      <c r="E347" s="14"/>
      <c r="F347" s="14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spans="1:19" ht="19.5" customHeight="1" x14ac:dyDescent="0.25">
      <c r="A348" s="9"/>
      <c r="B348" s="9"/>
      <c r="C348" s="9"/>
      <c r="D348" s="9"/>
      <c r="E348" s="14"/>
      <c r="F348" s="14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spans="1:19" ht="19.5" customHeight="1" x14ac:dyDescent="0.25">
      <c r="A349" s="9"/>
      <c r="B349" s="9"/>
      <c r="C349" s="9"/>
      <c r="D349" s="9"/>
      <c r="E349" s="14"/>
      <c r="F349" s="14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spans="1:19" ht="19.5" customHeight="1" x14ac:dyDescent="0.25">
      <c r="A350" s="9"/>
      <c r="B350" s="9"/>
      <c r="C350" s="9"/>
      <c r="D350" s="9"/>
      <c r="E350" s="14"/>
      <c r="F350" s="14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spans="1:19" ht="19.5" customHeight="1" x14ac:dyDescent="0.25">
      <c r="A351" s="9"/>
      <c r="B351" s="9"/>
      <c r="C351" s="9"/>
      <c r="D351" s="9"/>
      <c r="E351" s="14"/>
      <c r="F351" s="14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spans="1:19" ht="19.5" customHeight="1" x14ac:dyDescent="0.25">
      <c r="A352" s="9"/>
      <c r="B352" s="9"/>
      <c r="C352" s="9"/>
      <c r="D352" s="9"/>
      <c r="E352" s="14"/>
      <c r="F352" s="14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spans="1:19" ht="19.5" customHeight="1" x14ac:dyDescent="0.25">
      <c r="A353" s="9"/>
      <c r="B353" s="9"/>
      <c r="C353" s="9"/>
      <c r="D353" s="9"/>
      <c r="E353" s="14"/>
      <c r="F353" s="14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spans="1:19" ht="19.5" customHeight="1" x14ac:dyDescent="0.25">
      <c r="A354" s="9"/>
      <c r="B354" s="9"/>
      <c r="C354" s="9"/>
      <c r="D354" s="9"/>
      <c r="E354" s="14"/>
      <c r="F354" s="14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spans="1:19" ht="19.5" customHeight="1" x14ac:dyDescent="0.25">
      <c r="A355" s="9"/>
      <c r="B355" s="9"/>
      <c r="C355" s="9"/>
      <c r="D355" s="9"/>
      <c r="E355" s="14"/>
      <c r="F355" s="14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spans="1:19" ht="19.5" customHeight="1" x14ac:dyDescent="0.25">
      <c r="A356" s="9"/>
      <c r="B356" s="9"/>
      <c r="C356" s="9"/>
      <c r="D356" s="9"/>
      <c r="E356" s="14"/>
      <c r="F356" s="14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spans="1:19" ht="19.5" customHeight="1" x14ac:dyDescent="0.25">
      <c r="A357" s="9"/>
      <c r="B357" s="9"/>
      <c r="C357" s="9"/>
      <c r="D357" s="9"/>
      <c r="E357" s="14"/>
      <c r="F357" s="14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spans="1:19" ht="19.5" customHeight="1" x14ac:dyDescent="0.25">
      <c r="A358" s="9"/>
      <c r="B358" s="9"/>
      <c r="C358" s="9"/>
      <c r="D358" s="9"/>
      <c r="E358" s="14"/>
      <c r="F358" s="14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spans="1:19" ht="19.5" customHeight="1" x14ac:dyDescent="0.25">
      <c r="A359" s="9"/>
      <c r="B359" s="9"/>
      <c r="C359" s="9"/>
      <c r="D359" s="9"/>
      <c r="E359" s="14"/>
      <c r="F359" s="14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spans="1:19" ht="19.5" customHeight="1" x14ac:dyDescent="0.25">
      <c r="A360" s="9"/>
      <c r="B360" s="9"/>
      <c r="C360" s="9"/>
      <c r="D360" s="9"/>
      <c r="E360" s="14"/>
      <c r="F360" s="14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spans="1:19" ht="19.5" customHeight="1" x14ac:dyDescent="0.25">
      <c r="A361" s="9"/>
      <c r="B361" s="9"/>
      <c r="C361" s="9"/>
      <c r="D361" s="9"/>
      <c r="E361" s="14"/>
      <c r="F361" s="14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spans="1:19" ht="19.5" customHeight="1" x14ac:dyDescent="0.25">
      <c r="A362" s="9"/>
      <c r="B362" s="9"/>
      <c r="C362" s="9"/>
      <c r="D362" s="9"/>
      <c r="E362" s="14"/>
      <c r="F362" s="14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spans="1:19" ht="19.5" customHeight="1" x14ac:dyDescent="0.25">
      <c r="A363" s="9"/>
      <c r="B363" s="9"/>
      <c r="C363" s="9"/>
      <c r="D363" s="9"/>
      <c r="E363" s="14"/>
      <c r="F363" s="14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spans="1:19" ht="19.5" customHeight="1" x14ac:dyDescent="0.25">
      <c r="A364" s="9"/>
      <c r="B364" s="9"/>
      <c r="C364" s="9"/>
      <c r="D364" s="9"/>
      <c r="E364" s="14"/>
      <c r="F364" s="14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spans="1:19" ht="19.5" customHeight="1" x14ac:dyDescent="0.25">
      <c r="A365" s="9"/>
      <c r="B365" s="9"/>
      <c r="C365" s="9"/>
      <c r="D365" s="9"/>
      <c r="E365" s="14"/>
      <c r="F365" s="14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spans="1:19" ht="19.5" customHeight="1" x14ac:dyDescent="0.25">
      <c r="A366" s="9"/>
      <c r="B366" s="9"/>
      <c r="C366" s="9"/>
      <c r="D366" s="9"/>
      <c r="E366" s="14"/>
      <c r="F366" s="14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spans="1:19" ht="19.5" customHeight="1" x14ac:dyDescent="0.25">
      <c r="A367" s="9"/>
      <c r="B367" s="9"/>
      <c r="C367" s="9"/>
      <c r="D367" s="9"/>
      <c r="E367" s="14"/>
      <c r="F367" s="14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spans="1:19" ht="19.5" customHeight="1" x14ac:dyDescent="0.25">
      <c r="A368" s="9"/>
      <c r="B368" s="9"/>
      <c r="C368" s="9"/>
      <c r="D368" s="9"/>
      <c r="E368" s="14"/>
      <c r="F368" s="14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spans="1:19" ht="19.5" customHeight="1" x14ac:dyDescent="0.25">
      <c r="A369" s="9"/>
      <c r="B369" s="9"/>
      <c r="C369" s="9"/>
      <c r="D369" s="9"/>
      <c r="E369" s="14"/>
      <c r="F369" s="14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spans="1:19" ht="19.5" customHeight="1" x14ac:dyDescent="0.25">
      <c r="A370" s="9"/>
      <c r="B370" s="9"/>
      <c r="C370" s="9"/>
      <c r="D370" s="9"/>
      <c r="E370" s="14"/>
      <c r="F370" s="14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spans="1:19" ht="19.5" customHeight="1" x14ac:dyDescent="0.25">
      <c r="A371" s="9"/>
      <c r="B371" s="9"/>
      <c r="C371" s="9"/>
      <c r="D371" s="9"/>
      <c r="E371" s="14"/>
      <c r="F371" s="14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spans="1:19" ht="19.5" customHeight="1" x14ac:dyDescent="0.25">
      <c r="A372" s="9"/>
      <c r="B372" s="9"/>
      <c r="C372" s="9"/>
      <c r="D372" s="9"/>
      <c r="E372" s="14"/>
      <c r="F372" s="14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spans="1:19" ht="19.5" customHeight="1" x14ac:dyDescent="0.25">
      <c r="A373" s="9"/>
      <c r="B373" s="9"/>
      <c r="C373" s="9"/>
      <c r="D373" s="9"/>
      <c r="E373" s="14"/>
      <c r="F373" s="14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spans="1:19" ht="19.5" customHeight="1" x14ac:dyDescent="0.25">
      <c r="A374" s="9"/>
      <c r="B374" s="9"/>
      <c r="C374" s="9"/>
      <c r="D374" s="9"/>
      <c r="E374" s="14"/>
      <c r="F374" s="14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spans="1:19" ht="19.5" customHeight="1" x14ac:dyDescent="0.25">
      <c r="A375" s="9"/>
      <c r="B375" s="9"/>
      <c r="C375" s="9"/>
      <c r="D375" s="9"/>
      <c r="E375" s="14"/>
      <c r="F375" s="14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spans="1:19" ht="19.5" customHeight="1" x14ac:dyDescent="0.25">
      <c r="A376" s="9"/>
      <c r="B376" s="9"/>
      <c r="C376" s="9"/>
      <c r="D376" s="9"/>
      <c r="E376" s="14"/>
      <c r="F376" s="14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spans="1:19" ht="19.5" customHeight="1" x14ac:dyDescent="0.25">
      <c r="A377" s="9"/>
      <c r="B377" s="9"/>
      <c r="C377" s="9"/>
      <c r="D377" s="9"/>
      <c r="E377" s="14"/>
      <c r="F377" s="14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spans="1:19" ht="19.5" customHeight="1" x14ac:dyDescent="0.25">
      <c r="A378" s="9"/>
      <c r="B378" s="9"/>
      <c r="C378" s="9"/>
      <c r="D378" s="9"/>
      <c r="E378" s="14"/>
      <c r="F378" s="14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spans="1:19" ht="19.5" customHeight="1" x14ac:dyDescent="0.25">
      <c r="A379" s="9"/>
      <c r="B379" s="9"/>
      <c r="C379" s="9"/>
      <c r="D379" s="9"/>
      <c r="E379" s="14"/>
      <c r="F379" s="14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spans="1:19" ht="19.5" customHeight="1" x14ac:dyDescent="0.25">
      <c r="A380" s="9"/>
      <c r="B380" s="9"/>
      <c r="C380" s="9"/>
      <c r="D380" s="9"/>
      <c r="E380" s="14"/>
      <c r="F380" s="14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spans="1:19" ht="19.5" customHeight="1" x14ac:dyDescent="0.25">
      <c r="A381" s="9"/>
      <c r="B381" s="9"/>
      <c r="C381" s="9"/>
      <c r="D381" s="9"/>
      <c r="E381" s="14"/>
      <c r="F381" s="14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spans="1:19" ht="19.5" customHeight="1" x14ac:dyDescent="0.25">
      <c r="A382" s="9"/>
      <c r="B382" s="9"/>
      <c r="C382" s="9"/>
      <c r="D382" s="9"/>
      <c r="E382" s="14"/>
      <c r="F382" s="14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spans="1:19" ht="19.5" customHeight="1" x14ac:dyDescent="0.25">
      <c r="A383" s="9"/>
      <c r="B383" s="9"/>
      <c r="C383" s="9"/>
      <c r="D383" s="9"/>
      <c r="E383" s="14"/>
      <c r="F383" s="14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spans="1:19" ht="19.5" customHeight="1" x14ac:dyDescent="0.25">
      <c r="A384" s="9"/>
      <c r="B384" s="9"/>
      <c r="C384" s="9"/>
      <c r="D384" s="9"/>
      <c r="E384" s="14"/>
      <c r="F384" s="14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spans="1:19" ht="19.5" customHeight="1" x14ac:dyDescent="0.25">
      <c r="A385" s="9"/>
      <c r="B385" s="9"/>
      <c r="C385" s="9"/>
      <c r="D385" s="9"/>
      <c r="E385" s="14"/>
      <c r="F385" s="14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spans="1:19" ht="19.5" customHeight="1" x14ac:dyDescent="0.25">
      <c r="A386" s="9"/>
      <c r="B386" s="9"/>
      <c r="C386" s="9"/>
      <c r="D386" s="9"/>
      <c r="E386" s="14"/>
      <c r="F386" s="14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spans="1:19" ht="19.5" customHeight="1" x14ac:dyDescent="0.25">
      <c r="A387" s="9"/>
      <c r="B387" s="9"/>
      <c r="C387" s="9"/>
      <c r="D387" s="9"/>
      <c r="E387" s="14"/>
      <c r="F387" s="14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spans="1:19" ht="19.5" customHeight="1" x14ac:dyDescent="0.25">
      <c r="A388" s="9"/>
      <c r="B388" s="9"/>
      <c r="C388" s="9"/>
      <c r="D388" s="9"/>
      <c r="E388" s="14"/>
      <c r="F388" s="14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spans="1:19" ht="19.5" customHeight="1" x14ac:dyDescent="0.25">
      <c r="A389" s="9"/>
      <c r="B389" s="9"/>
      <c r="C389" s="9"/>
      <c r="D389" s="9"/>
      <c r="E389" s="14"/>
      <c r="F389" s="14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spans="1:19" ht="19.5" customHeight="1" x14ac:dyDescent="0.25">
      <c r="A390" s="9"/>
      <c r="B390" s="9"/>
      <c r="C390" s="9"/>
      <c r="D390" s="9"/>
      <c r="E390" s="14"/>
      <c r="F390" s="14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spans="1:19" ht="19.5" customHeight="1" x14ac:dyDescent="0.25">
      <c r="A391" s="9"/>
      <c r="B391" s="9"/>
      <c r="C391" s="9"/>
      <c r="D391" s="9"/>
      <c r="E391" s="14"/>
      <c r="F391" s="14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spans="1:19" ht="19.5" customHeight="1" x14ac:dyDescent="0.25">
      <c r="A392" s="9"/>
      <c r="B392" s="9"/>
      <c r="C392" s="9"/>
      <c r="D392" s="9"/>
      <c r="E392" s="14"/>
      <c r="F392" s="14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spans="1:19" ht="19.5" customHeight="1" x14ac:dyDescent="0.25">
      <c r="A393" s="9"/>
      <c r="B393" s="9"/>
      <c r="C393" s="9"/>
      <c r="D393" s="9"/>
      <c r="E393" s="14"/>
      <c r="F393" s="14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spans="1:19" ht="19.5" customHeight="1" x14ac:dyDescent="0.25">
      <c r="A394" s="9"/>
      <c r="B394" s="9"/>
      <c r="C394" s="9"/>
      <c r="D394" s="9"/>
      <c r="E394" s="14"/>
      <c r="F394" s="14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spans="1:19" ht="19.5" customHeight="1" x14ac:dyDescent="0.25">
      <c r="A395" s="9"/>
      <c r="B395" s="9"/>
      <c r="C395" s="9"/>
      <c r="D395" s="9"/>
      <c r="E395" s="14"/>
      <c r="F395" s="14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spans="1:19" ht="19.5" customHeight="1" x14ac:dyDescent="0.25">
      <c r="A396" s="9"/>
      <c r="B396" s="9"/>
      <c r="C396" s="9"/>
      <c r="D396" s="9"/>
      <c r="E396" s="14"/>
      <c r="F396" s="14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spans="1:19" ht="19.5" customHeight="1" x14ac:dyDescent="0.25">
      <c r="A397" s="9"/>
      <c r="B397" s="9"/>
      <c r="C397" s="9"/>
      <c r="D397" s="9"/>
      <c r="E397" s="14"/>
      <c r="F397" s="14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spans="1:19" ht="19.5" customHeight="1" x14ac:dyDescent="0.25">
      <c r="A398" s="9"/>
      <c r="B398" s="9"/>
      <c r="C398" s="9"/>
      <c r="D398" s="9"/>
      <c r="E398" s="14"/>
      <c r="F398" s="14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spans="1:19" ht="19.5" customHeight="1" x14ac:dyDescent="0.25">
      <c r="A399" s="9"/>
      <c r="B399" s="9"/>
      <c r="C399" s="9"/>
      <c r="D399" s="9"/>
      <c r="E399" s="14"/>
      <c r="F399" s="14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spans="1:19" ht="19.5" customHeight="1" x14ac:dyDescent="0.25">
      <c r="A400" s="9"/>
      <c r="B400" s="9"/>
      <c r="C400" s="9"/>
      <c r="D400" s="9"/>
      <c r="E400" s="14"/>
      <c r="F400" s="14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spans="1:19" ht="19.5" customHeight="1" x14ac:dyDescent="0.25">
      <c r="A401" s="9"/>
      <c r="B401" s="9"/>
      <c r="C401" s="9"/>
      <c r="D401" s="9"/>
      <c r="E401" s="14"/>
      <c r="F401" s="14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spans="1:19" ht="19.5" customHeight="1" x14ac:dyDescent="0.25">
      <c r="A402" s="9"/>
      <c r="B402" s="9"/>
      <c r="C402" s="9"/>
      <c r="D402" s="9"/>
      <c r="E402" s="14"/>
      <c r="F402" s="14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spans="1:19" ht="19.5" customHeight="1" x14ac:dyDescent="0.25">
      <c r="A403" s="9"/>
      <c r="B403" s="9"/>
      <c r="C403" s="9"/>
      <c r="D403" s="9"/>
      <c r="E403" s="14"/>
      <c r="F403" s="14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spans="1:19" ht="19.5" customHeight="1" x14ac:dyDescent="0.25">
      <c r="A404" s="9"/>
      <c r="B404" s="9"/>
      <c r="C404" s="9"/>
      <c r="D404" s="9"/>
      <c r="E404" s="14"/>
      <c r="F404" s="14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spans="1:19" ht="19.5" customHeight="1" x14ac:dyDescent="0.25">
      <c r="A405" s="9"/>
      <c r="B405" s="9"/>
      <c r="C405" s="9"/>
      <c r="D405" s="9"/>
      <c r="E405" s="14"/>
      <c r="F405" s="14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spans="1:19" ht="19.5" customHeight="1" x14ac:dyDescent="0.25">
      <c r="A406" s="9"/>
      <c r="B406" s="9"/>
      <c r="C406" s="9"/>
      <c r="D406" s="9"/>
      <c r="E406" s="14"/>
      <c r="F406" s="14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spans="1:19" ht="19.5" customHeight="1" x14ac:dyDescent="0.25">
      <c r="A407" s="9"/>
      <c r="B407" s="9"/>
      <c r="C407" s="9"/>
      <c r="D407" s="9"/>
      <c r="E407" s="14"/>
      <c r="F407" s="14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spans="1:19" ht="19.5" customHeight="1" x14ac:dyDescent="0.25">
      <c r="A408" s="9"/>
      <c r="B408" s="9"/>
      <c r="C408" s="9"/>
      <c r="D408" s="9"/>
      <c r="E408" s="14"/>
      <c r="F408" s="14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spans="1:19" ht="19.5" customHeight="1" x14ac:dyDescent="0.25">
      <c r="A409" s="9"/>
      <c r="B409" s="9"/>
      <c r="C409" s="9"/>
      <c r="D409" s="9"/>
      <c r="E409" s="14"/>
      <c r="F409" s="14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spans="1:19" ht="19.5" customHeight="1" x14ac:dyDescent="0.25">
      <c r="A410" s="9"/>
      <c r="B410" s="9"/>
      <c r="C410" s="9"/>
      <c r="D410" s="9"/>
      <c r="E410" s="14"/>
      <c r="F410" s="14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spans="1:19" ht="19.5" customHeight="1" x14ac:dyDescent="0.25">
      <c r="A411" s="9"/>
      <c r="B411" s="9"/>
      <c r="C411" s="9"/>
      <c r="D411" s="9"/>
      <c r="E411" s="14"/>
      <c r="F411" s="14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spans="1:19" ht="19.5" customHeight="1" x14ac:dyDescent="0.25">
      <c r="A412" s="9"/>
      <c r="B412" s="9"/>
      <c r="C412" s="9"/>
      <c r="D412" s="9"/>
      <c r="E412" s="14"/>
      <c r="F412" s="14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spans="1:19" ht="19.5" customHeight="1" x14ac:dyDescent="0.25">
      <c r="A413" s="9"/>
      <c r="B413" s="9"/>
      <c r="C413" s="9"/>
      <c r="D413" s="9"/>
      <c r="E413" s="14"/>
      <c r="F413" s="14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spans="1:19" ht="19.5" customHeight="1" x14ac:dyDescent="0.25">
      <c r="A414" s="9"/>
      <c r="B414" s="9"/>
      <c r="C414" s="9"/>
      <c r="D414" s="9"/>
      <c r="E414" s="14"/>
      <c r="F414" s="14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spans="1:19" ht="19.5" customHeight="1" x14ac:dyDescent="0.25">
      <c r="A415" s="9"/>
      <c r="B415" s="9"/>
      <c r="C415" s="9"/>
      <c r="D415" s="9"/>
      <c r="E415" s="14"/>
      <c r="F415" s="14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spans="1:19" ht="19.5" customHeight="1" x14ac:dyDescent="0.25">
      <c r="A416" s="9"/>
      <c r="B416" s="9"/>
      <c r="C416" s="9"/>
      <c r="D416" s="9"/>
      <c r="E416" s="14"/>
      <c r="F416" s="14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spans="1:19" ht="19.5" customHeight="1" x14ac:dyDescent="0.25">
      <c r="A417" s="9"/>
      <c r="B417" s="9"/>
      <c r="C417" s="9"/>
      <c r="D417" s="9"/>
      <c r="E417" s="14"/>
      <c r="F417" s="14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spans="1:19" ht="19.5" customHeight="1" x14ac:dyDescent="0.25">
      <c r="A418" s="9"/>
      <c r="B418" s="9"/>
      <c r="C418" s="9"/>
      <c r="D418" s="9"/>
      <c r="E418" s="14"/>
      <c r="F418" s="14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spans="1:19" ht="19.5" customHeight="1" x14ac:dyDescent="0.25">
      <c r="A419" s="9"/>
      <c r="B419" s="9"/>
      <c r="C419" s="9"/>
      <c r="D419" s="9"/>
      <c r="E419" s="14"/>
      <c r="F419" s="14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spans="1:19" ht="19.5" customHeight="1" x14ac:dyDescent="0.25">
      <c r="A420" s="9"/>
      <c r="B420" s="9"/>
      <c r="C420" s="9"/>
      <c r="D420" s="9"/>
      <c r="E420" s="14"/>
      <c r="F420" s="14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spans="1:19" ht="19.5" customHeight="1" x14ac:dyDescent="0.25">
      <c r="A421" s="9"/>
      <c r="B421" s="9"/>
      <c r="C421" s="9"/>
      <c r="D421" s="9"/>
      <c r="E421" s="14"/>
      <c r="F421" s="14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spans="1:19" ht="19.5" customHeight="1" x14ac:dyDescent="0.25">
      <c r="A422" s="9"/>
      <c r="B422" s="9"/>
      <c r="C422" s="9"/>
      <c r="D422" s="9"/>
      <c r="E422" s="14"/>
      <c r="F422" s="14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spans="1:19" ht="19.5" customHeight="1" x14ac:dyDescent="0.25">
      <c r="A423" s="9"/>
      <c r="B423" s="9"/>
      <c r="C423" s="9"/>
      <c r="D423" s="9"/>
      <c r="E423" s="14"/>
      <c r="F423" s="14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spans="1:19" ht="19.5" customHeight="1" x14ac:dyDescent="0.25">
      <c r="A424" s="9"/>
      <c r="B424" s="9"/>
      <c r="C424" s="9"/>
      <c r="D424" s="9"/>
      <c r="E424" s="14"/>
      <c r="F424" s="14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spans="1:19" ht="19.5" customHeight="1" x14ac:dyDescent="0.25">
      <c r="A425" s="9"/>
      <c r="B425" s="9"/>
      <c r="C425" s="9"/>
      <c r="D425" s="9"/>
      <c r="E425" s="14"/>
      <c r="F425" s="14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spans="1:19" ht="19.5" customHeight="1" x14ac:dyDescent="0.25">
      <c r="A426" s="9"/>
      <c r="B426" s="9"/>
      <c r="C426" s="9"/>
      <c r="D426" s="9"/>
      <c r="E426" s="14"/>
      <c r="F426" s="14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spans="1:19" ht="19.5" customHeight="1" x14ac:dyDescent="0.25">
      <c r="A427" s="9"/>
      <c r="B427" s="9"/>
      <c r="C427" s="9"/>
      <c r="D427" s="9"/>
      <c r="E427" s="14"/>
      <c r="F427" s="14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spans="1:19" ht="19.5" customHeight="1" x14ac:dyDescent="0.25">
      <c r="A428" s="9"/>
      <c r="B428" s="9"/>
      <c r="C428" s="9"/>
      <c r="D428" s="9"/>
      <c r="E428" s="14"/>
      <c r="F428" s="14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spans="1:19" ht="19.5" customHeight="1" x14ac:dyDescent="0.25">
      <c r="A429" s="9"/>
      <c r="B429" s="9"/>
      <c r="C429" s="9"/>
      <c r="D429" s="9"/>
      <c r="E429" s="14"/>
      <c r="F429" s="14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spans="1:19" ht="19.5" customHeight="1" x14ac:dyDescent="0.25">
      <c r="A430" s="9"/>
      <c r="B430" s="9"/>
      <c r="C430" s="9"/>
      <c r="D430" s="9"/>
      <c r="E430" s="14"/>
      <c r="F430" s="14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spans="1:19" ht="19.5" customHeight="1" x14ac:dyDescent="0.25">
      <c r="A431" s="9"/>
      <c r="B431" s="9"/>
      <c r="C431" s="9"/>
      <c r="D431" s="9"/>
      <c r="E431" s="14"/>
      <c r="F431" s="14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spans="1:19" ht="19.5" customHeight="1" x14ac:dyDescent="0.25">
      <c r="A432" s="9"/>
      <c r="B432" s="9"/>
      <c r="C432" s="9"/>
      <c r="D432" s="9"/>
      <c r="E432" s="14"/>
      <c r="F432" s="14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spans="1:19" ht="19.5" customHeight="1" x14ac:dyDescent="0.25">
      <c r="A433" s="9"/>
      <c r="B433" s="9"/>
      <c r="C433" s="9"/>
      <c r="D433" s="9"/>
      <c r="E433" s="14"/>
      <c r="F433" s="14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spans="1:19" ht="19.5" customHeight="1" x14ac:dyDescent="0.25">
      <c r="A434" s="9"/>
      <c r="B434" s="9"/>
      <c r="C434" s="9"/>
      <c r="D434" s="9"/>
      <c r="E434" s="14"/>
      <c r="F434" s="14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spans="1:19" ht="19.5" customHeight="1" x14ac:dyDescent="0.25">
      <c r="A435" s="9"/>
      <c r="B435" s="9"/>
      <c r="C435" s="9"/>
      <c r="D435" s="9"/>
      <c r="E435" s="14"/>
      <c r="F435" s="14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spans="1:19" ht="19.5" customHeight="1" x14ac:dyDescent="0.25">
      <c r="A436" s="9"/>
      <c r="B436" s="9"/>
      <c r="C436" s="9"/>
      <c r="D436" s="9"/>
      <c r="E436" s="14"/>
      <c r="F436" s="14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spans="1:19" ht="19.5" customHeight="1" x14ac:dyDescent="0.25">
      <c r="A437" s="9"/>
      <c r="B437" s="9"/>
      <c r="C437" s="9"/>
      <c r="D437" s="9"/>
      <c r="E437" s="14"/>
      <c r="F437" s="14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spans="1:19" ht="19.5" customHeight="1" x14ac:dyDescent="0.25">
      <c r="A438" s="9"/>
      <c r="B438" s="9"/>
      <c r="C438" s="9"/>
      <c r="D438" s="9"/>
      <c r="E438" s="14"/>
      <c r="F438" s="14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spans="1:19" ht="19.5" customHeight="1" x14ac:dyDescent="0.25">
      <c r="A439" s="9"/>
      <c r="B439" s="9"/>
      <c r="C439" s="9"/>
      <c r="D439" s="9"/>
      <c r="E439" s="14"/>
      <c r="F439" s="14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spans="1:19" ht="19.5" customHeight="1" x14ac:dyDescent="0.25">
      <c r="A440" s="9"/>
      <c r="B440" s="9"/>
      <c r="C440" s="9"/>
      <c r="D440" s="9"/>
      <c r="E440" s="14"/>
      <c r="F440" s="14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spans="1:19" ht="19.5" customHeight="1" x14ac:dyDescent="0.25">
      <c r="A441" s="9"/>
      <c r="B441" s="9"/>
      <c r="C441" s="9"/>
      <c r="D441" s="9"/>
      <c r="E441" s="14"/>
      <c r="F441" s="14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spans="1:19" ht="19.5" customHeight="1" x14ac:dyDescent="0.25">
      <c r="A442" s="9"/>
      <c r="B442" s="9"/>
      <c r="C442" s="9"/>
      <c r="D442" s="9"/>
      <c r="E442" s="14"/>
      <c r="F442" s="14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spans="1:19" ht="19.5" customHeight="1" x14ac:dyDescent="0.25">
      <c r="A443" s="9"/>
      <c r="B443" s="9"/>
      <c r="C443" s="9"/>
      <c r="D443" s="9"/>
      <c r="E443" s="14"/>
      <c r="F443" s="14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spans="1:19" ht="19.5" customHeight="1" x14ac:dyDescent="0.25">
      <c r="A444" s="9"/>
      <c r="B444" s="9"/>
      <c r="C444" s="9"/>
      <c r="D444" s="9"/>
      <c r="E444" s="14"/>
      <c r="F444" s="14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spans="1:19" ht="19.5" customHeight="1" x14ac:dyDescent="0.25">
      <c r="A445" s="9"/>
      <c r="B445" s="9"/>
      <c r="C445" s="9"/>
      <c r="D445" s="9"/>
      <c r="E445" s="14"/>
      <c r="F445" s="14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spans="1:19" ht="19.5" customHeight="1" x14ac:dyDescent="0.25">
      <c r="A446" s="9"/>
      <c r="B446" s="9"/>
      <c r="C446" s="9"/>
      <c r="D446" s="9"/>
      <c r="E446" s="14"/>
      <c r="F446" s="14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spans="1:19" ht="19.5" customHeight="1" x14ac:dyDescent="0.25">
      <c r="A447" s="9"/>
      <c r="B447" s="9"/>
      <c r="C447" s="9"/>
      <c r="D447" s="9"/>
      <c r="E447" s="14"/>
      <c r="F447" s="14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spans="1:19" ht="19.5" customHeight="1" x14ac:dyDescent="0.25">
      <c r="A448" s="9"/>
      <c r="B448" s="9"/>
      <c r="C448" s="9"/>
      <c r="D448" s="9"/>
      <c r="E448" s="14"/>
      <c r="F448" s="14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spans="1:19" ht="19.5" customHeight="1" x14ac:dyDescent="0.25">
      <c r="A449" s="9"/>
      <c r="B449" s="9"/>
      <c r="C449" s="9"/>
      <c r="D449" s="9"/>
      <c r="E449" s="14"/>
      <c r="F449" s="14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spans="1:19" ht="19.5" customHeight="1" x14ac:dyDescent="0.25">
      <c r="A450" s="9"/>
      <c r="B450" s="9"/>
      <c r="C450" s="9"/>
      <c r="D450" s="9"/>
      <c r="E450" s="14"/>
      <c r="F450" s="14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spans="1:19" ht="19.5" customHeight="1" x14ac:dyDescent="0.25">
      <c r="A451" s="9"/>
      <c r="B451" s="9"/>
      <c r="C451" s="9"/>
      <c r="D451" s="9"/>
      <c r="E451" s="14"/>
      <c r="F451" s="14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spans="1:19" ht="19.5" customHeight="1" x14ac:dyDescent="0.25">
      <c r="A452" s="9"/>
      <c r="B452" s="9"/>
      <c r="C452" s="9"/>
      <c r="D452" s="9"/>
      <c r="E452" s="14"/>
      <c r="F452" s="14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spans="1:19" ht="19.5" customHeight="1" x14ac:dyDescent="0.25">
      <c r="A453" s="9"/>
      <c r="B453" s="9"/>
      <c r="C453" s="9"/>
      <c r="D453" s="9"/>
      <c r="E453" s="14"/>
      <c r="F453" s="14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spans="1:19" ht="19.5" customHeight="1" x14ac:dyDescent="0.25">
      <c r="A454" s="9"/>
      <c r="B454" s="9"/>
      <c r="C454" s="9"/>
      <c r="D454" s="9"/>
      <c r="E454" s="14"/>
      <c r="F454" s="14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spans="1:19" ht="19.5" customHeight="1" x14ac:dyDescent="0.25">
      <c r="A455" s="9"/>
      <c r="B455" s="9"/>
      <c r="C455" s="9"/>
      <c r="D455" s="9"/>
      <c r="E455" s="14"/>
      <c r="F455" s="14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spans="1:19" ht="19.5" customHeight="1" x14ac:dyDescent="0.25">
      <c r="A456" s="9"/>
      <c r="B456" s="9"/>
      <c r="C456" s="9"/>
      <c r="D456" s="9"/>
      <c r="E456" s="14"/>
      <c r="F456" s="14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spans="1:19" ht="19.5" customHeight="1" x14ac:dyDescent="0.25">
      <c r="A457" s="9"/>
      <c r="B457" s="9"/>
      <c r="C457" s="9"/>
      <c r="D457" s="9"/>
      <c r="E457" s="14"/>
      <c r="F457" s="14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spans="1:19" ht="19.5" customHeight="1" x14ac:dyDescent="0.25">
      <c r="A458" s="9"/>
      <c r="B458" s="9"/>
      <c r="C458" s="9"/>
      <c r="D458" s="9"/>
      <c r="E458" s="14"/>
      <c r="F458" s="14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spans="1:19" ht="19.5" customHeight="1" x14ac:dyDescent="0.25">
      <c r="A459" s="9"/>
      <c r="B459" s="9"/>
      <c r="C459" s="9"/>
      <c r="D459" s="9"/>
      <c r="E459" s="14"/>
      <c r="F459" s="14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spans="1:19" ht="19.5" customHeight="1" x14ac:dyDescent="0.25">
      <c r="A460" s="9"/>
      <c r="B460" s="9"/>
      <c r="C460" s="9"/>
      <c r="D460" s="9"/>
      <c r="E460" s="14"/>
      <c r="F460" s="14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spans="1:19" ht="19.5" customHeight="1" x14ac:dyDescent="0.25">
      <c r="A461" s="9"/>
      <c r="B461" s="9"/>
      <c r="C461" s="9"/>
      <c r="D461" s="9"/>
      <c r="E461" s="14"/>
      <c r="F461" s="14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spans="1:19" ht="19.5" customHeight="1" x14ac:dyDescent="0.25">
      <c r="A462" s="9"/>
      <c r="B462" s="9"/>
      <c r="C462" s="9"/>
      <c r="D462" s="9"/>
      <c r="E462" s="14"/>
      <c r="F462" s="14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spans="1:19" ht="19.5" customHeight="1" x14ac:dyDescent="0.25">
      <c r="A463" s="9"/>
      <c r="B463" s="9"/>
      <c r="C463" s="9"/>
      <c r="D463" s="9"/>
      <c r="E463" s="14"/>
      <c r="F463" s="14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spans="1:19" ht="19.5" customHeight="1" x14ac:dyDescent="0.25">
      <c r="A464" s="9"/>
      <c r="B464" s="9"/>
      <c r="C464" s="9"/>
      <c r="D464" s="9"/>
      <c r="E464" s="14"/>
      <c r="F464" s="14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spans="1:19" ht="19.5" customHeight="1" x14ac:dyDescent="0.25">
      <c r="A465" s="9"/>
      <c r="B465" s="9"/>
      <c r="C465" s="9"/>
      <c r="D465" s="9"/>
      <c r="E465" s="14"/>
      <c r="F465" s="14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spans="1:19" ht="19.5" customHeight="1" x14ac:dyDescent="0.25">
      <c r="A466" s="9"/>
      <c r="B466" s="9"/>
      <c r="C466" s="9"/>
      <c r="D466" s="9"/>
      <c r="E466" s="14"/>
      <c r="F466" s="14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spans="1:19" ht="19.5" customHeight="1" x14ac:dyDescent="0.25">
      <c r="A467" s="9"/>
      <c r="B467" s="9"/>
      <c r="C467" s="9"/>
      <c r="D467" s="9"/>
      <c r="E467" s="14"/>
      <c r="F467" s="14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spans="1:19" ht="19.5" customHeight="1" x14ac:dyDescent="0.25">
      <c r="A468" s="9"/>
      <c r="B468" s="9"/>
      <c r="C468" s="9"/>
      <c r="D468" s="9"/>
      <c r="E468" s="14"/>
      <c r="F468" s="14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spans="1:19" ht="19.5" customHeight="1" x14ac:dyDescent="0.25">
      <c r="A469" s="9"/>
      <c r="B469" s="9"/>
      <c r="C469" s="9"/>
      <c r="D469" s="9"/>
      <c r="E469" s="14"/>
      <c r="F469" s="14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spans="1:19" ht="19.5" customHeight="1" x14ac:dyDescent="0.25">
      <c r="A470" s="9"/>
      <c r="B470" s="9"/>
      <c r="C470" s="9"/>
      <c r="D470" s="9"/>
      <c r="E470" s="14"/>
      <c r="F470" s="14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spans="1:19" ht="19.5" customHeight="1" x14ac:dyDescent="0.25">
      <c r="A471" s="9"/>
      <c r="B471" s="9"/>
      <c r="C471" s="9"/>
      <c r="D471" s="9"/>
      <c r="E471" s="14"/>
      <c r="F471" s="14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spans="1:19" ht="19.5" customHeight="1" x14ac:dyDescent="0.25">
      <c r="A472" s="9"/>
      <c r="B472" s="9"/>
      <c r="C472" s="9"/>
      <c r="D472" s="9"/>
      <c r="E472" s="14"/>
      <c r="F472" s="14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spans="1:19" ht="19.5" customHeight="1" x14ac:dyDescent="0.25">
      <c r="A473" s="9"/>
      <c r="B473" s="9"/>
      <c r="C473" s="9"/>
      <c r="D473" s="9"/>
      <c r="E473" s="14"/>
      <c r="F473" s="14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spans="1:19" ht="19.5" customHeight="1" x14ac:dyDescent="0.25">
      <c r="A474" s="9"/>
      <c r="B474" s="9"/>
      <c r="C474" s="9"/>
      <c r="D474" s="9"/>
      <c r="E474" s="14"/>
      <c r="F474" s="14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spans="1:19" ht="19.5" customHeight="1" x14ac:dyDescent="0.25">
      <c r="A475" s="9"/>
      <c r="B475" s="9"/>
      <c r="C475" s="9"/>
      <c r="D475" s="9"/>
      <c r="E475" s="14"/>
      <c r="F475" s="14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spans="1:19" ht="19.5" customHeight="1" x14ac:dyDescent="0.25">
      <c r="A476" s="9"/>
      <c r="B476" s="9"/>
      <c r="C476" s="9"/>
      <c r="D476" s="9"/>
      <c r="E476" s="14"/>
      <c r="F476" s="14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spans="1:19" ht="19.5" customHeight="1" x14ac:dyDescent="0.25">
      <c r="A477" s="9"/>
      <c r="B477" s="9"/>
      <c r="C477" s="9"/>
      <c r="D477" s="9"/>
      <c r="E477" s="14"/>
      <c r="F477" s="14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spans="1:19" ht="19.5" customHeight="1" x14ac:dyDescent="0.25">
      <c r="A478" s="9"/>
      <c r="B478" s="9"/>
      <c r="C478" s="9"/>
      <c r="D478" s="9"/>
      <c r="E478" s="14"/>
      <c r="F478" s="14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spans="1:19" ht="19.5" customHeight="1" x14ac:dyDescent="0.25">
      <c r="A479" s="9"/>
      <c r="B479" s="9"/>
      <c r="C479" s="9"/>
      <c r="D479" s="9"/>
      <c r="E479" s="14"/>
      <c r="F479" s="14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spans="1:19" ht="19.5" customHeight="1" x14ac:dyDescent="0.25">
      <c r="A480" s="9"/>
      <c r="B480" s="9"/>
      <c r="C480" s="9"/>
      <c r="D480" s="9"/>
      <c r="E480" s="14"/>
      <c r="F480" s="14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spans="1:19" ht="19.5" customHeight="1" x14ac:dyDescent="0.25">
      <c r="A481" s="9"/>
      <c r="B481" s="9"/>
      <c r="C481" s="9"/>
      <c r="D481" s="9"/>
      <c r="E481" s="14"/>
      <c r="F481" s="14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spans="1:19" ht="19.5" customHeight="1" x14ac:dyDescent="0.25">
      <c r="A482" s="9"/>
      <c r="B482" s="9"/>
      <c r="C482" s="9"/>
      <c r="D482" s="9"/>
      <c r="E482" s="14"/>
      <c r="F482" s="14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spans="1:19" ht="19.5" customHeight="1" x14ac:dyDescent="0.25">
      <c r="A483" s="9"/>
      <c r="B483" s="9"/>
      <c r="C483" s="9"/>
      <c r="D483" s="9"/>
      <c r="E483" s="14"/>
      <c r="F483" s="14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spans="1:19" ht="19.5" customHeight="1" x14ac:dyDescent="0.25">
      <c r="A484" s="9"/>
      <c r="B484" s="9"/>
      <c r="C484" s="9"/>
      <c r="D484" s="9"/>
      <c r="E484" s="14"/>
      <c r="F484" s="14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spans="1:19" ht="19.5" customHeight="1" x14ac:dyDescent="0.25">
      <c r="A485" s="9"/>
      <c r="B485" s="9"/>
      <c r="C485" s="9"/>
      <c r="D485" s="9"/>
      <c r="E485" s="14"/>
      <c r="F485" s="14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spans="1:19" ht="19.5" customHeight="1" x14ac:dyDescent="0.25">
      <c r="A486" s="9"/>
      <c r="B486" s="9"/>
      <c r="C486" s="9"/>
      <c r="D486" s="9"/>
      <c r="E486" s="14"/>
      <c r="F486" s="14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spans="1:19" ht="19.5" customHeight="1" x14ac:dyDescent="0.25">
      <c r="A487" s="9"/>
      <c r="B487" s="9"/>
      <c r="C487" s="9"/>
      <c r="D487" s="9"/>
      <c r="E487" s="14"/>
      <c r="F487" s="14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spans="1:19" ht="19.5" customHeight="1" x14ac:dyDescent="0.25">
      <c r="A488" s="9"/>
      <c r="B488" s="9"/>
      <c r="C488" s="9"/>
      <c r="D488" s="9"/>
      <c r="E488" s="14"/>
      <c r="F488" s="14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spans="1:19" ht="19.5" customHeight="1" x14ac:dyDescent="0.25">
      <c r="A489" s="9"/>
      <c r="B489" s="9"/>
      <c r="C489" s="9"/>
      <c r="D489" s="9"/>
      <c r="E489" s="14"/>
      <c r="F489" s="14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spans="1:19" ht="19.5" customHeight="1" x14ac:dyDescent="0.25">
      <c r="A490" s="9"/>
      <c r="B490" s="9"/>
      <c r="C490" s="9"/>
      <c r="D490" s="9"/>
      <c r="E490" s="14"/>
      <c r="F490" s="14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spans="1:19" ht="19.5" customHeight="1" x14ac:dyDescent="0.25">
      <c r="A491" s="9"/>
      <c r="B491" s="9"/>
      <c r="C491" s="9"/>
      <c r="D491" s="9"/>
      <c r="E491" s="14"/>
      <c r="F491" s="14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spans="1:19" ht="19.5" customHeight="1" x14ac:dyDescent="0.25">
      <c r="A492" s="9"/>
      <c r="B492" s="9"/>
      <c r="C492" s="9"/>
      <c r="D492" s="9"/>
      <c r="E492" s="14"/>
      <c r="F492" s="14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spans="1:19" ht="19.5" customHeight="1" x14ac:dyDescent="0.25">
      <c r="A493" s="9"/>
      <c r="B493" s="9"/>
      <c r="C493" s="9"/>
      <c r="D493" s="9"/>
      <c r="E493" s="14"/>
      <c r="F493" s="14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spans="1:19" ht="19.5" customHeight="1" x14ac:dyDescent="0.25">
      <c r="A494" s="9"/>
      <c r="B494" s="9"/>
      <c r="C494" s="9"/>
      <c r="D494" s="9"/>
      <c r="E494" s="14"/>
      <c r="F494" s="14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spans="1:19" ht="19.5" customHeight="1" x14ac:dyDescent="0.25">
      <c r="A495" s="9"/>
      <c r="B495" s="9"/>
      <c r="C495" s="9"/>
      <c r="D495" s="9"/>
      <c r="E495" s="14"/>
      <c r="F495" s="14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spans="1:19" ht="19.5" customHeight="1" x14ac:dyDescent="0.25">
      <c r="A496" s="9"/>
      <c r="B496" s="9"/>
      <c r="C496" s="9"/>
      <c r="D496" s="9"/>
      <c r="E496" s="14"/>
      <c r="F496" s="14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spans="1:19" ht="19.5" customHeight="1" x14ac:dyDescent="0.25">
      <c r="A497" s="9"/>
      <c r="B497" s="9"/>
      <c r="C497" s="9"/>
      <c r="D497" s="9"/>
      <c r="E497" s="14"/>
      <c r="F497" s="14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spans="1:19" ht="19.5" customHeight="1" x14ac:dyDescent="0.25">
      <c r="A498" s="9"/>
      <c r="B498" s="9"/>
      <c r="C498" s="9"/>
      <c r="D498" s="9"/>
      <c r="E498" s="14"/>
      <c r="F498" s="14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spans="1:19" ht="19.5" customHeight="1" x14ac:dyDescent="0.25">
      <c r="A499" s="9"/>
      <c r="B499" s="9"/>
      <c r="C499" s="9"/>
      <c r="D499" s="9"/>
      <c r="E499" s="14"/>
      <c r="F499" s="14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spans="1:19" ht="19.5" customHeight="1" x14ac:dyDescent="0.25">
      <c r="A500" s="9"/>
      <c r="B500" s="9"/>
      <c r="C500" s="9"/>
      <c r="D500" s="9"/>
      <c r="E500" s="14"/>
      <c r="F500" s="14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spans="1:19" ht="19.5" customHeight="1" x14ac:dyDescent="0.25">
      <c r="A501" s="9"/>
      <c r="B501" s="9"/>
      <c r="C501" s="9"/>
      <c r="D501" s="9"/>
      <c r="E501" s="14"/>
      <c r="F501" s="14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spans="1:19" ht="19.5" customHeight="1" x14ac:dyDescent="0.25">
      <c r="A502" s="9"/>
      <c r="B502" s="9"/>
      <c r="C502" s="9"/>
      <c r="D502" s="9"/>
      <c r="E502" s="14"/>
      <c r="F502" s="14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spans="1:19" ht="19.5" customHeight="1" x14ac:dyDescent="0.25">
      <c r="A503" s="9"/>
      <c r="B503" s="9"/>
      <c r="C503" s="9"/>
      <c r="D503" s="9"/>
      <c r="E503" s="14"/>
      <c r="F503" s="14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spans="1:19" ht="19.5" customHeight="1" x14ac:dyDescent="0.25">
      <c r="A504" s="9"/>
      <c r="B504" s="9"/>
      <c r="C504" s="9"/>
      <c r="D504" s="9"/>
      <c r="E504" s="14"/>
      <c r="F504" s="14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spans="1:19" ht="19.5" customHeight="1" x14ac:dyDescent="0.25">
      <c r="A505" s="9"/>
      <c r="B505" s="9"/>
      <c r="C505" s="9"/>
      <c r="D505" s="9"/>
      <c r="E505" s="14"/>
      <c r="F505" s="14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spans="1:19" ht="19.5" customHeight="1" x14ac:dyDescent="0.25">
      <c r="A506" s="9"/>
      <c r="B506" s="9"/>
      <c r="C506" s="9"/>
      <c r="D506" s="9"/>
      <c r="E506" s="14"/>
      <c r="F506" s="14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spans="1:19" ht="19.5" customHeight="1" x14ac:dyDescent="0.25">
      <c r="A507" s="9"/>
      <c r="B507" s="9"/>
      <c r="C507" s="9"/>
      <c r="D507" s="9"/>
      <c r="E507" s="14"/>
      <c r="F507" s="14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spans="1:19" ht="19.5" customHeight="1" x14ac:dyDescent="0.25">
      <c r="A508" s="9"/>
      <c r="B508" s="9"/>
      <c r="C508" s="9"/>
      <c r="D508" s="9"/>
      <c r="E508" s="14"/>
      <c r="F508" s="14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spans="1:19" ht="19.5" customHeight="1" x14ac:dyDescent="0.25">
      <c r="A509" s="9"/>
      <c r="B509" s="9"/>
      <c r="C509" s="9"/>
      <c r="D509" s="9"/>
      <c r="E509" s="14"/>
      <c r="F509" s="14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spans="1:19" ht="19.5" customHeight="1" x14ac:dyDescent="0.25">
      <c r="A510" s="9"/>
      <c r="B510" s="9"/>
      <c r="C510" s="9"/>
      <c r="D510" s="9"/>
      <c r="E510" s="14"/>
      <c r="F510" s="14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spans="1:19" ht="19.5" customHeight="1" x14ac:dyDescent="0.25">
      <c r="A511" s="9"/>
      <c r="B511" s="9"/>
      <c r="C511" s="9"/>
      <c r="D511" s="9"/>
      <c r="E511" s="14"/>
      <c r="F511" s="14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spans="1:19" ht="19.5" customHeight="1" x14ac:dyDescent="0.25">
      <c r="A512" s="9"/>
      <c r="B512" s="9"/>
      <c r="C512" s="9"/>
      <c r="D512" s="9"/>
      <c r="E512" s="14"/>
      <c r="F512" s="14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spans="1:19" ht="19.5" customHeight="1" x14ac:dyDescent="0.25">
      <c r="A513" s="9"/>
      <c r="B513" s="9"/>
      <c r="C513" s="9"/>
      <c r="D513" s="9"/>
      <c r="E513" s="14"/>
      <c r="F513" s="14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spans="1:19" ht="19.5" customHeight="1" x14ac:dyDescent="0.25">
      <c r="A514" s="9"/>
      <c r="B514" s="9"/>
      <c r="C514" s="9"/>
      <c r="D514" s="9"/>
      <c r="E514" s="14"/>
      <c r="F514" s="14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spans="1:19" ht="19.5" customHeight="1" x14ac:dyDescent="0.25">
      <c r="A515" s="9"/>
      <c r="B515" s="9"/>
      <c r="C515" s="9"/>
      <c r="D515" s="9"/>
      <c r="E515" s="14"/>
      <c r="F515" s="14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spans="1:19" ht="19.5" customHeight="1" x14ac:dyDescent="0.25">
      <c r="A516" s="9"/>
      <c r="B516" s="9"/>
      <c r="C516" s="9"/>
      <c r="D516" s="9"/>
      <c r="E516" s="14"/>
      <c r="F516" s="14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spans="1:19" ht="19.5" customHeight="1" x14ac:dyDescent="0.25">
      <c r="A517" s="9"/>
      <c r="B517" s="9"/>
      <c r="C517" s="9"/>
      <c r="D517" s="9"/>
      <c r="E517" s="14"/>
      <c r="F517" s="14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spans="1:19" ht="19.5" customHeight="1" x14ac:dyDescent="0.25">
      <c r="A518" s="9"/>
      <c r="B518" s="9"/>
      <c r="C518" s="9"/>
      <c r="D518" s="9"/>
      <c r="E518" s="14"/>
      <c r="F518" s="14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spans="1:19" ht="19.5" customHeight="1" x14ac:dyDescent="0.25">
      <c r="A519" s="9"/>
      <c r="B519" s="9"/>
      <c r="C519" s="9"/>
      <c r="D519" s="9"/>
      <c r="E519" s="14"/>
      <c r="F519" s="14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spans="1:19" ht="19.5" customHeight="1" x14ac:dyDescent="0.25">
      <c r="A520" s="9"/>
      <c r="B520" s="9"/>
      <c r="C520" s="9"/>
      <c r="D520" s="9"/>
      <c r="E520" s="14"/>
      <c r="F520" s="14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spans="1:19" ht="19.5" customHeight="1" x14ac:dyDescent="0.25">
      <c r="A521" s="9"/>
      <c r="B521" s="9"/>
      <c r="C521" s="9"/>
      <c r="D521" s="9"/>
      <c r="E521" s="14"/>
      <c r="F521" s="14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spans="1:19" ht="19.5" customHeight="1" x14ac:dyDescent="0.25">
      <c r="A522" s="9"/>
      <c r="B522" s="9"/>
      <c r="C522" s="9"/>
      <c r="D522" s="9"/>
      <c r="E522" s="14"/>
      <c r="F522" s="14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spans="1:19" ht="19.5" customHeight="1" x14ac:dyDescent="0.25">
      <c r="A523" s="9"/>
      <c r="B523" s="9"/>
      <c r="C523" s="9"/>
      <c r="D523" s="9"/>
      <c r="E523" s="14"/>
      <c r="F523" s="14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spans="1:19" ht="19.5" customHeight="1" x14ac:dyDescent="0.25">
      <c r="A524" s="9"/>
      <c r="B524" s="9"/>
      <c r="C524" s="9"/>
      <c r="D524" s="9"/>
      <c r="E524" s="14"/>
      <c r="F524" s="14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spans="1:19" ht="19.5" customHeight="1" x14ac:dyDescent="0.25">
      <c r="A525" s="9"/>
      <c r="B525" s="9"/>
      <c r="C525" s="9"/>
      <c r="D525" s="9"/>
      <c r="E525" s="14"/>
      <c r="F525" s="14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spans="1:19" ht="19.5" customHeight="1" x14ac:dyDescent="0.25">
      <c r="A526" s="9"/>
      <c r="B526" s="9"/>
      <c r="C526" s="9"/>
      <c r="D526" s="9"/>
      <c r="E526" s="14"/>
      <c r="F526" s="14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spans="1:19" ht="19.5" customHeight="1" x14ac:dyDescent="0.25">
      <c r="A527" s="9"/>
      <c r="B527" s="9"/>
      <c r="C527" s="9"/>
      <c r="D527" s="9"/>
      <c r="E527" s="14"/>
      <c r="F527" s="14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spans="1:19" ht="19.5" customHeight="1" x14ac:dyDescent="0.25">
      <c r="A528" s="9"/>
      <c r="B528" s="9"/>
      <c r="C528" s="9"/>
      <c r="D528" s="9"/>
      <c r="E528" s="14"/>
      <c r="F528" s="14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spans="1:19" ht="19.5" customHeight="1" x14ac:dyDescent="0.25">
      <c r="A529" s="9"/>
      <c r="B529" s="9"/>
      <c r="C529" s="9"/>
      <c r="D529" s="9"/>
      <c r="E529" s="14"/>
      <c r="F529" s="14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spans="1:19" ht="19.5" customHeight="1" x14ac:dyDescent="0.25">
      <c r="A530" s="9"/>
      <c r="B530" s="9"/>
      <c r="C530" s="9"/>
      <c r="D530" s="9"/>
      <c r="E530" s="14"/>
      <c r="F530" s="14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spans="1:19" ht="19.5" customHeight="1" x14ac:dyDescent="0.25">
      <c r="A531" s="9"/>
      <c r="B531" s="9"/>
      <c r="C531" s="9"/>
      <c r="D531" s="9"/>
      <c r="E531" s="14"/>
      <c r="F531" s="14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spans="1:19" ht="19.5" customHeight="1" x14ac:dyDescent="0.25">
      <c r="A532" s="9"/>
      <c r="B532" s="9"/>
      <c r="C532" s="9"/>
      <c r="D532" s="9"/>
      <c r="E532" s="14"/>
      <c r="F532" s="14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spans="1:19" ht="19.5" customHeight="1" x14ac:dyDescent="0.25">
      <c r="A533" s="9"/>
      <c r="B533" s="9"/>
      <c r="C533" s="9"/>
      <c r="D533" s="9"/>
      <c r="E533" s="14"/>
      <c r="F533" s="14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spans="1:19" ht="19.5" customHeight="1" x14ac:dyDescent="0.25">
      <c r="A534" s="9"/>
      <c r="B534" s="9"/>
      <c r="C534" s="9"/>
      <c r="D534" s="9"/>
      <c r="E534" s="14"/>
      <c r="F534" s="14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spans="1:19" ht="19.5" customHeight="1" x14ac:dyDescent="0.25">
      <c r="A535" s="9"/>
      <c r="B535" s="9"/>
      <c r="C535" s="9"/>
      <c r="D535" s="9"/>
      <c r="E535" s="14"/>
      <c r="F535" s="14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spans="1:19" ht="19.5" customHeight="1" x14ac:dyDescent="0.25">
      <c r="A536" s="9"/>
      <c r="B536" s="9"/>
      <c r="C536" s="9"/>
      <c r="D536" s="9"/>
      <c r="E536" s="14"/>
      <c r="F536" s="14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spans="1:19" ht="19.5" customHeight="1" x14ac:dyDescent="0.25">
      <c r="A537" s="9"/>
      <c r="B537" s="9"/>
      <c r="C537" s="9"/>
      <c r="D537" s="9"/>
      <c r="E537" s="14"/>
      <c r="F537" s="14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spans="1:19" ht="19.5" customHeight="1" x14ac:dyDescent="0.25">
      <c r="A538" s="9"/>
      <c r="B538" s="9"/>
      <c r="C538" s="9"/>
      <c r="D538" s="9"/>
      <c r="E538" s="14"/>
      <c r="F538" s="14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spans="1:19" ht="19.5" customHeight="1" x14ac:dyDescent="0.25">
      <c r="A539" s="9"/>
      <c r="B539" s="9"/>
      <c r="C539" s="9"/>
      <c r="D539" s="9"/>
      <c r="E539" s="14"/>
      <c r="F539" s="14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spans="1:19" ht="19.5" customHeight="1" x14ac:dyDescent="0.25">
      <c r="A540" s="9"/>
      <c r="B540" s="9"/>
      <c r="C540" s="9"/>
      <c r="D540" s="9"/>
      <c r="E540" s="14"/>
      <c r="F540" s="14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spans="1:19" ht="19.5" customHeight="1" x14ac:dyDescent="0.25">
      <c r="A541" s="9"/>
      <c r="B541" s="9"/>
      <c r="C541" s="9"/>
      <c r="D541" s="9"/>
      <c r="E541" s="14"/>
      <c r="F541" s="14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spans="1:19" ht="19.5" customHeight="1" x14ac:dyDescent="0.25">
      <c r="A542" s="9"/>
      <c r="B542" s="9"/>
      <c r="C542" s="9"/>
      <c r="D542" s="9"/>
      <c r="E542" s="14"/>
      <c r="F542" s="14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spans="1:19" ht="19.5" customHeight="1" x14ac:dyDescent="0.25">
      <c r="A543" s="9"/>
      <c r="B543" s="9"/>
      <c r="C543" s="9"/>
      <c r="D543" s="9"/>
      <c r="E543" s="14"/>
      <c r="F543" s="14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spans="1:19" ht="19.5" customHeight="1" x14ac:dyDescent="0.25">
      <c r="A544" s="9"/>
      <c r="B544" s="9"/>
      <c r="C544" s="9"/>
      <c r="D544" s="9"/>
      <c r="E544" s="14"/>
      <c r="F544" s="14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spans="1:19" ht="19.5" customHeight="1" x14ac:dyDescent="0.25">
      <c r="A545" s="9"/>
      <c r="B545" s="9"/>
      <c r="C545" s="9"/>
      <c r="D545" s="9"/>
      <c r="E545" s="14"/>
      <c r="F545" s="14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spans="1:19" ht="19.5" customHeight="1" x14ac:dyDescent="0.25">
      <c r="A546" s="9"/>
      <c r="B546" s="9"/>
      <c r="C546" s="9"/>
      <c r="D546" s="9"/>
      <c r="E546" s="14"/>
      <c r="F546" s="14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spans="1:19" ht="19.5" customHeight="1" x14ac:dyDescent="0.25">
      <c r="A547" s="9"/>
      <c r="B547" s="9"/>
      <c r="C547" s="9"/>
      <c r="D547" s="9"/>
      <c r="E547" s="14"/>
      <c r="F547" s="14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spans="1:19" ht="19.5" customHeight="1" x14ac:dyDescent="0.25">
      <c r="A548" s="9"/>
      <c r="B548" s="9"/>
      <c r="C548" s="9"/>
      <c r="D548" s="9"/>
      <c r="E548" s="14"/>
      <c r="F548" s="14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spans="1:19" ht="19.5" customHeight="1" x14ac:dyDescent="0.25">
      <c r="A549" s="9"/>
      <c r="B549" s="9"/>
      <c r="C549" s="9"/>
      <c r="D549" s="9"/>
      <c r="E549" s="14"/>
      <c r="F549" s="14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spans="1:19" ht="19.5" customHeight="1" x14ac:dyDescent="0.25">
      <c r="A550" s="9"/>
      <c r="B550" s="9"/>
      <c r="C550" s="9"/>
      <c r="D550" s="9"/>
      <c r="E550" s="14"/>
      <c r="F550" s="14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spans="1:19" ht="19.5" customHeight="1" x14ac:dyDescent="0.25">
      <c r="A551" s="9"/>
      <c r="B551" s="9"/>
      <c r="C551" s="9"/>
      <c r="D551" s="9"/>
      <c r="E551" s="14"/>
      <c r="F551" s="14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spans="1:19" ht="19.5" customHeight="1" x14ac:dyDescent="0.25">
      <c r="A552" s="9"/>
      <c r="B552" s="9"/>
      <c r="C552" s="9"/>
      <c r="D552" s="9"/>
      <c r="E552" s="14"/>
      <c r="F552" s="14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spans="1:19" ht="19.5" customHeight="1" x14ac:dyDescent="0.25">
      <c r="A553" s="9"/>
      <c r="B553" s="9"/>
      <c r="C553" s="9"/>
      <c r="D553" s="9"/>
      <c r="E553" s="14"/>
      <c r="F553" s="14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spans="1:19" ht="19.5" customHeight="1" x14ac:dyDescent="0.25">
      <c r="A554" s="9"/>
      <c r="B554" s="9"/>
      <c r="C554" s="9"/>
      <c r="D554" s="9"/>
      <c r="E554" s="14"/>
      <c r="F554" s="14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spans="1:19" ht="19.5" customHeight="1" x14ac:dyDescent="0.25">
      <c r="A555" s="9"/>
      <c r="B555" s="9"/>
      <c r="C555" s="9"/>
      <c r="D555" s="9"/>
      <c r="E555" s="14"/>
      <c r="F555" s="14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spans="1:19" ht="19.5" customHeight="1" x14ac:dyDescent="0.25">
      <c r="A556" s="9"/>
      <c r="B556" s="9"/>
      <c r="C556" s="9"/>
      <c r="D556" s="9"/>
      <c r="E556" s="14"/>
      <c r="F556" s="14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spans="1:19" ht="19.5" customHeight="1" x14ac:dyDescent="0.25">
      <c r="A557" s="9"/>
      <c r="B557" s="9"/>
      <c r="C557" s="9"/>
      <c r="D557" s="9"/>
      <c r="E557" s="14"/>
      <c r="F557" s="14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spans="1:19" ht="19.5" customHeight="1" x14ac:dyDescent="0.25">
      <c r="A558" s="9"/>
      <c r="B558" s="9"/>
      <c r="C558" s="9"/>
      <c r="D558" s="9"/>
      <c r="E558" s="14"/>
      <c r="F558" s="14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spans="1:19" ht="19.5" customHeight="1" x14ac:dyDescent="0.25">
      <c r="A559" s="9"/>
      <c r="B559" s="9"/>
      <c r="C559" s="9"/>
      <c r="D559" s="9"/>
      <c r="E559" s="14"/>
      <c r="F559" s="14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spans="1:19" ht="19.5" customHeight="1" x14ac:dyDescent="0.25">
      <c r="A560" s="9"/>
      <c r="B560" s="9"/>
      <c r="C560" s="9"/>
      <c r="D560" s="9"/>
      <c r="E560" s="14"/>
      <c r="F560" s="14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spans="1:19" ht="19.5" customHeight="1" x14ac:dyDescent="0.25">
      <c r="A561" s="9"/>
      <c r="B561" s="9"/>
      <c r="C561" s="9"/>
      <c r="D561" s="9"/>
      <c r="E561" s="14"/>
      <c r="F561" s="14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spans="1:19" ht="19.5" customHeight="1" x14ac:dyDescent="0.25">
      <c r="A562" s="9"/>
      <c r="B562" s="9"/>
      <c r="C562" s="9"/>
      <c r="D562" s="9"/>
      <c r="E562" s="14"/>
      <c r="F562" s="14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spans="1:19" ht="19.5" customHeight="1" x14ac:dyDescent="0.25">
      <c r="A563" s="9"/>
      <c r="B563" s="9"/>
      <c r="C563" s="9"/>
      <c r="D563" s="9"/>
      <c r="E563" s="14"/>
      <c r="F563" s="14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spans="1:19" ht="19.5" customHeight="1" x14ac:dyDescent="0.25">
      <c r="A564" s="9"/>
      <c r="B564" s="9"/>
      <c r="C564" s="9"/>
      <c r="D564" s="9"/>
      <c r="E564" s="14"/>
      <c r="F564" s="14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spans="1:19" ht="19.5" customHeight="1" x14ac:dyDescent="0.25">
      <c r="A565" s="9"/>
      <c r="B565" s="9"/>
      <c r="C565" s="9"/>
      <c r="D565" s="9"/>
      <c r="E565" s="14"/>
      <c r="F565" s="14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spans="1:19" ht="19.5" customHeight="1" x14ac:dyDescent="0.25">
      <c r="A566" s="9"/>
      <c r="B566" s="9"/>
      <c r="C566" s="9"/>
      <c r="D566" s="9"/>
      <c r="E566" s="14"/>
      <c r="F566" s="14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spans="1:19" ht="19.5" customHeight="1" x14ac:dyDescent="0.25">
      <c r="A567" s="9"/>
      <c r="B567" s="9"/>
      <c r="C567" s="9"/>
      <c r="D567" s="9"/>
      <c r="E567" s="14"/>
      <c r="F567" s="14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spans="1:19" ht="19.5" customHeight="1" x14ac:dyDescent="0.25">
      <c r="A568" s="9"/>
      <c r="B568" s="9"/>
      <c r="C568" s="9"/>
      <c r="D568" s="9"/>
      <c r="E568" s="14"/>
      <c r="F568" s="14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spans="1:19" ht="19.5" customHeight="1" x14ac:dyDescent="0.25">
      <c r="A569" s="9"/>
      <c r="B569" s="9"/>
      <c r="C569" s="9"/>
      <c r="D569" s="9"/>
      <c r="E569" s="14"/>
      <c r="F569" s="14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spans="1:19" ht="19.5" customHeight="1" x14ac:dyDescent="0.25">
      <c r="A570" s="9"/>
      <c r="B570" s="9"/>
      <c r="C570" s="9"/>
      <c r="D570" s="9"/>
      <c r="E570" s="14"/>
      <c r="F570" s="14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spans="1:19" ht="19.5" customHeight="1" x14ac:dyDescent="0.25">
      <c r="A571" s="9"/>
      <c r="B571" s="9"/>
      <c r="C571" s="9"/>
      <c r="D571" s="9"/>
      <c r="E571" s="14"/>
      <c r="F571" s="14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spans="1:19" ht="19.5" customHeight="1" x14ac:dyDescent="0.25">
      <c r="A572" s="9"/>
      <c r="B572" s="9"/>
      <c r="C572" s="9"/>
      <c r="D572" s="9"/>
      <c r="E572" s="14"/>
      <c r="F572" s="14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spans="1:19" ht="19.5" customHeight="1" x14ac:dyDescent="0.25">
      <c r="A573" s="9"/>
      <c r="B573" s="9"/>
      <c r="C573" s="9"/>
      <c r="D573" s="9"/>
      <c r="E573" s="14"/>
      <c r="F573" s="14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spans="1:19" ht="19.5" customHeight="1" x14ac:dyDescent="0.25">
      <c r="A574" s="9"/>
      <c r="B574" s="9"/>
      <c r="C574" s="9"/>
      <c r="D574" s="9"/>
      <c r="E574" s="14"/>
      <c r="F574" s="14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spans="1:19" ht="19.5" customHeight="1" x14ac:dyDescent="0.25">
      <c r="A575" s="9"/>
      <c r="B575" s="9"/>
      <c r="C575" s="9"/>
      <c r="D575" s="9"/>
      <c r="E575" s="14"/>
      <c r="F575" s="14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spans="1:19" ht="19.5" customHeight="1" x14ac:dyDescent="0.25">
      <c r="A576" s="9"/>
      <c r="B576" s="9"/>
      <c r="C576" s="9"/>
      <c r="D576" s="9"/>
      <c r="E576" s="14"/>
      <c r="F576" s="14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spans="1:19" ht="19.5" customHeight="1" x14ac:dyDescent="0.25">
      <c r="A577" s="9"/>
      <c r="B577" s="9"/>
      <c r="C577" s="9"/>
      <c r="D577" s="9"/>
      <c r="E577" s="14"/>
      <c r="F577" s="14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spans="1:19" ht="19.5" customHeight="1" x14ac:dyDescent="0.25">
      <c r="A578" s="9"/>
      <c r="B578" s="9"/>
      <c r="C578" s="9"/>
      <c r="D578" s="9"/>
      <c r="E578" s="14"/>
      <c r="F578" s="14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spans="1:19" ht="19.5" customHeight="1" x14ac:dyDescent="0.25">
      <c r="A579" s="9"/>
      <c r="B579" s="9"/>
      <c r="C579" s="9"/>
      <c r="D579" s="9"/>
      <c r="E579" s="14"/>
      <c r="F579" s="14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spans="1:19" ht="19.5" customHeight="1" x14ac:dyDescent="0.25">
      <c r="A580" s="9"/>
      <c r="B580" s="9"/>
      <c r="C580" s="9"/>
      <c r="D580" s="9"/>
      <c r="E580" s="14"/>
      <c r="F580" s="14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spans="1:19" ht="19.5" customHeight="1" x14ac:dyDescent="0.25">
      <c r="A581" s="9"/>
      <c r="B581" s="9"/>
      <c r="C581" s="9"/>
      <c r="D581" s="9"/>
      <c r="E581" s="14"/>
      <c r="F581" s="14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spans="1:19" ht="19.5" customHeight="1" x14ac:dyDescent="0.25">
      <c r="A582" s="9"/>
      <c r="B582" s="9"/>
      <c r="C582" s="9"/>
      <c r="D582" s="9"/>
      <c r="E582" s="14"/>
      <c r="F582" s="14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spans="1:19" ht="19.5" customHeight="1" x14ac:dyDescent="0.25">
      <c r="A583" s="9"/>
      <c r="B583" s="9"/>
      <c r="C583" s="9"/>
      <c r="D583" s="9"/>
      <c r="E583" s="14"/>
      <c r="F583" s="14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spans="1:19" ht="19.5" customHeight="1" x14ac:dyDescent="0.25">
      <c r="A584" s="9"/>
      <c r="B584" s="9"/>
      <c r="C584" s="9"/>
      <c r="D584" s="9"/>
      <c r="E584" s="14"/>
      <c r="F584" s="14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spans="1:19" ht="19.5" customHeight="1" x14ac:dyDescent="0.25">
      <c r="A585" s="9"/>
      <c r="B585" s="9"/>
      <c r="C585" s="9"/>
      <c r="D585" s="9"/>
      <c r="E585" s="14"/>
      <c r="F585" s="14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spans="1:19" ht="19.5" customHeight="1" x14ac:dyDescent="0.25">
      <c r="A586" s="9"/>
      <c r="B586" s="9"/>
      <c r="C586" s="9"/>
      <c r="D586" s="9"/>
      <c r="E586" s="14"/>
      <c r="F586" s="14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spans="1:19" ht="19.5" customHeight="1" x14ac:dyDescent="0.25">
      <c r="A587" s="9"/>
      <c r="B587" s="9"/>
      <c r="C587" s="9"/>
      <c r="D587" s="9"/>
      <c r="E587" s="14"/>
      <c r="F587" s="14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spans="1:19" ht="19.5" customHeight="1" x14ac:dyDescent="0.25">
      <c r="A588" s="9"/>
      <c r="B588" s="9"/>
      <c r="C588" s="9"/>
      <c r="D588" s="9"/>
      <c r="E588" s="14"/>
      <c r="F588" s="14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spans="1:19" ht="19.5" customHeight="1" x14ac:dyDescent="0.25">
      <c r="A589" s="9"/>
      <c r="B589" s="9"/>
      <c r="C589" s="9"/>
      <c r="D589" s="9"/>
      <c r="E589" s="14"/>
      <c r="F589" s="14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spans="1:19" ht="19.5" customHeight="1" x14ac:dyDescent="0.25">
      <c r="A590" s="9"/>
      <c r="B590" s="9"/>
      <c r="C590" s="9"/>
      <c r="D590" s="9"/>
      <c r="E590" s="14"/>
      <c r="F590" s="14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spans="1:19" ht="19.5" customHeight="1" x14ac:dyDescent="0.25">
      <c r="A591" s="9"/>
      <c r="B591" s="9"/>
      <c r="C591" s="9"/>
      <c r="D591" s="9"/>
      <c r="E591" s="14"/>
      <c r="F591" s="14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spans="1:19" ht="19.5" customHeight="1" x14ac:dyDescent="0.25">
      <c r="A592" s="9"/>
      <c r="B592" s="9"/>
      <c r="C592" s="9"/>
      <c r="D592" s="9"/>
      <c r="E592" s="14"/>
      <c r="F592" s="14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spans="1:19" ht="19.5" customHeight="1" x14ac:dyDescent="0.25">
      <c r="A593" s="9"/>
      <c r="B593" s="9"/>
      <c r="C593" s="9"/>
      <c r="D593" s="9"/>
      <c r="E593" s="14"/>
      <c r="F593" s="14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spans="1:19" ht="19.5" customHeight="1" x14ac:dyDescent="0.25">
      <c r="A594" s="9"/>
      <c r="B594" s="9"/>
      <c r="C594" s="9"/>
      <c r="D594" s="9"/>
      <c r="E594" s="14"/>
      <c r="F594" s="14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spans="1:19" ht="19.5" customHeight="1" x14ac:dyDescent="0.25">
      <c r="A595" s="9"/>
      <c r="B595" s="9"/>
      <c r="C595" s="9"/>
      <c r="D595" s="9"/>
      <c r="E595" s="14"/>
      <c r="F595" s="14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spans="1:19" ht="19.5" customHeight="1" x14ac:dyDescent="0.25">
      <c r="A596" s="9"/>
      <c r="B596" s="9"/>
      <c r="C596" s="9"/>
      <c r="D596" s="9"/>
      <c r="E596" s="14"/>
      <c r="F596" s="14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spans="1:19" ht="19.5" customHeight="1" x14ac:dyDescent="0.25">
      <c r="A597" s="9"/>
      <c r="B597" s="9"/>
      <c r="C597" s="9"/>
      <c r="D597" s="9"/>
      <c r="E597" s="14"/>
      <c r="F597" s="14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spans="1:19" ht="19.5" customHeight="1" x14ac:dyDescent="0.25">
      <c r="A598" s="9"/>
      <c r="B598" s="9"/>
      <c r="C598" s="9"/>
      <c r="D598" s="9"/>
      <c r="E598" s="14"/>
      <c r="F598" s="14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spans="1:19" ht="19.5" customHeight="1" x14ac:dyDescent="0.25">
      <c r="A599" s="9"/>
      <c r="B599" s="9"/>
      <c r="C599" s="9"/>
      <c r="D599" s="9"/>
      <c r="E599" s="14"/>
      <c r="F599" s="14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spans="1:19" ht="19.5" customHeight="1" x14ac:dyDescent="0.25">
      <c r="A600" s="9"/>
      <c r="B600" s="9"/>
      <c r="C600" s="9"/>
      <c r="D600" s="9"/>
      <c r="E600" s="14"/>
      <c r="F600" s="14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spans="1:19" ht="19.5" customHeight="1" x14ac:dyDescent="0.25">
      <c r="A601" s="9"/>
      <c r="B601" s="9"/>
      <c r="C601" s="9"/>
      <c r="D601" s="9"/>
      <c r="E601" s="14"/>
      <c r="F601" s="14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spans="1:19" ht="19.5" customHeight="1" x14ac:dyDescent="0.25">
      <c r="A602" s="9"/>
      <c r="B602" s="9"/>
      <c r="C602" s="9"/>
      <c r="D602" s="9"/>
      <c r="E602" s="14"/>
      <c r="F602" s="14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spans="1:19" ht="19.5" customHeight="1" x14ac:dyDescent="0.25">
      <c r="A603" s="9"/>
      <c r="B603" s="9"/>
      <c r="C603" s="9"/>
      <c r="D603" s="9"/>
      <c r="E603" s="14"/>
      <c r="F603" s="14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spans="1:19" ht="19.5" customHeight="1" x14ac:dyDescent="0.25">
      <c r="A604" s="9"/>
      <c r="B604" s="9"/>
      <c r="C604" s="9"/>
      <c r="D604" s="9"/>
      <c r="E604" s="14"/>
      <c r="F604" s="14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spans="1:19" ht="19.5" customHeight="1" x14ac:dyDescent="0.25">
      <c r="A605" s="9"/>
      <c r="B605" s="9"/>
      <c r="C605" s="9"/>
      <c r="D605" s="9"/>
      <c r="E605" s="14"/>
      <c r="F605" s="14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spans="1:19" ht="19.5" customHeight="1" x14ac:dyDescent="0.25">
      <c r="A606" s="9"/>
      <c r="B606" s="9"/>
      <c r="C606" s="9"/>
      <c r="D606" s="9"/>
      <c r="E606" s="14"/>
      <c r="F606" s="14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spans="1:19" ht="19.5" customHeight="1" x14ac:dyDescent="0.25">
      <c r="A607" s="9"/>
      <c r="B607" s="9"/>
      <c r="C607" s="9"/>
      <c r="D607" s="9"/>
      <c r="E607" s="14"/>
      <c r="F607" s="14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spans="1:19" ht="19.5" customHeight="1" x14ac:dyDescent="0.25">
      <c r="A608" s="9"/>
      <c r="B608" s="9"/>
      <c r="C608" s="9"/>
      <c r="D608" s="9"/>
      <c r="E608" s="14"/>
      <c r="F608" s="14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spans="1:19" ht="19.5" customHeight="1" x14ac:dyDescent="0.25">
      <c r="A609" s="9"/>
      <c r="B609" s="9"/>
      <c r="C609" s="9"/>
      <c r="D609" s="9"/>
      <c r="E609" s="14"/>
      <c r="F609" s="14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spans="1:19" ht="19.5" customHeight="1" x14ac:dyDescent="0.25">
      <c r="A610" s="9"/>
      <c r="B610" s="9"/>
      <c r="C610" s="9"/>
      <c r="D610" s="9"/>
      <c r="E610" s="14"/>
      <c r="F610" s="14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spans="1:19" ht="19.5" customHeight="1" x14ac:dyDescent="0.25">
      <c r="A611" s="9"/>
      <c r="B611" s="9"/>
      <c r="C611" s="9"/>
      <c r="D611" s="9"/>
      <c r="E611" s="14"/>
      <c r="F611" s="14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spans="1:19" ht="19.5" customHeight="1" x14ac:dyDescent="0.25">
      <c r="A612" s="9"/>
      <c r="B612" s="9"/>
      <c r="C612" s="9"/>
      <c r="D612" s="9"/>
      <c r="E612" s="14"/>
      <c r="F612" s="14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spans="1:19" ht="19.5" customHeight="1" x14ac:dyDescent="0.25">
      <c r="A613" s="9"/>
      <c r="B613" s="9"/>
      <c r="C613" s="9"/>
      <c r="D613" s="9"/>
      <c r="E613" s="14"/>
      <c r="F613" s="14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spans="1:19" ht="19.5" customHeight="1" x14ac:dyDescent="0.25">
      <c r="A614" s="9"/>
      <c r="B614" s="9"/>
      <c r="C614" s="9"/>
      <c r="D614" s="9"/>
      <c r="E614" s="14"/>
      <c r="F614" s="14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spans="1:19" ht="19.5" customHeight="1" x14ac:dyDescent="0.25">
      <c r="A615" s="9"/>
      <c r="B615" s="9"/>
      <c r="C615" s="9"/>
      <c r="D615" s="9"/>
      <c r="E615" s="14"/>
      <c r="F615" s="14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spans="1:19" ht="19.5" customHeight="1" x14ac:dyDescent="0.25">
      <c r="A616" s="9"/>
      <c r="B616" s="9"/>
      <c r="C616" s="9"/>
      <c r="D616" s="9"/>
      <c r="E616" s="14"/>
      <c r="F616" s="14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spans="1:19" ht="19.5" customHeight="1" x14ac:dyDescent="0.25">
      <c r="A617" s="9"/>
      <c r="B617" s="9"/>
      <c r="C617" s="9"/>
      <c r="D617" s="9"/>
      <c r="E617" s="14"/>
      <c r="F617" s="14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spans="1:19" ht="19.5" customHeight="1" x14ac:dyDescent="0.25">
      <c r="A618" s="9"/>
      <c r="B618" s="9"/>
      <c r="C618" s="9"/>
      <c r="D618" s="9"/>
      <c r="E618" s="14"/>
      <c r="F618" s="14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spans="1:19" ht="19.5" customHeight="1" x14ac:dyDescent="0.25">
      <c r="A619" s="9"/>
      <c r="B619" s="9"/>
      <c r="C619" s="9"/>
      <c r="D619" s="9"/>
      <c r="E619" s="14"/>
      <c r="F619" s="14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spans="1:19" ht="19.5" customHeight="1" x14ac:dyDescent="0.25">
      <c r="A620" s="9"/>
      <c r="B620" s="9"/>
      <c r="C620" s="9"/>
      <c r="D620" s="9"/>
      <c r="E620" s="14"/>
      <c r="F620" s="14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spans="1:19" ht="19.5" customHeight="1" x14ac:dyDescent="0.25">
      <c r="A621" s="9"/>
      <c r="B621" s="9"/>
      <c r="C621" s="9"/>
      <c r="D621" s="9"/>
      <c r="E621" s="14"/>
      <c r="F621" s="14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spans="1:19" ht="19.5" customHeight="1" x14ac:dyDescent="0.25">
      <c r="A622" s="9"/>
      <c r="B622" s="9"/>
      <c r="C622" s="9"/>
      <c r="D622" s="9"/>
      <c r="E622" s="14"/>
      <c r="F622" s="14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spans="1:19" ht="19.5" customHeight="1" x14ac:dyDescent="0.25">
      <c r="A623" s="9"/>
      <c r="B623" s="9"/>
      <c r="C623" s="9"/>
      <c r="D623" s="9"/>
      <c r="E623" s="14"/>
      <c r="F623" s="14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spans="1:19" ht="19.5" customHeight="1" x14ac:dyDescent="0.25">
      <c r="A624" s="9"/>
      <c r="B624" s="9"/>
      <c r="C624" s="9"/>
      <c r="D624" s="9"/>
      <c r="E624" s="14"/>
      <c r="F624" s="14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spans="1:19" ht="19.5" customHeight="1" x14ac:dyDescent="0.25">
      <c r="A625" s="9"/>
      <c r="B625" s="9"/>
      <c r="C625" s="9"/>
      <c r="D625" s="9"/>
      <c r="E625" s="14"/>
      <c r="F625" s="14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spans="1:19" ht="19.5" customHeight="1" x14ac:dyDescent="0.25">
      <c r="A626" s="9"/>
      <c r="B626" s="9"/>
      <c r="C626" s="9"/>
      <c r="D626" s="9"/>
      <c r="E626" s="14"/>
      <c r="F626" s="14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spans="1:19" ht="19.5" customHeight="1" x14ac:dyDescent="0.25">
      <c r="A627" s="9"/>
      <c r="B627" s="9"/>
      <c r="C627" s="9"/>
      <c r="D627" s="9"/>
      <c r="E627" s="14"/>
      <c r="F627" s="14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spans="1:19" ht="19.5" customHeight="1" x14ac:dyDescent="0.25">
      <c r="A628" s="9"/>
      <c r="B628" s="9"/>
      <c r="C628" s="9"/>
      <c r="D628" s="9"/>
      <c r="E628" s="14"/>
      <c r="F628" s="14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spans="1:19" ht="19.5" customHeight="1" x14ac:dyDescent="0.25">
      <c r="A629" s="9"/>
      <c r="B629" s="9"/>
      <c r="C629" s="9"/>
      <c r="D629" s="9"/>
      <c r="E629" s="14"/>
      <c r="F629" s="14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spans="1:19" ht="19.5" customHeight="1" x14ac:dyDescent="0.25">
      <c r="A630" s="9"/>
      <c r="B630" s="9"/>
      <c r="C630" s="9"/>
      <c r="D630" s="9"/>
      <c r="E630" s="14"/>
      <c r="F630" s="14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spans="1:19" ht="19.5" customHeight="1" x14ac:dyDescent="0.25">
      <c r="A631" s="9"/>
      <c r="B631" s="9"/>
      <c r="C631" s="9"/>
      <c r="D631" s="9"/>
      <c r="E631" s="14"/>
      <c r="F631" s="14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spans="1:19" ht="19.5" customHeight="1" x14ac:dyDescent="0.25">
      <c r="A632" s="9"/>
      <c r="B632" s="9"/>
      <c r="C632" s="9"/>
      <c r="D632" s="9"/>
      <c r="E632" s="14"/>
      <c r="F632" s="14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spans="1:19" ht="19.5" customHeight="1" x14ac:dyDescent="0.25">
      <c r="A633" s="9"/>
      <c r="B633" s="9"/>
      <c r="C633" s="9"/>
      <c r="D633" s="9"/>
      <c r="E633" s="14"/>
      <c r="F633" s="14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spans="1:19" ht="19.5" customHeight="1" x14ac:dyDescent="0.25">
      <c r="A634" s="9"/>
      <c r="B634" s="9"/>
      <c r="C634" s="9"/>
      <c r="D634" s="9"/>
      <c r="E634" s="14"/>
      <c r="F634" s="14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spans="1:19" ht="19.5" customHeight="1" x14ac:dyDescent="0.25">
      <c r="A635" s="9"/>
      <c r="B635" s="9"/>
      <c r="C635" s="9"/>
      <c r="D635" s="9"/>
      <c r="E635" s="14"/>
      <c r="F635" s="14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spans="1:19" ht="19.5" customHeight="1" x14ac:dyDescent="0.25">
      <c r="A636" s="9"/>
      <c r="B636" s="9"/>
      <c r="C636" s="9"/>
      <c r="D636" s="9"/>
      <c r="E636" s="14"/>
      <c r="F636" s="14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spans="1:19" ht="19.5" customHeight="1" x14ac:dyDescent="0.25">
      <c r="A637" s="9"/>
      <c r="B637" s="9"/>
      <c r="C637" s="9"/>
      <c r="D637" s="9"/>
      <c r="E637" s="14"/>
      <c r="F637" s="14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spans="1:19" ht="19.5" customHeight="1" x14ac:dyDescent="0.25">
      <c r="A638" s="9"/>
      <c r="B638" s="9"/>
      <c r="C638" s="9"/>
      <c r="D638" s="9"/>
      <c r="E638" s="14"/>
      <c r="F638" s="14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spans="1:19" ht="19.5" customHeight="1" x14ac:dyDescent="0.25">
      <c r="A639" s="9"/>
      <c r="B639" s="9"/>
      <c r="C639" s="9"/>
      <c r="D639" s="9"/>
      <c r="E639" s="14"/>
      <c r="F639" s="14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spans="1:19" ht="19.5" customHeight="1" x14ac:dyDescent="0.25">
      <c r="A640" s="9"/>
      <c r="B640" s="9"/>
      <c r="C640" s="9"/>
      <c r="D640" s="9"/>
      <c r="E640" s="14"/>
      <c r="F640" s="14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spans="1:19" ht="19.5" customHeight="1" x14ac:dyDescent="0.25">
      <c r="A641" s="9"/>
      <c r="B641" s="9"/>
      <c r="C641" s="9"/>
      <c r="D641" s="9"/>
      <c r="E641" s="14"/>
      <c r="F641" s="14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spans="1:19" ht="19.5" customHeight="1" x14ac:dyDescent="0.25">
      <c r="A642" s="9"/>
      <c r="B642" s="9"/>
      <c r="C642" s="9"/>
      <c r="D642" s="9"/>
      <c r="E642" s="14"/>
      <c r="F642" s="14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spans="1:19" ht="19.5" customHeight="1" x14ac:dyDescent="0.25">
      <c r="A643" s="9"/>
      <c r="B643" s="9"/>
      <c r="C643" s="9"/>
      <c r="D643" s="9"/>
      <c r="E643" s="14"/>
      <c r="F643" s="14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spans="1:19" ht="19.5" customHeight="1" x14ac:dyDescent="0.25">
      <c r="A644" s="9"/>
      <c r="B644" s="9"/>
      <c r="C644" s="9"/>
      <c r="D644" s="9"/>
      <c r="E644" s="14"/>
      <c r="F644" s="14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spans="1:19" ht="19.5" customHeight="1" x14ac:dyDescent="0.25">
      <c r="A645" s="9"/>
      <c r="B645" s="9"/>
      <c r="C645" s="9"/>
      <c r="D645" s="9"/>
      <c r="E645" s="14"/>
      <c r="F645" s="14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spans="1:19" ht="19.5" customHeight="1" x14ac:dyDescent="0.25">
      <c r="A646" s="9"/>
      <c r="B646" s="9"/>
      <c r="C646" s="9"/>
      <c r="D646" s="9"/>
      <c r="E646" s="14"/>
      <c r="F646" s="14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spans="1:19" ht="19.5" customHeight="1" x14ac:dyDescent="0.25">
      <c r="A647" s="9"/>
      <c r="B647" s="9"/>
      <c r="C647" s="9"/>
      <c r="D647" s="9"/>
      <c r="E647" s="14"/>
      <c r="F647" s="14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spans="1:19" ht="19.5" customHeight="1" x14ac:dyDescent="0.25">
      <c r="A648" s="9"/>
      <c r="B648" s="9"/>
      <c r="C648" s="9"/>
      <c r="D648" s="9"/>
      <c r="E648" s="14"/>
      <c r="F648" s="14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spans="1:19" ht="19.5" customHeight="1" x14ac:dyDescent="0.25">
      <c r="A649" s="9"/>
      <c r="B649" s="9"/>
      <c r="C649" s="9"/>
      <c r="D649" s="9"/>
      <c r="E649" s="14"/>
      <c r="F649" s="14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spans="1:19" ht="19.5" customHeight="1" x14ac:dyDescent="0.25">
      <c r="A650" s="9"/>
      <c r="B650" s="9"/>
      <c r="C650" s="9"/>
      <c r="D650" s="9"/>
      <c r="E650" s="14"/>
      <c r="F650" s="14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spans="1:19" ht="19.5" customHeight="1" x14ac:dyDescent="0.25">
      <c r="A651" s="9"/>
      <c r="B651" s="9"/>
      <c r="C651" s="9"/>
      <c r="D651" s="9"/>
      <c r="E651" s="14"/>
      <c r="F651" s="14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spans="1:19" ht="19.5" customHeight="1" x14ac:dyDescent="0.25">
      <c r="A652" s="9"/>
      <c r="B652" s="9"/>
      <c r="C652" s="9"/>
      <c r="D652" s="9"/>
      <c r="E652" s="14"/>
      <c r="F652" s="14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spans="1:19" ht="19.5" customHeight="1" x14ac:dyDescent="0.25">
      <c r="A653" s="9"/>
      <c r="B653" s="9"/>
      <c r="C653" s="9"/>
      <c r="D653" s="9"/>
      <c r="E653" s="14"/>
      <c r="F653" s="14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spans="1:19" ht="19.5" customHeight="1" x14ac:dyDescent="0.25">
      <c r="A654" s="9"/>
      <c r="B654" s="9"/>
      <c r="C654" s="9"/>
      <c r="D654" s="9"/>
      <c r="E654" s="14"/>
      <c r="F654" s="14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spans="1:19" ht="19.5" customHeight="1" x14ac:dyDescent="0.25">
      <c r="A655" s="9"/>
      <c r="B655" s="9"/>
      <c r="C655" s="9"/>
      <c r="D655" s="9"/>
      <c r="E655" s="14"/>
      <c r="F655" s="14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spans="1:19" ht="19.5" customHeight="1" x14ac:dyDescent="0.25">
      <c r="A656" s="9"/>
      <c r="B656" s="9"/>
      <c r="C656" s="9"/>
      <c r="D656" s="9"/>
      <c r="E656" s="14"/>
      <c r="F656" s="14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spans="1:19" ht="19.5" customHeight="1" x14ac:dyDescent="0.25">
      <c r="A657" s="9"/>
      <c r="B657" s="9"/>
      <c r="C657" s="9"/>
      <c r="D657" s="9"/>
      <c r="E657" s="14"/>
      <c r="F657" s="14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spans="1:19" ht="19.5" customHeight="1" x14ac:dyDescent="0.25">
      <c r="A658" s="9"/>
      <c r="B658" s="9"/>
      <c r="C658" s="9"/>
      <c r="D658" s="9"/>
      <c r="E658" s="14"/>
      <c r="F658" s="14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spans="1:19" ht="19.5" customHeight="1" x14ac:dyDescent="0.25">
      <c r="A659" s="9"/>
      <c r="B659" s="9"/>
      <c r="C659" s="9"/>
      <c r="D659" s="9"/>
      <c r="E659" s="14"/>
      <c r="F659" s="14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spans="1:19" ht="19.5" customHeight="1" x14ac:dyDescent="0.25">
      <c r="A660" s="9"/>
      <c r="B660" s="9"/>
      <c r="C660" s="9"/>
      <c r="D660" s="9"/>
      <c r="E660" s="14"/>
      <c r="F660" s="14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spans="1:19" ht="19.5" customHeight="1" x14ac:dyDescent="0.25">
      <c r="A661" s="9"/>
      <c r="B661" s="9"/>
      <c r="C661" s="9"/>
      <c r="D661" s="9"/>
      <c r="E661" s="14"/>
      <c r="F661" s="14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spans="1:19" ht="19.5" customHeight="1" x14ac:dyDescent="0.25">
      <c r="A662" s="9"/>
      <c r="B662" s="9"/>
      <c r="C662" s="9"/>
      <c r="D662" s="9"/>
      <c r="E662" s="14"/>
      <c r="F662" s="14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spans="1:19" ht="19.5" customHeight="1" x14ac:dyDescent="0.25">
      <c r="A663" s="9"/>
      <c r="B663" s="9"/>
      <c r="C663" s="9"/>
      <c r="D663" s="9"/>
      <c r="E663" s="14"/>
      <c r="F663" s="14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spans="1:19" ht="19.5" customHeight="1" x14ac:dyDescent="0.25">
      <c r="A664" s="9"/>
      <c r="B664" s="9"/>
      <c r="C664" s="9"/>
      <c r="D664" s="9"/>
      <c r="E664" s="14"/>
      <c r="F664" s="14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spans="1:19" ht="19.5" customHeight="1" x14ac:dyDescent="0.25">
      <c r="A665" s="9"/>
      <c r="B665" s="9"/>
      <c r="C665" s="9"/>
      <c r="D665" s="9"/>
      <c r="E665" s="14"/>
      <c r="F665" s="14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spans="1:19" ht="19.5" customHeight="1" x14ac:dyDescent="0.25">
      <c r="A666" s="9"/>
      <c r="B666" s="9"/>
      <c r="C666" s="9"/>
      <c r="D666" s="9"/>
      <c r="E666" s="14"/>
      <c r="F666" s="14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spans="1:19" ht="19.5" customHeight="1" x14ac:dyDescent="0.25">
      <c r="A667" s="9"/>
      <c r="B667" s="9"/>
      <c r="C667" s="9"/>
      <c r="D667" s="9"/>
      <c r="E667" s="14"/>
      <c r="F667" s="14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spans="1:19" ht="19.5" customHeight="1" x14ac:dyDescent="0.25">
      <c r="A668" s="9"/>
      <c r="B668" s="9"/>
      <c r="C668" s="9"/>
      <c r="D668" s="9"/>
      <c r="E668" s="14"/>
      <c r="F668" s="14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spans="1:19" ht="19.5" customHeight="1" x14ac:dyDescent="0.25">
      <c r="A669" s="9"/>
      <c r="B669" s="9"/>
      <c r="C669" s="9"/>
      <c r="D669" s="9"/>
      <c r="E669" s="14"/>
      <c r="F669" s="14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spans="1:19" ht="19.5" customHeight="1" x14ac:dyDescent="0.25">
      <c r="A670" s="9"/>
      <c r="B670" s="9"/>
      <c r="C670" s="9"/>
      <c r="D670" s="9"/>
      <c r="E670" s="14"/>
      <c r="F670" s="14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spans="1:19" ht="19.5" customHeight="1" x14ac:dyDescent="0.25">
      <c r="A671" s="9"/>
      <c r="B671" s="9"/>
      <c r="C671" s="9"/>
      <c r="D671" s="9"/>
      <c r="E671" s="14"/>
      <c r="F671" s="14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spans="1:19" ht="19.5" customHeight="1" x14ac:dyDescent="0.25">
      <c r="A672" s="9"/>
      <c r="B672" s="9"/>
      <c r="C672" s="9"/>
      <c r="D672" s="9"/>
      <c r="E672" s="14"/>
      <c r="F672" s="14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spans="1:19" ht="19.5" customHeight="1" x14ac:dyDescent="0.25">
      <c r="A673" s="9"/>
      <c r="B673" s="9"/>
      <c r="C673" s="9"/>
      <c r="D673" s="9"/>
      <c r="E673" s="14"/>
      <c r="F673" s="14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spans="1:19" ht="19.5" customHeight="1" x14ac:dyDescent="0.25">
      <c r="A674" s="9"/>
      <c r="B674" s="9"/>
      <c r="C674" s="9"/>
      <c r="D674" s="9"/>
      <c r="E674" s="14"/>
      <c r="F674" s="14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spans="1:19" ht="19.5" customHeight="1" x14ac:dyDescent="0.25">
      <c r="A675" s="9"/>
      <c r="B675" s="9"/>
      <c r="C675" s="9"/>
      <c r="D675" s="9"/>
      <c r="E675" s="14"/>
      <c r="F675" s="14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spans="1:19" ht="19.5" customHeight="1" x14ac:dyDescent="0.25">
      <c r="A676" s="9"/>
      <c r="B676" s="9"/>
      <c r="C676" s="9"/>
      <c r="D676" s="9"/>
      <c r="E676" s="14"/>
      <c r="F676" s="14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spans="1:19" ht="19.5" customHeight="1" x14ac:dyDescent="0.25">
      <c r="A677" s="9"/>
      <c r="B677" s="9"/>
      <c r="C677" s="9"/>
      <c r="D677" s="9"/>
      <c r="E677" s="14"/>
      <c r="F677" s="14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spans="1:19" ht="19.5" customHeight="1" x14ac:dyDescent="0.25">
      <c r="A678" s="9"/>
      <c r="B678" s="9"/>
      <c r="C678" s="9"/>
      <c r="D678" s="9"/>
      <c r="E678" s="14"/>
      <c r="F678" s="14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spans="1:19" ht="19.5" customHeight="1" x14ac:dyDescent="0.25">
      <c r="A679" s="9"/>
      <c r="B679" s="9"/>
      <c r="C679" s="9"/>
      <c r="D679" s="9"/>
      <c r="E679" s="14"/>
      <c r="F679" s="14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spans="1:19" ht="19.5" customHeight="1" x14ac:dyDescent="0.25">
      <c r="A680" s="9"/>
      <c r="B680" s="9"/>
      <c r="C680" s="9"/>
      <c r="D680" s="9"/>
      <c r="E680" s="14"/>
      <c r="F680" s="14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spans="1:19" ht="19.5" customHeight="1" x14ac:dyDescent="0.25">
      <c r="A681" s="9"/>
      <c r="B681" s="9"/>
      <c r="C681" s="9"/>
      <c r="D681" s="9"/>
      <c r="E681" s="14"/>
      <c r="F681" s="14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spans="1:19" ht="19.5" customHeight="1" x14ac:dyDescent="0.25">
      <c r="A682" s="9"/>
      <c r="B682" s="9"/>
      <c r="C682" s="9"/>
      <c r="D682" s="9"/>
      <c r="E682" s="14"/>
      <c r="F682" s="14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spans="1:19" ht="19.5" customHeight="1" x14ac:dyDescent="0.25">
      <c r="A683" s="9"/>
      <c r="B683" s="9"/>
      <c r="C683" s="9"/>
      <c r="D683" s="9"/>
      <c r="E683" s="14"/>
      <c r="F683" s="14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spans="1:19" ht="19.5" customHeight="1" x14ac:dyDescent="0.25">
      <c r="A684" s="9"/>
      <c r="B684" s="9"/>
      <c r="C684" s="9"/>
      <c r="D684" s="9"/>
      <c r="E684" s="14"/>
      <c r="F684" s="14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spans="1:19" ht="19.5" customHeight="1" x14ac:dyDescent="0.25">
      <c r="A685" s="9"/>
      <c r="B685" s="9"/>
      <c r="C685" s="9"/>
      <c r="D685" s="9"/>
      <c r="E685" s="14"/>
      <c r="F685" s="14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spans="1:19" ht="19.5" customHeight="1" x14ac:dyDescent="0.25">
      <c r="A686" s="9"/>
      <c r="B686" s="9"/>
      <c r="C686" s="9"/>
      <c r="D686" s="9"/>
      <c r="E686" s="14"/>
      <c r="F686" s="14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spans="1:19" ht="19.5" customHeight="1" x14ac:dyDescent="0.25">
      <c r="A687" s="9"/>
      <c r="B687" s="9"/>
      <c r="C687" s="9"/>
      <c r="D687" s="9"/>
      <c r="E687" s="14"/>
      <c r="F687" s="14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spans="1:19" ht="19.5" customHeight="1" x14ac:dyDescent="0.25">
      <c r="A688" s="9"/>
      <c r="B688" s="9"/>
      <c r="C688" s="9"/>
      <c r="D688" s="9"/>
      <c r="E688" s="14"/>
      <c r="F688" s="14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spans="1:19" ht="19.5" customHeight="1" x14ac:dyDescent="0.25">
      <c r="A689" s="9"/>
      <c r="B689" s="9"/>
      <c r="C689" s="9"/>
      <c r="D689" s="9"/>
      <c r="E689" s="14"/>
      <c r="F689" s="14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spans="1:19" ht="19.5" customHeight="1" x14ac:dyDescent="0.25">
      <c r="A690" s="9"/>
      <c r="B690" s="9"/>
      <c r="C690" s="9"/>
      <c r="D690" s="9"/>
      <c r="E690" s="14"/>
      <c r="F690" s="14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spans="1:19" ht="19.5" customHeight="1" x14ac:dyDescent="0.25">
      <c r="A691" s="9"/>
      <c r="B691" s="9"/>
      <c r="C691" s="9"/>
      <c r="D691" s="9"/>
      <c r="E691" s="14"/>
      <c r="F691" s="14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19.5" customHeight="1" x14ac:dyDescent="0.25">
      <c r="A692" s="9"/>
      <c r="B692" s="9"/>
      <c r="C692" s="9"/>
      <c r="D692" s="9"/>
      <c r="E692" s="14"/>
      <c r="F692" s="14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ht="19.5" customHeight="1" x14ac:dyDescent="0.25">
      <c r="A693" s="9"/>
      <c r="B693" s="9"/>
      <c r="C693" s="9"/>
      <c r="D693" s="9"/>
      <c r="E693" s="14"/>
      <c r="F693" s="14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ht="19.5" customHeight="1" x14ac:dyDescent="0.25">
      <c r="A694" s="9"/>
      <c r="B694" s="9"/>
      <c r="C694" s="9"/>
      <c r="D694" s="9"/>
      <c r="E694" s="14"/>
      <c r="F694" s="14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ht="19.5" customHeight="1" x14ac:dyDescent="0.25">
      <c r="A695" s="9"/>
      <c r="B695" s="9"/>
      <c r="C695" s="9"/>
      <c r="D695" s="9"/>
      <c r="E695" s="14"/>
      <c r="F695" s="14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ht="19.5" customHeight="1" x14ac:dyDescent="0.25">
      <c r="A696" s="9"/>
      <c r="B696" s="9"/>
      <c r="C696" s="9"/>
      <c r="D696" s="9"/>
      <c r="E696" s="14"/>
      <c r="F696" s="14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ht="19.5" customHeight="1" x14ac:dyDescent="0.25">
      <c r="A697" s="9"/>
      <c r="B697" s="9"/>
      <c r="C697" s="9"/>
      <c r="D697" s="9"/>
      <c r="E697" s="14"/>
      <c r="F697" s="14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ht="19.5" customHeight="1" x14ac:dyDescent="0.25">
      <c r="A698" s="9"/>
      <c r="B698" s="9"/>
      <c r="C698" s="9"/>
      <c r="D698" s="9"/>
      <c r="E698" s="14"/>
      <c r="F698" s="14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9.5" customHeight="1" x14ac:dyDescent="0.25">
      <c r="A699" s="9"/>
      <c r="B699" s="9"/>
      <c r="C699" s="9"/>
      <c r="D699" s="9"/>
      <c r="E699" s="14"/>
      <c r="F699" s="14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9.5" customHeight="1" x14ac:dyDescent="0.25">
      <c r="A700" s="9"/>
      <c r="B700" s="9"/>
      <c r="C700" s="9"/>
      <c r="D700" s="9"/>
      <c r="E700" s="14"/>
      <c r="F700" s="14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ht="19.5" customHeight="1" x14ac:dyDescent="0.25">
      <c r="A701" s="9"/>
      <c r="B701" s="9"/>
      <c r="C701" s="9"/>
      <c r="D701" s="9"/>
      <c r="E701" s="14"/>
      <c r="F701" s="14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ht="19.5" customHeight="1" x14ac:dyDescent="0.25">
      <c r="A702" s="9"/>
      <c r="B702" s="9"/>
      <c r="C702" s="9"/>
      <c r="D702" s="9"/>
      <c r="E702" s="14"/>
      <c r="F702" s="14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spans="1:19" ht="19.5" customHeight="1" x14ac:dyDescent="0.25">
      <c r="A703" s="9"/>
      <c r="B703" s="9"/>
      <c r="C703" s="9"/>
      <c r="D703" s="9"/>
      <c r="E703" s="14"/>
      <c r="F703" s="14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spans="1:19" ht="19.5" customHeight="1" x14ac:dyDescent="0.25">
      <c r="A704" s="9"/>
      <c r="B704" s="9"/>
      <c r="C704" s="9"/>
      <c r="D704" s="9"/>
      <c r="E704" s="14"/>
      <c r="F704" s="14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spans="1:19" ht="19.5" customHeight="1" x14ac:dyDescent="0.25">
      <c r="A705" s="9"/>
      <c r="B705" s="9"/>
      <c r="C705" s="9"/>
      <c r="D705" s="9"/>
      <c r="E705" s="14"/>
      <c r="F705" s="14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spans="1:19" ht="19.5" customHeight="1" x14ac:dyDescent="0.25">
      <c r="A706" s="9"/>
      <c r="B706" s="9"/>
      <c r="C706" s="9"/>
      <c r="D706" s="9"/>
      <c r="E706" s="14"/>
      <c r="F706" s="14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spans="1:19" ht="19.5" customHeight="1" x14ac:dyDescent="0.25">
      <c r="A707" s="9"/>
      <c r="B707" s="9"/>
      <c r="C707" s="9"/>
      <c r="D707" s="9"/>
      <c r="E707" s="14"/>
      <c r="F707" s="14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spans="1:19" ht="19.5" customHeight="1" x14ac:dyDescent="0.25">
      <c r="A708" s="9"/>
      <c r="B708" s="9"/>
      <c r="C708" s="9"/>
      <c r="D708" s="9"/>
      <c r="E708" s="14"/>
      <c r="F708" s="14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19.5" customHeight="1" x14ac:dyDescent="0.25">
      <c r="A709" s="9"/>
      <c r="B709" s="9"/>
      <c r="C709" s="9"/>
      <c r="D709" s="9"/>
      <c r="E709" s="14"/>
      <c r="F709" s="14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spans="1:19" ht="19.5" customHeight="1" x14ac:dyDescent="0.25">
      <c r="A710" s="9"/>
      <c r="B710" s="9"/>
      <c r="C710" s="9"/>
      <c r="D710" s="9"/>
      <c r="E710" s="14"/>
      <c r="F710" s="14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spans="1:19" ht="19.5" customHeight="1" x14ac:dyDescent="0.25">
      <c r="A711" s="9"/>
      <c r="B711" s="9"/>
      <c r="C711" s="9"/>
      <c r="D711" s="9"/>
      <c r="E711" s="14"/>
      <c r="F711" s="14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spans="1:19" ht="19.5" customHeight="1" x14ac:dyDescent="0.25">
      <c r="A712" s="9"/>
      <c r="B712" s="9"/>
      <c r="C712" s="9"/>
      <c r="D712" s="9"/>
      <c r="E712" s="14"/>
      <c r="F712" s="14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spans="1:19" ht="19.5" customHeight="1" x14ac:dyDescent="0.25">
      <c r="A713" s="9"/>
      <c r="B713" s="9"/>
      <c r="C713" s="9"/>
      <c r="D713" s="9"/>
      <c r="E713" s="14"/>
      <c r="F713" s="14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spans="1:19" ht="19.5" customHeight="1" x14ac:dyDescent="0.25">
      <c r="A714" s="9"/>
      <c r="B714" s="9"/>
      <c r="C714" s="9"/>
      <c r="D714" s="9"/>
      <c r="E714" s="14"/>
      <c r="F714" s="14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spans="1:19" ht="19.5" customHeight="1" x14ac:dyDescent="0.25">
      <c r="A715" s="9"/>
      <c r="B715" s="9"/>
      <c r="C715" s="9"/>
      <c r="D715" s="9"/>
      <c r="E715" s="14"/>
      <c r="F715" s="14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spans="1:19" ht="19.5" customHeight="1" x14ac:dyDescent="0.25">
      <c r="A716" s="9"/>
      <c r="B716" s="9"/>
      <c r="C716" s="9"/>
      <c r="D716" s="9"/>
      <c r="E716" s="14"/>
      <c r="F716" s="14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spans="1:19" ht="19.5" customHeight="1" x14ac:dyDescent="0.25">
      <c r="A717" s="9"/>
      <c r="B717" s="9"/>
      <c r="C717" s="9"/>
      <c r="D717" s="9"/>
      <c r="E717" s="14"/>
      <c r="F717" s="14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spans="1:19" ht="19.5" customHeight="1" x14ac:dyDescent="0.25">
      <c r="A718" s="9"/>
      <c r="B718" s="9"/>
      <c r="C718" s="9"/>
      <c r="D718" s="9"/>
      <c r="E718" s="14"/>
      <c r="F718" s="14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spans="1:19" ht="19.5" customHeight="1" x14ac:dyDescent="0.25">
      <c r="A719" s="9"/>
      <c r="B719" s="9"/>
      <c r="C719" s="9"/>
      <c r="D719" s="9"/>
      <c r="E719" s="14"/>
      <c r="F719" s="14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spans="1:19" ht="19.5" customHeight="1" x14ac:dyDescent="0.25">
      <c r="A720" s="9"/>
      <c r="B720" s="9"/>
      <c r="C720" s="9"/>
      <c r="D720" s="9"/>
      <c r="E720" s="14"/>
      <c r="F720" s="14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spans="1:19" ht="19.5" customHeight="1" x14ac:dyDescent="0.25">
      <c r="A721" s="9"/>
      <c r="B721" s="9"/>
      <c r="C721" s="9"/>
      <c r="D721" s="9"/>
      <c r="E721" s="14"/>
      <c r="F721" s="14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spans="1:19" ht="19.5" customHeight="1" x14ac:dyDescent="0.25">
      <c r="A722" s="9"/>
      <c r="B722" s="9"/>
      <c r="C722" s="9"/>
      <c r="D722" s="9"/>
      <c r="E722" s="14"/>
      <c r="F722" s="14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spans="1:19" ht="19.5" customHeight="1" x14ac:dyDescent="0.25">
      <c r="A723" s="9"/>
      <c r="B723" s="9"/>
      <c r="C723" s="9"/>
      <c r="D723" s="9"/>
      <c r="E723" s="14"/>
      <c r="F723" s="14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spans="1:19" ht="19.5" customHeight="1" x14ac:dyDescent="0.25">
      <c r="A724" s="9"/>
      <c r="B724" s="9"/>
      <c r="C724" s="9"/>
      <c r="D724" s="9"/>
      <c r="E724" s="14"/>
      <c r="F724" s="14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spans="1:19" ht="19.5" customHeight="1" x14ac:dyDescent="0.25">
      <c r="A725" s="9"/>
      <c r="B725" s="9"/>
      <c r="C725" s="9"/>
      <c r="D725" s="9"/>
      <c r="E725" s="14"/>
      <c r="F725" s="14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spans="1:19" ht="19.5" customHeight="1" x14ac:dyDescent="0.25">
      <c r="A726" s="9"/>
      <c r="B726" s="9"/>
      <c r="C726" s="9"/>
      <c r="D726" s="9"/>
      <c r="E726" s="14"/>
      <c r="F726" s="14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spans="1:19" ht="19.5" customHeight="1" x14ac:dyDescent="0.25">
      <c r="A727" s="9"/>
      <c r="B727" s="9"/>
      <c r="C727" s="9"/>
      <c r="D727" s="9"/>
      <c r="E727" s="14"/>
      <c r="F727" s="14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spans="1:19" ht="19.5" customHeight="1" x14ac:dyDescent="0.25">
      <c r="A728" s="9"/>
      <c r="B728" s="9"/>
      <c r="C728" s="9"/>
      <c r="D728" s="9"/>
      <c r="E728" s="14"/>
      <c r="F728" s="14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spans="1:19" ht="19.5" customHeight="1" x14ac:dyDescent="0.25">
      <c r="A729" s="9"/>
      <c r="B729" s="9"/>
      <c r="C729" s="9"/>
      <c r="D729" s="9"/>
      <c r="E729" s="14"/>
      <c r="F729" s="14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spans="1:19" ht="19.5" customHeight="1" x14ac:dyDescent="0.25">
      <c r="A730" s="9"/>
      <c r="B730" s="9"/>
      <c r="C730" s="9"/>
      <c r="D730" s="9"/>
      <c r="E730" s="14"/>
      <c r="F730" s="14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spans="1:19" ht="19.5" customHeight="1" x14ac:dyDescent="0.25">
      <c r="A731" s="9"/>
      <c r="B731" s="9"/>
      <c r="C731" s="9"/>
      <c r="D731" s="9"/>
      <c r="E731" s="14"/>
      <c r="F731" s="14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spans="1:19" ht="19.5" customHeight="1" x14ac:dyDescent="0.25">
      <c r="A732" s="9"/>
      <c r="B732" s="9"/>
      <c r="C732" s="9"/>
      <c r="D732" s="9"/>
      <c r="E732" s="14"/>
      <c r="F732" s="14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spans="1:19" ht="19.5" customHeight="1" x14ac:dyDescent="0.25">
      <c r="A733" s="9"/>
      <c r="B733" s="9"/>
      <c r="C733" s="9"/>
      <c r="D733" s="9"/>
      <c r="E733" s="14"/>
      <c r="F733" s="14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spans="1:19" ht="19.5" customHeight="1" x14ac:dyDescent="0.25">
      <c r="A734" s="9"/>
      <c r="B734" s="9"/>
      <c r="C734" s="9"/>
      <c r="D734" s="9"/>
      <c r="E734" s="14"/>
      <c r="F734" s="14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spans="1:19" ht="19.5" customHeight="1" x14ac:dyDescent="0.25">
      <c r="A735" s="9"/>
      <c r="B735" s="9"/>
      <c r="C735" s="9"/>
      <c r="D735" s="9"/>
      <c r="E735" s="14"/>
      <c r="F735" s="14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spans="1:19" ht="19.5" customHeight="1" x14ac:dyDescent="0.25">
      <c r="A736" s="9"/>
      <c r="B736" s="9"/>
      <c r="C736" s="9"/>
      <c r="D736" s="9"/>
      <c r="E736" s="14"/>
      <c r="F736" s="14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spans="1:19" ht="19.5" customHeight="1" x14ac:dyDescent="0.25">
      <c r="A737" s="9"/>
      <c r="B737" s="9"/>
      <c r="C737" s="9"/>
      <c r="D737" s="9"/>
      <c r="E737" s="14"/>
      <c r="F737" s="14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spans="1:19" ht="19.5" customHeight="1" x14ac:dyDescent="0.25">
      <c r="A738" s="9"/>
      <c r="B738" s="9"/>
      <c r="C738" s="9"/>
      <c r="D738" s="9"/>
      <c r="E738" s="14"/>
      <c r="F738" s="14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spans="1:19" ht="19.5" customHeight="1" x14ac:dyDescent="0.25">
      <c r="A739" s="9"/>
      <c r="B739" s="9"/>
      <c r="C739" s="9"/>
      <c r="D739" s="9"/>
      <c r="E739" s="14"/>
      <c r="F739" s="14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spans="1:19" ht="19.5" customHeight="1" x14ac:dyDescent="0.25">
      <c r="A740" s="9"/>
      <c r="B740" s="9"/>
      <c r="C740" s="9"/>
      <c r="D740" s="9"/>
      <c r="E740" s="14"/>
      <c r="F740" s="14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spans="1:19" ht="19.5" customHeight="1" x14ac:dyDescent="0.25">
      <c r="A741" s="9"/>
      <c r="B741" s="9"/>
      <c r="C741" s="9"/>
      <c r="D741" s="9"/>
      <c r="E741" s="14"/>
      <c r="F741" s="14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spans="1:19" ht="19.5" customHeight="1" x14ac:dyDescent="0.25">
      <c r="A742" s="9"/>
      <c r="B742" s="9"/>
      <c r="C742" s="9"/>
      <c r="D742" s="9"/>
      <c r="E742" s="14"/>
      <c r="F742" s="14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spans="1:19" ht="19.5" customHeight="1" x14ac:dyDescent="0.25">
      <c r="A743" s="9"/>
      <c r="B743" s="9"/>
      <c r="C743" s="9"/>
      <c r="D743" s="9"/>
      <c r="E743" s="14"/>
      <c r="F743" s="14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spans="1:19" ht="19.5" customHeight="1" x14ac:dyDescent="0.25">
      <c r="A744" s="9"/>
      <c r="B744" s="9"/>
      <c r="C744" s="9"/>
      <c r="D744" s="9"/>
      <c r="E744" s="14"/>
      <c r="F744" s="14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spans="1:19" ht="19.5" customHeight="1" x14ac:dyDescent="0.25">
      <c r="A745" s="9"/>
      <c r="B745" s="9"/>
      <c r="C745" s="9"/>
      <c r="D745" s="9"/>
      <c r="E745" s="14"/>
      <c r="F745" s="14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spans="1:19" ht="19.5" customHeight="1" x14ac:dyDescent="0.25">
      <c r="A746" s="9"/>
      <c r="B746" s="9"/>
      <c r="C746" s="9"/>
      <c r="D746" s="9"/>
      <c r="E746" s="14"/>
      <c r="F746" s="14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spans="1:19" ht="19.5" customHeight="1" x14ac:dyDescent="0.25">
      <c r="A747" s="9"/>
      <c r="B747" s="9"/>
      <c r="C747" s="9"/>
      <c r="D747" s="9"/>
      <c r="E747" s="14"/>
      <c r="F747" s="14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spans="1:19" ht="19.5" customHeight="1" x14ac:dyDescent="0.25">
      <c r="A748" s="9"/>
      <c r="B748" s="9"/>
      <c r="C748" s="9"/>
      <c r="D748" s="9"/>
      <c r="E748" s="14"/>
      <c r="F748" s="14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spans="1:19" ht="19.5" customHeight="1" x14ac:dyDescent="0.25">
      <c r="A749" s="9"/>
      <c r="B749" s="9"/>
      <c r="C749" s="9"/>
      <c r="D749" s="9"/>
      <c r="E749" s="14"/>
      <c r="F749" s="14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spans="1:19" ht="19.5" customHeight="1" x14ac:dyDescent="0.25">
      <c r="A750" s="9"/>
      <c r="B750" s="9"/>
      <c r="C750" s="9"/>
      <c r="D750" s="9"/>
      <c r="E750" s="14"/>
      <c r="F750" s="14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spans="1:19" ht="19.5" customHeight="1" x14ac:dyDescent="0.25">
      <c r="A751" s="9"/>
      <c r="B751" s="9"/>
      <c r="C751" s="9"/>
      <c r="D751" s="9"/>
      <c r="E751" s="14"/>
      <c r="F751" s="14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spans="1:19" ht="19.5" customHeight="1" x14ac:dyDescent="0.25">
      <c r="A752" s="9"/>
      <c r="B752" s="9"/>
      <c r="C752" s="9"/>
      <c r="D752" s="9"/>
      <c r="E752" s="14"/>
      <c r="F752" s="14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spans="1:19" ht="19.5" customHeight="1" x14ac:dyDescent="0.25">
      <c r="A753" s="9"/>
      <c r="B753" s="9"/>
      <c r="C753" s="9"/>
      <c r="D753" s="9"/>
      <c r="E753" s="14"/>
      <c r="F753" s="14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spans="1:19" ht="19.5" customHeight="1" x14ac:dyDescent="0.25">
      <c r="A754" s="9"/>
      <c r="B754" s="9"/>
      <c r="C754" s="9"/>
      <c r="D754" s="9"/>
      <c r="E754" s="14"/>
      <c r="F754" s="14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 spans="1:19" ht="19.5" customHeight="1" x14ac:dyDescent="0.25">
      <c r="A755" s="9"/>
      <c r="B755" s="9"/>
      <c r="C755" s="9"/>
      <c r="D755" s="9"/>
      <c r="E755" s="14"/>
      <c r="F755" s="14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 spans="1:19" ht="19.5" customHeight="1" x14ac:dyDescent="0.25">
      <c r="A756" s="9"/>
      <c r="B756" s="9"/>
      <c r="C756" s="9"/>
      <c r="D756" s="9"/>
      <c r="E756" s="14"/>
      <c r="F756" s="14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 spans="1:19" ht="19.5" customHeight="1" x14ac:dyDescent="0.25">
      <c r="A757" s="9"/>
      <c r="B757" s="9"/>
      <c r="C757" s="9"/>
      <c r="D757" s="9"/>
      <c r="E757" s="14"/>
      <c r="F757" s="14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 spans="1:19" ht="19.5" customHeight="1" x14ac:dyDescent="0.25">
      <c r="A758" s="9"/>
      <c r="B758" s="9"/>
      <c r="C758" s="9"/>
      <c r="D758" s="9"/>
      <c r="E758" s="14"/>
      <c r="F758" s="14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 spans="1:19" ht="19.5" customHeight="1" x14ac:dyDescent="0.25">
      <c r="A759" s="9"/>
      <c r="B759" s="9"/>
      <c r="C759" s="9"/>
      <c r="D759" s="9"/>
      <c r="E759" s="14"/>
      <c r="F759" s="14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 spans="1:19" ht="19.5" customHeight="1" x14ac:dyDescent="0.25">
      <c r="A760" s="9"/>
      <c r="B760" s="9"/>
      <c r="C760" s="9"/>
      <c r="D760" s="9"/>
      <c r="E760" s="14"/>
      <c r="F760" s="14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 spans="1:19" ht="19.5" customHeight="1" x14ac:dyDescent="0.25">
      <c r="A761" s="9"/>
      <c r="B761" s="9"/>
      <c r="C761" s="9"/>
      <c r="D761" s="9"/>
      <c r="E761" s="14"/>
      <c r="F761" s="14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 spans="1:19" ht="19.5" customHeight="1" x14ac:dyDescent="0.25">
      <c r="A762" s="9"/>
      <c r="B762" s="9"/>
      <c r="C762" s="9"/>
      <c r="D762" s="9"/>
      <c r="E762" s="14"/>
      <c r="F762" s="14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 spans="1:19" ht="19.5" customHeight="1" x14ac:dyDescent="0.25">
      <c r="A763" s="9"/>
      <c r="B763" s="9"/>
      <c r="C763" s="9"/>
      <c r="D763" s="9"/>
      <c r="E763" s="14"/>
      <c r="F763" s="14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 spans="1:19" ht="19.5" customHeight="1" x14ac:dyDescent="0.25">
      <c r="A764" s="9"/>
      <c r="B764" s="9"/>
      <c r="C764" s="9"/>
      <c r="D764" s="9"/>
      <c r="E764" s="14"/>
      <c r="F764" s="14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 spans="1:19" ht="19.5" customHeight="1" x14ac:dyDescent="0.25">
      <c r="A765" s="9"/>
      <c r="B765" s="9"/>
      <c r="C765" s="9"/>
      <c r="D765" s="9"/>
      <c r="E765" s="14"/>
      <c r="F765" s="14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 spans="1:19" ht="19.5" customHeight="1" x14ac:dyDescent="0.25">
      <c r="A766" s="9"/>
      <c r="B766" s="9"/>
      <c r="C766" s="9"/>
      <c r="D766" s="9"/>
      <c r="E766" s="14"/>
      <c r="F766" s="14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 spans="1:19" ht="19.5" customHeight="1" x14ac:dyDescent="0.25">
      <c r="A767" s="9"/>
      <c r="B767" s="9"/>
      <c r="C767" s="9"/>
      <c r="D767" s="9"/>
      <c r="E767" s="14"/>
      <c r="F767" s="14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 spans="1:19" ht="19.5" customHeight="1" x14ac:dyDescent="0.25">
      <c r="A768" s="9"/>
      <c r="B768" s="9"/>
      <c r="C768" s="9"/>
      <c r="D768" s="9"/>
      <c r="E768" s="14"/>
      <c r="F768" s="14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spans="1:19" ht="19.5" customHeight="1" x14ac:dyDescent="0.25">
      <c r="A769" s="9"/>
      <c r="B769" s="9"/>
      <c r="C769" s="9"/>
      <c r="D769" s="9"/>
      <c r="E769" s="14"/>
      <c r="F769" s="14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spans="1:19" ht="19.5" customHeight="1" x14ac:dyDescent="0.25">
      <c r="A770" s="9"/>
      <c r="B770" s="9"/>
      <c r="C770" s="9"/>
      <c r="D770" s="9"/>
      <c r="E770" s="14"/>
      <c r="F770" s="14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spans="1:19" ht="19.5" customHeight="1" x14ac:dyDescent="0.25">
      <c r="A771" s="9"/>
      <c r="B771" s="9"/>
      <c r="C771" s="9"/>
      <c r="D771" s="9"/>
      <c r="E771" s="14"/>
      <c r="F771" s="14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spans="1:19" ht="19.5" customHeight="1" x14ac:dyDescent="0.25">
      <c r="A772" s="9"/>
      <c r="B772" s="9"/>
      <c r="C772" s="9"/>
      <c r="D772" s="9"/>
      <c r="E772" s="14"/>
      <c r="F772" s="14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spans="1:19" ht="19.5" customHeight="1" x14ac:dyDescent="0.25">
      <c r="A773" s="9"/>
      <c r="B773" s="9"/>
      <c r="C773" s="9"/>
      <c r="D773" s="9"/>
      <c r="E773" s="14"/>
      <c r="F773" s="14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spans="1:19" ht="19.5" customHeight="1" x14ac:dyDescent="0.25">
      <c r="A774" s="9"/>
      <c r="B774" s="9"/>
      <c r="C774" s="9"/>
      <c r="D774" s="9"/>
      <c r="E774" s="14"/>
      <c r="F774" s="14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spans="1:19" ht="19.5" customHeight="1" x14ac:dyDescent="0.25">
      <c r="A775" s="9"/>
      <c r="B775" s="9"/>
      <c r="C775" s="9"/>
      <c r="D775" s="9"/>
      <c r="E775" s="14"/>
      <c r="F775" s="14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spans="1:19" ht="19.5" customHeight="1" x14ac:dyDescent="0.25">
      <c r="A776" s="9"/>
      <c r="B776" s="9"/>
      <c r="C776" s="9"/>
      <c r="D776" s="9"/>
      <c r="E776" s="14"/>
      <c r="F776" s="14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spans="1:19" ht="19.5" customHeight="1" x14ac:dyDescent="0.25">
      <c r="A777" s="9"/>
      <c r="B777" s="9"/>
      <c r="C777" s="9"/>
      <c r="D777" s="9"/>
      <c r="E777" s="14"/>
      <c r="F777" s="14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spans="1:19" ht="19.5" customHeight="1" x14ac:dyDescent="0.25">
      <c r="A778" s="9"/>
      <c r="B778" s="9"/>
      <c r="C778" s="9"/>
      <c r="D778" s="9"/>
      <c r="E778" s="14"/>
      <c r="F778" s="14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 spans="1:19" ht="19.5" customHeight="1" x14ac:dyDescent="0.25">
      <c r="A779" s="9"/>
      <c r="B779" s="9"/>
      <c r="C779" s="9"/>
      <c r="D779" s="9"/>
      <c r="E779" s="14"/>
      <c r="F779" s="14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 spans="1:19" ht="19.5" customHeight="1" x14ac:dyDescent="0.25">
      <c r="A780" s="9"/>
      <c r="B780" s="9"/>
      <c r="C780" s="9"/>
      <c r="D780" s="9"/>
      <c r="E780" s="14"/>
      <c r="F780" s="14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 spans="1:19" ht="19.5" customHeight="1" x14ac:dyDescent="0.25">
      <c r="A781" s="9"/>
      <c r="B781" s="9"/>
      <c r="C781" s="9"/>
      <c r="D781" s="9"/>
      <c r="E781" s="14"/>
      <c r="F781" s="14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 spans="1:19" ht="19.5" customHeight="1" x14ac:dyDescent="0.25">
      <c r="A782" s="9"/>
      <c r="B782" s="9"/>
      <c r="C782" s="9"/>
      <c r="D782" s="9"/>
      <c r="E782" s="14"/>
      <c r="F782" s="14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 spans="1:19" ht="19.5" customHeight="1" x14ac:dyDescent="0.25">
      <c r="A783" s="9"/>
      <c r="B783" s="9"/>
      <c r="C783" s="9"/>
      <c r="D783" s="9"/>
      <c r="E783" s="14"/>
      <c r="F783" s="14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 spans="1:19" ht="19.5" customHeight="1" x14ac:dyDescent="0.25">
      <c r="A784" s="9"/>
      <c r="B784" s="9"/>
      <c r="C784" s="9"/>
      <c r="D784" s="9"/>
      <c r="E784" s="14"/>
      <c r="F784" s="14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 spans="1:19" ht="19.5" customHeight="1" x14ac:dyDescent="0.25">
      <c r="A785" s="9"/>
      <c r="B785" s="9"/>
      <c r="C785" s="9"/>
      <c r="D785" s="9"/>
      <c r="E785" s="14"/>
      <c r="F785" s="14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 spans="1:19" ht="19.5" customHeight="1" x14ac:dyDescent="0.25">
      <c r="A786" s="9"/>
      <c r="B786" s="9"/>
      <c r="C786" s="9"/>
      <c r="D786" s="9"/>
      <c r="E786" s="14"/>
      <c r="F786" s="14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 spans="1:19" ht="19.5" customHeight="1" x14ac:dyDescent="0.25">
      <c r="A787" s="9"/>
      <c r="B787" s="9"/>
      <c r="C787" s="9"/>
      <c r="D787" s="9"/>
      <c r="E787" s="14"/>
      <c r="F787" s="14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 spans="1:19" ht="19.5" customHeight="1" x14ac:dyDescent="0.25">
      <c r="A788" s="9"/>
      <c r="B788" s="9"/>
      <c r="C788" s="9"/>
      <c r="D788" s="9"/>
      <c r="E788" s="14"/>
      <c r="F788" s="14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 spans="1:19" ht="19.5" customHeight="1" x14ac:dyDescent="0.25">
      <c r="A789" s="9"/>
      <c r="B789" s="9"/>
      <c r="C789" s="9"/>
      <c r="D789" s="9"/>
      <c r="E789" s="14"/>
      <c r="F789" s="14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 spans="1:19" ht="19.5" customHeight="1" x14ac:dyDescent="0.25">
      <c r="A790" s="9"/>
      <c r="B790" s="9"/>
      <c r="C790" s="9"/>
      <c r="D790" s="9"/>
      <c r="E790" s="14"/>
      <c r="F790" s="14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 spans="1:19" ht="19.5" customHeight="1" x14ac:dyDescent="0.25">
      <c r="A791" s="9"/>
      <c r="B791" s="9"/>
      <c r="C791" s="9"/>
      <c r="D791" s="9"/>
      <c r="E791" s="14"/>
      <c r="F791" s="14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 spans="1:19" ht="19.5" customHeight="1" x14ac:dyDescent="0.25">
      <c r="A792" s="9"/>
      <c r="B792" s="9"/>
      <c r="C792" s="9"/>
      <c r="D792" s="9"/>
      <c r="E792" s="14"/>
      <c r="F792" s="14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 spans="1:19" ht="19.5" customHeight="1" x14ac:dyDescent="0.25">
      <c r="A793" s="9"/>
      <c r="B793" s="9"/>
      <c r="C793" s="9"/>
      <c r="D793" s="9"/>
      <c r="E793" s="14"/>
      <c r="F793" s="14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 spans="1:19" ht="19.5" customHeight="1" x14ac:dyDescent="0.25">
      <c r="A794" s="9"/>
      <c r="B794" s="9"/>
      <c r="C794" s="9"/>
      <c r="D794" s="9"/>
      <c r="E794" s="14"/>
      <c r="F794" s="14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 spans="1:19" ht="19.5" customHeight="1" x14ac:dyDescent="0.25">
      <c r="A795" s="9"/>
      <c r="B795" s="9"/>
      <c r="C795" s="9"/>
      <c r="D795" s="9"/>
      <c r="E795" s="14"/>
      <c r="F795" s="14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 spans="1:19" ht="19.5" customHeight="1" x14ac:dyDescent="0.25">
      <c r="A796" s="9"/>
      <c r="B796" s="9"/>
      <c r="C796" s="9"/>
      <c r="D796" s="9"/>
      <c r="E796" s="14"/>
      <c r="F796" s="14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 spans="1:19" ht="19.5" customHeight="1" x14ac:dyDescent="0.25">
      <c r="A797" s="9"/>
      <c r="B797" s="9"/>
      <c r="C797" s="9"/>
      <c r="D797" s="9"/>
      <c r="E797" s="14"/>
      <c r="F797" s="14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 spans="1:19" ht="19.5" customHeight="1" x14ac:dyDescent="0.25">
      <c r="A798" s="9"/>
      <c r="B798" s="9"/>
      <c r="C798" s="9"/>
      <c r="D798" s="9"/>
      <c r="E798" s="14"/>
      <c r="F798" s="14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 spans="1:19" ht="19.5" customHeight="1" x14ac:dyDescent="0.25">
      <c r="A799" s="9"/>
      <c r="B799" s="9"/>
      <c r="C799" s="9"/>
      <c r="D799" s="9"/>
      <c r="E799" s="14"/>
      <c r="F799" s="14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 spans="1:19" ht="19.5" customHeight="1" x14ac:dyDescent="0.25">
      <c r="A800" s="9"/>
      <c r="B800" s="9"/>
      <c r="C800" s="9"/>
      <c r="D800" s="9"/>
      <c r="E800" s="14"/>
      <c r="F800" s="14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 spans="1:19" ht="19.5" customHeight="1" x14ac:dyDescent="0.25">
      <c r="A801" s="9"/>
      <c r="B801" s="9"/>
      <c r="C801" s="9"/>
      <c r="D801" s="9"/>
      <c r="E801" s="14"/>
      <c r="F801" s="14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 spans="1:19" ht="19.5" customHeight="1" x14ac:dyDescent="0.25">
      <c r="A802" s="9"/>
      <c r="B802" s="9"/>
      <c r="C802" s="9"/>
      <c r="D802" s="9"/>
      <c r="E802" s="14"/>
      <c r="F802" s="14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 spans="1:19" ht="19.5" customHeight="1" x14ac:dyDescent="0.25">
      <c r="A803" s="9"/>
      <c r="B803" s="9"/>
      <c r="C803" s="9"/>
      <c r="D803" s="9"/>
      <c r="E803" s="14"/>
      <c r="F803" s="14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 spans="1:19" ht="19.5" customHeight="1" x14ac:dyDescent="0.25">
      <c r="A804" s="9"/>
      <c r="B804" s="9"/>
      <c r="C804" s="9"/>
      <c r="D804" s="9"/>
      <c r="E804" s="14"/>
      <c r="F804" s="14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 spans="1:19" ht="19.5" customHeight="1" x14ac:dyDescent="0.25">
      <c r="A805" s="9"/>
      <c r="B805" s="9"/>
      <c r="C805" s="9"/>
      <c r="D805" s="9"/>
      <c r="E805" s="14"/>
      <c r="F805" s="14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 spans="1:19" ht="19.5" customHeight="1" x14ac:dyDescent="0.25">
      <c r="A806" s="9"/>
      <c r="B806" s="9"/>
      <c r="C806" s="9"/>
      <c r="D806" s="9"/>
      <c r="E806" s="14"/>
      <c r="F806" s="14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 spans="1:19" ht="19.5" customHeight="1" x14ac:dyDescent="0.25">
      <c r="A807" s="9"/>
      <c r="B807" s="9"/>
      <c r="C807" s="9"/>
      <c r="D807" s="9"/>
      <c r="E807" s="14"/>
      <c r="F807" s="14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 spans="1:19" ht="19.5" customHeight="1" x14ac:dyDescent="0.25">
      <c r="A808" s="9"/>
      <c r="B808" s="9"/>
      <c r="C808" s="9"/>
      <c r="D808" s="9"/>
      <c r="E808" s="14"/>
      <c r="F808" s="14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 spans="1:19" ht="19.5" customHeight="1" x14ac:dyDescent="0.25">
      <c r="A809" s="9"/>
      <c r="B809" s="9"/>
      <c r="C809" s="9"/>
      <c r="D809" s="9"/>
      <c r="E809" s="14"/>
      <c r="F809" s="14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 spans="1:19" ht="19.5" customHeight="1" x14ac:dyDescent="0.25">
      <c r="A810" s="9"/>
      <c r="B810" s="9"/>
      <c r="C810" s="9"/>
      <c r="D810" s="9"/>
      <c r="E810" s="14"/>
      <c r="F810" s="14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 spans="1:19" ht="19.5" customHeight="1" x14ac:dyDescent="0.25">
      <c r="A811" s="9"/>
      <c r="B811" s="9"/>
      <c r="C811" s="9"/>
      <c r="D811" s="9"/>
      <c r="E811" s="14"/>
      <c r="F811" s="14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 spans="1:19" ht="19.5" customHeight="1" x14ac:dyDescent="0.25">
      <c r="A812" s="9"/>
      <c r="B812" s="9"/>
      <c r="C812" s="9"/>
      <c r="D812" s="9"/>
      <c r="E812" s="14"/>
      <c r="F812" s="14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 spans="1:19" ht="19.5" customHeight="1" x14ac:dyDescent="0.25">
      <c r="A813" s="9"/>
      <c r="B813" s="9"/>
      <c r="C813" s="9"/>
      <c r="D813" s="9"/>
      <c r="E813" s="14"/>
      <c r="F813" s="14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 spans="1:19" ht="19.5" customHeight="1" x14ac:dyDescent="0.25">
      <c r="A814" s="9"/>
      <c r="B814" s="9"/>
      <c r="C814" s="9"/>
      <c r="D814" s="9"/>
      <c r="E814" s="14"/>
      <c r="F814" s="14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 spans="1:19" ht="19.5" customHeight="1" x14ac:dyDescent="0.25">
      <c r="A815" s="9"/>
      <c r="B815" s="9"/>
      <c r="C815" s="9"/>
      <c r="D815" s="9"/>
      <c r="E815" s="14"/>
      <c r="F815" s="14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 spans="1:19" ht="19.5" customHeight="1" x14ac:dyDescent="0.25">
      <c r="A816" s="9"/>
      <c r="B816" s="9"/>
      <c r="C816" s="9"/>
      <c r="D816" s="9"/>
      <c r="E816" s="14"/>
      <c r="F816" s="14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 spans="1:19" ht="19.5" customHeight="1" x14ac:dyDescent="0.25">
      <c r="A817" s="9"/>
      <c r="B817" s="9"/>
      <c r="C817" s="9"/>
      <c r="D817" s="9"/>
      <c r="E817" s="14"/>
      <c r="F817" s="14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 spans="1:19" ht="19.5" customHeight="1" x14ac:dyDescent="0.25">
      <c r="A818" s="9"/>
      <c r="B818" s="9"/>
      <c r="C818" s="9"/>
      <c r="D818" s="9"/>
      <c r="E818" s="14"/>
      <c r="F818" s="14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 spans="1:19" ht="19.5" customHeight="1" x14ac:dyDescent="0.25">
      <c r="A819" s="9"/>
      <c r="B819" s="9"/>
      <c r="C819" s="9"/>
      <c r="D819" s="9"/>
      <c r="E819" s="14"/>
      <c r="F819" s="14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 spans="1:19" ht="19.5" customHeight="1" x14ac:dyDescent="0.25">
      <c r="A820" s="9"/>
      <c r="B820" s="9"/>
      <c r="C820" s="9"/>
      <c r="D820" s="9"/>
      <c r="E820" s="14"/>
      <c r="F820" s="14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 spans="1:19" ht="19.5" customHeight="1" x14ac:dyDescent="0.25">
      <c r="A821" s="9"/>
      <c r="B821" s="9"/>
      <c r="C821" s="9"/>
      <c r="D821" s="9"/>
      <c r="E821" s="14"/>
      <c r="F821" s="14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spans="1:19" ht="19.5" customHeight="1" x14ac:dyDescent="0.25">
      <c r="A822" s="9"/>
      <c r="B822" s="9"/>
      <c r="C822" s="9"/>
      <c r="D822" s="9"/>
      <c r="E822" s="14"/>
      <c r="F822" s="14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 spans="1:19" ht="19.5" customHeight="1" x14ac:dyDescent="0.25">
      <c r="A823" s="9"/>
      <c r="B823" s="9"/>
      <c r="C823" s="9"/>
      <c r="D823" s="9"/>
      <c r="E823" s="14"/>
      <c r="F823" s="14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 spans="1:19" ht="19.5" customHeight="1" x14ac:dyDescent="0.25">
      <c r="A824" s="9"/>
      <c r="B824" s="9"/>
      <c r="C824" s="9"/>
      <c r="D824" s="9"/>
      <c r="E824" s="14"/>
      <c r="F824" s="14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 spans="1:19" ht="19.5" customHeight="1" x14ac:dyDescent="0.25">
      <c r="A825" s="9"/>
      <c r="B825" s="9"/>
      <c r="C825" s="9"/>
      <c r="D825" s="9"/>
      <c r="E825" s="14"/>
      <c r="F825" s="14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 spans="1:19" ht="19.5" customHeight="1" x14ac:dyDescent="0.25">
      <c r="A826" s="9"/>
      <c r="B826" s="9"/>
      <c r="C826" s="9"/>
      <c r="D826" s="9"/>
      <c r="E826" s="14"/>
      <c r="F826" s="14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 spans="1:19" ht="19.5" customHeight="1" x14ac:dyDescent="0.25">
      <c r="A827" s="9"/>
      <c r="B827" s="9"/>
      <c r="C827" s="9"/>
      <c r="D827" s="9"/>
      <c r="E827" s="14"/>
      <c r="F827" s="14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 spans="1:19" ht="19.5" customHeight="1" x14ac:dyDescent="0.25">
      <c r="A828" s="9"/>
      <c r="B828" s="9"/>
      <c r="C828" s="9"/>
      <c r="D828" s="9"/>
      <c r="E828" s="14"/>
      <c r="F828" s="14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 spans="1:19" ht="19.5" customHeight="1" x14ac:dyDescent="0.25">
      <c r="A829" s="9"/>
      <c r="B829" s="9"/>
      <c r="C829" s="9"/>
      <c r="D829" s="9"/>
      <c r="E829" s="14"/>
      <c r="F829" s="14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 spans="1:19" ht="19.5" customHeight="1" x14ac:dyDescent="0.25">
      <c r="A830" s="9"/>
      <c r="B830" s="9"/>
      <c r="C830" s="9"/>
      <c r="D830" s="9"/>
      <c r="E830" s="14"/>
      <c r="F830" s="14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 spans="1:19" ht="19.5" customHeight="1" x14ac:dyDescent="0.25">
      <c r="A831" s="9"/>
      <c r="B831" s="9"/>
      <c r="C831" s="9"/>
      <c r="D831" s="9"/>
      <c r="E831" s="14"/>
      <c r="F831" s="14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 spans="1:19" ht="19.5" customHeight="1" x14ac:dyDescent="0.25">
      <c r="A832" s="9"/>
      <c r="B832" s="9"/>
      <c r="C832" s="9"/>
      <c r="D832" s="9"/>
      <c r="E832" s="14"/>
      <c r="F832" s="14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 spans="1:19" ht="19.5" customHeight="1" x14ac:dyDescent="0.25">
      <c r="A833" s="9"/>
      <c r="B833" s="9"/>
      <c r="C833" s="9"/>
      <c r="D833" s="9"/>
      <c r="E833" s="14"/>
      <c r="F833" s="14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 spans="1:19" ht="19.5" customHeight="1" x14ac:dyDescent="0.25">
      <c r="A834" s="9"/>
      <c r="B834" s="9"/>
      <c r="C834" s="9"/>
      <c r="D834" s="9"/>
      <c r="E834" s="14"/>
      <c r="F834" s="14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 spans="1:19" ht="19.5" customHeight="1" x14ac:dyDescent="0.25">
      <c r="A835" s="9"/>
      <c r="B835" s="9"/>
      <c r="C835" s="9"/>
      <c r="D835" s="9"/>
      <c r="E835" s="14"/>
      <c r="F835" s="14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 spans="1:19" ht="19.5" customHeight="1" x14ac:dyDescent="0.25">
      <c r="A836" s="9"/>
      <c r="B836" s="9"/>
      <c r="C836" s="9"/>
      <c r="D836" s="9"/>
      <c r="E836" s="14"/>
      <c r="F836" s="14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 spans="1:19" ht="19.5" customHeight="1" x14ac:dyDescent="0.25">
      <c r="A837" s="9"/>
      <c r="B837" s="9"/>
      <c r="C837" s="9"/>
      <c r="D837" s="9"/>
      <c r="E837" s="14"/>
      <c r="F837" s="14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 spans="1:19" ht="19.5" customHeight="1" x14ac:dyDescent="0.25">
      <c r="A838" s="9"/>
      <c r="B838" s="9"/>
      <c r="C838" s="9"/>
      <c r="D838" s="9"/>
      <c r="E838" s="14"/>
      <c r="F838" s="14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 spans="1:19" ht="19.5" customHeight="1" x14ac:dyDescent="0.25">
      <c r="A839" s="9"/>
      <c r="B839" s="9"/>
      <c r="C839" s="9"/>
      <c r="D839" s="9"/>
      <c r="E839" s="14"/>
      <c r="F839" s="14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 spans="1:19" ht="19.5" customHeight="1" x14ac:dyDescent="0.25">
      <c r="A840" s="9"/>
      <c r="B840" s="9"/>
      <c r="C840" s="9"/>
      <c r="D840" s="9"/>
      <c r="E840" s="14"/>
      <c r="F840" s="14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 spans="1:19" ht="19.5" customHeight="1" x14ac:dyDescent="0.25">
      <c r="A841" s="9"/>
      <c r="B841" s="9"/>
      <c r="C841" s="9"/>
      <c r="D841" s="9"/>
      <c r="E841" s="14"/>
      <c r="F841" s="14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 spans="1:19" ht="19.5" customHeight="1" x14ac:dyDescent="0.25">
      <c r="A842" s="9"/>
      <c r="B842" s="9"/>
      <c r="C842" s="9"/>
      <c r="D842" s="9"/>
      <c r="E842" s="14"/>
      <c r="F842" s="14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 spans="1:19" ht="19.5" customHeight="1" x14ac:dyDescent="0.25">
      <c r="A843" s="9"/>
      <c r="B843" s="9"/>
      <c r="C843" s="9"/>
      <c r="D843" s="9"/>
      <c r="E843" s="14"/>
      <c r="F843" s="14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 spans="1:19" ht="19.5" customHeight="1" x14ac:dyDescent="0.25">
      <c r="A844" s="9"/>
      <c r="B844" s="9"/>
      <c r="C844" s="9"/>
      <c r="D844" s="9"/>
      <c r="E844" s="14"/>
      <c r="F844" s="14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 spans="1:19" ht="19.5" customHeight="1" x14ac:dyDescent="0.25">
      <c r="A845" s="9"/>
      <c r="B845" s="9"/>
      <c r="C845" s="9"/>
      <c r="D845" s="9"/>
      <c r="E845" s="14"/>
      <c r="F845" s="14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 spans="1:19" ht="19.5" customHeight="1" x14ac:dyDescent="0.25">
      <c r="A846" s="9"/>
      <c r="B846" s="9"/>
      <c r="C846" s="9"/>
      <c r="D846" s="9"/>
      <c r="E846" s="14"/>
      <c r="F846" s="14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 spans="1:19" ht="19.5" customHeight="1" x14ac:dyDescent="0.25">
      <c r="A847" s="9"/>
      <c r="B847" s="9"/>
      <c r="C847" s="9"/>
      <c r="D847" s="9"/>
      <c r="E847" s="14"/>
      <c r="F847" s="14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 spans="1:19" ht="19.5" customHeight="1" x14ac:dyDescent="0.25">
      <c r="A848" s="9"/>
      <c r="B848" s="9"/>
      <c r="C848" s="9"/>
      <c r="D848" s="9"/>
      <c r="E848" s="14"/>
      <c r="F848" s="14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 spans="1:19" ht="19.5" customHeight="1" x14ac:dyDescent="0.25">
      <c r="A849" s="9"/>
      <c r="B849" s="9"/>
      <c r="C849" s="9"/>
      <c r="D849" s="9"/>
      <c r="E849" s="14"/>
      <c r="F849" s="14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 spans="1:19" ht="19.5" customHeight="1" x14ac:dyDescent="0.25">
      <c r="A850" s="9"/>
      <c r="B850" s="9"/>
      <c r="C850" s="9"/>
      <c r="D850" s="9"/>
      <c r="E850" s="14"/>
      <c r="F850" s="14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 spans="1:19" ht="19.5" customHeight="1" x14ac:dyDescent="0.25">
      <c r="A851" s="9"/>
      <c r="B851" s="9"/>
      <c r="C851" s="9"/>
      <c r="D851" s="9"/>
      <c r="E851" s="14"/>
      <c r="F851" s="14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 spans="1:19" ht="19.5" customHeight="1" x14ac:dyDescent="0.25">
      <c r="A852" s="9"/>
      <c r="B852" s="9"/>
      <c r="C852" s="9"/>
      <c r="D852" s="9"/>
      <c r="E852" s="14"/>
      <c r="F852" s="14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 spans="1:19" ht="19.5" customHeight="1" x14ac:dyDescent="0.25">
      <c r="A853" s="9"/>
      <c r="B853" s="9"/>
      <c r="C853" s="9"/>
      <c r="D853" s="9"/>
      <c r="E853" s="14"/>
      <c r="F853" s="14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 spans="1:19" ht="19.5" customHeight="1" x14ac:dyDescent="0.25">
      <c r="A854" s="9"/>
      <c r="B854" s="9"/>
      <c r="C854" s="9"/>
      <c r="D854" s="9"/>
      <c r="E854" s="14"/>
      <c r="F854" s="14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 spans="1:19" ht="19.5" customHeight="1" x14ac:dyDescent="0.25">
      <c r="A855" s="9"/>
      <c r="B855" s="9"/>
      <c r="C855" s="9"/>
      <c r="D855" s="9"/>
      <c r="E855" s="14"/>
      <c r="F855" s="14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 spans="1:19" ht="19.5" customHeight="1" x14ac:dyDescent="0.25">
      <c r="A856" s="9"/>
      <c r="B856" s="9"/>
      <c r="C856" s="9"/>
      <c r="D856" s="9"/>
      <c r="E856" s="14"/>
      <c r="F856" s="14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 spans="1:19" ht="19.5" customHeight="1" x14ac:dyDescent="0.25">
      <c r="A857" s="9"/>
      <c r="B857" s="9"/>
      <c r="C857" s="9"/>
      <c r="D857" s="9"/>
      <c r="E857" s="14"/>
      <c r="F857" s="14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 spans="1:19" ht="19.5" customHeight="1" x14ac:dyDescent="0.25">
      <c r="A858" s="9"/>
      <c r="B858" s="9"/>
      <c r="C858" s="9"/>
      <c r="D858" s="9"/>
      <c r="E858" s="14"/>
      <c r="F858" s="14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 spans="1:19" ht="19.5" customHeight="1" x14ac:dyDescent="0.25">
      <c r="A859" s="9"/>
      <c r="B859" s="9"/>
      <c r="C859" s="9"/>
      <c r="D859" s="9"/>
      <c r="E859" s="14"/>
      <c r="F859" s="14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 spans="1:19" ht="19.5" customHeight="1" x14ac:dyDescent="0.25">
      <c r="A860" s="9"/>
      <c r="B860" s="9"/>
      <c r="C860" s="9"/>
      <c r="D860" s="9"/>
      <c r="E860" s="14"/>
      <c r="F860" s="14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 spans="1:19" ht="19.5" customHeight="1" x14ac:dyDescent="0.25">
      <c r="A861" s="9"/>
      <c r="B861" s="9"/>
      <c r="C861" s="9"/>
      <c r="D861" s="9"/>
      <c r="E861" s="14"/>
      <c r="F861" s="14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 spans="1:19" ht="19.5" customHeight="1" x14ac:dyDescent="0.25">
      <c r="A862" s="9"/>
      <c r="B862" s="9"/>
      <c r="C862" s="9"/>
      <c r="D862" s="9"/>
      <c r="E862" s="14"/>
      <c r="F862" s="14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 spans="1:19" ht="19.5" customHeight="1" x14ac:dyDescent="0.25">
      <c r="A863" s="9"/>
      <c r="B863" s="9"/>
      <c r="C863" s="9"/>
      <c r="D863" s="9"/>
      <c r="E863" s="14"/>
      <c r="F863" s="14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 spans="1:19" ht="19.5" customHeight="1" x14ac:dyDescent="0.25">
      <c r="A864" s="9"/>
      <c r="B864" s="9"/>
      <c r="C864" s="9"/>
      <c r="D864" s="9"/>
      <c r="E864" s="14"/>
      <c r="F864" s="14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 spans="1:19" ht="19.5" customHeight="1" x14ac:dyDescent="0.25">
      <c r="A865" s="9"/>
      <c r="B865" s="9"/>
      <c r="C865" s="9"/>
      <c r="D865" s="9"/>
      <c r="E865" s="14"/>
      <c r="F865" s="14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 spans="1:19" ht="19.5" customHeight="1" x14ac:dyDescent="0.25">
      <c r="A866" s="9"/>
      <c r="B866" s="9"/>
      <c r="C866" s="9"/>
      <c r="D866" s="9"/>
      <c r="E866" s="14"/>
      <c r="F866" s="14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 spans="1:19" ht="19.5" customHeight="1" x14ac:dyDescent="0.25">
      <c r="A867" s="9"/>
      <c r="B867" s="9"/>
      <c r="C867" s="9"/>
      <c r="D867" s="9"/>
      <c r="E867" s="14"/>
      <c r="F867" s="14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 spans="1:19" ht="19.5" customHeight="1" x14ac:dyDescent="0.25">
      <c r="A868" s="9"/>
      <c r="B868" s="9"/>
      <c r="C868" s="9"/>
      <c r="D868" s="9"/>
      <c r="E868" s="14"/>
      <c r="F868" s="14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 spans="1:19" ht="19.5" customHeight="1" x14ac:dyDescent="0.25">
      <c r="A869" s="9"/>
      <c r="B869" s="9"/>
      <c r="C869" s="9"/>
      <c r="D869" s="9"/>
      <c r="E869" s="14"/>
      <c r="F869" s="14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 spans="1:19" ht="19.5" customHeight="1" x14ac:dyDescent="0.25">
      <c r="A870" s="9"/>
      <c r="B870" s="9"/>
      <c r="C870" s="9"/>
      <c r="D870" s="9"/>
      <c r="E870" s="14"/>
      <c r="F870" s="14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 spans="1:19" ht="19.5" customHeight="1" x14ac:dyDescent="0.25">
      <c r="A871" s="9"/>
      <c r="B871" s="9"/>
      <c r="C871" s="9"/>
      <c r="D871" s="9"/>
      <c r="E871" s="14"/>
      <c r="F871" s="14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 spans="1:19" ht="19.5" customHeight="1" x14ac:dyDescent="0.25">
      <c r="A872" s="9"/>
      <c r="B872" s="9"/>
      <c r="C872" s="9"/>
      <c r="D872" s="9"/>
      <c r="E872" s="14"/>
      <c r="F872" s="14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 spans="1:19" ht="19.5" customHeight="1" x14ac:dyDescent="0.25">
      <c r="A873" s="9"/>
      <c r="B873" s="9"/>
      <c r="C873" s="9"/>
      <c r="D873" s="9"/>
      <c r="E873" s="14"/>
      <c r="F873" s="14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 spans="1:19" ht="19.5" customHeight="1" x14ac:dyDescent="0.25">
      <c r="A874" s="9"/>
      <c r="B874" s="9"/>
      <c r="C874" s="9"/>
      <c r="D874" s="9"/>
      <c r="E874" s="14"/>
      <c r="F874" s="14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 spans="1:19" ht="19.5" customHeight="1" x14ac:dyDescent="0.25">
      <c r="A875" s="9"/>
      <c r="B875" s="9"/>
      <c r="C875" s="9"/>
      <c r="D875" s="9"/>
      <c r="E875" s="14"/>
      <c r="F875" s="14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 spans="1:19" ht="19.5" customHeight="1" x14ac:dyDescent="0.25">
      <c r="A876" s="9"/>
      <c r="B876" s="9"/>
      <c r="C876" s="9"/>
      <c r="D876" s="9"/>
      <c r="E876" s="14"/>
      <c r="F876" s="14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 spans="1:19" ht="19.5" customHeight="1" x14ac:dyDescent="0.25">
      <c r="A877" s="9"/>
      <c r="B877" s="9"/>
      <c r="C877" s="9"/>
      <c r="D877" s="9"/>
      <c r="E877" s="14"/>
      <c r="F877" s="14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 spans="1:19" ht="19.5" customHeight="1" x14ac:dyDescent="0.25">
      <c r="A878" s="9"/>
      <c r="B878" s="9"/>
      <c r="C878" s="9"/>
      <c r="D878" s="9"/>
      <c r="E878" s="14"/>
      <c r="F878" s="14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 spans="1:19" ht="19.5" customHeight="1" x14ac:dyDescent="0.25">
      <c r="A879" s="9"/>
      <c r="B879" s="9"/>
      <c r="C879" s="9"/>
      <c r="D879" s="9"/>
      <c r="E879" s="14"/>
      <c r="F879" s="14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 spans="1:19" ht="19.5" customHeight="1" x14ac:dyDescent="0.25">
      <c r="A880" s="9"/>
      <c r="B880" s="9"/>
      <c r="C880" s="9"/>
      <c r="D880" s="9"/>
      <c r="E880" s="14"/>
      <c r="F880" s="14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 spans="1:19" ht="19.5" customHeight="1" x14ac:dyDescent="0.25">
      <c r="A881" s="9"/>
      <c r="B881" s="9"/>
      <c r="C881" s="9"/>
      <c r="D881" s="9"/>
      <c r="E881" s="14"/>
      <c r="F881" s="14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 spans="1:19" ht="19.5" customHeight="1" x14ac:dyDescent="0.25">
      <c r="A882" s="9"/>
      <c r="B882" s="9"/>
      <c r="C882" s="9"/>
      <c r="D882" s="9"/>
      <c r="E882" s="14"/>
      <c r="F882" s="14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 spans="1:19" ht="19.5" customHeight="1" x14ac:dyDescent="0.25">
      <c r="A883" s="9"/>
      <c r="B883" s="9"/>
      <c r="C883" s="9"/>
      <c r="D883" s="9"/>
      <c r="E883" s="14"/>
      <c r="F883" s="14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 spans="1:19" ht="19.5" customHeight="1" x14ac:dyDescent="0.25">
      <c r="A884" s="9"/>
      <c r="B884" s="9"/>
      <c r="C884" s="9"/>
      <c r="D884" s="9"/>
      <c r="E884" s="14"/>
      <c r="F884" s="14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 spans="1:19" ht="19.5" customHeight="1" x14ac:dyDescent="0.25">
      <c r="A885" s="9"/>
      <c r="B885" s="9"/>
      <c r="C885" s="9"/>
      <c r="D885" s="9"/>
      <c r="E885" s="14"/>
      <c r="F885" s="14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 spans="1:19" ht="19.5" customHeight="1" x14ac:dyDescent="0.25">
      <c r="A886" s="9"/>
      <c r="B886" s="9"/>
      <c r="C886" s="9"/>
      <c r="D886" s="9"/>
      <c r="E886" s="14"/>
      <c r="F886" s="14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 spans="1:19" ht="19.5" customHeight="1" x14ac:dyDescent="0.25">
      <c r="A887" s="9"/>
      <c r="B887" s="9"/>
      <c r="C887" s="9"/>
      <c r="D887" s="9"/>
      <c r="E887" s="14"/>
      <c r="F887" s="14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 spans="1:19" ht="19.5" customHeight="1" x14ac:dyDescent="0.25">
      <c r="A888" s="9"/>
      <c r="B888" s="9"/>
      <c r="C888" s="9"/>
      <c r="D888" s="9"/>
      <c r="E888" s="14"/>
      <c r="F888" s="14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 spans="1:19" ht="19.5" customHeight="1" x14ac:dyDescent="0.25">
      <c r="A889" s="9"/>
      <c r="B889" s="9"/>
      <c r="C889" s="9"/>
      <c r="D889" s="9"/>
      <c r="E889" s="14"/>
      <c r="F889" s="14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 spans="1:19" ht="19.5" customHeight="1" x14ac:dyDescent="0.25">
      <c r="A890" s="9"/>
      <c r="B890" s="9"/>
      <c r="C890" s="9"/>
      <c r="D890" s="9"/>
      <c r="E890" s="14"/>
      <c r="F890" s="14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 spans="1:19" ht="19.5" customHeight="1" x14ac:dyDescent="0.25">
      <c r="A891" s="9"/>
      <c r="B891" s="9"/>
      <c r="C891" s="9"/>
      <c r="D891" s="9"/>
      <c r="E891" s="14"/>
      <c r="F891" s="14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 spans="1:19" ht="19.5" customHeight="1" x14ac:dyDescent="0.25">
      <c r="A892" s="9"/>
      <c r="B892" s="9"/>
      <c r="C892" s="9"/>
      <c r="D892" s="9"/>
      <c r="E892" s="14"/>
      <c r="F892" s="14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 spans="1:19" ht="19.5" customHeight="1" x14ac:dyDescent="0.25">
      <c r="A893" s="9"/>
      <c r="B893" s="9"/>
      <c r="C893" s="9"/>
      <c r="D893" s="9"/>
      <c r="E893" s="14"/>
      <c r="F893" s="14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 spans="1:19" ht="19.5" customHeight="1" x14ac:dyDescent="0.25">
      <c r="A894" s="9"/>
      <c r="B894" s="9"/>
      <c r="C894" s="9"/>
      <c r="D894" s="9"/>
      <c r="E894" s="14"/>
      <c r="F894" s="14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 spans="1:19" ht="19.5" customHeight="1" x14ac:dyDescent="0.25">
      <c r="A895" s="9"/>
      <c r="B895" s="9"/>
      <c r="C895" s="9"/>
      <c r="D895" s="9"/>
      <c r="E895" s="14"/>
      <c r="F895" s="14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 spans="1:19" ht="19.5" customHeight="1" x14ac:dyDescent="0.25">
      <c r="A896" s="9"/>
      <c r="B896" s="9"/>
      <c r="C896" s="9"/>
      <c r="D896" s="9"/>
      <c r="E896" s="14"/>
      <c r="F896" s="14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 spans="1:19" ht="19.5" customHeight="1" x14ac:dyDescent="0.25">
      <c r="A897" s="9"/>
      <c r="B897" s="9"/>
      <c r="C897" s="9"/>
      <c r="D897" s="9"/>
      <c r="E897" s="14"/>
      <c r="F897" s="14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 spans="1:19" ht="19.5" customHeight="1" x14ac:dyDescent="0.25">
      <c r="A898" s="9"/>
      <c r="B898" s="9"/>
      <c r="C898" s="9"/>
      <c r="D898" s="9"/>
      <c r="E898" s="14"/>
      <c r="F898" s="14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 spans="1:19" ht="19.5" customHeight="1" x14ac:dyDescent="0.25">
      <c r="A899" s="9"/>
      <c r="B899" s="9"/>
      <c r="C899" s="9"/>
      <c r="D899" s="9"/>
      <c r="E899" s="14"/>
      <c r="F899" s="14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 spans="1:19" ht="19.5" customHeight="1" x14ac:dyDescent="0.25">
      <c r="A900" s="9"/>
      <c r="B900" s="9"/>
      <c r="C900" s="9"/>
      <c r="D900" s="9"/>
      <c r="E900" s="14"/>
      <c r="F900" s="14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 spans="1:19" ht="19.5" customHeight="1" x14ac:dyDescent="0.25">
      <c r="A901" s="9"/>
      <c r="B901" s="9"/>
      <c r="C901" s="9"/>
      <c r="D901" s="9"/>
      <c r="E901" s="14"/>
      <c r="F901" s="14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 spans="1:19" ht="19.5" customHeight="1" x14ac:dyDescent="0.25">
      <c r="A902" s="9"/>
      <c r="B902" s="9"/>
      <c r="C902" s="9"/>
      <c r="D902" s="9"/>
      <c r="E902" s="14"/>
      <c r="F902" s="14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 spans="1:19" ht="19.5" customHeight="1" x14ac:dyDescent="0.25">
      <c r="A903" s="9"/>
      <c r="B903" s="9"/>
      <c r="C903" s="9"/>
      <c r="D903" s="9"/>
      <c r="E903" s="14"/>
      <c r="F903" s="14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 spans="1:19" ht="19.5" customHeight="1" x14ac:dyDescent="0.25">
      <c r="A904" s="9"/>
      <c r="B904" s="9"/>
      <c r="C904" s="9"/>
      <c r="D904" s="9"/>
      <c r="E904" s="14"/>
      <c r="F904" s="14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 spans="1:19" ht="19.5" customHeight="1" x14ac:dyDescent="0.25">
      <c r="A905" s="9"/>
      <c r="B905" s="9"/>
      <c r="C905" s="9"/>
      <c r="D905" s="9"/>
      <c r="E905" s="14"/>
      <c r="F905" s="14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 spans="1:19" ht="19.5" customHeight="1" x14ac:dyDescent="0.25">
      <c r="A906" s="9"/>
      <c r="B906" s="9"/>
      <c r="C906" s="9"/>
      <c r="D906" s="9"/>
      <c r="E906" s="14"/>
      <c r="F906" s="14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 spans="1:19" ht="19.5" customHeight="1" x14ac:dyDescent="0.25">
      <c r="A907" s="9"/>
      <c r="B907" s="9"/>
      <c r="C907" s="9"/>
      <c r="D907" s="9"/>
      <c r="E907" s="14"/>
      <c r="F907" s="14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 spans="1:19" ht="19.5" customHeight="1" x14ac:dyDescent="0.25">
      <c r="A908" s="9"/>
      <c r="B908" s="9"/>
      <c r="C908" s="9"/>
      <c r="D908" s="9"/>
      <c r="E908" s="14"/>
      <c r="F908" s="14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 spans="1:19" ht="19.5" customHeight="1" x14ac:dyDescent="0.25">
      <c r="A909" s="9"/>
      <c r="B909" s="9"/>
      <c r="C909" s="9"/>
      <c r="D909" s="9"/>
      <c r="E909" s="14"/>
      <c r="F909" s="14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 spans="1:19" ht="19.5" customHeight="1" x14ac:dyDescent="0.25">
      <c r="A910" s="9"/>
      <c r="B910" s="9"/>
      <c r="C910" s="9"/>
      <c r="D910" s="9"/>
      <c r="E910" s="14"/>
      <c r="F910" s="14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 spans="1:19" ht="19.5" customHeight="1" x14ac:dyDescent="0.25">
      <c r="A911" s="9"/>
      <c r="B911" s="9"/>
      <c r="C911" s="9"/>
      <c r="D911" s="9"/>
      <c r="E911" s="14"/>
      <c r="F911" s="14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 spans="1:19" ht="19.5" customHeight="1" x14ac:dyDescent="0.25">
      <c r="A912" s="9"/>
      <c r="B912" s="9"/>
      <c r="C912" s="9"/>
      <c r="D912" s="9"/>
      <c r="E912" s="14"/>
      <c r="F912" s="14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 spans="1:19" ht="19.5" customHeight="1" x14ac:dyDescent="0.25">
      <c r="A913" s="9"/>
      <c r="B913" s="9"/>
      <c r="C913" s="9"/>
      <c r="D913" s="9"/>
      <c r="E913" s="14"/>
      <c r="F913" s="14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 spans="1:19" ht="19.5" customHeight="1" x14ac:dyDescent="0.25">
      <c r="A914" s="9"/>
      <c r="B914" s="9"/>
      <c r="C914" s="9"/>
      <c r="D914" s="9"/>
      <c r="E914" s="14"/>
      <c r="F914" s="14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 spans="1:19" ht="19.5" customHeight="1" x14ac:dyDescent="0.25">
      <c r="A915" s="9"/>
      <c r="B915" s="9"/>
      <c r="C915" s="9"/>
      <c r="D915" s="9"/>
      <c r="E915" s="14"/>
      <c r="F915" s="14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 spans="1:19" ht="19.5" customHeight="1" x14ac:dyDescent="0.25">
      <c r="A916" s="9"/>
      <c r="B916" s="9"/>
      <c r="C916" s="9"/>
      <c r="D916" s="9"/>
      <c r="E916" s="14"/>
      <c r="F916" s="14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 spans="1:19" ht="19.5" customHeight="1" x14ac:dyDescent="0.25">
      <c r="A917" s="9"/>
      <c r="B917" s="9"/>
      <c r="C917" s="9"/>
      <c r="D917" s="9"/>
      <c r="E917" s="14"/>
      <c r="F917" s="14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 spans="1:19" ht="19.5" customHeight="1" x14ac:dyDescent="0.25">
      <c r="A918" s="9"/>
      <c r="B918" s="9"/>
      <c r="C918" s="9"/>
      <c r="D918" s="9"/>
      <c r="E918" s="14"/>
      <c r="F918" s="14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 spans="1:19" ht="19.5" customHeight="1" x14ac:dyDescent="0.25">
      <c r="A919" s="9"/>
      <c r="B919" s="9"/>
      <c r="C919" s="9"/>
      <c r="D919" s="9"/>
      <c r="E919" s="14"/>
      <c r="F919" s="14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 spans="1:19" ht="19.5" customHeight="1" x14ac:dyDescent="0.25">
      <c r="A920" s="9"/>
      <c r="B920" s="9"/>
      <c r="C920" s="9"/>
      <c r="D920" s="9"/>
      <c r="E920" s="14"/>
      <c r="F920" s="14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 spans="1:19" ht="19.5" customHeight="1" x14ac:dyDescent="0.25">
      <c r="A921" s="9"/>
      <c r="B921" s="9"/>
      <c r="C921" s="9"/>
      <c r="D921" s="9"/>
      <c r="E921" s="14"/>
      <c r="F921" s="14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 spans="1:19" ht="19.5" customHeight="1" x14ac:dyDescent="0.25">
      <c r="A922" s="9"/>
      <c r="B922" s="9"/>
      <c r="C922" s="9"/>
      <c r="D922" s="9"/>
      <c r="E922" s="14"/>
      <c r="F922" s="14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 spans="1:19" ht="19.5" customHeight="1" x14ac:dyDescent="0.25">
      <c r="A923" s="9"/>
      <c r="B923" s="9"/>
      <c r="C923" s="9"/>
      <c r="D923" s="9"/>
      <c r="E923" s="14"/>
      <c r="F923" s="14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 spans="1:19" ht="19.5" customHeight="1" x14ac:dyDescent="0.25">
      <c r="A924" s="9"/>
      <c r="B924" s="9"/>
      <c r="C924" s="9"/>
      <c r="D924" s="9"/>
      <c r="E924" s="14"/>
      <c r="F924" s="14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 spans="1:19" ht="19.5" customHeight="1" x14ac:dyDescent="0.25">
      <c r="A925" s="9"/>
      <c r="B925" s="9"/>
      <c r="C925" s="9"/>
      <c r="D925" s="9"/>
      <c r="E925" s="14"/>
      <c r="F925" s="14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 spans="1:19" ht="19.5" customHeight="1" x14ac:dyDescent="0.25">
      <c r="A926" s="9"/>
      <c r="B926" s="9"/>
      <c r="C926" s="9"/>
      <c r="D926" s="9"/>
      <c r="E926" s="14"/>
      <c r="F926" s="14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 spans="1:19" ht="19.5" customHeight="1" x14ac:dyDescent="0.25">
      <c r="A927" s="9"/>
      <c r="B927" s="9"/>
      <c r="C927" s="9"/>
      <c r="D927" s="9"/>
      <c r="E927" s="14"/>
      <c r="F927" s="14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 spans="1:19" ht="19.5" customHeight="1" x14ac:dyDescent="0.25">
      <c r="A928" s="9"/>
      <c r="B928" s="9"/>
      <c r="C928" s="9"/>
      <c r="D928" s="9"/>
      <c r="E928" s="14"/>
      <c r="F928" s="14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 spans="1:19" ht="19.5" customHeight="1" x14ac:dyDescent="0.25">
      <c r="A929" s="9"/>
      <c r="B929" s="9"/>
      <c r="C929" s="9"/>
      <c r="D929" s="9"/>
      <c r="E929" s="14"/>
      <c r="F929" s="14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 spans="1:19" ht="19.5" customHeight="1" x14ac:dyDescent="0.25">
      <c r="A930" s="9"/>
      <c r="B930" s="9"/>
      <c r="C930" s="9"/>
      <c r="D930" s="9"/>
      <c r="E930" s="14"/>
      <c r="F930" s="14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 spans="1:19" ht="19.5" customHeight="1" x14ac:dyDescent="0.25">
      <c r="A931" s="9"/>
      <c r="B931" s="9"/>
      <c r="C931" s="9"/>
      <c r="D931" s="9"/>
      <c r="E931" s="14"/>
      <c r="F931" s="14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 spans="1:19" ht="19.5" customHeight="1" x14ac:dyDescent="0.25">
      <c r="A932" s="9"/>
      <c r="B932" s="9"/>
      <c r="C932" s="9"/>
      <c r="D932" s="9"/>
      <c r="E932" s="14"/>
      <c r="F932" s="14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 spans="1:19" ht="19.5" customHeight="1" x14ac:dyDescent="0.25">
      <c r="A933" s="9"/>
      <c r="B933" s="9"/>
      <c r="C933" s="9"/>
      <c r="D933" s="9"/>
      <c r="E933" s="14"/>
      <c r="F933" s="14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 spans="1:19" ht="19.5" customHeight="1" x14ac:dyDescent="0.25">
      <c r="A934" s="9"/>
      <c r="B934" s="9"/>
      <c r="C934" s="9"/>
      <c r="D934" s="9"/>
      <c r="E934" s="14"/>
      <c r="F934" s="14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 spans="1:19" ht="19.5" customHeight="1" x14ac:dyDescent="0.25">
      <c r="A935" s="9"/>
      <c r="B935" s="9"/>
      <c r="C935" s="9"/>
      <c r="D935" s="9"/>
      <c r="E935" s="14"/>
      <c r="F935" s="14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 spans="1:19" ht="19.5" customHeight="1" x14ac:dyDescent="0.25">
      <c r="A936" s="9"/>
      <c r="B936" s="9"/>
      <c r="C936" s="9"/>
      <c r="D936" s="9"/>
      <c r="E936" s="14"/>
      <c r="F936" s="14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 spans="1:19" ht="19.5" customHeight="1" x14ac:dyDescent="0.25">
      <c r="A937" s="9"/>
      <c r="B937" s="9"/>
      <c r="C937" s="9"/>
      <c r="D937" s="9"/>
      <c r="E937" s="14"/>
      <c r="F937" s="14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 spans="1:19" ht="19.5" customHeight="1" x14ac:dyDescent="0.25">
      <c r="A938" s="9"/>
      <c r="B938" s="9"/>
      <c r="C938" s="9"/>
      <c r="D938" s="9"/>
      <c r="E938" s="14"/>
      <c r="F938" s="14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 spans="1:19" ht="19.5" customHeight="1" x14ac:dyDescent="0.25">
      <c r="A939" s="9"/>
      <c r="B939" s="9"/>
      <c r="C939" s="9"/>
      <c r="D939" s="9"/>
      <c r="E939" s="14"/>
      <c r="F939" s="14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 spans="1:19" ht="19.5" customHeight="1" x14ac:dyDescent="0.25">
      <c r="A940" s="9"/>
      <c r="B940" s="9"/>
      <c r="C940" s="9"/>
      <c r="D940" s="9"/>
      <c r="E940" s="14"/>
      <c r="F940" s="14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 spans="1:19" ht="19.5" customHeight="1" x14ac:dyDescent="0.25">
      <c r="A941" s="9"/>
      <c r="B941" s="9"/>
      <c r="C941" s="9"/>
      <c r="D941" s="9"/>
      <c r="E941" s="14"/>
      <c r="F941" s="14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 spans="1:19" ht="19.5" customHeight="1" x14ac:dyDescent="0.25">
      <c r="A942" s="9"/>
      <c r="B942" s="9"/>
      <c r="C942" s="9"/>
      <c r="D942" s="9"/>
      <c r="E942" s="14"/>
      <c r="F942" s="14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 spans="1:19" ht="19.5" customHeight="1" x14ac:dyDescent="0.25">
      <c r="A943" s="9"/>
      <c r="B943" s="9"/>
      <c r="C943" s="9"/>
      <c r="D943" s="9"/>
      <c r="E943" s="14"/>
      <c r="F943" s="14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 spans="1:19" ht="19.5" customHeight="1" x14ac:dyDescent="0.25">
      <c r="A944" s="9"/>
      <c r="B944" s="9"/>
      <c r="C944" s="9"/>
      <c r="D944" s="9"/>
      <c r="E944" s="14"/>
      <c r="F944" s="14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 spans="1:19" ht="19.5" customHeight="1" x14ac:dyDescent="0.25">
      <c r="A945" s="9"/>
      <c r="B945" s="9"/>
      <c r="C945" s="9"/>
      <c r="D945" s="9"/>
      <c r="E945" s="14"/>
      <c r="F945" s="14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 spans="1:19" ht="19.5" customHeight="1" x14ac:dyDescent="0.25">
      <c r="A946" s="9"/>
      <c r="B946" s="9"/>
      <c r="C946" s="9"/>
      <c r="D946" s="9"/>
      <c r="E946" s="14"/>
      <c r="F946" s="14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 spans="1:19" ht="19.5" customHeight="1" x14ac:dyDescent="0.25">
      <c r="A947" s="9"/>
      <c r="B947" s="9"/>
      <c r="C947" s="9"/>
      <c r="D947" s="9"/>
      <c r="E947" s="14"/>
      <c r="F947" s="14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 spans="1:19" ht="19.5" customHeight="1" x14ac:dyDescent="0.25">
      <c r="A948" s="9"/>
      <c r="B948" s="9"/>
      <c r="C948" s="9"/>
      <c r="D948" s="9"/>
      <c r="E948" s="14"/>
      <c r="F948" s="14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 spans="1:19" ht="19.5" customHeight="1" x14ac:dyDescent="0.25">
      <c r="A949" s="9"/>
      <c r="B949" s="9"/>
      <c r="C949" s="9"/>
      <c r="D949" s="9"/>
      <c r="E949" s="14"/>
      <c r="F949" s="14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 spans="1:19" ht="19.5" customHeight="1" x14ac:dyDescent="0.25">
      <c r="A950" s="9"/>
      <c r="B950" s="9"/>
      <c r="C950" s="9"/>
      <c r="D950" s="9"/>
      <c r="E950" s="14"/>
      <c r="F950" s="14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 spans="1:19" ht="19.5" customHeight="1" x14ac:dyDescent="0.25">
      <c r="A951" s="9"/>
      <c r="B951" s="9"/>
      <c r="C951" s="9"/>
      <c r="D951" s="9"/>
      <c r="E951" s="14"/>
      <c r="F951" s="14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 spans="1:19" ht="19.5" customHeight="1" x14ac:dyDescent="0.25">
      <c r="A952" s="9"/>
      <c r="B952" s="9"/>
      <c r="C952" s="9"/>
      <c r="D952" s="9"/>
      <c r="E952" s="14"/>
      <c r="F952" s="14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 spans="1:19" ht="19.5" customHeight="1" x14ac:dyDescent="0.25">
      <c r="A953" s="9"/>
      <c r="B953" s="9"/>
      <c r="C953" s="9"/>
      <c r="D953" s="9"/>
      <c r="E953" s="14"/>
      <c r="F953" s="14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 spans="1:19" ht="19.5" customHeight="1" x14ac:dyDescent="0.25">
      <c r="A954" s="9"/>
      <c r="B954" s="9"/>
      <c r="C954" s="9"/>
      <c r="D954" s="9"/>
      <c r="E954" s="14"/>
      <c r="F954" s="14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 spans="1:19" ht="19.5" customHeight="1" x14ac:dyDescent="0.25">
      <c r="A955" s="9"/>
      <c r="B955" s="9"/>
      <c r="C955" s="9"/>
      <c r="D955" s="9"/>
      <c r="E955" s="14"/>
      <c r="F955" s="14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 spans="1:19" ht="19.5" customHeight="1" x14ac:dyDescent="0.25">
      <c r="A956" s="9"/>
      <c r="B956" s="9"/>
      <c r="C956" s="9"/>
      <c r="D956" s="9"/>
      <c r="E956" s="14"/>
      <c r="F956" s="14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 spans="1:19" ht="19.5" customHeight="1" x14ac:dyDescent="0.25">
      <c r="A957" s="9"/>
      <c r="B957" s="9"/>
      <c r="C957" s="9"/>
      <c r="D957" s="9"/>
      <c r="E957" s="14"/>
      <c r="F957" s="14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 spans="1:19" ht="19.5" customHeight="1" x14ac:dyDescent="0.25">
      <c r="A958" s="9"/>
      <c r="B958" s="9"/>
      <c r="C958" s="9"/>
      <c r="D958" s="9"/>
      <c r="E958" s="14"/>
      <c r="F958" s="14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 spans="1:19" ht="19.5" customHeight="1" x14ac:dyDescent="0.25">
      <c r="A959" s="9"/>
      <c r="B959" s="9"/>
      <c r="C959" s="9"/>
      <c r="D959" s="9"/>
      <c r="E959" s="14"/>
      <c r="F959" s="14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 spans="1:19" ht="19.5" customHeight="1" x14ac:dyDescent="0.25">
      <c r="A960" s="9"/>
      <c r="B960" s="9"/>
      <c r="C960" s="9"/>
      <c r="D960" s="9"/>
      <c r="E960" s="14"/>
      <c r="F960" s="14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 spans="1:19" ht="19.5" customHeight="1" x14ac:dyDescent="0.25">
      <c r="A961" s="9"/>
      <c r="B961" s="9"/>
      <c r="C961" s="9"/>
      <c r="D961" s="9"/>
      <c r="E961" s="14"/>
      <c r="F961" s="14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 spans="1:19" ht="19.5" customHeight="1" x14ac:dyDescent="0.25">
      <c r="A962" s="9"/>
      <c r="B962" s="9"/>
      <c r="C962" s="9"/>
      <c r="D962" s="9"/>
      <c r="E962" s="14"/>
      <c r="F962" s="14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 spans="1:19" ht="19.5" customHeight="1" x14ac:dyDescent="0.25">
      <c r="A963" s="9"/>
      <c r="B963" s="9"/>
      <c r="C963" s="9"/>
      <c r="D963" s="9"/>
      <c r="E963" s="14"/>
      <c r="F963" s="14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 spans="1:19" ht="19.5" customHeight="1" x14ac:dyDescent="0.25">
      <c r="A964" s="9"/>
      <c r="B964" s="9"/>
      <c r="C964" s="9"/>
      <c r="D964" s="9"/>
      <c r="E964" s="14"/>
      <c r="F964" s="14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 spans="1:19" ht="19.5" customHeight="1" x14ac:dyDescent="0.25">
      <c r="A965" s="9"/>
      <c r="B965" s="9"/>
      <c r="C965" s="9"/>
      <c r="D965" s="9"/>
      <c r="E965" s="14"/>
      <c r="F965" s="14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 spans="1:19" ht="19.5" customHeight="1" x14ac:dyDescent="0.25">
      <c r="A966" s="9"/>
      <c r="B966" s="9"/>
      <c r="C966" s="9"/>
      <c r="D966" s="9"/>
      <c r="E966" s="14"/>
      <c r="F966" s="14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 spans="1:19" ht="19.5" customHeight="1" x14ac:dyDescent="0.25">
      <c r="A967" s="9"/>
      <c r="B967" s="9"/>
      <c r="C967" s="9"/>
      <c r="D967" s="9"/>
      <c r="E967" s="14"/>
      <c r="F967" s="14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 spans="1:19" ht="19.5" customHeight="1" x14ac:dyDescent="0.25">
      <c r="A968" s="9"/>
      <c r="B968" s="9"/>
      <c r="C968" s="9"/>
      <c r="D968" s="9"/>
      <c r="E968" s="14"/>
      <c r="F968" s="14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 spans="1:19" ht="19.5" customHeight="1" x14ac:dyDescent="0.25">
      <c r="A969" s="9"/>
      <c r="B969" s="9"/>
      <c r="C969" s="9"/>
      <c r="D969" s="9"/>
      <c r="E969" s="14"/>
      <c r="F969" s="14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 spans="1:19" ht="19.5" customHeight="1" x14ac:dyDescent="0.25">
      <c r="A970" s="9"/>
      <c r="B970" s="9"/>
      <c r="C970" s="9"/>
      <c r="D970" s="9"/>
      <c r="E970" s="14"/>
      <c r="F970" s="14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 spans="1:19" ht="19.5" customHeight="1" x14ac:dyDescent="0.25">
      <c r="A971" s="9"/>
      <c r="B971" s="9"/>
      <c r="C971" s="9"/>
      <c r="D971" s="9"/>
      <c r="E971" s="14"/>
      <c r="F971" s="14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 spans="1:19" ht="19.5" customHeight="1" x14ac:dyDescent="0.25">
      <c r="A972" s="9"/>
      <c r="B972" s="9"/>
      <c r="C972" s="9"/>
      <c r="D972" s="9"/>
      <c r="E972" s="14"/>
      <c r="F972" s="14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 spans="1:19" ht="19.5" customHeight="1" x14ac:dyDescent="0.25">
      <c r="A973" s="9"/>
      <c r="B973" s="9"/>
      <c r="C973" s="9"/>
      <c r="D973" s="9"/>
      <c r="E973" s="14"/>
      <c r="F973" s="14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 spans="1:19" ht="19.5" customHeight="1" x14ac:dyDescent="0.25">
      <c r="A974" s="9"/>
      <c r="B974" s="9"/>
      <c r="C974" s="9"/>
      <c r="D974" s="9"/>
      <c r="E974" s="14"/>
      <c r="F974" s="14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 spans="1:19" ht="19.5" customHeight="1" x14ac:dyDescent="0.25">
      <c r="A975" s="9"/>
      <c r="B975" s="9"/>
      <c r="C975" s="9"/>
      <c r="D975" s="9"/>
      <c r="E975" s="14"/>
      <c r="F975" s="14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 spans="1:19" ht="19.5" customHeight="1" x14ac:dyDescent="0.25">
      <c r="A976" s="9"/>
      <c r="B976" s="9"/>
      <c r="C976" s="9"/>
      <c r="D976" s="9"/>
      <c r="E976" s="14"/>
      <c r="F976" s="14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 spans="1:19" ht="19.5" customHeight="1" x14ac:dyDescent="0.25">
      <c r="A977" s="9"/>
      <c r="B977" s="9"/>
      <c r="C977" s="9"/>
      <c r="D977" s="9"/>
      <c r="E977" s="14"/>
      <c r="F977" s="14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 spans="1:19" ht="19.5" customHeight="1" x14ac:dyDescent="0.25">
      <c r="A978" s="9"/>
      <c r="B978" s="9"/>
      <c r="C978" s="9"/>
      <c r="D978" s="9"/>
      <c r="E978" s="14"/>
      <c r="F978" s="14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 spans="1:19" ht="19.5" customHeight="1" x14ac:dyDescent="0.25">
      <c r="A979" s="9"/>
      <c r="B979" s="9"/>
      <c r="C979" s="9"/>
      <c r="D979" s="9"/>
      <c r="E979" s="14"/>
      <c r="F979" s="14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</sheetData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8470-152F-4C00-A40F-8F417893C923}">
  <dimension ref="B2:J12"/>
  <sheetViews>
    <sheetView workbookViewId="0">
      <selection activeCell="C10" sqref="C10"/>
    </sheetView>
  </sheetViews>
  <sheetFormatPr defaultRowHeight="15" x14ac:dyDescent="0.25"/>
  <cols>
    <col min="2" max="5" width="26.85546875" customWidth="1"/>
    <col min="9" max="10" width="15.85546875" bestFit="1" customWidth="1"/>
  </cols>
  <sheetData>
    <row r="2" spans="2:10" ht="15.75" thickBot="1" x14ac:dyDescent="0.3"/>
    <row r="3" spans="2:10" ht="22.5" thickBot="1" x14ac:dyDescent="0.3">
      <c r="B3" s="171" t="s">
        <v>124</v>
      </c>
      <c r="C3" s="172" t="s">
        <v>133</v>
      </c>
      <c r="D3" s="172" t="s">
        <v>7</v>
      </c>
      <c r="E3" s="173" t="s">
        <v>71</v>
      </c>
      <c r="H3" s="184" t="s">
        <v>133</v>
      </c>
      <c r="J3" t="s">
        <v>7</v>
      </c>
    </row>
    <row r="4" spans="2:10" ht="21.75" x14ac:dyDescent="0.25">
      <c r="B4" s="174" t="s">
        <v>125</v>
      </c>
      <c r="C4" s="113">
        <f>'MÃO DE OBRA'!D7</f>
        <v>2669932.4038596</v>
      </c>
      <c r="D4" s="113">
        <v>2676647.0423189201</v>
      </c>
      <c r="E4" s="181">
        <f t="shared" ref="E4:E11" si="0">D4-C4</f>
        <v>6714.6384593201801</v>
      </c>
      <c r="H4" t="s">
        <v>134</v>
      </c>
      <c r="I4" s="183">
        <f>ORÇAMENTO_EXECUTIVO!B7</f>
        <v>2669932.4038596</v>
      </c>
      <c r="J4" s="183">
        <v>2676647.0423189201</v>
      </c>
    </row>
    <row r="5" spans="2:10" ht="21.75" x14ac:dyDescent="0.25">
      <c r="B5" s="175" t="s">
        <v>126</v>
      </c>
      <c r="C5" s="179">
        <v>2483408.2868782999</v>
      </c>
      <c r="D5" s="179">
        <v>2803453.8351813937</v>
      </c>
      <c r="E5" s="182">
        <f t="shared" si="0"/>
        <v>320045.54830309376</v>
      </c>
      <c r="H5" t="s">
        <v>135</v>
      </c>
      <c r="I5" s="185">
        <v>223102.28345909956</v>
      </c>
      <c r="J5" s="185">
        <v>530511.2210906737</v>
      </c>
    </row>
    <row r="6" spans="2:10" ht="21.75" x14ac:dyDescent="0.25">
      <c r="B6" s="174" t="s">
        <v>127</v>
      </c>
      <c r="C6" s="113">
        <f>C4+C5</f>
        <v>5153340.6907378994</v>
      </c>
      <c r="D6" s="113">
        <f>D4+D5</f>
        <v>5480100.8775003143</v>
      </c>
      <c r="E6" s="181">
        <f t="shared" si="0"/>
        <v>326760.18676241487</v>
      </c>
      <c r="H6" t="s">
        <v>136</v>
      </c>
      <c r="I6" s="183">
        <f>'MÃO DE OBRA'!C11</f>
        <v>2260306.0034192004</v>
      </c>
      <c r="J6" s="186">
        <v>2272942.6140907197</v>
      </c>
    </row>
    <row r="7" spans="2:10" ht="21.75" x14ac:dyDescent="0.25">
      <c r="B7" s="175" t="s">
        <v>128</v>
      </c>
      <c r="C7" s="179">
        <v>254.29137673187535</v>
      </c>
      <c r="D7" s="179">
        <v>333.37451228680033</v>
      </c>
      <c r="E7" s="182">
        <f t="shared" si="0"/>
        <v>79.083135554924979</v>
      </c>
      <c r="I7" s="183">
        <f>I4+I5+I6</f>
        <v>5153340.6907378994</v>
      </c>
      <c r="J7" s="183">
        <f>J4+J5+J6</f>
        <v>5480100.8775003143</v>
      </c>
    </row>
    <row r="8" spans="2:10" ht="21.75" x14ac:dyDescent="0.25">
      <c r="B8" s="174" t="s">
        <v>129</v>
      </c>
      <c r="C8" s="180">
        <f>ORÇAMENTO_EXECUTIVO!B19</f>
        <v>60989058.058663309</v>
      </c>
      <c r="D8" s="180">
        <f>C8+E6</f>
        <v>61315818.245425723</v>
      </c>
      <c r="E8" s="181">
        <f t="shared" si="0"/>
        <v>326760.18676241487</v>
      </c>
    </row>
    <row r="9" spans="2:10" ht="21.75" x14ac:dyDescent="0.25">
      <c r="B9" s="175" t="s">
        <v>130</v>
      </c>
      <c r="C9" s="112">
        <f>C8/ORÇAMENTO_EXECUTIVO!G2</f>
        <v>3483.9821210325922</v>
      </c>
      <c r="D9" s="112">
        <f>D8/ORÇAMENTO_EXECUTIVO!G2</f>
        <v>3502.6482012243951</v>
      </c>
      <c r="E9" s="182">
        <f t="shared" si="0"/>
        <v>18.666080191802848</v>
      </c>
    </row>
    <row r="10" spans="2:10" ht="21.75" x14ac:dyDescent="0.25">
      <c r="B10" s="174" t="s">
        <v>131</v>
      </c>
      <c r="C10" s="180">
        <f>C8/'AREA PRIVATIVA'!C3</f>
        <v>6156.5060767201239</v>
      </c>
      <c r="D10" s="180">
        <f>D8/'AREA PRIVATIVA'!C3</f>
        <v>6189.4906995273495</v>
      </c>
      <c r="E10" s="181">
        <f t="shared" si="0"/>
        <v>32.984622807225605</v>
      </c>
    </row>
    <row r="11" spans="2:10" ht="22.5" thickBot="1" x14ac:dyDescent="0.3">
      <c r="B11" s="175" t="s">
        <v>132</v>
      </c>
      <c r="C11" s="112">
        <f>C8/129</f>
        <v>472783.39580359153</v>
      </c>
      <c r="D11" s="112">
        <f>D8/129</f>
        <v>475316.42050717614</v>
      </c>
      <c r="E11" s="182">
        <f t="shared" si="0"/>
        <v>2533.0247035846114</v>
      </c>
    </row>
    <row r="12" spans="2:10" ht="22.5" thickBot="1" x14ac:dyDescent="0.3">
      <c r="B12" s="176"/>
      <c r="C12" s="177"/>
      <c r="D12" s="177"/>
      <c r="E12" s="178">
        <f>E8/C8</f>
        <v>5.3576854138018548E-3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showGridLines="0" zoomScale="85" zoomScaleNormal="85" workbookViewId="0">
      <selection activeCell="C18" sqref="C18"/>
    </sheetView>
  </sheetViews>
  <sheetFormatPr defaultColWidth="14.42578125" defaultRowHeight="15" customHeight="1" x14ac:dyDescent="0.25"/>
  <cols>
    <col min="1" max="1" width="55" bestFit="1" customWidth="1"/>
    <col min="2" max="2" width="23" bestFit="1" customWidth="1"/>
    <col min="3" max="3" width="14.28515625" style="29" customWidth="1"/>
    <col min="4" max="4" width="16.85546875" style="29" bestFit="1" customWidth="1"/>
    <col min="5" max="5" width="17.7109375" customWidth="1"/>
    <col min="6" max="6" width="19.28515625" bestFit="1" customWidth="1"/>
    <col min="7" max="7" width="14.28515625" customWidth="1"/>
    <col min="8" max="8" width="13.85546875" bestFit="1" customWidth="1"/>
    <col min="9" max="17" width="9.140625" customWidth="1"/>
  </cols>
  <sheetData>
    <row r="1" spans="1:17" ht="22.5" customHeight="1" thickBot="1" x14ac:dyDescent="0.3">
      <c r="A1" s="61" t="s">
        <v>0</v>
      </c>
      <c r="B1" s="62" t="s">
        <v>33</v>
      </c>
      <c r="C1" s="62" t="s">
        <v>34</v>
      </c>
      <c r="D1" s="62" t="s">
        <v>3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22.5" customHeight="1" thickBot="1" x14ac:dyDescent="0.3">
      <c r="A2" s="59" t="s">
        <v>35</v>
      </c>
      <c r="B2" s="99">
        <f>'MÃO DE OBRA'!D2</f>
        <v>3894011.7347123325</v>
      </c>
      <c r="C2" s="60">
        <f t="shared" ref="C2:C18" si="0">B2/B$19</f>
        <v>6.3847710698643922E-2</v>
      </c>
      <c r="D2" s="99">
        <f>B2/ORÇAMENTO_EXECUTIVO!G$2</f>
        <v>222.44428254293678</v>
      </c>
      <c r="E2" s="9"/>
      <c r="F2" s="32" t="s">
        <v>43</v>
      </c>
      <c r="G2" s="82">
        <v>17505.560000000001</v>
      </c>
      <c r="H2" s="33" t="s">
        <v>44</v>
      </c>
      <c r="I2" s="9"/>
      <c r="J2" s="9"/>
      <c r="K2" s="9"/>
      <c r="L2" s="9"/>
      <c r="M2" s="9"/>
      <c r="N2" s="9"/>
      <c r="O2" s="9"/>
      <c r="P2" s="9"/>
      <c r="Q2" s="9"/>
    </row>
    <row r="3" spans="1:17" ht="19.5" customHeight="1" x14ac:dyDescent="0.25">
      <c r="A3" s="2" t="s">
        <v>4</v>
      </c>
      <c r="B3" s="100">
        <f>'MÃO DE OBRA'!D3</f>
        <v>1400464.8625340608</v>
      </c>
      <c r="C3" s="11">
        <f t="shared" si="0"/>
        <v>2.2962559303457371E-2</v>
      </c>
      <c r="D3" s="100">
        <f>B3/ORÇAMENTO_EXECUTIVO!G$2</f>
        <v>80.001146066396089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19.5" customHeight="1" x14ac:dyDescent="0.25">
      <c r="A4" s="59" t="s">
        <v>5</v>
      </c>
      <c r="B4" s="99">
        <f>'MÃO DE OBRA'!D4</f>
        <v>3757428.6528425794</v>
      </c>
      <c r="C4" s="60">
        <f t="shared" si="0"/>
        <v>6.1608242075626679E-2</v>
      </c>
      <c r="D4" s="99">
        <f>B4/ORÇAMENTO_EXECUTIVO!G$2</f>
        <v>214.64201389973124</v>
      </c>
      <c r="E4" s="9"/>
      <c r="F4" s="12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ht="19.5" customHeight="1" x14ac:dyDescent="0.25">
      <c r="A5" s="2" t="s">
        <v>74</v>
      </c>
      <c r="B5" s="100">
        <f>'MÃO DE OBRA'!D5</f>
        <v>1720862.4861478801</v>
      </c>
      <c r="C5" s="11">
        <f t="shared" si="0"/>
        <v>2.8215921690291409E-2</v>
      </c>
      <c r="D5" s="100">
        <f>B5/ORÇAMENTO_EXECUTIVO!G$2</f>
        <v>98.303766697430987</v>
      </c>
      <c r="E5" s="9"/>
      <c r="F5" s="12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19.5" customHeight="1" x14ac:dyDescent="0.25">
      <c r="A6" s="59" t="s">
        <v>6</v>
      </c>
      <c r="B6" s="99">
        <f>'MÃO DE OBRA'!D6</f>
        <v>11888495.22749904</v>
      </c>
      <c r="C6" s="60">
        <f t="shared" si="0"/>
        <v>0.19492832986638192</v>
      </c>
      <c r="D6" s="99">
        <f>B6/ORÇAMENTO_EXECUTIVO!G$2</f>
        <v>679.12681613721804</v>
      </c>
      <c r="E6" s="9"/>
      <c r="F6" s="12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ht="19.5" customHeight="1" x14ac:dyDescent="0.25">
      <c r="A7" s="2" t="s">
        <v>7</v>
      </c>
      <c r="B7" s="100">
        <f>'MÃO DE OBRA'!D7</f>
        <v>2669932.4038596</v>
      </c>
      <c r="C7" s="11">
        <f t="shared" si="0"/>
        <v>4.3777236259190666E-2</v>
      </c>
      <c r="D7" s="100">
        <f>B7/ORÇAMENTO_EXECUTIVO!G$2</f>
        <v>152.51910843523999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ht="19.5" customHeight="1" x14ac:dyDescent="0.25">
      <c r="A8" s="59" t="s">
        <v>8</v>
      </c>
      <c r="B8" s="99">
        <f>'MÃO DE OBRA'!D8</f>
        <v>6824216.4661030415</v>
      </c>
      <c r="C8" s="60">
        <f t="shared" si="0"/>
        <v>0.1118924719174882</v>
      </c>
      <c r="D8" s="99">
        <f>B8/ORÇAMENTO_EXECUTIVO!G$2</f>
        <v>389.8313716386703</v>
      </c>
      <c r="E8" s="9"/>
      <c r="F8" s="14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19.5" customHeight="1" x14ac:dyDescent="0.25">
      <c r="A9" s="2" t="s">
        <v>40</v>
      </c>
      <c r="B9" s="100">
        <f>'MÃO DE OBRA'!D9</f>
        <v>3389279.8719215216</v>
      </c>
      <c r="C9" s="11">
        <f t="shared" si="0"/>
        <v>5.5571933389453043E-2</v>
      </c>
      <c r="D9" s="100">
        <f>B9/ORÇAMENTO_EXECUTIVO!G$2</f>
        <v>193.61162236006854</v>
      </c>
      <c r="E9" s="28"/>
      <c r="F9" s="15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ht="19.5" customHeight="1" x14ac:dyDescent="0.25">
      <c r="A10" s="59" t="s">
        <v>9</v>
      </c>
      <c r="B10" s="99">
        <f>'MÃO DE OBRA'!D10</f>
        <v>963633.78227384016</v>
      </c>
      <c r="C10" s="60">
        <f t="shared" si="0"/>
        <v>1.5800109281027975E-2</v>
      </c>
      <c r="D10" s="99">
        <f>B10/ORÇAMENTO_EXECUTIVO!G$2</f>
        <v>55.047298245462592</v>
      </c>
      <c r="E10" s="9"/>
      <c r="F10" s="14"/>
      <c r="G10" s="30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ht="19.5" customHeight="1" x14ac:dyDescent="0.25">
      <c r="A11" s="2" t="s">
        <v>36</v>
      </c>
      <c r="B11" s="100">
        <f>'MÃO DE OBRA'!D11</f>
        <v>3955585.0851409007</v>
      </c>
      <c r="C11" s="11">
        <f t="shared" si="0"/>
        <v>6.4857290980558466E-2</v>
      </c>
      <c r="D11" s="100">
        <f>B11/ORÇAMENTO_EXECUTIVO!G$2</f>
        <v>225.96164219487412</v>
      </c>
      <c r="E11" s="9"/>
      <c r="F11" s="13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ht="19.5" customHeight="1" x14ac:dyDescent="0.25">
      <c r="A12" s="59" t="s">
        <v>37</v>
      </c>
      <c r="B12" s="99">
        <f>'MÃO DE OBRA'!D12</f>
        <v>1140245.0577967202</v>
      </c>
      <c r="C12" s="60">
        <f t="shared" si="0"/>
        <v>1.869589552768559E-2</v>
      </c>
      <c r="D12" s="99">
        <f>B12/ORÇAMENTO_EXECUTIVO!G$2</f>
        <v>65.136165755149804</v>
      </c>
      <c r="E12" s="9"/>
      <c r="F12" s="9"/>
      <c r="G12" s="31"/>
      <c r="H12" s="18"/>
      <c r="I12" s="9"/>
      <c r="J12" s="9"/>
      <c r="K12" s="9"/>
      <c r="L12" s="9"/>
      <c r="M12" s="9"/>
      <c r="N12" s="9"/>
      <c r="O12" s="9"/>
      <c r="P12" s="9"/>
      <c r="Q12" s="9"/>
    </row>
    <row r="13" spans="1:17" ht="19.5" customHeight="1" x14ac:dyDescent="0.25">
      <c r="A13" s="2" t="s">
        <v>10</v>
      </c>
      <c r="B13" s="100">
        <f>'MÃO DE OBRA'!D13</f>
        <v>4304402.0710772807</v>
      </c>
      <c r="C13" s="11">
        <f t="shared" si="0"/>
        <v>7.0576628137739433E-2</v>
      </c>
      <c r="D13" s="100">
        <f>B13/ORÇAMENTO_EXECUTIVO!G$2</f>
        <v>245.88771059464995</v>
      </c>
      <c r="E13" s="9"/>
      <c r="F13" s="9"/>
      <c r="G13" s="13"/>
      <c r="H13" s="187"/>
      <c r="I13" s="9"/>
      <c r="J13" s="9"/>
      <c r="K13" s="9"/>
      <c r="L13" s="9"/>
      <c r="M13" s="9"/>
      <c r="N13" s="9"/>
      <c r="O13" s="9"/>
      <c r="P13" s="9"/>
      <c r="Q13" s="9"/>
    </row>
    <row r="14" spans="1:17" ht="19.5" customHeight="1" x14ac:dyDescent="0.25">
      <c r="A14" s="59" t="s">
        <v>11</v>
      </c>
      <c r="B14" s="99">
        <f>'MÃO DE OBRA'!D14</f>
        <v>2594671.0421358002</v>
      </c>
      <c r="C14" s="60">
        <f t="shared" si="0"/>
        <v>4.2543222091413084E-2</v>
      </c>
      <c r="D14" s="99">
        <f>B14/ORÇAMENTO_EXECUTIVO!G$2</f>
        <v>148.21982513760199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 ht="19.5" customHeight="1" x14ac:dyDescent="0.25">
      <c r="A15" s="2" t="s">
        <v>12</v>
      </c>
      <c r="B15" s="100">
        <f>'MÃO DE OBRA'!D15</f>
        <v>5911420.3508506799</v>
      </c>
      <c r="C15" s="11">
        <f t="shared" si="0"/>
        <v>9.6925916533498274E-2</v>
      </c>
      <c r="D15" s="100">
        <f>B15/ORÇAMENTO_EXECUTIVO!G$2</f>
        <v>337.68816026740529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ht="19.5" customHeight="1" x14ac:dyDescent="0.25">
      <c r="A16" s="59" t="s">
        <v>13</v>
      </c>
      <c r="B16" s="99">
        <f>'MÃO DE OBRA'!D16</f>
        <v>2143436.7271750201</v>
      </c>
      <c r="C16" s="60">
        <f t="shared" si="0"/>
        <v>3.5144611105705569E-2</v>
      </c>
      <c r="D16" s="99">
        <f>B16/ORÇAMENTO_EXECUTIVO!G$2</f>
        <v>122.44319674292167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ht="19.5" customHeight="1" x14ac:dyDescent="0.25">
      <c r="A17" s="2" t="s">
        <v>14</v>
      </c>
      <c r="B17" s="100">
        <f>'MÃO DE OBRA'!D17</f>
        <v>2620073.8056657603</v>
      </c>
      <c r="C17" s="11">
        <f t="shared" si="0"/>
        <v>4.2959735550360527E-2</v>
      </c>
      <c r="D17" s="100">
        <f>B17/ORÇAMENTO_EXECUTIVO!G$2</f>
        <v>149.67095058174431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ht="19.5" customHeight="1" x14ac:dyDescent="0.25">
      <c r="A18" s="59" t="s">
        <v>38</v>
      </c>
      <c r="B18" s="99">
        <f>'MÃO DE OBRA'!D18</f>
        <v>1810898.4309272654</v>
      </c>
      <c r="C18" s="60">
        <f t="shared" si="0"/>
        <v>2.9692185591478123E-2</v>
      </c>
      <c r="D18" s="99">
        <f>B18/ORÇAMENTO_EXECUTIVO!G$2</f>
        <v>103.44704373509133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ht="19.5" customHeight="1" x14ac:dyDescent="0.25">
      <c r="A19" s="61" t="s">
        <v>15</v>
      </c>
      <c r="B19" s="101">
        <f>SUM(B2:B18)</f>
        <v>60989058.058663309</v>
      </c>
      <c r="C19" s="64">
        <f t="shared" ref="C19" si="1">SUM(C2:C18)</f>
        <v>1</v>
      </c>
      <c r="D19" s="101">
        <f>SUM(D2:D18)</f>
        <v>3483.9821210325936</v>
      </c>
      <c r="E19" s="13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ht="19.5" customHeight="1" x14ac:dyDescent="0.25">
      <c r="A20" s="61" t="s">
        <v>54</v>
      </c>
      <c r="B20" s="63">
        <v>2965.54</v>
      </c>
      <c r="C20" s="66">
        <v>45839</v>
      </c>
      <c r="D20" s="65">
        <f>+D19/B20</f>
        <v>1.1748221642711256</v>
      </c>
      <c r="E20" s="13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ht="22.5" customHeight="1" x14ac:dyDescent="0.25">
      <c r="A21" s="9"/>
      <c r="B21" s="9"/>
      <c r="C21" s="14"/>
      <c r="D21" s="14"/>
      <c r="E21" s="9"/>
      <c r="F21" s="13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ht="22.5" customHeight="1" x14ac:dyDescent="0.25">
      <c r="A22" s="9"/>
      <c r="B22" s="13"/>
      <c r="C22" s="14"/>
      <c r="D22" s="14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ht="15" customHeight="1" x14ac:dyDescent="0.25">
      <c r="A23" s="83" t="s">
        <v>58</v>
      </c>
      <c r="B23" t="s">
        <v>60</v>
      </c>
      <c r="C23"/>
      <c r="D23" s="14"/>
      <c r="E23" s="9"/>
      <c r="F23" s="13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ht="19.5" customHeight="1" x14ac:dyDescent="0.25">
      <c r="A24" s="84" t="s">
        <v>6</v>
      </c>
      <c r="B24" s="85">
        <v>0.17808562515455903</v>
      </c>
      <c r="C24"/>
      <c r="D24" s="14"/>
      <c r="E24" s="15"/>
      <c r="F24" s="9"/>
      <c r="G24" s="13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ht="19.5" customHeight="1" x14ac:dyDescent="0.45">
      <c r="A25" s="84" t="s">
        <v>8</v>
      </c>
      <c r="B25" s="85">
        <v>0.10140635540599127</v>
      </c>
      <c r="C25"/>
      <c r="D25" s="14"/>
      <c r="E25" s="16"/>
      <c r="F25" s="13"/>
      <c r="G25" s="13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ht="19.5" customHeight="1" x14ac:dyDescent="0.25">
      <c r="A26" s="84" t="s">
        <v>12</v>
      </c>
      <c r="B26" s="85">
        <v>9.7736624053979551E-2</v>
      </c>
      <c r="C26"/>
      <c r="D26" s="14"/>
      <c r="E26" s="17"/>
      <c r="F26" s="1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ht="19.5" customHeight="1" x14ac:dyDescent="0.25">
      <c r="A27" s="84" t="s">
        <v>14</v>
      </c>
      <c r="B27" s="85">
        <v>6.561572360315869E-2</v>
      </c>
      <c r="C27"/>
      <c r="D27" s="14"/>
      <c r="E27" s="9"/>
      <c r="F27" s="1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ht="19.5" customHeight="1" x14ac:dyDescent="0.25">
      <c r="A28" s="84" t="s">
        <v>7</v>
      </c>
      <c r="B28" s="85">
        <v>6.4250496505989685E-2</v>
      </c>
      <c r="C28"/>
      <c r="D28" s="14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ht="19.5" customHeight="1" x14ac:dyDescent="0.25">
      <c r="A29" s="84" t="s">
        <v>5</v>
      </c>
      <c r="B29" s="85">
        <v>6.3094853893212635E-2</v>
      </c>
      <c r="C29"/>
      <c r="D29" s="14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ht="19.5" customHeight="1" x14ac:dyDescent="0.25">
      <c r="A30" s="84" t="s">
        <v>35</v>
      </c>
      <c r="B30" s="85">
        <v>5.6178200908956442E-2</v>
      </c>
      <c r="C30"/>
      <c r="D30" s="14"/>
      <c r="E30" s="9"/>
      <c r="F30" s="13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ht="19.5" customHeight="1" x14ac:dyDescent="0.25">
      <c r="A31" s="84" t="s">
        <v>10</v>
      </c>
      <c r="B31" s="85">
        <v>5.6149060949362353E-2</v>
      </c>
      <c r="C31"/>
      <c r="D31" s="14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ht="19.5" customHeight="1" x14ac:dyDescent="0.25">
      <c r="A32" s="84" t="s">
        <v>40</v>
      </c>
      <c r="B32" s="85">
        <v>5.3398093945191606E-2</v>
      </c>
      <c r="C32"/>
      <c r="D32" s="14"/>
      <c r="E32" s="9"/>
      <c r="F32" s="13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ht="19.5" customHeight="1" x14ac:dyDescent="0.25">
      <c r="A33" s="84" t="s">
        <v>36</v>
      </c>
      <c r="B33" s="85">
        <v>4.877873457261047E-2</v>
      </c>
      <c r="C33"/>
      <c r="D33" s="14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ht="19.5" customHeight="1" x14ac:dyDescent="0.25">
      <c r="A34" s="84" t="s">
        <v>74</v>
      </c>
      <c r="B34" s="85">
        <v>4.3693150526180148E-2</v>
      </c>
      <c r="C34"/>
      <c r="D34" s="14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ht="19.5" customHeight="1" x14ac:dyDescent="0.25">
      <c r="A35" s="84" t="s">
        <v>38</v>
      </c>
      <c r="B35" s="85">
        <v>3.5823182610047591E-2</v>
      </c>
      <c r="C35"/>
      <c r="D35" s="14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ht="19.5" customHeight="1" x14ac:dyDescent="0.25">
      <c r="A36" s="84" t="s">
        <v>11</v>
      </c>
      <c r="B36" s="85">
        <v>3.5501955604686559E-2</v>
      </c>
      <c r="C36"/>
      <c r="D36" s="14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ht="19.5" customHeight="1" x14ac:dyDescent="0.25">
      <c r="A37" s="84" t="s">
        <v>13</v>
      </c>
      <c r="B37" s="85">
        <v>3.4711805294695648E-2</v>
      </c>
      <c r="C37"/>
      <c r="D37" s="14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ht="19.5" customHeight="1" x14ac:dyDescent="0.25">
      <c r="A38" s="84" t="s">
        <v>37</v>
      </c>
      <c r="B38" s="85">
        <v>2.7238112322849024E-2</v>
      </c>
      <c r="C38"/>
      <c r="D38" s="14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ht="19.5" customHeight="1" x14ac:dyDescent="0.25">
      <c r="A39" s="84" t="s">
        <v>4</v>
      </c>
      <c r="B39" s="85">
        <v>2.2147008988498803E-2</v>
      </c>
      <c r="C39"/>
      <c r="D39" s="14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ht="19.5" customHeight="1" x14ac:dyDescent="0.25">
      <c r="A40" s="84" t="s">
        <v>9</v>
      </c>
      <c r="B40" s="85">
        <v>1.6191015660030707E-2</v>
      </c>
      <c r="C40"/>
      <c r="D40" s="14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 ht="19.5" customHeight="1" x14ac:dyDescent="0.25">
      <c r="A41" s="84" t="s">
        <v>39</v>
      </c>
      <c r="B41" s="85">
        <v>0</v>
      </c>
      <c r="C41" s="14"/>
      <c r="D41" s="14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 ht="19.5" customHeight="1" x14ac:dyDescent="0.25">
      <c r="A42" s="84" t="s">
        <v>59</v>
      </c>
      <c r="B42" s="85">
        <v>1.0000000000000002</v>
      </c>
      <c r="C42" s="14"/>
      <c r="D42" s="14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 ht="19.5" customHeight="1" x14ac:dyDescent="0.25">
      <c r="A43" s="9"/>
      <c r="B43" s="9"/>
      <c r="C43" s="14"/>
      <c r="D43" s="14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 ht="19.5" customHeight="1" x14ac:dyDescent="0.25">
      <c r="A44" s="9"/>
      <c r="B44" s="9"/>
      <c r="C44" s="14"/>
      <c r="D44" s="14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 ht="19.5" customHeight="1" x14ac:dyDescent="0.25">
      <c r="A45" s="9"/>
      <c r="B45" s="9"/>
      <c r="C45" s="14"/>
      <c r="D45" s="14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 ht="19.5" customHeight="1" x14ac:dyDescent="0.25">
      <c r="A46" s="9"/>
      <c r="B46" s="9"/>
      <c r="C46" s="14"/>
      <c r="D46" s="14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 ht="19.5" customHeight="1" x14ac:dyDescent="0.25">
      <c r="A47" s="9"/>
      <c r="B47" s="9"/>
      <c r="C47" s="14"/>
      <c r="D47" s="14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 ht="19.5" customHeight="1" x14ac:dyDescent="0.25">
      <c r="A48" s="9"/>
      <c r="B48" s="9"/>
      <c r="C48" s="14"/>
      <c r="D48" s="14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 ht="19.5" customHeight="1" x14ac:dyDescent="0.25">
      <c r="A49" s="9"/>
      <c r="B49" s="9"/>
      <c r="C49" s="14"/>
      <c r="D49" s="14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 ht="19.5" customHeight="1" x14ac:dyDescent="0.25">
      <c r="A50" s="9"/>
      <c r="B50" s="9"/>
      <c r="C50" s="14"/>
      <c r="D50" s="14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 ht="19.5" customHeight="1" x14ac:dyDescent="0.25">
      <c r="A51" s="9"/>
      <c r="B51" s="9"/>
      <c r="C51" s="14"/>
      <c r="D51" s="14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 ht="19.5" customHeight="1" x14ac:dyDescent="0.25">
      <c r="A52" s="9"/>
      <c r="B52" s="9"/>
      <c r="C52" s="14"/>
      <c r="D52" s="14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 ht="19.5" customHeight="1" x14ac:dyDescent="0.25">
      <c r="A53" s="9"/>
      <c r="B53" s="9"/>
      <c r="C53" s="14"/>
      <c r="D53" s="14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ht="19.5" customHeight="1" x14ac:dyDescent="0.25">
      <c r="A54" s="9"/>
      <c r="B54" s="9"/>
      <c r="C54" s="14"/>
      <c r="D54" s="14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 ht="19.5" customHeight="1" x14ac:dyDescent="0.25">
      <c r="A55" s="9"/>
      <c r="B55" s="9"/>
      <c r="C55" s="14"/>
      <c r="D55" s="14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 ht="19.5" customHeight="1" x14ac:dyDescent="0.25">
      <c r="A56" s="9"/>
      <c r="B56" s="9"/>
      <c r="C56" s="14"/>
      <c r="D56" s="14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 ht="19.5" customHeight="1" x14ac:dyDescent="0.25">
      <c r="A57" s="9"/>
      <c r="B57" s="9"/>
      <c r="C57" s="14"/>
      <c r="D57" s="14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 ht="19.5" customHeight="1" x14ac:dyDescent="0.25">
      <c r="A58" s="9"/>
      <c r="B58" s="9"/>
      <c r="C58" s="14"/>
      <c r="D58" s="14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 ht="19.5" customHeight="1" x14ac:dyDescent="0.25">
      <c r="A59" s="9"/>
      <c r="B59" s="9"/>
      <c r="C59" s="14"/>
      <c r="D59" s="14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 ht="19.5" customHeight="1" x14ac:dyDescent="0.25">
      <c r="A60" s="9"/>
      <c r="B60" s="9"/>
      <c r="C60" s="14"/>
      <c r="D60" s="14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 ht="19.5" customHeight="1" x14ac:dyDescent="0.25">
      <c r="A61" s="9"/>
      <c r="B61" s="9"/>
      <c r="C61" s="14"/>
      <c r="D61" s="14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 ht="19.5" customHeight="1" x14ac:dyDescent="0.25">
      <c r="A62" s="9"/>
      <c r="B62" s="9"/>
      <c r="C62" s="14"/>
      <c r="D62" s="14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 ht="19.5" customHeight="1" x14ac:dyDescent="0.25">
      <c r="A63" s="9"/>
      <c r="B63" s="9"/>
      <c r="C63" s="14"/>
      <c r="D63" s="14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 ht="19.5" customHeight="1" x14ac:dyDescent="0.25">
      <c r="A64" s="9"/>
      <c r="B64" s="9"/>
      <c r="C64" s="14"/>
      <c r="D64" s="14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 ht="19.5" customHeight="1" x14ac:dyDescent="0.25">
      <c r="A65" s="9"/>
      <c r="B65" s="9"/>
      <c r="C65" s="14"/>
      <c r="D65" s="14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 ht="19.5" customHeight="1" x14ac:dyDescent="0.25">
      <c r="A66" s="9"/>
      <c r="B66" s="9"/>
      <c r="C66" s="14"/>
      <c r="D66" s="14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ht="19.5" customHeight="1" x14ac:dyDescent="0.25">
      <c r="A67" s="9"/>
      <c r="B67" s="9"/>
      <c r="C67" s="14"/>
      <c r="D67" s="14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 ht="19.5" customHeight="1" x14ac:dyDescent="0.25">
      <c r="A68" s="9"/>
      <c r="B68" s="9"/>
      <c r="C68" s="14"/>
      <c r="D68" s="14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 ht="19.5" customHeight="1" x14ac:dyDescent="0.25">
      <c r="A69" s="9"/>
      <c r="B69" s="9"/>
      <c r="C69" s="14"/>
      <c r="D69" s="14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 ht="19.5" customHeight="1" x14ac:dyDescent="0.25">
      <c r="A70" s="9"/>
      <c r="B70" s="9"/>
      <c r="C70" s="14"/>
      <c r="D70" s="14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 ht="19.5" customHeight="1" x14ac:dyDescent="0.25">
      <c r="A71" s="9"/>
      <c r="B71" s="9"/>
      <c r="C71" s="14"/>
      <c r="D71" s="14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 ht="19.5" customHeight="1" x14ac:dyDescent="0.25">
      <c r="A72" s="9"/>
      <c r="B72" s="9"/>
      <c r="C72" s="14"/>
      <c r="D72" s="14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 ht="19.5" customHeight="1" x14ac:dyDescent="0.25">
      <c r="A73" s="9"/>
      <c r="B73" s="9"/>
      <c r="C73" s="14"/>
      <c r="D73" s="14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 ht="19.5" customHeight="1" x14ac:dyDescent="0.25">
      <c r="A74" s="9"/>
      <c r="B74" s="9"/>
      <c r="C74" s="14"/>
      <c r="D74" s="14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 ht="19.5" customHeight="1" x14ac:dyDescent="0.25">
      <c r="A75" s="9"/>
      <c r="B75" s="9"/>
      <c r="C75" s="14"/>
      <c r="D75" s="14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 ht="19.5" customHeight="1" x14ac:dyDescent="0.25">
      <c r="A76" s="9"/>
      <c r="B76" s="9"/>
      <c r="C76" s="14"/>
      <c r="D76" s="14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 ht="19.5" customHeight="1" x14ac:dyDescent="0.25">
      <c r="A77" s="9"/>
      <c r="B77" s="9"/>
      <c r="C77" s="14"/>
      <c r="D77" s="14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 ht="19.5" customHeight="1" x14ac:dyDescent="0.25">
      <c r="A78" s="9"/>
      <c r="B78" s="9"/>
      <c r="C78" s="14"/>
      <c r="D78" s="14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 ht="19.5" customHeight="1" x14ac:dyDescent="0.25">
      <c r="A79" s="9"/>
      <c r="B79" s="9"/>
      <c r="C79" s="14"/>
      <c r="D79" s="14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 ht="19.5" customHeight="1" x14ac:dyDescent="0.25">
      <c r="A80" s="9"/>
      <c r="B80" s="9"/>
      <c r="C80" s="14"/>
      <c r="D80" s="14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 ht="19.5" customHeight="1" x14ac:dyDescent="0.25">
      <c r="A81" s="9"/>
      <c r="B81" s="9"/>
      <c r="C81" s="14"/>
      <c r="D81" s="14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 ht="19.5" customHeight="1" x14ac:dyDescent="0.25">
      <c r="A82" s="9"/>
      <c r="B82" s="9"/>
      <c r="C82" s="14"/>
      <c r="D82" s="14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 ht="19.5" customHeight="1" x14ac:dyDescent="0.25">
      <c r="A83" s="9"/>
      <c r="B83" s="9"/>
      <c r="C83" s="14"/>
      <c r="D83" s="14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 ht="19.5" customHeight="1" x14ac:dyDescent="0.25">
      <c r="A84" s="9"/>
      <c r="B84" s="9"/>
      <c r="C84" s="14"/>
      <c r="D84" s="14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 ht="19.5" customHeight="1" x14ac:dyDescent="0.25">
      <c r="A85" s="9"/>
      <c r="B85" s="9"/>
      <c r="C85" s="14"/>
      <c r="D85" s="14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 ht="19.5" customHeight="1" x14ac:dyDescent="0.25">
      <c r="A86" s="9"/>
      <c r="B86" s="9"/>
      <c r="C86" s="14"/>
      <c r="D86" s="14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 ht="19.5" customHeight="1" x14ac:dyDescent="0.25">
      <c r="A87" s="9"/>
      <c r="B87" s="9"/>
      <c r="C87" s="14"/>
      <c r="D87" s="14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 ht="19.5" customHeight="1" x14ac:dyDescent="0.25">
      <c r="A88" s="9"/>
      <c r="B88" s="9"/>
      <c r="C88" s="14"/>
      <c r="D88" s="14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 ht="19.5" customHeight="1" x14ac:dyDescent="0.25">
      <c r="A89" s="9"/>
      <c r="B89" s="9"/>
      <c r="C89" s="14"/>
      <c r="D89" s="14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 ht="19.5" customHeight="1" x14ac:dyDescent="0.25">
      <c r="A90" s="9"/>
      <c r="B90" s="9"/>
      <c r="C90" s="14"/>
      <c r="D90" s="14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 ht="19.5" customHeight="1" x14ac:dyDescent="0.25">
      <c r="A91" s="9"/>
      <c r="B91" s="9"/>
      <c r="C91" s="14"/>
      <c r="D91" s="14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 ht="19.5" customHeight="1" x14ac:dyDescent="0.25">
      <c r="A92" s="9"/>
      <c r="B92" s="9"/>
      <c r="C92" s="14"/>
      <c r="D92" s="14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 ht="19.5" customHeight="1" x14ac:dyDescent="0.25">
      <c r="A93" s="9"/>
      <c r="B93" s="9"/>
      <c r="C93" s="14"/>
      <c r="D93" s="14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 ht="19.5" customHeight="1" x14ac:dyDescent="0.25">
      <c r="A94" s="9"/>
      <c r="B94" s="9"/>
      <c r="C94" s="14"/>
      <c r="D94" s="14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 ht="19.5" customHeight="1" x14ac:dyDescent="0.25">
      <c r="A95" s="9"/>
      <c r="B95" s="9"/>
      <c r="C95" s="14"/>
      <c r="D95" s="14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 ht="19.5" customHeight="1" x14ac:dyDescent="0.25">
      <c r="A96" s="9"/>
      <c r="B96" s="9"/>
      <c r="C96" s="14"/>
      <c r="D96" s="14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 ht="19.5" customHeight="1" x14ac:dyDescent="0.25">
      <c r="A97" s="9"/>
      <c r="B97" s="9"/>
      <c r="C97" s="14"/>
      <c r="D97" s="14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 ht="19.5" customHeight="1" x14ac:dyDescent="0.25">
      <c r="A98" s="9"/>
      <c r="B98" s="9"/>
      <c r="C98" s="14"/>
      <c r="D98" s="14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 ht="19.5" customHeight="1" x14ac:dyDescent="0.25">
      <c r="A99" s="9"/>
      <c r="B99" s="9"/>
      <c r="C99" s="14"/>
      <c r="D99" s="14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 ht="19.5" customHeight="1" x14ac:dyDescent="0.25">
      <c r="A100" s="9"/>
      <c r="B100" s="9"/>
      <c r="C100" s="14"/>
      <c r="D100" s="14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 ht="19.5" customHeight="1" x14ac:dyDescent="0.25">
      <c r="A101" s="9"/>
      <c r="B101" s="9"/>
      <c r="C101" s="14"/>
      <c r="D101" s="14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 ht="19.5" customHeight="1" x14ac:dyDescent="0.25">
      <c r="A102" s="9"/>
      <c r="B102" s="9"/>
      <c r="C102" s="14"/>
      <c r="D102" s="14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 ht="19.5" customHeight="1" x14ac:dyDescent="0.25">
      <c r="A103" s="9"/>
      <c r="B103" s="9"/>
      <c r="C103" s="14"/>
      <c r="D103" s="14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 ht="19.5" customHeight="1" x14ac:dyDescent="0.25">
      <c r="A104" s="9"/>
      <c r="B104" s="9"/>
      <c r="C104" s="14"/>
      <c r="D104" s="14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 ht="19.5" customHeight="1" x14ac:dyDescent="0.25">
      <c r="A105" s="9"/>
      <c r="B105" s="9"/>
      <c r="C105" s="14"/>
      <c r="D105" s="14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ht="19.5" customHeight="1" x14ac:dyDescent="0.25">
      <c r="A106" s="9"/>
      <c r="B106" s="9"/>
      <c r="C106" s="14"/>
      <c r="D106" s="14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 ht="19.5" customHeight="1" x14ac:dyDescent="0.25">
      <c r="A107" s="9"/>
      <c r="B107" s="9"/>
      <c r="C107" s="14"/>
      <c r="D107" s="14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 ht="19.5" customHeight="1" x14ac:dyDescent="0.25">
      <c r="A108" s="9"/>
      <c r="B108" s="9"/>
      <c r="C108" s="14"/>
      <c r="D108" s="14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 ht="19.5" customHeight="1" x14ac:dyDescent="0.25">
      <c r="A109" s="9"/>
      <c r="B109" s="9"/>
      <c r="C109" s="14"/>
      <c r="D109" s="14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 ht="19.5" customHeight="1" x14ac:dyDescent="0.25">
      <c r="A110" s="9"/>
      <c r="B110" s="9"/>
      <c r="C110" s="14"/>
      <c r="D110" s="14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 ht="19.5" customHeight="1" x14ac:dyDescent="0.25">
      <c r="A111" s="9"/>
      <c r="B111" s="9"/>
      <c r="C111" s="14"/>
      <c r="D111" s="14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 ht="19.5" customHeight="1" x14ac:dyDescent="0.25">
      <c r="A112" s="9"/>
      <c r="B112" s="9"/>
      <c r="C112" s="14"/>
      <c r="D112" s="14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 ht="19.5" customHeight="1" x14ac:dyDescent="0.25">
      <c r="A113" s="9"/>
      <c r="B113" s="9"/>
      <c r="C113" s="14"/>
      <c r="D113" s="14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 ht="19.5" customHeight="1" x14ac:dyDescent="0.25">
      <c r="A114" s="9"/>
      <c r="B114" s="9"/>
      <c r="C114" s="14"/>
      <c r="D114" s="14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 ht="19.5" customHeight="1" x14ac:dyDescent="0.25">
      <c r="A115" s="9"/>
      <c r="B115" s="9"/>
      <c r="C115" s="14"/>
      <c r="D115" s="14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 ht="19.5" customHeight="1" x14ac:dyDescent="0.25">
      <c r="A116" s="9"/>
      <c r="B116" s="9"/>
      <c r="C116" s="14"/>
      <c r="D116" s="14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 ht="19.5" customHeight="1" x14ac:dyDescent="0.25">
      <c r="A117" s="9"/>
      <c r="B117" s="9"/>
      <c r="C117" s="14"/>
      <c r="D117" s="14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 ht="19.5" customHeight="1" x14ac:dyDescent="0.25">
      <c r="A118" s="9"/>
      <c r="B118" s="9"/>
      <c r="C118" s="14"/>
      <c r="D118" s="14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 ht="19.5" customHeight="1" x14ac:dyDescent="0.25">
      <c r="A119" s="9"/>
      <c r="B119" s="9"/>
      <c r="C119" s="14"/>
      <c r="D119" s="14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 ht="19.5" customHeight="1" x14ac:dyDescent="0.25">
      <c r="A120" s="9"/>
      <c r="B120" s="9"/>
      <c r="C120" s="14"/>
      <c r="D120" s="14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 ht="19.5" customHeight="1" x14ac:dyDescent="0.25">
      <c r="A121" s="9"/>
      <c r="B121" s="9"/>
      <c r="C121" s="14"/>
      <c r="D121" s="14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 ht="19.5" customHeight="1" x14ac:dyDescent="0.25">
      <c r="A122" s="9"/>
      <c r="B122" s="9"/>
      <c r="C122" s="14"/>
      <c r="D122" s="14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 ht="19.5" customHeight="1" x14ac:dyDescent="0.25">
      <c r="A123" s="9"/>
      <c r="B123" s="9"/>
      <c r="C123" s="14"/>
      <c r="D123" s="14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 ht="19.5" customHeight="1" x14ac:dyDescent="0.25">
      <c r="A124" s="9"/>
      <c r="B124" s="9"/>
      <c r="C124" s="14"/>
      <c r="D124" s="14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 ht="19.5" customHeight="1" x14ac:dyDescent="0.25">
      <c r="A125" s="9"/>
      <c r="B125" s="9"/>
      <c r="C125" s="14"/>
      <c r="D125" s="14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 ht="19.5" customHeight="1" x14ac:dyDescent="0.25">
      <c r="A126" s="9"/>
      <c r="B126" s="9"/>
      <c r="C126" s="14"/>
      <c r="D126" s="14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 ht="19.5" customHeight="1" x14ac:dyDescent="0.25">
      <c r="A127" s="9"/>
      <c r="B127" s="9"/>
      <c r="C127" s="14"/>
      <c r="D127" s="14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 ht="19.5" customHeight="1" x14ac:dyDescent="0.25">
      <c r="A128" s="9"/>
      <c r="B128" s="9"/>
      <c r="C128" s="14"/>
      <c r="D128" s="14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 ht="19.5" customHeight="1" x14ac:dyDescent="0.25">
      <c r="A129" s="9"/>
      <c r="B129" s="9"/>
      <c r="C129" s="14"/>
      <c r="D129" s="14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 ht="19.5" customHeight="1" x14ac:dyDescent="0.25">
      <c r="A130" s="9"/>
      <c r="B130" s="9"/>
      <c r="C130" s="14"/>
      <c r="D130" s="14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 ht="19.5" customHeight="1" x14ac:dyDescent="0.25">
      <c r="A131" s="9"/>
      <c r="B131" s="9"/>
      <c r="C131" s="14"/>
      <c r="D131" s="14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 ht="19.5" customHeight="1" x14ac:dyDescent="0.25">
      <c r="A132" s="9"/>
      <c r="B132" s="9"/>
      <c r="C132" s="14"/>
      <c r="D132" s="14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 ht="19.5" customHeight="1" x14ac:dyDescent="0.25">
      <c r="A133" s="9"/>
      <c r="B133" s="9"/>
      <c r="C133" s="14"/>
      <c r="D133" s="14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 ht="19.5" customHeight="1" x14ac:dyDescent="0.25">
      <c r="A134" s="9"/>
      <c r="B134" s="9"/>
      <c r="C134" s="14"/>
      <c r="D134" s="14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 ht="19.5" customHeight="1" x14ac:dyDescent="0.25">
      <c r="A135" s="9"/>
      <c r="B135" s="9"/>
      <c r="C135" s="14"/>
      <c r="D135" s="14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 ht="19.5" customHeight="1" x14ac:dyDescent="0.25">
      <c r="A136" s="9"/>
      <c r="B136" s="9"/>
      <c r="C136" s="14"/>
      <c r="D136" s="14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 ht="19.5" customHeight="1" x14ac:dyDescent="0.25">
      <c r="A137" s="9"/>
      <c r="B137" s="9"/>
      <c r="C137" s="14"/>
      <c r="D137" s="14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 ht="19.5" customHeight="1" x14ac:dyDescent="0.25">
      <c r="A138" s="9"/>
      <c r="B138" s="9"/>
      <c r="C138" s="14"/>
      <c r="D138" s="14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 ht="19.5" customHeight="1" x14ac:dyDescent="0.25">
      <c r="A139" s="9"/>
      <c r="B139" s="9"/>
      <c r="C139" s="14"/>
      <c r="D139" s="14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 ht="19.5" customHeight="1" x14ac:dyDescent="0.25">
      <c r="A140" s="9"/>
      <c r="B140" s="9"/>
      <c r="C140" s="14"/>
      <c r="D140" s="14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 ht="19.5" customHeight="1" x14ac:dyDescent="0.25">
      <c r="A141" s="9"/>
      <c r="B141" s="9"/>
      <c r="C141" s="14"/>
      <c r="D141" s="14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 ht="19.5" customHeight="1" x14ac:dyDescent="0.25">
      <c r="A142" s="9"/>
      <c r="B142" s="9"/>
      <c r="C142" s="14"/>
      <c r="D142" s="14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 ht="19.5" customHeight="1" x14ac:dyDescent="0.25">
      <c r="A143" s="9"/>
      <c r="B143" s="9"/>
      <c r="C143" s="14"/>
      <c r="D143" s="14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 ht="19.5" customHeight="1" x14ac:dyDescent="0.25">
      <c r="A144" s="9"/>
      <c r="B144" s="9"/>
      <c r="C144" s="14"/>
      <c r="D144" s="14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 ht="19.5" customHeight="1" x14ac:dyDescent="0.25">
      <c r="A145" s="9"/>
      <c r="B145" s="9"/>
      <c r="C145" s="14"/>
      <c r="D145" s="14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 ht="19.5" customHeight="1" x14ac:dyDescent="0.25">
      <c r="A146" s="9"/>
      <c r="B146" s="9"/>
      <c r="C146" s="14"/>
      <c r="D146" s="14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 ht="19.5" customHeight="1" x14ac:dyDescent="0.25">
      <c r="A147" s="9"/>
      <c r="B147" s="9"/>
      <c r="C147" s="14"/>
      <c r="D147" s="14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 ht="19.5" customHeight="1" x14ac:dyDescent="0.25">
      <c r="A148" s="9"/>
      <c r="B148" s="9"/>
      <c r="C148" s="14"/>
      <c r="D148" s="14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 ht="19.5" customHeight="1" x14ac:dyDescent="0.25">
      <c r="A149" s="9"/>
      <c r="B149" s="9"/>
      <c r="C149" s="14"/>
      <c r="D149" s="14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 ht="19.5" customHeight="1" x14ac:dyDescent="0.25">
      <c r="A150" s="9"/>
      <c r="B150" s="9"/>
      <c r="C150" s="14"/>
      <c r="D150" s="14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 ht="19.5" customHeight="1" x14ac:dyDescent="0.25">
      <c r="A151" s="9"/>
      <c r="B151" s="9"/>
      <c r="C151" s="14"/>
      <c r="D151" s="14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 ht="19.5" customHeight="1" x14ac:dyDescent="0.25">
      <c r="A152" s="9"/>
      <c r="B152" s="9"/>
      <c r="C152" s="14"/>
      <c r="D152" s="14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 ht="19.5" customHeight="1" x14ac:dyDescent="0.25">
      <c r="A153" s="9"/>
      <c r="B153" s="9"/>
      <c r="C153" s="14"/>
      <c r="D153" s="14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 ht="19.5" customHeight="1" x14ac:dyDescent="0.25">
      <c r="A154" s="9"/>
      <c r="B154" s="9"/>
      <c r="C154" s="14"/>
      <c r="D154" s="14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 ht="19.5" customHeight="1" x14ac:dyDescent="0.25">
      <c r="A155" s="9"/>
      <c r="B155" s="9"/>
      <c r="C155" s="14"/>
      <c r="D155" s="14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 ht="19.5" customHeight="1" x14ac:dyDescent="0.25">
      <c r="A156" s="9"/>
      <c r="B156" s="9"/>
      <c r="C156" s="14"/>
      <c r="D156" s="14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 ht="19.5" customHeight="1" x14ac:dyDescent="0.25">
      <c r="A157" s="9"/>
      <c r="B157" s="9"/>
      <c r="C157" s="14"/>
      <c r="D157" s="14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 ht="19.5" customHeight="1" x14ac:dyDescent="0.25">
      <c r="A158" s="9"/>
      <c r="B158" s="9"/>
      <c r="C158" s="14"/>
      <c r="D158" s="14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 ht="19.5" customHeight="1" x14ac:dyDescent="0.25">
      <c r="A159" s="9"/>
      <c r="B159" s="9"/>
      <c r="C159" s="14"/>
      <c r="D159" s="14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 ht="19.5" customHeight="1" x14ac:dyDescent="0.25">
      <c r="A160" s="9"/>
      <c r="B160" s="9"/>
      <c r="C160" s="14"/>
      <c r="D160" s="14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 ht="19.5" customHeight="1" x14ac:dyDescent="0.25">
      <c r="A161" s="9"/>
      <c r="B161" s="9"/>
      <c r="C161" s="14"/>
      <c r="D161" s="14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 ht="19.5" customHeight="1" x14ac:dyDescent="0.25">
      <c r="A162" s="9"/>
      <c r="B162" s="9"/>
      <c r="C162" s="14"/>
      <c r="D162" s="14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 ht="19.5" customHeight="1" x14ac:dyDescent="0.25">
      <c r="A163" s="9"/>
      <c r="B163" s="9"/>
      <c r="C163" s="14"/>
      <c r="D163" s="14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 ht="19.5" customHeight="1" x14ac:dyDescent="0.25">
      <c r="A164" s="9"/>
      <c r="B164" s="9"/>
      <c r="C164" s="14"/>
      <c r="D164" s="14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 ht="19.5" customHeight="1" x14ac:dyDescent="0.25">
      <c r="A165" s="9"/>
      <c r="B165" s="9"/>
      <c r="C165" s="14"/>
      <c r="D165" s="14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 ht="19.5" customHeight="1" x14ac:dyDescent="0.25">
      <c r="A166" s="9"/>
      <c r="B166" s="9"/>
      <c r="C166" s="14"/>
      <c r="D166" s="14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 ht="19.5" customHeight="1" x14ac:dyDescent="0.25">
      <c r="A167" s="9"/>
      <c r="B167" s="9"/>
      <c r="C167" s="14"/>
      <c r="D167" s="14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 ht="19.5" customHeight="1" x14ac:dyDescent="0.25">
      <c r="A168" s="9"/>
      <c r="B168" s="9"/>
      <c r="C168" s="14"/>
      <c r="D168" s="14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 ht="19.5" customHeight="1" x14ac:dyDescent="0.25">
      <c r="A169" s="9"/>
      <c r="B169" s="9"/>
      <c r="C169" s="14"/>
      <c r="D169" s="14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 ht="19.5" customHeight="1" x14ac:dyDescent="0.25">
      <c r="A170" s="9"/>
      <c r="B170" s="9"/>
      <c r="C170" s="14"/>
      <c r="D170" s="14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 ht="19.5" customHeight="1" x14ac:dyDescent="0.25">
      <c r="A171" s="9"/>
      <c r="B171" s="9"/>
      <c r="C171" s="14"/>
      <c r="D171" s="14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 ht="19.5" customHeight="1" x14ac:dyDescent="0.25">
      <c r="A172" s="9"/>
      <c r="B172" s="9"/>
      <c r="C172" s="14"/>
      <c r="D172" s="14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 ht="19.5" customHeight="1" x14ac:dyDescent="0.25">
      <c r="A173" s="9"/>
      <c r="B173" s="9"/>
      <c r="C173" s="14"/>
      <c r="D173" s="14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 ht="19.5" customHeight="1" x14ac:dyDescent="0.25">
      <c r="A174" s="9"/>
      <c r="B174" s="9"/>
      <c r="C174" s="14"/>
      <c r="D174" s="14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 ht="19.5" customHeight="1" x14ac:dyDescent="0.25">
      <c r="A175" s="9"/>
      <c r="B175" s="9"/>
      <c r="C175" s="14"/>
      <c r="D175" s="14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 ht="19.5" customHeight="1" x14ac:dyDescent="0.25">
      <c r="A176" s="9"/>
      <c r="B176" s="9"/>
      <c r="C176" s="14"/>
      <c r="D176" s="14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 ht="19.5" customHeight="1" x14ac:dyDescent="0.25">
      <c r="A177" s="9"/>
      <c r="B177" s="9"/>
      <c r="C177" s="14"/>
      <c r="D177" s="14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 ht="19.5" customHeight="1" x14ac:dyDescent="0.25">
      <c r="A178" s="9"/>
      <c r="B178" s="9"/>
      <c r="C178" s="14"/>
      <c r="D178" s="14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 ht="19.5" customHeight="1" x14ac:dyDescent="0.25">
      <c r="A179" s="9"/>
      <c r="B179" s="9"/>
      <c r="C179" s="14"/>
      <c r="D179" s="14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 ht="19.5" customHeight="1" x14ac:dyDescent="0.25">
      <c r="A180" s="9"/>
      <c r="B180" s="9"/>
      <c r="C180" s="14"/>
      <c r="D180" s="14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 ht="19.5" customHeight="1" x14ac:dyDescent="0.25">
      <c r="A181" s="9"/>
      <c r="B181" s="9"/>
      <c r="C181" s="14"/>
      <c r="D181" s="14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 ht="19.5" customHeight="1" x14ac:dyDescent="0.25">
      <c r="A182" s="9"/>
      <c r="B182" s="9"/>
      <c r="C182" s="14"/>
      <c r="D182" s="14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 ht="19.5" customHeight="1" x14ac:dyDescent="0.25">
      <c r="A183" s="9"/>
      <c r="B183" s="9"/>
      <c r="C183" s="14"/>
      <c r="D183" s="14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 ht="19.5" customHeight="1" x14ac:dyDescent="0.25">
      <c r="A184" s="9"/>
      <c r="B184" s="9"/>
      <c r="C184" s="14"/>
      <c r="D184" s="14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 ht="19.5" customHeight="1" x14ac:dyDescent="0.25">
      <c r="A185" s="9"/>
      <c r="B185" s="9"/>
      <c r="C185" s="14"/>
      <c r="D185" s="14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 ht="19.5" customHeight="1" x14ac:dyDescent="0.25">
      <c r="A186" s="9"/>
      <c r="B186" s="9"/>
      <c r="C186" s="14"/>
      <c r="D186" s="14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 ht="19.5" customHeight="1" x14ac:dyDescent="0.25">
      <c r="A187" s="9"/>
      <c r="B187" s="9"/>
      <c r="C187" s="14"/>
      <c r="D187" s="14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 ht="19.5" customHeight="1" x14ac:dyDescent="0.25">
      <c r="A188" s="9"/>
      <c r="B188" s="9"/>
      <c r="C188" s="14"/>
      <c r="D188" s="14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 ht="19.5" customHeight="1" x14ac:dyDescent="0.25">
      <c r="A189" s="9"/>
      <c r="B189" s="9"/>
      <c r="C189" s="14"/>
      <c r="D189" s="14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 ht="19.5" customHeight="1" x14ac:dyDescent="0.25">
      <c r="A190" s="9"/>
      <c r="B190" s="9"/>
      <c r="C190" s="14"/>
      <c r="D190" s="14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 ht="19.5" customHeight="1" x14ac:dyDescent="0.25">
      <c r="A191" s="9"/>
      <c r="B191" s="9"/>
      <c r="C191" s="14"/>
      <c r="D191" s="14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 ht="19.5" customHeight="1" x14ac:dyDescent="0.25">
      <c r="A192" s="9"/>
      <c r="B192" s="9"/>
      <c r="C192" s="14"/>
      <c r="D192" s="14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 ht="19.5" customHeight="1" x14ac:dyDescent="0.25">
      <c r="A193" s="9"/>
      <c r="B193" s="9"/>
      <c r="C193" s="14"/>
      <c r="D193" s="14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 ht="19.5" customHeight="1" x14ac:dyDescent="0.25">
      <c r="A194" s="9"/>
      <c r="B194" s="9"/>
      <c r="C194" s="14"/>
      <c r="D194" s="14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 ht="19.5" customHeight="1" x14ac:dyDescent="0.25">
      <c r="A195" s="9"/>
      <c r="B195" s="9"/>
      <c r="C195" s="14"/>
      <c r="D195" s="14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 ht="19.5" customHeight="1" x14ac:dyDescent="0.25">
      <c r="A196" s="9"/>
      <c r="B196" s="9"/>
      <c r="C196" s="14"/>
      <c r="D196" s="14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 ht="19.5" customHeight="1" x14ac:dyDescent="0.25">
      <c r="A197" s="9"/>
      <c r="B197" s="9"/>
      <c r="C197" s="14"/>
      <c r="D197" s="14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 ht="19.5" customHeight="1" x14ac:dyDescent="0.25">
      <c r="A198" s="9"/>
      <c r="B198" s="9"/>
      <c r="C198" s="14"/>
      <c r="D198" s="14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 ht="19.5" customHeight="1" x14ac:dyDescent="0.25">
      <c r="A199" s="9"/>
      <c r="B199" s="9"/>
      <c r="C199" s="14"/>
      <c r="D199" s="14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 ht="19.5" customHeight="1" x14ac:dyDescent="0.25">
      <c r="A200" s="9"/>
      <c r="B200" s="9"/>
      <c r="C200" s="14"/>
      <c r="D200" s="14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1:17" ht="19.5" customHeight="1" x14ac:dyDescent="0.25">
      <c r="A201" s="9"/>
      <c r="B201" s="9"/>
      <c r="C201" s="14"/>
      <c r="D201" s="14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spans="1:17" ht="19.5" customHeight="1" x14ac:dyDescent="0.25">
      <c r="A202" s="9"/>
      <c r="B202" s="9"/>
      <c r="C202" s="14"/>
      <c r="D202" s="14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spans="1:17" ht="19.5" customHeight="1" x14ac:dyDescent="0.25">
      <c r="A203" s="9"/>
      <c r="B203" s="9"/>
      <c r="C203" s="14"/>
      <c r="D203" s="14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spans="1:17" ht="19.5" customHeight="1" x14ac:dyDescent="0.25">
      <c r="A204" s="9"/>
      <c r="B204" s="9"/>
      <c r="C204" s="14"/>
      <c r="D204" s="14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spans="1:17" ht="19.5" customHeight="1" x14ac:dyDescent="0.25">
      <c r="A205" s="9"/>
      <c r="B205" s="9"/>
      <c r="C205" s="14"/>
      <c r="D205" s="14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1:17" ht="19.5" customHeight="1" x14ac:dyDescent="0.25">
      <c r="A206" s="9"/>
      <c r="B206" s="9"/>
      <c r="C206" s="14"/>
      <c r="D206" s="14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spans="1:17" ht="19.5" customHeight="1" x14ac:dyDescent="0.25">
      <c r="A207" s="9"/>
      <c r="B207" s="9"/>
      <c r="C207" s="14"/>
      <c r="D207" s="14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spans="1:17" ht="19.5" customHeight="1" x14ac:dyDescent="0.25">
      <c r="A208" s="9"/>
      <c r="B208" s="9"/>
      <c r="C208" s="14"/>
      <c r="D208" s="14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spans="1:17" ht="19.5" customHeight="1" x14ac:dyDescent="0.25">
      <c r="A209" s="9"/>
      <c r="B209" s="9"/>
      <c r="C209" s="14"/>
      <c r="D209" s="14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1:17" ht="19.5" customHeight="1" x14ac:dyDescent="0.25">
      <c r="A210" s="9"/>
      <c r="B210" s="9"/>
      <c r="C210" s="14"/>
      <c r="D210" s="14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spans="1:17" ht="19.5" customHeight="1" x14ac:dyDescent="0.25">
      <c r="A211" s="9"/>
      <c r="B211" s="9"/>
      <c r="C211" s="14"/>
      <c r="D211" s="14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spans="1:17" ht="19.5" customHeight="1" x14ac:dyDescent="0.25">
      <c r="A212" s="9"/>
      <c r="B212" s="9"/>
      <c r="C212" s="14"/>
      <c r="D212" s="14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spans="1:17" ht="19.5" customHeight="1" x14ac:dyDescent="0.25">
      <c r="A213" s="9"/>
      <c r="B213" s="9"/>
      <c r="C213" s="14"/>
      <c r="D213" s="14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spans="1:17" ht="19.5" customHeight="1" x14ac:dyDescent="0.25">
      <c r="A214" s="9"/>
      <c r="B214" s="9"/>
      <c r="C214" s="14"/>
      <c r="D214" s="14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spans="1:17" ht="19.5" customHeight="1" x14ac:dyDescent="0.25">
      <c r="A215" s="9"/>
      <c r="B215" s="9"/>
      <c r="C215" s="14"/>
      <c r="D215" s="14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1:17" ht="19.5" customHeight="1" x14ac:dyDescent="0.25">
      <c r="A216" s="9"/>
      <c r="B216" s="9"/>
      <c r="C216" s="14"/>
      <c r="D216" s="14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spans="1:17" ht="19.5" customHeight="1" x14ac:dyDescent="0.25">
      <c r="A217" s="9"/>
      <c r="B217" s="9"/>
      <c r="C217" s="14"/>
      <c r="D217" s="14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spans="1:17" ht="19.5" customHeight="1" x14ac:dyDescent="0.25">
      <c r="A218" s="9"/>
      <c r="B218" s="9"/>
      <c r="C218" s="14"/>
      <c r="D218" s="14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spans="1:17" ht="19.5" customHeight="1" x14ac:dyDescent="0.25">
      <c r="A219" s="9"/>
      <c r="B219" s="9"/>
      <c r="C219" s="14"/>
      <c r="D219" s="14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spans="1:17" ht="19.5" customHeight="1" x14ac:dyDescent="0.25">
      <c r="A220" s="9"/>
      <c r="B220" s="9"/>
      <c r="C220" s="14"/>
      <c r="D220" s="14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1:17" ht="19.5" customHeight="1" x14ac:dyDescent="0.25">
      <c r="A221" s="9"/>
      <c r="B221" s="9"/>
      <c r="C221" s="14"/>
      <c r="D221" s="14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spans="1:17" ht="19.5" customHeight="1" x14ac:dyDescent="0.25">
      <c r="A222" s="9"/>
      <c r="B222" s="9"/>
      <c r="C222" s="14"/>
      <c r="D222" s="14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spans="1:17" ht="19.5" customHeight="1" x14ac:dyDescent="0.25">
      <c r="A223" s="9"/>
      <c r="B223" s="9"/>
      <c r="C223" s="14"/>
      <c r="D223" s="14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spans="1:17" ht="19.5" customHeight="1" x14ac:dyDescent="0.25">
      <c r="A224" s="9"/>
      <c r="B224" s="9"/>
      <c r="C224" s="14"/>
      <c r="D224" s="14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1:17" ht="19.5" customHeight="1" x14ac:dyDescent="0.25">
      <c r="A225" s="9"/>
      <c r="B225" s="9"/>
      <c r="C225" s="14"/>
      <c r="D225" s="14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spans="1:17" ht="19.5" customHeight="1" x14ac:dyDescent="0.25">
      <c r="A226" s="9"/>
      <c r="B226" s="9"/>
      <c r="C226" s="14"/>
      <c r="D226" s="14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spans="1:17" ht="19.5" customHeight="1" x14ac:dyDescent="0.25">
      <c r="A227" s="9"/>
      <c r="B227" s="9"/>
      <c r="C227" s="14"/>
      <c r="D227" s="14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spans="1:17" ht="19.5" customHeight="1" x14ac:dyDescent="0.25">
      <c r="A228" s="9"/>
      <c r="B228" s="9"/>
      <c r="C228" s="14"/>
      <c r="D228" s="14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spans="1:17" ht="19.5" customHeight="1" x14ac:dyDescent="0.25">
      <c r="A229" s="9"/>
      <c r="B229" s="9"/>
      <c r="C229" s="14"/>
      <c r="D229" s="14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1:17" ht="19.5" customHeight="1" x14ac:dyDescent="0.25">
      <c r="A230" s="9"/>
      <c r="B230" s="9"/>
      <c r="C230" s="14"/>
      <c r="D230" s="14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spans="1:17" ht="19.5" customHeight="1" x14ac:dyDescent="0.25">
      <c r="A231" s="9"/>
      <c r="B231" s="9"/>
      <c r="C231" s="14"/>
      <c r="D231" s="14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spans="1:17" ht="19.5" customHeight="1" x14ac:dyDescent="0.25">
      <c r="A232" s="9"/>
      <c r="B232" s="9"/>
      <c r="C232" s="14"/>
      <c r="D232" s="14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spans="1:17" ht="19.5" customHeight="1" x14ac:dyDescent="0.25">
      <c r="A233" s="9"/>
      <c r="B233" s="9"/>
      <c r="C233" s="14"/>
      <c r="D233" s="14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spans="1:17" ht="19.5" customHeight="1" x14ac:dyDescent="0.25">
      <c r="A234" s="9"/>
      <c r="B234" s="9"/>
      <c r="C234" s="14"/>
      <c r="D234" s="14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spans="1:17" ht="19.5" customHeight="1" x14ac:dyDescent="0.25">
      <c r="A235" s="9"/>
      <c r="B235" s="9"/>
      <c r="C235" s="14"/>
      <c r="D235" s="14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1:17" ht="19.5" customHeight="1" x14ac:dyDescent="0.25">
      <c r="A236" s="9"/>
      <c r="B236" s="9"/>
      <c r="C236" s="14"/>
      <c r="D236" s="14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spans="1:17" ht="19.5" customHeight="1" x14ac:dyDescent="0.25">
      <c r="A237" s="9"/>
      <c r="B237" s="9"/>
      <c r="C237" s="14"/>
      <c r="D237" s="14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1:17" ht="19.5" customHeight="1" x14ac:dyDescent="0.25">
      <c r="A238" s="9"/>
      <c r="B238" s="9"/>
      <c r="C238" s="14"/>
      <c r="D238" s="14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spans="1:17" ht="19.5" customHeight="1" x14ac:dyDescent="0.25">
      <c r="A239" s="9"/>
      <c r="B239" s="9"/>
      <c r="C239" s="14"/>
      <c r="D239" s="14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1:17" ht="19.5" customHeight="1" x14ac:dyDescent="0.25">
      <c r="A240" s="9"/>
      <c r="B240" s="9"/>
      <c r="C240" s="14"/>
      <c r="D240" s="14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1:17" ht="19.5" customHeight="1" x14ac:dyDescent="0.25">
      <c r="A241" s="9"/>
      <c r="B241" s="9"/>
      <c r="C241" s="14"/>
      <c r="D241" s="14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spans="1:17" ht="19.5" customHeight="1" x14ac:dyDescent="0.25">
      <c r="A242" s="9"/>
      <c r="B242" s="9"/>
      <c r="C242" s="14"/>
      <c r="D242" s="14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spans="1:17" ht="19.5" customHeight="1" x14ac:dyDescent="0.25">
      <c r="A243" s="9"/>
      <c r="B243" s="9"/>
      <c r="C243" s="14"/>
      <c r="D243" s="14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spans="1:17" ht="19.5" customHeight="1" x14ac:dyDescent="0.25">
      <c r="A244" s="9"/>
      <c r="B244" s="9"/>
      <c r="C244" s="14"/>
      <c r="D244" s="14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spans="1:17" ht="19.5" customHeight="1" x14ac:dyDescent="0.25">
      <c r="A245" s="9"/>
      <c r="B245" s="9"/>
      <c r="C245" s="14"/>
      <c r="D245" s="14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spans="1:17" ht="19.5" customHeight="1" x14ac:dyDescent="0.25">
      <c r="A246" s="9"/>
      <c r="B246" s="9"/>
      <c r="C246" s="14"/>
      <c r="D246" s="14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spans="1:17" ht="19.5" customHeight="1" x14ac:dyDescent="0.25">
      <c r="A247" s="9"/>
      <c r="B247" s="9"/>
      <c r="C247" s="14"/>
      <c r="D247" s="14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spans="1:17" ht="19.5" customHeight="1" x14ac:dyDescent="0.25">
      <c r="A248" s="9"/>
      <c r="B248" s="9"/>
      <c r="C248" s="14"/>
      <c r="D248" s="14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spans="1:17" ht="19.5" customHeight="1" x14ac:dyDescent="0.25">
      <c r="A249" s="9"/>
      <c r="B249" s="9"/>
      <c r="C249" s="14"/>
      <c r="D249" s="14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spans="1:17" ht="19.5" customHeight="1" x14ac:dyDescent="0.25">
      <c r="A250" s="9"/>
      <c r="B250" s="9"/>
      <c r="C250" s="14"/>
      <c r="D250" s="14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 spans="1:17" ht="19.5" customHeight="1" x14ac:dyDescent="0.25">
      <c r="A251" s="9"/>
      <c r="B251" s="9"/>
      <c r="C251" s="14"/>
      <c r="D251" s="14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 spans="1:17" ht="19.5" customHeight="1" x14ac:dyDescent="0.25">
      <c r="A252" s="9"/>
      <c r="B252" s="9"/>
      <c r="C252" s="14"/>
      <c r="D252" s="14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 spans="1:17" ht="19.5" customHeight="1" x14ac:dyDescent="0.25">
      <c r="A253" s="9"/>
      <c r="B253" s="9"/>
      <c r="C253" s="14"/>
      <c r="D253" s="14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 spans="1:17" ht="19.5" customHeight="1" x14ac:dyDescent="0.25">
      <c r="A254" s="9"/>
      <c r="B254" s="9"/>
      <c r="C254" s="14"/>
      <c r="D254" s="14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spans="1:17" ht="19.5" customHeight="1" x14ac:dyDescent="0.25">
      <c r="A255" s="9"/>
      <c r="B255" s="9"/>
      <c r="C255" s="14"/>
      <c r="D255" s="14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spans="1:17" ht="19.5" customHeight="1" x14ac:dyDescent="0.25">
      <c r="A256" s="9"/>
      <c r="B256" s="9"/>
      <c r="C256" s="14"/>
      <c r="D256" s="14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 spans="1:17" ht="19.5" customHeight="1" x14ac:dyDescent="0.25">
      <c r="A257" s="9"/>
      <c r="B257" s="9"/>
      <c r="C257" s="14"/>
      <c r="D257" s="14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 spans="1:17" ht="19.5" customHeight="1" x14ac:dyDescent="0.25">
      <c r="A258" s="9"/>
      <c r="B258" s="9"/>
      <c r="C258" s="14"/>
      <c r="D258" s="14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spans="1:17" ht="19.5" customHeight="1" x14ac:dyDescent="0.25">
      <c r="A259" s="9"/>
      <c r="B259" s="9"/>
      <c r="C259" s="14"/>
      <c r="D259" s="14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1:17" ht="19.5" customHeight="1" x14ac:dyDescent="0.25">
      <c r="A260" s="9"/>
      <c r="B260" s="9"/>
      <c r="C260" s="14"/>
      <c r="D260" s="14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spans="1:17" ht="19.5" customHeight="1" x14ac:dyDescent="0.25">
      <c r="A261" s="9"/>
      <c r="B261" s="9"/>
      <c r="C261" s="14"/>
      <c r="D261" s="14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 spans="1:17" ht="19.5" customHeight="1" x14ac:dyDescent="0.25">
      <c r="A262" s="9"/>
      <c r="B262" s="9"/>
      <c r="C262" s="14"/>
      <c r="D262" s="14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 spans="1:17" ht="19.5" customHeight="1" x14ac:dyDescent="0.25">
      <c r="A263" s="9"/>
      <c r="B263" s="9"/>
      <c r="C263" s="14"/>
      <c r="D263" s="14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spans="1:17" ht="19.5" customHeight="1" x14ac:dyDescent="0.25">
      <c r="A264" s="9"/>
      <c r="B264" s="9"/>
      <c r="C264" s="14"/>
      <c r="D264" s="14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spans="1:17" ht="19.5" customHeight="1" x14ac:dyDescent="0.25">
      <c r="A265" s="9"/>
      <c r="B265" s="9"/>
      <c r="C265" s="14"/>
      <c r="D265" s="14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 spans="1:17" ht="19.5" customHeight="1" x14ac:dyDescent="0.25">
      <c r="A266" s="9"/>
      <c r="B266" s="9"/>
      <c r="C266" s="14"/>
      <c r="D266" s="14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spans="1:17" ht="19.5" customHeight="1" x14ac:dyDescent="0.25">
      <c r="A267" s="9"/>
      <c r="B267" s="9"/>
      <c r="C267" s="14"/>
      <c r="D267" s="14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 spans="1:17" ht="19.5" customHeight="1" x14ac:dyDescent="0.25">
      <c r="A268" s="9"/>
      <c r="B268" s="9"/>
      <c r="C268" s="14"/>
      <c r="D268" s="14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spans="1:17" ht="19.5" customHeight="1" x14ac:dyDescent="0.25">
      <c r="A269" s="9"/>
      <c r="B269" s="9"/>
      <c r="C269" s="14"/>
      <c r="D269" s="14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 spans="1:17" ht="19.5" customHeight="1" x14ac:dyDescent="0.25">
      <c r="A270" s="9"/>
      <c r="B270" s="9"/>
      <c r="C270" s="14"/>
      <c r="D270" s="14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spans="1:17" ht="19.5" customHeight="1" x14ac:dyDescent="0.25">
      <c r="A271" s="9"/>
      <c r="B271" s="9"/>
      <c r="C271" s="14"/>
      <c r="D271" s="14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spans="1:17" ht="19.5" customHeight="1" x14ac:dyDescent="0.25">
      <c r="A272" s="9"/>
      <c r="B272" s="9"/>
      <c r="C272" s="14"/>
      <c r="D272" s="14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spans="1:17" ht="19.5" customHeight="1" x14ac:dyDescent="0.25">
      <c r="A273" s="9"/>
      <c r="B273" s="9"/>
      <c r="C273" s="14"/>
      <c r="D273" s="14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 spans="1:17" ht="19.5" customHeight="1" x14ac:dyDescent="0.25">
      <c r="A274" s="9"/>
      <c r="B274" s="9"/>
      <c r="C274" s="14"/>
      <c r="D274" s="14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 spans="1:17" ht="19.5" customHeight="1" x14ac:dyDescent="0.25">
      <c r="A275" s="9"/>
      <c r="B275" s="9"/>
      <c r="C275" s="14"/>
      <c r="D275" s="14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spans="1:17" ht="19.5" customHeight="1" x14ac:dyDescent="0.25">
      <c r="A276" s="9"/>
      <c r="B276" s="9"/>
      <c r="C276" s="14"/>
      <c r="D276" s="14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spans="1:17" ht="19.5" customHeight="1" x14ac:dyDescent="0.25">
      <c r="A277" s="9"/>
      <c r="B277" s="9"/>
      <c r="C277" s="14"/>
      <c r="D277" s="14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spans="1:17" ht="19.5" customHeight="1" x14ac:dyDescent="0.25">
      <c r="A278" s="9"/>
      <c r="B278" s="9"/>
      <c r="C278" s="14"/>
      <c r="D278" s="14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 spans="1:17" ht="19.5" customHeight="1" x14ac:dyDescent="0.25">
      <c r="A279" s="9"/>
      <c r="B279" s="9"/>
      <c r="C279" s="14"/>
      <c r="D279" s="14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spans="1:17" ht="19.5" customHeight="1" x14ac:dyDescent="0.25">
      <c r="A280" s="9"/>
      <c r="B280" s="9"/>
      <c r="C280" s="14"/>
      <c r="D280" s="14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spans="1:17" ht="19.5" customHeight="1" x14ac:dyDescent="0.25">
      <c r="A281" s="9"/>
      <c r="B281" s="9"/>
      <c r="C281" s="14"/>
      <c r="D281" s="14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spans="1:17" ht="19.5" customHeight="1" x14ac:dyDescent="0.25">
      <c r="A282" s="9"/>
      <c r="B282" s="9"/>
      <c r="C282" s="14"/>
      <c r="D282" s="14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 spans="1:17" ht="19.5" customHeight="1" x14ac:dyDescent="0.25">
      <c r="A283" s="9"/>
      <c r="B283" s="9"/>
      <c r="C283" s="14"/>
      <c r="D283" s="14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spans="1:17" ht="19.5" customHeight="1" x14ac:dyDescent="0.25">
      <c r="A284" s="9"/>
      <c r="B284" s="9"/>
      <c r="C284" s="14"/>
      <c r="D284" s="14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spans="1:17" ht="19.5" customHeight="1" x14ac:dyDescent="0.25">
      <c r="A285" s="9"/>
      <c r="B285" s="9"/>
      <c r="C285" s="14"/>
      <c r="D285" s="14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spans="1:17" ht="19.5" customHeight="1" x14ac:dyDescent="0.25">
      <c r="A286" s="9"/>
      <c r="B286" s="9"/>
      <c r="C286" s="14"/>
      <c r="D286" s="14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 spans="1:17" ht="19.5" customHeight="1" x14ac:dyDescent="0.25">
      <c r="A287" s="9"/>
      <c r="B287" s="9"/>
      <c r="C287" s="14"/>
      <c r="D287" s="14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spans="1:17" ht="19.5" customHeight="1" x14ac:dyDescent="0.25">
      <c r="A288" s="9"/>
      <c r="B288" s="9"/>
      <c r="C288" s="14"/>
      <c r="D288" s="14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 spans="1:17" ht="19.5" customHeight="1" x14ac:dyDescent="0.25">
      <c r="A289" s="9"/>
      <c r="B289" s="9"/>
      <c r="C289" s="14"/>
      <c r="D289" s="14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spans="1:17" ht="19.5" customHeight="1" x14ac:dyDescent="0.25">
      <c r="A290" s="9"/>
      <c r="B290" s="9"/>
      <c r="C290" s="14"/>
      <c r="D290" s="14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spans="1:17" ht="19.5" customHeight="1" x14ac:dyDescent="0.25">
      <c r="A291" s="9"/>
      <c r="B291" s="9"/>
      <c r="C291" s="14"/>
      <c r="D291" s="14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 spans="1:17" ht="19.5" customHeight="1" x14ac:dyDescent="0.25">
      <c r="A292" s="9"/>
      <c r="B292" s="9"/>
      <c r="C292" s="14"/>
      <c r="D292" s="14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spans="1:17" ht="19.5" customHeight="1" x14ac:dyDescent="0.25">
      <c r="A293" s="9"/>
      <c r="B293" s="9"/>
      <c r="C293" s="14"/>
      <c r="D293" s="14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spans="1:17" ht="19.5" customHeight="1" x14ac:dyDescent="0.25">
      <c r="A294" s="9"/>
      <c r="B294" s="9"/>
      <c r="C294" s="14"/>
      <c r="D294" s="14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 spans="1:17" ht="19.5" customHeight="1" x14ac:dyDescent="0.25">
      <c r="A295" s="9"/>
      <c r="B295" s="9"/>
      <c r="C295" s="14"/>
      <c r="D295" s="14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spans="1:17" ht="19.5" customHeight="1" x14ac:dyDescent="0.25">
      <c r="A296" s="9"/>
      <c r="B296" s="9"/>
      <c r="C296" s="14"/>
      <c r="D296" s="14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 spans="1:17" ht="19.5" customHeight="1" x14ac:dyDescent="0.25">
      <c r="A297" s="9"/>
      <c r="B297" s="9"/>
      <c r="C297" s="14"/>
      <c r="D297" s="14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 spans="1:17" ht="19.5" customHeight="1" x14ac:dyDescent="0.25">
      <c r="A298" s="9"/>
      <c r="B298" s="9"/>
      <c r="C298" s="14"/>
      <c r="D298" s="14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 spans="1:17" ht="19.5" customHeight="1" x14ac:dyDescent="0.25">
      <c r="A299" s="9"/>
      <c r="B299" s="9"/>
      <c r="C299" s="14"/>
      <c r="D299" s="14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spans="1:17" ht="19.5" customHeight="1" x14ac:dyDescent="0.25">
      <c r="A300" s="9"/>
      <c r="B300" s="9"/>
      <c r="C300" s="14"/>
      <c r="D300" s="14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spans="1:17" ht="19.5" customHeight="1" x14ac:dyDescent="0.25">
      <c r="A301" s="9"/>
      <c r="B301" s="9"/>
      <c r="C301" s="14"/>
      <c r="D301" s="14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 spans="1:17" ht="19.5" customHeight="1" x14ac:dyDescent="0.25">
      <c r="A302" s="9"/>
      <c r="B302" s="9"/>
      <c r="C302" s="14"/>
      <c r="D302" s="14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spans="1:17" ht="19.5" customHeight="1" x14ac:dyDescent="0.25">
      <c r="A303" s="9"/>
      <c r="B303" s="9"/>
      <c r="C303" s="14"/>
      <c r="D303" s="14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spans="1:17" ht="19.5" customHeight="1" x14ac:dyDescent="0.25">
      <c r="A304" s="9"/>
      <c r="B304" s="9"/>
      <c r="C304" s="14"/>
      <c r="D304" s="14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 spans="1:17" ht="19.5" customHeight="1" x14ac:dyDescent="0.25">
      <c r="A305" s="9"/>
      <c r="B305" s="9"/>
      <c r="C305" s="14"/>
      <c r="D305" s="14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spans="1:17" ht="19.5" customHeight="1" x14ac:dyDescent="0.25">
      <c r="A306" s="9"/>
      <c r="B306" s="9"/>
      <c r="C306" s="14"/>
      <c r="D306" s="14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spans="1:17" ht="19.5" customHeight="1" x14ac:dyDescent="0.25">
      <c r="A307" s="9"/>
      <c r="B307" s="9"/>
      <c r="C307" s="14"/>
      <c r="D307" s="14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spans="1:17" ht="19.5" customHeight="1" x14ac:dyDescent="0.25">
      <c r="A308" s="9"/>
      <c r="B308" s="9"/>
      <c r="C308" s="14"/>
      <c r="D308" s="14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 spans="1:17" ht="19.5" customHeight="1" x14ac:dyDescent="0.25">
      <c r="A309" s="9"/>
      <c r="B309" s="9"/>
      <c r="C309" s="14"/>
      <c r="D309" s="14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 spans="1:17" ht="19.5" customHeight="1" x14ac:dyDescent="0.25">
      <c r="A310" s="9"/>
      <c r="B310" s="9"/>
      <c r="C310" s="14"/>
      <c r="D310" s="14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spans="1:17" ht="19.5" customHeight="1" x14ac:dyDescent="0.25">
      <c r="A311" s="9"/>
      <c r="B311" s="9"/>
      <c r="C311" s="14"/>
      <c r="D311" s="14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 spans="1:17" ht="19.5" customHeight="1" x14ac:dyDescent="0.25">
      <c r="A312" s="9"/>
      <c r="B312" s="9"/>
      <c r="C312" s="14"/>
      <c r="D312" s="14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1:17" ht="19.5" customHeight="1" x14ac:dyDescent="0.25">
      <c r="A313" s="9"/>
      <c r="B313" s="9"/>
      <c r="C313" s="14"/>
      <c r="D313" s="14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 spans="1:17" ht="19.5" customHeight="1" x14ac:dyDescent="0.25">
      <c r="A314" s="9"/>
      <c r="B314" s="9"/>
      <c r="C314" s="14"/>
      <c r="D314" s="14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spans="1:17" ht="19.5" customHeight="1" x14ac:dyDescent="0.25">
      <c r="A315" s="9"/>
      <c r="B315" s="9"/>
      <c r="C315" s="14"/>
      <c r="D315" s="14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spans="1:17" ht="19.5" customHeight="1" x14ac:dyDescent="0.25">
      <c r="A316" s="9"/>
      <c r="B316" s="9"/>
      <c r="C316" s="14"/>
      <c r="D316" s="14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spans="1:17" ht="19.5" customHeight="1" x14ac:dyDescent="0.25">
      <c r="A317" s="9"/>
      <c r="B317" s="9"/>
      <c r="C317" s="14"/>
      <c r="D317" s="14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spans="1:17" ht="19.5" customHeight="1" x14ac:dyDescent="0.25">
      <c r="A318" s="9"/>
      <c r="B318" s="9"/>
      <c r="C318" s="14"/>
      <c r="D318" s="14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spans="1:17" ht="19.5" customHeight="1" x14ac:dyDescent="0.25">
      <c r="A319" s="9"/>
      <c r="B319" s="9"/>
      <c r="C319" s="14"/>
      <c r="D319" s="14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spans="1:17" ht="19.5" customHeight="1" x14ac:dyDescent="0.25">
      <c r="A320" s="9"/>
      <c r="B320" s="9"/>
      <c r="C320" s="14"/>
      <c r="D320" s="14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spans="1:17" ht="19.5" customHeight="1" x14ac:dyDescent="0.25">
      <c r="A321" s="9"/>
      <c r="B321" s="9"/>
      <c r="C321" s="14"/>
      <c r="D321" s="14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 spans="1:17" ht="19.5" customHeight="1" x14ac:dyDescent="0.25">
      <c r="A322" s="9"/>
      <c r="B322" s="9"/>
      <c r="C322" s="14"/>
      <c r="D322" s="14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 spans="1:17" ht="19.5" customHeight="1" x14ac:dyDescent="0.25">
      <c r="A323" s="9"/>
      <c r="B323" s="9"/>
      <c r="C323" s="14"/>
      <c r="D323" s="14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 spans="1:17" ht="19.5" customHeight="1" x14ac:dyDescent="0.25">
      <c r="A324" s="9"/>
      <c r="B324" s="9"/>
      <c r="C324" s="14"/>
      <c r="D324" s="14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spans="1:17" ht="19.5" customHeight="1" x14ac:dyDescent="0.25">
      <c r="A325" s="9"/>
      <c r="B325" s="9"/>
      <c r="C325" s="14"/>
      <c r="D325" s="14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spans="1:17" ht="19.5" customHeight="1" x14ac:dyDescent="0.25">
      <c r="A326" s="9"/>
      <c r="B326" s="9"/>
      <c r="C326" s="14"/>
      <c r="D326" s="14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 spans="1:17" ht="19.5" customHeight="1" x14ac:dyDescent="0.25">
      <c r="A327" s="9"/>
      <c r="B327" s="9"/>
      <c r="C327" s="14"/>
      <c r="D327" s="14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spans="1:17" ht="19.5" customHeight="1" x14ac:dyDescent="0.25">
      <c r="A328" s="9"/>
      <c r="B328" s="9"/>
      <c r="C328" s="14"/>
      <c r="D328" s="14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spans="1:17" ht="19.5" customHeight="1" x14ac:dyDescent="0.25">
      <c r="A329" s="9"/>
      <c r="B329" s="9"/>
      <c r="C329" s="14"/>
      <c r="D329" s="14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</row>
    <row r="330" spans="1:17" ht="19.5" customHeight="1" x14ac:dyDescent="0.25">
      <c r="A330" s="9"/>
      <c r="B330" s="9"/>
      <c r="C330" s="14"/>
      <c r="D330" s="14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</row>
    <row r="331" spans="1:17" ht="19.5" customHeight="1" x14ac:dyDescent="0.25">
      <c r="A331" s="9"/>
      <c r="B331" s="9"/>
      <c r="C331" s="14"/>
      <c r="D331" s="14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 spans="1:17" ht="19.5" customHeight="1" x14ac:dyDescent="0.25">
      <c r="A332" s="9"/>
      <c r="B332" s="9"/>
      <c r="C332" s="14"/>
      <c r="D332" s="14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</row>
    <row r="333" spans="1:17" ht="19.5" customHeight="1" x14ac:dyDescent="0.25">
      <c r="A333" s="9"/>
      <c r="B333" s="9"/>
      <c r="C333" s="14"/>
      <c r="D333" s="14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 spans="1:17" ht="19.5" customHeight="1" x14ac:dyDescent="0.25">
      <c r="A334" s="9"/>
      <c r="B334" s="9"/>
      <c r="C334" s="14"/>
      <c r="D334" s="14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 spans="1:17" ht="19.5" customHeight="1" x14ac:dyDescent="0.25">
      <c r="A335" s="9"/>
      <c r="B335" s="9"/>
      <c r="C335" s="14"/>
      <c r="D335" s="14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</row>
    <row r="336" spans="1:17" ht="19.5" customHeight="1" x14ac:dyDescent="0.25">
      <c r="A336" s="9"/>
      <c r="B336" s="9"/>
      <c r="C336" s="14"/>
      <c r="D336" s="14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</row>
    <row r="337" spans="1:17" ht="19.5" customHeight="1" x14ac:dyDescent="0.25">
      <c r="A337" s="9"/>
      <c r="B337" s="9"/>
      <c r="C337" s="14"/>
      <c r="D337" s="14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 spans="1:17" ht="19.5" customHeight="1" x14ac:dyDescent="0.25">
      <c r="A338" s="9"/>
      <c r="B338" s="9"/>
      <c r="C338" s="14"/>
      <c r="D338" s="14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</row>
    <row r="339" spans="1:17" ht="19.5" customHeight="1" x14ac:dyDescent="0.25">
      <c r="A339" s="9"/>
      <c r="B339" s="9"/>
      <c r="C339" s="14"/>
      <c r="D339" s="14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</row>
    <row r="340" spans="1:17" ht="19.5" customHeight="1" x14ac:dyDescent="0.25">
      <c r="A340" s="9"/>
      <c r="B340" s="9"/>
      <c r="C340" s="14"/>
      <c r="D340" s="14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 spans="1:17" ht="19.5" customHeight="1" x14ac:dyDescent="0.25">
      <c r="A341" s="9"/>
      <c r="B341" s="9"/>
      <c r="C341" s="14"/>
      <c r="D341" s="14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</row>
    <row r="342" spans="1:17" ht="19.5" customHeight="1" x14ac:dyDescent="0.25">
      <c r="A342" s="9"/>
      <c r="B342" s="9"/>
      <c r="C342" s="14"/>
      <c r="D342" s="14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</row>
    <row r="343" spans="1:17" ht="19.5" customHeight="1" x14ac:dyDescent="0.25">
      <c r="A343" s="9"/>
      <c r="B343" s="9"/>
      <c r="C343" s="14"/>
      <c r="D343" s="14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spans="1:17" ht="19.5" customHeight="1" x14ac:dyDescent="0.25">
      <c r="A344" s="9"/>
      <c r="B344" s="9"/>
      <c r="C344" s="14"/>
      <c r="D344" s="14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</row>
    <row r="345" spans="1:17" ht="19.5" customHeight="1" x14ac:dyDescent="0.25">
      <c r="A345" s="9"/>
      <c r="B345" s="9"/>
      <c r="C345" s="14"/>
      <c r="D345" s="14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spans="1:17" ht="19.5" customHeight="1" x14ac:dyDescent="0.25">
      <c r="A346" s="9"/>
      <c r="B346" s="9"/>
      <c r="C346" s="14"/>
      <c r="D346" s="14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</row>
    <row r="347" spans="1:17" ht="19.5" customHeight="1" x14ac:dyDescent="0.25">
      <c r="A347" s="9"/>
      <c r="B347" s="9"/>
      <c r="C347" s="14"/>
      <c r="D347" s="14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 spans="1:17" ht="19.5" customHeight="1" x14ac:dyDescent="0.25">
      <c r="A348" s="9"/>
      <c r="B348" s="9"/>
      <c r="C348" s="14"/>
      <c r="D348" s="14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</row>
    <row r="349" spans="1:17" ht="19.5" customHeight="1" x14ac:dyDescent="0.25">
      <c r="A349" s="9"/>
      <c r="B349" s="9"/>
      <c r="C349" s="14"/>
      <c r="D349" s="14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 spans="1:17" ht="19.5" customHeight="1" x14ac:dyDescent="0.25">
      <c r="A350" s="9"/>
      <c r="B350" s="9"/>
      <c r="C350" s="14"/>
      <c r="D350" s="14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 spans="1:17" ht="19.5" customHeight="1" x14ac:dyDescent="0.25">
      <c r="A351" s="9"/>
      <c r="B351" s="9"/>
      <c r="C351" s="14"/>
      <c r="D351" s="14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</row>
    <row r="352" spans="1:17" ht="19.5" customHeight="1" x14ac:dyDescent="0.25">
      <c r="A352" s="9"/>
      <c r="B352" s="9"/>
      <c r="C352" s="14"/>
      <c r="D352" s="14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 spans="1:17" ht="19.5" customHeight="1" x14ac:dyDescent="0.25">
      <c r="A353" s="9"/>
      <c r="B353" s="9"/>
      <c r="C353" s="14"/>
      <c r="D353" s="14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 spans="1:17" ht="19.5" customHeight="1" x14ac:dyDescent="0.25">
      <c r="A354" s="9"/>
      <c r="B354" s="9"/>
      <c r="C354" s="14"/>
      <c r="D354" s="14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</row>
    <row r="355" spans="1:17" ht="19.5" customHeight="1" x14ac:dyDescent="0.25">
      <c r="A355" s="9"/>
      <c r="B355" s="9"/>
      <c r="C355" s="14"/>
      <c r="D355" s="14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spans="1:17" ht="19.5" customHeight="1" x14ac:dyDescent="0.25">
      <c r="A356" s="9"/>
      <c r="B356" s="9"/>
      <c r="C356" s="14"/>
      <c r="D356" s="14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</row>
    <row r="357" spans="1:17" ht="19.5" customHeight="1" x14ac:dyDescent="0.25">
      <c r="A357" s="9"/>
      <c r="B357" s="9"/>
      <c r="C357" s="14"/>
      <c r="D357" s="14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 spans="1:17" ht="19.5" customHeight="1" x14ac:dyDescent="0.25">
      <c r="A358" s="9"/>
      <c r="B358" s="9"/>
      <c r="C358" s="14"/>
      <c r="D358" s="14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spans="1:17" ht="19.5" customHeight="1" x14ac:dyDescent="0.25">
      <c r="A359" s="9"/>
      <c r="B359" s="9"/>
      <c r="C359" s="14"/>
      <c r="D359" s="14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</row>
    <row r="360" spans="1:17" ht="19.5" customHeight="1" x14ac:dyDescent="0.25">
      <c r="A360" s="9"/>
      <c r="B360" s="9"/>
      <c r="C360" s="14"/>
      <c r="D360" s="14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 spans="1:17" ht="19.5" customHeight="1" x14ac:dyDescent="0.25">
      <c r="A361" s="9"/>
      <c r="B361" s="9"/>
      <c r="C361" s="14"/>
      <c r="D361" s="14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</row>
    <row r="362" spans="1:17" ht="19.5" customHeight="1" x14ac:dyDescent="0.25">
      <c r="A362" s="9"/>
      <c r="B362" s="9"/>
      <c r="C362" s="14"/>
      <c r="D362" s="14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</row>
    <row r="363" spans="1:17" ht="19.5" customHeight="1" x14ac:dyDescent="0.25">
      <c r="A363" s="9"/>
      <c r="B363" s="9"/>
      <c r="C363" s="14"/>
      <c r="D363" s="14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</row>
    <row r="364" spans="1:17" ht="19.5" customHeight="1" x14ac:dyDescent="0.25">
      <c r="A364" s="9"/>
      <c r="B364" s="9"/>
      <c r="C364" s="14"/>
      <c r="D364" s="14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 spans="1:17" ht="19.5" customHeight="1" x14ac:dyDescent="0.25">
      <c r="A365" s="9"/>
      <c r="B365" s="9"/>
      <c r="C365" s="14"/>
      <c r="D365" s="14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</row>
    <row r="366" spans="1:17" ht="19.5" customHeight="1" x14ac:dyDescent="0.25">
      <c r="A366" s="9"/>
      <c r="B366" s="9"/>
      <c r="C366" s="14"/>
      <c r="D366" s="14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 spans="1:17" ht="19.5" customHeight="1" x14ac:dyDescent="0.25">
      <c r="A367" s="9"/>
      <c r="B367" s="9"/>
      <c r="C367" s="14"/>
      <c r="D367" s="14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 spans="1:17" ht="19.5" customHeight="1" x14ac:dyDescent="0.25">
      <c r="A368" s="9"/>
      <c r="B368" s="9"/>
      <c r="C368" s="14"/>
      <c r="D368" s="14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 spans="1:17" ht="19.5" customHeight="1" x14ac:dyDescent="0.25">
      <c r="A369" s="9"/>
      <c r="B369" s="9"/>
      <c r="C369" s="14"/>
      <c r="D369" s="14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</row>
    <row r="370" spans="1:17" ht="19.5" customHeight="1" x14ac:dyDescent="0.25">
      <c r="A370" s="9"/>
      <c r="B370" s="9"/>
      <c r="C370" s="14"/>
      <c r="D370" s="14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 spans="1:17" ht="19.5" customHeight="1" x14ac:dyDescent="0.25">
      <c r="A371" s="9"/>
      <c r="B371" s="9"/>
      <c r="C371" s="14"/>
      <c r="D371" s="14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</row>
    <row r="372" spans="1:17" ht="19.5" customHeight="1" x14ac:dyDescent="0.25">
      <c r="A372" s="9"/>
      <c r="B372" s="9"/>
      <c r="C372" s="14"/>
      <c r="D372" s="14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 spans="1:17" ht="19.5" customHeight="1" x14ac:dyDescent="0.25">
      <c r="A373" s="9"/>
      <c r="B373" s="9"/>
      <c r="C373" s="14"/>
      <c r="D373" s="14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</row>
    <row r="374" spans="1:17" ht="19.5" customHeight="1" x14ac:dyDescent="0.25">
      <c r="A374" s="9"/>
      <c r="B374" s="9"/>
      <c r="C374" s="14"/>
      <c r="D374" s="14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spans="1:17" ht="19.5" customHeight="1" x14ac:dyDescent="0.25">
      <c r="A375" s="9"/>
      <c r="B375" s="9"/>
      <c r="C375" s="14"/>
      <c r="D375" s="14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</row>
    <row r="376" spans="1:17" ht="19.5" customHeight="1" x14ac:dyDescent="0.25">
      <c r="A376" s="9"/>
      <c r="B376" s="9"/>
      <c r="C376" s="14"/>
      <c r="D376" s="14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 spans="1:17" ht="19.5" customHeight="1" x14ac:dyDescent="0.25">
      <c r="A377" s="9"/>
      <c r="B377" s="9"/>
      <c r="C377" s="14"/>
      <c r="D377" s="14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 spans="1:17" ht="19.5" customHeight="1" x14ac:dyDescent="0.25">
      <c r="A378" s="9"/>
      <c r="B378" s="9"/>
      <c r="C378" s="14"/>
      <c r="D378" s="14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 spans="1:17" ht="19.5" customHeight="1" x14ac:dyDescent="0.25">
      <c r="A379" s="9"/>
      <c r="B379" s="9"/>
      <c r="C379" s="14"/>
      <c r="D379" s="14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 spans="1:17" ht="19.5" customHeight="1" x14ac:dyDescent="0.25">
      <c r="A380" s="9"/>
      <c r="B380" s="9"/>
      <c r="C380" s="14"/>
      <c r="D380" s="14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 spans="1:17" ht="19.5" customHeight="1" x14ac:dyDescent="0.25">
      <c r="A381" s="9"/>
      <c r="B381" s="9"/>
      <c r="C381" s="14"/>
      <c r="D381" s="14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</row>
    <row r="382" spans="1:17" ht="19.5" customHeight="1" x14ac:dyDescent="0.25">
      <c r="A382" s="9"/>
      <c r="B382" s="9"/>
      <c r="C382" s="14"/>
      <c r="D382" s="14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 spans="1:17" ht="19.5" customHeight="1" x14ac:dyDescent="0.25">
      <c r="A383" s="9"/>
      <c r="B383" s="9"/>
      <c r="C383" s="14"/>
      <c r="D383" s="14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spans="1:17" ht="19.5" customHeight="1" x14ac:dyDescent="0.25">
      <c r="A384" s="9"/>
      <c r="B384" s="9"/>
      <c r="C384" s="14"/>
      <c r="D384" s="14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 spans="1:17" ht="19.5" customHeight="1" x14ac:dyDescent="0.25">
      <c r="A385" s="9"/>
      <c r="B385" s="9"/>
      <c r="C385" s="14"/>
      <c r="D385" s="14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</row>
    <row r="386" spans="1:17" ht="19.5" customHeight="1" x14ac:dyDescent="0.25">
      <c r="A386" s="9"/>
      <c r="B386" s="9"/>
      <c r="C386" s="14"/>
      <c r="D386" s="14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</row>
    <row r="387" spans="1:17" ht="19.5" customHeight="1" x14ac:dyDescent="0.25">
      <c r="A387" s="9"/>
      <c r="B387" s="9"/>
      <c r="C387" s="14"/>
      <c r="D387" s="14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 spans="1:17" ht="19.5" customHeight="1" x14ac:dyDescent="0.25">
      <c r="A388" s="9"/>
      <c r="B388" s="9"/>
      <c r="C388" s="14"/>
      <c r="D388" s="14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 spans="1:17" ht="19.5" customHeight="1" x14ac:dyDescent="0.25">
      <c r="A389" s="9"/>
      <c r="B389" s="9"/>
      <c r="C389" s="14"/>
      <c r="D389" s="14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 spans="1:17" ht="19.5" customHeight="1" x14ac:dyDescent="0.25">
      <c r="A390" s="9"/>
      <c r="B390" s="9"/>
      <c r="C390" s="14"/>
      <c r="D390" s="14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</row>
    <row r="391" spans="1:17" ht="19.5" customHeight="1" x14ac:dyDescent="0.25">
      <c r="A391" s="9"/>
      <c r="B391" s="9"/>
      <c r="C391" s="14"/>
      <c r="D391" s="14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 spans="1:17" ht="19.5" customHeight="1" x14ac:dyDescent="0.25">
      <c r="A392" s="9"/>
      <c r="B392" s="9"/>
      <c r="C392" s="14"/>
      <c r="D392" s="14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 spans="1:17" ht="19.5" customHeight="1" x14ac:dyDescent="0.25">
      <c r="A393" s="9"/>
      <c r="B393" s="9"/>
      <c r="C393" s="14"/>
      <c r="D393" s="14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 spans="1:17" ht="19.5" customHeight="1" x14ac:dyDescent="0.25">
      <c r="A394" s="9"/>
      <c r="B394" s="9"/>
      <c r="C394" s="14"/>
      <c r="D394" s="14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</row>
    <row r="395" spans="1:17" ht="19.5" customHeight="1" x14ac:dyDescent="0.25">
      <c r="A395" s="9"/>
      <c r="B395" s="9"/>
      <c r="C395" s="14"/>
      <c r="D395" s="14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</row>
    <row r="396" spans="1:17" ht="19.5" customHeight="1" x14ac:dyDescent="0.25">
      <c r="A396" s="9"/>
      <c r="B396" s="9"/>
      <c r="C396" s="14"/>
      <c r="D396" s="14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</row>
    <row r="397" spans="1:17" ht="19.5" customHeight="1" x14ac:dyDescent="0.25">
      <c r="A397" s="9"/>
      <c r="B397" s="9"/>
      <c r="C397" s="14"/>
      <c r="D397" s="14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</row>
    <row r="398" spans="1:17" ht="19.5" customHeight="1" x14ac:dyDescent="0.25">
      <c r="A398" s="9"/>
      <c r="B398" s="9"/>
      <c r="C398" s="14"/>
      <c r="D398" s="14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 spans="1:17" ht="19.5" customHeight="1" x14ac:dyDescent="0.25">
      <c r="A399" s="9"/>
      <c r="B399" s="9"/>
      <c r="C399" s="14"/>
      <c r="D399" s="14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</row>
    <row r="400" spans="1:17" ht="19.5" customHeight="1" x14ac:dyDescent="0.25">
      <c r="A400" s="9"/>
      <c r="B400" s="9"/>
      <c r="C400" s="14"/>
      <c r="D400" s="14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</row>
    <row r="401" spans="1:17" ht="19.5" customHeight="1" x14ac:dyDescent="0.25">
      <c r="A401" s="9"/>
      <c r="B401" s="9"/>
      <c r="C401" s="14"/>
      <c r="D401" s="14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</row>
    <row r="402" spans="1:17" ht="19.5" customHeight="1" x14ac:dyDescent="0.25">
      <c r="A402" s="9"/>
      <c r="B402" s="9"/>
      <c r="C402" s="14"/>
      <c r="D402" s="14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 spans="1:17" ht="19.5" customHeight="1" x14ac:dyDescent="0.25">
      <c r="A403" s="9"/>
      <c r="B403" s="9"/>
      <c r="C403" s="14"/>
      <c r="D403" s="14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spans="1:17" ht="19.5" customHeight="1" x14ac:dyDescent="0.25">
      <c r="A404" s="9"/>
      <c r="B404" s="9"/>
      <c r="C404" s="14"/>
      <c r="D404" s="14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 spans="1:17" ht="19.5" customHeight="1" x14ac:dyDescent="0.25">
      <c r="A405" s="9"/>
      <c r="B405" s="9"/>
      <c r="C405" s="14"/>
      <c r="D405" s="14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</row>
    <row r="406" spans="1:17" ht="19.5" customHeight="1" x14ac:dyDescent="0.25">
      <c r="A406" s="9"/>
      <c r="B406" s="9"/>
      <c r="C406" s="14"/>
      <c r="D406" s="14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 spans="1:17" ht="19.5" customHeight="1" x14ac:dyDescent="0.25">
      <c r="A407" s="9"/>
      <c r="B407" s="9"/>
      <c r="C407" s="14"/>
      <c r="D407" s="14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</row>
    <row r="408" spans="1:17" ht="19.5" customHeight="1" x14ac:dyDescent="0.25">
      <c r="A408" s="9"/>
      <c r="B408" s="9"/>
      <c r="C408" s="14"/>
      <c r="D408" s="14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 spans="1:17" ht="19.5" customHeight="1" x14ac:dyDescent="0.25">
      <c r="A409" s="9"/>
      <c r="B409" s="9"/>
      <c r="C409" s="14"/>
      <c r="D409" s="14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 spans="1:17" ht="19.5" customHeight="1" x14ac:dyDescent="0.25">
      <c r="A410" s="9"/>
      <c r="B410" s="9"/>
      <c r="C410" s="14"/>
      <c r="D410" s="14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</row>
    <row r="411" spans="1:17" ht="19.5" customHeight="1" x14ac:dyDescent="0.25">
      <c r="A411" s="9"/>
      <c r="B411" s="9"/>
      <c r="C411" s="14"/>
      <c r="D411" s="14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</row>
    <row r="412" spans="1:17" ht="19.5" customHeight="1" x14ac:dyDescent="0.25">
      <c r="A412" s="9"/>
      <c r="B412" s="9"/>
      <c r="C412" s="14"/>
      <c r="D412" s="14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 spans="1:17" ht="19.5" customHeight="1" x14ac:dyDescent="0.25">
      <c r="A413" s="9"/>
      <c r="B413" s="9"/>
      <c r="C413" s="14"/>
      <c r="D413" s="14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 spans="1:17" ht="19.5" customHeight="1" x14ac:dyDescent="0.25">
      <c r="A414" s="9"/>
      <c r="B414" s="9"/>
      <c r="C414" s="14"/>
      <c r="D414" s="14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 spans="1:17" ht="19.5" customHeight="1" x14ac:dyDescent="0.25">
      <c r="A415" s="9"/>
      <c r="B415" s="9"/>
      <c r="C415" s="14"/>
      <c r="D415" s="14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 spans="1:17" ht="19.5" customHeight="1" x14ac:dyDescent="0.25">
      <c r="A416" s="9"/>
      <c r="B416" s="9"/>
      <c r="C416" s="14"/>
      <c r="D416" s="14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 spans="1:17" ht="19.5" customHeight="1" x14ac:dyDescent="0.25">
      <c r="A417" s="9"/>
      <c r="B417" s="9"/>
      <c r="C417" s="14"/>
      <c r="D417" s="14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</row>
    <row r="418" spans="1:17" ht="19.5" customHeight="1" x14ac:dyDescent="0.25">
      <c r="A418" s="9"/>
      <c r="B418" s="9"/>
      <c r="C418" s="14"/>
      <c r="D418" s="14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 spans="1:17" ht="19.5" customHeight="1" x14ac:dyDescent="0.25">
      <c r="A419" s="9"/>
      <c r="B419" s="9"/>
      <c r="C419" s="14"/>
      <c r="D419" s="14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</row>
    <row r="420" spans="1:17" ht="19.5" customHeight="1" x14ac:dyDescent="0.25">
      <c r="A420" s="9"/>
      <c r="B420" s="9"/>
      <c r="C420" s="14"/>
      <c r="D420" s="14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 spans="1:17" ht="19.5" customHeight="1" x14ac:dyDescent="0.25">
      <c r="A421" s="9"/>
      <c r="B421" s="9"/>
      <c r="C421" s="14"/>
      <c r="D421" s="14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 spans="1:17" ht="19.5" customHeight="1" x14ac:dyDescent="0.25">
      <c r="A422" s="9"/>
      <c r="B422" s="9"/>
      <c r="C422" s="14"/>
      <c r="D422" s="14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</row>
    <row r="423" spans="1:17" ht="19.5" customHeight="1" x14ac:dyDescent="0.25">
      <c r="A423" s="9"/>
      <c r="B423" s="9"/>
      <c r="C423" s="14"/>
      <c r="D423" s="14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</row>
    <row r="424" spans="1:17" ht="19.5" customHeight="1" x14ac:dyDescent="0.25">
      <c r="A424" s="9"/>
      <c r="B424" s="9"/>
      <c r="C424" s="14"/>
      <c r="D424" s="14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</row>
    <row r="425" spans="1:17" ht="19.5" customHeight="1" x14ac:dyDescent="0.25">
      <c r="A425" s="9"/>
      <c r="B425" s="9"/>
      <c r="C425" s="14"/>
      <c r="D425" s="14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 spans="1:17" ht="19.5" customHeight="1" x14ac:dyDescent="0.25">
      <c r="A426" s="9"/>
      <c r="B426" s="9"/>
      <c r="C426" s="14"/>
      <c r="D426" s="14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</row>
    <row r="427" spans="1:17" ht="19.5" customHeight="1" x14ac:dyDescent="0.25">
      <c r="A427" s="9"/>
      <c r="B427" s="9"/>
      <c r="C427" s="14"/>
      <c r="D427" s="14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spans="1:17" ht="19.5" customHeight="1" x14ac:dyDescent="0.25">
      <c r="A428" s="9"/>
      <c r="B428" s="9"/>
      <c r="C428" s="14"/>
      <c r="D428" s="14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</row>
    <row r="429" spans="1:17" ht="19.5" customHeight="1" x14ac:dyDescent="0.25">
      <c r="A429" s="9"/>
      <c r="B429" s="9"/>
      <c r="C429" s="14"/>
      <c r="D429" s="14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 spans="1:17" ht="19.5" customHeight="1" x14ac:dyDescent="0.25">
      <c r="A430" s="9"/>
      <c r="B430" s="9"/>
      <c r="C430" s="14"/>
      <c r="D430" s="14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</row>
    <row r="431" spans="1:17" ht="19.5" customHeight="1" x14ac:dyDescent="0.25">
      <c r="A431" s="9"/>
      <c r="B431" s="9"/>
      <c r="C431" s="14"/>
      <c r="D431" s="14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</row>
    <row r="432" spans="1:17" ht="19.5" customHeight="1" x14ac:dyDescent="0.25">
      <c r="A432" s="9"/>
      <c r="B432" s="9"/>
      <c r="C432" s="14"/>
      <c r="D432" s="14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</row>
    <row r="433" spans="1:17" ht="19.5" customHeight="1" x14ac:dyDescent="0.25">
      <c r="A433" s="9"/>
      <c r="B433" s="9"/>
      <c r="C433" s="14"/>
      <c r="D433" s="14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</row>
    <row r="434" spans="1:17" ht="19.5" customHeight="1" x14ac:dyDescent="0.25">
      <c r="A434" s="9"/>
      <c r="B434" s="9"/>
      <c r="C434" s="14"/>
      <c r="D434" s="14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</row>
    <row r="435" spans="1:17" ht="19.5" customHeight="1" x14ac:dyDescent="0.25">
      <c r="A435" s="9"/>
      <c r="B435" s="9"/>
      <c r="C435" s="14"/>
      <c r="D435" s="14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spans="1:17" ht="19.5" customHeight="1" x14ac:dyDescent="0.25">
      <c r="A436" s="9"/>
      <c r="B436" s="9"/>
      <c r="C436" s="14"/>
      <c r="D436" s="14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</row>
    <row r="437" spans="1:17" ht="19.5" customHeight="1" x14ac:dyDescent="0.25">
      <c r="A437" s="9"/>
      <c r="B437" s="9"/>
      <c r="C437" s="14"/>
      <c r="D437" s="14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 spans="1:17" ht="19.5" customHeight="1" x14ac:dyDescent="0.25">
      <c r="A438" s="9"/>
      <c r="B438" s="9"/>
      <c r="C438" s="14"/>
      <c r="D438" s="14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</row>
    <row r="439" spans="1:17" ht="19.5" customHeight="1" x14ac:dyDescent="0.25">
      <c r="A439" s="9"/>
      <c r="B439" s="9"/>
      <c r="C439" s="14"/>
      <c r="D439" s="14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 spans="1:17" ht="19.5" customHeight="1" x14ac:dyDescent="0.25">
      <c r="A440" s="9"/>
      <c r="B440" s="9"/>
      <c r="C440" s="14"/>
      <c r="D440" s="14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</row>
    <row r="441" spans="1:17" ht="19.5" customHeight="1" x14ac:dyDescent="0.25">
      <c r="A441" s="9"/>
      <c r="B441" s="9"/>
      <c r="C441" s="14"/>
      <c r="D441" s="14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 spans="1:17" ht="19.5" customHeight="1" x14ac:dyDescent="0.25">
      <c r="A442" s="9"/>
      <c r="B442" s="9"/>
      <c r="C442" s="14"/>
      <c r="D442" s="14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</row>
    <row r="443" spans="1:17" ht="19.5" customHeight="1" x14ac:dyDescent="0.25">
      <c r="A443" s="9"/>
      <c r="B443" s="9"/>
      <c r="C443" s="14"/>
      <c r="D443" s="14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 spans="1:17" ht="19.5" customHeight="1" x14ac:dyDescent="0.25">
      <c r="A444" s="9"/>
      <c r="B444" s="9"/>
      <c r="C444" s="14"/>
      <c r="D444" s="14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</row>
    <row r="445" spans="1:17" ht="19.5" customHeight="1" x14ac:dyDescent="0.25">
      <c r="A445" s="9"/>
      <c r="B445" s="9"/>
      <c r="C445" s="14"/>
      <c r="D445" s="14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 spans="1:17" ht="19.5" customHeight="1" x14ac:dyDescent="0.25">
      <c r="A446" s="9"/>
      <c r="B446" s="9"/>
      <c r="C446" s="14"/>
      <c r="D446" s="14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</row>
    <row r="447" spans="1:17" ht="19.5" customHeight="1" x14ac:dyDescent="0.25">
      <c r="A447" s="9"/>
      <c r="B447" s="9"/>
      <c r="C447" s="14"/>
      <c r="D447" s="14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 spans="1:17" ht="19.5" customHeight="1" x14ac:dyDescent="0.25">
      <c r="A448" s="9"/>
      <c r="B448" s="9"/>
      <c r="C448" s="14"/>
      <c r="D448" s="14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</row>
    <row r="449" spans="1:17" ht="19.5" customHeight="1" x14ac:dyDescent="0.25">
      <c r="A449" s="9"/>
      <c r="B449" s="9"/>
      <c r="C449" s="14"/>
      <c r="D449" s="14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</row>
    <row r="450" spans="1:17" ht="19.5" customHeight="1" x14ac:dyDescent="0.25">
      <c r="A450" s="9"/>
      <c r="B450" s="9"/>
      <c r="C450" s="14"/>
      <c r="D450" s="14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</row>
    <row r="451" spans="1:17" ht="19.5" customHeight="1" x14ac:dyDescent="0.25">
      <c r="A451" s="9"/>
      <c r="B451" s="9"/>
      <c r="C451" s="14"/>
      <c r="D451" s="14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spans="1:17" ht="19.5" customHeight="1" x14ac:dyDescent="0.25">
      <c r="A452" s="9"/>
      <c r="B452" s="9"/>
      <c r="C452" s="14"/>
      <c r="D452" s="14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</row>
    <row r="453" spans="1:17" ht="19.5" customHeight="1" x14ac:dyDescent="0.25">
      <c r="A453" s="9"/>
      <c r="B453" s="9"/>
      <c r="C453" s="14"/>
      <c r="D453" s="14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</row>
    <row r="454" spans="1:17" ht="19.5" customHeight="1" x14ac:dyDescent="0.25">
      <c r="A454" s="9"/>
      <c r="B454" s="9"/>
      <c r="C454" s="14"/>
      <c r="D454" s="14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 spans="1:17" ht="19.5" customHeight="1" x14ac:dyDescent="0.25">
      <c r="A455" s="9"/>
      <c r="B455" s="9"/>
      <c r="C455" s="14"/>
      <c r="D455" s="14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</row>
    <row r="456" spans="1:17" ht="19.5" customHeight="1" x14ac:dyDescent="0.25">
      <c r="A456" s="9"/>
      <c r="B456" s="9"/>
      <c r="C456" s="14"/>
      <c r="D456" s="14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 spans="1:17" ht="19.5" customHeight="1" x14ac:dyDescent="0.25">
      <c r="A457" s="9"/>
      <c r="B457" s="9"/>
      <c r="C457" s="14"/>
      <c r="D457" s="14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</row>
    <row r="458" spans="1:17" ht="19.5" customHeight="1" x14ac:dyDescent="0.25">
      <c r="A458" s="9"/>
      <c r="B458" s="9"/>
      <c r="C458" s="14"/>
      <c r="D458" s="14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 spans="1:17" ht="19.5" customHeight="1" x14ac:dyDescent="0.25">
      <c r="A459" s="9"/>
      <c r="B459" s="9"/>
      <c r="C459" s="14"/>
      <c r="D459" s="14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</row>
    <row r="460" spans="1:17" ht="19.5" customHeight="1" x14ac:dyDescent="0.25">
      <c r="A460" s="9"/>
      <c r="B460" s="9"/>
      <c r="C460" s="14"/>
      <c r="D460" s="14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 spans="1:17" ht="19.5" customHeight="1" x14ac:dyDescent="0.25">
      <c r="A461" s="9"/>
      <c r="B461" s="9"/>
      <c r="C461" s="14"/>
      <c r="D461" s="14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 spans="1:17" ht="19.5" customHeight="1" x14ac:dyDescent="0.25">
      <c r="A462" s="9"/>
      <c r="B462" s="9"/>
      <c r="C462" s="14"/>
      <c r="D462" s="14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</row>
    <row r="463" spans="1:17" ht="19.5" customHeight="1" x14ac:dyDescent="0.25">
      <c r="A463" s="9"/>
      <c r="B463" s="9"/>
      <c r="C463" s="14"/>
      <c r="D463" s="14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spans="1:17" ht="19.5" customHeight="1" x14ac:dyDescent="0.25">
      <c r="A464" s="9"/>
      <c r="B464" s="9"/>
      <c r="C464" s="14"/>
      <c r="D464" s="14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</row>
    <row r="465" spans="1:17" ht="19.5" customHeight="1" x14ac:dyDescent="0.25">
      <c r="A465" s="9"/>
      <c r="B465" s="9"/>
      <c r="C465" s="14"/>
      <c r="D465" s="14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</row>
    <row r="466" spans="1:17" ht="19.5" customHeight="1" x14ac:dyDescent="0.25">
      <c r="A466" s="9"/>
      <c r="B466" s="9"/>
      <c r="C466" s="14"/>
      <c r="D466" s="14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 spans="1:17" ht="19.5" customHeight="1" x14ac:dyDescent="0.25">
      <c r="A467" s="9"/>
      <c r="B467" s="9"/>
      <c r="C467" s="14"/>
      <c r="D467" s="14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</row>
    <row r="468" spans="1:17" ht="19.5" customHeight="1" x14ac:dyDescent="0.25">
      <c r="A468" s="9"/>
      <c r="B468" s="9"/>
      <c r="C468" s="14"/>
      <c r="D468" s="14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 spans="1:17" ht="19.5" customHeight="1" x14ac:dyDescent="0.25">
      <c r="A469" s="9"/>
      <c r="B469" s="9"/>
      <c r="C469" s="14"/>
      <c r="D469" s="14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</row>
    <row r="470" spans="1:17" ht="19.5" customHeight="1" x14ac:dyDescent="0.25">
      <c r="A470" s="9"/>
      <c r="B470" s="9"/>
      <c r="C470" s="14"/>
      <c r="D470" s="14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</row>
    <row r="471" spans="1:17" ht="19.5" customHeight="1" x14ac:dyDescent="0.25">
      <c r="A471" s="9"/>
      <c r="B471" s="9"/>
      <c r="C471" s="14"/>
      <c r="D471" s="14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</row>
    <row r="472" spans="1:17" ht="19.5" customHeight="1" x14ac:dyDescent="0.25">
      <c r="A472" s="9"/>
      <c r="B472" s="9"/>
      <c r="C472" s="14"/>
      <c r="D472" s="14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</row>
    <row r="473" spans="1:17" ht="19.5" customHeight="1" x14ac:dyDescent="0.25">
      <c r="A473" s="9"/>
      <c r="B473" s="9"/>
      <c r="C473" s="14"/>
      <c r="D473" s="14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</row>
    <row r="474" spans="1:17" ht="19.5" customHeight="1" x14ac:dyDescent="0.25">
      <c r="A474" s="9"/>
      <c r="B474" s="9"/>
      <c r="C474" s="14"/>
      <c r="D474" s="14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 spans="1:17" ht="19.5" customHeight="1" x14ac:dyDescent="0.25">
      <c r="A475" s="9"/>
      <c r="B475" s="9"/>
      <c r="C475" s="14"/>
      <c r="D475" s="14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spans="1:17" ht="19.5" customHeight="1" x14ac:dyDescent="0.25">
      <c r="A476" s="9"/>
      <c r="B476" s="9"/>
      <c r="C476" s="14"/>
      <c r="D476" s="14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</row>
    <row r="477" spans="1:17" ht="19.5" customHeight="1" x14ac:dyDescent="0.25">
      <c r="A477" s="9"/>
      <c r="B477" s="9"/>
      <c r="C477" s="14"/>
      <c r="D477" s="14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</row>
    <row r="478" spans="1:17" ht="19.5" customHeight="1" x14ac:dyDescent="0.25">
      <c r="A478" s="9"/>
      <c r="B478" s="9"/>
      <c r="C478" s="14"/>
      <c r="D478" s="14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 spans="1:17" ht="19.5" customHeight="1" x14ac:dyDescent="0.25">
      <c r="A479" s="9"/>
      <c r="B479" s="9"/>
      <c r="C479" s="14"/>
      <c r="D479" s="14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</row>
    <row r="480" spans="1:17" ht="19.5" customHeight="1" x14ac:dyDescent="0.25">
      <c r="A480" s="9"/>
      <c r="B480" s="9"/>
      <c r="C480" s="14"/>
      <c r="D480" s="14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</row>
    <row r="481" spans="1:17" ht="19.5" customHeight="1" x14ac:dyDescent="0.25">
      <c r="A481" s="9"/>
      <c r="B481" s="9"/>
      <c r="C481" s="14"/>
      <c r="D481" s="14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 spans="1:17" ht="19.5" customHeight="1" x14ac:dyDescent="0.25">
      <c r="A482" s="9"/>
      <c r="B482" s="9"/>
      <c r="C482" s="14"/>
      <c r="D482" s="14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</row>
    <row r="483" spans="1:17" ht="19.5" customHeight="1" x14ac:dyDescent="0.25">
      <c r="A483" s="9"/>
      <c r="B483" s="9"/>
      <c r="C483" s="14"/>
      <c r="D483" s="14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 spans="1:17" ht="19.5" customHeight="1" x14ac:dyDescent="0.25">
      <c r="A484" s="9"/>
      <c r="B484" s="9"/>
      <c r="C484" s="14"/>
      <c r="D484" s="14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</row>
    <row r="485" spans="1:17" ht="19.5" customHeight="1" x14ac:dyDescent="0.25">
      <c r="A485" s="9"/>
      <c r="B485" s="9"/>
      <c r="C485" s="14"/>
      <c r="D485" s="14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 spans="1:17" ht="19.5" customHeight="1" x14ac:dyDescent="0.25">
      <c r="A486" s="9"/>
      <c r="B486" s="9"/>
      <c r="C486" s="14"/>
      <c r="D486" s="14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 spans="1:17" ht="19.5" customHeight="1" x14ac:dyDescent="0.25">
      <c r="A487" s="9"/>
      <c r="B487" s="9"/>
      <c r="C487" s="14"/>
      <c r="D487" s="14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 spans="1:17" ht="19.5" customHeight="1" x14ac:dyDescent="0.25">
      <c r="A488" s="9"/>
      <c r="B488" s="9"/>
      <c r="C488" s="14"/>
      <c r="D488" s="14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 spans="1:17" ht="19.5" customHeight="1" x14ac:dyDescent="0.25">
      <c r="A489" s="9"/>
      <c r="B489" s="9"/>
      <c r="C489" s="14"/>
      <c r="D489" s="14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</row>
    <row r="490" spans="1:17" ht="19.5" customHeight="1" x14ac:dyDescent="0.25">
      <c r="A490" s="9"/>
      <c r="B490" s="9"/>
      <c r="C490" s="14"/>
      <c r="D490" s="14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 spans="1:17" ht="19.5" customHeight="1" x14ac:dyDescent="0.25">
      <c r="A491" s="9"/>
      <c r="B491" s="9"/>
      <c r="C491" s="14"/>
      <c r="D491" s="14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</row>
    <row r="492" spans="1:17" ht="19.5" customHeight="1" x14ac:dyDescent="0.25">
      <c r="A492" s="9"/>
      <c r="B492" s="9"/>
      <c r="C492" s="14"/>
      <c r="D492" s="14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 spans="1:17" ht="19.5" customHeight="1" x14ac:dyDescent="0.25">
      <c r="A493" s="9"/>
      <c r="B493" s="9"/>
      <c r="C493" s="14"/>
      <c r="D493" s="14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spans="1:17" ht="19.5" customHeight="1" x14ac:dyDescent="0.25">
      <c r="A494" s="9"/>
      <c r="B494" s="9"/>
      <c r="C494" s="14"/>
      <c r="D494" s="14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</row>
    <row r="495" spans="1:17" ht="19.5" customHeight="1" x14ac:dyDescent="0.25">
      <c r="A495" s="9"/>
      <c r="B495" s="9"/>
      <c r="C495" s="14"/>
      <c r="D495" s="14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 spans="1:17" ht="19.5" customHeight="1" x14ac:dyDescent="0.25">
      <c r="A496" s="9"/>
      <c r="B496" s="9"/>
      <c r="C496" s="14"/>
      <c r="D496" s="14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</row>
    <row r="497" spans="1:17" ht="19.5" customHeight="1" x14ac:dyDescent="0.25">
      <c r="A497" s="9"/>
      <c r="B497" s="9"/>
      <c r="C497" s="14"/>
      <c r="D497" s="14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</row>
    <row r="498" spans="1:17" ht="19.5" customHeight="1" x14ac:dyDescent="0.25">
      <c r="A498" s="9"/>
      <c r="B498" s="9"/>
      <c r="C498" s="14"/>
      <c r="D498" s="14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</row>
    <row r="499" spans="1:17" ht="19.5" customHeight="1" x14ac:dyDescent="0.25">
      <c r="A499" s="9"/>
      <c r="B499" s="9"/>
      <c r="C499" s="14"/>
      <c r="D499" s="14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 spans="1:17" ht="19.5" customHeight="1" x14ac:dyDescent="0.25">
      <c r="A500" s="9"/>
      <c r="B500" s="9"/>
      <c r="C500" s="14"/>
      <c r="D500" s="14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 spans="1:17" ht="19.5" customHeight="1" x14ac:dyDescent="0.25">
      <c r="A501" s="9"/>
      <c r="B501" s="9"/>
      <c r="C501" s="14"/>
      <c r="D501" s="14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</row>
    <row r="502" spans="1:17" ht="19.5" customHeight="1" x14ac:dyDescent="0.25">
      <c r="A502" s="9"/>
      <c r="B502" s="9"/>
      <c r="C502" s="14"/>
      <c r="D502" s="14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 spans="1:17" ht="19.5" customHeight="1" x14ac:dyDescent="0.25">
      <c r="A503" s="9"/>
      <c r="B503" s="9"/>
      <c r="C503" s="14"/>
      <c r="D503" s="14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</row>
    <row r="504" spans="1:17" ht="19.5" customHeight="1" x14ac:dyDescent="0.25">
      <c r="A504" s="9"/>
      <c r="B504" s="9"/>
      <c r="C504" s="14"/>
      <c r="D504" s="14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 spans="1:17" ht="19.5" customHeight="1" x14ac:dyDescent="0.25">
      <c r="A505" s="9"/>
      <c r="B505" s="9"/>
      <c r="C505" s="14"/>
      <c r="D505" s="14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</row>
    <row r="506" spans="1:17" ht="19.5" customHeight="1" x14ac:dyDescent="0.25">
      <c r="A506" s="9"/>
      <c r="B506" s="9"/>
      <c r="C506" s="14"/>
      <c r="D506" s="14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 spans="1:17" ht="19.5" customHeight="1" x14ac:dyDescent="0.25">
      <c r="A507" s="9"/>
      <c r="B507" s="9"/>
      <c r="C507" s="14"/>
      <c r="D507" s="14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</row>
    <row r="508" spans="1:17" ht="19.5" customHeight="1" x14ac:dyDescent="0.25">
      <c r="A508" s="9"/>
      <c r="B508" s="9"/>
      <c r="C508" s="14"/>
      <c r="D508" s="14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</row>
    <row r="509" spans="1:17" ht="19.5" customHeight="1" x14ac:dyDescent="0.25">
      <c r="A509" s="9"/>
      <c r="B509" s="9"/>
      <c r="C509" s="14"/>
      <c r="D509" s="14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 spans="1:17" ht="19.5" customHeight="1" x14ac:dyDescent="0.25">
      <c r="A510" s="9"/>
      <c r="B510" s="9"/>
      <c r="C510" s="14"/>
      <c r="D510" s="14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</row>
    <row r="511" spans="1:17" ht="19.5" customHeight="1" x14ac:dyDescent="0.25">
      <c r="A511" s="9"/>
      <c r="B511" s="9"/>
      <c r="C511" s="14"/>
      <c r="D511" s="14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 spans="1:17" ht="19.5" customHeight="1" x14ac:dyDescent="0.25">
      <c r="A512" s="9"/>
      <c r="B512" s="9"/>
      <c r="C512" s="14"/>
      <c r="D512" s="14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</row>
    <row r="513" spans="1:17" ht="19.5" customHeight="1" x14ac:dyDescent="0.25">
      <c r="A513" s="9"/>
      <c r="B513" s="9"/>
      <c r="C513" s="14"/>
      <c r="D513" s="14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 spans="1:17" ht="19.5" customHeight="1" x14ac:dyDescent="0.25">
      <c r="A514" s="9"/>
      <c r="B514" s="9"/>
      <c r="C514" s="14"/>
      <c r="D514" s="14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</row>
    <row r="515" spans="1:17" ht="19.5" customHeight="1" x14ac:dyDescent="0.25">
      <c r="A515" s="9"/>
      <c r="B515" s="9"/>
      <c r="C515" s="14"/>
      <c r="D515" s="14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</row>
    <row r="516" spans="1:17" ht="19.5" customHeight="1" x14ac:dyDescent="0.25">
      <c r="A516" s="9"/>
      <c r="B516" s="9"/>
      <c r="C516" s="14"/>
      <c r="D516" s="14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</row>
    <row r="517" spans="1:17" ht="19.5" customHeight="1" x14ac:dyDescent="0.25">
      <c r="A517" s="9"/>
      <c r="B517" s="9"/>
      <c r="C517" s="14"/>
      <c r="D517" s="14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 spans="1:17" ht="19.5" customHeight="1" x14ac:dyDescent="0.25">
      <c r="A518" s="9"/>
      <c r="B518" s="9"/>
      <c r="C518" s="14"/>
      <c r="D518" s="14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</row>
    <row r="519" spans="1:17" ht="19.5" customHeight="1" x14ac:dyDescent="0.25">
      <c r="A519" s="9"/>
      <c r="B519" s="9"/>
      <c r="C519" s="14"/>
      <c r="D519" s="14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 spans="1:17" ht="19.5" customHeight="1" x14ac:dyDescent="0.25">
      <c r="A520" s="9"/>
      <c r="B520" s="9"/>
      <c r="C520" s="14"/>
      <c r="D520" s="14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</row>
    <row r="521" spans="1:17" ht="19.5" customHeight="1" x14ac:dyDescent="0.25">
      <c r="A521" s="9"/>
      <c r="B521" s="9"/>
      <c r="C521" s="14"/>
      <c r="D521" s="14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</row>
    <row r="522" spans="1:17" ht="19.5" customHeight="1" x14ac:dyDescent="0.25">
      <c r="A522" s="9"/>
      <c r="B522" s="9"/>
      <c r="C522" s="14"/>
      <c r="D522" s="14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</row>
    <row r="523" spans="1:17" ht="19.5" customHeight="1" x14ac:dyDescent="0.25">
      <c r="A523" s="9"/>
      <c r="B523" s="9"/>
      <c r="C523" s="14"/>
      <c r="D523" s="14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 spans="1:17" ht="19.5" customHeight="1" x14ac:dyDescent="0.25">
      <c r="A524" s="9"/>
      <c r="B524" s="9"/>
      <c r="C524" s="14"/>
      <c r="D524" s="14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 spans="1:17" ht="19.5" customHeight="1" x14ac:dyDescent="0.25">
      <c r="A525" s="9"/>
      <c r="B525" s="9"/>
      <c r="C525" s="14"/>
      <c r="D525" s="14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</row>
    <row r="526" spans="1:17" ht="19.5" customHeight="1" x14ac:dyDescent="0.25">
      <c r="A526" s="9"/>
      <c r="B526" s="9"/>
      <c r="C526" s="14"/>
      <c r="D526" s="14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</row>
    <row r="527" spans="1:17" ht="19.5" customHeight="1" x14ac:dyDescent="0.25">
      <c r="A527" s="9"/>
      <c r="B527" s="9"/>
      <c r="C527" s="14"/>
      <c r="D527" s="14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 spans="1:17" ht="19.5" customHeight="1" x14ac:dyDescent="0.25">
      <c r="A528" s="9"/>
      <c r="B528" s="9"/>
      <c r="C528" s="14"/>
      <c r="D528" s="14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</row>
    <row r="529" spans="1:17" ht="19.5" customHeight="1" x14ac:dyDescent="0.25">
      <c r="A529" s="9"/>
      <c r="B529" s="9"/>
      <c r="C529" s="14"/>
      <c r="D529" s="14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</row>
    <row r="530" spans="1:17" ht="19.5" customHeight="1" x14ac:dyDescent="0.25">
      <c r="A530" s="9"/>
      <c r="B530" s="9"/>
      <c r="C530" s="14"/>
      <c r="D530" s="14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 spans="1:17" ht="19.5" customHeight="1" x14ac:dyDescent="0.25">
      <c r="A531" s="9"/>
      <c r="B531" s="9"/>
      <c r="C531" s="14"/>
      <c r="D531" s="14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</row>
    <row r="532" spans="1:17" ht="19.5" customHeight="1" x14ac:dyDescent="0.25">
      <c r="A532" s="9"/>
      <c r="B532" s="9"/>
      <c r="C532" s="14"/>
      <c r="D532" s="14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 spans="1:17" ht="19.5" customHeight="1" x14ac:dyDescent="0.25">
      <c r="A533" s="9"/>
      <c r="B533" s="9"/>
      <c r="C533" s="14"/>
      <c r="D533" s="14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</row>
    <row r="534" spans="1:17" ht="19.5" customHeight="1" x14ac:dyDescent="0.25">
      <c r="A534" s="9"/>
      <c r="B534" s="9"/>
      <c r="C534" s="14"/>
      <c r="D534" s="14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 spans="1:17" ht="19.5" customHeight="1" x14ac:dyDescent="0.25">
      <c r="A535" s="9"/>
      <c r="B535" s="9"/>
      <c r="C535" s="14"/>
      <c r="D535" s="14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 spans="1:17" ht="19.5" customHeight="1" x14ac:dyDescent="0.25">
      <c r="A536" s="9"/>
      <c r="B536" s="9"/>
      <c r="C536" s="14"/>
      <c r="D536" s="14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 spans="1:17" ht="19.5" customHeight="1" x14ac:dyDescent="0.25">
      <c r="A537" s="9"/>
      <c r="B537" s="9"/>
      <c r="C537" s="14"/>
      <c r="D537" s="14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</row>
    <row r="538" spans="1:17" ht="19.5" customHeight="1" x14ac:dyDescent="0.25">
      <c r="A538" s="9"/>
      <c r="B538" s="9"/>
      <c r="C538" s="14"/>
      <c r="D538" s="14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</row>
    <row r="539" spans="1:17" ht="19.5" customHeight="1" x14ac:dyDescent="0.25">
      <c r="A539" s="9"/>
      <c r="B539" s="9"/>
      <c r="C539" s="14"/>
      <c r="D539" s="14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</row>
    <row r="540" spans="1:17" ht="19.5" customHeight="1" x14ac:dyDescent="0.25">
      <c r="A540" s="9"/>
      <c r="B540" s="9"/>
      <c r="C540" s="14"/>
      <c r="D540" s="14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 spans="1:17" ht="19.5" customHeight="1" x14ac:dyDescent="0.25">
      <c r="A541" s="9"/>
      <c r="B541" s="9"/>
      <c r="C541" s="14"/>
      <c r="D541" s="14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</row>
    <row r="542" spans="1:17" ht="19.5" customHeight="1" x14ac:dyDescent="0.25">
      <c r="A542" s="9"/>
      <c r="B542" s="9"/>
      <c r="C542" s="14"/>
      <c r="D542" s="14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 spans="1:17" ht="19.5" customHeight="1" x14ac:dyDescent="0.25">
      <c r="A543" s="9"/>
      <c r="B543" s="9"/>
      <c r="C543" s="14"/>
      <c r="D543" s="14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</row>
    <row r="544" spans="1:17" ht="19.5" customHeight="1" x14ac:dyDescent="0.25">
      <c r="A544" s="9"/>
      <c r="B544" s="9"/>
      <c r="C544" s="14"/>
      <c r="D544" s="14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 spans="1:17" ht="19.5" customHeight="1" x14ac:dyDescent="0.25">
      <c r="A545" s="9"/>
      <c r="B545" s="9"/>
      <c r="C545" s="14"/>
      <c r="D545" s="14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</row>
    <row r="546" spans="1:17" ht="19.5" customHeight="1" x14ac:dyDescent="0.25">
      <c r="A546" s="9"/>
      <c r="B546" s="9"/>
      <c r="C546" s="14"/>
      <c r="D546" s="14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 spans="1:17" ht="19.5" customHeight="1" x14ac:dyDescent="0.25">
      <c r="A547" s="9"/>
      <c r="B547" s="9"/>
      <c r="C547" s="14"/>
      <c r="D547" s="14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 spans="1:17" ht="19.5" customHeight="1" x14ac:dyDescent="0.25">
      <c r="A548" s="9"/>
      <c r="B548" s="9"/>
      <c r="C548" s="14"/>
      <c r="D548" s="14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</row>
    <row r="549" spans="1:17" ht="19.5" customHeight="1" x14ac:dyDescent="0.25">
      <c r="A549" s="9"/>
      <c r="B549" s="9"/>
      <c r="C549" s="14"/>
      <c r="D549" s="14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</row>
    <row r="550" spans="1:17" ht="19.5" customHeight="1" x14ac:dyDescent="0.25">
      <c r="A550" s="9"/>
      <c r="B550" s="9"/>
      <c r="C550" s="14"/>
      <c r="D550" s="14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</row>
    <row r="551" spans="1:17" ht="19.5" customHeight="1" x14ac:dyDescent="0.25">
      <c r="A551" s="9"/>
      <c r="B551" s="9"/>
      <c r="C551" s="14"/>
      <c r="D551" s="14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 spans="1:17" ht="19.5" customHeight="1" x14ac:dyDescent="0.25">
      <c r="A552" s="9"/>
      <c r="B552" s="9"/>
      <c r="C552" s="14"/>
      <c r="D552" s="14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</row>
    <row r="553" spans="1:17" ht="19.5" customHeight="1" x14ac:dyDescent="0.25">
      <c r="A553" s="9"/>
      <c r="B553" s="9"/>
      <c r="C553" s="14"/>
      <c r="D553" s="14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</row>
    <row r="554" spans="1:17" ht="19.5" customHeight="1" x14ac:dyDescent="0.25">
      <c r="A554" s="9"/>
      <c r="B554" s="9"/>
      <c r="C554" s="14"/>
      <c r="D554" s="14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</row>
    <row r="555" spans="1:17" ht="19.5" customHeight="1" x14ac:dyDescent="0.25">
      <c r="A555" s="9"/>
      <c r="B555" s="9"/>
      <c r="C555" s="14"/>
      <c r="D555" s="14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</row>
    <row r="556" spans="1:17" ht="19.5" customHeight="1" x14ac:dyDescent="0.25">
      <c r="A556" s="9"/>
      <c r="B556" s="9"/>
      <c r="C556" s="14"/>
      <c r="D556" s="14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 spans="1:17" ht="19.5" customHeight="1" x14ac:dyDescent="0.25">
      <c r="A557" s="9"/>
      <c r="B557" s="9"/>
      <c r="C557" s="14"/>
      <c r="D557" s="14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8" spans="1:17" ht="19.5" customHeight="1" x14ac:dyDescent="0.25">
      <c r="A558" s="9"/>
      <c r="B558" s="9"/>
      <c r="C558" s="14"/>
      <c r="D558" s="14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 spans="1:17" ht="19.5" customHeight="1" x14ac:dyDescent="0.25">
      <c r="A559" s="9"/>
      <c r="B559" s="9"/>
      <c r="C559" s="14"/>
      <c r="D559" s="14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 spans="1:17" ht="19.5" customHeight="1" x14ac:dyDescent="0.25">
      <c r="A560" s="9"/>
      <c r="B560" s="9"/>
      <c r="C560" s="14"/>
      <c r="D560" s="14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</row>
    <row r="561" spans="1:17" ht="19.5" customHeight="1" x14ac:dyDescent="0.25">
      <c r="A561" s="9"/>
      <c r="B561" s="9"/>
      <c r="C561" s="14"/>
      <c r="D561" s="14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 spans="1:17" ht="19.5" customHeight="1" x14ac:dyDescent="0.25">
      <c r="A562" s="9"/>
      <c r="B562" s="9"/>
      <c r="C562" s="14"/>
      <c r="D562" s="14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</row>
    <row r="563" spans="1:17" ht="19.5" customHeight="1" x14ac:dyDescent="0.25">
      <c r="A563" s="9"/>
      <c r="B563" s="9"/>
      <c r="C563" s="14"/>
      <c r="D563" s="14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 spans="1:17" ht="19.5" customHeight="1" x14ac:dyDescent="0.25">
      <c r="A564" s="9"/>
      <c r="B564" s="9"/>
      <c r="C564" s="14"/>
      <c r="D564" s="14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 spans="1:17" ht="19.5" customHeight="1" x14ac:dyDescent="0.25">
      <c r="A565" s="9"/>
      <c r="B565" s="9"/>
      <c r="C565" s="14"/>
      <c r="D565" s="14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</row>
    <row r="566" spans="1:17" ht="19.5" customHeight="1" x14ac:dyDescent="0.25">
      <c r="A566" s="9"/>
      <c r="B566" s="9"/>
      <c r="C566" s="14"/>
      <c r="D566" s="14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</row>
    <row r="567" spans="1:17" ht="19.5" customHeight="1" x14ac:dyDescent="0.25">
      <c r="A567" s="9"/>
      <c r="B567" s="9"/>
      <c r="C567" s="14"/>
      <c r="D567" s="14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 spans="1:17" ht="19.5" customHeight="1" x14ac:dyDescent="0.25">
      <c r="A568" s="9"/>
      <c r="B568" s="9"/>
      <c r="C568" s="14"/>
      <c r="D568" s="14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</row>
    <row r="569" spans="1:17" ht="19.5" customHeight="1" x14ac:dyDescent="0.25">
      <c r="A569" s="9"/>
      <c r="B569" s="9"/>
      <c r="C569" s="14"/>
      <c r="D569" s="14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</row>
    <row r="570" spans="1:17" ht="19.5" customHeight="1" x14ac:dyDescent="0.25">
      <c r="A570" s="9"/>
      <c r="B570" s="9"/>
      <c r="C570" s="14"/>
      <c r="D570" s="14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</row>
    <row r="571" spans="1:17" ht="19.5" customHeight="1" x14ac:dyDescent="0.25">
      <c r="A571" s="9"/>
      <c r="B571" s="9"/>
      <c r="C571" s="14"/>
      <c r="D571" s="14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 spans="1:17" ht="19.5" customHeight="1" x14ac:dyDescent="0.25">
      <c r="A572" s="9"/>
      <c r="B572" s="9"/>
      <c r="C572" s="14"/>
      <c r="D572" s="14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</row>
    <row r="573" spans="1:17" ht="19.5" customHeight="1" x14ac:dyDescent="0.25">
      <c r="A573" s="9"/>
      <c r="B573" s="9"/>
      <c r="C573" s="14"/>
      <c r="D573" s="14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 spans="1:17" ht="19.5" customHeight="1" x14ac:dyDescent="0.25">
      <c r="A574" s="9"/>
      <c r="B574" s="9"/>
      <c r="C574" s="14"/>
      <c r="D574" s="14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</row>
    <row r="575" spans="1:17" ht="19.5" customHeight="1" x14ac:dyDescent="0.25">
      <c r="A575" s="9"/>
      <c r="B575" s="9"/>
      <c r="C575" s="14"/>
      <c r="D575" s="14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 spans="1:17" ht="19.5" customHeight="1" x14ac:dyDescent="0.25">
      <c r="A576" s="9"/>
      <c r="B576" s="9"/>
      <c r="C576" s="14"/>
      <c r="D576" s="14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</row>
    <row r="577" spans="1:17" ht="19.5" customHeight="1" x14ac:dyDescent="0.25">
      <c r="A577" s="9"/>
      <c r="B577" s="9"/>
      <c r="C577" s="14"/>
      <c r="D577" s="14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 spans="1:17" ht="19.5" customHeight="1" x14ac:dyDescent="0.25">
      <c r="A578" s="9"/>
      <c r="B578" s="9"/>
      <c r="C578" s="14"/>
      <c r="D578" s="14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</row>
    <row r="579" spans="1:17" ht="19.5" customHeight="1" x14ac:dyDescent="0.25">
      <c r="A579" s="9"/>
      <c r="B579" s="9"/>
      <c r="C579" s="14"/>
      <c r="D579" s="14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 spans="1:17" ht="19.5" customHeight="1" x14ac:dyDescent="0.25">
      <c r="A580" s="9"/>
      <c r="B580" s="9"/>
      <c r="C580" s="14"/>
      <c r="D580" s="14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</row>
    <row r="581" spans="1:17" ht="19.5" customHeight="1" x14ac:dyDescent="0.25">
      <c r="A581" s="9"/>
      <c r="B581" s="9"/>
      <c r="C581" s="14"/>
      <c r="D581" s="14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 spans="1:17" ht="19.5" customHeight="1" x14ac:dyDescent="0.25">
      <c r="A582" s="9"/>
      <c r="B582" s="9"/>
      <c r="C582" s="14"/>
      <c r="D582" s="14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</row>
    <row r="583" spans="1:17" ht="19.5" customHeight="1" x14ac:dyDescent="0.25">
      <c r="A583" s="9"/>
      <c r="B583" s="9"/>
      <c r="C583" s="14"/>
      <c r="D583" s="14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 spans="1:17" ht="19.5" customHeight="1" x14ac:dyDescent="0.25">
      <c r="A584" s="9"/>
      <c r="B584" s="9"/>
      <c r="C584" s="14"/>
      <c r="D584" s="14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 spans="1:17" ht="19.5" customHeight="1" x14ac:dyDescent="0.25">
      <c r="A585" s="9"/>
      <c r="B585" s="9"/>
      <c r="C585" s="14"/>
      <c r="D585" s="14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</row>
    <row r="586" spans="1:17" ht="19.5" customHeight="1" x14ac:dyDescent="0.25">
      <c r="A586" s="9"/>
      <c r="B586" s="9"/>
      <c r="C586" s="14"/>
      <c r="D586" s="14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</row>
    <row r="587" spans="1:17" ht="19.5" customHeight="1" x14ac:dyDescent="0.25">
      <c r="A587" s="9"/>
      <c r="B587" s="9"/>
      <c r="C587" s="14"/>
      <c r="D587" s="14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 spans="1:17" ht="19.5" customHeight="1" x14ac:dyDescent="0.25">
      <c r="A588" s="9"/>
      <c r="B588" s="9"/>
      <c r="C588" s="14"/>
      <c r="D588" s="14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</row>
    <row r="589" spans="1:17" ht="19.5" customHeight="1" x14ac:dyDescent="0.25">
      <c r="A589" s="9"/>
      <c r="B589" s="9"/>
      <c r="C589" s="14"/>
      <c r="D589" s="14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</row>
    <row r="590" spans="1:17" ht="19.5" customHeight="1" x14ac:dyDescent="0.25">
      <c r="A590" s="9"/>
      <c r="B590" s="9"/>
      <c r="C590" s="14"/>
      <c r="D590" s="14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 spans="1:17" ht="19.5" customHeight="1" x14ac:dyDescent="0.25">
      <c r="A591" s="9"/>
      <c r="B591" s="9"/>
      <c r="C591" s="14"/>
      <c r="D591" s="14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</row>
    <row r="592" spans="1:17" ht="19.5" customHeight="1" x14ac:dyDescent="0.25">
      <c r="A592" s="9"/>
      <c r="B592" s="9"/>
      <c r="C592" s="14"/>
      <c r="D592" s="14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</row>
    <row r="593" spans="1:17" ht="19.5" customHeight="1" x14ac:dyDescent="0.25">
      <c r="A593" s="9"/>
      <c r="B593" s="9"/>
      <c r="C593" s="14"/>
      <c r="D593" s="14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spans="1:17" ht="19.5" customHeight="1" x14ac:dyDescent="0.25">
      <c r="A594" s="9"/>
      <c r="B594" s="9"/>
      <c r="C594" s="14"/>
      <c r="D594" s="14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spans="1:17" ht="19.5" customHeight="1" x14ac:dyDescent="0.25">
      <c r="A595" s="9"/>
      <c r="B595" s="9"/>
      <c r="C595" s="14"/>
      <c r="D595" s="14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 spans="1:17" ht="19.5" customHeight="1" x14ac:dyDescent="0.25">
      <c r="A596" s="9"/>
      <c r="B596" s="9"/>
      <c r="C596" s="14"/>
      <c r="D596" s="14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</row>
    <row r="597" spans="1:17" ht="19.5" customHeight="1" x14ac:dyDescent="0.25">
      <c r="A597" s="9"/>
      <c r="B597" s="9"/>
      <c r="C597" s="14"/>
      <c r="D597" s="14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 spans="1:17" ht="19.5" customHeight="1" x14ac:dyDescent="0.25">
      <c r="A598" s="9"/>
      <c r="B598" s="9"/>
      <c r="C598" s="14"/>
      <c r="D598" s="14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</row>
    <row r="599" spans="1:17" ht="19.5" customHeight="1" x14ac:dyDescent="0.25">
      <c r="A599" s="9"/>
      <c r="B599" s="9"/>
      <c r="C599" s="14"/>
      <c r="D599" s="14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 spans="1:17" ht="19.5" customHeight="1" x14ac:dyDescent="0.25">
      <c r="A600" s="9"/>
      <c r="B600" s="9"/>
      <c r="C600" s="14"/>
      <c r="D600" s="14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</row>
    <row r="601" spans="1:17" ht="19.5" customHeight="1" x14ac:dyDescent="0.25">
      <c r="A601" s="9"/>
      <c r="B601" s="9"/>
      <c r="C601" s="14"/>
      <c r="D601" s="14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 spans="1:17" ht="19.5" customHeight="1" x14ac:dyDescent="0.25">
      <c r="A602" s="9"/>
      <c r="B602" s="9"/>
      <c r="C602" s="14"/>
      <c r="D602" s="14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</row>
    <row r="603" spans="1:17" ht="19.5" customHeight="1" x14ac:dyDescent="0.25">
      <c r="A603" s="9"/>
      <c r="B603" s="9"/>
      <c r="C603" s="14"/>
      <c r="D603" s="14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 spans="1:17" ht="19.5" customHeight="1" x14ac:dyDescent="0.25">
      <c r="A604" s="9"/>
      <c r="B604" s="9"/>
      <c r="C604" s="14"/>
      <c r="D604" s="14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</row>
    <row r="605" spans="1:17" ht="19.5" customHeight="1" x14ac:dyDescent="0.25">
      <c r="A605" s="9"/>
      <c r="B605" s="9"/>
      <c r="C605" s="14"/>
      <c r="D605" s="14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</row>
    <row r="606" spans="1:17" ht="19.5" customHeight="1" x14ac:dyDescent="0.25">
      <c r="A606" s="9"/>
      <c r="B606" s="9"/>
      <c r="C606" s="14"/>
      <c r="D606" s="14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</row>
    <row r="607" spans="1:17" ht="19.5" customHeight="1" x14ac:dyDescent="0.25">
      <c r="A607" s="9"/>
      <c r="B607" s="9"/>
      <c r="C607" s="14"/>
      <c r="D607" s="14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spans="1:17" ht="19.5" customHeight="1" x14ac:dyDescent="0.25">
      <c r="A608" s="9"/>
      <c r="B608" s="9"/>
      <c r="C608" s="14"/>
      <c r="D608" s="14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</row>
    <row r="609" spans="1:17" ht="19.5" customHeight="1" x14ac:dyDescent="0.25">
      <c r="A609" s="9"/>
      <c r="B609" s="9"/>
      <c r="C609" s="14"/>
      <c r="D609" s="14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 spans="1:17" ht="19.5" customHeight="1" x14ac:dyDescent="0.25">
      <c r="A610" s="9"/>
      <c r="B610" s="9"/>
      <c r="C610" s="14"/>
      <c r="D610" s="14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</row>
    <row r="611" spans="1:17" ht="19.5" customHeight="1" x14ac:dyDescent="0.25">
      <c r="A611" s="9"/>
      <c r="B611" s="9"/>
      <c r="C611" s="14"/>
      <c r="D611" s="14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</row>
    <row r="612" spans="1:17" ht="19.5" customHeight="1" x14ac:dyDescent="0.25">
      <c r="A612" s="9"/>
      <c r="B612" s="9"/>
      <c r="C612" s="14"/>
      <c r="D612" s="14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 spans="1:17" ht="19.5" customHeight="1" x14ac:dyDescent="0.25">
      <c r="A613" s="9"/>
      <c r="B613" s="9"/>
      <c r="C613" s="14"/>
      <c r="D613" s="14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</row>
    <row r="614" spans="1:17" ht="19.5" customHeight="1" x14ac:dyDescent="0.25">
      <c r="A614" s="9"/>
      <c r="B614" s="9"/>
      <c r="C614" s="14"/>
      <c r="D614" s="14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</row>
    <row r="615" spans="1:17" ht="19.5" customHeight="1" x14ac:dyDescent="0.25">
      <c r="A615" s="9"/>
      <c r="B615" s="9"/>
      <c r="C615" s="14"/>
      <c r="D615" s="14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 spans="1:17" ht="19.5" customHeight="1" x14ac:dyDescent="0.25">
      <c r="A616" s="9"/>
      <c r="B616" s="9"/>
      <c r="C616" s="14"/>
      <c r="D616" s="14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 spans="1:17" ht="19.5" customHeight="1" x14ac:dyDescent="0.25">
      <c r="A617" s="9"/>
      <c r="B617" s="9"/>
      <c r="C617" s="14"/>
      <c r="D617" s="14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</row>
    <row r="618" spans="1:17" ht="19.5" customHeight="1" x14ac:dyDescent="0.25">
      <c r="A618" s="9"/>
      <c r="B618" s="9"/>
      <c r="C618" s="14"/>
      <c r="D618" s="14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</row>
    <row r="619" spans="1:17" ht="19.5" customHeight="1" x14ac:dyDescent="0.25">
      <c r="A619" s="9"/>
      <c r="B619" s="9"/>
      <c r="C619" s="14"/>
      <c r="D619" s="14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 spans="1:17" ht="19.5" customHeight="1" x14ac:dyDescent="0.25">
      <c r="A620" s="9"/>
      <c r="B620" s="9"/>
      <c r="C620" s="14"/>
      <c r="D620" s="14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</row>
    <row r="621" spans="1:17" ht="19.5" customHeight="1" x14ac:dyDescent="0.25">
      <c r="A621" s="9"/>
      <c r="B621" s="9"/>
      <c r="C621" s="14"/>
      <c r="D621" s="14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</row>
    <row r="622" spans="1:17" ht="19.5" customHeight="1" x14ac:dyDescent="0.25">
      <c r="A622" s="9"/>
      <c r="B622" s="9"/>
      <c r="C622" s="14"/>
      <c r="D622" s="14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</row>
    <row r="623" spans="1:17" ht="19.5" customHeight="1" x14ac:dyDescent="0.25">
      <c r="A623" s="9"/>
      <c r="B623" s="9"/>
      <c r="C623" s="14"/>
      <c r="D623" s="14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</row>
    <row r="624" spans="1:17" ht="19.5" customHeight="1" x14ac:dyDescent="0.25">
      <c r="A624" s="9"/>
      <c r="B624" s="9"/>
      <c r="C624" s="14"/>
      <c r="D624" s="14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</row>
    <row r="625" spans="1:17" ht="19.5" customHeight="1" x14ac:dyDescent="0.25">
      <c r="A625" s="9"/>
      <c r="B625" s="9"/>
      <c r="C625" s="14"/>
      <c r="D625" s="14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</row>
    <row r="626" spans="1:17" ht="19.5" customHeight="1" x14ac:dyDescent="0.25">
      <c r="A626" s="9"/>
      <c r="B626" s="9"/>
      <c r="C626" s="14"/>
      <c r="D626" s="14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</row>
    <row r="627" spans="1:17" ht="19.5" customHeight="1" x14ac:dyDescent="0.25">
      <c r="A627" s="9"/>
      <c r="B627" s="9"/>
      <c r="C627" s="14"/>
      <c r="D627" s="14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</row>
    <row r="628" spans="1:17" ht="19.5" customHeight="1" x14ac:dyDescent="0.25">
      <c r="A628" s="9"/>
      <c r="B628" s="9"/>
      <c r="C628" s="14"/>
      <c r="D628" s="14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</row>
    <row r="629" spans="1:17" ht="19.5" customHeight="1" x14ac:dyDescent="0.25">
      <c r="A629" s="9"/>
      <c r="B629" s="9"/>
      <c r="C629" s="14"/>
      <c r="D629" s="14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</row>
    <row r="630" spans="1:17" ht="19.5" customHeight="1" x14ac:dyDescent="0.25">
      <c r="A630" s="9"/>
      <c r="B630" s="9"/>
      <c r="C630" s="14"/>
      <c r="D630" s="14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</row>
    <row r="631" spans="1:17" ht="19.5" customHeight="1" x14ac:dyDescent="0.25">
      <c r="A631" s="9"/>
      <c r="B631" s="9"/>
      <c r="C631" s="14"/>
      <c r="D631" s="14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</row>
    <row r="632" spans="1:17" ht="19.5" customHeight="1" x14ac:dyDescent="0.25">
      <c r="A632" s="9"/>
      <c r="B632" s="9"/>
      <c r="C632" s="14"/>
      <c r="D632" s="14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</row>
    <row r="633" spans="1:17" ht="19.5" customHeight="1" x14ac:dyDescent="0.25">
      <c r="A633" s="9"/>
      <c r="B633" s="9"/>
      <c r="C633" s="14"/>
      <c r="D633" s="14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</row>
    <row r="634" spans="1:17" ht="19.5" customHeight="1" x14ac:dyDescent="0.25">
      <c r="A634" s="9"/>
      <c r="B634" s="9"/>
      <c r="C634" s="14"/>
      <c r="D634" s="14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</row>
    <row r="635" spans="1:17" ht="19.5" customHeight="1" x14ac:dyDescent="0.25">
      <c r="A635" s="9"/>
      <c r="B635" s="9"/>
      <c r="C635" s="14"/>
      <c r="D635" s="14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</row>
    <row r="636" spans="1:17" ht="19.5" customHeight="1" x14ac:dyDescent="0.25">
      <c r="A636" s="9"/>
      <c r="B636" s="9"/>
      <c r="C636" s="14"/>
      <c r="D636" s="14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</row>
    <row r="637" spans="1:17" ht="19.5" customHeight="1" x14ac:dyDescent="0.25">
      <c r="A637" s="9"/>
      <c r="B637" s="9"/>
      <c r="C637" s="14"/>
      <c r="D637" s="14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</row>
    <row r="638" spans="1:17" ht="19.5" customHeight="1" x14ac:dyDescent="0.25">
      <c r="A638" s="9"/>
      <c r="B638" s="9"/>
      <c r="C638" s="14"/>
      <c r="D638" s="14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</row>
    <row r="639" spans="1:17" ht="19.5" customHeight="1" x14ac:dyDescent="0.25">
      <c r="A639" s="9"/>
      <c r="B639" s="9"/>
      <c r="C639" s="14"/>
      <c r="D639" s="14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</row>
    <row r="640" spans="1:17" ht="19.5" customHeight="1" x14ac:dyDescent="0.25">
      <c r="A640" s="9"/>
      <c r="B640" s="9"/>
      <c r="C640" s="14"/>
      <c r="D640" s="14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</row>
    <row r="641" spans="1:17" ht="19.5" customHeight="1" x14ac:dyDescent="0.25">
      <c r="A641" s="9"/>
      <c r="B641" s="9"/>
      <c r="C641" s="14"/>
      <c r="D641" s="14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</row>
    <row r="642" spans="1:17" ht="19.5" customHeight="1" x14ac:dyDescent="0.25">
      <c r="A642" s="9"/>
      <c r="B642" s="9"/>
      <c r="C642" s="14"/>
      <c r="D642" s="14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</row>
    <row r="643" spans="1:17" ht="19.5" customHeight="1" x14ac:dyDescent="0.25">
      <c r="A643" s="9"/>
      <c r="B643" s="9"/>
      <c r="C643" s="14"/>
      <c r="D643" s="14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 spans="1:17" ht="19.5" customHeight="1" x14ac:dyDescent="0.25">
      <c r="A644" s="9"/>
      <c r="B644" s="9"/>
      <c r="C644" s="14"/>
      <c r="D644" s="14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</row>
    <row r="645" spans="1:17" ht="19.5" customHeight="1" x14ac:dyDescent="0.25">
      <c r="A645" s="9"/>
      <c r="B645" s="9"/>
      <c r="C645" s="14"/>
      <c r="D645" s="14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</row>
    <row r="646" spans="1:17" ht="19.5" customHeight="1" x14ac:dyDescent="0.25">
      <c r="A646" s="9"/>
      <c r="B646" s="9"/>
      <c r="C646" s="14"/>
      <c r="D646" s="14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</row>
    <row r="647" spans="1:17" ht="19.5" customHeight="1" x14ac:dyDescent="0.25">
      <c r="A647" s="9"/>
      <c r="B647" s="9"/>
      <c r="C647" s="14"/>
      <c r="D647" s="14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</row>
    <row r="648" spans="1:17" ht="19.5" customHeight="1" x14ac:dyDescent="0.25">
      <c r="A648" s="9"/>
      <c r="B648" s="9"/>
      <c r="C648" s="14"/>
      <c r="D648" s="14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</row>
    <row r="649" spans="1:17" ht="19.5" customHeight="1" x14ac:dyDescent="0.25">
      <c r="A649" s="9"/>
      <c r="B649" s="9"/>
      <c r="C649" s="14"/>
      <c r="D649" s="14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</row>
    <row r="650" spans="1:17" ht="19.5" customHeight="1" x14ac:dyDescent="0.25">
      <c r="A650" s="9"/>
      <c r="B650" s="9"/>
      <c r="C650" s="14"/>
      <c r="D650" s="14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</row>
    <row r="651" spans="1:17" ht="19.5" customHeight="1" x14ac:dyDescent="0.25">
      <c r="A651" s="9"/>
      <c r="B651" s="9"/>
      <c r="C651" s="14"/>
      <c r="D651" s="14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</row>
    <row r="652" spans="1:17" ht="19.5" customHeight="1" x14ac:dyDescent="0.25">
      <c r="A652" s="9"/>
      <c r="B652" s="9"/>
      <c r="C652" s="14"/>
      <c r="D652" s="14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</row>
    <row r="653" spans="1:17" ht="19.5" customHeight="1" x14ac:dyDescent="0.25">
      <c r="A653" s="9"/>
      <c r="B653" s="9"/>
      <c r="C653" s="14"/>
      <c r="D653" s="14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</row>
    <row r="654" spans="1:17" ht="19.5" customHeight="1" x14ac:dyDescent="0.25">
      <c r="A654" s="9"/>
      <c r="B654" s="9"/>
      <c r="C654" s="14"/>
      <c r="D654" s="14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</row>
    <row r="655" spans="1:17" ht="19.5" customHeight="1" x14ac:dyDescent="0.25">
      <c r="A655" s="9"/>
      <c r="B655" s="9"/>
      <c r="C655" s="14"/>
      <c r="D655" s="14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</row>
    <row r="656" spans="1:17" ht="19.5" customHeight="1" x14ac:dyDescent="0.25">
      <c r="A656" s="9"/>
      <c r="B656" s="9"/>
      <c r="C656" s="14"/>
      <c r="D656" s="14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</row>
    <row r="657" spans="1:17" ht="19.5" customHeight="1" x14ac:dyDescent="0.25">
      <c r="A657" s="9"/>
      <c r="B657" s="9"/>
      <c r="C657" s="14"/>
      <c r="D657" s="14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</row>
    <row r="658" spans="1:17" ht="19.5" customHeight="1" x14ac:dyDescent="0.25">
      <c r="A658" s="9"/>
      <c r="B658" s="9"/>
      <c r="C658" s="14"/>
      <c r="D658" s="14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</row>
    <row r="659" spans="1:17" ht="19.5" customHeight="1" x14ac:dyDescent="0.25">
      <c r="A659" s="9"/>
      <c r="B659" s="9"/>
      <c r="C659" s="14"/>
      <c r="D659" s="14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</row>
    <row r="660" spans="1:17" ht="19.5" customHeight="1" x14ac:dyDescent="0.25">
      <c r="A660" s="9"/>
      <c r="B660" s="9"/>
      <c r="C660" s="14"/>
      <c r="D660" s="14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</row>
    <row r="661" spans="1:17" ht="19.5" customHeight="1" x14ac:dyDescent="0.25">
      <c r="A661" s="9"/>
      <c r="B661" s="9"/>
      <c r="C661" s="14"/>
      <c r="D661" s="14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</row>
    <row r="662" spans="1:17" ht="19.5" customHeight="1" x14ac:dyDescent="0.25">
      <c r="A662" s="9"/>
      <c r="B662" s="9"/>
      <c r="C662" s="14"/>
      <c r="D662" s="14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</row>
    <row r="663" spans="1:17" ht="19.5" customHeight="1" x14ac:dyDescent="0.25">
      <c r="A663" s="9"/>
      <c r="B663" s="9"/>
      <c r="C663" s="14"/>
      <c r="D663" s="14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</row>
    <row r="664" spans="1:17" ht="19.5" customHeight="1" x14ac:dyDescent="0.25">
      <c r="A664" s="9"/>
      <c r="B664" s="9"/>
      <c r="C664" s="14"/>
      <c r="D664" s="14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</row>
    <row r="665" spans="1:17" ht="19.5" customHeight="1" x14ac:dyDescent="0.25">
      <c r="A665" s="9"/>
      <c r="B665" s="9"/>
      <c r="C665" s="14"/>
      <c r="D665" s="14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</row>
    <row r="666" spans="1:17" ht="19.5" customHeight="1" x14ac:dyDescent="0.25">
      <c r="A666" s="9"/>
      <c r="B666" s="9"/>
      <c r="C666" s="14"/>
      <c r="D666" s="14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</row>
    <row r="667" spans="1:17" ht="19.5" customHeight="1" x14ac:dyDescent="0.25">
      <c r="A667" s="9"/>
      <c r="B667" s="9"/>
      <c r="C667" s="14"/>
      <c r="D667" s="14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 spans="1:17" ht="19.5" customHeight="1" x14ac:dyDescent="0.25">
      <c r="A668" s="9"/>
      <c r="B668" s="9"/>
      <c r="C668" s="14"/>
      <c r="D668" s="14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</row>
    <row r="669" spans="1:17" ht="19.5" customHeight="1" x14ac:dyDescent="0.25">
      <c r="A669" s="9"/>
      <c r="B669" s="9"/>
      <c r="C669" s="14"/>
      <c r="D669" s="14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</row>
    <row r="670" spans="1:17" ht="19.5" customHeight="1" x14ac:dyDescent="0.25">
      <c r="A670" s="9"/>
      <c r="B670" s="9"/>
      <c r="C670" s="14"/>
      <c r="D670" s="14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</row>
    <row r="671" spans="1:17" ht="19.5" customHeight="1" x14ac:dyDescent="0.25">
      <c r="A671" s="9"/>
      <c r="B671" s="9"/>
      <c r="C671" s="14"/>
      <c r="D671" s="14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</row>
    <row r="672" spans="1:17" ht="19.5" customHeight="1" x14ac:dyDescent="0.25">
      <c r="A672" s="9"/>
      <c r="B672" s="9"/>
      <c r="C672" s="14"/>
      <c r="D672" s="14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</row>
    <row r="673" spans="1:17" ht="19.5" customHeight="1" x14ac:dyDescent="0.25">
      <c r="A673" s="9"/>
      <c r="B673" s="9"/>
      <c r="C673" s="14"/>
      <c r="D673" s="14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</row>
    <row r="674" spans="1:17" ht="19.5" customHeight="1" x14ac:dyDescent="0.25">
      <c r="A674" s="9"/>
      <c r="B674" s="9"/>
      <c r="C674" s="14"/>
      <c r="D674" s="14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</row>
    <row r="675" spans="1:17" ht="19.5" customHeight="1" x14ac:dyDescent="0.25">
      <c r="A675" s="9"/>
      <c r="B675" s="9"/>
      <c r="C675" s="14"/>
      <c r="D675" s="14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</row>
    <row r="676" spans="1:17" ht="19.5" customHeight="1" x14ac:dyDescent="0.25">
      <c r="A676" s="9"/>
      <c r="B676" s="9"/>
      <c r="C676" s="14"/>
      <c r="D676" s="14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</row>
    <row r="677" spans="1:17" ht="19.5" customHeight="1" x14ac:dyDescent="0.25">
      <c r="A677" s="9"/>
      <c r="B677" s="9"/>
      <c r="C677" s="14"/>
      <c r="D677" s="14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</row>
    <row r="678" spans="1:17" ht="19.5" customHeight="1" x14ac:dyDescent="0.25">
      <c r="A678" s="9"/>
      <c r="B678" s="9"/>
      <c r="C678" s="14"/>
      <c r="D678" s="14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</row>
    <row r="679" spans="1:17" ht="19.5" customHeight="1" x14ac:dyDescent="0.25">
      <c r="A679" s="9"/>
      <c r="B679" s="9"/>
      <c r="C679" s="14"/>
      <c r="D679" s="14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</row>
    <row r="680" spans="1:17" ht="19.5" customHeight="1" x14ac:dyDescent="0.25">
      <c r="A680" s="9"/>
      <c r="B680" s="9"/>
      <c r="C680" s="14"/>
      <c r="D680" s="14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</row>
    <row r="681" spans="1:17" ht="19.5" customHeight="1" x14ac:dyDescent="0.25">
      <c r="A681" s="9"/>
      <c r="B681" s="9"/>
      <c r="C681" s="14"/>
      <c r="D681" s="14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</row>
    <row r="682" spans="1:17" ht="19.5" customHeight="1" x14ac:dyDescent="0.25">
      <c r="A682" s="9"/>
      <c r="B682" s="9"/>
      <c r="C682" s="14"/>
      <c r="D682" s="14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</row>
    <row r="683" spans="1:17" ht="19.5" customHeight="1" x14ac:dyDescent="0.25">
      <c r="A683" s="9"/>
      <c r="B683" s="9"/>
      <c r="C683" s="14"/>
      <c r="D683" s="14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</row>
    <row r="684" spans="1:17" ht="19.5" customHeight="1" x14ac:dyDescent="0.25">
      <c r="A684" s="9"/>
      <c r="B684" s="9"/>
      <c r="C684" s="14"/>
      <c r="D684" s="14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</row>
    <row r="685" spans="1:17" ht="19.5" customHeight="1" x14ac:dyDescent="0.25">
      <c r="A685" s="9"/>
      <c r="B685" s="9"/>
      <c r="C685" s="14"/>
      <c r="D685" s="14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</row>
    <row r="686" spans="1:17" ht="19.5" customHeight="1" x14ac:dyDescent="0.25">
      <c r="A686" s="9"/>
      <c r="B686" s="9"/>
      <c r="C686" s="14"/>
      <c r="D686" s="14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</row>
    <row r="687" spans="1:17" ht="19.5" customHeight="1" x14ac:dyDescent="0.25">
      <c r="A687" s="9"/>
      <c r="B687" s="9"/>
      <c r="C687" s="14"/>
      <c r="D687" s="14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</row>
    <row r="688" spans="1:17" ht="19.5" customHeight="1" x14ac:dyDescent="0.25">
      <c r="A688" s="9"/>
      <c r="B688" s="9"/>
      <c r="C688" s="14"/>
      <c r="D688" s="14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</row>
    <row r="689" spans="1:17" ht="19.5" customHeight="1" x14ac:dyDescent="0.25">
      <c r="A689" s="9"/>
      <c r="B689" s="9"/>
      <c r="C689" s="14"/>
      <c r="D689" s="14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</row>
    <row r="690" spans="1:17" ht="19.5" customHeight="1" x14ac:dyDescent="0.25">
      <c r="A690" s="9"/>
      <c r="B690" s="9"/>
      <c r="C690" s="14"/>
      <c r="D690" s="14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</row>
    <row r="691" spans="1:17" ht="19.5" customHeight="1" x14ac:dyDescent="0.25">
      <c r="A691" s="9"/>
      <c r="B691" s="9"/>
      <c r="C691" s="14"/>
      <c r="D691" s="14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</row>
    <row r="692" spans="1:17" ht="19.5" customHeight="1" x14ac:dyDescent="0.25">
      <c r="A692" s="9"/>
      <c r="B692" s="9"/>
      <c r="C692" s="14"/>
      <c r="D692" s="14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</row>
    <row r="693" spans="1:17" ht="19.5" customHeight="1" x14ac:dyDescent="0.25">
      <c r="A693" s="9"/>
      <c r="B693" s="9"/>
      <c r="C693" s="14"/>
      <c r="D693" s="14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</row>
    <row r="694" spans="1:17" ht="19.5" customHeight="1" x14ac:dyDescent="0.25">
      <c r="A694" s="9"/>
      <c r="B694" s="9"/>
      <c r="C694" s="14"/>
      <c r="D694" s="14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</row>
    <row r="695" spans="1:17" ht="19.5" customHeight="1" x14ac:dyDescent="0.25">
      <c r="A695" s="9"/>
      <c r="B695" s="9"/>
      <c r="C695" s="14"/>
      <c r="D695" s="14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</row>
    <row r="696" spans="1:17" ht="19.5" customHeight="1" x14ac:dyDescent="0.25">
      <c r="A696" s="9"/>
      <c r="B696" s="9"/>
      <c r="C696" s="14"/>
      <c r="D696" s="14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</row>
    <row r="697" spans="1:17" ht="19.5" customHeight="1" x14ac:dyDescent="0.25">
      <c r="A697" s="9"/>
      <c r="B697" s="9"/>
      <c r="C697" s="14"/>
      <c r="D697" s="14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</row>
    <row r="698" spans="1:17" ht="19.5" customHeight="1" x14ac:dyDescent="0.25">
      <c r="A698" s="9"/>
      <c r="B698" s="9"/>
      <c r="C698" s="14"/>
      <c r="D698" s="14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</row>
    <row r="699" spans="1:17" ht="19.5" customHeight="1" x14ac:dyDescent="0.25">
      <c r="A699" s="9"/>
      <c r="B699" s="9"/>
      <c r="C699" s="14"/>
      <c r="D699" s="14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</row>
    <row r="700" spans="1:17" ht="19.5" customHeight="1" x14ac:dyDescent="0.25">
      <c r="A700" s="9"/>
      <c r="B700" s="9"/>
      <c r="C700" s="14"/>
      <c r="D700" s="14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</row>
    <row r="701" spans="1:17" ht="19.5" customHeight="1" x14ac:dyDescent="0.25">
      <c r="A701" s="9"/>
      <c r="B701" s="9"/>
      <c r="C701" s="14"/>
      <c r="D701" s="14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</row>
    <row r="702" spans="1:17" ht="19.5" customHeight="1" x14ac:dyDescent="0.25">
      <c r="A702" s="9"/>
      <c r="B702" s="9"/>
      <c r="C702" s="14"/>
      <c r="D702" s="14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</row>
    <row r="703" spans="1:17" ht="19.5" customHeight="1" x14ac:dyDescent="0.25">
      <c r="A703" s="9"/>
      <c r="B703" s="9"/>
      <c r="C703" s="14"/>
      <c r="D703" s="14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 spans="1:17" ht="19.5" customHeight="1" x14ac:dyDescent="0.25">
      <c r="A704" s="9"/>
      <c r="B704" s="9"/>
      <c r="C704" s="14"/>
      <c r="D704" s="14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</row>
    <row r="705" spans="1:17" ht="19.5" customHeight="1" x14ac:dyDescent="0.25">
      <c r="A705" s="9"/>
      <c r="B705" s="9"/>
      <c r="C705" s="14"/>
      <c r="D705" s="14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</row>
    <row r="706" spans="1:17" ht="19.5" customHeight="1" x14ac:dyDescent="0.25">
      <c r="A706" s="9"/>
      <c r="B706" s="9"/>
      <c r="C706" s="14"/>
      <c r="D706" s="14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</row>
    <row r="707" spans="1:17" ht="19.5" customHeight="1" x14ac:dyDescent="0.25">
      <c r="A707" s="9"/>
      <c r="B707" s="9"/>
      <c r="C707" s="14"/>
      <c r="D707" s="14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</row>
    <row r="708" spans="1:17" ht="19.5" customHeight="1" x14ac:dyDescent="0.25">
      <c r="A708" s="9"/>
      <c r="B708" s="9"/>
      <c r="C708" s="14"/>
      <c r="D708" s="14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</row>
    <row r="709" spans="1:17" ht="19.5" customHeight="1" x14ac:dyDescent="0.25">
      <c r="A709" s="9"/>
      <c r="B709" s="9"/>
      <c r="C709" s="14"/>
      <c r="D709" s="14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</row>
    <row r="710" spans="1:17" ht="19.5" customHeight="1" x14ac:dyDescent="0.25">
      <c r="A710" s="9"/>
      <c r="B710" s="9"/>
      <c r="C710" s="14"/>
      <c r="D710" s="14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</row>
    <row r="711" spans="1:17" ht="19.5" customHeight="1" x14ac:dyDescent="0.25">
      <c r="A711" s="9"/>
      <c r="B711" s="9"/>
      <c r="C711" s="14"/>
      <c r="D711" s="14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</row>
    <row r="712" spans="1:17" ht="19.5" customHeight="1" x14ac:dyDescent="0.25">
      <c r="A712" s="9"/>
      <c r="B712" s="9"/>
      <c r="C712" s="14"/>
      <c r="D712" s="14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</row>
    <row r="713" spans="1:17" ht="19.5" customHeight="1" x14ac:dyDescent="0.25">
      <c r="A713" s="9"/>
      <c r="B713" s="9"/>
      <c r="C713" s="14"/>
      <c r="D713" s="14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</row>
    <row r="714" spans="1:17" ht="19.5" customHeight="1" x14ac:dyDescent="0.25">
      <c r="A714" s="9"/>
      <c r="B714" s="9"/>
      <c r="C714" s="14"/>
      <c r="D714" s="14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</row>
    <row r="715" spans="1:17" ht="19.5" customHeight="1" x14ac:dyDescent="0.25">
      <c r="A715" s="9"/>
      <c r="B715" s="9"/>
      <c r="C715" s="14"/>
      <c r="D715" s="14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</row>
    <row r="716" spans="1:17" ht="19.5" customHeight="1" x14ac:dyDescent="0.25">
      <c r="A716" s="9"/>
      <c r="B716" s="9"/>
      <c r="C716" s="14"/>
      <c r="D716" s="14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</row>
    <row r="717" spans="1:17" ht="19.5" customHeight="1" x14ac:dyDescent="0.25">
      <c r="A717" s="9"/>
      <c r="B717" s="9"/>
      <c r="C717" s="14"/>
      <c r="D717" s="14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</row>
    <row r="718" spans="1:17" ht="19.5" customHeight="1" x14ac:dyDescent="0.25">
      <c r="A718" s="9"/>
      <c r="B718" s="9"/>
      <c r="C718" s="14"/>
      <c r="D718" s="14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</row>
    <row r="719" spans="1:17" ht="19.5" customHeight="1" x14ac:dyDescent="0.25">
      <c r="A719" s="9"/>
      <c r="B719" s="9"/>
      <c r="C719" s="14"/>
      <c r="D719" s="14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</row>
    <row r="720" spans="1:17" ht="19.5" customHeight="1" x14ac:dyDescent="0.25">
      <c r="A720" s="9"/>
      <c r="B720" s="9"/>
      <c r="C720" s="14"/>
      <c r="D720" s="14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</row>
    <row r="721" spans="1:17" ht="19.5" customHeight="1" x14ac:dyDescent="0.25">
      <c r="A721" s="9"/>
      <c r="B721" s="9"/>
      <c r="C721" s="14"/>
      <c r="D721" s="14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</row>
    <row r="722" spans="1:17" ht="19.5" customHeight="1" x14ac:dyDescent="0.25">
      <c r="A722" s="9"/>
      <c r="B722" s="9"/>
      <c r="C722" s="14"/>
      <c r="D722" s="14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</row>
    <row r="723" spans="1:17" ht="19.5" customHeight="1" x14ac:dyDescent="0.25">
      <c r="A723" s="9"/>
      <c r="B723" s="9"/>
      <c r="C723" s="14"/>
      <c r="D723" s="14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</row>
    <row r="724" spans="1:17" ht="19.5" customHeight="1" x14ac:dyDescent="0.25">
      <c r="A724" s="9"/>
      <c r="B724" s="9"/>
      <c r="C724" s="14"/>
      <c r="D724" s="14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</row>
    <row r="725" spans="1:17" ht="19.5" customHeight="1" x14ac:dyDescent="0.25">
      <c r="A725" s="9"/>
      <c r="B725" s="9"/>
      <c r="C725" s="14"/>
      <c r="D725" s="14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</row>
    <row r="726" spans="1:17" ht="19.5" customHeight="1" x14ac:dyDescent="0.25">
      <c r="A726" s="9"/>
      <c r="B726" s="9"/>
      <c r="C726" s="14"/>
      <c r="D726" s="14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</row>
    <row r="727" spans="1:17" ht="19.5" customHeight="1" x14ac:dyDescent="0.25">
      <c r="A727" s="9"/>
      <c r="B727" s="9"/>
      <c r="C727" s="14"/>
      <c r="D727" s="14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</row>
    <row r="728" spans="1:17" ht="19.5" customHeight="1" x14ac:dyDescent="0.25">
      <c r="A728" s="9"/>
      <c r="B728" s="9"/>
      <c r="C728" s="14"/>
      <c r="D728" s="14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</row>
    <row r="729" spans="1:17" ht="19.5" customHeight="1" x14ac:dyDescent="0.25">
      <c r="A729" s="9"/>
      <c r="B729" s="9"/>
      <c r="C729" s="14"/>
      <c r="D729" s="14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</row>
    <row r="730" spans="1:17" ht="19.5" customHeight="1" x14ac:dyDescent="0.25">
      <c r="A730" s="9"/>
      <c r="B730" s="9"/>
      <c r="C730" s="14"/>
      <c r="D730" s="14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</row>
    <row r="731" spans="1:17" ht="19.5" customHeight="1" x14ac:dyDescent="0.25">
      <c r="A731" s="9"/>
      <c r="B731" s="9"/>
      <c r="C731" s="14"/>
      <c r="D731" s="14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</row>
    <row r="732" spans="1:17" ht="19.5" customHeight="1" x14ac:dyDescent="0.25">
      <c r="A732" s="9"/>
      <c r="B732" s="9"/>
      <c r="C732" s="14"/>
      <c r="D732" s="14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</row>
    <row r="733" spans="1:17" ht="19.5" customHeight="1" x14ac:dyDescent="0.25">
      <c r="A733" s="9"/>
      <c r="B733" s="9"/>
      <c r="C733" s="14"/>
      <c r="D733" s="14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</row>
    <row r="734" spans="1:17" ht="19.5" customHeight="1" x14ac:dyDescent="0.25">
      <c r="A734" s="9"/>
      <c r="B734" s="9"/>
      <c r="C734" s="14"/>
      <c r="D734" s="14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</row>
    <row r="735" spans="1:17" ht="19.5" customHeight="1" x14ac:dyDescent="0.25">
      <c r="A735" s="9"/>
      <c r="B735" s="9"/>
      <c r="C735" s="14"/>
      <c r="D735" s="14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</row>
    <row r="736" spans="1:17" ht="19.5" customHeight="1" x14ac:dyDescent="0.25">
      <c r="A736" s="9"/>
      <c r="B736" s="9"/>
      <c r="C736" s="14"/>
      <c r="D736" s="14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</row>
    <row r="737" spans="1:17" ht="19.5" customHeight="1" x14ac:dyDescent="0.25">
      <c r="A737" s="9"/>
      <c r="B737" s="9"/>
      <c r="C737" s="14"/>
      <c r="D737" s="14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</row>
    <row r="738" spans="1:17" ht="19.5" customHeight="1" x14ac:dyDescent="0.25">
      <c r="A738" s="9"/>
      <c r="B738" s="9"/>
      <c r="C738" s="14"/>
      <c r="D738" s="14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</row>
    <row r="739" spans="1:17" ht="19.5" customHeight="1" x14ac:dyDescent="0.25">
      <c r="A739" s="9"/>
      <c r="B739" s="9"/>
      <c r="C739" s="14"/>
      <c r="D739" s="14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</row>
    <row r="740" spans="1:17" ht="19.5" customHeight="1" x14ac:dyDescent="0.25">
      <c r="A740" s="9"/>
      <c r="B740" s="9"/>
      <c r="C740" s="14"/>
      <c r="D740" s="14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</row>
    <row r="741" spans="1:17" ht="19.5" customHeight="1" x14ac:dyDescent="0.25">
      <c r="A741" s="9"/>
      <c r="B741" s="9"/>
      <c r="C741" s="14"/>
      <c r="D741" s="14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</row>
    <row r="742" spans="1:17" ht="19.5" customHeight="1" x14ac:dyDescent="0.25">
      <c r="A742" s="9"/>
      <c r="B742" s="9"/>
      <c r="C742" s="14"/>
      <c r="D742" s="14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</row>
    <row r="743" spans="1:17" ht="19.5" customHeight="1" x14ac:dyDescent="0.25">
      <c r="A743" s="9"/>
      <c r="B743" s="9"/>
      <c r="C743" s="14"/>
      <c r="D743" s="14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</row>
    <row r="744" spans="1:17" ht="19.5" customHeight="1" x14ac:dyDescent="0.25">
      <c r="A744" s="9"/>
      <c r="B744" s="9"/>
      <c r="C744" s="14"/>
      <c r="D744" s="14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</row>
    <row r="745" spans="1:17" ht="19.5" customHeight="1" x14ac:dyDescent="0.25">
      <c r="A745" s="9"/>
      <c r="B745" s="9"/>
      <c r="C745" s="14"/>
      <c r="D745" s="14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</row>
    <row r="746" spans="1:17" ht="19.5" customHeight="1" x14ac:dyDescent="0.25">
      <c r="A746" s="9"/>
      <c r="B746" s="9"/>
      <c r="C746" s="14"/>
      <c r="D746" s="14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</row>
    <row r="747" spans="1:17" ht="19.5" customHeight="1" x14ac:dyDescent="0.25">
      <c r="A747" s="9"/>
      <c r="B747" s="9"/>
      <c r="C747" s="14"/>
      <c r="D747" s="14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</row>
    <row r="748" spans="1:17" ht="19.5" customHeight="1" x14ac:dyDescent="0.25">
      <c r="A748" s="9"/>
      <c r="B748" s="9"/>
      <c r="C748" s="14"/>
      <c r="D748" s="14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</row>
    <row r="749" spans="1:17" ht="19.5" customHeight="1" x14ac:dyDescent="0.25">
      <c r="A749" s="9"/>
      <c r="B749" s="9"/>
      <c r="C749" s="14"/>
      <c r="D749" s="14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</row>
    <row r="750" spans="1:17" ht="19.5" customHeight="1" x14ac:dyDescent="0.25">
      <c r="A750" s="9"/>
      <c r="B750" s="9"/>
      <c r="C750" s="14"/>
      <c r="D750" s="14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</row>
    <row r="751" spans="1:17" ht="19.5" customHeight="1" x14ac:dyDescent="0.25">
      <c r="A751" s="9"/>
      <c r="B751" s="9"/>
      <c r="C751" s="14"/>
      <c r="D751" s="14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</row>
    <row r="752" spans="1:17" ht="19.5" customHeight="1" x14ac:dyDescent="0.25">
      <c r="A752" s="9"/>
      <c r="B752" s="9"/>
      <c r="C752" s="14"/>
      <c r="D752" s="14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</row>
    <row r="753" spans="1:17" ht="19.5" customHeight="1" x14ac:dyDescent="0.25">
      <c r="A753" s="9"/>
      <c r="B753" s="9"/>
      <c r="C753" s="14"/>
      <c r="D753" s="14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</row>
    <row r="754" spans="1:17" ht="19.5" customHeight="1" x14ac:dyDescent="0.25">
      <c r="A754" s="9"/>
      <c r="B754" s="9"/>
      <c r="C754" s="14"/>
      <c r="D754" s="14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</row>
    <row r="755" spans="1:17" ht="19.5" customHeight="1" x14ac:dyDescent="0.25">
      <c r="A755" s="9"/>
      <c r="B755" s="9"/>
      <c r="C755" s="14"/>
      <c r="D755" s="14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</row>
    <row r="756" spans="1:17" ht="19.5" customHeight="1" x14ac:dyDescent="0.25">
      <c r="A756" s="9"/>
      <c r="B756" s="9"/>
      <c r="C756" s="14"/>
      <c r="D756" s="14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</row>
    <row r="757" spans="1:17" ht="19.5" customHeight="1" x14ac:dyDescent="0.25">
      <c r="A757" s="9"/>
      <c r="B757" s="9"/>
      <c r="C757" s="14"/>
      <c r="D757" s="14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</row>
    <row r="758" spans="1:17" ht="19.5" customHeight="1" x14ac:dyDescent="0.25">
      <c r="A758" s="9"/>
      <c r="B758" s="9"/>
      <c r="C758" s="14"/>
      <c r="D758" s="14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</row>
    <row r="759" spans="1:17" ht="19.5" customHeight="1" x14ac:dyDescent="0.25">
      <c r="A759" s="9"/>
      <c r="B759" s="9"/>
      <c r="C759" s="14"/>
      <c r="D759" s="14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</row>
    <row r="760" spans="1:17" ht="19.5" customHeight="1" x14ac:dyDescent="0.25">
      <c r="A760" s="9"/>
      <c r="B760" s="9"/>
      <c r="C760" s="14"/>
      <c r="D760" s="14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</row>
    <row r="761" spans="1:17" ht="19.5" customHeight="1" x14ac:dyDescent="0.25">
      <c r="A761" s="9"/>
      <c r="B761" s="9"/>
      <c r="C761" s="14"/>
      <c r="D761" s="14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</row>
    <row r="762" spans="1:17" ht="19.5" customHeight="1" x14ac:dyDescent="0.25">
      <c r="A762" s="9"/>
      <c r="B762" s="9"/>
      <c r="C762" s="14"/>
      <c r="D762" s="14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</row>
    <row r="763" spans="1:17" ht="19.5" customHeight="1" x14ac:dyDescent="0.25">
      <c r="A763" s="9"/>
      <c r="B763" s="9"/>
      <c r="C763" s="14"/>
      <c r="D763" s="14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</row>
    <row r="764" spans="1:17" ht="19.5" customHeight="1" x14ac:dyDescent="0.25">
      <c r="A764" s="9"/>
      <c r="B764" s="9"/>
      <c r="C764" s="14"/>
      <c r="D764" s="14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</row>
    <row r="765" spans="1:17" ht="19.5" customHeight="1" x14ac:dyDescent="0.25">
      <c r="A765" s="9"/>
      <c r="B765" s="9"/>
      <c r="C765" s="14"/>
      <c r="D765" s="14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</row>
    <row r="766" spans="1:17" ht="19.5" customHeight="1" x14ac:dyDescent="0.25">
      <c r="A766" s="9"/>
      <c r="B766" s="9"/>
      <c r="C766" s="14"/>
      <c r="D766" s="14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</row>
    <row r="767" spans="1:17" ht="19.5" customHeight="1" x14ac:dyDescent="0.25">
      <c r="A767" s="9"/>
      <c r="B767" s="9"/>
      <c r="C767" s="14"/>
      <c r="D767" s="14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</row>
    <row r="768" spans="1:17" ht="19.5" customHeight="1" x14ac:dyDescent="0.25">
      <c r="A768" s="9"/>
      <c r="B768" s="9"/>
      <c r="C768" s="14"/>
      <c r="D768" s="14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</row>
    <row r="769" spans="1:17" ht="19.5" customHeight="1" x14ac:dyDescent="0.25">
      <c r="A769" s="9"/>
      <c r="B769" s="9"/>
      <c r="C769" s="14"/>
      <c r="D769" s="14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</row>
    <row r="770" spans="1:17" ht="19.5" customHeight="1" x14ac:dyDescent="0.25">
      <c r="A770" s="9"/>
      <c r="B770" s="9"/>
      <c r="C770" s="14"/>
      <c r="D770" s="14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</row>
    <row r="771" spans="1:17" ht="19.5" customHeight="1" x14ac:dyDescent="0.25">
      <c r="A771" s="9"/>
      <c r="B771" s="9"/>
      <c r="C771" s="14"/>
      <c r="D771" s="14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</row>
    <row r="772" spans="1:17" ht="19.5" customHeight="1" x14ac:dyDescent="0.25">
      <c r="A772" s="9"/>
      <c r="B772" s="9"/>
      <c r="C772" s="14"/>
      <c r="D772" s="14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</row>
    <row r="773" spans="1:17" ht="19.5" customHeight="1" x14ac:dyDescent="0.25">
      <c r="A773" s="9"/>
      <c r="B773" s="9"/>
      <c r="C773" s="14"/>
      <c r="D773" s="14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</row>
    <row r="774" spans="1:17" ht="19.5" customHeight="1" x14ac:dyDescent="0.25">
      <c r="A774" s="9"/>
      <c r="B774" s="9"/>
      <c r="C774" s="14"/>
      <c r="D774" s="14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</row>
    <row r="775" spans="1:17" ht="19.5" customHeight="1" x14ac:dyDescent="0.25">
      <c r="A775" s="9"/>
      <c r="B775" s="9"/>
      <c r="C775" s="14"/>
      <c r="D775" s="14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</row>
    <row r="776" spans="1:17" ht="19.5" customHeight="1" x14ac:dyDescent="0.25">
      <c r="A776" s="9"/>
      <c r="B776" s="9"/>
      <c r="C776" s="14"/>
      <c r="D776" s="14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</row>
    <row r="777" spans="1:17" ht="19.5" customHeight="1" x14ac:dyDescent="0.25">
      <c r="A777" s="9"/>
      <c r="B777" s="9"/>
      <c r="C777" s="14"/>
      <c r="D777" s="14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</row>
    <row r="778" spans="1:17" ht="19.5" customHeight="1" x14ac:dyDescent="0.25">
      <c r="A778" s="9"/>
      <c r="B778" s="9"/>
      <c r="C778" s="14"/>
      <c r="D778" s="14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</row>
    <row r="779" spans="1:17" ht="19.5" customHeight="1" x14ac:dyDescent="0.25">
      <c r="A779" s="9"/>
      <c r="B779" s="9"/>
      <c r="C779" s="14"/>
      <c r="D779" s="14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</row>
    <row r="780" spans="1:17" ht="19.5" customHeight="1" x14ac:dyDescent="0.25">
      <c r="A780" s="9"/>
      <c r="B780" s="9"/>
      <c r="C780" s="14"/>
      <c r="D780" s="14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</row>
    <row r="781" spans="1:17" ht="19.5" customHeight="1" x14ac:dyDescent="0.25">
      <c r="A781" s="9"/>
      <c r="B781" s="9"/>
      <c r="C781" s="14"/>
      <c r="D781" s="14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</row>
    <row r="782" spans="1:17" ht="19.5" customHeight="1" x14ac:dyDescent="0.25">
      <c r="A782" s="9"/>
      <c r="B782" s="9"/>
      <c r="C782" s="14"/>
      <c r="D782" s="14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</row>
    <row r="783" spans="1:17" ht="19.5" customHeight="1" x14ac:dyDescent="0.25">
      <c r="A783" s="9"/>
      <c r="B783" s="9"/>
      <c r="C783" s="14"/>
      <c r="D783" s="14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</row>
    <row r="784" spans="1:17" ht="19.5" customHeight="1" x14ac:dyDescent="0.25">
      <c r="A784" s="9"/>
      <c r="B784" s="9"/>
      <c r="C784" s="14"/>
      <c r="D784" s="14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 spans="1:17" ht="19.5" customHeight="1" x14ac:dyDescent="0.25">
      <c r="A785" s="9"/>
      <c r="B785" s="9"/>
      <c r="C785" s="14"/>
      <c r="D785" s="14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</row>
    <row r="786" spans="1:17" ht="19.5" customHeight="1" x14ac:dyDescent="0.25">
      <c r="A786" s="9"/>
      <c r="B786" s="9"/>
      <c r="C786" s="14"/>
      <c r="D786" s="14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</row>
    <row r="787" spans="1:17" ht="19.5" customHeight="1" x14ac:dyDescent="0.25">
      <c r="A787" s="9"/>
      <c r="B787" s="9"/>
      <c r="C787" s="14"/>
      <c r="D787" s="14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</row>
    <row r="788" spans="1:17" ht="19.5" customHeight="1" x14ac:dyDescent="0.25">
      <c r="A788" s="9"/>
      <c r="B788" s="9"/>
      <c r="C788" s="14"/>
      <c r="D788" s="14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</row>
    <row r="789" spans="1:17" ht="19.5" customHeight="1" x14ac:dyDescent="0.25">
      <c r="A789" s="9"/>
      <c r="B789" s="9"/>
      <c r="C789" s="14"/>
      <c r="D789" s="14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</row>
    <row r="790" spans="1:17" ht="19.5" customHeight="1" x14ac:dyDescent="0.25">
      <c r="A790" s="9"/>
      <c r="B790" s="9"/>
      <c r="C790" s="14"/>
      <c r="D790" s="14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</row>
    <row r="791" spans="1:17" ht="19.5" customHeight="1" x14ac:dyDescent="0.25">
      <c r="A791" s="9"/>
      <c r="B791" s="9"/>
      <c r="C791" s="14"/>
      <c r="D791" s="14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</row>
    <row r="792" spans="1:17" ht="19.5" customHeight="1" x14ac:dyDescent="0.25">
      <c r="A792" s="9"/>
      <c r="B792" s="9"/>
      <c r="C792" s="14"/>
      <c r="D792" s="14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</row>
    <row r="793" spans="1:17" ht="19.5" customHeight="1" x14ac:dyDescent="0.25">
      <c r="A793" s="9"/>
      <c r="B793" s="9"/>
      <c r="C793" s="14"/>
      <c r="D793" s="14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</row>
    <row r="794" spans="1:17" ht="19.5" customHeight="1" x14ac:dyDescent="0.25">
      <c r="A794" s="9"/>
      <c r="B794" s="9"/>
      <c r="C794" s="14"/>
      <c r="D794" s="14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</row>
    <row r="795" spans="1:17" ht="19.5" customHeight="1" x14ac:dyDescent="0.25">
      <c r="A795" s="9"/>
      <c r="B795" s="9"/>
      <c r="C795" s="14"/>
      <c r="D795" s="14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</row>
    <row r="796" spans="1:17" ht="19.5" customHeight="1" x14ac:dyDescent="0.25">
      <c r="A796" s="9"/>
      <c r="B796" s="9"/>
      <c r="C796" s="14"/>
      <c r="D796" s="14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</row>
    <row r="797" spans="1:17" ht="19.5" customHeight="1" x14ac:dyDescent="0.25">
      <c r="A797" s="9"/>
      <c r="B797" s="9"/>
      <c r="C797" s="14"/>
      <c r="D797" s="14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</row>
    <row r="798" spans="1:17" ht="19.5" customHeight="1" x14ac:dyDescent="0.25">
      <c r="A798" s="9"/>
      <c r="B798" s="9"/>
      <c r="C798" s="14"/>
      <c r="D798" s="14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</row>
    <row r="799" spans="1:17" ht="19.5" customHeight="1" x14ac:dyDescent="0.25">
      <c r="A799" s="9"/>
      <c r="B799" s="9"/>
      <c r="C799" s="14"/>
      <c r="D799" s="14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</row>
    <row r="800" spans="1:17" ht="19.5" customHeight="1" x14ac:dyDescent="0.25">
      <c r="A800" s="9"/>
      <c r="B800" s="9"/>
      <c r="C800" s="14"/>
      <c r="D800" s="14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</row>
    <row r="801" spans="1:17" ht="19.5" customHeight="1" x14ac:dyDescent="0.25">
      <c r="A801" s="9"/>
      <c r="B801" s="9"/>
      <c r="C801" s="14"/>
      <c r="D801" s="14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</row>
    <row r="802" spans="1:17" ht="19.5" customHeight="1" x14ac:dyDescent="0.25">
      <c r="A802" s="9"/>
      <c r="B802" s="9"/>
      <c r="C802" s="14"/>
      <c r="D802" s="14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</row>
    <row r="803" spans="1:17" ht="19.5" customHeight="1" x14ac:dyDescent="0.25">
      <c r="A803" s="9"/>
      <c r="B803" s="9"/>
      <c r="C803" s="14"/>
      <c r="D803" s="14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</row>
    <row r="804" spans="1:17" ht="19.5" customHeight="1" x14ac:dyDescent="0.25">
      <c r="A804" s="9"/>
      <c r="B804" s="9"/>
      <c r="C804" s="14"/>
      <c r="D804" s="14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</row>
    <row r="805" spans="1:17" ht="19.5" customHeight="1" x14ac:dyDescent="0.25">
      <c r="A805" s="9"/>
      <c r="B805" s="9"/>
      <c r="C805" s="14"/>
      <c r="D805" s="14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</row>
    <row r="806" spans="1:17" ht="19.5" customHeight="1" x14ac:dyDescent="0.25">
      <c r="A806" s="9"/>
      <c r="B806" s="9"/>
      <c r="C806" s="14"/>
      <c r="D806" s="14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</row>
    <row r="807" spans="1:17" ht="19.5" customHeight="1" x14ac:dyDescent="0.25">
      <c r="A807" s="9"/>
      <c r="B807" s="9"/>
      <c r="C807" s="14"/>
      <c r="D807" s="14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</row>
    <row r="808" spans="1:17" ht="19.5" customHeight="1" x14ac:dyDescent="0.25">
      <c r="A808" s="9"/>
      <c r="B808" s="9"/>
      <c r="C808" s="14"/>
      <c r="D808" s="14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</row>
    <row r="809" spans="1:17" ht="19.5" customHeight="1" x14ac:dyDescent="0.25">
      <c r="A809" s="9"/>
      <c r="B809" s="9"/>
      <c r="C809" s="14"/>
      <c r="D809" s="14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</row>
    <row r="810" spans="1:17" ht="19.5" customHeight="1" x14ac:dyDescent="0.25">
      <c r="A810" s="9"/>
      <c r="B810" s="9"/>
      <c r="C810" s="14"/>
      <c r="D810" s="14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</row>
    <row r="811" spans="1:17" ht="19.5" customHeight="1" x14ac:dyDescent="0.25">
      <c r="A811" s="9"/>
      <c r="B811" s="9"/>
      <c r="C811" s="14"/>
      <c r="D811" s="14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</row>
    <row r="812" spans="1:17" ht="19.5" customHeight="1" x14ac:dyDescent="0.25">
      <c r="A812" s="9"/>
      <c r="B812" s="9"/>
      <c r="C812" s="14"/>
      <c r="D812" s="14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</row>
    <row r="813" spans="1:17" ht="19.5" customHeight="1" x14ac:dyDescent="0.25">
      <c r="A813" s="9"/>
      <c r="B813" s="9"/>
      <c r="C813" s="14"/>
      <c r="D813" s="14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</row>
    <row r="814" spans="1:17" ht="19.5" customHeight="1" x14ac:dyDescent="0.25">
      <c r="A814" s="9"/>
      <c r="B814" s="9"/>
      <c r="C814" s="14"/>
      <c r="D814" s="14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</row>
    <row r="815" spans="1:17" ht="19.5" customHeight="1" x14ac:dyDescent="0.25">
      <c r="A815" s="9"/>
      <c r="B815" s="9"/>
      <c r="C815" s="14"/>
      <c r="D815" s="14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</row>
    <row r="816" spans="1:17" ht="19.5" customHeight="1" x14ac:dyDescent="0.25">
      <c r="A816" s="9"/>
      <c r="B816" s="9"/>
      <c r="C816" s="14"/>
      <c r="D816" s="14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</row>
    <row r="817" spans="1:17" ht="19.5" customHeight="1" x14ac:dyDescent="0.25">
      <c r="A817" s="9"/>
      <c r="B817" s="9"/>
      <c r="C817" s="14"/>
      <c r="D817" s="14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</row>
    <row r="818" spans="1:17" ht="19.5" customHeight="1" x14ac:dyDescent="0.25">
      <c r="A818" s="9"/>
      <c r="B818" s="9"/>
      <c r="C818" s="14"/>
      <c r="D818" s="14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</row>
    <row r="819" spans="1:17" ht="19.5" customHeight="1" x14ac:dyDescent="0.25">
      <c r="A819" s="9"/>
      <c r="B819" s="9"/>
      <c r="C819" s="14"/>
      <c r="D819" s="14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</row>
    <row r="820" spans="1:17" ht="19.5" customHeight="1" x14ac:dyDescent="0.25">
      <c r="A820" s="9"/>
      <c r="B820" s="9"/>
      <c r="C820" s="14"/>
      <c r="D820" s="14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</row>
    <row r="821" spans="1:17" ht="19.5" customHeight="1" x14ac:dyDescent="0.25">
      <c r="A821" s="9"/>
      <c r="B821" s="9"/>
      <c r="C821" s="14"/>
      <c r="D821" s="14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</row>
    <row r="822" spans="1:17" ht="19.5" customHeight="1" x14ac:dyDescent="0.25">
      <c r="A822" s="9"/>
      <c r="B822" s="9"/>
      <c r="C822" s="14"/>
      <c r="D822" s="14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</row>
    <row r="823" spans="1:17" ht="19.5" customHeight="1" x14ac:dyDescent="0.25">
      <c r="A823" s="9"/>
      <c r="B823" s="9"/>
      <c r="C823" s="14"/>
      <c r="D823" s="14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</row>
    <row r="824" spans="1:17" ht="19.5" customHeight="1" x14ac:dyDescent="0.25">
      <c r="A824" s="9"/>
      <c r="B824" s="9"/>
      <c r="C824" s="14"/>
      <c r="D824" s="14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</row>
    <row r="825" spans="1:17" ht="19.5" customHeight="1" x14ac:dyDescent="0.25">
      <c r="A825" s="9"/>
      <c r="B825" s="9"/>
      <c r="C825" s="14"/>
      <c r="D825" s="14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</row>
    <row r="826" spans="1:17" ht="19.5" customHeight="1" x14ac:dyDescent="0.25">
      <c r="A826" s="9"/>
      <c r="B826" s="9"/>
      <c r="C826" s="14"/>
      <c r="D826" s="14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</row>
    <row r="827" spans="1:17" ht="19.5" customHeight="1" x14ac:dyDescent="0.25">
      <c r="A827" s="9"/>
      <c r="B827" s="9"/>
      <c r="C827" s="14"/>
      <c r="D827" s="14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</row>
    <row r="828" spans="1:17" ht="19.5" customHeight="1" x14ac:dyDescent="0.25">
      <c r="A828" s="9"/>
      <c r="B828" s="9"/>
      <c r="C828" s="14"/>
      <c r="D828" s="14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</row>
    <row r="829" spans="1:17" ht="19.5" customHeight="1" x14ac:dyDescent="0.25">
      <c r="A829" s="9"/>
      <c r="B829" s="9"/>
      <c r="C829" s="14"/>
      <c r="D829" s="14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</row>
    <row r="830" spans="1:17" ht="19.5" customHeight="1" x14ac:dyDescent="0.25">
      <c r="A830" s="9"/>
      <c r="B830" s="9"/>
      <c r="C830" s="14"/>
      <c r="D830" s="14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</row>
    <row r="831" spans="1:17" ht="19.5" customHeight="1" x14ac:dyDescent="0.25">
      <c r="A831" s="9"/>
      <c r="B831" s="9"/>
      <c r="C831" s="14"/>
      <c r="D831" s="14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</row>
    <row r="832" spans="1:17" ht="19.5" customHeight="1" x14ac:dyDescent="0.25">
      <c r="A832" s="9"/>
      <c r="B832" s="9"/>
      <c r="C832" s="14"/>
      <c r="D832" s="14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</row>
    <row r="833" spans="1:17" ht="19.5" customHeight="1" x14ac:dyDescent="0.25">
      <c r="A833" s="9"/>
      <c r="B833" s="9"/>
      <c r="C833" s="14"/>
      <c r="D833" s="14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</row>
    <row r="834" spans="1:17" ht="19.5" customHeight="1" x14ac:dyDescent="0.25">
      <c r="A834" s="9"/>
      <c r="B834" s="9"/>
      <c r="C834" s="14"/>
      <c r="D834" s="14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</row>
    <row r="835" spans="1:17" ht="19.5" customHeight="1" x14ac:dyDescent="0.25">
      <c r="A835" s="9"/>
      <c r="B835" s="9"/>
      <c r="C835" s="14"/>
      <c r="D835" s="14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</row>
    <row r="836" spans="1:17" ht="19.5" customHeight="1" x14ac:dyDescent="0.25">
      <c r="A836" s="9"/>
      <c r="B836" s="9"/>
      <c r="C836" s="14"/>
      <c r="D836" s="14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</row>
    <row r="837" spans="1:17" ht="19.5" customHeight="1" x14ac:dyDescent="0.25">
      <c r="A837" s="9"/>
      <c r="B837" s="9"/>
      <c r="C837" s="14"/>
      <c r="D837" s="14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</row>
    <row r="838" spans="1:17" ht="19.5" customHeight="1" x14ac:dyDescent="0.25">
      <c r="A838" s="9"/>
      <c r="B838" s="9"/>
      <c r="C838" s="14"/>
      <c r="D838" s="14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</row>
    <row r="839" spans="1:17" ht="19.5" customHeight="1" x14ac:dyDescent="0.25">
      <c r="A839" s="9"/>
      <c r="B839" s="9"/>
      <c r="C839" s="14"/>
      <c r="D839" s="14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</row>
    <row r="840" spans="1:17" ht="19.5" customHeight="1" x14ac:dyDescent="0.25">
      <c r="A840" s="9"/>
      <c r="B840" s="9"/>
      <c r="C840" s="14"/>
      <c r="D840" s="14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</row>
    <row r="841" spans="1:17" ht="19.5" customHeight="1" x14ac:dyDescent="0.25">
      <c r="A841" s="9"/>
      <c r="B841" s="9"/>
      <c r="C841" s="14"/>
      <c r="D841" s="14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</row>
    <row r="842" spans="1:17" ht="19.5" customHeight="1" x14ac:dyDescent="0.25">
      <c r="A842" s="9"/>
      <c r="B842" s="9"/>
      <c r="C842" s="14"/>
      <c r="D842" s="14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</row>
    <row r="843" spans="1:17" ht="19.5" customHeight="1" x14ac:dyDescent="0.25">
      <c r="A843" s="9"/>
      <c r="B843" s="9"/>
      <c r="C843" s="14"/>
      <c r="D843" s="14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</row>
    <row r="844" spans="1:17" ht="19.5" customHeight="1" x14ac:dyDescent="0.25">
      <c r="A844" s="9"/>
      <c r="B844" s="9"/>
      <c r="C844" s="14"/>
      <c r="D844" s="14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</row>
    <row r="845" spans="1:17" ht="19.5" customHeight="1" x14ac:dyDescent="0.25">
      <c r="A845" s="9"/>
      <c r="B845" s="9"/>
      <c r="C845" s="14"/>
      <c r="D845" s="14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</row>
    <row r="846" spans="1:17" ht="19.5" customHeight="1" x14ac:dyDescent="0.25">
      <c r="A846" s="9"/>
      <c r="B846" s="9"/>
      <c r="C846" s="14"/>
      <c r="D846" s="14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</row>
    <row r="847" spans="1:17" ht="19.5" customHeight="1" x14ac:dyDescent="0.25">
      <c r="A847" s="9"/>
      <c r="B847" s="9"/>
      <c r="C847" s="14"/>
      <c r="D847" s="14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</row>
    <row r="848" spans="1:17" ht="19.5" customHeight="1" x14ac:dyDescent="0.25">
      <c r="A848" s="9"/>
      <c r="B848" s="9"/>
      <c r="C848" s="14"/>
      <c r="D848" s="14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</row>
    <row r="849" spans="1:17" ht="19.5" customHeight="1" x14ac:dyDescent="0.25">
      <c r="A849" s="9"/>
      <c r="B849" s="9"/>
      <c r="C849" s="14"/>
      <c r="D849" s="14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</row>
    <row r="850" spans="1:17" ht="19.5" customHeight="1" x14ac:dyDescent="0.25">
      <c r="A850" s="9"/>
      <c r="B850" s="9"/>
      <c r="C850" s="14"/>
      <c r="D850" s="14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</row>
    <row r="851" spans="1:17" ht="19.5" customHeight="1" x14ac:dyDescent="0.25">
      <c r="A851" s="9"/>
      <c r="B851" s="9"/>
      <c r="C851" s="14"/>
      <c r="D851" s="14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</row>
    <row r="852" spans="1:17" ht="19.5" customHeight="1" x14ac:dyDescent="0.25">
      <c r="A852" s="9"/>
      <c r="B852" s="9"/>
      <c r="C852" s="14"/>
      <c r="D852" s="14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</row>
    <row r="853" spans="1:17" ht="19.5" customHeight="1" x14ac:dyDescent="0.25">
      <c r="A853" s="9"/>
      <c r="B853" s="9"/>
      <c r="C853" s="14"/>
      <c r="D853" s="14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</row>
    <row r="854" spans="1:17" ht="19.5" customHeight="1" x14ac:dyDescent="0.25">
      <c r="A854" s="9"/>
      <c r="B854" s="9"/>
      <c r="C854" s="14"/>
      <c r="D854" s="14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</row>
    <row r="855" spans="1:17" ht="19.5" customHeight="1" x14ac:dyDescent="0.25">
      <c r="A855" s="9"/>
      <c r="B855" s="9"/>
      <c r="C855" s="14"/>
      <c r="D855" s="14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</row>
    <row r="856" spans="1:17" ht="19.5" customHeight="1" x14ac:dyDescent="0.25">
      <c r="A856" s="9"/>
      <c r="B856" s="9"/>
      <c r="C856" s="14"/>
      <c r="D856" s="14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</row>
    <row r="857" spans="1:17" ht="19.5" customHeight="1" x14ac:dyDescent="0.25">
      <c r="A857" s="9"/>
      <c r="B857" s="9"/>
      <c r="C857" s="14"/>
      <c r="D857" s="14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</row>
    <row r="858" spans="1:17" ht="19.5" customHeight="1" x14ac:dyDescent="0.25">
      <c r="A858" s="9"/>
      <c r="B858" s="9"/>
      <c r="C858" s="14"/>
      <c r="D858" s="14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</row>
    <row r="859" spans="1:17" ht="19.5" customHeight="1" x14ac:dyDescent="0.25">
      <c r="A859" s="9"/>
      <c r="B859" s="9"/>
      <c r="C859" s="14"/>
      <c r="D859" s="14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 spans="1:17" ht="19.5" customHeight="1" x14ac:dyDescent="0.25">
      <c r="A860" s="9"/>
      <c r="B860" s="9"/>
      <c r="C860" s="14"/>
      <c r="D860" s="14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</row>
    <row r="861" spans="1:17" ht="19.5" customHeight="1" x14ac:dyDescent="0.25">
      <c r="A861" s="9"/>
      <c r="B861" s="9"/>
      <c r="C861" s="14"/>
      <c r="D861" s="14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</row>
    <row r="862" spans="1:17" ht="19.5" customHeight="1" x14ac:dyDescent="0.25">
      <c r="A862" s="9"/>
      <c r="B862" s="9"/>
      <c r="C862" s="14"/>
      <c r="D862" s="14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</row>
    <row r="863" spans="1:17" ht="19.5" customHeight="1" x14ac:dyDescent="0.25">
      <c r="A863" s="9"/>
      <c r="B863" s="9"/>
      <c r="C863" s="14"/>
      <c r="D863" s="14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</row>
    <row r="864" spans="1:17" ht="19.5" customHeight="1" x14ac:dyDescent="0.25">
      <c r="A864" s="9"/>
      <c r="B864" s="9"/>
      <c r="C864" s="14"/>
      <c r="D864" s="14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</row>
    <row r="865" spans="1:17" ht="19.5" customHeight="1" x14ac:dyDescent="0.25">
      <c r="A865" s="9"/>
      <c r="B865" s="9"/>
      <c r="C865" s="14"/>
      <c r="D865" s="14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</row>
    <row r="866" spans="1:17" ht="19.5" customHeight="1" x14ac:dyDescent="0.25">
      <c r="A866" s="9"/>
      <c r="B866" s="9"/>
      <c r="C866" s="14"/>
      <c r="D866" s="14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</row>
    <row r="867" spans="1:17" ht="19.5" customHeight="1" x14ac:dyDescent="0.25">
      <c r="A867" s="9"/>
      <c r="B867" s="9"/>
      <c r="C867" s="14"/>
      <c r="D867" s="14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</row>
    <row r="868" spans="1:17" ht="19.5" customHeight="1" x14ac:dyDescent="0.25">
      <c r="A868" s="9"/>
      <c r="B868" s="9"/>
      <c r="C868" s="14"/>
      <c r="D868" s="14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</row>
    <row r="869" spans="1:17" ht="19.5" customHeight="1" x14ac:dyDescent="0.25">
      <c r="A869" s="9"/>
      <c r="B869" s="9"/>
      <c r="C869" s="14"/>
      <c r="D869" s="14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</row>
    <row r="870" spans="1:17" ht="19.5" customHeight="1" x14ac:dyDescent="0.25">
      <c r="A870" s="9"/>
      <c r="B870" s="9"/>
      <c r="C870" s="14"/>
      <c r="D870" s="14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</row>
    <row r="871" spans="1:17" ht="19.5" customHeight="1" x14ac:dyDescent="0.25">
      <c r="A871" s="9"/>
      <c r="B871" s="9"/>
      <c r="C871" s="14"/>
      <c r="D871" s="14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 spans="1:17" ht="19.5" customHeight="1" x14ac:dyDescent="0.25">
      <c r="A872" s="9"/>
      <c r="B872" s="9"/>
      <c r="C872" s="14"/>
      <c r="D872" s="14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</row>
    <row r="873" spans="1:17" ht="19.5" customHeight="1" x14ac:dyDescent="0.25">
      <c r="A873" s="9"/>
      <c r="B873" s="9"/>
      <c r="C873" s="14"/>
      <c r="D873" s="14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</row>
    <row r="874" spans="1:17" ht="19.5" customHeight="1" x14ac:dyDescent="0.25">
      <c r="A874" s="9"/>
      <c r="B874" s="9"/>
      <c r="C874" s="14"/>
      <c r="D874" s="14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</row>
    <row r="875" spans="1:17" ht="19.5" customHeight="1" x14ac:dyDescent="0.25">
      <c r="A875" s="9"/>
      <c r="B875" s="9"/>
      <c r="C875" s="14"/>
      <c r="D875" s="14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</row>
    <row r="876" spans="1:17" ht="19.5" customHeight="1" x14ac:dyDescent="0.25">
      <c r="A876" s="9"/>
      <c r="B876" s="9"/>
      <c r="C876" s="14"/>
      <c r="D876" s="14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</row>
    <row r="877" spans="1:17" ht="19.5" customHeight="1" x14ac:dyDescent="0.25">
      <c r="A877" s="9"/>
      <c r="B877" s="9"/>
      <c r="C877" s="14"/>
      <c r="D877" s="14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</row>
    <row r="878" spans="1:17" ht="19.5" customHeight="1" x14ac:dyDescent="0.25">
      <c r="A878" s="9"/>
      <c r="B878" s="9"/>
      <c r="C878" s="14"/>
      <c r="D878" s="14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</row>
    <row r="879" spans="1:17" ht="19.5" customHeight="1" x14ac:dyDescent="0.25">
      <c r="A879" s="9"/>
      <c r="B879" s="9"/>
      <c r="C879" s="14"/>
      <c r="D879" s="14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</row>
    <row r="880" spans="1:17" ht="19.5" customHeight="1" x14ac:dyDescent="0.25">
      <c r="A880" s="9"/>
      <c r="B880" s="9"/>
      <c r="C880" s="14"/>
      <c r="D880" s="14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</row>
    <row r="881" spans="1:17" ht="19.5" customHeight="1" x14ac:dyDescent="0.25">
      <c r="A881" s="9"/>
      <c r="B881" s="9"/>
      <c r="C881" s="14"/>
      <c r="D881" s="14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</row>
    <row r="882" spans="1:17" ht="19.5" customHeight="1" x14ac:dyDescent="0.25">
      <c r="A882" s="9"/>
      <c r="B882" s="9"/>
      <c r="C882" s="14"/>
      <c r="D882" s="14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</row>
    <row r="883" spans="1:17" ht="19.5" customHeight="1" x14ac:dyDescent="0.25">
      <c r="A883" s="9"/>
      <c r="B883" s="9"/>
      <c r="C883" s="14"/>
      <c r="D883" s="14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</row>
    <row r="884" spans="1:17" ht="19.5" customHeight="1" x14ac:dyDescent="0.25">
      <c r="A884" s="9"/>
      <c r="B884" s="9"/>
      <c r="C884" s="14"/>
      <c r="D884" s="14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</row>
    <row r="885" spans="1:17" ht="19.5" customHeight="1" x14ac:dyDescent="0.25">
      <c r="A885" s="9"/>
      <c r="B885" s="9"/>
      <c r="C885" s="14"/>
      <c r="D885" s="14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</row>
    <row r="886" spans="1:17" ht="19.5" customHeight="1" x14ac:dyDescent="0.25">
      <c r="A886" s="9"/>
      <c r="B886" s="9"/>
      <c r="C886" s="14"/>
      <c r="D886" s="14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</row>
    <row r="887" spans="1:17" ht="19.5" customHeight="1" x14ac:dyDescent="0.25">
      <c r="A887" s="9"/>
      <c r="B887" s="9"/>
      <c r="C887" s="14"/>
      <c r="D887" s="14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</row>
    <row r="888" spans="1:17" ht="19.5" customHeight="1" x14ac:dyDescent="0.25">
      <c r="A888" s="9"/>
      <c r="B888" s="9"/>
      <c r="C888" s="14"/>
      <c r="D888" s="14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</row>
    <row r="889" spans="1:17" ht="19.5" customHeight="1" x14ac:dyDescent="0.25">
      <c r="A889" s="9"/>
      <c r="B889" s="9"/>
      <c r="C889" s="14"/>
      <c r="D889" s="14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</row>
    <row r="890" spans="1:17" ht="19.5" customHeight="1" x14ac:dyDescent="0.25">
      <c r="A890" s="9"/>
      <c r="B890" s="9"/>
      <c r="C890" s="14"/>
      <c r="D890" s="14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</row>
    <row r="891" spans="1:17" ht="19.5" customHeight="1" x14ac:dyDescent="0.25">
      <c r="A891" s="9"/>
      <c r="B891" s="9"/>
      <c r="C891" s="14"/>
      <c r="D891" s="14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</row>
    <row r="892" spans="1:17" ht="19.5" customHeight="1" x14ac:dyDescent="0.25">
      <c r="A892" s="9"/>
      <c r="B892" s="9"/>
      <c r="C892" s="14"/>
      <c r="D892" s="14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</row>
    <row r="893" spans="1:17" ht="19.5" customHeight="1" x14ac:dyDescent="0.25">
      <c r="A893" s="9"/>
      <c r="B893" s="9"/>
      <c r="C893" s="14"/>
      <c r="D893" s="14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</row>
    <row r="894" spans="1:17" ht="19.5" customHeight="1" x14ac:dyDescent="0.25">
      <c r="A894" s="9"/>
      <c r="B894" s="9"/>
      <c r="C894" s="14"/>
      <c r="D894" s="14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</row>
    <row r="895" spans="1:17" ht="19.5" customHeight="1" x14ac:dyDescent="0.25">
      <c r="A895" s="9"/>
      <c r="B895" s="9"/>
      <c r="C895" s="14"/>
      <c r="D895" s="14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</row>
    <row r="896" spans="1:17" ht="19.5" customHeight="1" x14ac:dyDescent="0.25">
      <c r="A896" s="9"/>
      <c r="B896" s="9"/>
      <c r="C896" s="14"/>
      <c r="D896" s="14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</row>
    <row r="897" spans="1:17" ht="19.5" customHeight="1" x14ac:dyDescent="0.25">
      <c r="A897" s="9"/>
      <c r="B897" s="9"/>
      <c r="C897" s="14"/>
      <c r="D897" s="14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</row>
    <row r="898" spans="1:17" ht="19.5" customHeight="1" x14ac:dyDescent="0.25">
      <c r="A898" s="9"/>
      <c r="B898" s="9"/>
      <c r="C898" s="14"/>
      <c r="D898" s="14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</row>
    <row r="899" spans="1:17" ht="19.5" customHeight="1" x14ac:dyDescent="0.25">
      <c r="A899" s="9"/>
      <c r="B899" s="9"/>
      <c r="C899" s="14"/>
      <c r="D899" s="14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</row>
    <row r="900" spans="1:17" ht="19.5" customHeight="1" x14ac:dyDescent="0.25">
      <c r="A900" s="9"/>
      <c r="B900" s="9"/>
      <c r="C900" s="14"/>
      <c r="D900" s="14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</row>
    <row r="901" spans="1:17" ht="19.5" customHeight="1" x14ac:dyDescent="0.25">
      <c r="A901" s="9"/>
      <c r="B901" s="9"/>
      <c r="C901" s="14"/>
      <c r="D901" s="14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</row>
    <row r="902" spans="1:17" ht="19.5" customHeight="1" x14ac:dyDescent="0.25">
      <c r="A902" s="9"/>
      <c r="B902" s="9"/>
      <c r="C902" s="14"/>
      <c r="D902" s="14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</row>
    <row r="903" spans="1:17" ht="19.5" customHeight="1" x14ac:dyDescent="0.25">
      <c r="A903" s="9"/>
      <c r="B903" s="9"/>
      <c r="C903" s="14"/>
      <c r="D903" s="14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</row>
    <row r="904" spans="1:17" ht="19.5" customHeight="1" x14ac:dyDescent="0.25">
      <c r="A904" s="9"/>
      <c r="B904" s="9"/>
      <c r="C904" s="14"/>
      <c r="D904" s="14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</row>
    <row r="905" spans="1:17" ht="19.5" customHeight="1" x14ac:dyDescent="0.25">
      <c r="A905" s="9"/>
      <c r="B905" s="9"/>
      <c r="C905" s="14"/>
      <c r="D905" s="14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</row>
    <row r="906" spans="1:17" ht="19.5" customHeight="1" x14ac:dyDescent="0.25">
      <c r="A906" s="9"/>
      <c r="B906" s="9"/>
      <c r="C906" s="14"/>
      <c r="D906" s="14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</row>
    <row r="907" spans="1:17" ht="19.5" customHeight="1" x14ac:dyDescent="0.25">
      <c r="A907" s="9"/>
      <c r="B907" s="9"/>
      <c r="C907" s="14"/>
      <c r="D907" s="14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</row>
    <row r="908" spans="1:17" ht="19.5" customHeight="1" x14ac:dyDescent="0.25">
      <c r="A908" s="9"/>
      <c r="B908" s="9"/>
      <c r="C908" s="14"/>
      <c r="D908" s="14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</row>
    <row r="909" spans="1:17" ht="19.5" customHeight="1" x14ac:dyDescent="0.25">
      <c r="A909" s="9"/>
      <c r="B909" s="9"/>
      <c r="C909" s="14"/>
      <c r="D909" s="14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</row>
    <row r="910" spans="1:17" ht="19.5" customHeight="1" x14ac:dyDescent="0.25">
      <c r="A910" s="9"/>
      <c r="B910" s="9"/>
      <c r="C910" s="14"/>
      <c r="D910" s="14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</row>
    <row r="911" spans="1:17" ht="19.5" customHeight="1" x14ac:dyDescent="0.25">
      <c r="A911" s="9"/>
      <c r="B911" s="9"/>
      <c r="C911" s="14"/>
      <c r="D911" s="14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</row>
    <row r="912" spans="1:17" ht="19.5" customHeight="1" x14ac:dyDescent="0.25">
      <c r="A912" s="9"/>
      <c r="B912" s="9"/>
      <c r="C912" s="14"/>
      <c r="D912" s="14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</row>
    <row r="913" spans="1:17" ht="19.5" customHeight="1" x14ac:dyDescent="0.25">
      <c r="A913" s="9"/>
      <c r="B913" s="9"/>
      <c r="C913" s="14"/>
      <c r="D913" s="14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</row>
    <row r="914" spans="1:17" ht="19.5" customHeight="1" x14ac:dyDescent="0.25">
      <c r="A914" s="9"/>
      <c r="B914" s="9"/>
      <c r="C914" s="14"/>
      <c r="D914" s="14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</row>
    <row r="915" spans="1:17" ht="19.5" customHeight="1" x14ac:dyDescent="0.25">
      <c r="A915" s="9"/>
      <c r="B915" s="9"/>
      <c r="C915" s="14"/>
      <c r="D915" s="14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</row>
    <row r="916" spans="1:17" ht="19.5" customHeight="1" x14ac:dyDescent="0.25">
      <c r="A916" s="9"/>
      <c r="B916" s="9"/>
      <c r="C916" s="14"/>
      <c r="D916" s="14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</row>
    <row r="917" spans="1:17" ht="19.5" customHeight="1" x14ac:dyDescent="0.25">
      <c r="A917" s="9"/>
      <c r="B917" s="9"/>
      <c r="C917" s="14"/>
      <c r="D917" s="14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</row>
    <row r="918" spans="1:17" ht="19.5" customHeight="1" x14ac:dyDescent="0.25">
      <c r="A918" s="9"/>
      <c r="B918" s="9"/>
      <c r="C918" s="14"/>
      <c r="D918" s="14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</row>
    <row r="919" spans="1:17" ht="19.5" customHeight="1" x14ac:dyDescent="0.25">
      <c r="A919" s="9"/>
      <c r="B919" s="9"/>
      <c r="C919" s="14"/>
      <c r="D919" s="14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</row>
    <row r="920" spans="1:17" ht="19.5" customHeight="1" x14ac:dyDescent="0.25">
      <c r="A920" s="9"/>
      <c r="B920" s="9"/>
      <c r="C920" s="14"/>
      <c r="D920" s="14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</row>
    <row r="921" spans="1:17" ht="19.5" customHeight="1" x14ac:dyDescent="0.25">
      <c r="A921" s="9"/>
      <c r="B921" s="9"/>
      <c r="C921" s="14"/>
      <c r="D921" s="14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</row>
    <row r="922" spans="1:17" ht="19.5" customHeight="1" x14ac:dyDescent="0.25">
      <c r="A922" s="9"/>
      <c r="B922" s="9"/>
      <c r="C922" s="14"/>
      <c r="D922" s="14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</row>
    <row r="923" spans="1:17" ht="19.5" customHeight="1" x14ac:dyDescent="0.25">
      <c r="A923" s="9"/>
      <c r="B923" s="9"/>
      <c r="C923" s="14"/>
      <c r="D923" s="14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</row>
    <row r="924" spans="1:17" ht="19.5" customHeight="1" x14ac:dyDescent="0.25">
      <c r="A924" s="9"/>
      <c r="B924" s="9"/>
      <c r="C924" s="14"/>
      <c r="D924" s="14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</row>
    <row r="925" spans="1:17" ht="19.5" customHeight="1" x14ac:dyDescent="0.25">
      <c r="A925" s="9"/>
      <c r="B925" s="9"/>
      <c r="C925" s="14"/>
      <c r="D925" s="14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</row>
    <row r="926" spans="1:17" ht="19.5" customHeight="1" x14ac:dyDescent="0.25">
      <c r="A926" s="9"/>
      <c r="B926" s="9"/>
      <c r="C926" s="14"/>
      <c r="D926" s="14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</row>
    <row r="927" spans="1:17" ht="19.5" customHeight="1" x14ac:dyDescent="0.25">
      <c r="A927" s="9"/>
      <c r="B927" s="9"/>
      <c r="C927" s="14"/>
      <c r="D927" s="14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</row>
    <row r="928" spans="1:17" ht="19.5" customHeight="1" x14ac:dyDescent="0.25">
      <c r="A928" s="9"/>
      <c r="B928" s="9"/>
      <c r="C928" s="14"/>
      <c r="D928" s="14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</row>
    <row r="929" spans="1:17" ht="19.5" customHeight="1" x14ac:dyDescent="0.25">
      <c r="A929" s="9"/>
      <c r="B929" s="9"/>
      <c r="C929" s="14"/>
      <c r="D929" s="14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</row>
    <row r="930" spans="1:17" ht="19.5" customHeight="1" x14ac:dyDescent="0.25">
      <c r="A930" s="9"/>
      <c r="B930" s="9"/>
      <c r="C930" s="14"/>
      <c r="D930" s="14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</row>
    <row r="931" spans="1:17" ht="19.5" customHeight="1" x14ac:dyDescent="0.25">
      <c r="A931" s="9"/>
      <c r="B931" s="9"/>
      <c r="C931" s="14"/>
      <c r="D931" s="14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</row>
    <row r="932" spans="1:17" ht="19.5" customHeight="1" x14ac:dyDescent="0.25">
      <c r="A932" s="9"/>
      <c r="B932" s="9"/>
      <c r="C932" s="14"/>
      <c r="D932" s="14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</row>
    <row r="933" spans="1:17" ht="19.5" customHeight="1" x14ac:dyDescent="0.25">
      <c r="A933" s="9"/>
      <c r="B933" s="9"/>
      <c r="C933" s="14"/>
      <c r="D933" s="14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</row>
    <row r="934" spans="1:17" ht="19.5" customHeight="1" x14ac:dyDescent="0.25">
      <c r="A934" s="9"/>
      <c r="B934" s="9"/>
      <c r="C934" s="14"/>
      <c r="D934" s="14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</row>
    <row r="935" spans="1:17" ht="19.5" customHeight="1" x14ac:dyDescent="0.25">
      <c r="A935" s="9"/>
      <c r="B935" s="9"/>
      <c r="C935" s="14"/>
      <c r="D935" s="14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</row>
    <row r="936" spans="1:17" ht="19.5" customHeight="1" x14ac:dyDescent="0.25">
      <c r="A936" s="9"/>
      <c r="B936" s="9"/>
      <c r="C936" s="14"/>
      <c r="D936" s="14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</row>
    <row r="937" spans="1:17" ht="19.5" customHeight="1" x14ac:dyDescent="0.25">
      <c r="A937" s="9"/>
      <c r="B937" s="9"/>
      <c r="C937" s="14"/>
      <c r="D937" s="14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</row>
    <row r="938" spans="1:17" ht="19.5" customHeight="1" x14ac:dyDescent="0.25">
      <c r="A938" s="9"/>
      <c r="B938" s="9"/>
      <c r="C938" s="14"/>
      <c r="D938" s="14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</row>
    <row r="939" spans="1:17" ht="19.5" customHeight="1" x14ac:dyDescent="0.25">
      <c r="A939" s="9"/>
      <c r="B939" s="9"/>
      <c r="C939" s="14"/>
      <c r="D939" s="14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</row>
    <row r="940" spans="1:17" ht="19.5" customHeight="1" x14ac:dyDescent="0.25">
      <c r="A940" s="9"/>
      <c r="B940" s="9"/>
      <c r="C940" s="14"/>
      <c r="D940" s="14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</row>
    <row r="941" spans="1:17" ht="19.5" customHeight="1" x14ac:dyDescent="0.25">
      <c r="A941" s="9"/>
      <c r="B941" s="9"/>
      <c r="C941" s="14"/>
      <c r="D941" s="14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</row>
    <row r="942" spans="1:17" ht="19.5" customHeight="1" x14ac:dyDescent="0.25">
      <c r="A942" s="9"/>
      <c r="B942" s="9"/>
      <c r="C942" s="14"/>
      <c r="D942" s="14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</row>
    <row r="943" spans="1:17" ht="19.5" customHeight="1" x14ac:dyDescent="0.25">
      <c r="A943" s="9"/>
      <c r="B943" s="9"/>
      <c r="C943" s="14"/>
      <c r="D943" s="14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</row>
    <row r="944" spans="1:17" ht="19.5" customHeight="1" x14ac:dyDescent="0.25">
      <c r="A944" s="9"/>
      <c r="B944" s="9"/>
      <c r="C944" s="14"/>
      <c r="D944" s="14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</row>
    <row r="945" spans="1:17" ht="19.5" customHeight="1" x14ac:dyDescent="0.25">
      <c r="A945" s="9"/>
      <c r="B945" s="9"/>
      <c r="C945" s="14"/>
      <c r="D945" s="14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</row>
    <row r="946" spans="1:17" ht="19.5" customHeight="1" x14ac:dyDescent="0.25">
      <c r="A946" s="9"/>
      <c r="B946" s="9"/>
      <c r="C946" s="14"/>
      <c r="D946" s="14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</row>
    <row r="947" spans="1:17" ht="19.5" customHeight="1" x14ac:dyDescent="0.25">
      <c r="A947" s="9"/>
      <c r="B947" s="9"/>
      <c r="C947" s="14"/>
      <c r="D947" s="14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</row>
    <row r="948" spans="1:17" ht="19.5" customHeight="1" x14ac:dyDescent="0.25">
      <c r="A948" s="9"/>
      <c r="B948" s="9"/>
      <c r="C948" s="14"/>
      <c r="D948" s="14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</row>
    <row r="949" spans="1:17" ht="19.5" customHeight="1" x14ac:dyDescent="0.25">
      <c r="A949" s="9"/>
      <c r="B949" s="9"/>
      <c r="C949" s="14"/>
      <c r="D949" s="14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</row>
    <row r="950" spans="1:17" ht="19.5" customHeight="1" x14ac:dyDescent="0.25">
      <c r="A950" s="9"/>
      <c r="B950" s="9"/>
      <c r="C950" s="14"/>
      <c r="D950" s="14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</row>
    <row r="951" spans="1:17" ht="19.5" customHeight="1" x14ac:dyDescent="0.25">
      <c r="A951" s="9"/>
      <c r="B951" s="9"/>
      <c r="C951" s="14"/>
      <c r="D951" s="14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</row>
    <row r="952" spans="1:17" ht="19.5" customHeight="1" x14ac:dyDescent="0.25">
      <c r="A952" s="9"/>
      <c r="B952" s="9"/>
      <c r="C952" s="14"/>
      <c r="D952" s="14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</row>
    <row r="953" spans="1:17" ht="19.5" customHeight="1" x14ac:dyDescent="0.25">
      <c r="A953" s="9"/>
      <c r="B953" s="9"/>
      <c r="C953" s="14"/>
      <c r="D953" s="14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</row>
    <row r="954" spans="1:17" ht="19.5" customHeight="1" x14ac:dyDescent="0.25">
      <c r="A954" s="9"/>
      <c r="B954" s="9"/>
      <c r="C954" s="14"/>
      <c r="D954" s="14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</row>
    <row r="955" spans="1:17" ht="19.5" customHeight="1" x14ac:dyDescent="0.25">
      <c r="A955" s="9"/>
      <c r="B955" s="9"/>
      <c r="C955" s="14"/>
      <c r="D955" s="14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</row>
    <row r="956" spans="1:17" ht="19.5" customHeight="1" x14ac:dyDescent="0.25">
      <c r="A956" s="9"/>
      <c r="B956" s="9"/>
      <c r="C956" s="14"/>
      <c r="D956" s="14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</row>
    <row r="957" spans="1:17" ht="19.5" customHeight="1" x14ac:dyDescent="0.25">
      <c r="A957" s="9"/>
      <c r="B957" s="9"/>
      <c r="C957" s="14"/>
      <c r="D957" s="14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</row>
    <row r="958" spans="1:17" ht="19.5" customHeight="1" x14ac:dyDescent="0.25">
      <c r="A958" s="9"/>
      <c r="B958" s="9"/>
      <c r="C958" s="14"/>
      <c r="D958" s="14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</row>
    <row r="959" spans="1:17" ht="19.5" customHeight="1" x14ac:dyDescent="0.25">
      <c r="A959" s="9"/>
      <c r="B959" s="9"/>
      <c r="C959" s="14"/>
      <c r="D959" s="14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</row>
    <row r="960" spans="1:17" ht="19.5" customHeight="1" x14ac:dyDescent="0.25">
      <c r="A960" s="9"/>
      <c r="B960" s="9"/>
      <c r="C960" s="14"/>
      <c r="D960" s="14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</row>
    <row r="961" spans="1:17" ht="19.5" customHeight="1" x14ac:dyDescent="0.25">
      <c r="A961" s="9"/>
      <c r="B961" s="9"/>
      <c r="C961" s="14"/>
      <c r="D961" s="14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</row>
    <row r="962" spans="1:17" ht="19.5" customHeight="1" x14ac:dyDescent="0.25">
      <c r="A962" s="9"/>
      <c r="B962" s="9"/>
      <c r="C962" s="14"/>
      <c r="D962" s="14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</row>
    <row r="963" spans="1:17" ht="19.5" customHeight="1" x14ac:dyDescent="0.25">
      <c r="A963" s="9"/>
      <c r="B963" s="9"/>
      <c r="C963" s="14"/>
      <c r="D963" s="14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</row>
    <row r="964" spans="1:17" ht="19.5" customHeight="1" x14ac:dyDescent="0.25">
      <c r="A964" s="9"/>
      <c r="B964" s="9"/>
      <c r="C964" s="14"/>
      <c r="D964" s="14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</row>
    <row r="965" spans="1:17" ht="19.5" customHeight="1" x14ac:dyDescent="0.25">
      <c r="A965" s="9"/>
      <c r="B965" s="9"/>
      <c r="C965" s="14"/>
      <c r="D965" s="14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</row>
    <row r="966" spans="1:17" ht="19.5" customHeight="1" x14ac:dyDescent="0.25">
      <c r="A966" s="9"/>
      <c r="B966" s="9"/>
      <c r="C966" s="14"/>
      <c r="D966" s="14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</row>
    <row r="967" spans="1:17" ht="19.5" customHeight="1" x14ac:dyDescent="0.25">
      <c r="A967" s="9"/>
      <c r="B967" s="9"/>
      <c r="C967" s="14"/>
      <c r="D967" s="14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</row>
    <row r="968" spans="1:17" ht="19.5" customHeight="1" x14ac:dyDescent="0.25">
      <c r="A968" s="9"/>
      <c r="B968" s="9"/>
      <c r="C968" s="14"/>
      <c r="D968" s="14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</row>
    <row r="969" spans="1:17" ht="19.5" customHeight="1" x14ac:dyDescent="0.25">
      <c r="A969" s="9"/>
      <c r="B969" s="9"/>
      <c r="C969" s="14"/>
      <c r="D969" s="14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</row>
    <row r="970" spans="1:17" ht="19.5" customHeight="1" x14ac:dyDescent="0.25">
      <c r="A970" s="9"/>
      <c r="B970" s="9"/>
      <c r="C970" s="14"/>
      <c r="D970" s="14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</row>
    <row r="971" spans="1:17" ht="19.5" customHeight="1" x14ac:dyDescent="0.25">
      <c r="A971" s="9"/>
      <c r="B971" s="9"/>
      <c r="C971" s="14"/>
      <c r="D971" s="14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</row>
    <row r="972" spans="1:17" ht="19.5" customHeight="1" x14ac:dyDescent="0.25">
      <c r="A972" s="9"/>
      <c r="B972" s="9"/>
      <c r="C972" s="14"/>
      <c r="D972" s="14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</row>
    <row r="973" spans="1:17" ht="19.5" customHeight="1" x14ac:dyDescent="0.25">
      <c r="A973" s="9"/>
      <c r="B973" s="9"/>
      <c r="C973" s="14"/>
      <c r="D973" s="14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</row>
    <row r="974" spans="1:17" ht="19.5" customHeight="1" x14ac:dyDescent="0.25">
      <c r="A974" s="9"/>
      <c r="B974" s="9"/>
      <c r="C974" s="14"/>
      <c r="D974" s="14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</row>
    <row r="975" spans="1:17" ht="19.5" customHeight="1" x14ac:dyDescent="0.25">
      <c r="A975" s="9"/>
      <c r="B975" s="9"/>
      <c r="C975" s="14"/>
      <c r="D975" s="14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</row>
    <row r="976" spans="1:17" ht="19.5" customHeight="1" x14ac:dyDescent="0.25">
      <c r="A976" s="9"/>
      <c r="B976" s="9"/>
      <c r="C976" s="14"/>
      <c r="D976" s="14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</row>
    <row r="977" spans="1:17" ht="19.5" customHeight="1" x14ac:dyDescent="0.25">
      <c r="A977" s="9"/>
      <c r="B977" s="9"/>
      <c r="C977" s="14"/>
      <c r="D977" s="14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</row>
    <row r="978" spans="1:17" ht="19.5" customHeight="1" x14ac:dyDescent="0.25">
      <c r="A978" s="9"/>
      <c r="B978" s="9"/>
      <c r="C978" s="14"/>
      <c r="D978" s="14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</row>
    <row r="979" spans="1:17" ht="19.5" customHeight="1" x14ac:dyDescent="0.25">
      <c r="A979" s="9"/>
      <c r="B979" s="9"/>
      <c r="C979" s="14"/>
      <c r="D979" s="14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</row>
    <row r="980" spans="1:17" ht="19.5" customHeight="1" x14ac:dyDescent="0.25">
      <c r="A980" s="9"/>
      <c r="B980" s="9"/>
      <c r="C980" s="14"/>
      <c r="D980" s="14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</row>
    <row r="981" spans="1:17" ht="19.5" customHeight="1" x14ac:dyDescent="0.25">
      <c r="A981" s="9"/>
      <c r="B981" s="9"/>
      <c r="C981" s="14"/>
      <c r="D981" s="14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</row>
    <row r="982" spans="1:17" ht="19.5" customHeight="1" x14ac:dyDescent="0.25">
      <c r="A982" s="9"/>
      <c r="B982" s="9"/>
      <c r="C982" s="14"/>
      <c r="D982" s="14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</row>
    <row r="983" spans="1:17" ht="19.5" customHeight="1" x14ac:dyDescent="0.25">
      <c r="A983" s="9"/>
      <c r="B983" s="9"/>
      <c r="C983" s="14"/>
      <c r="D983" s="14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</row>
    <row r="984" spans="1:17" ht="19.5" customHeight="1" x14ac:dyDescent="0.25">
      <c r="A984" s="9"/>
      <c r="B984" s="9"/>
      <c r="C984" s="14"/>
      <c r="D984" s="14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</row>
    <row r="985" spans="1:17" ht="19.5" customHeight="1" x14ac:dyDescent="0.25">
      <c r="A985" s="9"/>
      <c r="B985" s="9"/>
      <c r="C985" s="14"/>
      <c r="D985" s="14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</row>
    <row r="986" spans="1:17" ht="19.5" customHeight="1" x14ac:dyDescent="0.25">
      <c r="A986" s="9"/>
      <c r="B986" s="9"/>
      <c r="C986" s="14"/>
      <c r="D986" s="14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</row>
    <row r="987" spans="1:17" ht="19.5" customHeight="1" x14ac:dyDescent="0.25">
      <c r="A987" s="9"/>
      <c r="B987" s="9"/>
      <c r="C987" s="14"/>
      <c r="D987" s="14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</row>
    <row r="988" spans="1:17" ht="19.5" customHeight="1" x14ac:dyDescent="0.25">
      <c r="A988" s="9"/>
      <c r="B988" s="9"/>
      <c r="C988" s="14"/>
      <c r="D988" s="14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</row>
    <row r="989" spans="1:17" ht="19.5" customHeight="1" x14ac:dyDescent="0.25">
      <c r="A989" s="9"/>
      <c r="B989" s="9"/>
      <c r="C989" s="14"/>
      <c r="D989" s="14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</row>
    <row r="990" spans="1:17" ht="19.5" customHeight="1" x14ac:dyDescent="0.25">
      <c r="A990" s="9"/>
      <c r="B990" s="9"/>
      <c r="C990" s="14"/>
      <c r="D990" s="14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</row>
    <row r="991" spans="1:17" ht="19.5" customHeight="1" x14ac:dyDescent="0.25">
      <c r="A991" s="9"/>
      <c r="B991" s="9"/>
      <c r="C991" s="14"/>
      <c r="D991" s="14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</row>
    <row r="992" spans="1:17" ht="19.5" customHeight="1" x14ac:dyDescent="0.25">
      <c r="A992" s="9"/>
      <c r="B992" s="9"/>
      <c r="C992" s="14"/>
      <c r="D992" s="14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</row>
    <row r="993" spans="1:17" ht="19.5" customHeight="1" x14ac:dyDescent="0.25">
      <c r="A993" s="9"/>
      <c r="B993" s="9"/>
      <c r="C993" s="14"/>
      <c r="D993" s="14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</row>
    <row r="994" spans="1:17" ht="19.5" customHeight="1" x14ac:dyDescent="0.25">
      <c r="A994" s="9"/>
      <c r="B994" s="9"/>
      <c r="C994" s="14"/>
      <c r="D994" s="14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</row>
    <row r="995" spans="1:17" ht="19.5" customHeight="1" x14ac:dyDescent="0.25">
      <c r="A995" s="9"/>
      <c r="B995" s="9"/>
      <c r="C995" s="14"/>
      <c r="D995" s="14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</row>
    <row r="996" spans="1:17" ht="19.5" customHeight="1" x14ac:dyDescent="0.25">
      <c r="A996" s="9"/>
      <c r="B996" s="9"/>
      <c r="C996" s="14"/>
      <c r="D996" s="14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</row>
    <row r="997" spans="1:17" ht="19.5" customHeight="1" x14ac:dyDescent="0.25">
      <c r="A997" s="9"/>
      <c r="B997" s="9"/>
      <c r="C997" s="14"/>
      <c r="D997" s="14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</row>
    <row r="998" spans="1:17" ht="19.5" customHeight="1" x14ac:dyDescent="0.25">
      <c r="A998" s="9"/>
      <c r="B998" s="9"/>
      <c r="C998" s="14"/>
      <c r="D998" s="14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</row>
    <row r="999" spans="1:17" ht="19.5" customHeight="1" x14ac:dyDescent="0.25">
      <c r="A999" s="9"/>
      <c r="B999" s="9"/>
      <c r="C999" s="14"/>
      <c r="D999" s="14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</row>
    <row r="1000" spans="1:17" ht="19.5" customHeight="1" x14ac:dyDescent="0.25">
      <c r="A1000" s="9"/>
      <c r="B1000" s="9"/>
      <c r="C1000" s="14"/>
      <c r="D1000" s="14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</row>
  </sheetData>
  <pageMargins left="0.511811024" right="0.511811024" top="0.78740157499999996" bottom="0.78740157499999996" header="0" footer="0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E4DE-FD74-428E-ACD8-EC8780E0DBD8}">
  <dimension ref="A1:Z1004"/>
  <sheetViews>
    <sheetView showGridLines="0" zoomScale="85" zoomScaleNormal="85" workbookViewId="0">
      <selection activeCell="J21" sqref="J21"/>
    </sheetView>
  </sheetViews>
  <sheetFormatPr defaultColWidth="14.42578125" defaultRowHeight="15" customHeight="1" x14ac:dyDescent="0.25"/>
  <cols>
    <col min="1" max="1" width="62.28515625" customWidth="1"/>
    <col min="2" max="2" width="23.140625" bestFit="1" customWidth="1"/>
    <col min="3" max="3" width="18.7109375" customWidth="1"/>
    <col min="4" max="4" width="22.28515625" hidden="1" customWidth="1"/>
    <col min="5" max="5" width="18.7109375" hidden="1" customWidth="1"/>
    <col min="6" max="6" width="22.28515625" customWidth="1"/>
    <col min="7" max="7" width="18.7109375" customWidth="1"/>
    <col min="8" max="8" width="22.28515625" customWidth="1"/>
    <col min="9" max="9" width="18.7109375" customWidth="1"/>
    <col min="10" max="10" width="57.42578125" customWidth="1"/>
    <col min="11" max="13" width="9.140625" customWidth="1"/>
    <col min="14" max="14" width="10.85546875" customWidth="1"/>
    <col min="15" max="26" width="9.140625" customWidth="1"/>
  </cols>
  <sheetData>
    <row r="1" spans="1:26" s="153" customFormat="1" ht="22.15" customHeight="1" x14ac:dyDescent="0.25">
      <c r="A1" s="202" t="s">
        <v>0</v>
      </c>
      <c r="B1" s="204" t="s">
        <v>143</v>
      </c>
      <c r="C1" s="205"/>
      <c r="D1" s="204" t="s">
        <v>144</v>
      </c>
      <c r="E1" s="205"/>
      <c r="F1" s="204" t="s">
        <v>142</v>
      </c>
      <c r="G1" s="205"/>
      <c r="H1" s="204" t="s">
        <v>71</v>
      </c>
      <c r="I1" s="205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153" customFormat="1" ht="19.5" customHeight="1" x14ac:dyDescent="0.25">
      <c r="A2" s="203"/>
      <c r="B2" s="65" t="s">
        <v>2</v>
      </c>
      <c r="C2" s="62" t="s">
        <v>3</v>
      </c>
      <c r="D2" s="65" t="s">
        <v>2</v>
      </c>
      <c r="E2" s="62" t="s">
        <v>3</v>
      </c>
      <c r="F2" s="65" t="s">
        <v>2</v>
      </c>
      <c r="G2" s="62" t="s">
        <v>3</v>
      </c>
      <c r="H2" s="65" t="s">
        <v>2</v>
      </c>
      <c r="I2" s="62" t="s">
        <v>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 x14ac:dyDescent="0.6">
      <c r="A3" s="35" t="str">
        <f>ORÇAMENTO_EXECUTIVO!A2</f>
        <v>GERENCIAMENTO TÉCNICO E ADMINISTRATIVO</v>
      </c>
      <c r="B3" s="96">
        <f>ORÇAMENTO_EXECUTIVO!B2</f>
        <v>3894011.7347123325</v>
      </c>
      <c r="C3" s="113">
        <f>ORÇAMENTO_EXECUTIVO!D2</f>
        <v>222.44428254293678</v>
      </c>
      <c r="D3" s="96">
        <v>3504714.1301355851</v>
      </c>
      <c r="E3" s="113">
        <v>200.57792502155229</v>
      </c>
      <c r="F3" s="96">
        <f t="shared" ref="F3:F19" si="0">D3*$D$80</f>
        <v>3651768.0004645917</v>
      </c>
      <c r="G3" s="96">
        <f t="shared" ref="G3:G19" si="1">E3*$D$80</f>
        <v>208.99394957641076</v>
      </c>
      <c r="H3" s="96">
        <f>B3-F3</f>
        <v>242243.73424774082</v>
      </c>
      <c r="I3" s="96">
        <f>C3-G3</f>
        <v>13.45033296652602</v>
      </c>
      <c r="J3" s="1" t="s">
        <v>145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6">
      <c r="A4" s="67" t="str">
        <f>ORÇAMENTO_EXECUTIVO!A3</f>
        <v>MOVIMENTAÇÃO DE TERRA</v>
      </c>
      <c r="B4" s="95">
        <f>ORÇAMENTO_EXECUTIVO!B3</f>
        <v>1400464.8625340608</v>
      </c>
      <c r="C4" s="179">
        <f>ORÇAMENTO_EXECUTIVO!D3</f>
        <v>80.001146066396089</v>
      </c>
      <c r="D4" s="95">
        <v>1364651.1220984331</v>
      </c>
      <c r="E4" s="179">
        <v>78.100204548850741</v>
      </c>
      <c r="F4" s="95">
        <f t="shared" si="0"/>
        <v>1421910.3511544797</v>
      </c>
      <c r="G4" s="95">
        <f t="shared" si="1"/>
        <v>81.377201452433084</v>
      </c>
      <c r="H4" s="95">
        <f>B4-F4</f>
        <v>-21445.488620418822</v>
      </c>
      <c r="I4" s="95">
        <f>C4-G4</f>
        <v>-1.3760553860369953</v>
      </c>
      <c r="J4" s="1" t="s">
        <v>148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25">
      <c r="A5" s="35" t="s">
        <v>81</v>
      </c>
      <c r="B5" s="96">
        <f>ORÇAMENTO_EXECUTIVO!B4+ORÇAMENTO_EXECUTIVO!B5</f>
        <v>5478291.13899046</v>
      </c>
      <c r="C5" s="113">
        <f>ORÇAMENTO_EXECUTIVO!D4+ORÇAMENTO_EXECUTIVO!D5</f>
        <v>312.94578059716224</v>
      </c>
      <c r="D5" s="96">
        <v>6317421.6594793368</v>
      </c>
      <c r="E5" s="113">
        <v>361.55169320344987</v>
      </c>
      <c r="F5" s="96">
        <f t="shared" si="0"/>
        <v>6582493.5800501574</v>
      </c>
      <c r="G5" s="96">
        <f t="shared" si="1"/>
        <v>376.72199635382867</v>
      </c>
      <c r="H5" s="96">
        <f t="shared" ref="H5:H19" si="2">B5-F5</f>
        <v>-1104202.4410596974</v>
      </c>
      <c r="I5" s="96">
        <f t="shared" ref="I5:I19" si="3">C5-G5</f>
        <v>-63.776215756666431</v>
      </c>
      <c r="J5" s="4" t="s">
        <v>147</v>
      </c>
      <c r="K5" s="5"/>
      <c r="L5" s="3"/>
      <c r="M5" s="4"/>
      <c r="N5" s="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 x14ac:dyDescent="0.25">
      <c r="A6" s="34" t="str">
        <f>ORÇAMENTO_EXECUTIVO!A6</f>
        <v>SUPRAESTRUTURA</v>
      </c>
      <c r="B6" s="97">
        <f>ORÇAMENTO_EXECUTIVO!B6</f>
        <v>11888495.22749904</v>
      </c>
      <c r="C6" s="191">
        <f>ORÇAMENTO_EXECUTIVO!D6</f>
        <v>679.12681613721804</v>
      </c>
      <c r="D6" s="97">
        <v>10402967.662989922</v>
      </c>
      <c r="E6" s="191">
        <v>595.37114595651826</v>
      </c>
      <c r="F6" s="97">
        <f t="shared" si="0"/>
        <v>10839464.507224971</v>
      </c>
      <c r="G6" s="97">
        <f t="shared" si="1"/>
        <v>620.35225084672936</v>
      </c>
      <c r="H6" s="97">
        <f t="shared" si="2"/>
        <v>1049030.7202740684</v>
      </c>
      <c r="I6" s="97">
        <f t="shared" si="3"/>
        <v>58.774565290488681</v>
      </c>
      <c r="J6" s="3" t="s">
        <v>154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 x14ac:dyDescent="0.6">
      <c r="A7" s="35" t="str">
        <f>ORÇAMENTO_EXECUTIVO!A7</f>
        <v>ALVENARIA</v>
      </c>
      <c r="B7" s="96">
        <f>ORÇAMENTO_EXECUTIVO!B7</f>
        <v>2669932.4038596</v>
      </c>
      <c r="C7" s="113">
        <f>ORÇAMENTO_EXECUTIVO!D7</f>
        <v>152.51910843523999</v>
      </c>
      <c r="D7" s="96">
        <v>2649104.4202035205</v>
      </c>
      <c r="E7" s="113">
        <v>151.61061588475073</v>
      </c>
      <c r="F7" s="96">
        <f t="shared" si="0"/>
        <v>2760257.8676550351</v>
      </c>
      <c r="G7" s="96">
        <f t="shared" si="1"/>
        <v>157.97202712143681</v>
      </c>
      <c r="H7" s="96">
        <f t="shared" si="2"/>
        <v>-90325.463795435149</v>
      </c>
      <c r="I7" s="96">
        <f t="shared" si="3"/>
        <v>-5.4529186861968242</v>
      </c>
      <c r="J7" s="1" t="s">
        <v>148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 x14ac:dyDescent="0.25">
      <c r="A8" s="34" t="str">
        <f>ORÇAMENTO_EXECUTIVO!A8</f>
        <v>INSTALAÇÕES ELÉTRICAS, HIDRÁULICAS, GLP E PREVENTIVAS</v>
      </c>
      <c r="B8" s="97">
        <f>ORÇAMENTO_EXECUTIVO!B8</f>
        <v>6824216.4661030415</v>
      </c>
      <c r="C8" s="191">
        <f>ORÇAMENTO_EXECUTIVO!D8</f>
        <v>389.8313716386703</v>
      </c>
      <c r="D8" s="97">
        <v>6444580.4405203201</v>
      </c>
      <c r="E8" s="191">
        <v>368.82910399999997</v>
      </c>
      <c r="F8" s="97">
        <f t="shared" si="0"/>
        <v>6714987.8007886633</v>
      </c>
      <c r="G8" s="97">
        <f t="shared" si="1"/>
        <v>384.3047591374081</v>
      </c>
      <c r="H8" s="97">
        <f t="shared" si="2"/>
        <v>109228.66531437822</v>
      </c>
      <c r="I8" s="97">
        <f t="shared" si="3"/>
        <v>5.5266125012622069</v>
      </c>
      <c r="J8" s="3" t="s">
        <v>152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 x14ac:dyDescent="0.25">
      <c r="A9" s="35" t="str">
        <f>ORÇAMENTO_EXECUTIVO!A9</f>
        <v>EQUIPAMENTOS E SISTEMAS ESPECIAIS</v>
      </c>
      <c r="B9" s="96">
        <f>ORÇAMENTO_EXECUTIVO!B9</f>
        <v>3389279.8719215216</v>
      </c>
      <c r="C9" s="113">
        <f>ORÇAMENTO_EXECUTIVO!D9</f>
        <v>193.61162236006854</v>
      </c>
      <c r="D9" s="96">
        <v>3372799.0120000006</v>
      </c>
      <c r="E9" s="113">
        <v>193.02830479800929</v>
      </c>
      <c r="F9" s="96">
        <f t="shared" si="0"/>
        <v>3514317.8720667022</v>
      </c>
      <c r="G9" s="96">
        <f t="shared" si="1"/>
        <v>201.12755576387801</v>
      </c>
      <c r="H9" s="96">
        <f t="shared" si="2"/>
        <v>-125038.00014518062</v>
      </c>
      <c r="I9" s="96">
        <f t="shared" si="3"/>
        <v>-7.5159334038094698</v>
      </c>
      <c r="J9" s="3" t="s">
        <v>153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 x14ac:dyDescent="0.25">
      <c r="A10" s="34" t="str">
        <f>ORÇAMENTO_EXECUTIVO!A10</f>
        <v>IMPERMEABILIZAÇÃO</v>
      </c>
      <c r="B10" s="97">
        <f>ORÇAMENTO_EXECUTIVO!B10</f>
        <v>963633.78227384016</v>
      </c>
      <c r="C10" s="191">
        <f>ORÇAMENTO_EXECUTIVO!D10</f>
        <v>55.047298245462592</v>
      </c>
      <c r="D10" s="97">
        <v>646679.99722168013</v>
      </c>
      <c r="E10" s="191">
        <v>37.010074767681488</v>
      </c>
      <c r="F10" s="97">
        <f t="shared" si="0"/>
        <v>673813.9639090345</v>
      </c>
      <c r="G10" s="97">
        <f t="shared" si="1"/>
        <v>38.562975955528991</v>
      </c>
      <c r="H10" s="97">
        <f t="shared" si="2"/>
        <v>289819.81836480566</v>
      </c>
      <c r="I10" s="97">
        <f t="shared" si="3"/>
        <v>16.484322289933601</v>
      </c>
      <c r="J10" s="3" t="s">
        <v>156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 x14ac:dyDescent="0.25">
      <c r="A11" s="35" t="str">
        <f>ORÇAMENTO_EXECUTIVO!A11</f>
        <v>REVESTIMENTOS INTERNOS EM PISO E PAREDE</v>
      </c>
      <c r="B11" s="96">
        <f>ORÇAMENTO_EXECUTIVO!B11</f>
        <v>3955585.0851409007</v>
      </c>
      <c r="C11" s="113">
        <f>ORÇAMENTO_EXECUTIVO!D11</f>
        <v>225.96164219487412</v>
      </c>
      <c r="D11" s="96">
        <v>3911886.3832203196</v>
      </c>
      <c r="E11" s="113">
        <v>223.8807573261451</v>
      </c>
      <c r="F11" s="96">
        <f t="shared" si="0"/>
        <v>4076024.7441763477</v>
      </c>
      <c r="G11" s="96">
        <f t="shared" si="1"/>
        <v>233.2745425635519</v>
      </c>
      <c r="H11" s="96">
        <f t="shared" si="2"/>
        <v>-120439.65903544705</v>
      </c>
      <c r="I11" s="96">
        <f t="shared" si="3"/>
        <v>-7.3129003686777878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 x14ac:dyDescent="0.25">
      <c r="A12" s="34" t="str">
        <f>ORÇAMENTO_EXECUTIVO!A12</f>
        <v>REVESTIMENTOS E ACABAMENTOS INTERNOS EM TETO</v>
      </c>
      <c r="B12" s="97">
        <f>ORÇAMENTO_EXECUTIVO!B12</f>
        <v>1140245.0577967202</v>
      </c>
      <c r="C12" s="191">
        <f>ORÇAMENTO_EXECUTIVO!D12</f>
        <v>65.136165755149804</v>
      </c>
      <c r="D12" s="97">
        <v>1954740.9272817601</v>
      </c>
      <c r="E12" s="191">
        <v>111.871572</v>
      </c>
      <c r="F12" s="97">
        <f t="shared" si="0"/>
        <v>2036759.6620982781</v>
      </c>
      <c r="G12" s="97">
        <f t="shared" si="1"/>
        <v>116.56557756836676</v>
      </c>
      <c r="H12" s="97">
        <f t="shared" si="2"/>
        <v>-896514.60430155788</v>
      </c>
      <c r="I12" s="97">
        <f t="shared" si="3"/>
        <v>-51.429411813216959</v>
      </c>
      <c r="J12" s="3" t="s">
        <v>155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 x14ac:dyDescent="0.25">
      <c r="A13" s="35" t="str">
        <f>ORÇAMENTO_EXECUTIVO!A13</f>
        <v>ACABAMENTOS EM PISO E PAREDE</v>
      </c>
      <c r="B13" s="96">
        <f>ORÇAMENTO_EXECUTIVO!B13</f>
        <v>4304402.0710772807</v>
      </c>
      <c r="C13" s="113">
        <f>ORÇAMENTO_EXECUTIVO!D13</f>
        <v>245.88771059464995</v>
      </c>
      <c r="D13" s="96">
        <v>3486357.6104902402</v>
      </c>
      <c r="E13" s="113">
        <v>199.52736498031484</v>
      </c>
      <c r="F13" s="96">
        <f t="shared" si="0"/>
        <v>3632641.2618628964</v>
      </c>
      <c r="G13" s="96">
        <f t="shared" si="1"/>
        <v>207.89930921525547</v>
      </c>
      <c r="H13" s="96">
        <f t="shared" si="2"/>
        <v>671760.8092143843</v>
      </c>
      <c r="I13" s="200">
        <f t="shared" si="3"/>
        <v>37.988401379394475</v>
      </c>
      <c r="J13" s="3" t="s">
        <v>160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 x14ac:dyDescent="0.25">
      <c r="A14" s="34" t="str">
        <f>ORÇAMENTO_EXECUTIVO!A14</f>
        <v>PINTURA INTERNA</v>
      </c>
      <c r="B14" s="97">
        <f>ORÇAMENTO_EXECUTIVO!B14</f>
        <v>2594671.0421358002</v>
      </c>
      <c r="C14" s="191">
        <f>ORÇAMENTO_EXECUTIVO!D14</f>
        <v>148.21982513760199</v>
      </c>
      <c r="D14" s="97">
        <v>2122696.7540171999</v>
      </c>
      <c r="E14" s="191">
        <v>121.48383421910731</v>
      </c>
      <c r="F14" s="97">
        <f t="shared" si="0"/>
        <v>2211762.7267677286</v>
      </c>
      <c r="G14" s="97">
        <f t="shared" si="1"/>
        <v>126.58115951897021</v>
      </c>
      <c r="H14" s="97">
        <f t="shared" si="2"/>
        <v>382908.31536807166</v>
      </c>
      <c r="I14" s="201">
        <f t="shared" si="3"/>
        <v>21.638665618631777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25">
      <c r="A15" s="35" t="str">
        <f>ORÇAMENTO_EXECUTIVO!A15</f>
        <v>ESQUADRIAS, VIDROS E FERRAGENS</v>
      </c>
      <c r="B15" s="96">
        <f>ORÇAMENTO_EXECUTIVO!B15</f>
        <v>5911420.3508506799</v>
      </c>
      <c r="C15" s="113">
        <f>ORÇAMENTO_EXECUTIVO!D15</f>
        <v>337.68816026740529</v>
      </c>
      <c r="D15" s="96">
        <v>5968623.1723734401</v>
      </c>
      <c r="E15" s="113">
        <v>341.58964374760717</v>
      </c>
      <c r="F15" s="96">
        <f t="shared" si="0"/>
        <v>6219059.9000043329</v>
      </c>
      <c r="G15" s="96">
        <f t="shared" si="1"/>
        <v>355.92236171323731</v>
      </c>
      <c r="H15" s="96">
        <f t="shared" si="2"/>
        <v>-307639.54915365297</v>
      </c>
      <c r="I15" s="96">
        <f t="shared" si="3"/>
        <v>-18.234201445832014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25">
      <c r="A16" s="34" t="s">
        <v>39</v>
      </c>
      <c r="B16" s="97"/>
      <c r="C16" s="191"/>
      <c r="D16" s="97">
        <v>389789.62706503994</v>
      </c>
      <c r="E16" s="191">
        <v>22.308009066806761</v>
      </c>
      <c r="F16" s="97">
        <f t="shared" si="0"/>
        <v>406144.76221890101</v>
      </c>
      <c r="G16" s="97">
        <f t="shared" si="1"/>
        <v>23.244028083137088</v>
      </c>
      <c r="H16" s="97">
        <f t="shared" si="2"/>
        <v>-406144.76221890101</v>
      </c>
      <c r="I16" s="97">
        <f t="shared" si="3"/>
        <v>-23.244028083137088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25">
      <c r="A17" s="35" t="str">
        <f>ORÇAMENTO_EXECUTIVO!A16</f>
        <v>REVESTIMENTOS E ACABAMENTOS DE FACHADA</v>
      </c>
      <c r="B17" s="96">
        <f>ORÇAMENTO_EXECUTIVO!B16</f>
        <v>2143436.7271750201</v>
      </c>
      <c r="C17" s="113">
        <f>ORÇAMENTO_EXECUTIVO!D16</f>
        <v>122.44319674292167</v>
      </c>
      <c r="D17" s="96">
        <v>1910131.0763035202</v>
      </c>
      <c r="E17" s="113">
        <v>109.31851032007637</v>
      </c>
      <c r="F17" s="96">
        <f t="shared" si="0"/>
        <v>1990278.0318542935</v>
      </c>
      <c r="G17" s="96">
        <f t="shared" si="1"/>
        <v>113.90539228655126</v>
      </c>
      <c r="H17" s="96">
        <f t="shared" si="2"/>
        <v>153158.69532072661</v>
      </c>
      <c r="I17" s="96">
        <f t="shared" si="3"/>
        <v>8.5378044563704094</v>
      </c>
      <c r="J17" s="3" t="s">
        <v>161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 x14ac:dyDescent="0.25">
      <c r="A18" s="34" t="str">
        <f>ORÇAMENTO_EXECUTIVO!A17</f>
        <v>SERVIÇOS COMPLEMENTARES</v>
      </c>
      <c r="B18" s="97">
        <f>ORÇAMENTO_EXECUTIVO!B17</f>
        <v>2620073.8056657603</v>
      </c>
      <c r="C18" s="191">
        <f>ORÇAMENTO_EXECUTIVO!D17</f>
        <v>149.67095058174431</v>
      </c>
      <c r="D18" s="97">
        <v>2243441.2900867201</v>
      </c>
      <c r="E18" s="191">
        <v>128.39415203768996</v>
      </c>
      <c r="F18" s="97">
        <f t="shared" si="0"/>
        <v>2337573.5680167289</v>
      </c>
      <c r="G18" s="97">
        <f t="shared" si="1"/>
        <v>133.78142651534409</v>
      </c>
      <c r="H18" s="97">
        <f t="shared" si="2"/>
        <v>282500.23764903145</v>
      </c>
      <c r="I18" s="97">
        <f t="shared" si="3"/>
        <v>15.889524066400213</v>
      </c>
      <c r="J18" s="3" t="s">
        <v>157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 x14ac:dyDescent="0.25">
      <c r="A19" s="35" t="str">
        <f>ORÇAMENTO_EXECUTIVO!A18</f>
        <v>IMPREVISTOS E CONTINGENCIAS</v>
      </c>
      <c r="B19" s="96">
        <f>ORÇAMENTO_EXECUTIVO!B18</f>
        <v>1810898.4309272654</v>
      </c>
      <c r="C19" s="113">
        <f>ORÇAMENTO_EXECUTIVO!D18</f>
        <v>103.44704373509133</v>
      </c>
      <c r="D19" s="96">
        <v>2139091.761357835</v>
      </c>
      <c r="E19" s="113">
        <v>122.4221351563568</v>
      </c>
      <c r="F19" s="96">
        <f t="shared" si="0"/>
        <v>2228845.6502105021</v>
      </c>
      <c r="G19" s="96">
        <f t="shared" si="1"/>
        <v>127.55883051016204</v>
      </c>
      <c r="H19" s="96">
        <f t="shared" si="2"/>
        <v>-417947.21928323666</v>
      </c>
      <c r="I19" s="96">
        <f t="shared" si="3"/>
        <v>-24.111786775070712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s="153" customFormat="1" ht="19.5" customHeight="1" x14ac:dyDescent="0.25">
      <c r="A20" s="195" t="s">
        <v>15</v>
      </c>
      <c r="B20" s="196">
        <f t="shared" ref="B20:I20" si="4">SUM(B3:B19)</f>
        <v>60989058.058663309</v>
      </c>
      <c r="C20" s="196">
        <f t="shared" si="4"/>
        <v>3483.9821210325936</v>
      </c>
      <c r="D20" s="196">
        <f t="shared" si="4"/>
        <v>58829677.046844862</v>
      </c>
      <c r="E20" s="196">
        <f t="shared" si="4"/>
        <v>3366.8750470349169</v>
      </c>
      <c r="F20" s="196">
        <f t="shared" si="4"/>
        <v>61298104.250523649</v>
      </c>
      <c r="G20" s="196">
        <f t="shared" si="4"/>
        <v>3508.1453441822305</v>
      </c>
      <c r="H20" s="196">
        <f t="shared" si="4"/>
        <v>-309046.19186032045</v>
      </c>
      <c r="I20" s="196">
        <f t="shared" si="4"/>
        <v>-24.163223149636899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s="153" customFormat="1" ht="19.5" customHeight="1" x14ac:dyDescent="0.25">
      <c r="A21" s="197" t="s">
        <v>54</v>
      </c>
      <c r="B21" s="198">
        <v>2965.54</v>
      </c>
      <c r="C21" s="198">
        <f>C20/B21</f>
        <v>1.1748221642711256</v>
      </c>
      <c r="D21" s="198">
        <v>2846.12</v>
      </c>
      <c r="E21" s="198">
        <f>E20/D21</f>
        <v>1.1829701653601805</v>
      </c>
      <c r="F21" s="198"/>
      <c r="G21" s="198">
        <f>G20/B21</f>
        <v>1.1829701653601807</v>
      </c>
      <c r="H21" s="198"/>
      <c r="I21" s="199">
        <f>H20/B20</f>
        <v>-5.0672399557812383E-3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1.75" customHeight="1" x14ac:dyDescent="0.6">
      <c r="A22" s="192"/>
      <c r="B22" s="193">
        <v>45839</v>
      </c>
      <c r="C22" s="192"/>
      <c r="D22" s="193">
        <v>45566</v>
      </c>
      <c r="E22" s="192"/>
      <c r="F22" s="194"/>
      <c r="G22" s="192"/>
      <c r="H22" s="194"/>
      <c r="I22" s="19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.75" customHeight="1" x14ac:dyDescent="0.6">
      <c r="A23" s="1"/>
      <c r="B23" s="6"/>
      <c r="C23" s="1"/>
      <c r="D23" s="190">
        <v>45566</v>
      </c>
      <c r="E23" s="1"/>
      <c r="F23" s="6"/>
      <c r="G23" s="1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.75" customHeight="1" x14ac:dyDescent="0.6">
      <c r="A24" s="1"/>
      <c r="B24" s="6"/>
      <c r="C24" s="1"/>
      <c r="D24" s="6">
        <v>2846.12</v>
      </c>
      <c r="E24" s="1"/>
      <c r="F24" s="6"/>
      <c r="G24" s="1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.75" hidden="1" customHeight="1" x14ac:dyDescent="0.6">
      <c r="A25" s="1"/>
      <c r="B25" s="6">
        <v>2007.57</v>
      </c>
      <c r="C25" s="1"/>
      <c r="D25" s="190">
        <f>ORÇAMENTO_EXECUTIVO!C20</f>
        <v>45839</v>
      </c>
      <c r="E25" s="1"/>
      <c r="F25" s="6">
        <v>2007.57</v>
      </c>
      <c r="G25" s="1"/>
      <c r="H25" s="6">
        <v>2007.57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75" hidden="1" customHeight="1" x14ac:dyDescent="0.6">
      <c r="A26" s="1"/>
      <c r="B26" s="6">
        <v>2461.35</v>
      </c>
      <c r="C26" s="1"/>
      <c r="D26" s="6">
        <v>2007.57</v>
      </c>
      <c r="E26" s="1"/>
      <c r="F26" s="6">
        <v>2461.35</v>
      </c>
      <c r="G26" s="1"/>
      <c r="H26" s="6">
        <v>2461.35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.75" hidden="1" customHeight="1" x14ac:dyDescent="0.6">
      <c r="A27" s="1"/>
      <c r="B27" s="6">
        <f>B26/B25</f>
        <v>1.2260344595705255</v>
      </c>
      <c r="C27" s="1"/>
      <c r="D27" s="6">
        <v>2461.35</v>
      </c>
      <c r="E27" s="1"/>
      <c r="F27" s="6">
        <f>F26/F25</f>
        <v>1.2260344595705255</v>
      </c>
      <c r="G27" s="1"/>
      <c r="H27" s="6">
        <f>H26/H25</f>
        <v>1.2260344595705255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75" hidden="1" customHeight="1" x14ac:dyDescent="0.6">
      <c r="A28" s="1"/>
      <c r="B28" s="6"/>
      <c r="C28" s="1"/>
      <c r="D28" s="6">
        <f>D27/D26</f>
        <v>1.2260344595705255</v>
      </c>
      <c r="E28" s="1"/>
      <c r="F28" s="6"/>
      <c r="G28" s="1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.75" hidden="1" customHeight="1" x14ac:dyDescent="0.6">
      <c r="A29" s="1"/>
      <c r="B29" s="6"/>
      <c r="C29" s="1"/>
      <c r="D29" s="6"/>
      <c r="E29" s="1"/>
      <c r="F29" s="6"/>
      <c r="G29" s="1"/>
      <c r="H29" s="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.75" hidden="1" customHeight="1" x14ac:dyDescent="0.6">
      <c r="A30" s="1"/>
      <c r="B30" s="6"/>
      <c r="C30" s="1">
        <v>1.1023000000000001</v>
      </c>
      <c r="D30" s="6"/>
      <c r="E30" s="1">
        <v>1.1023000000000001</v>
      </c>
      <c r="F30" s="6"/>
      <c r="G30" s="1">
        <v>1.1023000000000001</v>
      </c>
      <c r="H30" s="6"/>
      <c r="I30" s="1">
        <v>1.1023000000000001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.75" hidden="1" customHeight="1" x14ac:dyDescent="0.6">
      <c r="A31" s="1"/>
      <c r="B31" s="6"/>
      <c r="C31" s="1"/>
      <c r="D31" s="6"/>
      <c r="E31" s="1"/>
      <c r="F31" s="6"/>
      <c r="G31" s="1"/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.75" hidden="1" customHeight="1" x14ac:dyDescent="0.6">
      <c r="A32" s="7" t="s">
        <v>16</v>
      </c>
      <c r="B32" s="6">
        <v>900</v>
      </c>
      <c r="C32" s="6"/>
      <c r="D32" s="6"/>
      <c r="E32" s="6"/>
      <c r="F32" s="6">
        <v>900</v>
      </c>
      <c r="G32" s="6"/>
      <c r="H32" s="6">
        <v>900</v>
      </c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.75" hidden="1" customHeight="1" x14ac:dyDescent="0.6">
      <c r="A33" s="8" t="s">
        <v>17</v>
      </c>
      <c r="B33" s="6">
        <v>25</v>
      </c>
      <c r="C33" s="6"/>
      <c r="D33" s="6">
        <v>900</v>
      </c>
      <c r="E33" s="6"/>
      <c r="F33" s="6">
        <v>25</v>
      </c>
      <c r="G33" s="6"/>
      <c r="H33" s="6">
        <v>25</v>
      </c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.75" hidden="1" customHeight="1" x14ac:dyDescent="0.6">
      <c r="A34" s="7" t="s">
        <v>18</v>
      </c>
      <c r="B34" s="6">
        <v>15</v>
      </c>
      <c r="C34" s="6"/>
      <c r="D34" s="6">
        <v>25</v>
      </c>
      <c r="E34" s="6"/>
      <c r="F34" s="6">
        <v>15</v>
      </c>
      <c r="G34" s="6"/>
      <c r="H34" s="6">
        <v>15</v>
      </c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hidden="1" customHeight="1" x14ac:dyDescent="0.6">
      <c r="A35" s="8" t="s">
        <v>19</v>
      </c>
      <c r="B35" s="6">
        <v>150</v>
      </c>
      <c r="C35" s="6"/>
      <c r="D35" s="6">
        <v>15</v>
      </c>
      <c r="E35" s="6"/>
      <c r="F35" s="6">
        <v>150</v>
      </c>
      <c r="G35" s="6"/>
      <c r="H35" s="6">
        <v>150</v>
      </c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hidden="1" customHeight="1" x14ac:dyDescent="0.6">
      <c r="A36" s="7" t="s">
        <v>20</v>
      </c>
      <c r="B36" s="6">
        <v>440</v>
      </c>
      <c r="C36" s="6"/>
      <c r="D36" s="6">
        <v>150</v>
      </c>
      <c r="E36" s="6"/>
      <c r="F36" s="6">
        <v>440</v>
      </c>
      <c r="G36" s="6"/>
      <c r="H36" s="6">
        <v>440</v>
      </c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hidden="1" customHeight="1" x14ac:dyDescent="0.6">
      <c r="A37" s="8" t="s">
        <v>21</v>
      </c>
      <c r="B37" s="6"/>
      <c r="C37" s="6"/>
      <c r="D37" s="6">
        <v>440</v>
      </c>
      <c r="E37" s="6"/>
      <c r="F37" s="6"/>
      <c r="G37" s="6"/>
      <c r="H37" s="6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hidden="1" customHeight="1" x14ac:dyDescent="0.6">
      <c r="A38" s="7" t="s">
        <v>22</v>
      </c>
      <c r="B38" s="6">
        <v>55</v>
      </c>
      <c r="C38" s="6"/>
      <c r="D38" s="6"/>
      <c r="E38" s="6"/>
      <c r="F38" s="6">
        <v>55</v>
      </c>
      <c r="G38" s="6"/>
      <c r="H38" s="6">
        <v>55</v>
      </c>
      <c r="I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hidden="1" customHeight="1" x14ac:dyDescent="0.6">
      <c r="A39" s="8" t="s">
        <v>23</v>
      </c>
      <c r="B39" s="6">
        <v>170</v>
      </c>
      <c r="C39" s="6"/>
      <c r="D39" s="6">
        <v>55</v>
      </c>
      <c r="E39" s="6"/>
      <c r="F39" s="6">
        <v>170</v>
      </c>
      <c r="G39" s="6"/>
      <c r="H39" s="6">
        <v>170</v>
      </c>
      <c r="I39" s="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.75" hidden="1" customHeight="1" x14ac:dyDescent="0.6">
      <c r="A40" s="7" t="s">
        <v>24</v>
      </c>
      <c r="B40" s="6">
        <v>165</v>
      </c>
      <c r="C40" s="6"/>
      <c r="D40" s="6">
        <v>170</v>
      </c>
      <c r="E40" s="6"/>
      <c r="F40" s="6">
        <v>165</v>
      </c>
      <c r="G40" s="6"/>
      <c r="H40" s="6">
        <v>165</v>
      </c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.75" hidden="1" customHeight="1" x14ac:dyDescent="0.6">
      <c r="A41" s="8" t="s">
        <v>25</v>
      </c>
      <c r="B41" s="6">
        <v>40</v>
      </c>
      <c r="C41" s="6"/>
      <c r="D41" s="6">
        <v>165</v>
      </c>
      <c r="E41" s="6"/>
      <c r="F41" s="6">
        <v>40</v>
      </c>
      <c r="G41" s="6"/>
      <c r="H41" s="6">
        <v>40</v>
      </c>
      <c r="I41" s="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.75" hidden="1" customHeight="1" x14ac:dyDescent="0.6">
      <c r="A42" s="7" t="s">
        <v>26</v>
      </c>
      <c r="B42" s="6">
        <v>55</v>
      </c>
      <c r="C42" s="6"/>
      <c r="D42" s="6">
        <v>40</v>
      </c>
      <c r="E42" s="6"/>
      <c r="F42" s="6">
        <v>55</v>
      </c>
      <c r="G42" s="6"/>
      <c r="H42" s="6">
        <v>55</v>
      </c>
      <c r="I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.75" hidden="1" customHeight="1" x14ac:dyDescent="0.6">
      <c r="A43" s="8" t="s">
        <v>27</v>
      </c>
      <c r="B43" s="6">
        <v>35</v>
      </c>
      <c r="C43" s="6"/>
      <c r="D43" s="6">
        <v>55</v>
      </c>
      <c r="E43" s="6"/>
      <c r="F43" s="6">
        <v>35</v>
      </c>
      <c r="G43" s="6"/>
      <c r="H43" s="6">
        <v>35</v>
      </c>
      <c r="I43" s="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hidden="1" customHeight="1" x14ac:dyDescent="0.6">
      <c r="A44" s="7" t="s">
        <v>28</v>
      </c>
      <c r="B44" s="6">
        <v>130</v>
      </c>
      <c r="C44" s="6"/>
      <c r="D44" s="6">
        <v>35</v>
      </c>
      <c r="E44" s="6"/>
      <c r="F44" s="6">
        <v>130</v>
      </c>
      <c r="G44" s="6"/>
      <c r="H44" s="6">
        <v>130</v>
      </c>
      <c r="I44" s="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.75" hidden="1" customHeight="1" x14ac:dyDescent="0.6">
      <c r="A45" s="8" t="s">
        <v>29</v>
      </c>
      <c r="B45" s="6">
        <v>35</v>
      </c>
      <c r="C45" s="6"/>
      <c r="D45" s="6">
        <v>130</v>
      </c>
      <c r="E45" s="6"/>
      <c r="F45" s="6">
        <v>35</v>
      </c>
      <c r="G45" s="6"/>
      <c r="H45" s="6">
        <v>35</v>
      </c>
      <c r="I45" s="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.75" hidden="1" customHeight="1" x14ac:dyDescent="0.6">
      <c r="A46" s="7" t="s">
        <v>30</v>
      </c>
      <c r="B46" s="6">
        <v>35</v>
      </c>
      <c r="C46" s="6"/>
      <c r="D46" s="6">
        <v>35</v>
      </c>
      <c r="E46" s="6"/>
      <c r="F46" s="6">
        <v>35</v>
      </c>
      <c r="G46" s="6"/>
      <c r="H46" s="6">
        <v>35</v>
      </c>
      <c r="I46" s="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.75" hidden="1" customHeight="1" x14ac:dyDescent="0.6">
      <c r="A47" s="8" t="s">
        <v>31</v>
      </c>
      <c r="B47" s="6">
        <v>430</v>
      </c>
      <c r="C47" s="6"/>
      <c r="D47" s="6">
        <v>35</v>
      </c>
      <c r="E47" s="6"/>
      <c r="F47" s="6">
        <v>430</v>
      </c>
      <c r="G47" s="6"/>
      <c r="H47" s="6">
        <v>430</v>
      </c>
      <c r="I47" s="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.75" hidden="1" customHeight="1" x14ac:dyDescent="0.6">
      <c r="A48" s="7" t="s">
        <v>27</v>
      </c>
      <c r="B48" s="6">
        <v>35</v>
      </c>
      <c r="C48" s="6"/>
      <c r="D48" s="6">
        <v>430</v>
      </c>
      <c r="E48" s="6"/>
      <c r="F48" s="6">
        <v>35</v>
      </c>
      <c r="G48" s="6"/>
      <c r="H48" s="6">
        <v>35</v>
      </c>
      <c r="I48" s="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.75" hidden="1" customHeight="1" x14ac:dyDescent="0.6">
      <c r="A49" s="8" t="s">
        <v>32</v>
      </c>
      <c r="B49" s="6">
        <v>150</v>
      </c>
      <c r="C49" s="6"/>
      <c r="D49" s="6">
        <v>35</v>
      </c>
      <c r="E49" s="6"/>
      <c r="F49" s="6">
        <v>150</v>
      </c>
      <c r="G49" s="6"/>
      <c r="H49" s="6">
        <v>150</v>
      </c>
      <c r="I49" s="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.75" hidden="1" customHeight="1" x14ac:dyDescent="0.6">
      <c r="A50" s="1"/>
      <c r="B50" s="6"/>
      <c r="C50" s="1"/>
      <c r="D50" s="6">
        <v>150</v>
      </c>
      <c r="E50" s="1"/>
      <c r="F50" s="6"/>
      <c r="G50" s="1"/>
      <c r="H50" s="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75" hidden="1" customHeight="1" x14ac:dyDescent="0.6">
      <c r="A51" s="1"/>
      <c r="B51" s="6"/>
      <c r="C51" s="1"/>
      <c r="D51" s="6"/>
      <c r="E51" s="1"/>
      <c r="F51" s="6"/>
      <c r="G51" s="1"/>
      <c r="H51" s="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.75" hidden="1" customHeight="1" x14ac:dyDescent="0.6">
      <c r="A52" s="1"/>
      <c r="B52" s="6"/>
      <c r="C52" s="1"/>
      <c r="D52" s="6"/>
      <c r="E52" s="1"/>
      <c r="F52" s="6"/>
      <c r="G52" s="1"/>
      <c r="H52" s="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.75" hidden="1" customHeight="1" x14ac:dyDescent="0.6">
      <c r="A53" s="1"/>
      <c r="B53" s="6"/>
      <c r="C53" s="1"/>
      <c r="D53" s="6"/>
      <c r="E53" s="1"/>
      <c r="F53" s="6"/>
      <c r="G53" s="1"/>
      <c r="H53" s="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.75" hidden="1" customHeight="1" x14ac:dyDescent="0.6">
      <c r="A54" s="1"/>
      <c r="B54" s="6"/>
      <c r="C54" s="1"/>
      <c r="D54" s="6"/>
      <c r="E54" s="1"/>
      <c r="F54" s="6"/>
      <c r="G54" s="1"/>
      <c r="H54" s="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.75" hidden="1" customHeight="1" x14ac:dyDescent="0.6">
      <c r="A55" s="1"/>
      <c r="B55" s="6"/>
      <c r="C55" s="1"/>
      <c r="D55" s="6"/>
      <c r="E55" s="1"/>
      <c r="F55" s="6"/>
      <c r="G55" s="1"/>
      <c r="H55" s="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.75" hidden="1" customHeight="1" x14ac:dyDescent="0.6">
      <c r="A56" s="1"/>
      <c r="B56" s="6"/>
      <c r="C56" s="1"/>
      <c r="D56" s="6"/>
      <c r="E56" s="1"/>
      <c r="F56" s="6"/>
      <c r="G56" s="1"/>
      <c r="H56" s="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.75" hidden="1" customHeight="1" x14ac:dyDescent="0.6">
      <c r="A57" s="1"/>
      <c r="B57" s="6"/>
      <c r="C57" s="1"/>
      <c r="D57" s="6"/>
      <c r="E57" s="1"/>
      <c r="F57" s="6"/>
      <c r="G57" s="1"/>
      <c r="H57" s="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.75" hidden="1" customHeight="1" x14ac:dyDescent="0.6">
      <c r="A58" s="1"/>
      <c r="B58" s="6"/>
      <c r="C58" s="1"/>
      <c r="D58" s="6"/>
      <c r="E58" s="1"/>
      <c r="F58" s="6"/>
      <c r="G58" s="1"/>
      <c r="H58" s="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.75" hidden="1" customHeight="1" x14ac:dyDescent="0.6">
      <c r="A59" s="1"/>
      <c r="B59" s="6"/>
      <c r="C59" s="1"/>
      <c r="D59" s="6"/>
      <c r="E59" s="1"/>
      <c r="F59" s="6"/>
      <c r="G59" s="1"/>
      <c r="H59" s="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.75" hidden="1" customHeight="1" x14ac:dyDescent="0.6">
      <c r="A60" s="1"/>
      <c r="B60" s="6"/>
      <c r="C60" s="1"/>
      <c r="D60" s="6"/>
      <c r="E60" s="1"/>
      <c r="F60" s="6"/>
      <c r="G60" s="1"/>
      <c r="H60" s="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.75" hidden="1" customHeight="1" x14ac:dyDescent="0.6">
      <c r="A61" s="1"/>
      <c r="B61" s="6"/>
      <c r="C61" s="1"/>
      <c r="D61" s="6"/>
      <c r="E61" s="1"/>
      <c r="F61" s="6"/>
      <c r="G61" s="1"/>
      <c r="H61" s="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.75" hidden="1" customHeight="1" x14ac:dyDescent="0.6">
      <c r="A62" s="1"/>
      <c r="B62" s="6"/>
      <c r="C62" s="1"/>
      <c r="D62" s="6"/>
      <c r="E62" s="1"/>
      <c r="F62" s="6"/>
      <c r="G62" s="1"/>
      <c r="H62" s="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.75" hidden="1" customHeight="1" x14ac:dyDescent="0.6">
      <c r="A63" s="1"/>
      <c r="B63" s="6"/>
      <c r="C63" s="1"/>
      <c r="D63" s="6"/>
      <c r="E63" s="1"/>
      <c r="F63" s="6"/>
      <c r="G63" s="1"/>
      <c r="H63" s="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.75" hidden="1" customHeight="1" x14ac:dyDescent="0.6">
      <c r="A64" s="1"/>
      <c r="B64" s="6"/>
      <c r="C64" s="1"/>
      <c r="D64" s="6"/>
      <c r="E64" s="1"/>
      <c r="F64" s="6"/>
      <c r="G64" s="1"/>
      <c r="H64" s="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.75" hidden="1" customHeight="1" x14ac:dyDescent="0.6">
      <c r="A65" s="1"/>
      <c r="B65" s="6"/>
      <c r="C65" s="1"/>
      <c r="D65" s="6"/>
      <c r="E65" s="1"/>
      <c r="F65" s="6"/>
      <c r="G65" s="1"/>
      <c r="H65" s="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.75" hidden="1" customHeight="1" x14ac:dyDescent="0.6">
      <c r="A66" s="1"/>
      <c r="B66" s="6"/>
      <c r="C66" s="1"/>
      <c r="D66" s="6"/>
      <c r="E66" s="1"/>
      <c r="F66" s="6"/>
      <c r="G66" s="1"/>
      <c r="H66" s="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.75" hidden="1" customHeight="1" x14ac:dyDescent="0.6">
      <c r="A67" s="1"/>
      <c r="B67" s="6"/>
      <c r="C67" s="1"/>
      <c r="D67" s="6"/>
      <c r="E67" s="1"/>
      <c r="F67" s="6"/>
      <c r="G67" s="1"/>
      <c r="H67" s="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.75" hidden="1" customHeight="1" x14ac:dyDescent="0.6">
      <c r="A68" s="1"/>
      <c r="B68" s="6"/>
      <c r="C68" s="1"/>
      <c r="D68" s="6"/>
      <c r="E68" s="1"/>
      <c r="F68" s="6"/>
      <c r="G68" s="1"/>
      <c r="H68" s="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.75" hidden="1" customHeight="1" x14ac:dyDescent="0.6">
      <c r="A69" s="1"/>
      <c r="B69" s="6"/>
      <c r="C69" s="1"/>
      <c r="D69" s="6"/>
      <c r="E69" s="1"/>
      <c r="F69" s="6"/>
      <c r="G69" s="1"/>
      <c r="H69" s="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.75" hidden="1" customHeight="1" x14ac:dyDescent="0.6">
      <c r="A70" s="1"/>
      <c r="B70" s="6"/>
      <c r="C70" s="1"/>
      <c r="D70" s="6"/>
      <c r="E70" s="1"/>
      <c r="F70" s="6"/>
      <c r="G70" s="1"/>
      <c r="H70" s="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.75" hidden="1" customHeight="1" x14ac:dyDescent="0.6">
      <c r="A71" s="1"/>
      <c r="B71" s="6"/>
      <c r="C71" s="1"/>
      <c r="D71" s="6"/>
      <c r="E71" s="1"/>
      <c r="F71" s="6"/>
      <c r="G71" s="1"/>
      <c r="H71" s="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.75" hidden="1" customHeight="1" x14ac:dyDescent="0.6">
      <c r="A72" s="1"/>
      <c r="B72" s="6"/>
      <c r="C72" s="1"/>
      <c r="D72" s="6"/>
      <c r="E72" s="1"/>
      <c r="F72" s="6"/>
      <c r="G72" s="1"/>
      <c r="H72" s="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.75" hidden="1" customHeight="1" x14ac:dyDescent="0.6">
      <c r="A73" s="1"/>
      <c r="B73" s="6"/>
      <c r="C73" s="1"/>
      <c r="D73" s="6"/>
      <c r="E73" s="1"/>
      <c r="F73" s="6"/>
      <c r="G73" s="1"/>
      <c r="H73" s="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.75" hidden="1" customHeight="1" x14ac:dyDescent="0.6">
      <c r="A74" s="1"/>
      <c r="B74" s="6"/>
      <c r="C74" s="1"/>
      <c r="D74" s="6"/>
      <c r="E74" s="1"/>
      <c r="F74" s="6"/>
      <c r="G74" s="1"/>
      <c r="H74" s="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.75" hidden="1" customHeight="1" x14ac:dyDescent="0.6">
      <c r="A75" s="1"/>
      <c r="B75" s="6"/>
      <c r="C75" s="1"/>
      <c r="D75" s="6"/>
      <c r="E75" s="1"/>
      <c r="F75" s="6"/>
      <c r="G75" s="1"/>
      <c r="H75" s="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.75" hidden="1" customHeight="1" x14ac:dyDescent="0.6">
      <c r="A76" s="1"/>
      <c r="B76" s="6"/>
      <c r="C76" s="1"/>
      <c r="D76" s="6"/>
      <c r="E76" s="1"/>
      <c r="F76" s="6"/>
      <c r="G76" s="1"/>
      <c r="H76" s="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.75" hidden="1" customHeight="1" x14ac:dyDescent="0.6">
      <c r="A77" s="1"/>
      <c r="B77" s="6"/>
      <c r="C77" s="1"/>
      <c r="D77" s="6"/>
      <c r="E77" s="1"/>
      <c r="F77" s="6"/>
      <c r="G77" s="1"/>
      <c r="H77" s="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.75" customHeight="1" x14ac:dyDescent="0.6">
      <c r="A78" s="1"/>
      <c r="B78" s="6"/>
      <c r="C78" s="1"/>
      <c r="D78" s="6"/>
      <c r="E78" s="1"/>
      <c r="F78" s="6"/>
      <c r="G78" s="1"/>
      <c r="H78" s="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.75" customHeight="1" x14ac:dyDescent="0.6">
      <c r="A79" s="1"/>
      <c r="B79" s="6"/>
      <c r="C79" s="1"/>
      <c r="D79" s="189">
        <f>ORÇAMENTO_EXECUTIVO!B20</f>
        <v>2965.54</v>
      </c>
      <c r="E79" s="1"/>
      <c r="F79" s="6"/>
      <c r="G79" s="1"/>
      <c r="H79" s="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.75" customHeight="1" x14ac:dyDescent="0.6">
      <c r="A80" s="1"/>
      <c r="B80" s="6"/>
      <c r="C80" s="1"/>
      <c r="D80" s="6">
        <f>D79/D24</f>
        <v>1.0419588773488118</v>
      </c>
      <c r="E80" s="1"/>
      <c r="F80" s="6"/>
      <c r="G80" s="1"/>
      <c r="H80" s="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.75" customHeight="1" x14ac:dyDescent="0.6">
      <c r="A81" s="1"/>
      <c r="B81" s="6"/>
      <c r="C81" s="1"/>
      <c r="D81" s="6"/>
      <c r="E81" s="1"/>
      <c r="F81" s="6"/>
      <c r="G81" s="1"/>
      <c r="H81" s="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.75" customHeight="1" x14ac:dyDescent="0.6">
      <c r="A82" s="1"/>
      <c r="B82" s="6"/>
      <c r="C82" s="1"/>
      <c r="D82" s="6"/>
      <c r="E82" s="1"/>
      <c r="F82" s="6"/>
      <c r="G82" s="1"/>
      <c r="H82" s="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.75" customHeight="1" x14ac:dyDescent="0.6">
      <c r="A83" s="1"/>
      <c r="B83" s="6"/>
      <c r="C83" s="1"/>
      <c r="D83" s="6"/>
      <c r="E83" s="1"/>
      <c r="F83" s="6"/>
      <c r="G83" s="1"/>
      <c r="H83" s="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.75" customHeight="1" x14ac:dyDescent="0.6">
      <c r="A84" s="1"/>
      <c r="B84" s="6"/>
      <c r="C84" s="1"/>
      <c r="D84" s="6"/>
      <c r="E84" s="1"/>
      <c r="F84" s="6"/>
      <c r="G84" s="1"/>
      <c r="H84" s="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.75" customHeight="1" x14ac:dyDescent="0.6">
      <c r="A85" s="1"/>
      <c r="B85" s="6"/>
      <c r="C85" s="1"/>
      <c r="D85" s="6"/>
      <c r="E85" s="1"/>
      <c r="F85" s="6"/>
      <c r="G85" s="1"/>
      <c r="H85" s="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.75" customHeight="1" x14ac:dyDescent="0.6">
      <c r="A86" s="1"/>
      <c r="B86" s="6"/>
      <c r="C86" s="1"/>
      <c r="D86" s="6"/>
      <c r="E86" s="1"/>
      <c r="F86" s="6"/>
      <c r="G86" s="1"/>
      <c r="H86" s="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.75" customHeight="1" x14ac:dyDescent="0.6">
      <c r="A87" s="1"/>
      <c r="B87" s="6"/>
      <c r="C87" s="1"/>
      <c r="D87" s="6"/>
      <c r="E87" s="1"/>
      <c r="F87" s="6"/>
      <c r="G87" s="1"/>
      <c r="H87" s="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.75" customHeight="1" x14ac:dyDescent="0.6">
      <c r="A88" s="1"/>
      <c r="B88" s="6"/>
      <c r="C88" s="1"/>
      <c r="D88" s="6"/>
      <c r="E88" s="1"/>
      <c r="F88" s="6"/>
      <c r="G88" s="1"/>
      <c r="H88" s="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.75" customHeight="1" x14ac:dyDescent="0.6">
      <c r="A89" s="1"/>
      <c r="B89" s="6"/>
      <c r="C89" s="1"/>
      <c r="D89" s="6"/>
      <c r="E89" s="1"/>
      <c r="F89" s="6"/>
      <c r="G89" s="1"/>
      <c r="H89" s="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.75" customHeight="1" x14ac:dyDescent="0.6">
      <c r="A90" s="1"/>
      <c r="B90" s="6"/>
      <c r="C90" s="1"/>
      <c r="D90" s="6"/>
      <c r="E90" s="1"/>
      <c r="F90" s="6"/>
      <c r="G90" s="1"/>
      <c r="H90" s="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.75" customHeight="1" x14ac:dyDescent="0.6">
      <c r="A91" s="1"/>
      <c r="B91" s="6"/>
      <c r="C91" s="1"/>
      <c r="D91" s="6"/>
      <c r="E91" s="1"/>
      <c r="F91" s="6"/>
      <c r="G91" s="1"/>
      <c r="H91" s="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.75" customHeight="1" x14ac:dyDescent="0.6">
      <c r="A92" s="1"/>
      <c r="B92" s="6"/>
      <c r="C92" s="1"/>
      <c r="D92" s="6"/>
      <c r="E92" s="1"/>
      <c r="F92" s="6"/>
      <c r="G92" s="1"/>
      <c r="H92" s="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.75" customHeight="1" x14ac:dyDescent="0.6">
      <c r="A93" s="1"/>
      <c r="B93" s="6"/>
      <c r="C93" s="1"/>
      <c r="D93" s="6"/>
      <c r="E93" s="1"/>
      <c r="F93" s="6"/>
      <c r="G93" s="1"/>
      <c r="H93" s="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.75" customHeight="1" x14ac:dyDescent="0.6">
      <c r="A94" s="1"/>
      <c r="B94" s="6"/>
      <c r="C94" s="1"/>
      <c r="D94" s="6"/>
      <c r="E94" s="1"/>
      <c r="F94" s="6"/>
      <c r="G94" s="1"/>
      <c r="H94" s="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.75" customHeight="1" x14ac:dyDescent="0.6">
      <c r="A95" s="1"/>
      <c r="B95" s="6"/>
      <c r="C95" s="1"/>
      <c r="D95" s="6"/>
      <c r="E95" s="1"/>
      <c r="F95" s="6"/>
      <c r="G95" s="1"/>
      <c r="H95" s="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.75" customHeight="1" x14ac:dyDescent="0.6">
      <c r="A96" s="1"/>
      <c r="B96" s="6"/>
      <c r="C96" s="1"/>
      <c r="D96" s="6"/>
      <c r="E96" s="1"/>
      <c r="F96" s="6"/>
      <c r="G96" s="1"/>
      <c r="H96" s="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.75" customHeight="1" x14ac:dyDescent="0.6">
      <c r="A97" s="1"/>
      <c r="B97" s="6"/>
      <c r="C97" s="1"/>
      <c r="D97" s="6"/>
      <c r="E97" s="1"/>
      <c r="F97" s="6"/>
      <c r="G97" s="1"/>
      <c r="H97" s="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.75" customHeight="1" x14ac:dyDescent="0.6">
      <c r="A98" s="1"/>
      <c r="B98" s="6"/>
      <c r="C98" s="1"/>
      <c r="D98" s="6"/>
      <c r="E98" s="1"/>
      <c r="F98" s="6"/>
      <c r="G98" s="1"/>
      <c r="H98" s="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.75" customHeight="1" x14ac:dyDescent="0.6">
      <c r="A99" s="1"/>
      <c r="B99" s="6"/>
      <c r="C99" s="1"/>
      <c r="D99" s="6"/>
      <c r="E99" s="1"/>
      <c r="F99" s="6"/>
      <c r="G99" s="1"/>
      <c r="H99" s="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.75" customHeight="1" x14ac:dyDescent="0.6">
      <c r="A100" s="1"/>
      <c r="B100" s="6"/>
      <c r="C100" s="1"/>
      <c r="D100" s="6"/>
      <c r="E100" s="1"/>
      <c r="F100" s="6"/>
      <c r="G100" s="1"/>
      <c r="H100" s="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.75" customHeight="1" x14ac:dyDescent="0.6">
      <c r="A101" s="1"/>
      <c r="B101" s="6"/>
      <c r="C101" s="1"/>
      <c r="D101" s="6"/>
      <c r="E101" s="1"/>
      <c r="F101" s="6"/>
      <c r="G101" s="1"/>
      <c r="H101" s="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.75" customHeight="1" x14ac:dyDescent="0.6">
      <c r="A102" s="1"/>
      <c r="B102" s="6"/>
      <c r="C102" s="1"/>
      <c r="D102" s="6"/>
      <c r="E102" s="1"/>
      <c r="F102" s="6"/>
      <c r="G102" s="1"/>
      <c r="H102" s="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.75" customHeight="1" x14ac:dyDescent="0.6">
      <c r="A103" s="1"/>
      <c r="B103" s="6"/>
      <c r="C103" s="1"/>
      <c r="D103" s="6"/>
      <c r="E103" s="1"/>
      <c r="F103" s="6"/>
      <c r="G103" s="1"/>
      <c r="H103" s="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.75" customHeight="1" x14ac:dyDescent="0.6">
      <c r="A104" s="1"/>
      <c r="B104" s="6"/>
      <c r="C104" s="1"/>
      <c r="D104" s="6"/>
      <c r="E104" s="1"/>
      <c r="F104" s="6"/>
      <c r="G104" s="1"/>
      <c r="H104" s="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.75" customHeight="1" x14ac:dyDescent="0.6">
      <c r="A105" s="1"/>
      <c r="B105" s="6"/>
      <c r="C105" s="1"/>
      <c r="D105" s="6"/>
      <c r="E105" s="1"/>
      <c r="F105" s="6"/>
      <c r="G105" s="1"/>
      <c r="H105" s="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.75" customHeight="1" x14ac:dyDescent="0.6">
      <c r="A106" s="1"/>
      <c r="B106" s="6"/>
      <c r="C106" s="1"/>
      <c r="D106" s="6"/>
      <c r="E106" s="1"/>
      <c r="F106" s="6"/>
      <c r="G106" s="1"/>
      <c r="H106" s="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.75" customHeight="1" x14ac:dyDescent="0.6">
      <c r="A107" s="1"/>
      <c r="B107" s="6"/>
      <c r="C107" s="1"/>
      <c r="D107" s="6"/>
      <c r="E107" s="1"/>
      <c r="F107" s="6"/>
      <c r="G107" s="1"/>
      <c r="H107" s="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.75" customHeight="1" x14ac:dyDescent="0.6">
      <c r="A108" s="1"/>
      <c r="B108" s="6"/>
      <c r="C108" s="1"/>
      <c r="D108" s="6"/>
      <c r="E108" s="1"/>
      <c r="F108" s="6"/>
      <c r="G108" s="1"/>
      <c r="H108" s="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.75" customHeight="1" x14ac:dyDescent="0.6">
      <c r="A109" s="1"/>
      <c r="B109" s="6"/>
      <c r="C109" s="1"/>
      <c r="D109" s="6"/>
      <c r="E109" s="1"/>
      <c r="F109" s="6"/>
      <c r="G109" s="1"/>
      <c r="H109" s="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.75" customHeight="1" x14ac:dyDescent="0.6">
      <c r="A110" s="1"/>
      <c r="B110" s="6"/>
      <c r="C110" s="1"/>
      <c r="D110" s="6"/>
      <c r="E110" s="1"/>
      <c r="F110" s="6"/>
      <c r="G110" s="1"/>
      <c r="H110" s="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.75" customHeight="1" x14ac:dyDescent="0.6">
      <c r="A111" s="1"/>
      <c r="B111" s="6"/>
      <c r="C111" s="1"/>
      <c r="D111" s="6"/>
      <c r="E111" s="1"/>
      <c r="F111" s="6"/>
      <c r="G111" s="1"/>
      <c r="H111" s="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.75" customHeight="1" x14ac:dyDescent="0.6">
      <c r="A112" s="1"/>
      <c r="B112" s="6"/>
      <c r="C112" s="1"/>
      <c r="D112" s="6"/>
      <c r="E112" s="1"/>
      <c r="F112" s="6"/>
      <c r="G112" s="1"/>
      <c r="H112" s="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.75" customHeight="1" x14ac:dyDescent="0.6">
      <c r="A113" s="1"/>
      <c r="B113" s="6"/>
      <c r="C113" s="1"/>
      <c r="D113" s="6"/>
      <c r="E113" s="1"/>
      <c r="F113" s="6"/>
      <c r="G113" s="1"/>
      <c r="H113" s="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.75" customHeight="1" x14ac:dyDescent="0.6">
      <c r="A114" s="1"/>
      <c r="B114" s="6"/>
      <c r="C114" s="1"/>
      <c r="D114" s="6"/>
      <c r="E114" s="1"/>
      <c r="F114" s="6"/>
      <c r="G114" s="1"/>
      <c r="H114" s="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.75" customHeight="1" x14ac:dyDescent="0.6">
      <c r="A115" s="1"/>
      <c r="B115" s="6"/>
      <c r="C115" s="1"/>
      <c r="D115" s="6"/>
      <c r="E115" s="1"/>
      <c r="F115" s="6"/>
      <c r="G115" s="1"/>
      <c r="H115" s="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.75" customHeight="1" x14ac:dyDescent="0.6">
      <c r="A116" s="1"/>
      <c r="B116" s="6"/>
      <c r="C116" s="1"/>
      <c r="D116" s="6"/>
      <c r="E116" s="1"/>
      <c r="F116" s="6"/>
      <c r="G116" s="1"/>
      <c r="H116" s="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.75" customHeight="1" x14ac:dyDescent="0.6">
      <c r="A117" s="1"/>
      <c r="B117" s="6"/>
      <c r="C117" s="1"/>
      <c r="D117" s="6"/>
      <c r="E117" s="1"/>
      <c r="F117" s="6"/>
      <c r="G117" s="1"/>
      <c r="H117" s="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.75" customHeight="1" x14ac:dyDescent="0.6">
      <c r="A118" s="1"/>
      <c r="B118" s="6"/>
      <c r="C118" s="1"/>
      <c r="D118" s="6"/>
      <c r="E118" s="1"/>
      <c r="F118" s="6"/>
      <c r="G118" s="1"/>
      <c r="H118" s="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.75" customHeight="1" x14ac:dyDescent="0.6">
      <c r="A119" s="1"/>
      <c r="B119" s="6"/>
      <c r="C119" s="1"/>
      <c r="D119" s="6"/>
      <c r="E119" s="1"/>
      <c r="F119" s="6"/>
      <c r="G119" s="1"/>
      <c r="H119" s="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.75" customHeight="1" x14ac:dyDescent="0.6">
      <c r="A120" s="1"/>
      <c r="B120" s="6"/>
      <c r="C120" s="1"/>
      <c r="D120" s="6"/>
      <c r="E120" s="1"/>
      <c r="F120" s="6"/>
      <c r="G120" s="1"/>
      <c r="H120" s="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.75" customHeight="1" x14ac:dyDescent="0.6">
      <c r="A121" s="1"/>
      <c r="B121" s="6"/>
      <c r="C121" s="1"/>
      <c r="D121" s="6"/>
      <c r="E121" s="1"/>
      <c r="F121" s="6"/>
      <c r="G121" s="1"/>
      <c r="H121" s="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.75" customHeight="1" x14ac:dyDescent="0.6">
      <c r="A122" s="1"/>
      <c r="B122" s="6"/>
      <c r="C122" s="1"/>
      <c r="D122" s="6"/>
      <c r="E122" s="1"/>
      <c r="F122" s="6"/>
      <c r="G122" s="1"/>
      <c r="H122" s="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.75" customHeight="1" x14ac:dyDescent="0.6">
      <c r="A123" s="1"/>
      <c r="B123" s="6"/>
      <c r="C123" s="1"/>
      <c r="D123" s="6"/>
      <c r="E123" s="1"/>
      <c r="F123" s="6"/>
      <c r="G123" s="1"/>
      <c r="H123" s="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.75" customHeight="1" x14ac:dyDescent="0.6">
      <c r="A124" s="1"/>
      <c r="B124" s="6"/>
      <c r="C124" s="1"/>
      <c r="D124" s="6"/>
      <c r="E124" s="1"/>
      <c r="F124" s="6"/>
      <c r="G124" s="1"/>
      <c r="H124" s="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.75" customHeight="1" x14ac:dyDescent="0.6">
      <c r="A125" s="1"/>
      <c r="B125" s="6"/>
      <c r="C125" s="1"/>
      <c r="D125" s="6"/>
      <c r="E125" s="1"/>
      <c r="F125" s="6"/>
      <c r="G125" s="1"/>
      <c r="H125" s="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.75" customHeight="1" x14ac:dyDescent="0.6">
      <c r="A126" s="1"/>
      <c r="B126" s="6"/>
      <c r="C126" s="1"/>
      <c r="D126" s="6"/>
      <c r="E126" s="1"/>
      <c r="F126" s="6"/>
      <c r="G126" s="1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.75" customHeight="1" x14ac:dyDescent="0.6">
      <c r="A127" s="1"/>
      <c r="B127" s="6"/>
      <c r="C127" s="1"/>
      <c r="D127" s="6"/>
      <c r="E127" s="1"/>
      <c r="F127" s="6"/>
      <c r="G127" s="1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.75" customHeight="1" x14ac:dyDescent="0.6">
      <c r="A128" s="1"/>
      <c r="B128" s="6"/>
      <c r="C128" s="1"/>
      <c r="D128" s="6"/>
      <c r="E128" s="1"/>
      <c r="F128" s="6"/>
      <c r="G128" s="1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.75" customHeight="1" x14ac:dyDescent="0.6">
      <c r="A129" s="1"/>
      <c r="B129" s="6"/>
      <c r="C129" s="1"/>
      <c r="D129" s="6"/>
      <c r="E129" s="1"/>
      <c r="F129" s="6"/>
      <c r="G129" s="1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.75" customHeight="1" x14ac:dyDescent="0.6">
      <c r="A130" s="1"/>
      <c r="B130" s="6"/>
      <c r="C130" s="1"/>
      <c r="D130" s="6"/>
      <c r="E130" s="1"/>
      <c r="F130" s="6"/>
      <c r="G130" s="1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.75" customHeight="1" x14ac:dyDescent="0.6">
      <c r="A131" s="1"/>
      <c r="B131" s="6"/>
      <c r="C131" s="1"/>
      <c r="D131" s="6"/>
      <c r="E131" s="1"/>
      <c r="F131" s="6"/>
      <c r="G131" s="1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.75" customHeight="1" x14ac:dyDescent="0.6">
      <c r="A132" s="1"/>
      <c r="B132" s="6"/>
      <c r="C132" s="1"/>
      <c r="D132" s="6"/>
      <c r="E132" s="1"/>
      <c r="F132" s="6"/>
      <c r="G132" s="1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.75" customHeight="1" x14ac:dyDescent="0.6">
      <c r="A133" s="1"/>
      <c r="B133" s="6"/>
      <c r="C133" s="1"/>
      <c r="D133" s="6"/>
      <c r="E133" s="1"/>
      <c r="F133" s="6"/>
      <c r="G133" s="1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.75" customHeight="1" x14ac:dyDescent="0.6">
      <c r="A134" s="1"/>
      <c r="B134" s="6"/>
      <c r="C134" s="1"/>
      <c r="D134" s="6"/>
      <c r="E134" s="1"/>
      <c r="F134" s="6"/>
      <c r="G134" s="1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.75" customHeight="1" x14ac:dyDescent="0.6">
      <c r="A135" s="1"/>
      <c r="B135" s="6"/>
      <c r="C135" s="1"/>
      <c r="D135" s="6"/>
      <c r="E135" s="1"/>
      <c r="F135" s="6"/>
      <c r="G135" s="1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.75" customHeight="1" x14ac:dyDescent="0.6">
      <c r="A136" s="1"/>
      <c r="B136" s="6"/>
      <c r="C136" s="1"/>
      <c r="D136" s="6"/>
      <c r="E136" s="1"/>
      <c r="F136" s="6"/>
      <c r="G136" s="1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.75" customHeight="1" x14ac:dyDescent="0.6">
      <c r="A137" s="1"/>
      <c r="B137" s="6"/>
      <c r="C137" s="1"/>
      <c r="D137" s="6"/>
      <c r="E137" s="1"/>
      <c r="F137" s="6"/>
      <c r="G137" s="1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.75" customHeight="1" x14ac:dyDescent="0.6">
      <c r="A138" s="1"/>
      <c r="B138" s="6"/>
      <c r="C138" s="1"/>
      <c r="D138" s="6"/>
      <c r="E138" s="1"/>
      <c r="F138" s="6"/>
      <c r="G138" s="1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.75" customHeight="1" x14ac:dyDescent="0.6">
      <c r="A139" s="1"/>
      <c r="B139" s="6"/>
      <c r="C139" s="1"/>
      <c r="D139" s="6"/>
      <c r="E139" s="1"/>
      <c r="F139" s="6"/>
      <c r="G139" s="1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.75" customHeight="1" x14ac:dyDescent="0.6">
      <c r="A140" s="1"/>
      <c r="B140" s="6"/>
      <c r="C140" s="1"/>
      <c r="D140" s="6"/>
      <c r="E140" s="1"/>
      <c r="F140" s="6"/>
      <c r="G140" s="1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.75" customHeight="1" x14ac:dyDescent="0.6">
      <c r="A141" s="1"/>
      <c r="B141" s="6"/>
      <c r="C141" s="1"/>
      <c r="D141" s="6"/>
      <c r="E141" s="1"/>
      <c r="F141" s="6"/>
      <c r="G141" s="1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.75" customHeight="1" x14ac:dyDescent="0.6">
      <c r="A142" s="1"/>
      <c r="B142" s="6"/>
      <c r="C142" s="1"/>
      <c r="D142" s="6"/>
      <c r="E142" s="1"/>
      <c r="F142" s="6"/>
      <c r="G142" s="1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.75" customHeight="1" x14ac:dyDescent="0.6">
      <c r="A143" s="1"/>
      <c r="B143" s="6"/>
      <c r="C143" s="1"/>
      <c r="D143" s="6"/>
      <c r="E143" s="1"/>
      <c r="F143" s="6"/>
      <c r="G143" s="1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.75" customHeight="1" x14ac:dyDescent="0.6">
      <c r="A144" s="1"/>
      <c r="B144" s="6"/>
      <c r="C144" s="1"/>
      <c r="D144" s="6"/>
      <c r="E144" s="1"/>
      <c r="F144" s="6"/>
      <c r="G144" s="1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.75" customHeight="1" x14ac:dyDescent="0.6">
      <c r="A145" s="1"/>
      <c r="B145" s="6"/>
      <c r="C145" s="1"/>
      <c r="D145" s="6"/>
      <c r="E145" s="1"/>
      <c r="F145" s="6"/>
      <c r="G145" s="1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.75" customHeight="1" x14ac:dyDescent="0.6">
      <c r="A146" s="1"/>
      <c r="B146" s="6"/>
      <c r="C146" s="1"/>
      <c r="D146" s="6"/>
      <c r="E146" s="1"/>
      <c r="F146" s="6"/>
      <c r="G146" s="1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.75" customHeight="1" x14ac:dyDescent="0.6">
      <c r="A147" s="1"/>
      <c r="B147" s="6"/>
      <c r="C147" s="1"/>
      <c r="D147" s="6"/>
      <c r="E147" s="1"/>
      <c r="F147" s="6"/>
      <c r="G147" s="1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.75" customHeight="1" x14ac:dyDescent="0.6">
      <c r="A148" s="1"/>
      <c r="B148" s="6"/>
      <c r="C148" s="1"/>
      <c r="D148" s="6"/>
      <c r="E148" s="1"/>
      <c r="F148" s="6"/>
      <c r="G148" s="1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.75" customHeight="1" x14ac:dyDescent="0.6">
      <c r="A149" s="1"/>
      <c r="B149" s="6"/>
      <c r="C149" s="1"/>
      <c r="D149" s="6"/>
      <c r="E149" s="1"/>
      <c r="F149" s="6"/>
      <c r="G149" s="1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.75" customHeight="1" x14ac:dyDescent="0.6">
      <c r="A150" s="1"/>
      <c r="B150" s="6"/>
      <c r="C150" s="1"/>
      <c r="D150" s="6"/>
      <c r="E150" s="1"/>
      <c r="F150" s="6"/>
      <c r="G150" s="1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.75" customHeight="1" x14ac:dyDescent="0.6">
      <c r="A151" s="1"/>
      <c r="B151" s="6"/>
      <c r="C151" s="1"/>
      <c r="D151" s="6"/>
      <c r="E151" s="1"/>
      <c r="F151" s="6"/>
      <c r="G151" s="1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.75" customHeight="1" x14ac:dyDescent="0.6">
      <c r="A152" s="1"/>
      <c r="B152" s="6"/>
      <c r="C152" s="1"/>
      <c r="D152" s="6"/>
      <c r="E152" s="1"/>
      <c r="F152" s="6"/>
      <c r="G152" s="1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.75" customHeight="1" x14ac:dyDescent="0.6">
      <c r="A153" s="1"/>
      <c r="B153" s="6"/>
      <c r="C153" s="1"/>
      <c r="D153" s="6"/>
      <c r="E153" s="1"/>
      <c r="F153" s="6"/>
      <c r="G153" s="1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.75" customHeight="1" x14ac:dyDescent="0.6">
      <c r="A154" s="1"/>
      <c r="B154" s="6"/>
      <c r="C154" s="1"/>
      <c r="D154" s="6"/>
      <c r="E154" s="1"/>
      <c r="F154" s="6"/>
      <c r="G154" s="1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.75" customHeight="1" x14ac:dyDescent="0.6">
      <c r="A155" s="1"/>
      <c r="B155" s="6"/>
      <c r="C155" s="1"/>
      <c r="D155" s="6"/>
      <c r="E155" s="1"/>
      <c r="F155" s="6"/>
      <c r="G155" s="1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.75" customHeight="1" x14ac:dyDescent="0.6">
      <c r="A156" s="1"/>
      <c r="B156" s="6"/>
      <c r="C156" s="1"/>
      <c r="D156" s="6"/>
      <c r="E156" s="1"/>
      <c r="F156" s="6"/>
      <c r="G156" s="1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.75" customHeight="1" x14ac:dyDescent="0.6">
      <c r="A157" s="1"/>
      <c r="B157" s="6"/>
      <c r="C157" s="1"/>
      <c r="D157" s="6"/>
      <c r="E157" s="1"/>
      <c r="F157" s="6"/>
      <c r="G157" s="1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.75" customHeight="1" x14ac:dyDescent="0.6">
      <c r="A158" s="1"/>
      <c r="B158" s="6"/>
      <c r="C158" s="1"/>
      <c r="D158" s="6"/>
      <c r="E158" s="1"/>
      <c r="F158" s="6"/>
      <c r="G158" s="1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.75" customHeight="1" x14ac:dyDescent="0.6">
      <c r="A159" s="1"/>
      <c r="B159" s="6"/>
      <c r="C159" s="1"/>
      <c r="D159" s="6"/>
      <c r="E159" s="1"/>
      <c r="F159" s="6"/>
      <c r="G159" s="1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.75" customHeight="1" x14ac:dyDescent="0.6">
      <c r="A160" s="1"/>
      <c r="B160" s="6"/>
      <c r="C160" s="1"/>
      <c r="D160" s="6"/>
      <c r="E160" s="1"/>
      <c r="F160" s="6"/>
      <c r="G160" s="1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.75" customHeight="1" x14ac:dyDescent="0.6">
      <c r="A161" s="1"/>
      <c r="B161" s="6"/>
      <c r="C161" s="1"/>
      <c r="D161" s="6"/>
      <c r="E161" s="1"/>
      <c r="F161" s="6"/>
      <c r="G161" s="1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.75" customHeight="1" x14ac:dyDescent="0.6">
      <c r="A162" s="1"/>
      <c r="B162" s="6"/>
      <c r="C162" s="1"/>
      <c r="D162" s="6"/>
      <c r="E162" s="1"/>
      <c r="F162" s="6"/>
      <c r="G162" s="1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.75" customHeight="1" x14ac:dyDescent="0.6">
      <c r="A163" s="1"/>
      <c r="B163" s="6"/>
      <c r="C163" s="1"/>
      <c r="D163" s="6"/>
      <c r="E163" s="1"/>
      <c r="F163" s="6"/>
      <c r="G163" s="1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.75" customHeight="1" x14ac:dyDescent="0.6">
      <c r="A164" s="1"/>
      <c r="B164" s="6"/>
      <c r="C164" s="1"/>
      <c r="D164" s="6"/>
      <c r="E164" s="1"/>
      <c r="F164" s="6"/>
      <c r="G164" s="1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.75" customHeight="1" x14ac:dyDescent="0.6">
      <c r="A165" s="1"/>
      <c r="B165" s="6"/>
      <c r="C165" s="1"/>
      <c r="D165" s="6"/>
      <c r="E165" s="1"/>
      <c r="F165" s="6"/>
      <c r="G165" s="1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.75" customHeight="1" x14ac:dyDescent="0.6">
      <c r="A166" s="1"/>
      <c r="B166" s="6"/>
      <c r="C166" s="1"/>
      <c r="D166" s="6"/>
      <c r="E166" s="1"/>
      <c r="F166" s="6"/>
      <c r="G166" s="1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.75" customHeight="1" x14ac:dyDescent="0.6">
      <c r="A167" s="1"/>
      <c r="B167" s="6"/>
      <c r="C167" s="1"/>
      <c r="D167" s="6"/>
      <c r="E167" s="1"/>
      <c r="F167" s="6"/>
      <c r="G167" s="1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.75" customHeight="1" x14ac:dyDescent="0.6">
      <c r="A168" s="1"/>
      <c r="B168" s="6"/>
      <c r="C168" s="1"/>
      <c r="D168" s="6"/>
      <c r="E168" s="1"/>
      <c r="F168" s="6"/>
      <c r="G168" s="1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.75" customHeight="1" x14ac:dyDescent="0.6">
      <c r="A169" s="1"/>
      <c r="B169" s="6"/>
      <c r="C169" s="1"/>
      <c r="D169" s="6"/>
      <c r="E169" s="1"/>
      <c r="F169" s="6"/>
      <c r="G169" s="1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.75" customHeight="1" x14ac:dyDescent="0.6">
      <c r="A170" s="1"/>
      <c r="B170" s="6"/>
      <c r="C170" s="1"/>
      <c r="D170" s="6"/>
      <c r="E170" s="1"/>
      <c r="F170" s="6"/>
      <c r="G170" s="1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.75" customHeight="1" x14ac:dyDescent="0.6">
      <c r="A171" s="1"/>
      <c r="B171" s="6"/>
      <c r="C171" s="1"/>
      <c r="D171" s="6"/>
      <c r="E171" s="1"/>
      <c r="F171" s="6"/>
      <c r="G171" s="1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.75" customHeight="1" x14ac:dyDescent="0.6">
      <c r="A172" s="1"/>
      <c r="B172" s="6"/>
      <c r="C172" s="1"/>
      <c r="D172" s="6"/>
      <c r="E172" s="1"/>
      <c r="F172" s="6"/>
      <c r="G172" s="1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.75" customHeight="1" x14ac:dyDescent="0.6">
      <c r="A173" s="1"/>
      <c r="B173" s="6"/>
      <c r="C173" s="1"/>
      <c r="D173" s="6"/>
      <c r="E173" s="1"/>
      <c r="F173" s="6"/>
      <c r="G173" s="1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.75" customHeight="1" x14ac:dyDescent="0.6">
      <c r="A174" s="1"/>
      <c r="B174" s="6"/>
      <c r="C174" s="1"/>
      <c r="D174" s="6"/>
      <c r="E174" s="1"/>
      <c r="F174" s="6"/>
      <c r="G174" s="1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.75" customHeight="1" x14ac:dyDescent="0.6">
      <c r="A175" s="1"/>
      <c r="B175" s="6"/>
      <c r="C175" s="1"/>
      <c r="D175" s="6"/>
      <c r="E175" s="1"/>
      <c r="F175" s="6"/>
      <c r="G175" s="1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.75" customHeight="1" x14ac:dyDescent="0.6">
      <c r="A176" s="1"/>
      <c r="B176" s="6"/>
      <c r="C176" s="1"/>
      <c r="D176" s="6"/>
      <c r="E176" s="1"/>
      <c r="F176" s="6"/>
      <c r="G176" s="1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.75" customHeight="1" x14ac:dyDescent="0.6">
      <c r="A177" s="1"/>
      <c r="B177" s="6"/>
      <c r="C177" s="1"/>
      <c r="D177" s="6"/>
      <c r="E177" s="1"/>
      <c r="F177" s="6"/>
      <c r="G177" s="1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.75" customHeight="1" x14ac:dyDescent="0.6">
      <c r="A178" s="1"/>
      <c r="B178" s="6"/>
      <c r="C178" s="1"/>
      <c r="D178" s="6"/>
      <c r="E178" s="1"/>
      <c r="F178" s="6"/>
      <c r="G178" s="1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.75" customHeight="1" x14ac:dyDescent="0.6">
      <c r="A179" s="1"/>
      <c r="B179" s="6"/>
      <c r="C179" s="1"/>
      <c r="D179" s="6"/>
      <c r="E179" s="1"/>
      <c r="F179" s="6"/>
      <c r="G179" s="1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.75" customHeight="1" x14ac:dyDescent="0.6">
      <c r="A180" s="1"/>
      <c r="B180" s="6"/>
      <c r="C180" s="1"/>
      <c r="D180" s="6"/>
      <c r="E180" s="1"/>
      <c r="F180" s="6"/>
      <c r="G180" s="1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.75" customHeight="1" x14ac:dyDescent="0.6">
      <c r="A181" s="1"/>
      <c r="B181" s="6"/>
      <c r="C181" s="1"/>
      <c r="D181" s="6"/>
      <c r="E181" s="1"/>
      <c r="F181" s="6"/>
      <c r="G181" s="1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.75" customHeight="1" x14ac:dyDescent="0.6">
      <c r="A182" s="1"/>
      <c r="B182" s="6"/>
      <c r="C182" s="1"/>
      <c r="D182" s="6"/>
      <c r="E182" s="1"/>
      <c r="F182" s="6"/>
      <c r="G182" s="1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.75" customHeight="1" x14ac:dyDescent="0.6">
      <c r="A183" s="1"/>
      <c r="B183" s="6"/>
      <c r="C183" s="1"/>
      <c r="D183" s="6"/>
      <c r="E183" s="1"/>
      <c r="F183" s="6"/>
      <c r="G183" s="1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.75" customHeight="1" x14ac:dyDescent="0.6">
      <c r="A184" s="1"/>
      <c r="B184" s="6"/>
      <c r="C184" s="1"/>
      <c r="D184" s="6"/>
      <c r="E184" s="1"/>
      <c r="F184" s="6"/>
      <c r="G184" s="1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.75" customHeight="1" x14ac:dyDescent="0.6">
      <c r="A185" s="1"/>
      <c r="B185" s="6"/>
      <c r="C185" s="1"/>
      <c r="D185" s="6"/>
      <c r="E185" s="1"/>
      <c r="F185" s="6"/>
      <c r="G185" s="1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.75" customHeight="1" x14ac:dyDescent="0.6">
      <c r="A186" s="1"/>
      <c r="B186" s="6"/>
      <c r="C186" s="1"/>
      <c r="D186" s="6"/>
      <c r="E186" s="1"/>
      <c r="F186" s="6"/>
      <c r="G186" s="1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.75" customHeight="1" x14ac:dyDescent="0.6">
      <c r="A187" s="1"/>
      <c r="B187" s="6"/>
      <c r="C187" s="1"/>
      <c r="D187" s="6"/>
      <c r="E187" s="1"/>
      <c r="F187" s="6"/>
      <c r="G187" s="1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.75" customHeight="1" x14ac:dyDescent="0.6">
      <c r="A188" s="1"/>
      <c r="B188" s="6"/>
      <c r="C188" s="1"/>
      <c r="D188" s="6"/>
      <c r="E188" s="1"/>
      <c r="F188" s="6"/>
      <c r="G188" s="1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.75" customHeight="1" x14ac:dyDescent="0.6">
      <c r="A189" s="1"/>
      <c r="B189" s="6"/>
      <c r="C189" s="1"/>
      <c r="D189" s="6"/>
      <c r="E189" s="1"/>
      <c r="F189" s="6"/>
      <c r="G189" s="1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.75" customHeight="1" x14ac:dyDescent="0.6">
      <c r="A190" s="1"/>
      <c r="B190" s="6"/>
      <c r="C190" s="1"/>
      <c r="D190" s="6"/>
      <c r="E190" s="1"/>
      <c r="F190" s="6"/>
      <c r="G190" s="1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.75" customHeight="1" x14ac:dyDescent="0.6">
      <c r="A191" s="1"/>
      <c r="B191" s="6"/>
      <c r="C191" s="1"/>
      <c r="D191" s="6"/>
      <c r="E191" s="1"/>
      <c r="F191" s="6"/>
      <c r="G191" s="1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.75" customHeight="1" x14ac:dyDescent="0.6">
      <c r="A192" s="1"/>
      <c r="B192" s="6"/>
      <c r="C192" s="1"/>
      <c r="D192" s="6"/>
      <c r="E192" s="1"/>
      <c r="F192" s="6"/>
      <c r="G192" s="1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.75" customHeight="1" x14ac:dyDescent="0.6">
      <c r="A193" s="1"/>
      <c r="B193" s="6"/>
      <c r="C193" s="1"/>
      <c r="D193" s="6"/>
      <c r="E193" s="1"/>
      <c r="F193" s="6"/>
      <c r="G193" s="1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.75" customHeight="1" x14ac:dyDescent="0.6">
      <c r="A194" s="1"/>
      <c r="B194" s="6"/>
      <c r="C194" s="1"/>
      <c r="D194" s="6"/>
      <c r="E194" s="1"/>
      <c r="F194" s="6"/>
      <c r="G194" s="1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.75" customHeight="1" x14ac:dyDescent="0.6">
      <c r="A195" s="1"/>
      <c r="B195" s="6"/>
      <c r="C195" s="1"/>
      <c r="D195" s="6"/>
      <c r="E195" s="1"/>
      <c r="F195" s="6"/>
      <c r="G195" s="1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.75" customHeight="1" x14ac:dyDescent="0.6">
      <c r="A196" s="1"/>
      <c r="B196" s="6"/>
      <c r="C196" s="1"/>
      <c r="D196" s="6"/>
      <c r="E196" s="1"/>
      <c r="F196" s="6"/>
      <c r="G196" s="1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.75" customHeight="1" x14ac:dyDescent="0.6">
      <c r="A197" s="1"/>
      <c r="B197" s="6"/>
      <c r="C197" s="1"/>
      <c r="D197" s="6"/>
      <c r="E197" s="1"/>
      <c r="F197" s="6"/>
      <c r="G197" s="1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.75" customHeight="1" x14ac:dyDescent="0.6">
      <c r="A198" s="1"/>
      <c r="B198" s="6"/>
      <c r="C198" s="1"/>
      <c r="D198" s="6"/>
      <c r="E198" s="1"/>
      <c r="F198" s="6"/>
      <c r="G198" s="1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.75" customHeight="1" x14ac:dyDescent="0.6">
      <c r="A199" s="1"/>
      <c r="B199" s="6"/>
      <c r="C199" s="1"/>
      <c r="D199" s="6"/>
      <c r="E199" s="1"/>
      <c r="F199" s="6"/>
      <c r="G199" s="1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.75" customHeight="1" x14ac:dyDescent="0.6">
      <c r="A200" s="1"/>
      <c r="B200" s="6"/>
      <c r="C200" s="1"/>
      <c r="D200" s="6"/>
      <c r="E200" s="1"/>
      <c r="F200" s="6"/>
      <c r="G200" s="1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.75" customHeight="1" x14ac:dyDescent="0.6">
      <c r="A201" s="1"/>
      <c r="B201" s="6"/>
      <c r="C201" s="1"/>
      <c r="D201" s="6"/>
      <c r="E201" s="1"/>
      <c r="F201" s="6"/>
      <c r="G201" s="1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.75" customHeight="1" x14ac:dyDescent="0.6">
      <c r="A202" s="1"/>
      <c r="B202" s="6"/>
      <c r="C202" s="1"/>
      <c r="D202" s="6"/>
      <c r="E202" s="1"/>
      <c r="F202" s="6"/>
      <c r="G202" s="1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.75" customHeight="1" x14ac:dyDescent="0.6">
      <c r="A203" s="1"/>
      <c r="B203" s="6"/>
      <c r="C203" s="1"/>
      <c r="D203" s="6"/>
      <c r="E203" s="1"/>
      <c r="F203" s="6"/>
      <c r="G203" s="1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.75" customHeight="1" x14ac:dyDescent="0.6">
      <c r="A204" s="1"/>
      <c r="B204" s="6"/>
      <c r="C204" s="1"/>
      <c r="D204" s="6"/>
      <c r="E204" s="1"/>
      <c r="F204" s="6"/>
      <c r="G204" s="1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.75" customHeight="1" x14ac:dyDescent="0.6">
      <c r="A205" s="1"/>
      <c r="B205" s="6"/>
      <c r="C205" s="1"/>
      <c r="D205" s="6"/>
      <c r="E205" s="1"/>
      <c r="F205" s="6"/>
      <c r="G205" s="1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.75" customHeight="1" x14ac:dyDescent="0.6">
      <c r="A206" s="1"/>
      <c r="B206" s="6"/>
      <c r="C206" s="1"/>
      <c r="D206" s="6"/>
      <c r="E206" s="1"/>
      <c r="F206" s="6"/>
      <c r="G206" s="1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.75" customHeight="1" x14ac:dyDescent="0.6">
      <c r="A207" s="1"/>
      <c r="B207" s="6"/>
      <c r="C207" s="1"/>
      <c r="D207" s="6"/>
      <c r="E207" s="1"/>
      <c r="F207" s="6"/>
      <c r="G207" s="1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.75" customHeight="1" x14ac:dyDescent="0.6">
      <c r="A208" s="1"/>
      <c r="B208" s="6"/>
      <c r="C208" s="1"/>
      <c r="D208" s="6"/>
      <c r="E208" s="1"/>
      <c r="F208" s="6"/>
      <c r="G208" s="1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.75" customHeight="1" x14ac:dyDescent="0.6">
      <c r="A209" s="1"/>
      <c r="B209" s="6"/>
      <c r="C209" s="1"/>
      <c r="D209" s="6"/>
      <c r="E209" s="1"/>
      <c r="F209" s="6"/>
      <c r="G209" s="1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.75" customHeight="1" x14ac:dyDescent="0.6">
      <c r="A210" s="1"/>
      <c r="B210" s="6"/>
      <c r="C210" s="1"/>
      <c r="D210" s="6"/>
      <c r="E210" s="1"/>
      <c r="F210" s="6"/>
      <c r="G210" s="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.75" customHeight="1" x14ac:dyDescent="0.6">
      <c r="A211" s="1"/>
      <c r="B211" s="6"/>
      <c r="C211" s="1"/>
      <c r="D211" s="6"/>
      <c r="E211" s="1"/>
      <c r="F211" s="6"/>
      <c r="G211" s="1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.75" customHeight="1" x14ac:dyDescent="0.6">
      <c r="A212" s="1"/>
      <c r="B212" s="6"/>
      <c r="C212" s="1"/>
      <c r="D212" s="6"/>
      <c r="E212" s="1"/>
      <c r="F212" s="6"/>
      <c r="G212" s="1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.75" customHeight="1" x14ac:dyDescent="0.6">
      <c r="A213" s="1"/>
      <c r="B213" s="6"/>
      <c r="C213" s="1"/>
      <c r="D213" s="6"/>
      <c r="E213" s="1"/>
      <c r="F213" s="6"/>
      <c r="G213" s="1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.75" customHeight="1" x14ac:dyDescent="0.6">
      <c r="A214" s="1"/>
      <c r="B214" s="6"/>
      <c r="C214" s="1"/>
      <c r="D214" s="6"/>
      <c r="E214" s="1"/>
      <c r="F214" s="6"/>
      <c r="G214" s="1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.75" customHeight="1" x14ac:dyDescent="0.6">
      <c r="A215" s="1"/>
      <c r="B215" s="6"/>
      <c r="C215" s="1"/>
      <c r="D215" s="6"/>
      <c r="E215" s="1"/>
      <c r="F215" s="6"/>
      <c r="G215" s="1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.75" customHeight="1" x14ac:dyDescent="0.6">
      <c r="A216" s="1"/>
      <c r="B216" s="6"/>
      <c r="C216" s="1"/>
      <c r="D216" s="6"/>
      <c r="E216" s="1"/>
      <c r="F216" s="6"/>
      <c r="G216" s="1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.75" customHeight="1" x14ac:dyDescent="0.6">
      <c r="A217" s="1"/>
      <c r="B217" s="6"/>
      <c r="C217" s="1"/>
      <c r="D217" s="6"/>
      <c r="E217" s="1"/>
      <c r="F217" s="6"/>
      <c r="G217" s="1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.75" customHeight="1" x14ac:dyDescent="0.6">
      <c r="A218" s="1"/>
      <c r="B218" s="6"/>
      <c r="C218" s="1"/>
      <c r="D218" s="6"/>
      <c r="E218" s="1"/>
      <c r="F218" s="6"/>
      <c r="G218" s="1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.75" customHeight="1" x14ac:dyDescent="0.6">
      <c r="A219" s="1"/>
      <c r="B219" s="6"/>
      <c r="C219" s="1"/>
      <c r="D219" s="6"/>
      <c r="E219" s="1"/>
      <c r="F219" s="6"/>
      <c r="G219" s="1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.75" customHeight="1" x14ac:dyDescent="0.6">
      <c r="A220" s="1"/>
      <c r="B220" s="6"/>
      <c r="C220" s="1"/>
      <c r="D220" s="6"/>
      <c r="E220" s="1"/>
      <c r="F220" s="6"/>
      <c r="G220" s="1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.75" customHeight="1" x14ac:dyDescent="0.6">
      <c r="A221" s="1"/>
      <c r="B221" s="6"/>
      <c r="C221" s="1"/>
      <c r="D221" s="6"/>
      <c r="E221" s="1"/>
      <c r="F221" s="6"/>
      <c r="G221" s="1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.75" customHeight="1" x14ac:dyDescent="0.6">
      <c r="A222" s="1"/>
      <c r="B222" s="6"/>
      <c r="C222" s="1"/>
      <c r="D222" s="6"/>
      <c r="E222" s="1"/>
      <c r="F222" s="6"/>
      <c r="G222" s="1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.75" customHeight="1" x14ac:dyDescent="0.6">
      <c r="A223" s="1"/>
      <c r="B223" s="6"/>
      <c r="C223" s="1"/>
      <c r="D223" s="6"/>
      <c r="E223" s="1"/>
      <c r="F223" s="6"/>
      <c r="G223" s="1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.75" customHeight="1" x14ac:dyDescent="0.6">
      <c r="A224" s="1"/>
      <c r="B224" s="6"/>
      <c r="C224" s="1"/>
      <c r="D224" s="6"/>
      <c r="E224" s="1"/>
      <c r="F224" s="6"/>
      <c r="G224" s="1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.75" customHeight="1" x14ac:dyDescent="0.6">
      <c r="A225" s="1"/>
      <c r="B225" s="6"/>
      <c r="C225" s="1"/>
      <c r="D225" s="6"/>
      <c r="E225" s="1"/>
      <c r="F225" s="6"/>
      <c r="G225" s="1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.75" customHeight="1" x14ac:dyDescent="0.6">
      <c r="A226" s="1"/>
      <c r="B226" s="6"/>
      <c r="C226" s="1"/>
      <c r="D226" s="6"/>
      <c r="E226" s="1"/>
      <c r="F226" s="6"/>
      <c r="G226" s="1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.75" customHeight="1" x14ac:dyDescent="0.6">
      <c r="A227" s="1"/>
      <c r="B227" s="6"/>
      <c r="C227" s="1"/>
      <c r="D227" s="6"/>
      <c r="E227" s="1"/>
      <c r="F227" s="6"/>
      <c r="G227" s="1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.75" customHeight="1" x14ac:dyDescent="0.6">
      <c r="A228" s="1"/>
      <c r="B228" s="6"/>
      <c r="C228" s="1"/>
      <c r="D228" s="6"/>
      <c r="E228" s="1"/>
      <c r="F228" s="6"/>
      <c r="G228" s="1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.75" customHeight="1" x14ac:dyDescent="0.6">
      <c r="A229" s="1"/>
      <c r="B229" s="6"/>
      <c r="C229" s="1"/>
      <c r="D229" s="6"/>
      <c r="E229" s="1"/>
      <c r="F229" s="6"/>
      <c r="G229" s="1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.75" customHeight="1" x14ac:dyDescent="0.6">
      <c r="A230" s="1"/>
      <c r="B230" s="6"/>
      <c r="C230" s="1"/>
      <c r="D230" s="6"/>
      <c r="E230" s="1"/>
      <c r="F230" s="6"/>
      <c r="G230" s="1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.75" customHeight="1" x14ac:dyDescent="0.6">
      <c r="A231" s="1"/>
      <c r="B231" s="6"/>
      <c r="C231" s="1"/>
      <c r="D231" s="6"/>
      <c r="E231" s="1"/>
      <c r="F231" s="6"/>
      <c r="G231" s="1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.75" customHeight="1" x14ac:dyDescent="0.6">
      <c r="A232" s="1"/>
      <c r="B232" s="6"/>
      <c r="C232" s="1"/>
      <c r="D232" s="6"/>
      <c r="E232" s="1"/>
      <c r="F232" s="6"/>
      <c r="G232" s="1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.75" customHeight="1" x14ac:dyDescent="0.6">
      <c r="A233" s="1"/>
      <c r="B233" s="6"/>
      <c r="C233" s="1"/>
      <c r="D233" s="6"/>
      <c r="E233" s="1"/>
      <c r="F233" s="6"/>
      <c r="G233" s="1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.75" customHeight="1" x14ac:dyDescent="0.6">
      <c r="A234" s="1"/>
      <c r="B234" s="6"/>
      <c r="C234" s="1"/>
      <c r="D234" s="6"/>
      <c r="E234" s="1"/>
      <c r="F234" s="6"/>
      <c r="G234" s="1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.75" customHeight="1" x14ac:dyDescent="0.6">
      <c r="A235" s="1"/>
      <c r="B235" s="6"/>
      <c r="C235" s="1"/>
      <c r="D235" s="6"/>
      <c r="E235" s="1"/>
      <c r="F235" s="6"/>
      <c r="G235" s="1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.75" customHeight="1" x14ac:dyDescent="0.6">
      <c r="A236" s="1"/>
      <c r="B236" s="6"/>
      <c r="C236" s="1"/>
      <c r="D236" s="6"/>
      <c r="E236" s="1"/>
      <c r="F236" s="6"/>
      <c r="G236" s="1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.75" customHeight="1" x14ac:dyDescent="0.6">
      <c r="A237" s="1"/>
      <c r="B237" s="6"/>
      <c r="C237" s="1"/>
      <c r="D237" s="6"/>
      <c r="E237" s="1"/>
      <c r="F237" s="6"/>
      <c r="G237" s="1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.75" customHeight="1" x14ac:dyDescent="0.6">
      <c r="A238" s="1"/>
      <c r="B238" s="6"/>
      <c r="C238" s="1"/>
      <c r="D238" s="6"/>
      <c r="E238" s="1"/>
      <c r="F238" s="6"/>
      <c r="G238" s="1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.75" customHeight="1" x14ac:dyDescent="0.6">
      <c r="A239" s="1"/>
      <c r="B239" s="6"/>
      <c r="C239" s="1"/>
      <c r="D239" s="6"/>
      <c r="E239" s="1"/>
      <c r="F239" s="6"/>
      <c r="G239" s="1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.75" customHeight="1" x14ac:dyDescent="0.6">
      <c r="A240" s="1"/>
      <c r="B240" s="6"/>
      <c r="C240" s="1"/>
      <c r="D240" s="6"/>
      <c r="E240" s="1"/>
      <c r="F240" s="6"/>
      <c r="G240" s="1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.75" customHeight="1" x14ac:dyDescent="0.6">
      <c r="A241" s="1"/>
      <c r="B241" s="6"/>
      <c r="C241" s="1"/>
      <c r="D241" s="6"/>
      <c r="E241" s="1"/>
      <c r="F241" s="6"/>
      <c r="G241" s="1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.75" customHeight="1" x14ac:dyDescent="0.6">
      <c r="A242" s="1"/>
      <c r="B242" s="6"/>
      <c r="C242" s="1"/>
      <c r="D242" s="6"/>
      <c r="E242" s="1"/>
      <c r="F242" s="6"/>
      <c r="G242" s="1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.75" customHeight="1" x14ac:dyDescent="0.6">
      <c r="A243" s="1"/>
      <c r="B243" s="6"/>
      <c r="C243" s="1"/>
      <c r="D243" s="6"/>
      <c r="E243" s="1"/>
      <c r="F243" s="6"/>
      <c r="G243" s="1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.75" customHeight="1" x14ac:dyDescent="0.6">
      <c r="A244" s="1"/>
      <c r="B244" s="6"/>
      <c r="C244" s="1"/>
      <c r="D244" s="6"/>
      <c r="E244" s="1"/>
      <c r="F244" s="6"/>
      <c r="G244" s="1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.75" customHeight="1" x14ac:dyDescent="0.6">
      <c r="A245" s="1"/>
      <c r="B245" s="6"/>
      <c r="C245" s="1"/>
      <c r="D245" s="6"/>
      <c r="E245" s="1"/>
      <c r="F245" s="6"/>
      <c r="G245" s="1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.75" customHeight="1" x14ac:dyDescent="0.6">
      <c r="A246" s="1"/>
      <c r="B246" s="6"/>
      <c r="C246" s="1"/>
      <c r="D246" s="6"/>
      <c r="E246" s="1"/>
      <c r="F246" s="6"/>
      <c r="G246" s="1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.75" customHeight="1" x14ac:dyDescent="0.6">
      <c r="A247" s="1"/>
      <c r="B247" s="6"/>
      <c r="C247" s="1"/>
      <c r="D247" s="6"/>
      <c r="E247" s="1"/>
      <c r="F247" s="6"/>
      <c r="G247" s="1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.75" customHeight="1" x14ac:dyDescent="0.6">
      <c r="A248" s="1"/>
      <c r="B248" s="6"/>
      <c r="C248" s="1"/>
      <c r="D248" s="6"/>
      <c r="E248" s="1"/>
      <c r="F248" s="6"/>
      <c r="G248" s="1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.75" customHeight="1" x14ac:dyDescent="0.6">
      <c r="A249" s="1"/>
      <c r="B249" s="6"/>
      <c r="C249" s="1"/>
      <c r="D249" s="6"/>
      <c r="E249" s="1"/>
      <c r="F249" s="6"/>
      <c r="G249" s="1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.75" customHeight="1" x14ac:dyDescent="0.6">
      <c r="A250" s="1"/>
      <c r="B250" s="6"/>
      <c r="C250" s="1"/>
      <c r="D250" s="6"/>
      <c r="E250" s="1"/>
      <c r="F250" s="6"/>
      <c r="G250" s="1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.75" customHeight="1" x14ac:dyDescent="0.6">
      <c r="A251" s="1"/>
      <c r="B251" s="6"/>
      <c r="C251" s="1"/>
      <c r="D251" s="6"/>
      <c r="E251" s="1"/>
      <c r="F251" s="6"/>
      <c r="G251" s="1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.75" customHeight="1" x14ac:dyDescent="0.6">
      <c r="A252" s="1"/>
      <c r="B252" s="6"/>
      <c r="C252" s="1"/>
      <c r="D252" s="6"/>
      <c r="E252" s="1"/>
      <c r="F252" s="6"/>
      <c r="G252" s="1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.75" customHeight="1" x14ac:dyDescent="0.6">
      <c r="A253" s="1"/>
      <c r="B253" s="6"/>
      <c r="C253" s="1"/>
      <c r="D253" s="6"/>
      <c r="E253" s="1"/>
      <c r="F253" s="6"/>
      <c r="G253" s="1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.75" customHeight="1" x14ac:dyDescent="0.6">
      <c r="A254" s="1"/>
      <c r="B254" s="6"/>
      <c r="C254" s="1"/>
      <c r="D254" s="6"/>
      <c r="E254" s="1"/>
      <c r="F254" s="6"/>
      <c r="G254" s="1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.75" customHeight="1" x14ac:dyDescent="0.6">
      <c r="A255" s="1"/>
      <c r="B255" s="6"/>
      <c r="C255" s="1"/>
      <c r="D255" s="6"/>
      <c r="E255" s="1"/>
      <c r="F255" s="6"/>
      <c r="G255" s="1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.75" customHeight="1" x14ac:dyDescent="0.6">
      <c r="A256" s="1"/>
      <c r="B256" s="6"/>
      <c r="C256" s="1"/>
      <c r="D256" s="6"/>
      <c r="E256" s="1"/>
      <c r="F256" s="6"/>
      <c r="G256" s="1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.75" customHeight="1" x14ac:dyDescent="0.6">
      <c r="A257" s="1"/>
      <c r="B257" s="6"/>
      <c r="C257" s="1"/>
      <c r="D257" s="6"/>
      <c r="E257" s="1"/>
      <c r="F257" s="6"/>
      <c r="G257" s="1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.75" customHeight="1" x14ac:dyDescent="0.6">
      <c r="A258" s="1"/>
      <c r="B258" s="6"/>
      <c r="C258" s="1"/>
      <c r="D258" s="6"/>
      <c r="E258" s="1"/>
      <c r="F258" s="6"/>
      <c r="G258" s="1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.75" customHeight="1" x14ac:dyDescent="0.6">
      <c r="A259" s="1"/>
      <c r="B259" s="6"/>
      <c r="C259" s="1"/>
      <c r="D259" s="6"/>
      <c r="E259" s="1"/>
      <c r="F259" s="6"/>
      <c r="G259" s="1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.75" customHeight="1" x14ac:dyDescent="0.6">
      <c r="A260" s="1"/>
      <c r="B260" s="6"/>
      <c r="C260" s="1"/>
      <c r="D260" s="6"/>
      <c r="E260" s="1"/>
      <c r="F260" s="6"/>
      <c r="G260" s="1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.75" customHeight="1" x14ac:dyDescent="0.6">
      <c r="A261" s="1"/>
      <c r="B261" s="6"/>
      <c r="C261" s="1"/>
      <c r="D261" s="6"/>
      <c r="E261" s="1"/>
      <c r="F261" s="6"/>
      <c r="G261" s="1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.75" customHeight="1" x14ac:dyDescent="0.6">
      <c r="A262" s="1"/>
      <c r="B262" s="6"/>
      <c r="C262" s="1"/>
      <c r="D262" s="6"/>
      <c r="E262" s="1"/>
      <c r="F262" s="6"/>
      <c r="G262" s="1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.75" customHeight="1" x14ac:dyDescent="0.6">
      <c r="A263" s="1"/>
      <c r="B263" s="6"/>
      <c r="C263" s="1"/>
      <c r="D263" s="6"/>
      <c r="E263" s="1"/>
      <c r="F263" s="6"/>
      <c r="G263" s="1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.75" customHeight="1" x14ac:dyDescent="0.6">
      <c r="A264" s="1"/>
      <c r="B264" s="6"/>
      <c r="C264" s="1"/>
      <c r="D264" s="6"/>
      <c r="E264" s="1"/>
      <c r="F264" s="6"/>
      <c r="G264" s="1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.75" customHeight="1" x14ac:dyDescent="0.6">
      <c r="A265" s="1"/>
      <c r="B265" s="6"/>
      <c r="C265" s="1"/>
      <c r="D265" s="6"/>
      <c r="E265" s="1"/>
      <c r="F265" s="6"/>
      <c r="G265" s="1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.75" customHeight="1" x14ac:dyDescent="0.6">
      <c r="A266" s="1"/>
      <c r="B266" s="6"/>
      <c r="C266" s="1"/>
      <c r="D266" s="6"/>
      <c r="E266" s="1"/>
      <c r="F266" s="6"/>
      <c r="G266" s="1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.75" customHeight="1" x14ac:dyDescent="0.6">
      <c r="A267" s="1"/>
      <c r="B267" s="6"/>
      <c r="C267" s="1"/>
      <c r="D267" s="6"/>
      <c r="E267" s="1"/>
      <c r="F267" s="6"/>
      <c r="G267" s="1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.75" customHeight="1" x14ac:dyDescent="0.6">
      <c r="A268" s="1"/>
      <c r="B268" s="6"/>
      <c r="C268" s="1"/>
      <c r="D268" s="6"/>
      <c r="E268" s="1"/>
      <c r="F268" s="6"/>
      <c r="G268" s="1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.75" customHeight="1" x14ac:dyDescent="0.6">
      <c r="A269" s="1"/>
      <c r="B269" s="6"/>
      <c r="C269" s="1"/>
      <c r="D269" s="6"/>
      <c r="E269" s="1"/>
      <c r="F269" s="6"/>
      <c r="G269" s="1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.75" customHeight="1" x14ac:dyDescent="0.6">
      <c r="A270" s="1"/>
      <c r="B270" s="6"/>
      <c r="C270" s="1"/>
      <c r="D270" s="6"/>
      <c r="E270" s="1"/>
      <c r="F270" s="6"/>
      <c r="G270" s="1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.75" customHeight="1" x14ac:dyDescent="0.6">
      <c r="A271" s="1"/>
      <c r="B271" s="6"/>
      <c r="C271" s="1"/>
      <c r="D271" s="6"/>
      <c r="E271" s="1"/>
      <c r="F271" s="6"/>
      <c r="G271" s="1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.75" customHeight="1" x14ac:dyDescent="0.6">
      <c r="A272" s="1"/>
      <c r="B272" s="6"/>
      <c r="C272" s="1"/>
      <c r="D272" s="6"/>
      <c r="E272" s="1"/>
      <c r="F272" s="6"/>
      <c r="G272" s="1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.75" customHeight="1" x14ac:dyDescent="0.6">
      <c r="A273" s="1"/>
      <c r="B273" s="6"/>
      <c r="C273" s="1"/>
      <c r="D273" s="6"/>
      <c r="E273" s="1"/>
      <c r="F273" s="6"/>
      <c r="G273" s="1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.75" customHeight="1" x14ac:dyDescent="0.6">
      <c r="A274" s="1"/>
      <c r="B274" s="6"/>
      <c r="C274" s="1"/>
      <c r="D274" s="6"/>
      <c r="E274" s="1"/>
      <c r="F274" s="6"/>
      <c r="G274" s="1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.75" customHeight="1" x14ac:dyDescent="0.6">
      <c r="A275" s="1"/>
      <c r="B275" s="6"/>
      <c r="C275" s="1"/>
      <c r="D275" s="6"/>
      <c r="E275" s="1"/>
      <c r="F275" s="6"/>
      <c r="G275" s="1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.75" customHeight="1" x14ac:dyDescent="0.6">
      <c r="A276" s="1"/>
      <c r="B276" s="6"/>
      <c r="C276" s="1"/>
      <c r="D276" s="6"/>
      <c r="E276" s="1"/>
      <c r="F276" s="6"/>
      <c r="G276" s="1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.75" customHeight="1" x14ac:dyDescent="0.6">
      <c r="A277" s="1"/>
      <c r="B277" s="6"/>
      <c r="C277" s="1"/>
      <c r="D277" s="6"/>
      <c r="E277" s="1"/>
      <c r="F277" s="6"/>
      <c r="G277" s="1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.75" customHeight="1" x14ac:dyDescent="0.6">
      <c r="A278" s="1"/>
      <c r="B278" s="6"/>
      <c r="C278" s="1"/>
      <c r="D278" s="6"/>
      <c r="E278" s="1"/>
      <c r="F278" s="6"/>
      <c r="G278" s="1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.75" customHeight="1" x14ac:dyDescent="0.6">
      <c r="A279" s="1"/>
      <c r="B279" s="6"/>
      <c r="C279" s="1"/>
      <c r="D279" s="6"/>
      <c r="E279" s="1"/>
      <c r="F279" s="6"/>
      <c r="G279" s="1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.75" customHeight="1" x14ac:dyDescent="0.6">
      <c r="A280" s="1"/>
      <c r="B280" s="6"/>
      <c r="C280" s="1"/>
      <c r="D280" s="6"/>
      <c r="E280" s="1"/>
      <c r="F280" s="6"/>
      <c r="G280" s="1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.75" customHeight="1" x14ac:dyDescent="0.6">
      <c r="A281" s="1"/>
      <c r="B281" s="6"/>
      <c r="C281" s="1"/>
      <c r="D281" s="6"/>
      <c r="E281" s="1"/>
      <c r="F281" s="6"/>
      <c r="G281" s="1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.75" customHeight="1" x14ac:dyDescent="0.6">
      <c r="A282" s="1"/>
      <c r="B282" s="6"/>
      <c r="C282" s="1"/>
      <c r="D282" s="6"/>
      <c r="E282" s="1"/>
      <c r="F282" s="6"/>
      <c r="G282" s="1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.75" customHeight="1" x14ac:dyDescent="0.6">
      <c r="A283" s="1"/>
      <c r="B283" s="6"/>
      <c r="C283" s="1"/>
      <c r="D283" s="6"/>
      <c r="E283" s="1"/>
      <c r="F283" s="6"/>
      <c r="G283" s="1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.75" customHeight="1" x14ac:dyDescent="0.6">
      <c r="A284" s="1"/>
      <c r="B284" s="6"/>
      <c r="C284" s="1"/>
      <c r="D284" s="6"/>
      <c r="E284" s="1"/>
      <c r="F284" s="6"/>
      <c r="G284" s="1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.75" customHeight="1" x14ac:dyDescent="0.6">
      <c r="A285" s="1"/>
      <c r="B285" s="6"/>
      <c r="C285" s="1"/>
      <c r="D285" s="6"/>
      <c r="E285" s="1"/>
      <c r="F285" s="6"/>
      <c r="G285" s="1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.75" customHeight="1" x14ac:dyDescent="0.6">
      <c r="A286" s="1"/>
      <c r="B286" s="6"/>
      <c r="C286" s="1"/>
      <c r="D286" s="6"/>
      <c r="E286" s="1"/>
      <c r="F286" s="6"/>
      <c r="G286" s="1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.75" customHeight="1" x14ac:dyDescent="0.6">
      <c r="A287" s="1"/>
      <c r="B287" s="6"/>
      <c r="C287" s="1"/>
      <c r="D287" s="6"/>
      <c r="E287" s="1"/>
      <c r="F287" s="6"/>
      <c r="G287" s="1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.75" customHeight="1" x14ac:dyDescent="0.6">
      <c r="A288" s="1"/>
      <c r="B288" s="6"/>
      <c r="C288" s="1"/>
      <c r="D288" s="6"/>
      <c r="E288" s="1"/>
      <c r="F288" s="6"/>
      <c r="G288" s="1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.75" customHeight="1" x14ac:dyDescent="0.6">
      <c r="A289" s="1"/>
      <c r="B289" s="6"/>
      <c r="C289" s="1"/>
      <c r="D289" s="6"/>
      <c r="E289" s="1"/>
      <c r="F289" s="6"/>
      <c r="G289" s="1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.75" customHeight="1" x14ac:dyDescent="0.6">
      <c r="A290" s="1"/>
      <c r="B290" s="6"/>
      <c r="C290" s="1"/>
      <c r="D290" s="6"/>
      <c r="E290" s="1"/>
      <c r="F290" s="6"/>
      <c r="G290" s="1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.75" customHeight="1" x14ac:dyDescent="0.6">
      <c r="A291" s="1"/>
      <c r="B291" s="6"/>
      <c r="C291" s="1"/>
      <c r="D291" s="6"/>
      <c r="E291" s="1"/>
      <c r="F291" s="6"/>
      <c r="G291" s="1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.75" customHeight="1" x14ac:dyDescent="0.6">
      <c r="A292" s="1"/>
      <c r="B292" s="6"/>
      <c r="C292" s="1"/>
      <c r="D292" s="6"/>
      <c r="E292" s="1"/>
      <c r="F292" s="6"/>
      <c r="G292" s="1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.75" customHeight="1" x14ac:dyDescent="0.6">
      <c r="A293" s="1"/>
      <c r="B293" s="6"/>
      <c r="C293" s="1"/>
      <c r="D293" s="6"/>
      <c r="E293" s="1"/>
      <c r="F293" s="6"/>
      <c r="G293" s="1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.75" customHeight="1" x14ac:dyDescent="0.6">
      <c r="A294" s="1"/>
      <c r="B294" s="6"/>
      <c r="C294" s="1"/>
      <c r="D294" s="6"/>
      <c r="E294" s="1"/>
      <c r="F294" s="6"/>
      <c r="G294" s="1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.75" customHeight="1" x14ac:dyDescent="0.6">
      <c r="A295" s="1"/>
      <c r="B295" s="6"/>
      <c r="C295" s="1"/>
      <c r="D295" s="6"/>
      <c r="E295" s="1"/>
      <c r="F295" s="6"/>
      <c r="G295" s="1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.75" customHeight="1" x14ac:dyDescent="0.6">
      <c r="A296" s="1"/>
      <c r="B296" s="6"/>
      <c r="C296" s="1"/>
      <c r="D296" s="6"/>
      <c r="E296" s="1"/>
      <c r="F296" s="6"/>
      <c r="G296" s="1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.75" customHeight="1" x14ac:dyDescent="0.6">
      <c r="A297" s="1"/>
      <c r="B297" s="6"/>
      <c r="C297" s="1"/>
      <c r="D297" s="6"/>
      <c r="E297" s="1"/>
      <c r="F297" s="6"/>
      <c r="G297" s="1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.75" customHeight="1" x14ac:dyDescent="0.6">
      <c r="A298" s="1"/>
      <c r="B298" s="6"/>
      <c r="C298" s="1"/>
      <c r="D298" s="6"/>
      <c r="E298" s="1"/>
      <c r="F298" s="6"/>
      <c r="G298" s="1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.75" customHeight="1" x14ac:dyDescent="0.6">
      <c r="A299" s="1"/>
      <c r="B299" s="6"/>
      <c r="C299" s="1"/>
      <c r="D299" s="6"/>
      <c r="E299" s="1"/>
      <c r="F299" s="6"/>
      <c r="G299" s="1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.75" customHeight="1" x14ac:dyDescent="0.6">
      <c r="A300" s="1"/>
      <c r="B300" s="6"/>
      <c r="C300" s="1"/>
      <c r="D300" s="6"/>
      <c r="E300" s="1"/>
      <c r="F300" s="6"/>
      <c r="G300" s="1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.75" customHeight="1" x14ac:dyDescent="0.6">
      <c r="A301" s="1"/>
      <c r="B301" s="6"/>
      <c r="C301" s="1"/>
      <c r="D301" s="6"/>
      <c r="E301" s="1"/>
      <c r="F301" s="6"/>
      <c r="G301" s="1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.75" customHeight="1" x14ac:dyDescent="0.6">
      <c r="A302" s="1"/>
      <c r="B302" s="6"/>
      <c r="C302" s="1"/>
      <c r="D302" s="6"/>
      <c r="E302" s="1"/>
      <c r="F302" s="6"/>
      <c r="G302" s="1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.75" customHeight="1" x14ac:dyDescent="0.6">
      <c r="A303" s="1"/>
      <c r="B303" s="6"/>
      <c r="C303" s="1"/>
      <c r="D303" s="6"/>
      <c r="E303" s="1"/>
      <c r="F303" s="6"/>
      <c r="G303" s="1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.75" customHeight="1" x14ac:dyDescent="0.6">
      <c r="A304" s="1"/>
      <c r="B304" s="6"/>
      <c r="C304" s="1"/>
      <c r="D304" s="6"/>
      <c r="E304" s="1"/>
      <c r="F304" s="6"/>
      <c r="G304" s="1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.75" customHeight="1" x14ac:dyDescent="0.6">
      <c r="A305" s="1"/>
      <c r="B305" s="6"/>
      <c r="C305" s="1"/>
      <c r="D305" s="6"/>
      <c r="E305" s="1"/>
      <c r="F305" s="6"/>
      <c r="G305" s="1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.75" customHeight="1" x14ac:dyDescent="0.6">
      <c r="A306" s="1"/>
      <c r="B306" s="6"/>
      <c r="C306" s="1"/>
      <c r="D306" s="6"/>
      <c r="E306" s="1"/>
      <c r="F306" s="6"/>
      <c r="G306" s="1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.75" customHeight="1" x14ac:dyDescent="0.6">
      <c r="A307" s="1"/>
      <c r="B307" s="6"/>
      <c r="C307" s="1"/>
      <c r="D307" s="6"/>
      <c r="E307" s="1"/>
      <c r="F307" s="6"/>
      <c r="G307" s="1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.75" customHeight="1" x14ac:dyDescent="0.6">
      <c r="A308" s="1"/>
      <c r="B308" s="6"/>
      <c r="C308" s="1"/>
      <c r="D308" s="6"/>
      <c r="E308" s="1"/>
      <c r="F308" s="6"/>
      <c r="G308" s="1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.75" customHeight="1" x14ac:dyDescent="0.6">
      <c r="A309" s="1"/>
      <c r="B309" s="6"/>
      <c r="C309" s="1"/>
      <c r="D309" s="6"/>
      <c r="E309" s="1"/>
      <c r="F309" s="6"/>
      <c r="G309" s="1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.75" customHeight="1" x14ac:dyDescent="0.6">
      <c r="A310" s="1"/>
      <c r="B310" s="6"/>
      <c r="C310" s="1"/>
      <c r="D310" s="6"/>
      <c r="E310" s="1"/>
      <c r="F310" s="6"/>
      <c r="G310" s="1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.75" customHeight="1" x14ac:dyDescent="0.6">
      <c r="A311" s="1"/>
      <c r="B311" s="6"/>
      <c r="C311" s="1"/>
      <c r="D311" s="6"/>
      <c r="E311" s="1"/>
      <c r="F311" s="6"/>
      <c r="G311" s="1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.75" customHeight="1" x14ac:dyDescent="0.6">
      <c r="A312" s="1"/>
      <c r="B312" s="6"/>
      <c r="C312" s="1"/>
      <c r="D312" s="6"/>
      <c r="E312" s="1"/>
      <c r="F312" s="6"/>
      <c r="G312" s="1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.75" customHeight="1" x14ac:dyDescent="0.6">
      <c r="A313" s="1"/>
      <c r="B313" s="6"/>
      <c r="C313" s="1"/>
      <c r="D313" s="6"/>
      <c r="E313" s="1"/>
      <c r="F313" s="6"/>
      <c r="G313" s="1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.75" customHeight="1" x14ac:dyDescent="0.6">
      <c r="A314" s="1"/>
      <c r="B314" s="6"/>
      <c r="C314" s="1"/>
      <c r="D314" s="6"/>
      <c r="E314" s="1"/>
      <c r="F314" s="6"/>
      <c r="G314" s="1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.75" customHeight="1" x14ac:dyDescent="0.6">
      <c r="A315" s="1"/>
      <c r="B315" s="6"/>
      <c r="C315" s="1"/>
      <c r="D315" s="6"/>
      <c r="E315" s="1"/>
      <c r="F315" s="6"/>
      <c r="G315" s="1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.75" customHeight="1" x14ac:dyDescent="0.6">
      <c r="A316" s="1"/>
      <c r="B316" s="6"/>
      <c r="C316" s="1"/>
      <c r="D316" s="6"/>
      <c r="E316" s="1"/>
      <c r="F316" s="6"/>
      <c r="G316" s="1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.75" customHeight="1" x14ac:dyDescent="0.6">
      <c r="A317" s="1"/>
      <c r="B317" s="6"/>
      <c r="C317" s="1"/>
      <c r="D317" s="6"/>
      <c r="E317" s="1"/>
      <c r="F317" s="6"/>
      <c r="G317" s="1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.75" customHeight="1" x14ac:dyDescent="0.6">
      <c r="A318" s="1"/>
      <c r="B318" s="6"/>
      <c r="C318" s="1"/>
      <c r="D318" s="6"/>
      <c r="E318" s="1"/>
      <c r="F318" s="6"/>
      <c r="G318" s="1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.75" customHeight="1" x14ac:dyDescent="0.6">
      <c r="A319" s="1"/>
      <c r="B319" s="6"/>
      <c r="C319" s="1"/>
      <c r="D319" s="6"/>
      <c r="E319" s="1"/>
      <c r="F319" s="6"/>
      <c r="G319" s="1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.75" customHeight="1" x14ac:dyDescent="0.6">
      <c r="A320" s="1"/>
      <c r="B320" s="6"/>
      <c r="C320" s="1"/>
      <c r="D320" s="6"/>
      <c r="E320" s="1"/>
      <c r="F320" s="6"/>
      <c r="G320" s="1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.75" customHeight="1" x14ac:dyDescent="0.6">
      <c r="A321" s="1"/>
      <c r="B321" s="6"/>
      <c r="C321" s="1"/>
      <c r="D321" s="6"/>
      <c r="E321" s="1"/>
      <c r="F321" s="6"/>
      <c r="G321" s="1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.75" customHeight="1" x14ac:dyDescent="0.6">
      <c r="A322" s="1"/>
      <c r="B322" s="6"/>
      <c r="C322" s="1"/>
      <c r="D322" s="6"/>
      <c r="E322" s="1"/>
      <c r="F322" s="6"/>
      <c r="G322" s="1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.75" customHeight="1" x14ac:dyDescent="0.6">
      <c r="A323" s="1"/>
      <c r="B323" s="6"/>
      <c r="C323" s="1"/>
      <c r="D323" s="6"/>
      <c r="E323" s="1"/>
      <c r="F323" s="6"/>
      <c r="G323" s="1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.75" customHeight="1" x14ac:dyDescent="0.6">
      <c r="A324" s="1"/>
      <c r="B324" s="6"/>
      <c r="C324" s="1"/>
      <c r="D324" s="6"/>
      <c r="E324" s="1"/>
      <c r="F324" s="6"/>
      <c r="G324" s="1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.75" customHeight="1" x14ac:dyDescent="0.6">
      <c r="A325" s="1"/>
      <c r="B325" s="6"/>
      <c r="C325" s="1"/>
      <c r="D325" s="6"/>
      <c r="E325" s="1"/>
      <c r="F325" s="6"/>
      <c r="G325" s="1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.75" customHeight="1" x14ac:dyDescent="0.6">
      <c r="A326" s="1"/>
      <c r="B326" s="6"/>
      <c r="C326" s="1"/>
      <c r="D326" s="6"/>
      <c r="E326" s="1"/>
      <c r="F326" s="6"/>
      <c r="G326" s="1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.75" customHeight="1" x14ac:dyDescent="0.6">
      <c r="A327" s="1"/>
      <c r="B327" s="6"/>
      <c r="C327" s="1"/>
      <c r="D327" s="6"/>
      <c r="E327" s="1"/>
      <c r="F327" s="6"/>
      <c r="G327" s="1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.75" customHeight="1" x14ac:dyDescent="0.6">
      <c r="A328" s="1"/>
      <c r="B328" s="6"/>
      <c r="C328" s="1"/>
      <c r="D328" s="6"/>
      <c r="E328" s="1"/>
      <c r="F328" s="6"/>
      <c r="G328" s="1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.75" customHeight="1" x14ac:dyDescent="0.6">
      <c r="A329" s="1"/>
      <c r="B329" s="6"/>
      <c r="C329" s="1"/>
      <c r="D329" s="6"/>
      <c r="E329" s="1"/>
      <c r="F329" s="6"/>
      <c r="G329" s="1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.75" customHeight="1" x14ac:dyDescent="0.6">
      <c r="A330" s="1"/>
      <c r="B330" s="6"/>
      <c r="C330" s="1"/>
      <c r="D330" s="6"/>
      <c r="E330" s="1"/>
      <c r="F330" s="6"/>
      <c r="G330" s="1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.75" customHeight="1" x14ac:dyDescent="0.6">
      <c r="A331" s="1"/>
      <c r="B331" s="6"/>
      <c r="C331" s="1"/>
      <c r="D331" s="6"/>
      <c r="E331" s="1"/>
      <c r="F331" s="6"/>
      <c r="G331" s="1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.75" customHeight="1" x14ac:dyDescent="0.6">
      <c r="A332" s="1"/>
      <c r="B332" s="6"/>
      <c r="C332" s="1"/>
      <c r="D332" s="6"/>
      <c r="E332" s="1"/>
      <c r="F332" s="6"/>
      <c r="G332" s="1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.75" customHeight="1" x14ac:dyDescent="0.6">
      <c r="A333" s="1"/>
      <c r="B333" s="6"/>
      <c r="C333" s="1"/>
      <c r="D333" s="6"/>
      <c r="E333" s="1"/>
      <c r="F333" s="6"/>
      <c r="G333" s="1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.75" customHeight="1" x14ac:dyDescent="0.6">
      <c r="A334" s="1"/>
      <c r="B334" s="6"/>
      <c r="C334" s="1"/>
      <c r="D334" s="6"/>
      <c r="E334" s="1"/>
      <c r="F334" s="6"/>
      <c r="G334" s="1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.75" customHeight="1" x14ac:dyDescent="0.6">
      <c r="A335" s="1"/>
      <c r="B335" s="6"/>
      <c r="C335" s="1"/>
      <c r="D335" s="6"/>
      <c r="E335" s="1"/>
      <c r="F335" s="6"/>
      <c r="G335" s="1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.75" customHeight="1" x14ac:dyDescent="0.6">
      <c r="A336" s="1"/>
      <c r="B336" s="6"/>
      <c r="C336" s="1"/>
      <c r="D336" s="6"/>
      <c r="E336" s="1"/>
      <c r="F336" s="6"/>
      <c r="G336" s="1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.75" customHeight="1" x14ac:dyDescent="0.6">
      <c r="A337" s="1"/>
      <c r="B337" s="6"/>
      <c r="C337" s="1"/>
      <c r="D337" s="6"/>
      <c r="E337" s="1"/>
      <c r="F337" s="6"/>
      <c r="G337" s="1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.75" customHeight="1" x14ac:dyDescent="0.6">
      <c r="A338" s="1"/>
      <c r="B338" s="6"/>
      <c r="C338" s="1"/>
      <c r="D338" s="6"/>
      <c r="E338" s="1"/>
      <c r="F338" s="6"/>
      <c r="G338" s="1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.75" customHeight="1" x14ac:dyDescent="0.6">
      <c r="A339" s="1"/>
      <c r="B339" s="6"/>
      <c r="C339" s="1"/>
      <c r="D339" s="6"/>
      <c r="E339" s="1"/>
      <c r="F339" s="6"/>
      <c r="G339" s="1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.75" customHeight="1" x14ac:dyDescent="0.6">
      <c r="A340" s="1"/>
      <c r="B340" s="6"/>
      <c r="C340" s="1"/>
      <c r="D340" s="6"/>
      <c r="E340" s="1"/>
      <c r="F340" s="6"/>
      <c r="G340" s="1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.75" customHeight="1" x14ac:dyDescent="0.6">
      <c r="A341" s="1"/>
      <c r="B341" s="6"/>
      <c r="C341" s="1"/>
      <c r="D341" s="6"/>
      <c r="E341" s="1"/>
      <c r="F341" s="6"/>
      <c r="G341" s="1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.75" customHeight="1" x14ac:dyDescent="0.6">
      <c r="A342" s="1"/>
      <c r="B342" s="6"/>
      <c r="C342" s="1"/>
      <c r="D342" s="6"/>
      <c r="E342" s="1"/>
      <c r="F342" s="6"/>
      <c r="G342" s="1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.75" customHeight="1" x14ac:dyDescent="0.6">
      <c r="A343" s="1"/>
      <c r="B343" s="6"/>
      <c r="C343" s="1"/>
      <c r="D343" s="6"/>
      <c r="E343" s="1"/>
      <c r="F343" s="6"/>
      <c r="G343" s="1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.75" customHeight="1" x14ac:dyDescent="0.6">
      <c r="A344" s="1"/>
      <c r="B344" s="6"/>
      <c r="C344" s="1"/>
      <c r="D344" s="6"/>
      <c r="E344" s="1"/>
      <c r="F344" s="6"/>
      <c r="G344" s="1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.75" customHeight="1" x14ac:dyDescent="0.6">
      <c r="A345" s="1"/>
      <c r="B345" s="6"/>
      <c r="C345" s="1"/>
      <c r="D345" s="6"/>
      <c r="E345" s="1"/>
      <c r="F345" s="6"/>
      <c r="G345" s="1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.75" customHeight="1" x14ac:dyDescent="0.6">
      <c r="A346" s="1"/>
      <c r="B346" s="6"/>
      <c r="C346" s="1"/>
      <c r="D346" s="6"/>
      <c r="E346" s="1"/>
      <c r="F346" s="6"/>
      <c r="G346" s="1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.75" customHeight="1" x14ac:dyDescent="0.6">
      <c r="A347" s="1"/>
      <c r="B347" s="6"/>
      <c r="C347" s="1"/>
      <c r="D347" s="6"/>
      <c r="E347" s="1"/>
      <c r="F347" s="6"/>
      <c r="G347" s="1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.75" customHeight="1" x14ac:dyDescent="0.6">
      <c r="A348" s="1"/>
      <c r="B348" s="6"/>
      <c r="C348" s="1"/>
      <c r="D348" s="6"/>
      <c r="E348" s="1"/>
      <c r="F348" s="6"/>
      <c r="G348" s="1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.75" customHeight="1" x14ac:dyDescent="0.6">
      <c r="A349" s="1"/>
      <c r="B349" s="6"/>
      <c r="C349" s="1"/>
      <c r="D349" s="6"/>
      <c r="E349" s="1"/>
      <c r="F349" s="6"/>
      <c r="G349" s="1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.75" customHeight="1" x14ac:dyDescent="0.6">
      <c r="A350" s="1"/>
      <c r="B350" s="6"/>
      <c r="C350" s="1"/>
      <c r="D350" s="6"/>
      <c r="E350" s="1"/>
      <c r="F350" s="6"/>
      <c r="G350" s="1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.75" customHeight="1" x14ac:dyDescent="0.6">
      <c r="A351" s="1"/>
      <c r="B351" s="6"/>
      <c r="C351" s="1"/>
      <c r="D351" s="6"/>
      <c r="E351" s="1"/>
      <c r="F351" s="6"/>
      <c r="G351" s="1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.75" customHeight="1" x14ac:dyDescent="0.6">
      <c r="A352" s="1"/>
      <c r="B352" s="6"/>
      <c r="C352" s="1"/>
      <c r="D352" s="6"/>
      <c r="E352" s="1"/>
      <c r="F352" s="6"/>
      <c r="G352" s="1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.75" customHeight="1" x14ac:dyDescent="0.6">
      <c r="A353" s="1"/>
      <c r="B353" s="6"/>
      <c r="C353" s="1"/>
      <c r="D353" s="6"/>
      <c r="E353" s="1"/>
      <c r="F353" s="6"/>
      <c r="G353" s="1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.75" customHeight="1" x14ac:dyDescent="0.6">
      <c r="A354" s="1"/>
      <c r="B354" s="6"/>
      <c r="C354" s="1"/>
      <c r="D354" s="6"/>
      <c r="E354" s="1"/>
      <c r="F354" s="6"/>
      <c r="G354" s="1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.75" customHeight="1" x14ac:dyDescent="0.6">
      <c r="A355" s="1"/>
      <c r="B355" s="6"/>
      <c r="C355" s="1"/>
      <c r="D355" s="6"/>
      <c r="E355" s="1"/>
      <c r="F355" s="6"/>
      <c r="G355" s="1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.75" customHeight="1" x14ac:dyDescent="0.6">
      <c r="A356" s="1"/>
      <c r="B356" s="6"/>
      <c r="C356" s="1"/>
      <c r="D356" s="6"/>
      <c r="E356" s="1"/>
      <c r="F356" s="6"/>
      <c r="G356" s="1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.75" customHeight="1" x14ac:dyDescent="0.6">
      <c r="A357" s="1"/>
      <c r="B357" s="6"/>
      <c r="C357" s="1"/>
      <c r="D357" s="6"/>
      <c r="E357" s="1"/>
      <c r="F357" s="6"/>
      <c r="G357" s="1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.75" customHeight="1" x14ac:dyDescent="0.6">
      <c r="A358" s="1"/>
      <c r="B358" s="6"/>
      <c r="C358" s="1"/>
      <c r="D358" s="6"/>
      <c r="E358" s="1"/>
      <c r="F358" s="6"/>
      <c r="G358" s="1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.75" customHeight="1" x14ac:dyDescent="0.6">
      <c r="A359" s="1"/>
      <c r="B359" s="6"/>
      <c r="C359" s="1"/>
      <c r="D359" s="6"/>
      <c r="E359" s="1"/>
      <c r="F359" s="6"/>
      <c r="G359" s="1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.75" customHeight="1" x14ac:dyDescent="0.6">
      <c r="A360" s="1"/>
      <c r="B360" s="6"/>
      <c r="C360" s="1"/>
      <c r="D360" s="6"/>
      <c r="E360" s="1"/>
      <c r="F360" s="6"/>
      <c r="G360" s="1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.75" customHeight="1" x14ac:dyDescent="0.6">
      <c r="A361" s="1"/>
      <c r="B361" s="6"/>
      <c r="C361" s="1"/>
      <c r="D361" s="6"/>
      <c r="E361" s="1"/>
      <c r="F361" s="6"/>
      <c r="G361" s="1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.75" customHeight="1" x14ac:dyDescent="0.6">
      <c r="A362" s="1"/>
      <c r="B362" s="6"/>
      <c r="C362" s="1"/>
      <c r="D362" s="6"/>
      <c r="E362" s="1"/>
      <c r="F362" s="6"/>
      <c r="G362" s="1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.75" customHeight="1" x14ac:dyDescent="0.6">
      <c r="A363" s="1"/>
      <c r="B363" s="6"/>
      <c r="C363" s="1"/>
      <c r="D363" s="6"/>
      <c r="E363" s="1"/>
      <c r="F363" s="6"/>
      <c r="G363" s="1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.75" customHeight="1" x14ac:dyDescent="0.6">
      <c r="A364" s="1"/>
      <c r="B364" s="6"/>
      <c r="C364" s="1"/>
      <c r="D364" s="6"/>
      <c r="E364" s="1"/>
      <c r="F364" s="6"/>
      <c r="G364" s="1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.75" customHeight="1" x14ac:dyDescent="0.6">
      <c r="A365" s="1"/>
      <c r="B365" s="6"/>
      <c r="C365" s="1"/>
      <c r="D365" s="6"/>
      <c r="E365" s="1"/>
      <c r="F365" s="6"/>
      <c r="G365" s="1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.75" customHeight="1" x14ac:dyDescent="0.6">
      <c r="A366" s="1"/>
      <c r="B366" s="6"/>
      <c r="C366" s="1"/>
      <c r="D366" s="6"/>
      <c r="E366" s="1"/>
      <c r="F366" s="6"/>
      <c r="G366" s="1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.75" customHeight="1" x14ac:dyDescent="0.6">
      <c r="A367" s="1"/>
      <c r="B367" s="6"/>
      <c r="C367" s="1"/>
      <c r="D367" s="6"/>
      <c r="E367" s="1"/>
      <c r="F367" s="6"/>
      <c r="G367" s="1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.75" customHeight="1" x14ac:dyDescent="0.6">
      <c r="A368" s="1"/>
      <c r="B368" s="6"/>
      <c r="C368" s="1"/>
      <c r="D368" s="6"/>
      <c r="E368" s="1"/>
      <c r="F368" s="6"/>
      <c r="G368" s="1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.75" customHeight="1" x14ac:dyDescent="0.6">
      <c r="A369" s="1"/>
      <c r="B369" s="6"/>
      <c r="C369" s="1"/>
      <c r="D369" s="6"/>
      <c r="E369" s="1"/>
      <c r="F369" s="6"/>
      <c r="G369" s="1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.75" customHeight="1" x14ac:dyDescent="0.6">
      <c r="A370" s="1"/>
      <c r="B370" s="6"/>
      <c r="C370" s="1"/>
      <c r="D370" s="6"/>
      <c r="E370" s="1"/>
      <c r="F370" s="6"/>
      <c r="G370" s="1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.75" customHeight="1" x14ac:dyDescent="0.6">
      <c r="A371" s="1"/>
      <c r="B371" s="6"/>
      <c r="C371" s="1"/>
      <c r="D371" s="6"/>
      <c r="E371" s="1"/>
      <c r="F371" s="6"/>
      <c r="G371" s="1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.75" customHeight="1" x14ac:dyDescent="0.6">
      <c r="A372" s="1"/>
      <c r="B372" s="6"/>
      <c r="C372" s="1"/>
      <c r="D372" s="6"/>
      <c r="E372" s="1"/>
      <c r="F372" s="6"/>
      <c r="G372" s="1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.75" customHeight="1" x14ac:dyDescent="0.6">
      <c r="A373" s="1"/>
      <c r="B373" s="6"/>
      <c r="C373" s="1"/>
      <c r="D373" s="6"/>
      <c r="E373" s="1"/>
      <c r="F373" s="6"/>
      <c r="G373" s="1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.75" customHeight="1" x14ac:dyDescent="0.6">
      <c r="A374" s="1"/>
      <c r="B374" s="6"/>
      <c r="C374" s="1"/>
      <c r="D374" s="6"/>
      <c r="E374" s="1"/>
      <c r="F374" s="6"/>
      <c r="G374" s="1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.75" customHeight="1" x14ac:dyDescent="0.6">
      <c r="A375" s="1"/>
      <c r="B375" s="6"/>
      <c r="C375" s="1"/>
      <c r="D375" s="6"/>
      <c r="E375" s="1"/>
      <c r="F375" s="6"/>
      <c r="G375" s="1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.75" customHeight="1" x14ac:dyDescent="0.6">
      <c r="A376" s="1"/>
      <c r="B376" s="6"/>
      <c r="C376" s="1"/>
      <c r="D376" s="6"/>
      <c r="E376" s="1"/>
      <c r="F376" s="6"/>
      <c r="G376" s="1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.75" customHeight="1" x14ac:dyDescent="0.6">
      <c r="A377" s="1"/>
      <c r="B377" s="6"/>
      <c r="C377" s="1"/>
      <c r="D377" s="6"/>
      <c r="E377" s="1"/>
      <c r="F377" s="6"/>
      <c r="G377" s="1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.75" customHeight="1" x14ac:dyDescent="0.6">
      <c r="A378" s="1"/>
      <c r="B378" s="6"/>
      <c r="C378" s="1"/>
      <c r="D378" s="6"/>
      <c r="E378" s="1"/>
      <c r="F378" s="6"/>
      <c r="G378" s="1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.75" customHeight="1" x14ac:dyDescent="0.6">
      <c r="A379" s="1"/>
      <c r="B379" s="6"/>
      <c r="C379" s="1"/>
      <c r="D379" s="6"/>
      <c r="E379" s="1"/>
      <c r="F379" s="6"/>
      <c r="G379" s="1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.75" customHeight="1" x14ac:dyDescent="0.6">
      <c r="A380" s="1"/>
      <c r="B380" s="6"/>
      <c r="C380" s="1"/>
      <c r="D380" s="6"/>
      <c r="E380" s="1"/>
      <c r="F380" s="6"/>
      <c r="G380" s="1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.75" customHeight="1" x14ac:dyDescent="0.6">
      <c r="A381" s="1"/>
      <c r="B381" s="6"/>
      <c r="C381" s="1"/>
      <c r="D381" s="6"/>
      <c r="E381" s="1"/>
      <c r="F381" s="6"/>
      <c r="G381" s="1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.75" customHeight="1" x14ac:dyDescent="0.6">
      <c r="A382" s="1"/>
      <c r="B382" s="6"/>
      <c r="C382" s="1"/>
      <c r="D382" s="6"/>
      <c r="E382" s="1"/>
      <c r="F382" s="6"/>
      <c r="G382" s="1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.75" customHeight="1" x14ac:dyDescent="0.6">
      <c r="A383" s="1"/>
      <c r="B383" s="6"/>
      <c r="C383" s="1"/>
      <c r="D383" s="6"/>
      <c r="E383" s="1"/>
      <c r="F383" s="6"/>
      <c r="G383" s="1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.75" customHeight="1" x14ac:dyDescent="0.6">
      <c r="A384" s="1"/>
      <c r="B384" s="6"/>
      <c r="C384" s="1"/>
      <c r="D384" s="6"/>
      <c r="E384" s="1"/>
      <c r="F384" s="6"/>
      <c r="G384" s="1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.75" customHeight="1" x14ac:dyDescent="0.6">
      <c r="A385" s="1"/>
      <c r="B385" s="6"/>
      <c r="C385" s="1"/>
      <c r="D385" s="6"/>
      <c r="E385" s="1"/>
      <c r="F385" s="6"/>
      <c r="G385" s="1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.75" customHeight="1" x14ac:dyDescent="0.6">
      <c r="A386" s="1"/>
      <c r="B386" s="6"/>
      <c r="C386" s="1"/>
      <c r="D386" s="6"/>
      <c r="E386" s="1"/>
      <c r="F386" s="6"/>
      <c r="G386" s="1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.75" customHeight="1" x14ac:dyDescent="0.6">
      <c r="A387" s="1"/>
      <c r="B387" s="6"/>
      <c r="C387" s="1"/>
      <c r="D387" s="6"/>
      <c r="E387" s="1"/>
      <c r="F387" s="6"/>
      <c r="G387" s="1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.75" customHeight="1" x14ac:dyDescent="0.6">
      <c r="A388" s="1"/>
      <c r="B388" s="6"/>
      <c r="C388" s="1"/>
      <c r="D388" s="6"/>
      <c r="E388" s="1"/>
      <c r="F388" s="6"/>
      <c r="G388" s="1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.75" customHeight="1" x14ac:dyDescent="0.6">
      <c r="A389" s="1"/>
      <c r="B389" s="6"/>
      <c r="C389" s="1"/>
      <c r="D389" s="6"/>
      <c r="E389" s="1"/>
      <c r="F389" s="6"/>
      <c r="G389" s="1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.75" customHeight="1" x14ac:dyDescent="0.6">
      <c r="A390" s="1"/>
      <c r="B390" s="6"/>
      <c r="C390" s="1"/>
      <c r="D390" s="6"/>
      <c r="E390" s="1"/>
      <c r="F390" s="6"/>
      <c r="G390" s="1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.75" customHeight="1" x14ac:dyDescent="0.6">
      <c r="A391" s="1"/>
      <c r="B391" s="6"/>
      <c r="C391" s="1"/>
      <c r="D391" s="6"/>
      <c r="E391" s="1"/>
      <c r="F391" s="6"/>
      <c r="G391" s="1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.75" customHeight="1" x14ac:dyDescent="0.6">
      <c r="A392" s="1"/>
      <c r="B392" s="6"/>
      <c r="C392" s="1"/>
      <c r="D392" s="6"/>
      <c r="E392" s="1"/>
      <c r="F392" s="6"/>
      <c r="G392" s="1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.75" customHeight="1" x14ac:dyDescent="0.6">
      <c r="A393" s="1"/>
      <c r="B393" s="6"/>
      <c r="C393" s="1"/>
      <c r="D393" s="6"/>
      <c r="E393" s="1"/>
      <c r="F393" s="6"/>
      <c r="G393" s="1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.75" customHeight="1" x14ac:dyDescent="0.6">
      <c r="A394" s="1"/>
      <c r="B394" s="6"/>
      <c r="C394" s="1"/>
      <c r="D394" s="6"/>
      <c r="E394" s="1"/>
      <c r="F394" s="6"/>
      <c r="G394" s="1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.75" customHeight="1" x14ac:dyDescent="0.6">
      <c r="A395" s="1"/>
      <c r="B395" s="6"/>
      <c r="C395" s="1"/>
      <c r="D395" s="6"/>
      <c r="E395" s="1"/>
      <c r="F395" s="6"/>
      <c r="G395" s="1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.75" customHeight="1" x14ac:dyDescent="0.6">
      <c r="A396" s="1"/>
      <c r="B396" s="6"/>
      <c r="C396" s="1"/>
      <c r="D396" s="6"/>
      <c r="E396" s="1"/>
      <c r="F396" s="6"/>
      <c r="G396" s="1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.75" customHeight="1" x14ac:dyDescent="0.6">
      <c r="A397" s="1"/>
      <c r="B397" s="6"/>
      <c r="C397" s="1"/>
      <c r="D397" s="6"/>
      <c r="E397" s="1"/>
      <c r="F397" s="6"/>
      <c r="G397" s="1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.75" customHeight="1" x14ac:dyDescent="0.6">
      <c r="A398" s="1"/>
      <c r="B398" s="6"/>
      <c r="C398" s="1"/>
      <c r="D398" s="6"/>
      <c r="E398" s="1"/>
      <c r="F398" s="6"/>
      <c r="G398" s="1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.75" customHeight="1" x14ac:dyDescent="0.6">
      <c r="A399" s="1"/>
      <c r="B399" s="6"/>
      <c r="C399" s="1"/>
      <c r="D399" s="6"/>
      <c r="E399" s="1"/>
      <c r="F399" s="6"/>
      <c r="G399" s="1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.75" customHeight="1" x14ac:dyDescent="0.6">
      <c r="A400" s="1"/>
      <c r="B400" s="6"/>
      <c r="C400" s="1"/>
      <c r="D400" s="6"/>
      <c r="E400" s="1"/>
      <c r="F400" s="6"/>
      <c r="G400" s="1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.75" customHeight="1" x14ac:dyDescent="0.6">
      <c r="A401" s="1"/>
      <c r="B401" s="6"/>
      <c r="C401" s="1"/>
      <c r="D401" s="6"/>
      <c r="E401" s="1"/>
      <c r="F401" s="6"/>
      <c r="G401" s="1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.75" customHeight="1" x14ac:dyDescent="0.6">
      <c r="A402" s="1"/>
      <c r="B402" s="6"/>
      <c r="C402" s="1"/>
      <c r="D402" s="6"/>
      <c r="E402" s="1"/>
      <c r="F402" s="6"/>
      <c r="G402" s="1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.75" customHeight="1" x14ac:dyDescent="0.6">
      <c r="A403" s="1"/>
      <c r="B403" s="6"/>
      <c r="C403" s="1"/>
      <c r="D403" s="6"/>
      <c r="E403" s="1"/>
      <c r="F403" s="6"/>
      <c r="G403" s="1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.75" customHeight="1" x14ac:dyDescent="0.6">
      <c r="A404" s="1"/>
      <c r="B404" s="6"/>
      <c r="C404" s="1"/>
      <c r="D404" s="6"/>
      <c r="E404" s="1"/>
      <c r="F404" s="6"/>
      <c r="G404" s="1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.75" customHeight="1" x14ac:dyDescent="0.6">
      <c r="A405" s="1"/>
      <c r="B405" s="6"/>
      <c r="C405" s="1"/>
      <c r="D405" s="6"/>
      <c r="E405" s="1"/>
      <c r="F405" s="6"/>
      <c r="G405" s="1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.75" customHeight="1" x14ac:dyDescent="0.6">
      <c r="A406" s="1"/>
      <c r="B406" s="6"/>
      <c r="C406" s="1"/>
      <c r="D406" s="6"/>
      <c r="E406" s="1"/>
      <c r="F406" s="6"/>
      <c r="G406" s="1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.75" customHeight="1" x14ac:dyDescent="0.6">
      <c r="A407" s="1"/>
      <c r="B407" s="6"/>
      <c r="C407" s="1"/>
      <c r="D407" s="6"/>
      <c r="E407" s="1"/>
      <c r="F407" s="6"/>
      <c r="G407" s="1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.75" customHeight="1" x14ac:dyDescent="0.6">
      <c r="A408" s="1"/>
      <c r="B408" s="6"/>
      <c r="C408" s="1"/>
      <c r="D408" s="6"/>
      <c r="E408" s="1"/>
      <c r="F408" s="6"/>
      <c r="G408" s="1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.75" customHeight="1" x14ac:dyDescent="0.6">
      <c r="A409" s="1"/>
      <c r="B409" s="6"/>
      <c r="C409" s="1"/>
      <c r="D409" s="6"/>
      <c r="E409" s="1"/>
      <c r="F409" s="6"/>
      <c r="G409" s="1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.75" customHeight="1" x14ac:dyDescent="0.6">
      <c r="A410" s="1"/>
      <c r="B410" s="6"/>
      <c r="C410" s="1"/>
      <c r="D410" s="6"/>
      <c r="E410" s="1"/>
      <c r="F410" s="6"/>
      <c r="G410" s="1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.75" customHeight="1" x14ac:dyDescent="0.6">
      <c r="A411" s="1"/>
      <c r="B411" s="6"/>
      <c r="C411" s="1"/>
      <c r="D411" s="6"/>
      <c r="E411" s="1"/>
      <c r="F411" s="6"/>
      <c r="G411" s="1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.75" customHeight="1" x14ac:dyDescent="0.6">
      <c r="A412" s="1"/>
      <c r="B412" s="6"/>
      <c r="C412" s="1"/>
      <c r="D412" s="6"/>
      <c r="E412" s="1"/>
      <c r="F412" s="6"/>
      <c r="G412" s="1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.75" customHeight="1" x14ac:dyDescent="0.6">
      <c r="A413" s="1"/>
      <c r="B413" s="6"/>
      <c r="C413" s="1"/>
      <c r="D413" s="6"/>
      <c r="E413" s="1"/>
      <c r="F413" s="6"/>
      <c r="G413" s="1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.75" customHeight="1" x14ac:dyDescent="0.6">
      <c r="A414" s="1"/>
      <c r="B414" s="6"/>
      <c r="C414" s="1"/>
      <c r="D414" s="6"/>
      <c r="E414" s="1"/>
      <c r="F414" s="6"/>
      <c r="G414" s="1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.75" customHeight="1" x14ac:dyDescent="0.6">
      <c r="A415" s="1"/>
      <c r="B415" s="6"/>
      <c r="C415" s="1"/>
      <c r="D415" s="6"/>
      <c r="E415" s="1"/>
      <c r="F415" s="6"/>
      <c r="G415" s="1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.75" customHeight="1" x14ac:dyDescent="0.6">
      <c r="A416" s="1"/>
      <c r="B416" s="6"/>
      <c r="C416" s="1"/>
      <c r="D416" s="6"/>
      <c r="E416" s="1"/>
      <c r="F416" s="6"/>
      <c r="G416" s="1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.75" customHeight="1" x14ac:dyDescent="0.6">
      <c r="A417" s="1"/>
      <c r="B417" s="6"/>
      <c r="C417" s="1"/>
      <c r="D417" s="6"/>
      <c r="E417" s="1"/>
      <c r="F417" s="6"/>
      <c r="G417" s="1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.75" customHeight="1" x14ac:dyDescent="0.6">
      <c r="A418" s="1"/>
      <c r="B418" s="6"/>
      <c r="C418" s="1"/>
      <c r="D418" s="6"/>
      <c r="E418" s="1"/>
      <c r="F418" s="6"/>
      <c r="G418" s="1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.75" customHeight="1" x14ac:dyDescent="0.6">
      <c r="A419" s="1"/>
      <c r="B419" s="6"/>
      <c r="C419" s="1"/>
      <c r="D419" s="6"/>
      <c r="E419" s="1"/>
      <c r="F419" s="6"/>
      <c r="G419" s="1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.75" customHeight="1" x14ac:dyDescent="0.6">
      <c r="A420" s="1"/>
      <c r="B420" s="6"/>
      <c r="C420" s="1"/>
      <c r="D420" s="6"/>
      <c r="E420" s="1"/>
      <c r="F420" s="6"/>
      <c r="G420" s="1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.75" customHeight="1" x14ac:dyDescent="0.6">
      <c r="A421" s="1"/>
      <c r="B421" s="6"/>
      <c r="C421" s="1"/>
      <c r="D421" s="6"/>
      <c r="E421" s="1"/>
      <c r="F421" s="6"/>
      <c r="G421" s="1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.75" customHeight="1" x14ac:dyDescent="0.6">
      <c r="A422" s="1"/>
      <c r="B422" s="6"/>
      <c r="C422" s="1"/>
      <c r="D422" s="6"/>
      <c r="E422" s="1"/>
      <c r="F422" s="6"/>
      <c r="G422" s="1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.75" customHeight="1" x14ac:dyDescent="0.6">
      <c r="A423" s="1"/>
      <c r="B423" s="6"/>
      <c r="C423" s="1"/>
      <c r="D423" s="6"/>
      <c r="E423" s="1"/>
      <c r="F423" s="6"/>
      <c r="G423" s="1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.75" customHeight="1" x14ac:dyDescent="0.6">
      <c r="A424" s="1"/>
      <c r="B424" s="6"/>
      <c r="C424" s="1"/>
      <c r="D424" s="6"/>
      <c r="E424" s="1"/>
      <c r="F424" s="6"/>
      <c r="G424" s="1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.75" customHeight="1" x14ac:dyDescent="0.6">
      <c r="A425" s="1"/>
      <c r="B425" s="6"/>
      <c r="C425" s="1"/>
      <c r="D425" s="6"/>
      <c r="E425" s="1"/>
      <c r="F425" s="6"/>
      <c r="G425" s="1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.75" customHeight="1" x14ac:dyDescent="0.6">
      <c r="A426" s="1"/>
      <c r="B426" s="6"/>
      <c r="C426" s="1"/>
      <c r="D426" s="6"/>
      <c r="E426" s="1"/>
      <c r="F426" s="6"/>
      <c r="G426" s="1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.75" customHeight="1" x14ac:dyDescent="0.6">
      <c r="A427" s="1"/>
      <c r="B427" s="6"/>
      <c r="C427" s="1"/>
      <c r="D427" s="6"/>
      <c r="E427" s="1"/>
      <c r="F427" s="6"/>
      <c r="G427" s="1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.75" customHeight="1" x14ac:dyDescent="0.6">
      <c r="A428" s="1"/>
      <c r="B428" s="6"/>
      <c r="C428" s="1"/>
      <c r="D428" s="6"/>
      <c r="E428" s="1"/>
      <c r="F428" s="6"/>
      <c r="G428" s="1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.75" customHeight="1" x14ac:dyDescent="0.6">
      <c r="A429" s="1"/>
      <c r="B429" s="6"/>
      <c r="C429" s="1"/>
      <c r="D429" s="6"/>
      <c r="E429" s="1"/>
      <c r="F429" s="6"/>
      <c r="G429" s="1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.75" customHeight="1" x14ac:dyDescent="0.6">
      <c r="A430" s="1"/>
      <c r="B430" s="6"/>
      <c r="C430" s="1"/>
      <c r="D430" s="6"/>
      <c r="E430" s="1"/>
      <c r="F430" s="6"/>
      <c r="G430" s="1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.75" customHeight="1" x14ac:dyDescent="0.6">
      <c r="A431" s="1"/>
      <c r="B431" s="6"/>
      <c r="C431" s="1"/>
      <c r="D431" s="6"/>
      <c r="E431" s="1"/>
      <c r="F431" s="6"/>
      <c r="G431" s="1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.75" customHeight="1" x14ac:dyDescent="0.6">
      <c r="A432" s="1"/>
      <c r="B432" s="6"/>
      <c r="C432" s="1"/>
      <c r="D432" s="6"/>
      <c r="E432" s="1"/>
      <c r="F432" s="6"/>
      <c r="G432" s="1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.75" customHeight="1" x14ac:dyDescent="0.6">
      <c r="A433" s="1"/>
      <c r="B433" s="6"/>
      <c r="C433" s="1"/>
      <c r="D433" s="6"/>
      <c r="E433" s="1"/>
      <c r="F433" s="6"/>
      <c r="G433" s="1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.75" customHeight="1" x14ac:dyDescent="0.6">
      <c r="A434" s="1"/>
      <c r="B434" s="6"/>
      <c r="C434" s="1"/>
      <c r="D434" s="6"/>
      <c r="E434" s="1"/>
      <c r="F434" s="6"/>
      <c r="G434" s="1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.75" customHeight="1" x14ac:dyDescent="0.6">
      <c r="A435" s="1"/>
      <c r="B435" s="6"/>
      <c r="C435" s="1"/>
      <c r="D435" s="6"/>
      <c r="E435" s="1"/>
      <c r="F435" s="6"/>
      <c r="G435" s="1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.75" customHeight="1" x14ac:dyDescent="0.6">
      <c r="A436" s="1"/>
      <c r="B436" s="6"/>
      <c r="C436" s="1"/>
      <c r="D436" s="6"/>
      <c r="E436" s="1"/>
      <c r="F436" s="6"/>
      <c r="G436" s="1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.75" customHeight="1" x14ac:dyDescent="0.6">
      <c r="A437" s="1"/>
      <c r="B437" s="6"/>
      <c r="C437" s="1"/>
      <c r="D437" s="6"/>
      <c r="E437" s="1"/>
      <c r="F437" s="6"/>
      <c r="G437" s="1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.75" customHeight="1" x14ac:dyDescent="0.6">
      <c r="A438" s="1"/>
      <c r="B438" s="6"/>
      <c r="C438" s="1"/>
      <c r="D438" s="6"/>
      <c r="E438" s="1"/>
      <c r="F438" s="6"/>
      <c r="G438" s="1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.75" customHeight="1" x14ac:dyDescent="0.6">
      <c r="A439" s="1"/>
      <c r="B439" s="6"/>
      <c r="C439" s="1"/>
      <c r="D439" s="6"/>
      <c r="E439" s="1"/>
      <c r="F439" s="6"/>
      <c r="G439" s="1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.75" customHeight="1" x14ac:dyDescent="0.6">
      <c r="A440" s="1"/>
      <c r="B440" s="6"/>
      <c r="C440" s="1"/>
      <c r="D440" s="6"/>
      <c r="E440" s="1"/>
      <c r="F440" s="6"/>
      <c r="G440" s="1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.75" customHeight="1" x14ac:dyDescent="0.6">
      <c r="A441" s="1"/>
      <c r="B441" s="6"/>
      <c r="C441" s="1"/>
      <c r="D441" s="6"/>
      <c r="E441" s="1"/>
      <c r="F441" s="6"/>
      <c r="G441" s="1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.75" customHeight="1" x14ac:dyDescent="0.6">
      <c r="A442" s="1"/>
      <c r="B442" s="6"/>
      <c r="C442" s="1"/>
      <c r="D442" s="6"/>
      <c r="E442" s="1"/>
      <c r="F442" s="6"/>
      <c r="G442" s="1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.75" customHeight="1" x14ac:dyDescent="0.6">
      <c r="A443" s="1"/>
      <c r="B443" s="6"/>
      <c r="C443" s="1"/>
      <c r="D443" s="6"/>
      <c r="E443" s="1"/>
      <c r="F443" s="6"/>
      <c r="G443" s="1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.75" customHeight="1" x14ac:dyDescent="0.6">
      <c r="A444" s="1"/>
      <c r="B444" s="6"/>
      <c r="C444" s="1"/>
      <c r="D444" s="6"/>
      <c r="E444" s="1"/>
      <c r="F444" s="6"/>
      <c r="G444" s="1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.75" customHeight="1" x14ac:dyDescent="0.6">
      <c r="A445" s="1"/>
      <c r="B445" s="6"/>
      <c r="C445" s="1"/>
      <c r="D445" s="6"/>
      <c r="E445" s="1"/>
      <c r="F445" s="6"/>
      <c r="G445" s="1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.75" customHeight="1" x14ac:dyDescent="0.6">
      <c r="A446" s="1"/>
      <c r="B446" s="6"/>
      <c r="C446" s="1"/>
      <c r="D446" s="6"/>
      <c r="E446" s="1"/>
      <c r="F446" s="6"/>
      <c r="G446" s="1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.75" customHeight="1" x14ac:dyDescent="0.6">
      <c r="A447" s="1"/>
      <c r="B447" s="6"/>
      <c r="C447" s="1"/>
      <c r="D447" s="6"/>
      <c r="E447" s="1"/>
      <c r="F447" s="6"/>
      <c r="G447" s="1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.75" customHeight="1" x14ac:dyDescent="0.6">
      <c r="A448" s="1"/>
      <c r="B448" s="6"/>
      <c r="C448" s="1"/>
      <c r="D448" s="6"/>
      <c r="E448" s="1"/>
      <c r="F448" s="6"/>
      <c r="G448" s="1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.75" customHeight="1" x14ac:dyDescent="0.6">
      <c r="A449" s="1"/>
      <c r="B449" s="6"/>
      <c r="C449" s="1"/>
      <c r="D449" s="6"/>
      <c r="E449" s="1"/>
      <c r="F449" s="6"/>
      <c r="G449" s="1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.75" customHeight="1" x14ac:dyDescent="0.6">
      <c r="A450" s="1"/>
      <c r="B450" s="6"/>
      <c r="C450" s="1"/>
      <c r="D450" s="6"/>
      <c r="E450" s="1"/>
      <c r="F450" s="6"/>
      <c r="G450" s="1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.75" customHeight="1" x14ac:dyDescent="0.6">
      <c r="A451" s="1"/>
      <c r="B451" s="6"/>
      <c r="C451" s="1"/>
      <c r="D451" s="6"/>
      <c r="E451" s="1"/>
      <c r="F451" s="6"/>
      <c r="G451" s="1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.75" customHeight="1" x14ac:dyDescent="0.6">
      <c r="A452" s="1"/>
      <c r="B452" s="6"/>
      <c r="C452" s="1"/>
      <c r="D452" s="6"/>
      <c r="E452" s="1"/>
      <c r="F452" s="6"/>
      <c r="G452" s="1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.75" customHeight="1" x14ac:dyDescent="0.6">
      <c r="A453" s="1"/>
      <c r="B453" s="6"/>
      <c r="C453" s="1"/>
      <c r="D453" s="6"/>
      <c r="E453" s="1"/>
      <c r="F453" s="6"/>
      <c r="G453" s="1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.75" customHeight="1" x14ac:dyDescent="0.6">
      <c r="A454" s="1"/>
      <c r="B454" s="6"/>
      <c r="C454" s="1"/>
      <c r="D454" s="6"/>
      <c r="E454" s="1"/>
      <c r="F454" s="6"/>
      <c r="G454" s="1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.75" customHeight="1" x14ac:dyDescent="0.6">
      <c r="A455" s="1"/>
      <c r="B455" s="6"/>
      <c r="C455" s="1"/>
      <c r="D455" s="6"/>
      <c r="E455" s="1"/>
      <c r="F455" s="6"/>
      <c r="G455" s="1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.75" customHeight="1" x14ac:dyDescent="0.6">
      <c r="A456" s="1"/>
      <c r="B456" s="6"/>
      <c r="C456" s="1"/>
      <c r="D456" s="6"/>
      <c r="E456" s="1"/>
      <c r="F456" s="6"/>
      <c r="G456" s="1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.75" customHeight="1" x14ac:dyDescent="0.6">
      <c r="A457" s="1"/>
      <c r="B457" s="6"/>
      <c r="C457" s="1"/>
      <c r="D457" s="6"/>
      <c r="E457" s="1"/>
      <c r="F457" s="6"/>
      <c r="G457" s="1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.75" customHeight="1" x14ac:dyDescent="0.6">
      <c r="A458" s="1"/>
      <c r="B458" s="6"/>
      <c r="C458" s="1"/>
      <c r="D458" s="6"/>
      <c r="E458" s="1"/>
      <c r="F458" s="6"/>
      <c r="G458" s="1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.75" customHeight="1" x14ac:dyDescent="0.6">
      <c r="A459" s="1"/>
      <c r="B459" s="6"/>
      <c r="C459" s="1"/>
      <c r="D459" s="6"/>
      <c r="E459" s="1"/>
      <c r="F459" s="6"/>
      <c r="G459" s="1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.75" customHeight="1" x14ac:dyDescent="0.6">
      <c r="A460" s="1"/>
      <c r="B460" s="6"/>
      <c r="C460" s="1"/>
      <c r="D460" s="6"/>
      <c r="E460" s="1"/>
      <c r="F460" s="6"/>
      <c r="G460" s="1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.75" customHeight="1" x14ac:dyDescent="0.6">
      <c r="A461" s="1"/>
      <c r="B461" s="6"/>
      <c r="C461" s="1"/>
      <c r="D461" s="6"/>
      <c r="E461" s="1"/>
      <c r="F461" s="6"/>
      <c r="G461" s="1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.75" customHeight="1" x14ac:dyDescent="0.6">
      <c r="A462" s="1"/>
      <c r="B462" s="6"/>
      <c r="C462" s="1"/>
      <c r="D462" s="6"/>
      <c r="E462" s="1"/>
      <c r="F462" s="6"/>
      <c r="G462" s="1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.75" customHeight="1" x14ac:dyDescent="0.6">
      <c r="A463" s="1"/>
      <c r="B463" s="6"/>
      <c r="C463" s="1"/>
      <c r="D463" s="6"/>
      <c r="E463" s="1"/>
      <c r="F463" s="6"/>
      <c r="G463" s="1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.75" customHeight="1" x14ac:dyDescent="0.6">
      <c r="A464" s="1"/>
      <c r="B464" s="6"/>
      <c r="C464" s="1"/>
      <c r="D464" s="6"/>
      <c r="E464" s="1"/>
      <c r="F464" s="6"/>
      <c r="G464" s="1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.75" customHeight="1" x14ac:dyDescent="0.6">
      <c r="A465" s="1"/>
      <c r="B465" s="6"/>
      <c r="C465" s="1"/>
      <c r="D465" s="6"/>
      <c r="E465" s="1"/>
      <c r="F465" s="6"/>
      <c r="G465" s="1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.75" customHeight="1" x14ac:dyDescent="0.6">
      <c r="A466" s="1"/>
      <c r="B466" s="6"/>
      <c r="C466" s="1"/>
      <c r="D466" s="6"/>
      <c r="E466" s="1"/>
      <c r="F466" s="6"/>
      <c r="G466" s="1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.75" customHeight="1" x14ac:dyDescent="0.6">
      <c r="A467" s="1"/>
      <c r="B467" s="6"/>
      <c r="C467" s="1"/>
      <c r="D467" s="6"/>
      <c r="E467" s="1"/>
      <c r="F467" s="6"/>
      <c r="G467" s="1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.75" customHeight="1" x14ac:dyDescent="0.6">
      <c r="A468" s="1"/>
      <c r="B468" s="6"/>
      <c r="C468" s="1"/>
      <c r="D468" s="6"/>
      <c r="E468" s="1"/>
      <c r="F468" s="6"/>
      <c r="G468" s="1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.75" customHeight="1" x14ac:dyDescent="0.6">
      <c r="A469" s="1"/>
      <c r="B469" s="6"/>
      <c r="C469" s="1"/>
      <c r="D469" s="6"/>
      <c r="E469" s="1"/>
      <c r="F469" s="6"/>
      <c r="G469" s="1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.75" customHeight="1" x14ac:dyDescent="0.6">
      <c r="A470" s="1"/>
      <c r="B470" s="6"/>
      <c r="C470" s="1"/>
      <c r="D470" s="6"/>
      <c r="E470" s="1"/>
      <c r="F470" s="6"/>
      <c r="G470" s="1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.75" customHeight="1" x14ac:dyDescent="0.6">
      <c r="A471" s="1"/>
      <c r="B471" s="6"/>
      <c r="C471" s="1"/>
      <c r="D471" s="6"/>
      <c r="E471" s="1"/>
      <c r="F471" s="6"/>
      <c r="G471" s="1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.75" customHeight="1" x14ac:dyDescent="0.6">
      <c r="A472" s="1"/>
      <c r="B472" s="6"/>
      <c r="C472" s="1"/>
      <c r="D472" s="6"/>
      <c r="E472" s="1"/>
      <c r="F472" s="6"/>
      <c r="G472" s="1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.75" customHeight="1" x14ac:dyDescent="0.6">
      <c r="A473" s="1"/>
      <c r="B473" s="6"/>
      <c r="C473" s="1"/>
      <c r="D473" s="6"/>
      <c r="E473" s="1"/>
      <c r="F473" s="6"/>
      <c r="G473" s="1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.75" customHeight="1" x14ac:dyDescent="0.6">
      <c r="A474" s="1"/>
      <c r="B474" s="6"/>
      <c r="C474" s="1"/>
      <c r="D474" s="6"/>
      <c r="E474" s="1"/>
      <c r="F474" s="6"/>
      <c r="G474" s="1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.75" customHeight="1" x14ac:dyDescent="0.6">
      <c r="A475" s="1"/>
      <c r="B475" s="6"/>
      <c r="C475" s="1"/>
      <c r="D475" s="6"/>
      <c r="E475" s="1"/>
      <c r="F475" s="6"/>
      <c r="G475" s="1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.75" customHeight="1" x14ac:dyDescent="0.6">
      <c r="A476" s="1"/>
      <c r="B476" s="6"/>
      <c r="C476" s="1"/>
      <c r="D476" s="6"/>
      <c r="E476" s="1"/>
      <c r="F476" s="6"/>
      <c r="G476" s="1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.75" customHeight="1" x14ac:dyDescent="0.6">
      <c r="A477" s="1"/>
      <c r="B477" s="6"/>
      <c r="C477" s="1"/>
      <c r="D477" s="6"/>
      <c r="E477" s="1"/>
      <c r="F477" s="6"/>
      <c r="G477" s="1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.75" customHeight="1" x14ac:dyDescent="0.6">
      <c r="A478" s="1"/>
      <c r="B478" s="6"/>
      <c r="C478" s="1"/>
      <c r="D478" s="6"/>
      <c r="E478" s="1"/>
      <c r="F478" s="6"/>
      <c r="G478" s="1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.75" customHeight="1" x14ac:dyDescent="0.6">
      <c r="A479" s="1"/>
      <c r="B479" s="6"/>
      <c r="C479" s="1"/>
      <c r="D479" s="6"/>
      <c r="E479" s="1"/>
      <c r="F479" s="6"/>
      <c r="G479" s="1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.75" customHeight="1" x14ac:dyDescent="0.6">
      <c r="A480" s="1"/>
      <c r="B480" s="6"/>
      <c r="C480" s="1"/>
      <c r="D480" s="6"/>
      <c r="E480" s="1"/>
      <c r="F480" s="6"/>
      <c r="G480" s="1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.75" customHeight="1" x14ac:dyDescent="0.6">
      <c r="A481" s="1"/>
      <c r="B481" s="6"/>
      <c r="C481" s="1"/>
      <c r="D481" s="6"/>
      <c r="E481" s="1"/>
      <c r="F481" s="6"/>
      <c r="G481" s="1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.75" customHeight="1" x14ac:dyDescent="0.6">
      <c r="A482" s="1"/>
      <c r="B482" s="6"/>
      <c r="C482" s="1"/>
      <c r="D482" s="6"/>
      <c r="E482" s="1"/>
      <c r="F482" s="6"/>
      <c r="G482" s="1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.75" customHeight="1" x14ac:dyDescent="0.6">
      <c r="A483" s="1"/>
      <c r="B483" s="6"/>
      <c r="C483" s="1"/>
      <c r="D483" s="6"/>
      <c r="E483" s="1"/>
      <c r="F483" s="6"/>
      <c r="G483" s="1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.75" customHeight="1" x14ac:dyDescent="0.6">
      <c r="A484" s="1"/>
      <c r="B484" s="6"/>
      <c r="C484" s="1"/>
      <c r="D484" s="6"/>
      <c r="E484" s="1"/>
      <c r="F484" s="6"/>
      <c r="G484" s="1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.75" customHeight="1" x14ac:dyDescent="0.6">
      <c r="A485" s="1"/>
      <c r="B485" s="6"/>
      <c r="C485" s="1"/>
      <c r="D485" s="6"/>
      <c r="E485" s="1"/>
      <c r="F485" s="6"/>
      <c r="G485" s="1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.75" customHeight="1" x14ac:dyDescent="0.6">
      <c r="A486" s="1"/>
      <c r="B486" s="6"/>
      <c r="C486" s="1"/>
      <c r="D486" s="6"/>
      <c r="E486" s="1"/>
      <c r="F486" s="6"/>
      <c r="G486" s="1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.75" customHeight="1" x14ac:dyDescent="0.6">
      <c r="A487" s="1"/>
      <c r="B487" s="6"/>
      <c r="C487" s="1"/>
      <c r="D487" s="6"/>
      <c r="E487" s="1"/>
      <c r="F487" s="6"/>
      <c r="G487" s="1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.75" customHeight="1" x14ac:dyDescent="0.6">
      <c r="A488" s="1"/>
      <c r="B488" s="6"/>
      <c r="C488" s="1"/>
      <c r="D488" s="6"/>
      <c r="E488" s="1"/>
      <c r="F488" s="6"/>
      <c r="G488" s="1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.75" customHeight="1" x14ac:dyDescent="0.6">
      <c r="A489" s="1"/>
      <c r="B489" s="6"/>
      <c r="C489" s="1"/>
      <c r="D489" s="6"/>
      <c r="E489" s="1"/>
      <c r="F489" s="6"/>
      <c r="G489" s="1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.75" customHeight="1" x14ac:dyDescent="0.6">
      <c r="A490" s="1"/>
      <c r="B490" s="6"/>
      <c r="C490" s="1"/>
      <c r="D490" s="6"/>
      <c r="E490" s="1"/>
      <c r="F490" s="6"/>
      <c r="G490" s="1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.75" customHeight="1" x14ac:dyDescent="0.6">
      <c r="A491" s="1"/>
      <c r="B491" s="6"/>
      <c r="C491" s="1"/>
      <c r="D491" s="6"/>
      <c r="E491" s="1"/>
      <c r="F491" s="6"/>
      <c r="G491" s="1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.75" customHeight="1" x14ac:dyDescent="0.6">
      <c r="A492" s="1"/>
      <c r="B492" s="6"/>
      <c r="C492" s="1"/>
      <c r="D492" s="6"/>
      <c r="E492" s="1"/>
      <c r="F492" s="6"/>
      <c r="G492" s="1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.75" customHeight="1" x14ac:dyDescent="0.6">
      <c r="A493" s="1"/>
      <c r="B493" s="6"/>
      <c r="C493" s="1"/>
      <c r="D493" s="6"/>
      <c r="E493" s="1"/>
      <c r="F493" s="6"/>
      <c r="G493" s="1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.75" customHeight="1" x14ac:dyDescent="0.6">
      <c r="A494" s="1"/>
      <c r="B494" s="6"/>
      <c r="C494" s="1"/>
      <c r="D494" s="6"/>
      <c r="E494" s="1"/>
      <c r="F494" s="6"/>
      <c r="G494" s="1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.75" customHeight="1" x14ac:dyDescent="0.6">
      <c r="A495" s="1"/>
      <c r="B495" s="6"/>
      <c r="C495" s="1"/>
      <c r="D495" s="6"/>
      <c r="E495" s="1"/>
      <c r="F495" s="6"/>
      <c r="G495" s="1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.75" customHeight="1" x14ac:dyDescent="0.6">
      <c r="A496" s="1"/>
      <c r="B496" s="6"/>
      <c r="C496" s="1"/>
      <c r="D496" s="6"/>
      <c r="E496" s="1"/>
      <c r="F496" s="6"/>
      <c r="G496" s="1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.75" customHeight="1" x14ac:dyDescent="0.6">
      <c r="A497" s="1"/>
      <c r="B497" s="6"/>
      <c r="C497" s="1"/>
      <c r="D497" s="6"/>
      <c r="E497" s="1"/>
      <c r="F497" s="6"/>
      <c r="G497" s="1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.75" customHeight="1" x14ac:dyDescent="0.6">
      <c r="A498" s="1"/>
      <c r="B498" s="6"/>
      <c r="C498" s="1"/>
      <c r="D498" s="6"/>
      <c r="E498" s="1"/>
      <c r="F498" s="6"/>
      <c r="G498" s="1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.75" customHeight="1" x14ac:dyDescent="0.6">
      <c r="A499" s="1"/>
      <c r="B499" s="6"/>
      <c r="C499" s="1"/>
      <c r="D499" s="6"/>
      <c r="E499" s="1"/>
      <c r="F499" s="6"/>
      <c r="G499" s="1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.75" customHeight="1" x14ac:dyDescent="0.6">
      <c r="A500" s="1"/>
      <c r="B500" s="6"/>
      <c r="C500" s="1"/>
      <c r="D500" s="6"/>
      <c r="E500" s="1"/>
      <c r="F500" s="6"/>
      <c r="G500" s="1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.75" customHeight="1" x14ac:dyDescent="0.6">
      <c r="A501" s="1"/>
      <c r="B501" s="6"/>
      <c r="C501" s="1"/>
      <c r="D501" s="6"/>
      <c r="E501" s="1"/>
      <c r="F501" s="6"/>
      <c r="G501" s="1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.75" customHeight="1" x14ac:dyDescent="0.6">
      <c r="A502" s="1"/>
      <c r="B502" s="6"/>
      <c r="C502" s="1"/>
      <c r="D502" s="6"/>
      <c r="E502" s="1"/>
      <c r="F502" s="6"/>
      <c r="G502" s="1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.75" customHeight="1" x14ac:dyDescent="0.6">
      <c r="A503" s="1"/>
      <c r="B503" s="6"/>
      <c r="C503" s="1"/>
      <c r="D503" s="6"/>
      <c r="E503" s="1"/>
      <c r="F503" s="6"/>
      <c r="G503" s="1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.75" customHeight="1" x14ac:dyDescent="0.6">
      <c r="A504" s="1"/>
      <c r="B504" s="6"/>
      <c r="C504" s="1"/>
      <c r="D504" s="6"/>
      <c r="E504" s="1"/>
      <c r="F504" s="6"/>
      <c r="G504" s="1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.75" customHeight="1" x14ac:dyDescent="0.6">
      <c r="A505" s="1"/>
      <c r="B505" s="6"/>
      <c r="C505" s="1"/>
      <c r="D505" s="6"/>
      <c r="E505" s="1"/>
      <c r="F505" s="6"/>
      <c r="G505" s="1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.75" customHeight="1" x14ac:dyDescent="0.6">
      <c r="A506" s="1"/>
      <c r="B506" s="6"/>
      <c r="C506" s="1"/>
      <c r="D506" s="6"/>
      <c r="E506" s="1"/>
      <c r="F506" s="6"/>
      <c r="G506" s="1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.75" customHeight="1" x14ac:dyDescent="0.6">
      <c r="A507" s="1"/>
      <c r="B507" s="6"/>
      <c r="C507" s="1"/>
      <c r="D507" s="6"/>
      <c r="E507" s="1"/>
      <c r="F507" s="6"/>
      <c r="G507" s="1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.75" customHeight="1" x14ac:dyDescent="0.6">
      <c r="A508" s="1"/>
      <c r="B508" s="6"/>
      <c r="C508" s="1"/>
      <c r="D508" s="6"/>
      <c r="E508" s="1"/>
      <c r="F508" s="6"/>
      <c r="G508" s="1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.75" customHeight="1" x14ac:dyDescent="0.6">
      <c r="A509" s="1"/>
      <c r="B509" s="6"/>
      <c r="C509" s="1"/>
      <c r="D509" s="6"/>
      <c r="E509" s="1"/>
      <c r="F509" s="6"/>
      <c r="G509" s="1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.75" customHeight="1" x14ac:dyDescent="0.6">
      <c r="A510" s="1"/>
      <c r="B510" s="6"/>
      <c r="C510" s="1"/>
      <c r="D510" s="6"/>
      <c r="E510" s="1"/>
      <c r="F510" s="6"/>
      <c r="G510" s="1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.75" customHeight="1" x14ac:dyDescent="0.6">
      <c r="A511" s="1"/>
      <c r="B511" s="6"/>
      <c r="C511" s="1"/>
      <c r="D511" s="6"/>
      <c r="E511" s="1"/>
      <c r="F511" s="6"/>
      <c r="G511" s="1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.75" customHeight="1" x14ac:dyDescent="0.6">
      <c r="A512" s="1"/>
      <c r="B512" s="6"/>
      <c r="C512" s="1"/>
      <c r="D512" s="6"/>
      <c r="E512" s="1"/>
      <c r="F512" s="6"/>
      <c r="G512" s="1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.75" customHeight="1" x14ac:dyDescent="0.6">
      <c r="A513" s="1"/>
      <c r="B513" s="6"/>
      <c r="C513" s="1"/>
      <c r="D513" s="6"/>
      <c r="E513" s="1"/>
      <c r="F513" s="6"/>
      <c r="G513" s="1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.75" customHeight="1" x14ac:dyDescent="0.6">
      <c r="A514" s="1"/>
      <c r="B514" s="6"/>
      <c r="C514" s="1"/>
      <c r="D514" s="6"/>
      <c r="E514" s="1"/>
      <c r="F514" s="6"/>
      <c r="G514" s="1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.75" customHeight="1" x14ac:dyDescent="0.6">
      <c r="A515" s="1"/>
      <c r="B515" s="6"/>
      <c r="C515" s="1"/>
      <c r="D515" s="6"/>
      <c r="E515" s="1"/>
      <c r="F515" s="6"/>
      <c r="G515" s="1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.75" customHeight="1" x14ac:dyDescent="0.6">
      <c r="A516" s="1"/>
      <c r="B516" s="6"/>
      <c r="C516" s="1"/>
      <c r="D516" s="6"/>
      <c r="E516" s="1"/>
      <c r="F516" s="6"/>
      <c r="G516" s="1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.75" customHeight="1" x14ac:dyDescent="0.6">
      <c r="A517" s="1"/>
      <c r="B517" s="6"/>
      <c r="C517" s="1"/>
      <c r="D517" s="6"/>
      <c r="E517" s="1"/>
      <c r="F517" s="6"/>
      <c r="G517" s="1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.75" customHeight="1" x14ac:dyDescent="0.6">
      <c r="A518" s="1"/>
      <c r="B518" s="6"/>
      <c r="C518" s="1"/>
      <c r="D518" s="6"/>
      <c r="E518" s="1"/>
      <c r="F518" s="6"/>
      <c r="G518" s="1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.75" customHeight="1" x14ac:dyDescent="0.6">
      <c r="A519" s="1"/>
      <c r="B519" s="6"/>
      <c r="C519" s="1"/>
      <c r="D519" s="6"/>
      <c r="E519" s="1"/>
      <c r="F519" s="6"/>
      <c r="G519" s="1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.75" customHeight="1" x14ac:dyDescent="0.6">
      <c r="A520" s="1"/>
      <c r="B520" s="6"/>
      <c r="C520" s="1"/>
      <c r="D520" s="6"/>
      <c r="E520" s="1"/>
      <c r="F520" s="6"/>
      <c r="G520" s="1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.75" customHeight="1" x14ac:dyDescent="0.6">
      <c r="A521" s="1"/>
      <c r="B521" s="6"/>
      <c r="C521" s="1"/>
      <c r="D521" s="6"/>
      <c r="E521" s="1"/>
      <c r="F521" s="6"/>
      <c r="G521" s="1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.75" customHeight="1" x14ac:dyDescent="0.6">
      <c r="A522" s="1"/>
      <c r="B522" s="6"/>
      <c r="C522" s="1"/>
      <c r="D522" s="6"/>
      <c r="E522" s="1"/>
      <c r="F522" s="6"/>
      <c r="G522" s="1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.75" customHeight="1" x14ac:dyDescent="0.6">
      <c r="A523" s="1"/>
      <c r="B523" s="6"/>
      <c r="C523" s="1"/>
      <c r="D523" s="6"/>
      <c r="E523" s="1"/>
      <c r="F523" s="6"/>
      <c r="G523" s="1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.75" customHeight="1" x14ac:dyDescent="0.6">
      <c r="A524" s="1"/>
      <c r="B524" s="6"/>
      <c r="C524" s="1"/>
      <c r="D524" s="6"/>
      <c r="E524" s="1"/>
      <c r="F524" s="6"/>
      <c r="G524" s="1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.75" customHeight="1" x14ac:dyDescent="0.6">
      <c r="A525" s="1"/>
      <c r="B525" s="6"/>
      <c r="C525" s="1"/>
      <c r="D525" s="6"/>
      <c r="E525" s="1"/>
      <c r="F525" s="6"/>
      <c r="G525" s="1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.75" customHeight="1" x14ac:dyDescent="0.6">
      <c r="A526" s="1"/>
      <c r="B526" s="6"/>
      <c r="C526" s="1"/>
      <c r="D526" s="6"/>
      <c r="E526" s="1"/>
      <c r="F526" s="6"/>
      <c r="G526" s="1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.75" customHeight="1" x14ac:dyDescent="0.6">
      <c r="A527" s="1"/>
      <c r="B527" s="6"/>
      <c r="C527" s="1"/>
      <c r="D527" s="6"/>
      <c r="E527" s="1"/>
      <c r="F527" s="6"/>
      <c r="G527" s="1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.75" customHeight="1" x14ac:dyDescent="0.6">
      <c r="A528" s="1"/>
      <c r="B528" s="6"/>
      <c r="C528" s="1"/>
      <c r="D528" s="6"/>
      <c r="E528" s="1"/>
      <c r="F528" s="6"/>
      <c r="G528" s="1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.75" customHeight="1" x14ac:dyDescent="0.6">
      <c r="A529" s="1"/>
      <c r="B529" s="6"/>
      <c r="C529" s="1"/>
      <c r="D529" s="6"/>
      <c r="E529" s="1"/>
      <c r="F529" s="6"/>
      <c r="G529" s="1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.75" customHeight="1" x14ac:dyDescent="0.6">
      <c r="A530" s="1"/>
      <c r="B530" s="6"/>
      <c r="C530" s="1"/>
      <c r="D530" s="6"/>
      <c r="E530" s="1"/>
      <c r="F530" s="6"/>
      <c r="G530" s="1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.75" customHeight="1" x14ac:dyDescent="0.6">
      <c r="A531" s="1"/>
      <c r="B531" s="6"/>
      <c r="C531" s="1"/>
      <c r="D531" s="6"/>
      <c r="E531" s="1"/>
      <c r="F531" s="6"/>
      <c r="G531" s="1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.75" customHeight="1" x14ac:dyDescent="0.6">
      <c r="A532" s="1"/>
      <c r="B532" s="6"/>
      <c r="C532" s="1"/>
      <c r="D532" s="6"/>
      <c r="E532" s="1"/>
      <c r="F532" s="6"/>
      <c r="G532" s="1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.75" customHeight="1" x14ac:dyDescent="0.6">
      <c r="A533" s="1"/>
      <c r="B533" s="6"/>
      <c r="C533" s="1"/>
      <c r="D533" s="6"/>
      <c r="E533" s="1"/>
      <c r="F533" s="6"/>
      <c r="G533" s="1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.75" customHeight="1" x14ac:dyDescent="0.6">
      <c r="A534" s="1"/>
      <c r="B534" s="6"/>
      <c r="C534" s="1"/>
      <c r="D534" s="6"/>
      <c r="E534" s="1"/>
      <c r="F534" s="6"/>
      <c r="G534" s="1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.75" customHeight="1" x14ac:dyDescent="0.6">
      <c r="A535" s="1"/>
      <c r="B535" s="6"/>
      <c r="C535" s="1"/>
      <c r="D535" s="6"/>
      <c r="E535" s="1"/>
      <c r="F535" s="6"/>
      <c r="G535" s="1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.75" customHeight="1" x14ac:dyDescent="0.6">
      <c r="A536" s="1"/>
      <c r="B536" s="6"/>
      <c r="C536" s="1"/>
      <c r="D536" s="6"/>
      <c r="E536" s="1"/>
      <c r="F536" s="6"/>
      <c r="G536" s="1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.75" customHeight="1" x14ac:dyDescent="0.6">
      <c r="A537" s="1"/>
      <c r="B537" s="6"/>
      <c r="C537" s="1"/>
      <c r="D537" s="6"/>
      <c r="E537" s="1"/>
      <c r="F537" s="6"/>
      <c r="G537" s="1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.75" customHeight="1" x14ac:dyDescent="0.6">
      <c r="A538" s="1"/>
      <c r="B538" s="6"/>
      <c r="C538" s="1"/>
      <c r="D538" s="6"/>
      <c r="E538" s="1"/>
      <c r="F538" s="6"/>
      <c r="G538" s="1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.75" customHeight="1" x14ac:dyDescent="0.6">
      <c r="A539" s="1"/>
      <c r="B539" s="6"/>
      <c r="C539" s="1"/>
      <c r="D539" s="6"/>
      <c r="E539" s="1"/>
      <c r="F539" s="6"/>
      <c r="G539" s="1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.75" customHeight="1" x14ac:dyDescent="0.6">
      <c r="A540" s="1"/>
      <c r="B540" s="6"/>
      <c r="C540" s="1"/>
      <c r="D540" s="6"/>
      <c r="E540" s="1"/>
      <c r="F540" s="6"/>
      <c r="G540" s="1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.75" customHeight="1" x14ac:dyDescent="0.6">
      <c r="A541" s="1"/>
      <c r="B541" s="6"/>
      <c r="C541" s="1"/>
      <c r="D541" s="6"/>
      <c r="E541" s="1"/>
      <c r="F541" s="6"/>
      <c r="G541" s="1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.75" customHeight="1" x14ac:dyDescent="0.6">
      <c r="A542" s="1"/>
      <c r="B542" s="6"/>
      <c r="C542" s="1"/>
      <c r="D542" s="6"/>
      <c r="E542" s="1"/>
      <c r="F542" s="6"/>
      <c r="G542" s="1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.75" customHeight="1" x14ac:dyDescent="0.6">
      <c r="A543" s="1"/>
      <c r="B543" s="6"/>
      <c r="C543" s="1"/>
      <c r="D543" s="6"/>
      <c r="E543" s="1"/>
      <c r="F543" s="6"/>
      <c r="G543" s="1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.75" customHeight="1" x14ac:dyDescent="0.6">
      <c r="A544" s="1"/>
      <c r="B544" s="6"/>
      <c r="C544" s="1"/>
      <c r="D544" s="6"/>
      <c r="E544" s="1"/>
      <c r="F544" s="6"/>
      <c r="G544" s="1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.75" customHeight="1" x14ac:dyDescent="0.6">
      <c r="A545" s="1"/>
      <c r="B545" s="6"/>
      <c r="C545" s="1"/>
      <c r="D545" s="6"/>
      <c r="E545" s="1"/>
      <c r="F545" s="6"/>
      <c r="G545" s="1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.75" customHeight="1" x14ac:dyDescent="0.6">
      <c r="A546" s="1"/>
      <c r="B546" s="6"/>
      <c r="C546" s="1"/>
      <c r="D546" s="6"/>
      <c r="E546" s="1"/>
      <c r="F546" s="6"/>
      <c r="G546" s="1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.75" customHeight="1" x14ac:dyDescent="0.6">
      <c r="A547" s="1"/>
      <c r="B547" s="6"/>
      <c r="C547" s="1"/>
      <c r="D547" s="6"/>
      <c r="E547" s="1"/>
      <c r="F547" s="6"/>
      <c r="G547" s="1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.75" customHeight="1" x14ac:dyDescent="0.6">
      <c r="A548" s="1"/>
      <c r="B548" s="6"/>
      <c r="C548" s="1"/>
      <c r="D548" s="6"/>
      <c r="E548" s="1"/>
      <c r="F548" s="6"/>
      <c r="G548" s="1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.75" customHeight="1" x14ac:dyDescent="0.6">
      <c r="A549" s="1"/>
      <c r="B549" s="6"/>
      <c r="C549" s="1"/>
      <c r="D549" s="6"/>
      <c r="E549" s="1"/>
      <c r="F549" s="6"/>
      <c r="G549" s="1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.75" customHeight="1" x14ac:dyDescent="0.6">
      <c r="A550" s="1"/>
      <c r="B550" s="6"/>
      <c r="C550" s="1"/>
      <c r="D550" s="6"/>
      <c r="E550" s="1"/>
      <c r="F550" s="6"/>
      <c r="G550" s="1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.75" customHeight="1" x14ac:dyDescent="0.6">
      <c r="A551" s="1"/>
      <c r="B551" s="6"/>
      <c r="C551" s="1"/>
      <c r="D551" s="6"/>
      <c r="E551" s="1"/>
      <c r="F551" s="6"/>
      <c r="G551" s="1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.75" customHeight="1" x14ac:dyDescent="0.6">
      <c r="A552" s="1"/>
      <c r="B552" s="6"/>
      <c r="C552" s="1"/>
      <c r="D552" s="6"/>
      <c r="E552" s="1"/>
      <c r="F552" s="6"/>
      <c r="G552" s="1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.75" customHeight="1" x14ac:dyDescent="0.6">
      <c r="A553" s="1"/>
      <c r="B553" s="6"/>
      <c r="C553" s="1"/>
      <c r="D553" s="6"/>
      <c r="E553" s="1"/>
      <c r="F553" s="6"/>
      <c r="G553" s="1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.75" customHeight="1" x14ac:dyDescent="0.6">
      <c r="A554" s="1"/>
      <c r="B554" s="6"/>
      <c r="C554" s="1"/>
      <c r="D554" s="6"/>
      <c r="E554" s="1"/>
      <c r="F554" s="6"/>
      <c r="G554" s="1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.75" customHeight="1" x14ac:dyDescent="0.6">
      <c r="A555" s="1"/>
      <c r="B555" s="6"/>
      <c r="C555" s="1"/>
      <c r="D555" s="6"/>
      <c r="E555" s="1"/>
      <c r="F555" s="6"/>
      <c r="G555" s="1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.75" customHeight="1" x14ac:dyDescent="0.6">
      <c r="A556" s="1"/>
      <c r="B556" s="6"/>
      <c r="C556" s="1"/>
      <c r="D556" s="6"/>
      <c r="E556" s="1"/>
      <c r="F556" s="6"/>
      <c r="G556" s="1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.75" customHeight="1" x14ac:dyDescent="0.6">
      <c r="A557" s="1"/>
      <c r="B557" s="6"/>
      <c r="C557" s="1"/>
      <c r="D557" s="6"/>
      <c r="E557" s="1"/>
      <c r="F557" s="6"/>
      <c r="G557" s="1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.75" customHeight="1" x14ac:dyDescent="0.6">
      <c r="A558" s="1"/>
      <c r="B558" s="6"/>
      <c r="C558" s="1"/>
      <c r="D558" s="6"/>
      <c r="E558" s="1"/>
      <c r="F558" s="6"/>
      <c r="G558" s="1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.75" customHeight="1" x14ac:dyDescent="0.6">
      <c r="A559" s="1"/>
      <c r="B559" s="6"/>
      <c r="C559" s="1"/>
      <c r="D559" s="6"/>
      <c r="E559" s="1"/>
      <c r="F559" s="6"/>
      <c r="G559" s="1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.75" customHeight="1" x14ac:dyDescent="0.6">
      <c r="A560" s="1"/>
      <c r="B560" s="6"/>
      <c r="C560" s="1"/>
      <c r="D560" s="6"/>
      <c r="E560" s="1"/>
      <c r="F560" s="6"/>
      <c r="G560" s="1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.75" customHeight="1" x14ac:dyDescent="0.6">
      <c r="A561" s="1"/>
      <c r="B561" s="6"/>
      <c r="C561" s="1"/>
      <c r="D561" s="6"/>
      <c r="E561" s="1"/>
      <c r="F561" s="6"/>
      <c r="G561" s="1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.75" customHeight="1" x14ac:dyDescent="0.6">
      <c r="A562" s="1"/>
      <c r="B562" s="6"/>
      <c r="C562" s="1"/>
      <c r="D562" s="6"/>
      <c r="E562" s="1"/>
      <c r="F562" s="6"/>
      <c r="G562" s="1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.75" customHeight="1" x14ac:dyDescent="0.6">
      <c r="A563" s="1"/>
      <c r="B563" s="6"/>
      <c r="C563" s="1"/>
      <c r="D563" s="6"/>
      <c r="E563" s="1"/>
      <c r="F563" s="6"/>
      <c r="G563" s="1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.75" customHeight="1" x14ac:dyDescent="0.6">
      <c r="A564" s="1"/>
      <c r="B564" s="6"/>
      <c r="C564" s="1"/>
      <c r="D564" s="6"/>
      <c r="E564" s="1"/>
      <c r="F564" s="6"/>
      <c r="G564" s="1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.75" customHeight="1" x14ac:dyDescent="0.6">
      <c r="A565" s="1"/>
      <c r="B565" s="6"/>
      <c r="C565" s="1"/>
      <c r="D565" s="6"/>
      <c r="E565" s="1"/>
      <c r="F565" s="6"/>
      <c r="G565" s="1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.75" customHeight="1" x14ac:dyDescent="0.6">
      <c r="A566" s="1"/>
      <c r="B566" s="6"/>
      <c r="C566" s="1"/>
      <c r="D566" s="6"/>
      <c r="E566" s="1"/>
      <c r="F566" s="6"/>
      <c r="G566" s="1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.75" customHeight="1" x14ac:dyDescent="0.6">
      <c r="A567" s="1"/>
      <c r="B567" s="6"/>
      <c r="C567" s="1"/>
      <c r="D567" s="6"/>
      <c r="E567" s="1"/>
      <c r="F567" s="6"/>
      <c r="G567" s="1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.75" customHeight="1" x14ac:dyDescent="0.6">
      <c r="A568" s="1"/>
      <c r="B568" s="6"/>
      <c r="C568" s="1"/>
      <c r="D568" s="6"/>
      <c r="E568" s="1"/>
      <c r="F568" s="6"/>
      <c r="G568" s="1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.75" customHeight="1" x14ac:dyDescent="0.6">
      <c r="A569" s="1"/>
      <c r="B569" s="6"/>
      <c r="C569" s="1"/>
      <c r="D569" s="6"/>
      <c r="E569" s="1"/>
      <c r="F569" s="6"/>
      <c r="G569" s="1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.75" customHeight="1" x14ac:dyDescent="0.6">
      <c r="A570" s="1"/>
      <c r="B570" s="6"/>
      <c r="C570" s="1"/>
      <c r="D570" s="6"/>
      <c r="E570" s="1"/>
      <c r="F570" s="6"/>
      <c r="G570" s="1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.75" customHeight="1" x14ac:dyDescent="0.6">
      <c r="A571" s="1"/>
      <c r="B571" s="6"/>
      <c r="C571" s="1"/>
      <c r="D571" s="6"/>
      <c r="E571" s="1"/>
      <c r="F571" s="6"/>
      <c r="G571" s="1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.75" customHeight="1" x14ac:dyDescent="0.6">
      <c r="A572" s="1"/>
      <c r="B572" s="6"/>
      <c r="C572" s="1"/>
      <c r="D572" s="6"/>
      <c r="E572" s="1"/>
      <c r="F572" s="6"/>
      <c r="G572" s="1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.75" customHeight="1" x14ac:dyDescent="0.6">
      <c r="A573" s="1"/>
      <c r="B573" s="6"/>
      <c r="C573" s="1"/>
      <c r="D573" s="6"/>
      <c r="E573" s="1"/>
      <c r="F573" s="6"/>
      <c r="G573" s="1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.75" customHeight="1" x14ac:dyDescent="0.6">
      <c r="A574" s="1"/>
      <c r="B574" s="6"/>
      <c r="C574" s="1"/>
      <c r="D574" s="6"/>
      <c r="E574" s="1"/>
      <c r="F574" s="6"/>
      <c r="G574" s="1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.75" customHeight="1" x14ac:dyDescent="0.6">
      <c r="A575" s="1"/>
      <c r="B575" s="6"/>
      <c r="C575" s="1"/>
      <c r="D575" s="6"/>
      <c r="E575" s="1"/>
      <c r="F575" s="6"/>
      <c r="G575" s="1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.75" customHeight="1" x14ac:dyDescent="0.6">
      <c r="A576" s="1"/>
      <c r="B576" s="6"/>
      <c r="C576" s="1"/>
      <c r="D576" s="6"/>
      <c r="E576" s="1"/>
      <c r="F576" s="6"/>
      <c r="G576" s="1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.75" customHeight="1" x14ac:dyDescent="0.6">
      <c r="A577" s="1"/>
      <c r="B577" s="6"/>
      <c r="C577" s="1"/>
      <c r="D577" s="6"/>
      <c r="E577" s="1"/>
      <c r="F577" s="6"/>
      <c r="G577" s="1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.75" customHeight="1" x14ac:dyDescent="0.6">
      <c r="A578" s="1"/>
      <c r="B578" s="6"/>
      <c r="C578" s="1"/>
      <c r="D578" s="6"/>
      <c r="E578" s="1"/>
      <c r="F578" s="6"/>
      <c r="G578" s="1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.75" customHeight="1" x14ac:dyDescent="0.6">
      <c r="A579" s="1"/>
      <c r="B579" s="6"/>
      <c r="C579" s="1"/>
      <c r="D579" s="6"/>
      <c r="E579" s="1"/>
      <c r="F579" s="6"/>
      <c r="G579" s="1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.75" customHeight="1" x14ac:dyDescent="0.6">
      <c r="A580" s="1"/>
      <c r="B580" s="6"/>
      <c r="C580" s="1"/>
      <c r="D580" s="6"/>
      <c r="E580" s="1"/>
      <c r="F580" s="6"/>
      <c r="G580" s="1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.75" customHeight="1" x14ac:dyDescent="0.6">
      <c r="A581" s="1"/>
      <c r="B581" s="6"/>
      <c r="C581" s="1"/>
      <c r="D581" s="6"/>
      <c r="E581" s="1"/>
      <c r="F581" s="6"/>
      <c r="G581" s="1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.75" customHeight="1" x14ac:dyDescent="0.6">
      <c r="A582" s="1"/>
      <c r="B582" s="6"/>
      <c r="C582" s="1"/>
      <c r="D582" s="6"/>
      <c r="E582" s="1"/>
      <c r="F582" s="6"/>
      <c r="G582" s="1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.75" customHeight="1" x14ac:dyDescent="0.6">
      <c r="A583" s="1"/>
      <c r="B583" s="6"/>
      <c r="C583" s="1"/>
      <c r="D583" s="6"/>
      <c r="E583" s="1"/>
      <c r="F583" s="6"/>
      <c r="G583" s="1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.75" customHeight="1" x14ac:dyDescent="0.6">
      <c r="A584" s="1"/>
      <c r="B584" s="6"/>
      <c r="C584" s="1"/>
      <c r="D584" s="6"/>
      <c r="E584" s="1"/>
      <c r="F584" s="6"/>
      <c r="G584" s="1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.75" customHeight="1" x14ac:dyDescent="0.6">
      <c r="A585" s="1"/>
      <c r="B585" s="6"/>
      <c r="C585" s="1"/>
      <c r="D585" s="6"/>
      <c r="E585" s="1"/>
      <c r="F585" s="6"/>
      <c r="G585" s="1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.75" customHeight="1" x14ac:dyDescent="0.6">
      <c r="A586" s="1"/>
      <c r="B586" s="6"/>
      <c r="C586" s="1"/>
      <c r="D586" s="6"/>
      <c r="E586" s="1"/>
      <c r="F586" s="6"/>
      <c r="G586" s="1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.75" customHeight="1" x14ac:dyDescent="0.6">
      <c r="A587" s="1"/>
      <c r="B587" s="6"/>
      <c r="C587" s="1"/>
      <c r="D587" s="6"/>
      <c r="E587" s="1"/>
      <c r="F587" s="6"/>
      <c r="G587" s="1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.75" customHeight="1" x14ac:dyDescent="0.6">
      <c r="A588" s="1"/>
      <c r="B588" s="6"/>
      <c r="C588" s="1"/>
      <c r="D588" s="6"/>
      <c r="E588" s="1"/>
      <c r="F588" s="6"/>
      <c r="G588" s="1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.75" customHeight="1" x14ac:dyDescent="0.6">
      <c r="A589" s="1"/>
      <c r="B589" s="6"/>
      <c r="C589" s="1"/>
      <c r="D589" s="6"/>
      <c r="E589" s="1"/>
      <c r="F589" s="6"/>
      <c r="G589" s="1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.75" customHeight="1" x14ac:dyDescent="0.6">
      <c r="A590" s="1"/>
      <c r="B590" s="6"/>
      <c r="C590" s="1"/>
      <c r="D590" s="6"/>
      <c r="E590" s="1"/>
      <c r="F590" s="6"/>
      <c r="G590" s="1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.75" customHeight="1" x14ac:dyDescent="0.6">
      <c r="A591" s="1"/>
      <c r="B591" s="6"/>
      <c r="C591" s="1"/>
      <c r="D591" s="6"/>
      <c r="E591" s="1"/>
      <c r="F591" s="6"/>
      <c r="G591" s="1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.75" customHeight="1" x14ac:dyDescent="0.6">
      <c r="A592" s="1"/>
      <c r="B592" s="6"/>
      <c r="C592" s="1"/>
      <c r="D592" s="6"/>
      <c r="E592" s="1"/>
      <c r="F592" s="6"/>
      <c r="G592" s="1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.75" customHeight="1" x14ac:dyDescent="0.6">
      <c r="A593" s="1"/>
      <c r="B593" s="6"/>
      <c r="C593" s="1"/>
      <c r="D593" s="6"/>
      <c r="E593" s="1"/>
      <c r="F593" s="6"/>
      <c r="G593" s="1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.75" customHeight="1" x14ac:dyDescent="0.6">
      <c r="A594" s="1"/>
      <c r="B594" s="6"/>
      <c r="C594" s="1"/>
      <c r="D594" s="6"/>
      <c r="E594" s="1"/>
      <c r="F594" s="6"/>
      <c r="G594" s="1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.75" customHeight="1" x14ac:dyDescent="0.6">
      <c r="A595" s="1"/>
      <c r="B595" s="6"/>
      <c r="C595" s="1"/>
      <c r="D595" s="6"/>
      <c r="E595" s="1"/>
      <c r="F595" s="6"/>
      <c r="G595" s="1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.75" customHeight="1" x14ac:dyDescent="0.6">
      <c r="A596" s="1"/>
      <c r="B596" s="6"/>
      <c r="C596" s="1"/>
      <c r="D596" s="6"/>
      <c r="E596" s="1"/>
      <c r="F596" s="6"/>
      <c r="G596" s="1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.75" customHeight="1" x14ac:dyDescent="0.6">
      <c r="A597" s="1"/>
      <c r="B597" s="6"/>
      <c r="C597" s="1"/>
      <c r="D597" s="6"/>
      <c r="E597" s="1"/>
      <c r="F597" s="6"/>
      <c r="G597" s="1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.75" customHeight="1" x14ac:dyDescent="0.6">
      <c r="A598" s="1"/>
      <c r="B598" s="6"/>
      <c r="C598" s="1"/>
      <c r="D598" s="6"/>
      <c r="E598" s="1"/>
      <c r="F598" s="6"/>
      <c r="G598" s="1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.75" customHeight="1" x14ac:dyDescent="0.6">
      <c r="A599" s="1"/>
      <c r="B599" s="6"/>
      <c r="C599" s="1"/>
      <c r="D599" s="6"/>
      <c r="E599" s="1"/>
      <c r="F599" s="6"/>
      <c r="G599" s="1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.75" customHeight="1" x14ac:dyDescent="0.6">
      <c r="A600" s="1"/>
      <c r="B600" s="6"/>
      <c r="C600" s="1"/>
      <c r="D600" s="6"/>
      <c r="E600" s="1"/>
      <c r="F600" s="6"/>
      <c r="G600" s="1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.75" customHeight="1" x14ac:dyDescent="0.6">
      <c r="A601" s="1"/>
      <c r="B601" s="6"/>
      <c r="C601" s="1"/>
      <c r="D601" s="6"/>
      <c r="E601" s="1"/>
      <c r="F601" s="6"/>
      <c r="G601" s="1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.75" customHeight="1" x14ac:dyDescent="0.6">
      <c r="A602" s="1"/>
      <c r="B602" s="6"/>
      <c r="C602" s="1"/>
      <c r="D602" s="6"/>
      <c r="E602" s="1"/>
      <c r="F602" s="6"/>
      <c r="G602" s="1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.75" customHeight="1" x14ac:dyDescent="0.6">
      <c r="A603" s="1"/>
      <c r="B603" s="6"/>
      <c r="C603" s="1"/>
      <c r="D603" s="6"/>
      <c r="E603" s="1"/>
      <c r="F603" s="6"/>
      <c r="G603" s="1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.75" customHeight="1" x14ac:dyDescent="0.6">
      <c r="A604" s="1"/>
      <c r="B604" s="6"/>
      <c r="C604" s="1"/>
      <c r="D604" s="6"/>
      <c r="E604" s="1"/>
      <c r="F604" s="6"/>
      <c r="G604" s="1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.75" customHeight="1" x14ac:dyDescent="0.6">
      <c r="A605" s="1"/>
      <c r="B605" s="6"/>
      <c r="C605" s="1"/>
      <c r="D605" s="6"/>
      <c r="E605" s="1"/>
      <c r="F605" s="6"/>
      <c r="G605" s="1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.75" customHeight="1" x14ac:dyDescent="0.6">
      <c r="A606" s="1"/>
      <c r="B606" s="6"/>
      <c r="C606" s="1"/>
      <c r="D606" s="6"/>
      <c r="E606" s="1"/>
      <c r="F606" s="6"/>
      <c r="G606" s="1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.75" customHeight="1" x14ac:dyDescent="0.6">
      <c r="A607" s="1"/>
      <c r="B607" s="6"/>
      <c r="C607" s="1"/>
      <c r="D607" s="6"/>
      <c r="E607" s="1"/>
      <c r="F607" s="6"/>
      <c r="G607" s="1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.75" customHeight="1" x14ac:dyDescent="0.6">
      <c r="A608" s="1"/>
      <c r="B608" s="6"/>
      <c r="C608" s="1"/>
      <c r="D608" s="6"/>
      <c r="E608" s="1"/>
      <c r="F608" s="6"/>
      <c r="G608" s="1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.75" customHeight="1" x14ac:dyDescent="0.6">
      <c r="A609" s="1"/>
      <c r="B609" s="6"/>
      <c r="C609" s="1"/>
      <c r="D609" s="6"/>
      <c r="E609" s="1"/>
      <c r="F609" s="6"/>
      <c r="G609" s="1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.75" customHeight="1" x14ac:dyDescent="0.6">
      <c r="A610" s="1"/>
      <c r="B610" s="6"/>
      <c r="C610" s="1"/>
      <c r="D610" s="6"/>
      <c r="E610" s="1"/>
      <c r="F610" s="6"/>
      <c r="G610" s="1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.75" customHeight="1" x14ac:dyDescent="0.6">
      <c r="A611" s="1"/>
      <c r="B611" s="6"/>
      <c r="C611" s="1"/>
      <c r="D611" s="6"/>
      <c r="E611" s="1"/>
      <c r="F611" s="6"/>
      <c r="G611" s="1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.75" customHeight="1" x14ac:dyDescent="0.6">
      <c r="A612" s="1"/>
      <c r="B612" s="6"/>
      <c r="C612" s="1"/>
      <c r="D612" s="6"/>
      <c r="E612" s="1"/>
      <c r="F612" s="6"/>
      <c r="G612" s="1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.75" customHeight="1" x14ac:dyDescent="0.6">
      <c r="A613" s="1"/>
      <c r="B613" s="6"/>
      <c r="C613" s="1"/>
      <c r="D613" s="6"/>
      <c r="E613" s="1"/>
      <c r="F613" s="6"/>
      <c r="G613" s="1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.75" customHeight="1" x14ac:dyDescent="0.6">
      <c r="A614" s="1"/>
      <c r="B614" s="6"/>
      <c r="C614" s="1"/>
      <c r="D614" s="6"/>
      <c r="E614" s="1"/>
      <c r="F614" s="6"/>
      <c r="G614" s="1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.75" customHeight="1" x14ac:dyDescent="0.6">
      <c r="A615" s="1"/>
      <c r="B615" s="6"/>
      <c r="C615" s="1"/>
      <c r="D615" s="6"/>
      <c r="E615" s="1"/>
      <c r="F615" s="6"/>
      <c r="G615" s="1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.75" customHeight="1" x14ac:dyDescent="0.6">
      <c r="A616" s="1"/>
      <c r="B616" s="6"/>
      <c r="C616" s="1"/>
      <c r="D616" s="6"/>
      <c r="E616" s="1"/>
      <c r="F616" s="6"/>
      <c r="G616" s="1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.75" customHeight="1" x14ac:dyDescent="0.6">
      <c r="A617" s="1"/>
      <c r="B617" s="6"/>
      <c r="C617" s="1"/>
      <c r="D617" s="6"/>
      <c r="E617" s="1"/>
      <c r="F617" s="6"/>
      <c r="G617" s="1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.75" customHeight="1" x14ac:dyDescent="0.6">
      <c r="A618" s="1"/>
      <c r="B618" s="6"/>
      <c r="C618" s="1"/>
      <c r="D618" s="6"/>
      <c r="E618" s="1"/>
      <c r="F618" s="6"/>
      <c r="G618" s="1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.75" customHeight="1" x14ac:dyDescent="0.6">
      <c r="A619" s="1"/>
      <c r="B619" s="6"/>
      <c r="C619" s="1"/>
      <c r="D619" s="6"/>
      <c r="E619" s="1"/>
      <c r="F619" s="6"/>
      <c r="G619" s="1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.75" customHeight="1" x14ac:dyDescent="0.6">
      <c r="A620" s="1"/>
      <c r="B620" s="6"/>
      <c r="C620" s="1"/>
      <c r="D620" s="6"/>
      <c r="E620" s="1"/>
      <c r="F620" s="6"/>
      <c r="G620" s="1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.75" customHeight="1" x14ac:dyDescent="0.6">
      <c r="A621" s="1"/>
      <c r="B621" s="6"/>
      <c r="C621" s="1"/>
      <c r="D621" s="6"/>
      <c r="E621" s="1"/>
      <c r="F621" s="6"/>
      <c r="G621" s="1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.75" customHeight="1" x14ac:dyDescent="0.6">
      <c r="A622" s="1"/>
      <c r="B622" s="6"/>
      <c r="C622" s="1"/>
      <c r="D622" s="6"/>
      <c r="E622" s="1"/>
      <c r="F622" s="6"/>
      <c r="G622" s="1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.75" customHeight="1" x14ac:dyDescent="0.6">
      <c r="A623" s="1"/>
      <c r="B623" s="6"/>
      <c r="C623" s="1"/>
      <c r="D623" s="6"/>
      <c r="E623" s="1"/>
      <c r="F623" s="6"/>
      <c r="G623" s="1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.75" customHeight="1" x14ac:dyDescent="0.6">
      <c r="A624" s="1"/>
      <c r="B624" s="6"/>
      <c r="C624" s="1"/>
      <c r="D624" s="6"/>
      <c r="E624" s="1"/>
      <c r="F624" s="6"/>
      <c r="G624" s="1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.75" customHeight="1" x14ac:dyDescent="0.6">
      <c r="A625" s="1"/>
      <c r="B625" s="6"/>
      <c r="C625" s="1"/>
      <c r="D625" s="6"/>
      <c r="E625" s="1"/>
      <c r="F625" s="6"/>
      <c r="G625" s="1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.75" customHeight="1" x14ac:dyDescent="0.6">
      <c r="A626" s="1"/>
      <c r="B626" s="6"/>
      <c r="C626" s="1"/>
      <c r="D626" s="6"/>
      <c r="E626" s="1"/>
      <c r="F626" s="6"/>
      <c r="G626" s="1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.75" customHeight="1" x14ac:dyDescent="0.6">
      <c r="A627" s="1"/>
      <c r="B627" s="6"/>
      <c r="C627" s="1"/>
      <c r="D627" s="6"/>
      <c r="E627" s="1"/>
      <c r="F627" s="6"/>
      <c r="G627" s="1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.75" customHeight="1" x14ac:dyDescent="0.6">
      <c r="A628" s="1"/>
      <c r="B628" s="6"/>
      <c r="C628" s="1"/>
      <c r="D628" s="6"/>
      <c r="E628" s="1"/>
      <c r="F628" s="6"/>
      <c r="G628" s="1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.75" customHeight="1" x14ac:dyDescent="0.6">
      <c r="A629" s="1"/>
      <c r="B629" s="6"/>
      <c r="C629" s="1"/>
      <c r="D629" s="6"/>
      <c r="E629" s="1"/>
      <c r="F629" s="6"/>
      <c r="G629" s="1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.75" customHeight="1" x14ac:dyDescent="0.6">
      <c r="A630" s="1"/>
      <c r="B630" s="6"/>
      <c r="C630" s="1"/>
      <c r="D630" s="6"/>
      <c r="E630" s="1"/>
      <c r="F630" s="6"/>
      <c r="G630" s="1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.75" customHeight="1" x14ac:dyDescent="0.6">
      <c r="A631" s="1"/>
      <c r="B631" s="6"/>
      <c r="C631" s="1"/>
      <c r="D631" s="6"/>
      <c r="E631" s="1"/>
      <c r="F631" s="6"/>
      <c r="G631" s="1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.75" customHeight="1" x14ac:dyDescent="0.6">
      <c r="A632" s="1"/>
      <c r="B632" s="6"/>
      <c r="C632" s="1"/>
      <c r="D632" s="6"/>
      <c r="E632" s="1"/>
      <c r="F632" s="6"/>
      <c r="G632" s="1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.75" customHeight="1" x14ac:dyDescent="0.6">
      <c r="A633" s="1"/>
      <c r="B633" s="6"/>
      <c r="C633" s="1"/>
      <c r="D633" s="6"/>
      <c r="E633" s="1"/>
      <c r="F633" s="6"/>
      <c r="G633" s="1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.75" customHeight="1" x14ac:dyDescent="0.6">
      <c r="A634" s="1"/>
      <c r="B634" s="6"/>
      <c r="C634" s="1"/>
      <c r="D634" s="6"/>
      <c r="E634" s="1"/>
      <c r="F634" s="6"/>
      <c r="G634" s="1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.75" customHeight="1" x14ac:dyDescent="0.6">
      <c r="A635" s="1"/>
      <c r="B635" s="6"/>
      <c r="C635" s="1"/>
      <c r="D635" s="6"/>
      <c r="E635" s="1"/>
      <c r="F635" s="6"/>
      <c r="G635" s="1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.75" customHeight="1" x14ac:dyDescent="0.6">
      <c r="A636" s="1"/>
      <c r="B636" s="6"/>
      <c r="C636" s="1"/>
      <c r="D636" s="6"/>
      <c r="E636" s="1"/>
      <c r="F636" s="6"/>
      <c r="G636" s="1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.75" customHeight="1" x14ac:dyDescent="0.6">
      <c r="A637" s="1"/>
      <c r="B637" s="6"/>
      <c r="C637" s="1"/>
      <c r="D637" s="6"/>
      <c r="E637" s="1"/>
      <c r="F637" s="6"/>
      <c r="G637" s="1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.75" customHeight="1" x14ac:dyDescent="0.6">
      <c r="A638" s="1"/>
      <c r="B638" s="6"/>
      <c r="C638" s="1"/>
      <c r="D638" s="6"/>
      <c r="E638" s="1"/>
      <c r="F638" s="6"/>
      <c r="G638" s="1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.75" customHeight="1" x14ac:dyDescent="0.6">
      <c r="A639" s="1"/>
      <c r="B639" s="6"/>
      <c r="C639" s="1"/>
      <c r="D639" s="6"/>
      <c r="E639" s="1"/>
      <c r="F639" s="6"/>
      <c r="G639" s="1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.75" customHeight="1" x14ac:dyDescent="0.6">
      <c r="A640" s="1"/>
      <c r="B640" s="6"/>
      <c r="C640" s="1"/>
      <c r="D640" s="6"/>
      <c r="E640" s="1"/>
      <c r="F640" s="6"/>
      <c r="G640" s="1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.75" customHeight="1" x14ac:dyDescent="0.6">
      <c r="A641" s="1"/>
      <c r="B641" s="6"/>
      <c r="C641" s="1"/>
      <c r="D641" s="6"/>
      <c r="E641" s="1"/>
      <c r="F641" s="6"/>
      <c r="G641" s="1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.75" customHeight="1" x14ac:dyDescent="0.6">
      <c r="A642" s="1"/>
      <c r="B642" s="6"/>
      <c r="C642" s="1"/>
      <c r="D642" s="6"/>
      <c r="E642" s="1"/>
      <c r="F642" s="6"/>
      <c r="G642" s="1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.75" customHeight="1" x14ac:dyDescent="0.6">
      <c r="A643" s="1"/>
      <c r="B643" s="6"/>
      <c r="C643" s="1"/>
      <c r="D643" s="6"/>
      <c r="E643" s="1"/>
      <c r="F643" s="6"/>
      <c r="G643" s="1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.75" customHeight="1" x14ac:dyDescent="0.6">
      <c r="A644" s="1"/>
      <c r="B644" s="6"/>
      <c r="C644" s="1"/>
      <c r="D644" s="6"/>
      <c r="E644" s="1"/>
      <c r="F644" s="6"/>
      <c r="G644" s="1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.75" customHeight="1" x14ac:dyDescent="0.6">
      <c r="A645" s="1"/>
      <c r="B645" s="6"/>
      <c r="C645" s="1"/>
      <c r="D645" s="6"/>
      <c r="E645" s="1"/>
      <c r="F645" s="6"/>
      <c r="G645" s="1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.75" customHeight="1" x14ac:dyDescent="0.6">
      <c r="A646" s="1"/>
      <c r="B646" s="6"/>
      <c r="C646" s="1"/>
      <c r="D646" s="6"/>
      <c r="E646" s="1"/>
      <c r="F646" s="6"/>
      <c r="G646" s="1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.75" customHeight="1" x14ac:dyDescent="0.6">
      <c r="A647" s="1"/>
      <c r="B647" s="6"/>
      <c r="C647" s="1"/>
      <c r="D647" s="6"/>
      <c r="E647" s="1"/>
      <c r="F647" s="6"/>
      <c r="G647" s="1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.75" customHeight="1" x14ac:dyDescent="0.6">
      <c r="A648" s="1"/>
      <c r="B648" s="6"/>
      <c r="C648" s="1"/>
      <c r="D648" s="6"/>
      <c r="E648" s="1"/>
      <c r="F648" s="6"/>
      <c r="G648" s="1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.75" customHeight="1" x14ac:dyDescent="0.6">
      <c r="A649" s="1"/>
      <c r="B649" s="6"/>
      <c r="C649" s="1"/>
      <c r="D649" s="6"/>
      <c r="E649" s="1"/>
      <c r="F649" s="6"/>
      <c r="G649" s="1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.75" customHeight="1" x14ac:dyDescent="0.6">
      <c r="A650" s="1"/>
      <c r="B650" s="6"/>
      <c r="C650" s="1"/>
      <c r="D650" s="6"/>
      <c r="E650" s="1"/>
      <c r="F650" s="6"/>
      <c r="G650" s="1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.75" customHeight="1" x14ac:dyDescent="0.6">
      <c r="A651" s="1"/>
      <c r="B651" s="6"/>
      <c r="C651" s="1"/>
      <c r="D651" s="6"/>
      <c r="E651" s="1"/>
      <c r="F651" s="6"/>
      <c r="G651" s="1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.75" customHeight="1" x14ac:dyDescent="0.6">
      <c r="A652" s="1"/>
      <c r="B652" s="6"/>
      <c r="C652" s="1"/>
      <c r="D652" s="6"/>
      <c r="E652" s="1"/>
      <c r="F652" s="6"/>
      <c r="G652" s="1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.75" customHeight="1" x14ac:dyDescent="0.6">
      <c r="A653" s="1"/>
      <c r="B653" s="6"/>
      <c r="C653" s="1"/>
      <c r="D653" s="6"/>
      <c r="E653" s="1"/>
      <c r="F653" s="6"/>
      <c r="G653" s="1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.75" customHeight="1" x14ac:dyDescent="0.6">
      <c r="A654" s="1"/>
      <c r="B654" s="6"/>
      <c r="C654" s="1"/>
      <c r="D654" s="6"/>
      <c r="E654" s="1"/>
      <c r="F654" s="6"/>
      <c r="G654" s="1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.75" customHeight="1" x14ac:dyDescent="0.6">
      <c r="A655" s="1"/>
      <c r="B655" s="6"/>
      <c r="C655" s="1"/>
      <c r="D655" s="6"/>
      <c r="E655" s="1"/>
      <c r="F655" s="6"/>
      <c r="G655" s="1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.75" customHeight="1" x14ac:dyDescent="0.6">
      <c r="A656" s="1"/>
      <c r="B656" s="6"/>
      <c r="C656" s="1"/>
      <c r="D656" s="6"/>
      <c r="E656" s="1"/>
      <c r="F656" s="6"/>
      <c r="G656" s="1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.75" customHeight="1" x14ac:dyDescent="0.6">
      <c r="A657" s="1"/>
      <c r="B657" s="6"/>
      <c r="C657" s="1"/>
      <c r="D657" s="6"/>
      <c r="E657" s="1"/>
      <c r="F657" s="6"/>
      <c r="G657" s="1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.75" customHeight="1" x14ac:dyDescent="0.6">
      <c r="A658" s="1"/>
      <c r="B658" s="6"/>
      <c r="C658" s="1"/>
      <c r="D658" s="6"/>
      <c r="E658" s="1"/>
      <c r="F658" s="6"/>
      <c r="G658" s="1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.75" customHeight="1" x14ac:dyDescent="0.6">
      <c r="A659" s="1"/>
      <c r="B659" s="6"/>
      <c r="C659" s="1"/>
      <c r="D659" s="6"/>
      <c r="E659" s="1"/>
      <c r="F659" s="6"/>
      <c r="G659" s="1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.75" customHeight="1" x14ac:dyDescent="0.6">
      <c r="A660" s="1"/>
      <c r="B660" s="6"/>
      <c r="C660" s="1"/>
      <c r="D660" s="6"/>
      <c r="E660" s="1"/>
      <c r="F660" s="6"/>
      <c r="G660" s="1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.75" customHeight="1" x14ac:dyDescent="0.6">
      <c r="A661" s="1"/>
      <c r="B661" s="6"/>
      <c r="C661" s="1"/>
      <c r="D661" s="6"/>
      <c r="E661" s="1"/>
      <c r="F661" s="6"/>
      <c r="G661" s="1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.75" customHeight="1" x14ac:dyDescent="0.6">
      <c r="A662" s="1"/>
      <c r="B662" s="6"/>
      <c r="C662" s="1"/>
      <c r="D662" s="6"/>
      <c r="E662" s="1"/>
      <c r="F662" s="6"/>
      <c r="G662" s="1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.75" customHeight="1" x14ac:dyDescent="0.6">
      <c r="A663" s="1"/>
      <c r="B663" s="6"/>
      <c r="C663" s="1"/>
      <c r="D663" s="6"/>
      <c r="E663" s="1"/>
      <c r="F663" s="6"/>
      <c r="G663" s="1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.75" customHeight="1" x14ac:dyDescent="0.6">
      <c r="A664" s="1"/>
      <c r="B664" s="6"/>
      <c r="C664" s="1"/>
      <c r="D664" s="6"/>
      <c r="E664" s="1"/>
      <c r="F664" s="6"/>
      <c r="G664" s="1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.75" customHeight="1" x14ac:dyDescent="0.6">
      <c r="A665" s="1"/>
      <c r="B665" s="6"/>
      <c r="C665" s="1"/>
      <c r="D665" s="6"/>
      <c r="E665" s="1"/>
      <c r="F665" s="6"/>
      <c r="G665" s="1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.75" customHeight="1" x14ac:dyDescent="0.6">
      <c r="A666" s="1"/>
      <c r="B666" s="6"/>
      <c r="C666" s="1"/>
      <c r="D666" s="6"/>
      <c r="E666" s="1"/>
      <c r="F666" s="6"/>
      <c r="G666" s="1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.75" customHeight="1" x14ac:dyDescent="0.6">
      <c r="A667" s="1"/>
      <c r="B667" s="6"/>
      <c r="C667" s="1"/>
      <c r="D667" s="6"/>
      <c r="E667" s="1"/>
      <c r="F667" s="6"/>
      <c r="G667" s="1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.75" customHeight="1" x14ac:dyDescent="0.6">
      <c r="A668" s="1"/>
      <c r="B668" s="6"/>
      <c r="C668" s="1"/>
      <c r="D668" s="6"/>
      <c r="E668" s="1"/>
      <c r="F668" s="6"/>
      <c r="G668" s="1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.75" customHeight="1" x14ac:dyDescent="0.6">
      <c r="A669" s="1"/>
      <c r="B669" s="6"/>
      <c r="C669" s="1"/>
      <c r="D669" s="6"/>
      <c r="E669" s="1"/>
      <c r="F669" s="6"/>
      <c r="G669" s="1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.75" customHeight="1" x14ac:dyDescent="0.6">
      <c r="A670" s="1"/>
      <c r="B670" s="6"/>
      <c r="C670" s="1"/>
      <c r="D670" s="6"/>
      <c r="E670" s="1"/>
      <c r="F670" s="6"/>
      <c r="G670" s="1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.75" customHeight="1" x14ac:dyDescent="0.6">
      <c r="A671" s="1"/>
      <c r="B671" s="6"/>
      <c r="C671" s="1"/>
      <c r="D671" s="6"/>
      <c r="E671" s="1"/>
      <c r="F671" s="6"/>
      <c r="G671" s="1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.75" customHeight="1" x14ac:dyDescent="0.6">
      <c r="A672" s="1"/>
      <c r="B672" s="6"/>
      <c r="C672" s="1"/>
      <c r="D672" s="6"/>
      <c r="E672" s="1"/>
      <c r="F672" s="6"/>
      <c r="G672" s="1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.75" customHeight="1" x14ac:dyDescent="0.6">
      <c r="A673" s="1"/>
      <c r="B673" s="6"/>
      <c r="C673" s="1"/>
      <c r="D673" s="6"/>
      <c r="E673" s="1"/>
      <c r="F673" s="6"/>
      <c r="G673" s="1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.75" customHeight="1" x14ac:dyDescent="0.6">
      <c r="A674" s="1"/>
      <c r="B674" s="6"/>
      <c r="C674" s="1"/>
      <c r="D674" s="6"/>
      <c r="E674" s="1"/>
      <c r="F674" s="6"/>
      <c r="G674" s="1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.75" customHeight="1" x14ac:dyDescent="0.6">
      <c r="A675" s="1"/>
      <c r="B675" s="6"/>
      <c r="C675" s="1"/>
      <c r="D675" s="6"/>
      <c r="E675" s="1"/>
      <c r="F675" s="6"/>
      <c r="G675" s="1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.75" customHeight="1" x14ac:dyDescent="0.6">
      <c r="A676" s="1"/>
      <c r="B676" s="6"/>
      <c r="C676" s="1"/>
      <c r="D676" s="6"/>
      <c r="E676" s="1"/>
      <c r="F676" s="6"/>
      <c r="G676" s="1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.75" customHeight="1" x14ac:dyDescent="0.6">
      <c r="A677" s="1"/>
      <c r="B677" s="6"/>
      <c r="C677" s="1"/>
      <c r="D677" s="6"/>
      <c r="E677" s="1"/>
      <c r="F677" s="6"/>
      <c r="G677" s="1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.75" customHeight="1" x14ac:dyDescent="0.6">
      <c r="A678" s="1"/>
      <c r="B678" s="6"/>
      <c r="C678" s="1"/>
      <c r="D678" s="6"/>
      <c r="E678" s="1"/>
      <c r="F678" s="6"/>
      <c r="G678" s="1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.75" customHeight="1" x14ac:dyDescent="0.6">
      <c r="A679" s="1"/>
      <c r="B679" s="6"/>
      <c r="C679" s="1"/>
      <c r="D679" s="6"/>
      <c r="E679" s="1"/>
      <c r="F679" s="6"/>
      <c r="G679" s="1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.75" customHeight="1" x14ac:dyDescent="0.6">
      <c r="A680" s="1"/>
      <c r="B680" s="6"/>
      <c r="C680" s="1"/>
      <c r="D680" s="6"/>
      <c r="E680" s="1"/>
      <c r="F680" s="6"/>
      <c r="G680" s="1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.75" customHeight="1" x14ac:dyDescent="0.6">
      <c r="A681" s="1"/>
      <c r="B681" s="6"/>
      <c r="C681" s="1"/>
      <c r="D681" s="6"/>
      <c r="E681" s="1"/>
      <c r="F681" s="6"/>
      <c r="G681" s="1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.75" customHeight="1" x14ac:dyDescent="0.6">
      <c r="A682" s="1"/>
      <c r="B682" s="6"/>
      <c r="C682" s="1"/>
      <c r="D682" s="6"/>
      <c r="E682" s="1"/>
      <c r="F682" s="6"/>
      <c r="G682" s="1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.75" customHeight="1" x14ac:dyDescent="0.6">
      <c r="A683" s="1"/>
      <c r="B683" s="6"/>
      <c r="C683" s="1"/>
      <c r="D683" s="6"/>
      <c r="E683" s="1"/>
      <c r="F683" s="6"/>
      <c r="G683" s="1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.75" customHeight="1" x14ac:dyDescent="0.6">
      <c r="A684" s="1"/>
      <c r="B684" s="6"/>
      <c r="C684" s="1"/>
      <c r="D684" s="6"/>
      <c r="E684" s="1"/>
      <c r="F684" s="6"/>
      <c r="G684" s="1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.75" customHeight="1" x14ac:dyDescent="0.6">
      <c r="A685" s="1"/>
      <c r="B685" s="6"/>
      <c r="C685" s="1"/>
      <c r="D685" s="6"/>
      <c r="E685" s="1"/>
      <c r="F685" s="6"/>
      <c r="G685" s="1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.75" customHeight="1" x14ac:dyDescent="0.6">
      <c r="A686" s="1"/>
      <c r="B686" s="6"/>
      <c r="C686" s="1"/>
      <c r="D686" s="6"/>
      <c r="E686" s="1"/>
      <c r="F686" s="6"/>
      <c r="G686" s="1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.75" customHeight="1" x14ac:dyDescent="0.6">
      <c r="A687" s="1"/>
      <c r="B687" s="6"/>
      <c r="C687" s="1"/>
      <c r="D687" s="6"/>
      <c r="E687" s="1"/>
      <c r="F687" s="6"/>
      <c r="G687" s="1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.75" customHeight="1" x14ac:dyDescent="0.6">
      <c r="A688" s="1"/>
      <c r="B688" s="6"/>
      <c r="C688" s="1"/>
      <c r="D688" s="6"/>
      <c r="E688" s="1"/>
      <c r="F688" s="6"/>
      <c r="G688" s="1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.75" customHeight="1" x14ac:dyDescent="0.6">
      <c r="A689" s="1"/>
      <c r="B689" s="6"/>
      <c r="C689" s="1"/>
      <c r="D689" s="6"/>
      <c r="E689" s="1"/>
      <c r="F689" s="6"/>
      <c r="G689" s="1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.75" customHeight="1" x14ac:dyDescent="0.6">
      <c r="A690" s="1"/>
      <c r="B690" s="6"/>
      <c r="C690" s="1"/>
      <c r="D690" s="6"/>
      <c r="E690" s="1"/>
      <c r="F690" s="6"/>
      <c r="G690" s="1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.75" customHeight="1" x14ac:dyDescent="0.6">
      <c r="A691" s="1"/>
      <c r="B691" s="6"/>
      <c r="C691" s="1"/>
      <c r="D691" s="6"/>
      <c r="E691" s="1"/>
      <c r="F691" s="6"/>
      <c r="G691" s="1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.75" customHeight="1" x14ac:dyDescent="0.6">
      <c r="A692" s="1"/>
      <c r="B692" s="6"/>
      <c r="C692" s="1"/>
      <c r="D692" s="6"/>
      <c r="E692" s="1"/>
      <c r="F692" s="6"/>
      <c r="G692" s="1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.75" customHeight="1" x14ac:dyDescent="0.6">
      <c r="A693" s="1"/>
      <c r="B693" s="6"/>
      <c r="C693" s="1"/>
      <c r="D693" s="6"/>
      <c r="E693" s="1"/>
      <c r="F693" s="6"/>
      <c r="G693" s="1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.75" customHeight="1" x14ac:dyDescent="0.6">
      <c r="A694" s="1"/>
      <c r="B694" s="6"/>
      <c r="C694" s="1"/>
      <c r="D694" s="6"/>
      <c r="E694" s="1"/>
      <c r="F694" s="6"/>
      <c r="G694" s="1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.75" customHeight="1" x14ac:dyDescent="0.6">
      <c r="A695" s="1"/>
      <c r="B695" s="6"/>
      <c r="C695" s="1"/>
      <c r="D695" s="6"/>
      <c r="E695" s="1"/>
      <c r="F695" s="6"/>
      <c r="G695" s="1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.75" customHeight="1" x14ac:dyDescent="0.6">
      <c r="A696" s="1"/>
      <c r="B696" s="6"/>
      <c r="C696" s="1"/>
      <c r="D696" s="6"/>
      <c r="E696" s="1"/>
      <c r="F696" s="6"/>
      <c r="G696" s="1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.75" customHeight="1" x14ac:dyDescent="0.6">
      <c r="A697" s="1"/>
      <c r="B697" s="6"/>
      <c r="C697" s="1"/>
      <c r="D697" s="6"/>
      <c r="E697" s="1"/>
      <c r="F697" s="6"/>
      <c r="G697" s="1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.75" customHeight="1" x14ac:dyDescent="0.6">
      <c r="A698" s="1"/>
      <c r="B698" s="6"/>
      <c r="C698" s="1"/>
      <c r="D698" s="6"/>
      <c r="E698" s="1"/>
      <c r="F698" s="6"/>
      <c r="G698" s="1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.75" customHeight="1" x14ac:dyDescent="0.6">
      <c r="A699" s="1"/>
      <c r="B699" s="6"/>
      <c r="C699" s="1"/>
      <c r="D699" s="6"/>
      <c r="E699" s="1"/>
      <c r="F699" s="6"/>
      <c r="G699" s="1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.75" customHeight="1" x14ac:dyDescent="0.6">
      <c r="A700" s="1"/>
      <c r="B700" s="6"/>
      <c r="C700" s="1"/>
      <c r="D700" s="6"/>
      <c r="E700" s="1"/>
      <c r="F700" s="6"/>
      <c r="G700" s="1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.75" customHeight="1" x14ac:dyDescent="0.6">
      <c r="A701" s="1"/>
      <c r="B701" s="6"/>
      <c r="C701" s="1"/>
      <c r="D701" s="6"/>
      <c r="E701" s="1"/>
      <c r="F701" s="6"/>
      <c r="G701" s="1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.75" customHeight="1" x14ac:dyDescent="0.6">
      <c r="A702" s="1"/>
      <c r="B702" s="6"/>
      <c r="C702" s="1"/>
      <c r="D702" s="6"/>
      <c r="E702" s="1"/>
      <c r="F702" s="6"/>
      <c r="G702" s="1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.75" customHeight="1" x14ac:dyDescent="0.6">
      <c r="A703" s="1"/>
      <c r="B703" s="6"/>
      <c r="C703" s="1"/>
      <c r="D703" s="6"/>
      <c r="E703" s="1"/>
      <c r="F703" s="6"/>
      <c r="G703" s="1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.75" customHeight="1" x14ac:dyDescent="0.6">
      <c r="A704" s="1"/>
      <c r="B704" s="6"/>
      <c r="C704" s="1"/>
      <c r="D704" s="6"/>
      <c r="E704" s="1"/>
      <c r="F704" s="6"/>
      <c r="G704" s="1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.75" customHeight="1" x14ac:dyDescent="0.6">
      <c r="A705" s="1"/>
      <c r="B705" s="6"/>
      <c r="C705" s="1"/>
      <c r="D705" s="6"/>
      <c r="E705" s="1"/>
      <c r="F705" s="6"/>
      <c r="G705" s="1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.75" customHeight="1" x14ac:dyDescent="0.6">
      <c r="A706" s="1"/>
      <c r="B706" s="6"/>
      <c r="C706" s="1"/>
      <c r="D706" s="6"/>
      <c r="E706" s="1"/>
      <c r="F706" s="6"/>
      <c r="G706" s="1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.75" customHeight="1" x14ac:dyDescent="0.6">
      <c r="A707" s="1"/>
      <c r="B707" s="6"/>
      <c r="C707" s="1"/>
      <c r="D707" s="6"/>
      <c r="E707" s="1"/>
      <c r="F707" s="6"/>
      <c r="G707" s="1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.75" customHeight="1" x14ac:dyDescent="0.6">
      <c r="A708" s="1"/>
      <c r="B708" s="6"/>
      <c r="C708" s="1"/>
      <c r="D708" s="6"/>
      <c r="E708" s="1"/>
      <c r="F708" s="6"/>
      <c r="G708" s="1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.75" customHeight="1" x14ac:dyDescent="0.6">
      <c r="A709" s="1"/>
      <c r="B709" s="6"/>
      <c r="C709" s="1"/>
      <c r="D709" s="6"/>
      <c r="E709" s="1"/>
      <c r="F709" s="6"/>
      <c r="G709" s="1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.75" customHeight="1" x14ac:dyDescent="0.6">
      <c r="A710" s="1"/>
      <c r="B710" s="6"/>
      <c r="C710" s="1"/>
      <c r="D710" s="6"/>
      <c r="E710" s="1"/>
      <c r="F710" s="6"/>
      <c r="G710" s="1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.75" customHeight="1" x14ac:dyDescent="0.6">
      <c r="A711" s="1"/>
      <c r="B711" s="6"/>
      <c r="C711" s="1"/>
      <c r="D711" s="6"/>
      <c r="E711" s="1"/>
      <c r="F711" s="6"/>
      <c r="G711" s="1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.75" customHeight="1" x14ac:dyDescent="0.6">
      <c r="A712" s="1"/>
      <c r="B712" s="6"/>
      <c r="C712" s="1"/>
      <c r="D712" s="6"/>
      <c r="E712" s="1"/>
      <c r="F712" s="6"/>
      <c r="G712" s="1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.75" customHeight="1" x14ac:dyDescent="0.6">
      <c r="A713" s="1"/>
      <c r="B713" s="6"/>
      <c r="C713" s="1"/>
      <c r="D713" s="6"/>
      <c r="E713" s="1"/>
      <c r="F713" s="6"/>
      <c r="G713" s="1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.75" customHeight="1" x14ac:dyDescent="0.6">
      <c r="A714" s="1"/>
      <c r="B714" s="6"/>
      <c r="C714" s="1"/>
      <c r="D714" s="6"/>
      <c r="E714" s="1"/>
      <c r="F714" s="6"/>
      <c r="G714" s="1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.75" customHeight="1" x14ac:dyDescent="0.6">
      <c r="A715" s="1"/>
      <c r="B715" s="6"/>
      <c r="C715" s="1"/>
      <c r="D715" s="6"/>
      <c r="E715" s="1"/>
      <c r="F715" s="6"/>
      <c r="G715" s="1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.75" customHeight="1" x14ac:dyDescent="0.6">
      <c r="A716" s="1"/>
      <c r="B716" s="6"/>
      <c r="C716" s="1"/>
      <c r="D716" s="6"/>
      <c r="E716" s="1"/>
      <c r="F716" s="6"/>
      <c r="G716" s="1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.75" customHeight="1" x14ac:dyDescent="0.6">
      <c r="A717" s="1"/>
      <c r="B717" s="6"/>
      <c r="C717" s="1"/>
      <c r="D717" s="6"/>
      <c r="E717" s="1"/>
      <c r="F717" s="6"/>
      <c r="G717" s="1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.75" customHeight="1" x14ac:dyDescent="0.6">
      <c r="A718" s="1"/>
      <c r="B718" s="6"/>
      <c r="C718" s="1"/>
      <c r="D718" s="6"/>
      <c r="E718" s="1"/>
      <c r="F718" s="6"/>
      <c r="G718" s="1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.75" customHeight="1" x14ac:dyDescent="0.6">
      <c r="A719" s="1"/>
      <c r="B719" s="6"/>
      <c r="C719" s="1"/>
      <c r="D719" s="6"/>
      <c r="E719" s="1"/>
      <c r="F719" s="6"/>
      <c r="G719" s="1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.75" customHeight="1" x14ac:dyDescent="0.6">
      <c r="A720" s="1"/>
      <c r="B720" s="6"/>
      <c r="C720" s="1"/>
      <c r="D720" s="6"/>
      <c r="E720" s="1"/>
      <c r="F720" s="6"/>
      <c r="G720" s="1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.75" customHeight="1" x14ac:dyDescent="0.6">
      <c r="A721" s="1"/>
      <c r="B721" s="6"/>
      <c r="C721" s="1"/>
      <c r="D721" s="6"/>
      <c r="E721" s="1"/>
      <c r="F721" s="6"/>
      <c r="G721" s="1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.75" customHeight="1" x14ac:dyDescent="0.6">
      <c r="A722" s="1"/>
      <c r="B722" s="6"/>
      <c r="C722" s="1"/>
      <c r="D722" s="6"/>
      <c r="E722" s="1"/>
      <c r="F722" s="6"/>
      <c r="G722" s="1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.75" customHeight="1" x14ac:dyDescent="0.6">
      <c r="A723" s="1"/>
      <c r="B723" s="6"/>
      <c r="C723" s="1"/>
      <c r="D723" s="6"/>
      <c r="E723" s="1"/>
      <c r="F723" s="6"/>
      <c r="G723" s="1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.75" customHeight="1" x14ac:dyDescent="0.6">
      <c r="A724" s="1"/>
      <c r="B724" s="6"/>
      <c r="C724" s="1"/>
      <c r="D724" s="6"/>
      <c r="E724" s="1"/>
      <c r="F724" s="6"/>
      <c r="G724" s="1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.75" customHeight="1" x14ac:dyDescent="0.6">
      <c r="A725" s="1"/>
      <c r="B725" s="6"/>
      <c r="C725" s="1"/>
      <c r="D725" s="6"/>
      <c r="E725" s="1"/>
      <c r="F725" s="6"/>
      <c r="G725" s="1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.75" customHeight="1" x14ac:dyDescent="0.6">
      <c r="A726" s="1"/>
      <c r="B726" s="6"/>
      <c r="C726" s="1"/>
      <c r="D726" s="6"/>
      <c r="E726" s="1"/>
      <c r="F726" s="6"/>
      <c r="G726" s="1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.75" customHeight="1" x14ac:dyDescent="0.6">
      <c r="A727" s="1"/>
      <c r="B727" s="6"/>
      <c r="C727" s="1"/>
      <c r="D727" s="6"/>
      <c r="E727" s="1"/>
      <c r="F727" s="6"/>
      <c r="G727" s="1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.75" customHeight="1" x14ac:dyDescent="0.6">
      <c r="A728" s="1"/>
      <c r="B728" s="6"/>
      <c r="C728" s="1"/>
      <c r="D728" s="6"/>
      <c r="E728" s="1"/>
      <c r="F728" s="6"/>
      <c r="G728" s="1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.75" customHeight="1" x14ac:dyDescent="0.6">
      <c r="A729" s="1"/>
      <c r="B729" s="6"/>
      <c r="C729" s="1"/>
      <c r="D729" s="6"/>
      <c r="E729" s="1"/>
      <c r="F729" s="6"/>
      <c r="G729" s="1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.75" customHeight="1" x14ac:dyDescent="0.6">
      <c r="A730" s="1"/>
      <c r="B730" s="6"/>
      <c r="C730" s="1"/>
      <c r="D730" s="6"/>
      <c r="E730" s="1"/>
      <c r="F730" s="6"/>
      <c r="G730" s="1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.75" customHeight="1" x14ac:dyDescent="0.6">
      <c r="A731" s="1"/>
      <c r="B731" s="6"/>
      <c r="C731" s="1"/>
      <c r="D731" s="6"/>
      <c r="E731" s="1"/>
      <c r="F731" s="6"/>
      <c r="G731" s="1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.75" customHeight="1" x14ac:dyDescent="0.6">
      <c r="A732" s="1"/>
      <c r="B732" s="6"/>
      <c r="C732" s="1"/>
      <c r="D732" s="6"/>
      <c r="E732" s="1"/>
      <c r="F732" s="6"/>
      <c r="G732" s="1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.75" customHeight="1" x14ac:dyDescent="0.6">
      <c r="A733" s="1"/>
      <c r="B733" s="6"/>
      <c r="C733" s="1"/>
      <c r="D733" s="6"/>
      <c r="E733" s="1"/>
      <c r="F733" s="6"/>
      <c r="G733" s="1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.75" customHeight="1" x14ac:dyDescent="0.6">
      <c r="A734" s="1"/>
      <c r="B734" s="6"/>
      <c r="C734" s="1"/>
      <c r="D734" s="6"/>
      <c r="E734" s="1"/>
      <c r="F734" s="6"/>
      <c r="G734" s="1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.75" customHeight="1" x14ac:dyDescent="0.6">
      <c r="A735" s="1"/>
      <c r="B735" s="6"/>
      <c r="C735" s="1"/>
      <c r="D735" s="6"/>
      <c r="E735" s="1"/>
      <c r="F735" s="6"/>
      <c r="G735" s="1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.75" customHeight="1" x14ac:dyDescent="0.6">
      <c r="A736" s="1"/>
      <c r="B736" s="6"/>
      <c r="C736" s="1"/>
      <c r="D736" s="6"/>
      <c r="E736" s="1"/>
      <c r="F736" s="6"/>
      <c r="G736" s="1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.75" customHeight="1" x14ac:dyDescent="0.6">
      <c r="A737" s="1"/>
      <c r="B737" s="6"/>
      <c r="C737" s="1"/>
      <c r="D737" s="6"/>
      <c r="E737" s="1"/>
      <c r="F737" s="6"/>
      <c r="G737" s="1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.75" customHeight="1" x14ac:dyDescent="0.6">
      <c r="A738" s="1"/>
      <c r="B738" s="6"/>
      <c r="C738" s="1"/>
      <c r="D738" s="6"/>
      <c r="E738" s="1"/>
      <c r="F738" s="6"/>
      <c r="G738" s="1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.75" customHeight="1" x14ac:dyDescent="0.6">
      <c r="A739" s="1"/>
      <c r="B739" s="6"/>
      <c r="C739" s="1"/>
      <c r="D739" s="6"/>
      <c r="E739" s="1"/>
      <c r="F739" s="6"/>
      <c r="G739" s="1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.75" customHeight="1" x14ac:dyDescent="0.6">
      <c r="A740" s="1"/>
      <c r="B740" s="6"/>
      <c r="C740" s="1"/>
      <c r="D740" s="6"/>
      <c r="E740" s="1"/>
      <c r="F740" s="6"/>
      <c r="G740" s="1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.75" customHeight="1" x14ac:dyDescent="0.6">
      <c r="A741" s="1"/>
      <c r="B741" s="6"/>
      <c r="C741" s="1"/>
      <c r="D741" s="6"/>
      <c r="E741" s="1"/>
      <c r="F741" s="6"/>
      <c r="G741" s="1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.75" customHeight="1" x14ac:dyDescent="0.6">
      <c r="A742" s="1"/>
      <c r="B742" s="6"/>
      <c r="C742" s="1"/>
      <c r="D742" s="6"/>
      <c r="E742" s="1"/>
      <c r="F742" s="6"/>
      <c r="G742" s="1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.75" customHeight="1" x14ac:dyDescent="0.6">
      <c r="A743" s="1"/>
      <c r="B743" s="6"/>
      <c r="C743" s="1"/>
      <c r="D743" s="6"/>
      <c r="E743" s="1"/>
      <c r="F743" s="6"/>
      <c r="G743" s="1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.75" customHeight="1" x14ac:dyDescent="0.6">
      <c r="A744" s="1"/>
      <c r="B744" s="6"/>
      <c r="C744" s="1"/>
      <c r="D744" s="6"/>
      <c r="E744" s="1"/>
      <c r="F744" s="6"/>
      <c r="G744" s="1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.75" customHeight="1" x14ac:dyDescent="0.6">
      <c r="A745" s="1"/>
      <c r="B745" s="6"/>
      <c r="C745" s="1"/>
      <c r="D745" s="6"/>
      <c r="E745" s="1"/>
      <c r="F745" s="6"/>
      <c r="G745" s="1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.75" customHeight="1" x14ac:dyDescent="0.6">
      <c r="A746" s="1"/>
      <c r="B746" s="6"/>
      <c r="C746" s="1"/>
      <c r="D746" s="6"/>
      <c r="E746" s="1"/>
      <c r="F746" s="6"/>
      <c r="G746" s="1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.75" customHeight="1" x14ac:dyDescent="0.6">
      <c r="A747" s="1"/>
      <c r="B747" s="6"/>
      <c r="C747" s="1"/>
      <c r="D747" s="6"/>
      <c r="E747" s="1"/>
      <c r="F747" s="6"/>
      <c r="G747" s="1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.75" customHeight="1" x14ac:dyDescent="0.6">
      <c r="A748" s="1"/>
      <c r="B748" s="6"/>
      <c r="C748" s="1"/>
      <c r="D748" s="6"/>
      <c r="E748" s="1"/>
      <c r="F748" s="6"/>
      <c r="G748" s="1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.75" customHeight="1" x14ac:dyDescent="0.6">
      <c r="A749" s="1"/>
      <c r="B749" s="6"/>
      <c r="C749" s="1"/>
      <c r="D749" s="6"/>
      <c r="E749" s="1"/>
      <c r="F749" s="6"/>
      <c r="G749" s="1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.75" customHeight="1" x14ac:dyDescent="0.6">
      <c r="A750" s="1"/>
      <c r="B750" s="6"/>
      <c r="C750" s="1"/>
      <c r="D750" s="6"/>
      <c r="E750" s="1"/>
      <c r="F750" s="6"/>
      <c r="G750" s="1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.75" customHeight="1" x14ac:dyDescent="0.6">
      <c r="A751" s="1"/>
      <c r="B751" s="6"/>
      <c r="C751" s="1"/>
      <c r="D751" s="6"/>
      <c r="E751" s="1"/>
      <c r="F751" s="6"/>
      <c r="G751" s="1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.75" customHeight="1" x14ac:dyDescent="0.6">
      <c r="A752" s="1"/>
      <c r="B752" s="6"/>
      <c r="C752" s="1"/>
      <c r="D752" s="6"/>
      <c r="E752" s="1"/>
      <c r="F752" s="6"/>
      <c r="G752" s="1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.75" customHeight="1" x14ac:dyDescent="0.6">
      <c r="A753" s="1"/>
      <c r="B753" s="6"/>
      <c r="C753" s="1"/>
      <c r="D753" s="6"/>
      <c r="E753" s="1"/>
      <c r="F753" s="6"/>
      <c r="G753" s="1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.75" customHeight="1" x14ac:dyDescent="0.6">
      <c r="A754" s="1"/>
      <c r="B754" s="6"/>
      <c r="C754" s="1"/>
      <c r="D754" s="6"/>
      <c r="E754" s="1"/>
      <c r="F754" s="6"/>
      <c r="G754" s="1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.75" customHeight="1" x14ac:dyDescent="0.6">
      <c r="A755" s="1"/>
      <c r="B755" s="6"/>
      <c r="C755" s="1"/>
      <c r="D755" s="6"/>
      <c r="E755" s="1"/>
      <c r="F755" s="6"/>
      <c r="G755" s="1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.75" customHeight="1" x14ac:dyDescent="0.6">
      <c r="A756" s="1"/>
      <c r="B756" s="6"/>
      <c r="C756" s="1"/>
      <c r="D756" s="6"/>
      <c r="E756" s="1"/>
      <c r="F756" s="6"/>
      <c r="G756" s="1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.75" customHeight="1" x14ac:dyDescent="0.6">
      <c r="A757" s="1"/>
      <c r="B757" s="6"/>
      <c r="C757" s="1"/>
      <c r="D757" s="6"/>
      <c r="E757" s="1"/>
      <c r="F757" s="6"/>
      <c r="G757" s="1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.75" customHeight="1" x14ac:dyDescent="0.6">
      <c r="A758" s="1"/>
      <c r="B758" s="6"/>
      <c r="C758" s="1"/>
      <c r="D758" s="6"/>
      <c r="E758" s="1"/>
      <c r="F758" s="6"/>
      <c r="G758" s="1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.75" customHeight="1" x14ac:dyDescent="0.6">
      <c r="A759" s="1"/>
      <c r="B759" s="6"/>
      <c r="C759" s="1"/>
      <c r="D759" s="6"/>
      <c r="E759" s="1"/>
      <c r="F759" s="6"/>
      <c r="G759" s="1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.75" customHeight="1" x14ac:dyDescent="0.6">
      <c r="A760" s="1"/>
      <c r="B760" s="6"/>
      <c r="C760" s="1"/>
      <c r="D760" s="6"/>
      <c r="E760" s="1"/>
      <c r="F760" s="6"/>
      <c r="G760" s="1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.75" customHeight="1" x14ac:dyDescent="0.6">
      <c r="A761" s="1"/>
      <c r="B761" s="6"/>
      <c r="C761" s="1"/>
      <c r="D761" s="6"/>
      <c r="E761" s="1"/>
      <c r="F761" s="6"/>
      <c r="G761" s="1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.75" customHeight="1" x14ac:dyDescent="0.6">
      <c r="A762" s="1"/>
      <c r="B762" s="6"/>
      <c r="C762" s="1"/>
      <c r="D762" s="6"/>
      <c r="E762" s="1"/>
      <c r="F762" s="6"/>
      <c r="G762" s="1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.75" customHeight="1" x14ac:dyDescent="0.6">
      <c r="A763" s="1"/>
      <c r="B763" s="6"/>
      <c r="C763" s="1"/>
      <c r="D763" s="6"/>
      <c r="E763" s="1"/>
      <c r="F763" s="6"/>
      <c r="G763" s="1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.75" customHeight="1" x14ac:dyDescent="0.6">
      <c r="A764" s="1"/>
      <c r="B764" s="6"/>
      <c r="C764" s="1"/>
      <c r="D764" s="6"/>
      <c r="E764" s="1"/>
      <c r="F764" s="6"/>
      <c r="G764" s="1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.75" customHeight="1" x14ac:dyDescent="0.6">
      <c r="A765" s="1"/>
      <c r="B765" s="6"/>
      <c r="C765" s="1"/>
      <c r="D765" s="6"/>
      <c r="E765" s="1"/>
      <c r="F765" s="6"/>
      <c r="G765" s="1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.75" customHeight="1" x14ac:dyDescent="0.6">
      <c r="A766" s="1"/>
      <c r="B766" s="6"/>
      <c r="C766" s="1"/>
      <c r="D766" s="6"/>
      <c r="E766" s="1"/>
      <c r="F766" s="6"/>
      <c r="G766" s="1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.75" customHeight="1" x14ac:dyDescent="0.6">
      <c r="A767" s="1"/>
      <c r="B767" s="6"/>
      <c r="C767" s="1"/>
      <c r="D767" s="6"/>
      <c r="E767" s="1"/>
      <c r="F767" s="6"/>
      <c r="G767" s="1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.75" customHeight="1" x14ac:dyDescent="0.6">
      <c r="A768" s="1"/>
      <c r="B768" s="6"/>
      <c r="C768" s="1"/>
      <c r="D768" s="6"/>
      <c r="E768" s="1"/>
      <c r="F768" s="6"/>
      <c r="G768" s="1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.75" customHeight="1" x14ac:dyDescent="0.6">
      <c r="A769" s="1"/>
      <c r="B769" s="6"/>
      <c r="C769" s="1"/>
      <c r="D769" s="6"/>
      <c r="E769" s="1"/>
      <c r="F769" s="6"/>
      <c r="G769" s="1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.75" customHeight="1" x14ac:dyDescent="0.6">
      <c r="A770" s="1"/>
      <c r="B770" s="6"/>
      <c r="C770" s="1"/>
      <c r="D770" s="6"/>
      <c r="E770" s="1"/>
      <c r="F770" s="6"/>
      <c r="G770" s="1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.75" customHeight="1" x14ac:dyDescent="0.6">
      <c r="A771" s="1"/>
      <c r="B771" s="6"/>
      <c r="C771" s="1"/>
      <c r="D771" s="6"/>
      <c r="E771" s="1"/>
      <c r="F771" s="6"/>
      <c r="G771" s="1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.75" customHeight="1" x14ac:dyDescent="0.6">
      <c r="A772" s="1"/>
      <c r="B772" s="6"/>
      <c r="C772" s="1"/>
      <c r="D772" s="6"/>
      <c r="E772" s="1"/>
      <c r="F772" s="6"/>
      <c r="G772" s="1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.75" customHeight="1" x14ac:dyDescent="0.6">
      <c r="A773" s="1"/>
      <c r="B773" s="6"/>
      <c r="C773" s="1"/>
      <c r="D773" s="6"/>
      <c r="E773" s="1"/>
      <c r="F773" s="6"/>
      <c r="G773" s="1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.75" customHeight="1" x14ac:dyDescent="0.6">
      <c r="A774" s="1"/>
      <c r="B774" s="6"/>
      <c r="C774" s="1"/>
      <c r="D774" s="6"/>
      <c r="E774" s="1"/>
      <c r="F774" s="6"/>
      <c r="G774" s="1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.75" customHeight="1" x14ac:dyDescent="0.6">
      <c r="A775" s="1"/>
      <c r="B775" s="6"/>
      <c r="C775" s="1"/>
      <c r="D775" s="6"/>
      <c r="E775" s="1"/>
      <c r="F775" s="6"/>
      <c r="G775" s="1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.75" customHeight="1" x14ac:dyDescent="0.6">
      <c r="A776" s="1"/>
      <c r="B776" s="6"/>
      <c r="C776" s="1"/>
      <c r="D776" s="6"/>
      <c r="E776" s="1"/>
      <c r="F776" s="6"/>
      <c r="G776" s="1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.75" customHeight="1" x14ac:dyDescent="0.6">
      <c r="A777" s="1"/>
      <c r="B777" s="6"/>
      <c r="C777" s="1"/>
      <c r="D777" s="6"/>
      <c r="E777" s="1"/>
      <c r="F777" s="6"/>
      <c r="G777" s="1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.75" customHeight="1" x14ac:dyDescent="0.6">
      <c r="A778" s="1"/>
      <c r="B778" s="6"/>
      <c r="C778" s="1"/>
      <c r="D778" s="6"/>
      <c r="E778" s="1"/>
      <c r="F778" s="6"/>
      <c r="G778" s="1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.75" customHeight="1" x14ac:dyDescent="0.6">
      <c r="A779" s="1"/>
      <c r="B779" s="6"/>
      <c r="C779" s="1"/>
      <c r="D779" s="6"/>
      <c r="E779" s="1"/>
      <c r="F779" s="6"/>
      <c r="G779" s="1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.75" customHeight="1" x14ac:dyDescent="0.6">
      <c r="A780" s="1"/>
      <c r="B780" s="6"/>
      <c r="C780" s="1"/>
      <c r="D780" s="6"/>
      <c r="E780" s="1"/>
      <c r="F780" s="6"/>
      <c r="G780" s="1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.75" customHeight="1" x14ac:dyDescent="0.6">
      <c r="A781" s="1"/>
      <c r="B781" s="6"/>
      <c r="C781" s="1"/>
      <c r="D781" s="6"/>
      <c r="E781" s="1"/>
      <c r="F781" s="6"/>
      <c r="G781" s="1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.75" customHeight="1" x14ac:dyDescent="0.6">
      <c r="A782" s="1"/>
      <c r="B782" s="6"/>
      <c r="C782" s="1"/>
      <c r="D782" s="6"/>
      <c r="E782" s="1"/>
      <c r="F782" s="6"/>
      <c r="G782" s="1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.75" customHeight="1" x14ac:dyDescent="0.6">
      <c r="A783" s="1"/>
      <c r="B783" s="6"/>
      <c r="C783" s="1"/>
      <c r="D783" s="6"/>
      <c r="E783" s="1"/>
      <c r="F783" s="6"/>
      <c r="G783" s="1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.75" customHeight="1" x14ac:dyDescent="0.6">
      <c r="A784" s="1"/>
      <c r="B784" s="6"/>
      <c r="C784" s="1"/>
      <c r="D784" s="6"/>
      <c r="E784" s="1"/>
      <c r="F784" s="6"/>
      <c r="G784" s="1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.75" customHeight="1" x14ac:dyDescent="0.6">
      <c r="A785" s="1"/>
      <c r="B785" s="6"/>
      <c r="C785" s="1"/>
      <c r="D785" s="6"/>
      <c r="E785" s="1"/>
      <c r="F785" s="6"/>
      <c r="G785" s="1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.75" customHeight="1" x14ac:dyDescent="0.6">
      <c r="A786" s="1"/>
      <c r="B786" s="6"/>
      <c r="C786" s="1"/>
      <c r="D786" s="6"/>
      <c r="E786" s="1"/>
      <c r="F786" s="6"/>
      <c r="G786" s="1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.75" customHeight="1" x14ac:dyDescent="0.6">
      <c r="A787" s="1"/>
      <c r="B787" s="6"/>
      <c r="C787" s="1"/>
      <c r="D787" s="6"/>
      <c r="E787" s="1"/>
      <c r="F787" s="6"/>
      <c r="G787" s="1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.75" customHeight="1" x14ac:dyDescent="0.6">
      <c r="A788" s="1"/>
      <c r="B788" s="6"/>
      <c r="C788" s="1"/>
      <c r="D788" s="6"/>
      <c r="E788" s="1"/>
      <c r="F788" s="6"/>
      <c r="G788" s="1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.75" customHeight="1" x14ac:dyDescent="0.6">
      <c r="A789" s="1"/>
      <c r="B789" s="6"/>
      <c r="C789" s="1"/>
      <c r="D789" s="6"/>
      <c r="E789" s="1"/>
      <c r="F789" s="6"/>
      <c r="G789" s="1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.75" customHeight="1" x14ac:dyDescent="0.6">
      <c r="A790" s="1"/>
      <c r="B790" s="6"/>
      <c r="C790" s="1"/>
      <c r="D790" s="6"/>
      <c r="E790" s="1"/>
      <c r="F790" s="6"/>
      <c r="G790" s="1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.75" customHeight="1" x14ac:dyDescent="0.6">
      <c r="A791" s="1"/>
      <c r="B791" s="6"/>
      <c r="C791" s="1"/>
      <c r="D791" s="6"/>
      <c r="E791" s="1"/>
      <c r="F791" s="6"/>
      <c r="G791" s="1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.75" customHeight="1" x14ac:dyDescent="0.6">
      <c r="A792" s="1"/>
      <c r="B792" s="6"/>
      <c r="C792" s="1"/>
      <c r="D792" s="6"/>
      <c r="E792" s="1"/>
      <c r="F792" s="6"/>
      <c r="G792" s="1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.75" customHeight="1" x14ac:dyDescent="0.6">
      <c r="A793" s="1"/>
      <c r="B793" s="6"/>
      <c r="C793" s="1"/>
      <c r="D793" s="6"/>
      <c r="E793" s="1"/>
      <c r="F793" s="6"/>
      <c r="G793" s="1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.75" customHeight="1" x14ac:dyDescent="0.6">
      <c r="A794" s="1"/>
      <c r="B794" s="6"/>
      <c r="C794" s="1"/>
      <c r="D794" s="6"/>
      <c r="E794" s="1"/>
      <c r="F794" s="6"/>
      <c r="G794" s="1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.75" customHeight="1" x14ac:dyDescent="0.6">
      <c r="A795" s="1"/>
      <c r="B795" s="6"/>
      <c r="C795" s="1"/>
      <c r="D795" s="6"/>
      <c r="E795" s="1"/>
      <c r="F795" s="6"/>
      <c r="G795" s="1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.75" customHeight="1" x14ac:dyDescent="0.6">
      <c r="A796" s="1"/>
      <c r="B796" s="6"/>
      <c r="C796" s="1"/>
      <c r="D796" s="6"/>
      <c r="E796" s="1"/>
      <c r="F796" s="6"/>
      <c r="G796" s="1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.75" customHeight="1" x14ac:dyDescent="0.6">
      <c r="A797" s="1"/>
      <c r="B797" s="6"/>
      <c r="C797" s="1"/>
      <c r="D797" s="6"/>
      <c r="E797" s="1"/>
      <c r="F797" s="6"/>
      <c r="G797" s="1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.75" customHeight="1" x14ac:dyDescent="0.6">
      <c r="A798" s="1"/>
      <c r="B798" s="6"/>
      <c r="C798" s="1"/>
      <c r="D798" s="6"/>
      <c r="E798" s="1"/>
      <c r="F798" s="6"/>
      <c r="G798" s="1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.75" customHeight="1" x14ac:dyDescent="0.6">
      <c r="A799" s="1"/>
      <c r="B799" s="6"/>
      <c r="C799" s="1"/>
      <c r="D799" s="6"/>
      <c r="E799" s="1"/>
      <c r="F799" s="6"/>
      <c r="G799" s="1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.75" customHeight="1" x14ac:dyDescent="0.6">
      <c r="A800" s="1"/>
      <c r="B800" s="6"/>
      <c r="C800" s="1"/>
      <c r="D800" s="6"/>
      <c r="E800" s="1"/>
      <c r="F800" s="6"/>
      <c r="G800" s="1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.75" customHeight="1" x14ac:dyDescent="0.6">
      <c r="A801" s="1"/>
      <c r="B801" s="6"/>
      <c r="C801" s="1"/>
      <c r="D801" s="6"/>
      <c r="E801" s="1"/>
      <c r="F801" s="6"/>
      <c r="G801" s="1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.75" customHeight="1" x14ac:dyDescent="0.6">
      <c r="A802" s="1"/>
      <c r="B802" s="6"/>
      <c r="C802" s="1"/>
      <c r="D802" s="6"/>
      <c r="E802" s="1"/>
      <c r="F802" s="6"/>
      <c r="G802" s="1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.75" customHeight="1" x14ac:dyDescent="0.6">
      <c r="A803" s="1"/>
      <c r="B803" s="6"/>
      <c r="C803" s="1"/>
      <c r="D803" s="6"/>
      <c r="E803" s="1"/>
      <c r="F803" s="6"/>
      <c r="G803" s="1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.75" customHeight="1" x14ac:dyDescent="0.6">
      <c r="A804" s="1"/>
      <c r="B804" s="6"/>
      <c r="C804" s="1"/>
      <c r="D804" s="6"/>
      <c r="E804" s="1"/>
      <c r="F804" s="6"/>
      <c r="G804" s="1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.75" customHeight="1" x14ac:dyDescent="0.6">
      <c r="A805" s="1"/>
      <c r="B805" s="6"/>
      <c r="C805" s="1"/>
      <c r="D805" s="6"/>
      <c r="E805" s="1"/>
      <c r="F805" s="6"/>
      <c r="G805" s="1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.75" customHeight="1" x14ac:dyDescent="0.6">
      <c r="A806" s="1"/>
      <c r="B806" s="6"/>
      <c r="C806" s="1"/>
      <c r="D806" s="6"/>
      <c r="E806" s="1"/>
      <c r="F806" s="6"/>
      <c r="G806" s="1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.75" customHeight="1" x14ac:dyDescent="0.6">
      <c r="A807" s="1"/>
      <c r="B807" s="6"/>
      <c r="C807" s="1"/>
      <c r="D807" s="6"/>
      <c r="E807" s="1"/>
      <c r="F807" s="6"/>
      <c r="G807" s="1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.75" customHeight="1" x14ac:dyDescent="0.6">
      <c r="A808" s="1"/>
      <c r="B808" s="6"/>
      <c r="C808" s="1"/>
      <c r="D808" s="6"/>
      <c r="E808" s="1"/>
      <c r="F808" s="6"/>
      <c r="G808" s="1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.75" customHeight="1" x14ac:dyDescent="0.6">
      <c r="A809" s="1"/>
      <c r="B809" s="6"/>
      <c r="C809" s="1"/>
      <c r="D809" s="6"/>
      <c r="E809" s="1"/>
      <c r="F809" s="6"/>
      <c r="G809" s="1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.75" customHeight="1" x14ac:dyDescent="0.6">
      <c r="A810" s="1"/>
      <c r="B810" s="6"/>
      <c r="C810" s="1"/>
      <c r="D810" s="6"/>
      <c r="E810" s="1"/>
      <c r="F810" s="6"/>
      <c r="G810" s="1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.75" customHeight="1" x14ac:dyDescent="0.6">
      <c r="A811" s="1"/>
      <c r="B811" s="6"/>
      <c r="C811" s="1"/>
      <c r="D811" s="6"/>
      <c r="E811" s="1"/>
      <c r="F811" s="6"/>
      <c r="G811" s="1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.75" customHeight="1" x14ac:dyDescent="0.6">
      <c r="A812" s="1"/>
      <c r="B812" s="6"/>
      <c r="C812" s="1"/>
      <c r="D812" s="6"/>
      <c r="E812" s="1"/>
      <c r="F812" s="6"/>
      <c r="G812" s="1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.75" customHeight="1" x14ac:dyDescent="0.6">
      <c r="A813" s="1"/>
      <c r="B813" s="6"/>
      <c r="C813" s="1"/>
      <c r="D813" s="6"/>
      <c r="E813" s="1"/>
      <c r="F813" s="6"/>
      <c r="G813" s="1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.75" customHeight="1" x14ac:dyDescent="0.6">
      <c r="A814" s="1"/>
      <c r="B814" s="6"/>
      <c r="C814" s="1"/>
      <c r="D814" s="6"/>
      <c r="E814" s="1"/>
      <c r="F814" s="6"/>
      <c r="G814" s="1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.75" customHeight="1" x14ac:dyDescent="0.6">
      <c r="A815" s="1"/>
      <c r="B815" s="6"/>
      <c r="C815" s="1"/>
      <c r="D815" s="6"/>
      <c r="E815" s="1"/>
      <c r="F815" s="6"/>
      <c r="G815" s="1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.75" customHeight="1" x14ac:dyDescent="0.6">
      <c r="A816" s="1"/>
      <c r="B816" s="6"/>
      <c r="C816" s="1"/>
      <c r="D816" s="6"/>
      <c r="E816" s="1"/>
      <c r="F816" s="6"/>
      <c r="G816" s="1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.75" customHeight="1" x14ac:dyDescent="0.6">
      <c r="A817" s="1"/>
      <c r="B817" s="6"/>
      <c r="C817" s="1"/>
      <c r="D817" s="6"/>
      <c r="E817" s="1"/>
      <c r="F817" s="6"/>
      <c r="G817" s="1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.75" customHeight="1" x14ac:dyDescent="0.6">
      <c r="A818" s="1"/>
      <c r="B818" s="6"/>
      <c r="C818" s="1"/>
      <c r="D818" s="6"/>
      <c r="E818" s="1"/>
      <c r="F818" s="6"/>
      <c r="G818" s="1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.75" customHeight="1" x14ac:dyDescent="0.6">
      <c r="A819" s="1"/>
      <c r="B819" s="6"/>
      <c r="C819" s="1"/>
      <c r="D819" s="6"/>
      <c r="E819" s="1"/>
      <c r="F819" s="6"/>
      <c r="G819" s="1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.75" customHeight="1" x14ac:dyDescent="0.6">
      <c r="A820" s="1"/>
      <c r="B820" s="6"/>
      <c r="C820" s="1"/>
      <c r="D820" s="6"/>
      <c r="E820" s="1"/>
      <c r="F820" s="6"/>
      <c r="G820" s="1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.75" customHeight="1" x14ac:dyDescent="0.6">
      <c r="A821" s="1"/>
      <c r="B821" s="6"/>
      <c r="C821" s="1"/>
      <c r="D821" s="6"/>
      <c r="E821" s="1"/>
      <c r="F821" s="6"/>
      <c r="G821" s="1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.75" customHeight="1" x14ac:dyDescent="0.6">
      <c r="A822" s="1"/>
      <c r="B822" s="6"/>
      <c r="C822" s="1"/>
      <c r="D822" s="6"/>
      <c r="E822" s="1"/>
      <c r="F822" s="6"/>
      <c r="G822" s="1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.75" customHeight="1" x14ac:dyDescent="0.6">
      <c r="A823" s="1"/>
      <c r="B823" s="6"/>
      <c r="C823" s="1"/>
      <c r="D823" s="6"/>
      <c r="E823" s="1"/>
      <c r="F823" s="6"/>
      <c r="G823" s="1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.75" customHeight="1" x14ac:dyDescent="0.6">
      <c r="A824" s="1"/>
      <c r="B824" s="6"/>
      <c r="C824" s="1"/>
      <c r="D824" s="6"/>
      <c r="E824" s="1"/>
      <c r="F824" s="6"/>
      <c r="G824" s="1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.75" customHeight="1" x14ac:dyDescent="0.6">
      <c r="A825" s="1"/>
      <c r="B825" s="6"/>
      <c r="C825" s="1"/>
      <c r="D825" s="6"/>
      <c r="E825" s="1"/>
      <c r="F825" s="6"/>
      <c r="G825" s="1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.75" customHeight="1" x14ac:dyDescent="0.6">
      <c r="A826" s="1"/>
      <c r="B826" s="6"/>
      <c r="C826" s="1"/>
      <c r="D826" s="6"/>
      <c r="E826" s="1"/>
      <c r="F826" s="6"/>
      <c r="G826" s="1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.75" customHeight="1" x14ac:dyDescent="0.6">
      <c r="A827" s="1"/>
      <c r="B827" s="6"/>
      <c r="C827" s="1"/>
      <c r="D827" s="6"/>
      <c r="E827" s="1"/>
      <c r="F827" s="6"/>
      <c r="G827" s="1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.75" customHeight="1" x14ac:dyDescent="0.6">
      <c r="A828" s="1"/>
      <c r="B828" s="6"/>
      <c r="C828" s="1"/>
      <c r="D828" s="6"/>
      <c r="E828" s="1"/>
      <c r="F828" s="6"/>
      <c r="G828" s="1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.75" customHeight="1" x14ac:dyDescent="0.6">
      <c r="A829" s="1"/>
      <c r="B829" s="6"/>
      <c r="C829" s="1"/>
      <c r="D829" s="6"/>
      <c r="E829" s="1"/>
      <c r="F829" s="6"/>
      <c r="G829" s="1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.75" customHeight="1" x14ac:dyDescent="0.6">
      <c r="A830" s="1"/>
      <c r="B830" s="6"/>
      <c r="C830" s="1"/>
      <c r="D830" s="6"/>
      <c r="E830" s="1"/>
      <c r="F830" s="6"/>
      <c r="G830" s="1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.75" customHeight="1" x14ac:dyDescent="0.6">
      <c r="A831" s="1"/>
      <c r="B831" s="6"/>
      <c r="C831" s="1"/>
      <c r="D831" s="6"/>
      <c r="E831" s="1"/>
      <c r="F831" s="6"/>
      <c r="G831" s="1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.75" customHeight="1" x14ac:dyDescent="0.6">
      <c r="A832" s="1"/>
      <c r="B832" s="6"/>
      <c r="C832" s="1"/>
      <c r="D832" s="6"/>
      <c r="E832" s="1"/>
      <c r="F832" s="6"/>
      <c r="G832" s="1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.75" customHeight="1" x14ac:dyDescent="0.6">
      <c r="A833" s="1"/>
      <c r="B833" s="6"/>
      <c r="C833" s="1"/>
      <c r="D833" s="6"/>
      <c r="E833" s="1"/>
      <c r="F833" s="6"/>
      <c r="G833" s="1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.75" customHeight="1" x14ac:dyDescent="0.6">
      <c r="A834" s="1"/>
      <c r="B834" s="6"/>
      <c r="C834" s="1"/>
      <c r="D834" s="6"/>
      <c r="E834" s="1"/>
      <c r="F834" s="6"/>
      <c r="G834" s="1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.75" customHeight="1" x14ac:dyDescent="0.6">
      <c r="A835" s="1"/>
      <c r="B835" s="6"/>
      <c r="C835" s="1"/>
      <c r="D835" s="6"/>
      <c r="E835" s="1"/>
      <c r="F835" s="6"/>
      <c r="G835" s="1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.75" customHeight="1" x14ac:dyDescent="0.6">
      <c r="A836" s="1"/>
      <c r="B836" s="6"/>
      <c r="C836" s="1"/>
      <c r="D836" s="6"/>
      <c r="E836" s="1"/>
      <c r="F836" s="6"/>
      <c r="G836" s="1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.75" customHeight="1" x14ac:dyDescent="0.6">
      <c r="A837" s="1"/>
      <c r="B837" s="6"/>
      <c r="C837" s="1"/>
      <c r="D837" s="6"/>
      <c r="E837" s="1"/>
      <c r="F837" s="6"/>
      <c r="G837" s="1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.75" customHeight="1" x14ac:dyDescent="0.6">
      <c r="A838" s="1"/>
      <c r="B838" s="6"/>
      <c r="C838" s="1"/>
      <c r="D838" s="6"/>
      <c r="E838" s="1"/>
      <c r="F838" s="6"/>
      <c r="G838" s="1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.75" customHeight="1" x14ac:dyDescent="0.6">
      <c r="A839" s="1"/>
      <c r="B839" s="6"/>
      <c r="C839" s="1"/>
      <c r="D839" s="6"/>
      <c r="E839" s="1"/>
      <c r="F839" s="6"/>
      <c r="G839" s="1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.75" customHeight="1" x14ac:dyDescent="0.6">
      <c r="A840" s="1"/>
      <c r="B840" s="6"/>
      <c r="C840" s="1"/>
      <c r="D840" s="6"/>
      <c r="E840" s="1"/>
      <c r="F840" s="6"/>
      <c r="G840" s="1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.75" customHeight="1" x14ac:dyDescent="0.6">
      <c r="A841" s="1"/>
      <c r="B841" s="6"/>
      <c r="C841" s="1"/>
      <c r="D841" s="6"/>
      <c r="E841" s="1"/>
      <c r="F841" s="6"/>
      <c r="G841" s="1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.75" customHeight="1" x14ac:dyDescent="0.6">
      <c r="A842" s="1"/>
      <c r="B842" s="6"/>
      <c r="C842" s="1"/>
      <c r="D842" s="6"/>
      <c r="E842" s="1"/>
      <c r="F842" s="6"/>
      <c r="G842" s="1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.75" customHeight="1" x14ac:dyDescent="0.6">
      <c r="A843" s="1"/>
      <c r="B843" s="6"/>
      <c r="C843" s="1"/>
      <c r="D843" s="6"/>
      <c r="E843" s="1"/>
      <c r="F843" s="6"/>
      <c r="G843" s="1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.75" customHeight="1" x14ac:dyDescent="0.6">
      <c r="A844" s="1"/>
      <c r="B844" s="6"/>
      <c r="C844" s="1"/>
      <c r="D844" s="6"/>
      <c r="E844" s="1"/>
      <c r="F844" s="6"/>
      <c r="G844" s="1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.75" customHeight="1" x14ac:dyDescent="0.6">
      <c r="A845" s="1"/>
      <c r="B845" s="6"/>
      <c r="C845" s="1"/>
      <c r="D845" s="6"/>
      <c r="E845" s="1"/>
      <c r="F845" s="6"/>
      <c r="G845" s="1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.75" customHeight="1" x14ac:dyDescent="0.6">
      <c r="A846" s="1"/>
      <c r="B846" s="6"/>
      <c r="C846" s="1"/>
      <c r="D846" s="6"/>
      <c r="E846" s="1"/>
      <c r="F846" s="6"/>
      <c r="G846" s="1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.75" customHeight="1" x14ac:dyDescent="0.6">
      <c r="A847" s="1"/>
      <c r="B847" s="6"/>
      <c r="C847" s="1"/>
      <c r="D847" s="6"/>
      <c r="E847" s="1"/>
      <c r="F847" s="6"/>
      <c r="G847" s="1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.75" customHeight="1" x14ac:dyDescent="0.6">
      <c r="A848" s="1"/>
      <c r="B848" s="6"/>
      <c r="C848" s="1"/>
      <c r="D848" s="6"/>
      <c r="E848" s="1"/>
      <c r="F848" s="6"/>
      <c r="G848" s="1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.75" customHeight="1" x14ac:dyDescent="0.6">
      <c r="A849" s="1"/>
      <c r="B849" s="6"/>
      <c r="C849" s="1"/>
      <c r="D849" s="6"/>
      <c r="E849" s="1"/>
      <c r="F849" s="6"/>
      <c r="G849" s="1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.75" customHeight="1" x14ac:dyDescent="0.6">
      <c r="A850" s="1"/>
      <c r="B850" s="6"/>
      <c r="C850" s="1"/>
      <c r="D850" s="6"/>
      <c r="E850" s="1"/>
      <c r="F850" s="6"/>
      <c r="G850" s="1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.75" customHeight="1" x14ac:dyDescent="0.6">
      <c r="A851" s="1"/>
      <c r="B851" s="6"/>
      <c r="C851" s="1"/>
      <c r="D851" s="6"/>
      <c r="E851" s="1"/>
      <c r="F851" s="6"/>
      <c r="G851" s="1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.75" customHeight="1" x14ac:dyDescent="0.6">
      <c r="A852" s="1"/>
      <c r="B852" s="6"/>
      <c r="C852" s="1"/>
      <c r="D852" s="6"/>
      <c r="E852" s="1"/>
      <c r="F852" s="6"/>
      <c r="G852" s="1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.75" customHeight="1" x14ac:dyDescent="0.6">
      <c r="A853" s="1"/>
      <c r="B853" s="6"/>
      <c r="C853" s="1"/>
      <c r="D853" s="6"/>
      <c r="E853" s="1"/>
      <c r="F853" s="6"/>
      <c r="G853" s="1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.75" customHeight="1" x14ac:dyDescent="0.6">
      <c r="A854" s="1"/>
      <c r="B854" s="6"/>
      <c r="C854" s="1"/>
      <c r="D854" s="6"/>
      <c r="E854" s="1"/>
      <c r="F854" s="6"/>
      <c r="G854" s="1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.75" customHeight="1" x14ac:dyDescent="0.6">
      <c r="A855" s="1"/>
      <c r="B855" s="6"/>
      <c r="C855" s="1"/>
      <c r="D855" s="6"/>
      <c r="E855" s="1"/>
      <c r="F855" s="6"/>
      <c r="G855" s="1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.75" customHeight="1" x14ac:dyDescent="0.6">
      <c r="A856" s="1"/>
      <c r="B856" s="6"/>
      <c r="C856" s="1"/>
      <c r="D856" s="6"/>
      <c r="E856" s="1"/>
      <c r="F856" s="6"/>
      <c r="G856" s="1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.75" customHeight="1" x14ac:dyDescent="0.6">
      <c r="A857" s="1"/>
      <c r="B857" s="6"/>
      <c r="C857" s="1"/>
      <c r="D857" s="6"/>
      <c r="E857" s="1"/>
      <c r="F857" s="6"/>
      <c r="G857" s="1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.75" customHeight="1" x14ac:dyDescent="0.6">
      <c r="A858" s="1"/>
      <c r="B858" s="6"/>
      <c r="C858" s="1"/>
      <c r="D858" s="6"/>
      <c r="E858" s="1"/>
      <c r="F858" s="6"/>
      <c r="G858" s="1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.75" customHeight="1" x14ac:dyDescent="0.6">
      <c r="A859" s="1"/>
      <c r="B859" s="6"/>
      <c r="C859" s="1"/>
      <c r="D859" s="6"/>
      <c r="E859" s="1"/>
      <c r="F859" s="6"/>
      <c r="G859" s="1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.75" customHeight="1" x14ac:dyDescent="0.6">
      <c r="A860" s="1"/>
      <c r="B860" s="6"/>
      <c r="C860" s="1"/>
      <c r="D860" s="6"/>
      <c r="E860" s="1"/>
      <c r="F860" s="6"/>
      <c r="G860" s="1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.75" customHeight="1" x14ac:dyDescent="0.6">
      <c r="A861" s="1"/>
      <c r="B861" s="6"/>
      <c r="C861" s="1"/>
      <c r="D861" s="6"/>
      <c r="E861" s="1"/>
      <c r="F861" s="6"/>
      <c r="G861" s="1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.75" customHeight="1" x14ac:dyDescent="0.6">
      <c r="A862" s="1"/>
      <c r="B862" s="6"/>
      <c r="C862" s="1"/>
      <c r="D862" s="6"/>
      <c r="E862" s="1"/>
      <c r="F862" s="6"/>
      <c r="G862" s="1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.75" customHeight="1" x14ac:dyDescent="0.6">
      <c r="A863" s="1"/>
      <c r="B863" s="6"/>
      <c r="C863" s="1"/>
      <c r="D863" s="6"/>
      <c r="E863" s="1"/>
      <c r="F863" s="6"/>
      <c r="G863" s="1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.75" customHeight="1" x14ac:dyDescent="0.6">
      <c r="A864" s="1"/>
      <c r="B864" s="6"/>
      <c r="C864" s="1"/>
      <c r="D864" s="6"/>
      <c r="E864" s="1"/>
      <c r="F864" s="6"/>
      <c r="G864" s="1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.75" customHeight="1" x14ac:dyDescent="0.6">
      <c r="A865" s="1"/>
      <c r="B865" s="6"/>
      <c r="C865" s="1"/>
      <c r="D865" s="6"/>
      <c r="E865" s="1"/>
      <c r="F865" s="6"/>
      <c r="G865" s="1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.75" customHeight="1" x14ac:dyDescent="0.6">
      <c r="A866" s="1"/>
      <c r="B866" s="6"/>
      <c r="C866" s="1"/>
      <c r="D866" s="6"/>
      <c r="E866" s="1"/>
      <c r="F866" s="6"/>
      <c r="G866" s="1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.75" customHeight="1" x14ac:dyDescent="0.6">
      <c r="A867" s="1"/>
      <c r="B867" s="6"/>
      <c r="C867" s="1"/>
      <c r="D867" s="6"/>
      <c r="E867" s="1"/>
      <c r="F867" s="6"/>
      <c r="G867" s="1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.75" customHeight="1" x14ac:dyDescent="0.6">
      <c r="A868" s="1"/>
      <c r="B868" s="6"/>
      <c r="C868" s="1"/>
      <c r="D868" s="6"/>
      <c r="E868" s="1"/>
      <c r="F868" s="6"/>
      <c r="G868" s="1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.75" customHeight="1" x14ac:dyDescent="0.6">
      <c r="A869" s="1"/>
      <c r="B869" s="6"/>
      <c r="C869" s="1"/>
      <c r="D869" s="6"/>
      <c r="E869" s="1"/>
      <c r="F869" s="6"/>
      <c r="G869" s="1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.75" customHeight="1" x14ac:dyDescent="0.6">
      <c r="A870" s="1"/>
      <c r="B870" s="6"/>
      <c r="C870" s="1"/>
      <c r="D870" s="6"/>
      <c r="E870" s="1"/>
      <c r="F870" s="6"/>
      <c r="G870" s="1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.75" customHeight="1" x14ac:dyDescent="0.6">
      <c r="A871" s="1"/>
      <c r="B871" s="6"/>
      <c r="C871" s="1"/>
      <c r="D871" s="6"/>
      <c r="E871" s="1"/>
      <c r="F871" s="6"/>
      <c r="G871" s="1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.75" customHeight="1" x14ac:dyDescent="0.6">
      <c r="A872" s="1"/>
      <c r="B872" s="6"/>
      <c r="C872" s="1"/>
      <c r="D872" s="6"/>
      <c r="E872" s="1"/>
      <c r="F872" s="6"/>
      <c r="G872" s="1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.75" customHeight="1" x14ac:dyDescent="0.6">
      <c r="A873" s="1"/>
      <c r="B873" s="6"/>
      <c r="C873" s="1"/>
      <c r="D873" s="6"/>
      <c r="E873" s="1"/>
      <c r="F873" s="6"/>
      <c r="G873" s="1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.75" customHeight="1" x14ac:dyDescent="0.6">
      <c r="A874" s="1"/>
      <c r="B874" s="6"/>
      <c r="C874" s="1"/>
      <c r="D874" s="6"/>
      <c r="E874" s="1"/>
      <c r="F874" s="6"/>
      <c r="G874" s="1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.75" customHeight="1" x14ac:dyDescent="0.6">
      <c r="A875" s="1"/>
      <c r="B875" s="6"/>
      <c r="C875" s="1"/>
      <c r="D875" s="6"/>
      <c r="E875" s="1"/>
      <c r="F875" s="6"/>
      <c r="G875" s="1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.75" customHeight="1" x14ac:dyDescent="0.6">
      <c r="A876" s="1"/>
      <c r="B876" s="6"/>
      <c r="C876" s="1"/>
      <c r="D876" s="6"/>
      <c r="E876" s="1"/>
      <c r="F876" s="6"/>
      <c r="G876" s="1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.75" customHeight="1" x14ac:dyDescent="0.6">
      <c r="A877" s="1"/>
      <c r="B877" s="6"/>
      <c r="C877" s="1"/>
      <c r="D877" s="6"/>
      <c r="E877" s="1"/>
      <c r="F877" s="6"/>
      <c r="G877" s="1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.75" customHeight="1" x14ac:dyDescent="0.6">
      <c r="A878" s="1"/>
      <c r="B878" s="6"/>
      <c r="C878" s="1"/>
      <c r="D878" s="6"/>
      <c r="E878" s="1"/>
      <c r="F878" s="6"/>
      <c r="G878" s="1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.75" customHeight="1" x14ac:dyDescent="0.6">
      <c r="A879" s="1"/>
      <c r="B879" s="6"/>
      <c r="C879" s="1"/>
      <c r="D879" s="6"/>
      <c r="E879" s="1"/>
      <c r="F879" s="6"/>
      <c r="G879" s="1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.75" customHeight="1" x14ac:dyDescent="0.6">
      <c r="A880" s="1"/>
      <c r="B880" s="6"/>
      <c r="C880" s="1"/>
      <c r="D880" s="6"/>
      <c r="E880" s="1"/>
      <c r="F880" s="6"/>
      <c r="G880" s="1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.75" customHeight="1" x14ac:dyDescent="0.6">
      <c r="A881" s="1"/>
      <c r="B881" s="6"/>
      <c r="C881" s="1"/>
      <c r="D881" s="6"/>
      <c r="E881" s="1"/>
      <c r="F881" s="6"/>
      <c r="G881" s="1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.75" customHeight="1" x14ac:dyDescent="0.6">
      <c r="A882" s="1"/>
      <c r="B882" s="6"/>
      <c r="C882" s="1"/>
      <c r="D882" s="6"/>
      <c r="E882" s="1"/>
      <c r="F882" s="6"/>
      <c r="G882" s="1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.75" customHeight="1" x14ac:dyDescent="0.6">
      <c r="A883" s="1"/>
      <c r="B883" s="6"/>
      <c r="C883" s="1"/>
      <c r="D883" s="6"/>
      <c r="E883" s="1"/>
      <c r="F883" s="6"/>
      <c r="G883" s="1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.75" customHeight="1" x14ac:dyDescent="0.6">
      <c r="A884" s="1"/>
      <c r="B884" s="6"/>
      <c r="C884" s="1"/>
      <c r="D884" s="6"/>
      <c r="E884" s="1"/>
      <c r="F884" s="6"/>
      <c r="G884" s="1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.75" customHeight="1" x14ac:dyDescent="0.6">
      <c r="A885" s="1"/>
      <c r="B885" s="6"/>
      <c r="C885" s="1"/>
      <c r="D885" s="6"/>
      <c r="E885" s="1"/>
      <c r="F885" s="6"/>
      <c r="G885" s="1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.75" customHeight="1" x14ac:dyDescent="0.6">
      <c r="A886" s="1"/>
      <c r="B886" s="6"/>
      <c r="C886" s="1"/>
      <c r="D886" s="6"/>
      <c r="E886" s="1"/>
      <c r="F886" s="6"/>
      <c r="G886" s="1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.75" customHeight="1" x14ac:dyDescent="0.6">
      <c r="A887" s="1"/>
      <c r="B887" s="6"/>
      <c r="C887" s="1"/>
      <c r="D887" s="6"/>
      <c r="E887" s="1"/>
      <c r="F887" s="6"/>
      <c r="G887" s="1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.75" customHeight="1" x14ac:dyDescent="0.6">
      <c r="A888" s="1"/>
      <c r="B888" s="6"/>
      <c r="C888" s="1"/>
      <c r="D888" s="6"/>
      <c r="E888" s="1"/>
      <c r="F888" s="6"/>
      <c r="G888" s="1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.75" customHeight="1" x14ac:dyDescent="0.6">
      <c r="A889" s="1"/>
      <c r="B889" s="6"/>
      <c r="C889" s="1"/>
      <c r="D889" s="6"/>
      <c r="E889" s="1"/>
      <c r="F889" s="6"/>
      <c r="G889" s="1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.75" customHeight="1" x14ac:dyDescent="0.6">
      <c r="A890" s="1"/>
      <c r="B890" s="6"/>
      <c r="C890" s="1"/>
      <c r="D890" s="6"/>
      <c r="E890" s="1"/>
      <c r="F890" s="6"/>
      <c r="G890" s="1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.75" customHeight="1" x14ac:dyDescent="0.6">
      <c r="A891" s="1"/>
      <c r="B891" s="6"/>
      <c r="C891" s="1"/>
      <c r="D891" s="6"/>
      <c r="E891" s="1"/>
      <c r="F891" s="6"/>
      <c r="G891" s="1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.75" customHeight="1" x14ac:dyDescent="0.6">
      <c r="A892" s="1"/>
      <c r="B892" s="6"/>
      <c r="C892" s="1"/>
      <c r="D892" s="6"/>
      <c r="E892" s="1"/>
      <c r="F892" s="6"/>
      <c r="G892" s="1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.75" customHeight="1" x14ac:dyDescent="0.6">
      <c r="A893" s="1"/>
      <c r="B893" s="6"/>
      <c r="C893" s="1"/>
      <c r="D893" s="6"/>
      <c r="E893" s="1"/>
      <c r="F893" s="6"/>
      <c r="G893" s="1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.75" customHeight="1" x14ac:dyDescent="0.6">
      <c r="A894" s="1"/>
      <c r="B894" s="6"/>
      <c r="C894" s="1"/>
      <c r="D894" s="6"/>
      <c r="E894" s="1"/>
      <c r="F894" s="6"/>
      <c r="G894" s="1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.75" customHeight="1" x14ac:dyDescent="0.6">
      <c r="A895" s="1"/>
      <c r="B895" s="6"/>
      <c r="C895" s="1"/>
      <c r="D895" s="6"/>
      <c r="E895" s="1"/>
      <c r="F895" s="6"/>
      <c r="G895" s="1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.75" customHeight="1" x14ac:dyDescent="0.6">
      <c r="A896" s="1"/>
      <c r="B896" s="6"/>
      <c r="C896" s="1"/>
      <c r="D896" s="6"/>
      <c r="E896" s="1"/>
      <c r="F896" s="6"/>
      <c r="G896" s="1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.75" customHeight="1" x14ac:dyDescent="0.6">
      <c r="A897" s="1"/>
      <c r="B897" s="6"/>
      <c r="C897" s="1"/>
      <c r="D897" s="6"/>
      <c r="E897" s="1"/>
      <c r="F897" s="6"/>
      <c r="G897" s="1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.75" customHeight="1" x14ac:dyDescent="0.6">
      <c r="A898" s="1"/>
      <c r="B898" s="6"/>
      <c r="C898" s="1"/>
      <c r="D898" s="6"/>
      <c r="E898" s="1"/>
      <c r="F898" s="6"/>
      <c r="G898" s="1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.75" customHeight="1" x14ac:dyDescent="0.6">
      <c r="A899" s="1"/>
      <c r="B899" s="6"/>
      <c r="C899" s="1"/>
      <c r="D899" s="6"/>
      <c r="E899" s="1"/>
      <c r="F899" s="6"/>
      <c r="G899" s="1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.75" customHeight="1" x14ac:dyDescent="0.6">
      <c r="A900" s="1"/>
      <c r="B900" s="6"/>
      <c r="C900" s="1"/>
      <c r="D900" s="6"/>
      <c r="E900" s="1"/>
      <c r="F900" s="6"/>
      <c r="G900" s="1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.75" customHeight="1" x14ac:dyDescent="0.6">
      <c r="A901" s="1"/>
      <c r="B901" s="6"/>
      <c r="C901" s="1"/>
      <c r="D901" s="6"/>
      <c r="E901" s="1"/>
      <c r="F901" s="6"/>
      <c r="G901" s="1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.75" customHeight="1" x14ac:dyDescent="0.6">
      <c r="A902" s="1"/>
      <c r="B902" s="6"/>
      <c r="C902" s="1"/>
      <c r="D902" s="6"/>
      <c r="E902" s="1"/>
      <c r="F902" s="6"/>
      <c r="G902" s="1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.75" customHeight="1" x14ac:dyDescent="0.6">
      <c r="A903" s="1"/>
      <c r="B903" s="6"/>
      <c r="C903" s="1"/>
      <c r="D903" s="6"/>
      <c r="E903" s="1"/>
      <c r="F903" s="6"/>
      <c r="G903" s="1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.75" customHeight="1" x14ac:dyDescent="0.6">
      <c r="A904" s="1"/>
      <c r="B904" s="6"/>
      <c r="C904" s="1"/>
      <c r="D904" s="6"/>
      <c r="E904" s="1"/>
      <c r="F904" s="6"/>
      <c r="G904" s="1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.75" customHeight="1" x14ac:dyDescent="0.6">
      <c r="A905" s="1"/>
      <c r="B905" s="6"/>
      <c r="C905" s="1"/>
      <c r="D905" s="6"/>
      <c r="E905" s="1"/>
      <c r="F905" s="6"/>
      <c r="G905" s="1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.75" customHeight="1" x14ac:dyDescent="0.6">
      <c r="A906" s="1"/>
      <c r="B906" s="6"/>
      <c r="C906" s="1"/>
      <c r="D906" s="6"/>
      <c r="E906" s="1"/>
      <c r="F906" s="6"/>
      <c r="G906" s="1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.75" customHeight="1" x14ac:dyDescent="0.6">
      <c r="A907" s="1"/>
      <c r="B907" s="6"/>
      <c r="C907" s="1"/>
      <c r="D907" s="6"/>
      <c r="E907" s="1"/>
      <c r="F907" s="6"/>
      <c r="G907" s="1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.75" customHeight="1" x14ac:dyDescent="0.6">
      <c r="A908" s="1"/>
      <c r="B908" s="6"/>
      <c r="C908" s="1"/>
      <c r="D908" s="6"/>
      <c r="E908" s="1"/>
      <c r="F908" s="6"/>
      <c r="G908" s="1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.75" customHeight="1" x14ac:dyDescent="0.6">
      <c r="A909" s="1"/>
      <c r="B909" s="6"/>
      <c r="C909" s="1"/>
      <c r="D909" s="6"/>
      <c r="E909" s="1"/>
      <c r="F909" s="6"/>
      <c r="G909" s="1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.75" customHeight="1" x14ac:dyDescent="0.6">
      <c r="A910" s="1"/>
      <c r="B910" s="6"/>
      <c r="C910" s="1"/>
      <c r="D910" s="6"/>
      <c r="E910" s="1"/>
      <c r="F910" s="6"/>
      <c r="G910" s="1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.75" customHeight="1" x14ac:dyDescent="0.6">
      <c r="A911" s="1"/>
      <c r="B911" s="6"/>
      <c r="C911" s="1"/>
      <c r="D911" s="6"/>
      <c r="E911" s="1"/>
      <c r="F911" s="6"/>
      <c r="G911" s="1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.75" customHeight="1" x14ac:dyDescent="0.6">
      <c r="A912" s="1"/>
      <c r="B912" s="6"/>
      <c r="C912" s="1"/>
      <c r="D912" s="6"/>
      <c r="E912" s="1"/>
      <c r="F912" s="6"/>
      <c r="G912" s="1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.75" customHeight="1" x14ac:dyDescent="0.6">
      <c r="A913" s="1"/>
      <c r="B913" s="6"/>
      <c r="C913" s="1"/>
      <c r="D913" s="6"/>
      <c r="E913" s="1"/>
      <c r="F913" s="6"/>
      <c r="G913" s="1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.75" customHeight="1" x14ac:dyDescent="0.6">
      <c r="A914" s="1"/>
      <c r="B914" s="6"/>
      <c r="C914" s="1"/>
      <c r="D914" s="6"/>
      <c r="E914" s="1"/>
      <c r="F914" s="6"/>
      <c r="G914" s="1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.75" customHeight="1" x14ac:dyDescent="0.6">
      <c r="A915" s="1"/>
      <c r="B915" s="6"/>
      <c r="C915" s="1"/>
      <c r="D915" s="6"/>
      <c r="E915" s="1"/>
      <c r="F915" s="6"/>
      <c r="G915" s="1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.75" customHeight="1" x14ac:dyDescent="0.6">
      <c r="A916" s="1"/>
      <c r="B916" s="6"/>
      <c r="C916" s="1"/>
      <c r="D916" s="6"/>
      <c r="E916" s="1"/>
      <c r="F916" s="6"/>
      <c r="G916" s="1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.75" customHeight="1" x14ac:dyDescent="0.6">
      <c r="A917" s="1"/>
      <c r="B917" s="6"/>
      <c r="C917" s="1"/>
      <c r="D917" s="6"/>
      <c r="E917" s="1"/>
      <c r="F917" s="6"/>
      <c r="G917" s="1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.75" customHeight="1" x14ac:dyDescent="0.6">
      <c r="A918" s="1"/>
      <c r="B918" s="6"/>
      <c r="C918" s="1"/>
      <c r="D918" s="6"/>
      <c r="E918" s="1"/>
      <c r="F918" s="6"/>
      <c r="G918" s="1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.75" customHeight="1" x14ac:dyDescent="0.6">
      <c r="A919" s="1"/>
      <c r="B919" s="6"/>
      <c r="C919" s="1"/>
      <c r="D919" s="6"/>
      <c r="E919" s="1"/>
      <c r="F919" s="6"/>
      <c r="G919" s="1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.75" customHeight="1" x14ac:dyDescent="0.6">
      <c r="A920" s="1"/>
      <c r="B920" s="6"/>
      <c r="C920" s="1"/>
      <c r="D920" s="6"/>
      <c r="E920" s="1"/>
      <c r="F920" s="6"/>
      <c r="G920" s="1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.75" customHeight="1" x14ac:dyDescent="0.6">
      <c r="A921" s="1"/>
      <c r="B921" s="6"/>
      <c r="C921" s="1"/>
      <c r="D921" s="6"/>
      <c r="E921" s="1"/>
      <c r="F921" s="6"/>
      <c r="G921" s="1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.75" customHeight="1" x14ac:dyDescent="0.6">
      <c r="A922" s="1"/>
      <c r="B922" s="6"/>
      <c r="C922" s="1"/>
      <c r="D922" s="6"/>
      <c r="E922" s="1"/>
      <c r="F922" s="6"/>
      <c r="G922" s="1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.75" customHeight="1" x14ac:dyDescent="0.6">
      <c r="A923" s="1"/>
      <c r="B923" s="6"/>
      <c r="C923" s="1"/>
      <c r="D923" s="6"/>
      <c r="E923" s="1"/>
      <c r="F923" s="6"/>
      <c r="G923" s="1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.75" customHeight="1" x14ac:dyDescent="0.6">
      <c r="A924" s="1"/>
      <c r="B924" s="6"/>
      <c r="C924" s="1"/>
      <c r="D924" s="6"/>
      <c r="E924" s="1"/>
      <c r="F924" s="6"/>
      <c r="G924" s="1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.75" customHeight="1" x14ac:dyDescent="0.6">
      <c r="A925" s="1"/>
      <c r="B925" s="6"/>
      <c r="C925" s="1"/>
      <c r="D925" s="6"/>
      <c r="E925" s="1"/>
      <c r="F925" s="6"/>
      <c r="G925" s="1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.75" customHeight="1" x14ac:dyDescent="0.6">
      <c r="A926" s="1"/>
      <c r="B926" s="6"/>
      <c r="C926" s="1"/>
      <c r="D926" s="6"/>
      <c r="E926" s="1"/>
      <c r="F926" s="6"/>
      <c r="G926" s="1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.75" customHeight="1" x14ac:dyDescent="0.6">
      <c r="A927" s="1"/>
      <c r="B927" s="6"/>
      <c r="C927" s="1"/>
      <c r="D927" s="6"/>
      <c r="E927" s="1"/>
      <c r="F927" s="6"/>
      <c r="G927" s="1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.75" customHeight="1" x14ac:dyDescent="0.6">
      <c r="A928" s="1"/>
      <c r="B928" s="6"/>
      <c r="C928" s="1"/>
      <c r="D928" s="6"/>
      <c r="E928" s="1"/>
      <c r="F928" s="6"/>
      <c r="G928" s="1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.75" customHeight="1" x14ac:dyDescent="0.6">
      <c r="A929" s="1"/>
      <c r="B929" s="6"/>
      <c r="C929" s="1"/>
      <c r="D929" s="6"/>
      <c r="E929" s="1"/>
      <c r="F929" s="6"/>
      <c r="G929" s="1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.75" customHeight="1" x14ac:dyDescent="0.6">
      <c r="A930" s="1"/>
      <c r="B930" s="6"/>
      <c r="C930" s="1"/>
      <c r="D930" s="6"/>
      <c r="E930" s="1"/>
      <c r="F930" s="6"/>
      <c r="G930" s="1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.75" customHeight="1" x14ac:dyDescent="0.6">
      <c r="A931" s="1"/>
      <c r="B931" s="6"/>
      <c r="C931" s="1"/>
      <c r="D931" s="6"/>
      <c r="E931" s="1"/>
      <c r="F931" s="6"/>
      <c r="G931" s="1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.75" customHeight="1" x14ac:dyDescent="0.6">
      <c r="A932" s="1"/>
      <c r="B932" s="6"/>
      <c r="C932" s="1"/>
      <c r="D932" s="6"/>
      <c r="E932" s="1"/>
      <c r="F932" s="6"/>
      <c r="G932" s="1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.75" customHeight="1" x14ac:dyDescent="0.6">
      <c r="A933" s="1"/>
      <c r="B933" s="6"/>
      <c r="C933" s="1"/>
      <c r="D933" s="6"/>
      <c r="E933" s="1"/>
      <c r="F933" s="6"/>
      <c r="G933" s="1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.75" customHeight="1" x14ac:dyDescent="0.6">
      <c r="A934" s="1"/>
      <c r="B934" s="6"/>
      <c r="C934" s="1"/>
      <c r="D934" s="6"/>
      <c r="E934" s="1"/>
      <c r="F934" s="6"/>
      <c r="G934" s="1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.75" customHeight="1" x14ac:dyDescent="0.6">
      <c r="A935" s="1"/>
      <c r="B935" s="6"/>
      <c r="C935" s="1"/>
      <c r="D935" s="6"/>
      <c r="E935" s="1"/>
      <c r="F935" s="6"/>
      <c r="G935" s="1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.75" customHeight="1" x14ac:dyDescent="0.6">
      <c r="A936" s="1"/>
      <c r="B936" s="6"/>
      <c r="C936" s="1"/>
      <c r="D936" s="6"/>
      <c r="E936" s="1"/>
      <c r="F936" s="6"/>
      <c r="G936" s="1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.75" customHeight="1" x14ac:dyDescent="0.6">
      <c r="A937" s="1"/>
      <c r="B937" s="6"/>
      <c r="C937" s="1"/>
      <c r="D937" s="6"/>
      <c r="E937" s="1"/>
      <c r="F937" s="6"/>
      <c r="G937" s="1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.75" customHeight="1" x14ac:dyDescent="0.6">
      <c r="A938" s="1"/>
      <c r="B938" s="6"/>
      <c r="C938" s="1"/>
      <c r="D938" s="6"/>
      <c r="E938" s="1"/>
      <c r="F938" s="6"/>
      <c r="G938" s="1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.75" customHeight="1" x14ac:dyDescent="0.6">
      <c r="A939" s="1"/>
      <c r="B939" s="6"/>
      <c r="C939" s="1"/>
      <c r="D939" s="6"/>
      <c r="E939" s="1"/>
      <c r="F939" s="6"/>
      <c r="G939" s="1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.75" customHeight="1" x14ac:dyDescent="0.6">
      <c r="A940" s="1"/>
      <c r="B940" s="6"/>
      <c r="C940" s="1"/>
      <c r="D940" s="6"/>
      <c r="E940" s="1"/>
      <c r="F940" s="6"/>
      <c r="G940" s="1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.75" customHeight="1" x14ac:dyDescent="0.6">
      <c r="A941" s="1"/>
      <c r="B941" s="6"/>
      <c r="C941" s="1"/>
      <c r="D941" s="6"/>
      <c r="E941" s="1"/>
      <c r="F941" s="6"/>
      <c r="G941" s="1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.75" customHeight="1" x14ac:dyDescent="0.6">
      <c r="A942" s="1"/>
      <c r="B942" s="6"/>
      <c r="C942" s="1"/>
      <c r="D942" s="6"/>
      <c r="E942" s="1"/>
      <c r="F942" s="6"/>
      <c r="G942" s="1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.75" customHeight="1" x14ac:dyDescent="0.6">
      <c r="A943" s="1"/>
      <c r="B943" s="6"/>
      <c r="C943" s="1"/>
      <c r="D943" s="6"/>
      <c r="E943" s="1"/>
      <c r="F943" s="6"/>
      <c r="G943" s="1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.75" customHeight="1" x14ac:dyDescent="0.6">
      <c r="A944" s="1"/>
      <c r="B944" s="6"/>
      <c r="C944" s="1"/>
      <c r="D944" s="6"/>
      <c r="E944" s="1"/>
      <c r="F944" s="6"/>
      <c r="G944" s="1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.75" customHeight="1" x14ac:dyDescent="0.6">
      <c r="A945" s="1"/>
      <c r="B945" s="6"/>
      <c r="C945" s="1"/>
      <c r="D945" s="6"/>
      <c r="E945" s="1"/>
      <c r="F945" s="6"/>
      <c r="G945" s="1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.75" customHeight="1" x14ac:dyDescent="0.6">
      <c r="A946" s="1"/>
      <c r="B946" s="6"/>
      <c r="C946" s="1"/>
      <c r="D946" s="6"/>
      <c r="E946" s="1"/>
      <c r="F946" s="6"/>
      <c r="G946" s="1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.75" customHeight="1" x14ac:dyDescent="0.6">
      <c r="A947" s="1"/>
      <c r="B947" s="6"/>
      <c r="C947" s="1"/>
      <c r="D947" s="6"/>
      <c r="E947" s="1"/>
      <c r="F947" s="6"/>
      <c r="G947" s="1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.75" customHeight="1" x14ac:dyDescent="0.6">
      <c r="A948" s="1"/>
      <c r="B948" s="6"/>
      <c r="C948" s="1"/>
      <c r="D948" s="6"/>
      <c r="E948" s="1"/>
      <c r="F948" s="6"/>
      <c r="G948" s="1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.75" customHeight="1" x14ac:dyDescent="0.6">
      <c r="A949" s="1"/>
      <c r="B949" s="6"/>
      <c r="C949" s="1"/>
      <c r="D949" s="6"/>
      <c r="E949" s="1"/>
      <c r="F949" s="6"/>
      <c r="G949" s="1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.75" customHeight="1" x14ac:dyDescent="0.6">
      <c r="A950" s="1"/>
      <c r="B950" s="6"/>
      <c r="C950" s="1"/>
      <c r="D950" s="6"/>
      <c r="E950" s="1"/>
      <c r="F950" s="6"/>
      <c r="G950" s="1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.75" customHeight="1" x14ac:dyDescent="0.6">
      <c r="A951" s="1"/>
      <c r="B951" s="6"/>
      <c r="C951" s="1"/>
      <c r="D951" s="6"/>
      <c r="E951" s="1"/>
      <c r="F951" s="6"/>
      <c r="G951" s="1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.75" customHeight="1" x14ac:dyDescent="0.6">
      <c r="A952" s="1"/>
      <c r="B952" s="6"/>
      <c r="C952" s="1"/>
      <c r="D952" s="6"/>
      <c r="E952" s="1"/>
      <c r="F952" s="6"/>
      <c r="G952" s="1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.75" customHeight="1" x14ac:dyDescent="0.6">
      <c r="A953" s="1"/>
      <c r="B953" s="6"/>
      <c r="C953" s="1"/>
      <c r="D953" s="6"/>
      <c r="E953" s="1"/>
      <c r="F953" s="6"/>
      <c r="G953" s="1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.75" customHeight="1" x14ac:dyDescent="0.6">
      <c r="A954" s="1"/>
      <c r="B954" s="6"/>
      <c r="C954" s="1"/>
      <c r="D954" s="6"/>
      <c r="E954" s="1"/>
      <c r="F954" s="6"/>
      <c r="G954" s="1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.75" customHeight="1" x14ac:dyDescent="0.6">
      <c r="A955" s="1"/>
      <c r="B955" s="6"/>
      <c r="C955" s="1"/>
      <c r="D955" s="6"/>
      <c r="E955" s="1"/>
      <c r="F955" s="6"/>
      <c r="G955" s="1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.75" customHeight="1" x14ac:dyDescent="0.6">
      <c r="A956" s="1"/>
      <c r="B956" s="6"/>
      <c r="C956" s="1"/>
      <c r="D956" s="6"/>
      <c r="E956" s="1"/>
      <c r="F956" s="6"/>
      <c r="G956" s="1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.75" customHeight="1" x14ac:dyDescent="0.6">
      <c r="A957" s="1"/>
      <c r="B957" s="6"/>
      <c r="C957" s="1"/>
      <c r="D957" s="6"/>
      <c r="E957" s="1"/>
      <c r="F957" s="6"/>
      <c r="G957" s="1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.75" customHeight="1" x14ac:dyDescent="0.6">
      <c r="A958" s="1"/>
      <c r="B958" s="6"/>
      <c r="C958" s="1"/>
      <c r="D958" s="6"/>
      <c r="E958" s="1"/>
      <c r="F958" s="6"/>
      <c r="G958" s="1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.75" customHeight="1" x14ac:dyDescent="0.6">
      <c r="A959" s="1"/>
      <c r="B959" s="6"/>
      <c r="C959" s="1"/>
      <c r="D959" s="6"/>
      <c r="E959" s="1"/>
      <c r="F959" s="6"/>
      <c r="G959" s="1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.75" customHeight="1" x14ac:dyDescent="0.6">
      <c r="A960" s="1"/>
      <c r="B960" s="6"/>
      <c r="C960" s="1"/>
      <c r="D960" s="6"/>
      <c r="E960" s="1"/>
      <c r="F960" s="6"/>
      <c r="G960" s="1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.75" customHeight="1" x14ac:dyDescent="0.6">
      <c r="A961" s="1"/>
      <c r="B961" s="6"/>
      <c r="C961" s="1"/>
      <c r="D961" s="6"/>
      <c r="E961" s="1"/>
      <c r="F961" s="6"/>
      <c r="G961" s="1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.75" customHeight="1" x14ac:dyDescent="0.6">
      <c r="A962" s="1"/>
      <c r="B962" s="6"/>
      <c r="C962" s="1"/>
      <c r="D962" s="6"/>
      <c r="E962" s="1"/>
      <c r="F962" s="6"/>
      <c r="G962" s="1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.75" customHeight="1" x14ac:dyDescent="0.6">
      <c r="A963" s="1"/>
      <c r="B963" s="6"/>
      <c r="C963" s="1"/>
      <c r="D963" s="6"/>
      <c r="E963" s="1"/>
      <c r="F963" s="6"/>
      <c r="G963" s="1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.75" customHeight="1" x14ac:dyDescent="0.6">
      <c r="A964" s="1"/>
      <c r="B964" s="6"/>
      <c r="C964" s="1"/>
      <c r="D964" s="6"/>
      <c r="E964" s="1"/>
      <c r="F964" s="6"/>
      <c r="G964" s="1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.75" customHeight="1" x14ac:dyDescent="0.6">
      <c r="A965" s="1"/>
      <c r="B965" s="6"/>
      <c r="C965" s="1"/>
      <c r="D965" s="6"/>
      <c r="E965" s="1"/>
      <c r="F965" s="6"/>
      <c r="G965" s="1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.75" customHeight="1" x14ac:dyDescent="0.6">
      <c r="A966" s="1"/>
      <c r="B966" s="6"/>
      <c r="C966" s="1"/>
      <c r="D966" s="6"/>
      <c r="E966" s="1"/>
      <c r="F966" s="6"/>
      <c r="G966" s="1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.75" customHeight="1" x14ac:dyDescent="0.6">
      <c r="A967" s="1"/>
      <c r="B967" s="6"/>
      <c r="C967" s="1"/>
      <c r="D967" s="6"/>
      <c r="E967" s="1"/>
      <c r="F967" s="6"/>
      <c r="G967" s="1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.75" customHeight="1" x14ac:dyDescent="0.6">
      <c r="A968" s="1"/>
      <c r="B968" s="6"/>
      <c r="C968" s="1"/>
      <c r="D968" s="6"/>
      <c r="E968" s="1"/>
      <c r="F968" s="6"/>
      <c r="G968" s="1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.75" customHeight="1" x14ac:dyDescent="0.6">
      <c r="A969" s="1"/>
      <c r="B969" s="6"/>
      <c r="C969" s="1"/>
      <c r="D969" s="6"/>
      <c r="E969" s="1"/>
      <c r="F969" s="6"/>
      <c r="G969" s="1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.75" customHeight="1" x14ac:dyDescent="0.6">
      <c r="A970" s="1"/>
      <c r="B970" s="6"/>
      <c r="C970" s="1"/>
      <c r="D970" s="6"/>
      <c r="E970" s="1"/>
      <c r="F970" s="6"/>
      <c r="G970" s="1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.75" customHeight="1" x14ac:dyDescent="0.6">
      <c r="A971" s="1"/>
      <c r="B971" s="6"/>
      <c r="C971" s="1"/>
      <c r="D971" s="6"/>
      <c r="E971" s="1"/>
      <c r="F971" s="6"/>
      <c r="G971" s="1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.75" customHeight="1" x14ac:dyDescent="0.6">
      <c r="A972" s="1"/>
      <c r="B972" s="6"/>
      <c r="C972" s="1"/>
      <c r="D972" s="6"/>
      <c r="E972" s="1"/>
      <c r="F972" s="6"/>
      <c r="G972" s="1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.75" customHeight="1" x14ac:dyDescent="0.6">
      <c r="A973" s="1"/>
      <c r="B973" s="6"/>
      <c r="C973" s="1"/>
      <c r="D973" s="6"/>
      <c r="E973" s="1"/>
      <c r="F973" s="6"/>
      <c r="G973" s="1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.75" customHeight="1" x14ac:dyDescent="0.6">
      <c r="A974" s="1"/>
      <c r="B974" s="6"/>
      <c r="C974" s="1"/>
      <c r="D974" s="6"/>
      <c r="E974" s="1"/>
      <c r="F974" s="6"/>
      <c r="G974" s="1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.75" customHeight="1" x14ac:dyDescent="0.6">
      <c r="A975" s="1"/>
      <c r="B975" s="6"/>
      <c r="C975" s="1"/>
      <c r="D975" s="6"/>
      <c r="E975" s="1"/>
      <c r="F975" s="6"/>
      <c r="G975" s="1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.75" customHeight="1" x14ac:dyDescent="0.6">
      <c r="A976" s="1"/>
      <c r="B976" s="6"/>
      <c r="C976" s="1"/>
      <c r="D976" s="6"/>
      <c r="E976" s="1"/>
      <c r="F976" s="6"/>
      <c r="G976" s="1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.75" customHeight="1" x14ac:dyDescent="0.6">
      <c r="A977" s="1"/>
      <c r="B977" s="6"/>
      <c r="C977" s="1"/>
      <c r="D977" s="6"/>
      <c r="E977" s="1"/>
      <c r="F977" s="6"/>
      <c r="G977" s="1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.75" customHeight="1" x14ac:dyDescent="0.6">
      <c r="A978" s="1"/>
      <c r="B978" s="6"/>
      <c r="C978" s="1"/>
      <c r="D978" s="6"/>
      <c r="E978" s="1"/>
      <c r="F978" s="6"/>
      <c r="G978" s="1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.75" customHeight="1" x14ac:dyDescent="0.6">
      <c r="A979" s="1"/>
      <c r="B979" s="6"/>
      <c r="C979" s="1"/>
      <c r="D979" s="6"/>
      <c r="E979" s="1"/>
      <c r="F979" s="6"/>
      <c r="G979" s="1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.75" customHeight="1" x14ac:dyDescent="0.6">
      <c r="A980" s="1"/>
      <c r="B980" s="6"/>
      <c r="C980" s="1"/>
      <c r="D980" s="6"/>
      <c r="E980" s="1"/>
      <c r="F980" s="6"/>
      <c r="G980" s="1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.75" customHeight="1" x14ac:dyDescent="0.6">
      <c r="A981" s="1"/>
      <c r="B981" s="6"/>
      <c r="C981" s="1"/>
      <c r="D981" s="6"/>
      <c r="E981" s="1"/>
      <c r="F981" s="6"/>
      <c r="G981" s="1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.75" customHeight="1" x14ac:dyDescent="0.6">
      <c r="A982" s="1"/>
      <c r="B982" s="6"/>
      <c r="C982" s="1"/>
      <c r="D982" s="6"/>
      <c r="E982" s="1"/>
      <c r="F982" s="6"/>
      <c r="G982" s="1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.75" customHeight="1" x14ac:dyDescent="0.6">
      <c r="A983" s="1"/>
      <c r="B983" s="6"/>
      <c r="C983" s="1"/>
      <c r="D983" s="6"/>
      <c r="E983" s="1"/>
      <c r="F983" s="6"/>
      <c r="G983" s="1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.75" customHeight="1" x14ac:dyDescent="0.6">
      <c r="A984" s="1"/>
      <c r="B984" s="6"/>
      <c r="C984" s="1"/>
      <c r="D984" s="6"/>
      <c r="E984" s="1"/>
      <c r="F984" s="6"/>
      <c r="G984" s="1"/>
      <c r="H984" s="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.75" customHeight="1" x14ac:dyDescent="0.6">
      <c r="A985" s="1"/>
      <c r="B985" s="6"/>
      <c r="C985" s="1"/>
      <c r="D985" s="6"/>
      <c r="E985" s="1"/>
      <c r="F985" s="6"/>
      <c r="G985" s="1"/>
      <c r="H985" s="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.75" customHeight="1" x14ac:dyDescent="0.6">
      <c r="A986" s="1"/>
      <c r="B986" s="6"/>
      <c r="C986" s="1"/>
      <c r="D986" s="6"/>
      <c r="E986" s="1"/>
      <c r="F986" s="6"/>
      <c r="G986" s="1"/>
      <c r="H986" s="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.75" customHeight="1" x14ac:dyDescent="0.6">
      <c r="A987" s="1"/>
      <c r="B987" s="6"/>
      <c r="C987" s="1"/>
      <c r="D987" s="6"/>
      <c r="E987" s="1"/>
      <c r="F987" s="6"/>
      <c r="G987" s="1"/>
      <c r="H987" s="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.75" customHeight="1" x14ac:dyDescent="0.6">
      <c r="A988" s="1"/>
      <c r="B988" s="6"/>
      <c r="C988" s="1"/>
      <c r="D988" s="6"/>
      <c r="E988" s="1"/>
      <c r="F988" s="6"/>
      <c r="G988" s="1"/>
      <c r="H988" s="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.75" customHeight="1" x14ac:dyDescent="0.6">
      <c r="A989" s="1"/>
      <c r="B989" s="6"/>
      <c r="C989" s="1"/>
      <c r="D989" s="6"/>
      <c r="E989" s="1"/>
      <c r="F989" s="6"/>
      <c r="G989" s="1"/>
      <c r="H989" s="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.75" customHeight="1" x14ac:dyDescent="0.6">
      <c r="A990" s="1"/>
      <c r="B990" s="6"/>
      <c r="C990" s="1"/>
      <c r="D990" s="6"/>
      <c r="E990" s="1"/>
      <c r="F990" s="6"/>
      <c r="G990" s="1"/>
      <c r="H990" s="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.75" customHeight="1" x14ac:dyDescent="0.6">
      <c r="A991" s="1"/>
      <c r="B991" s="6"/>
      <c r="C991" s="1"/>
      <c r="D991" s="6"/>
      <c r="E991" s="1"/>
      <c r="F991" s="6"/>
      <c r="G991" s="1"/>
      <c r="H991" s="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.75" customHeight="1" x14ac:dyDescent="0.6">
      <c r="A992" s="1"/>
      <c r="B992" s="6"/>
      <c r="C992" s="1"/>
      <c r="D992" s="6"/>
      <c r="E992" s="1"/>
      <c r="F992" s="6"/>
      <c r="G992" s="1"/>
      <c r="H992" s="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.75" customHeight="1" x14ac:dyDescent="0.6">
      <c r="A993" s="1"/>
      <c r="B993" s="6"/>
      <c r="C993" s="1"/>
      <c r="D993" s="6"/>
      <c r="E993" s="1"/>
      <c r="F993" s="6"/>
      <c r="G993" s="1"/>
      <c r="H993" s="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.75" customHeight="1" x14ac:dyDescent="0.6">
      <c r="A994" s="1"/>
      <c r="B994" s="6"/>
      <c r="C994" s="1"/>
      <c r="D994" s="6"/>
      <c r="E994" s="1"/>
      <c r="F994" s="6"/>
      <c r="G994" s="1"/>
      <c r="H994" s="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.75" customHeight="1" x14ac:dyDescent="0.6">
      <c r="A995" s="1"/>
      <c r="B995" s="6"/>
      <c r="C995" s="1"/>
      <c r="D995" s="6"/>
      <c r="E995" s="1"/>
      <c r="F995" s="6"/>
      <c r="G995" s="1"/>
      <c r="H995" s="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.75" customHeight="1" x14ac:dyDescent="0.6">
      <c r="A996" s="1"/>
      <c r="B996" s="6"/>
      <c r="C996" s="1"/>
      <c r="D996" s="6"/>
      <c r="E996" s="1"/>
      <c r="F996" s="6"/>
      <c r="G996" s="1"/>
      <c r="H996" s="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.75" customHeight="1" x14ac:dyDescent="0.6">
      <c r="A997" s="1"/>
      <c r="B997" s="6"/>
      <c r="C997" s="1"/>
      <c r="D997" s="6"/>
      <c r="E997" s="1"/>
      <c r="F997" s="6"/>
      <c r="G997" s="1"/>
      <c r="H997" s="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.75" customHeight="1" x14ac:dyDescent="0.6">
      <c r="A998" s="1"/>
      <c r="B998" s="6"/>
      <c r="C998" s="1"/>
      <c r="D998" s="6"/>
      <c r="E998" s="1"/>
      <c r="F998" s="6"/>
      <c r="G998" s="1"/>
      <c r="H998" s="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.75" customHeight="1" x14ac:dyDescent="0.6">
      <c r="A999" s="1"/>
      <c r="B999" s="6"/>
      <c r="C999" s="1"/>
      <c r="D999" s="6"/>
      <c r="E999" s="1"/>
      <c r="F999" s="6"/>
      <c r="G999" s="1"/>
      <c r="H999" s="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.75" customHeight="1" x14ac:dyDescent="0.6">
      <c r="A1000" s="1"/>
      <c r="B1000" s="6"/>
      <c r="C1000" s="1"/>
      <c r="D1000" s="6"/>
      <c r="E1000" s="1"/>
      <c r="F1000" s="6"/>
      <c r="G1000" s="1"/>
      <c r="H1000" s="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.75" customHeight="1" x14ac:dyDescent="0.6">
      <c r="A1001" s="1"/>
      <c r="B1001" s="6"/>
      <c r="C1001" s="1"/>
      <c r="D1001" s="6"/>
      <c r="E1001" s="1"/>
      <c r="F1001" s="6"/>
      <c r="G1001" s="1"/>
      <c r="H1001" s="6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.75" customHeight="1" x14ac:dyDescent="0.6">
      <c r="A1002" s="1"/>
      <c r="B1002" s="6"/>
      <c r="C1002" s="1"/>
      <c r="D1002" s="6"/>
      <c r="E1002" s="1"/>
      <c r="F1002" s="6"/>
      <c r="G1002" s="1"/>
      <c r="H1002" s="6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.75" customHeight="1" x14ac:dyDescent="0.6">
      <c r="A1003" s="1"/>
      <c r="B1003" s="6"/>
      <c r="C1003" s="1"/>
      <c r="D1003" s="6"/>
      <c r="E1003" s="1"/>
      <c r="F1003" s="6"/>
      <c r="G1003" s="1"/>
      <c r="H1003" s="6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1.75" customHeight="1" x14ac:dyDescent="0.6">
      <c r="A1004" s="1"/>
      <c r="B1004" s="6"/>
      <c r="C1004" s="1"/>
      <c r="D1004" s="6"/>
      <c r="E1004" s="1"/>
      <c r="F1004" s="6"/>
      <c r="G1004" s="1"/>
      <c r="H1004" s="6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5">
    <mergeCell ref="A1:A2"/>
    <mergeCell ref="B1:C1"/>
    <mergeCell ref="D1:E1"/>
    <mergeCell ref="F1:G1"/>
    <mergeCell ref="H1:I1"/>
  </mergeCells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5D0A-E066-412E-BF19-3A1398E8119D}">
  <dimension ref="A1:W1000"/>
  <sheetViews>
    <sheetView showGridLines="0" tabSelected="1" zoomScale="85" zoomScaleNormal="85" workbookViewId="0">
      <selection activeCell="B2" sqref="B2"/>
    </sheetView>
  </sheetViews>
  <sheetFormatPr defaultColWidth="14.42578125" defaultRowHeight="15" customHeight="1" x14ac:dyDescent="0.25"/>
  <cols>
    <col min="1" max="1" width="62.28515625" customWidth="1"/>
    <col min="2" max="2" width="22.28515625" customWidth="1"/>
    <col min="3" max="3" width="18.7109375" customWidth="1"/>
    <col min="4" max="4" width="24.140625" style="53" customWidth="1"/>
    <col min="5" max="5" width="4.28515625" style="155" customWidth="1"/>
    <col min="6" max="6" width="9.140625" style="156" customWidth="1"/>
    <col min="7" max="7" width="11.7109375" customWidth="1"/>
    <col min="8" max="10" width="9.140625" customWidth="1"/>
    <col min="11" max="11" width="10.85546875" customWidth="1"/>
    <col min="12" max="23" width="9.140625" customWidth="1"/>
  </cols>
  <sheetData>
    <row r="1" spans="1:23" s="153" customFormat="1" ht="22.15" customHeight="1" x14ac:dyDescent="0.25">
      <c r="A1" s="202" t="s">
        <v>0</v>
      </c>
      <c r="B1" s="204" t="s">
        <v>162</v>
      </c>
      <c r="C1" s="205"/>
      <c r="D1" s="71" t="s">
        <v>1</v>
      </c>
      <c r="E1" s="154"/>
      <c r="F1" s="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s="153" customFormat="1" ht="19.5" customHeight="1" x14ac:dyDescent="0.25">
      <c r="A2" s="203"/>
      <c r="B2" s="65" t="s">
        <v>2</v>
      </c>
      <c r="C2" s="62" t="s">
        <v>3</v>
      </c>
      <c r="D2" s="72" t="s">
        <v>3</v>
      </c>
      <c r="E2" s="154"/>
      <c r="F2" s="9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9.5" customHeight="1" x14ac:dyDescent="0.6">
      <c r="A3" s="67" t="str">
        <f>ORÇAMENTO_EXECUTIVO!A3</f>
        <v>MOVIMENTAÇÃO DE TERRA</v>
      </c>
      <c r="B3" s="95">
        <f>ORÇAMENTO_EXECUTIVO!B3</f>
        <v>1400464.8625340608</v>
      </c>
      <c r="C3" s="68">
        <f>ORÇAMENTO_EXECUTIVO!D3</f>
        <v>80.001146066396089</v>
      </c>
      <c r="D3" s="69" t="str">
        <f>FIXED(CÁLCULO_MÉDIAS!AD10,2,FALSE)&amp;" "&amp;"-"&amp;FIXED(CÁLCULO_MÉDIAS!AE10,2,FALSE)</f>
        <v>80,00 -110,00</v>
      </c>
      <c r="E3" s="222"/>
      <c r="F3" s="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9.5" customHeight="1" x14ac:dyDescent="0.25">
      <c r="A4" s="35" t="s">
        <v>81</v>
      </c>
      <c r="B4" s="96">
        <f>ORÇAMENTO_EXECUTIVO!B4+ORÇAMENTO_EXECUTIVO!B5</f>
        <v>5478291.13899046</v>
      </c>
      <c r="C4" s="20">
        <f>ORÇAMENTO_EXECUTIVO!D4+ORÇAMENTO_EXECUTIVO!D5</f>
        <v>312.94578059716224</v>
      </c>
      <c r="D4" s="36" t="str">
        <f>FIXED(CÁLCULO_MÉDIAS!AD11,2,FALSE)&amp;" "&amp;"-"&amp;FIXED(CÁLCULO_MÉDIAS!AE11,2,FALSE)</f>
        <v>310,00 -380,00</v>
      </c>
      <c r="E4" s="222"/>
      <c r="F4" s="9"/>
      <c r="G4" s="4"/>
      <c r="H4" s="5"/>
      <c r="I4" s="3"/>
      <c r="J4" s="4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9.5" customHeight="1" x14ac:dyDescent="0.25">
      <c r="A5" s="34" t="str">
        <f>ORÇAMENTO_EXECUTIVO!A6</f>
        <v>SUPRAESTRUTURA</v>
      </c>
      <c r="B5" s="97">
        <f>ORÇAMENTO_EXECUTIVO!B6</f>
        <v>11888495.22749904</v>
      </c>
      <c r="C5" s="19">
        <f>ORÇAMENTO_EXECUTIVO!D6</f>
        <v>679.12681613721804</v>
      </c>
      <c r="D5" s="69" t="str">
        <f>FIXED(CÁLCULO_MÉDIAS!AD12,2,FALSE)&amp;" "&amp;"-"&amp;FIXED(CÁLCULO_MÉDIAS!AE12,2,FALSE)</f>
        <v>693,00 -858,00</v>
      </c>
      <c r="E5" s="222"/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9.5" customHeight="1" x14ac:dyDescent="0.25">
      <c r="A6" s="35" t="str">
        <f>ORÇAMENTO_EXECUTIVO!A7</f>
        <v>ALVENARIA</v>
      </c>
      <c r="B6" s="96">
        <f>ORÇAMENTO_EXECUTIVO!B7</f>
        <v>2669932.4038596</v>
      </c>
      <c r="C6" s="20">
        <f>ORÇAMENTO_EXECUTIVO!D7</f>
        <v>152.51910843523999</v>
      </c>
      <c r="D6" s="36" t="str">
        <f>FIXED(CÁLCULO_MÉDIAS!AD13,2,FALSE)&amp;" "&amp;"-"&amp;FIXED(CÁLCULO_MÉDIAS!AE13,2,FALSE)</f>
        <v>143,00 -198,00</v>
      </c>
      <c r="E6" s="222"/>
      <c r="F6" s="9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9.5" customHeight="1" x14ac:dyDescent="0.25">
      <c r="A7" s="34" t="str">
        <f>ORÇAMENTO_EXECUTIVO!A8</f>
        <v>INSTALAÇÕES ELÉTRICAS, HIDRÁULICAS, GLP E PREVENTIVAS</v>
      </c>
      <c r="B7" s="97">
        <f>ORÇAMENTO_EXECUTIVO!B8</f>
        <v>6824216.4661030415</v>
      </c>
      <c r="C7" s="19">
        <f>ORÇAMENTO_EXECUTIVO!D8</f>
        <v>389.8313716386703</v>
      </c>
      <c r="D7" s="69" t="str">
        <f>FIXED(CÁLCULO_MÉDIAS!AD14,2,FALSE)&amp;" "&amp;"-"&amp;FIXED(CÁLCULO_MÉDIAS!AE14,2,FALSE)</f>
        <v>352,00 -473,00</v>
      </c>
      <c r="E7" s="222"/>
      <c r="F7" s="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9.5" customHeight="1" x14ac:dyDescent="0.25">
      <c r="A8" s="35" t="str">
        <f>ORÇAMENTO_EXECUTIVO!A9</f>
        <v>EQUIPAMENTOS E SISTEMAS ESPECIAIS</v>
      </c>
      <c r="B8" s="96">
        <f>ORÇAMENTO_EXECUTIVO!B9</f>
        <v>3389279.8719215216</v>
      </c>
      <c r="C8" s="20">
        <f>ORÇAMENTO_EXECUTIVO!D9</f>
        <v>193.61162236006854</v>
      </c>
      <c r="D8" s="36" t="str">
        <f>FIXED(CÁLCULO_MÉDIAS!AD15,2,FALSE)&amp;" "&amp;"-"&amp;FIXED(CÁLCULO_MÉDIAS!AE15,2,FALSE)</f>
        <v>154,00 -264,00</v>
      </c>
      <c r="E8" s="222"/>
      <c r="F8" s="9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9.5" customHeight="1" x14ac:dyDescent="0.25">
      <c r="A9" s="34" t="str">
        <f>ORÇAMENTO_EXECUTIVO!A10</f>
        <v>IMPERMEABILIZAÇÃO</v>
      </c>
      <c r="B9" s="97">
        <f>ORÇAMENTO_EXECUTIVO!B10</f>
        <v>963633.78227384016</v>
      </c>
      <c r="C9" s="19">
        <f>ORÇAMENTO_EXECUTIVO!D10</f>
        <v>55.047298245462592</v>
      </c>
      <c r="D9" s="69" t="str">
        <f>FIXED(CÁLCULO_MÉDIAS!AD16,2,FALSE)&amp;" "&amp;"-"&amp;FIXED(CÁLCULO_MÉDIAS!AE16,2,FALSE)</f>
        <v>33,00 -72,00</v>
      </c>
      <c r="E9" s="222"/>
      <c r="F9" s="9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9.5" customHeight="1" x14ac:dyDescent="0.25">
      <c r="A10" s="35" t="str">
        <f>ORÇAMENTO_EXECUTIVO!A11</f>
        <v>REVESTIMENTOS INTERNOS EM PISO E PAREDE</v>
      </c>
      <c r="B10" s="96">
        <f>ORÇAMENTO_EXECUTIVO!B11</f>
        <v>3955585.0851409007</v>
      </c>
      <c r="C10" s="20">
        <f>ORÇAMENTO_EXECUTIVO!D11</f>
        <v>225.96164219487412</v>
      </c>
      <c r="D10" s="36" t="str">
        <f>FIXED(CÁLCULO_MÉDIAS!AD17,2,FALSE)&amp;" "&amp;"-"&amp;FIXED(CÁLCULO_MÉDIAS!AE17,2,FALSE)</f>
        <v>187,00 -242,00</v>
      </c>
      <c r="E10" s="222"/>
      <c r="F10" s="9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9.5" customHeight="1" x14ac:dyDescent="0.25">
      <c r="A11" s="34" t="str">
        <f>ORÇAMENTO_EXECUTIVO!A12</f>
        <v>REVESTIMENTOS E ACABAMENTOS INTERNOS EM TETO</v>
      </c>
      <c r="B11" s="97">
        <f>ORÇAMENTO_EXECUTIVO!B12</f>
        <v>1140245.0577967202</v>
      </c>
      <c r="C11" s="19">
        <f>ORÇAMENTO_EXECUTIVO!D12</f>
        <v>65.136165755149804</v>
      </c>
      <c r="D11" s="69" t="str">
        <f>FIXED(CÁLCULO_MÉDIAS!AD18,2,FALSE)&amp;" "&amp;"-"&amp;FIXED(CÁLCULO_MÉDIAS!AE18,2,FALSE)</f>
        <v>50,00 -80,00</v>
      </c>
      <c r="E11" s="222"/>
      <c r="F11" s="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9.5" customHeight="1" x14ac:dyDescent="0.25">
      <c r="A12" s="35" t="str">
        <f>ORÇAMENTO_EXECUTIVO!A13</f>
        <v>ACABAMENTOS EM PISO E PAREDE</v>
      </c>
      <c r="B12" s="96">
        <f>ORÇAMENTO_EXECUTIVO!B13</f>
        <v>4304402.0710772807</v>
      </c>
      <c r="C12" s="20">
        <f>ORÇAMENTO_EXECUTIVO!D13</f>
        <v>245.88771059464995</v>
      </c>
      <c r="D12" s="36" t="str">
        <f>FIXED(CÁLCULO_MÉDIAS!AD19,2,FALSE)&amp;" "&amp;"-"&amp;FIXED(CÁLCULO_MÉDIAS!AE19,2,FALSE)</f>
        <v>185,00 -255,00</v>
      </c>
      <c r="E12" s="222"/>
      <c r="F12" s="9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9.5" customHeight="1" x14ac:dyDescent="0.25">
      <c r="A13" s="34" t="str">
        <f>ORÇAMENTO_EXECUTIVO!A14</f>
        <v>PINTURA INTERNA</v>
      </c>
      <c r="B13" s="97">
        <f>ORÇAMENTO_EXECUTIVO!B14</f>
        <v>2594671.0421358002</v>
      </c>
      <c r="C13" s="19">
        <f>ORÇAMENTO_EXECUTIVO!D14</f>
        <v>148.21982513760199</v>
      </c>
      <c r="D13" s="69" t="str">
        <f>FIXED(CÁLCULO_MÉDIAS!AD20,2,FALSE)&amp;" "&amp;"-"&amp;FIXED(CÁLCULO_MÉDIAS!AE20,2,FALSE)</f>
        <v>110,00 -150,00</v>
      </c>
      <c r="E13" s="222"/>
      <c r="F13" s="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9.5" customHeight="1" x14ac:dyDescent="0.25">
      <c r="A14" s="35" t="str">
        <f>ORÇAMENTO_EXECUTIVO!A15</f>
        <v>ESQUADRIAS, VIDROS E FERRAGENS</v>
      </c>
      <c r="B14" s="96">
        <f>ORÇAMENTO_EXECUTIVO!B15</f>
        <v>5911420.3508506799</v>
      </c>
      <c r="C14" s="20">
        <f>ORÇAMENTO_EXECUTIVO!D15</f>
        <v>337.68816026740529</v>
      </c>
      <c r="D14" s="36" t="str">
        <f>FIXED(CÁLCULO_MÉDIAS!AD21,2,FALSE)&amp;" "&amp;"-"&amp;FIXED(CÁLCULO_MÉDIAS!AE21,2,FALSE)</f>
        <v>286,00 -418,00</v>
      </c>
      <c r="E14" s="222"/>
      <c r="F14" s="9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9.5" customHeight="1" x14ac:dyDescent="0.25">
      <c r="A15" s="34" t="str">
        <f>ORÇAMENTO_EXECUTIVO!A16</f>
        <v>REVESTIMENTOS E ACABAMENTOS DE FACHADA</v>
      </c>
      <c r="B15" s="97">
        <f>ORÇAMENTO_EXECUTIVO!B16</f>
        <v>2143436.7271750201</v>
      </c>
      <c r="C15" s="19">
        <f>ORÇAMENTO_EXECUTIVO!D16</f>
        <v>122.44319674292167</v>
      </c>
      <c r="D15" s="69" t="str">
        <f>FIXED(CÁLCULO_MÉDIAS!AD23,2,FALSE)&amp;" "&amp;"-"&amp;FIXED(CÁLCULO_MÉDIAS!AE23,2,FALSE)</f>
        <v>110,00 -176,00</v>
      </c>
      <c r="E15" s="222"/>
      <c r="F15" s="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9.5" customHeight="1" x14ac:dyDescent="0.25">
      <c r="A16" s="35" t="str">
        <f>ORÇAMENTO_EXECUTIVO!A17</f>
        <v>SERVIÇOS COMPLEMENTARES</v>
      </c>
      <c r="B16" s="96">
        <f>ORÇAMENTO_EXECUTIVO!B17</f>
        <v>2620073.8056657603</v>
      </c>
      <c r="C16" s="20">
        <f>ORÇAMENTO_EXECUTIVO!D17</f>
        <v>149.67095058174431</v>
      </c>
      <c r="D16" s="36" t="str">
        <f>FIXED(CÁLCULO_MÉDIAS!AD24,2,FALSE)&amp;" "&amp;"-"&amp;FIXED(CÁLCULO_MÉDIAS!AE24,2,FALSE)</f>
        <v>110,00 -242,00</v>
      </c>
      <c r="E16" s="222"/>
      <c r="F16" s="9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153" customFormat="1" ht="19.5" customHeight="1" thickBot="1" x14ac:dyDescent="0.3">
      <c r="A17" s="149" t="s">
        <v>15</v>
      </c>
      <c r="B17" s="150">
        <f t="shared" ref="B17:C17" si="0">SUM(B3:B16)</f>
        <v>55284147.893023714</v>
      </c>
      <c r="C17" s="151">
        <f t="shared" si="0"/>
        <v>3158.0907947545652</v>
      </c>
      <c r="D17" s="152" t="str">
        <f>FIXED(CÁLCULO_MÉDIAS!AD25,2,FALSE)&amp;" "&amp;"-"&amp;FIXED(CÁLCULO_MÉDIAS!AE25,2,FALSE)</f>
        <v>2.816,00 -3.940,00</v>
      </c>
      <c r="E17" s="154"/>
      <c r="F17" s="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21.75" customHeight="1" x14ac:dyDescent="0.6">
      <c r="A18" s="1"/>
      <c r="B18" s="6"/>
      <c r="C18" s="1"/>
      <c r="D18" s="57"/>
      <c r="E18" s="154"/>
      <c r="F18" s="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1.75" customHeight="1" x14ac:dyDescent="0.6">
      <c r="A19" s="1"/>
      <c r="B19" s="6"/>
      <c r="C19" s="1"/>
      <c r="D19" s="57"/>
      <c r="E19" s="154"/>
      <c r="F19" s="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1.75" customHeight="1" x14ac:dyDescent="0.6">
      <c r="A20" s="1"/>
      <c r="B20" s="6"/>
      <c r="C20" s="1"/>
      <c r="D20" s="57"/>
      <c r="E20" s="154"/>
      <c r="F20" s="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1.75" hidden="1" customHeight="1" x14ac:dyDescent="0.6">
      <c r="A21" s="1"/>
      <c r="B21" s="6">
        <v>2007.57</v>
      </c>
      <c r="C21" s="1"/>
      <c r="D21" s="57"/>
      <c r="E21" s="154"/>
      <c r="F21" s="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1.75" hidden="1" customHeight="1" x14ac:dyDescent="0.6">
      <c r="A22" s="1"/>
      <c r="B22" s="6">
        <v>2461.35</v>
      </c>
      <c r="C22" s="1"/>
      <c r="D22" s="57"/>
      <c r="E22" s="154"/>
      <c r="F22" s="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1.75" hidden="1" customHeight="1" x14ac:dyDescent="0.6">
      <c r="A23" s="1"/>
      <c r="B23" s="6">
        <f>B22/B21</f>
        <v>1.2260344595705255</v>
      </c>
      <c r="C23" s="1"/>
      <c r="D23" s="57"/>
      <c r="E23" s="154"/>
      <c r="F23" s="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1.75" hidden="1" customHeight="1" x14ac:dyDescent="0.6">
      <c r="A24" s="1"/>
      <c r="B24" s="6"/>
      <c r="C24" s="1"/>
      <c r="D24" s="57"/>
      <c r="E24" s="154"/>
      <c r="F24" s="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1.75" hidden="1" customHeight="1" x14ac:dyDescent="0.6">
      <c r="A25" s="1"/>
      <c r="B25" s="6"/>
      <c r="C25" s="1"/>
      <c r="D25" s="57"/>
      <c r="E25" s="154"/>
      <c r="F25" s="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1.75" hidden="1" customHeight="1" x14ac:dyDescent="0.6">
      <c r="A26" s="1"/>
      <c r="B26" s="6"/>
      <c r="C26" s="1">
        <v>1.1023000000000001</v>
      </c>
      <c r="D26" s="57"/>
      <c r="E26" s="154"/>
      <c r="F26" s="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1.75" hidden="1" customHeight="1" x14ac:dyDescent="0.6">
      <c r="A27" s="1"/>
      <c r="B27" s="6"/>
      <c r="C27" s="1"/>
      <c r="D27" s="57"/>
      <c r="E27" s="154"/>
      <c r="F27" s="9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1.75" hidden="1" customHeight="1" x14ac:dyDescent="0.6">
      <c r="A28" s="7" t="s">
        <v>16</v>
      </c>
      <c r="B28" s="6">
        <v>900</v>
      </c>
      <c r="C28" s="6"/>
      <c r="D28" s="58"/>
      <c r="E28" s="154"/>
      <c r="F28" s="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1.75" hidden="1" customHeight="1" x14ac:dyDescent="0.6">
      <c r="A29" s="8" t="s">
        <v>17</v>
      </c>
      <c r="B29" s="6">
        <v>25</v>
      </c>
      <c r="C29" s="6"/>
      <c r="D29" s="58"/>
      <c r="E29" s="154"/>
      <c r="F29" s="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1.75" hidden="1" customHeight="1" x14ac:dyDescent="0.6">
      <c r="A30" s="7" t="s">
        <v>18</v>
      </c>
      <c r="B30" s="6">
        <v>15</v>
      </c>
      <c r="C30" s="6"/>
      <c r="D30" s="58"/>
      <c r="E30" s="154"/>
      <c r="F30" s="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1.75" hidden="1" customHeight="1" x14ac:dyDescent="0.6">
      <c r="A31" s="8" t="s">
        <v>19</v>
      </c>
      <c r="B31" s="6">
        <v>150</v>
      </c>
      <c r="C31" s="6"/>
      <c r="D31" s="58"/>
      <c r="E31" s="154"/>
      <c r="F31" s="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1.75" hidden="1" customHeight="1" x14ac:dyDescent="0.6">
      <c r="A32" s="7" t="s">
        <v>20</v>
      </c>
      <c r="B32" s="6">
        <v>440</v>
      </c>
      <c r="C32" s="6"/>
      <c r="D32" s="58"/>
      <c r="E32" s="154"/>
      <c r="F32" s="9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1.75" hidden="1" customHeight="1" x14ac:dyDescent="0.6">
      <c r="A33" s="8" t="s">
        <v>21</v>
      </c>
      <c r="B33" s="6"/>
      <c r="C33" s="6"/>
      <c r="D33" s="58"/>
      <c r="E33" s="154"/>
      <c r="F33" s="9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1.75" hidden="1" customHeight="1" x14ac:dyDescent="0.6">
      <c r="A34" s="7" t="s">
        <v>22</v>
      </c>
      <c r="B34" s="6">
        <v>55</v>
      </c>
      <c r="C34" s="6"/>
      <c r="D34" s="58"/>
      <c r="E34" s="154"/>
      <c r="F34" s="9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1.75" hidden="1" customHeight="1" x14ac:dyDescent="0.6">
      <c r="A35" s="8" t="s">
        <v>23</v>
      </c>
      <c r="B35" s="6">
        <v>170</v>
      </c>
      <c r="C35" s="6"/>
      <c r="D35" s="58"/>
      <c r="E35" s="154"/>
      <c r="F35" s="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1.75" hidden="1" customHeight="1" x14ac:dyDescent="0.6">
      <c r="A36" s="7" t="s">
        <v>24</v>
      </c>
      <c r="B36" s="6">
        <v>165</v>
      </c>
      <c r="C36" s="6"/>
      <c r="D36" s="58"/>
      <c r="E36" s="154"/>
      <c r="F36" s="9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1.75" hidden="1" customHeight="1" x14ac:dyDescent="0.6">
      <c r="A37" s="8" t="s">
        <v>25</v>
      </c>
      <c r="B37" s="6">
        <v>40</v>
      </c>
      <c r="C37" s="6"/>
      <c r="D37" s="58"/>
      <c r="E37" s="154"/>
      <c r="F37" s="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1.75" hidden="1" customHeight="1" x14ac:dyDescent="0.6">
      <c r="A38" s="7" t="s">
        <v>26</v>
      </c>
      <c r="B38" s="6">
        <v>55</v>
      </c>
      <c r="C38" s="6"/>
      <c r="D38" s="58"/>
      <c r="E38" s="154"/>
      <c r="F38" s="9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1.75" hidden="1" customHeight="1" x14ac:dyDescent="0.6">
      <c r="A39" s="8" t="s">
        <v>27</v>
      </c>
      <c r="B39" s="6">
        <v>35</v>
      </c>
      <c r="C39" s="6"/>
      <c r="D39" s="58"/>
      <c r="E39" s="154"/>
      <c r="F39" s="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1.75" hidden="1" customHeight="1" x14ac:dyDescent="0.6">
      <c r="A40" s="7" t="s">
        <v>28</v>
      </c>
      <c r="B40" s="6">
        <v>130</v>
      </c>
      <c r="C40" s="6"/>
      <c r="D40" s="58"/>
      <c r="E40" s="154"/>
      <c r="F40" s="9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1.75" hidden="1" customHeight="1" x14ac:dyDescent="0.6">
      <c r="A41" s="8" t="s">
        <v>29</v>
      </c>
      <c r="B41" s="6">
        <v>35</v>
      </c>
      <c r="C41" s="6"/>
      <c r="D41" s="58"/>
      <c r="E41" s="154"/>
      <c r="F41" s="9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1.75" hidden="1" customHeight="1" x14ac:dyDescent="0.6">
      <c r="A42" s="7" t="s">
        <v>30</v>
      </c>
      <c r="B42" s="6">
        <v>35</v>
      </c>
      <c r="C42" s="6"/>
      <c r="D42" s="58"/>
      <c r="E42" s="154"/>
      <c r="F42" s="9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1.75" hidden="1" customHeight="1" x14ac:dyDescent="0.6">
      <c r="A43" s="8" t="s">
        <v>31</v>
      </c>
      <c r="B43" s="6">
        <v>430</v>
      </c>
      <c r="C43" s="6"/>
      <c r="D43" s="58"/>
      <c r="E43" s="154"/>
      <c r="F43" s="9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1.75" hidden="1" customHeight="1" x14ac:dyDescent="0.6">
      <c r="A44" s="7" t="s">
        <v>27</v>
      </c>
      <c r="B44" s="6">
        <v>35</v>
      </c>
      <c r="C44" s="6"/>
      <c r="D44" s="58"/>
      <c r="E44" s="154"/>
      <c r="F44" s="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1.75" hidden="1" customHeight="1" x14ac:dyDescent="0.6">
      <c r="A45" s="8" t="s">
        <v>32</v>
      </c>
      <c r="B45" s="6">
        <v>150</v>
      </c>
      <c r="C45" s="6"/>
      <c r="D45" s="58"/>
      <c r="E45" s="154"/>
      <c r="F45" s="9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1.75" hidden="1" customHeight="1" x14ac:dyDescent="0.6">
      <c r="A46" s="1"/>
      <c r="B46" s="6"/>
      <c r="C46" s="1"/>
      <c r="D46" s="57"/>
      <c r="E46" s="154"/>
      <c r="F46" s="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1.75" hidden="1" customHeight="1" x14ac:dyDescent="0.6">
      <c r="A47" s="1"/>
      <c r="B47" s="6"/>
      <c r="C47" s="1"/>
      <c r="D47" s="57"/>
      <c r="E47" s="154"/>
      <c r="F47" s="9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1.75" hidden="1" customHeight="1" x14ac:dyDescent="0.6">
      <c r="A48" s="1"/>
      <c r="B48" s="6"/>
      <c r="C48" s="1"/>
      <c r="D48" s="57"/>
      <c r="E48" s="154"/>
      <c r="F48" s="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1.75" hidden="1" customHeight="1" x14ac:dyDescent="0.6">
      <c r="A49" s="1"/>
      <c r="B49" s="6"/>
      <c r="C49" s="1"/>
      <c r="D49" s="57"/>
      <c r="E49" s="154"/>
      <c r="F49" s="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1.75" hidden="1" customHeight="1" x14ac:dyDescent="0.6">
      <c r="A50" s="1"/>
      <c r="B50" s="6"/>
      <c r="C50" s="1"/>
      <c r="D50" s="57"/>
      <c r="E50" s="154"/>
      <c r="F50" s="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1.75" hidden="1" customHeight="1" x14ac:dyDescent="0.6">
      <c r="A51" s="1"/>
      <c r="B51" s="6"/>
      <c r="C51" s="1"/>
      <c r="D51" s="57"/>
      <c r="E51" s="154"/>
      <c r="F51" s="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1.75" hidden="1" customHeight="1" x14ac:dyDescent="0.6">
      <c r="A52" s="1"/>
      <c r="B52" s="6"/>
      <c r="C52" s="1"/>
      <c r="D52" s="57"/>
      <c r="E52" s="154"/>
      <c r="F52" s="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1.75" hidden="1" customHeight="1" x14ac:dyDescent="0.6">
      <c r="A53" s="1"/>
      <c r="B53" s="6"/>
      <c r="C53" s="1"/>
      <c r="D53" s="57"/>
      <c r="E53" s="154"/>
      <c r="F53" s="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1.75" hidden="1" customHeight="1" x14ac:dyDescent="0.6">
      <c r="A54" s="1"/>
      <c r="B54" s="6"/>
      <c r="C54" s="1"/>
      <c r="D54" s="57"/>
      <c r="E54" s="154"/>
      <c r="F54" s="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1.75" hidden="1" customHeight="1" x14ac:dyDescent="0.6">
      <c r="A55" s="1"/>
      <c r="B55" s="6"/>
      <c r="C55" s="1"/>
      <c r="D55" s="57"/>
      <c r="E55" s="154"/>
      <c r="F55" s="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1.75" hidden="1" customHeight="1" x14ac:dyDescent="0.6">
      <c r="A56" s="1"/>
      <c r="B56" s="6"/>
      <c r="C56" s="1"/>
      <c r="D56" s="57"/>
      <c r="E56" s="154"/>
      <c r="F56" s="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1.75" hidden="1" customHeight="1" x14ac:dyDescent="0.6">
      <c r="A57" s="1"/>
      <c r="B57" s="6"/>
      <c r="C57" s="1"/>
      <c r="D57" s="57"/>
      <c r="E57" s="154"/>
      <c r="F57" s="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1.75" hidden="1" customHeight="1" x14ac:dyDescent="0.6">
      <c r="A58" s="1"/>
      <c r="B58" s="6"/>
      <c r="C58" s="1"/>
      <c r="D58" s="57"/>
      <c r="E58" s="154"/>
      <c r="F58" s="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1.75" hidden="1" customHeight="1" x14ac:dyDescent="0.6">
      <c r="A59" s="1"/>
      <c r="B59" s="6"/>
      <c r="C59" s="1"/>
      <c r="D59" s="57"/>
      <c r="E59" s="154"/>
      <c r="F59" s="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1.75" hidden="1" customHeight="1" x14ac:dyDescent="0.6">
      <c r="A60" s="1"/>
      <c r="B60" s="6"/>
      <c r="C60" s="1"/>
      <c r="D60" s="57"/>
      <c r="E60" s="154"/>
      <c r="F60" s="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1.75" hidden="1" customHeight="1" x14ac:dyDescent="0.6">
      <c r="A61" s="1"/>
      <c r="B61" s="6"/>
      <c r="C61" s="1"/>
      <c r="D61" s="57"/>
      <c r="E61" s="154"/>
      <c r="F61" s="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1.75" hidden="1" customHeight="1" x14ac:dyDescent="0.6">
      <c r="A62" s="1"/>
      <c r="B62" s="6"/>
      <c r="C62" s="1"/>
      <c r="D62" s="57"/>
      <c r="E62" s="154"/>
      <c r="F62" s="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1.75" hidden="1" customHeight="1" x14ac:dyDescent="0.6">
      <c r="A63" s="1"/>
      <c r="B63" s="6"/>
      <c r="C63" s="1"/>
      <c r="D63" s="57"/>
      <c r="E63" s="154"/>
      <c r="F63" s="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1.75" hidden="1" customHeight="1" x14ac:dyDescent="0.6">
      <c r="A64" s="1"/>
      <c r="B64" s="6"/>
      <c r="C64" s="1"/>
      <c r="D64" s="57"/>
      <c r="E64" s="154"/>
      <c r="F64" s="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1.75" hidden="1" customHeight="1" x14ac:dyDescent="0.6">
      <c r="A65" s="1"/>
      <c r="B65" s="6"/>
      <c r="C65" s="1"/>
      <c r="D65" s="57"/>
      <c r="E65" s="154"/>
      <c r="F65" s="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1.75" hidden="1" customHeight="1" x14ac:dyDescent="0.6">
      <c r="A66" s="1"/>
      <c r="B66" s="6"/>
      <c r="C66" s="1"/>
      <c r="D66" s="57"/>
      <c r="E66" s="154"/>
      <c r="F66" s="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1.75" hidden="1" customHeight="1" x14ac:dyDescent="0.6">
      <c r="A67" s="1"/>
      <c r="B67" s="6"/>
      <c r="C67" s="1"/>
      <c r="D67" s="57"/>
      <c r="E67" s="154"/>
      <c r="F67" s="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1.75" hidden="1" customHeight="1" x14ac:dyDescent="0.6">
      <c r="A68" s="1"/>
      <c r="B68" s="6"/>
      <c r="C68" s="1"/>
      <c r="D68" s="57"/>
      <c r="E68" s="154"/>
      <c r="F68" s="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1.75" hidden="1" customHeight="1" x14ac:dyDescent="0.6">
      <c r="A69" s="1"/>
      <c r="B69" s="6"/>
      <c r="C69" s="1"/>
      <c r="D69" s="57"/>
      <c r="E69" s="154"/>
      <c r="F69" s="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1.75" hidden="1" customHeight="1" x14ac:dyDescent="0.6">
      <c r="A70" s="1"/>
      <c r="B70" s="6"/>
      <c r="C70" s="1"/>
      <c r="D70" s="57"/>
      <c r="E70" s="154"/>
      <c r="F70" s="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1.75" hidden="1" customHeight="1" x14ac:dyDescent="0.6">
      <c r="A71" s="1"/>
      <c r="B71" s="6"/>
      <c r="C71" s="1"/>
      <c r="D71" s="57"/>
      <c r="E71" s="154"/>
      <c r="F71" s="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1.75" hidden="1" customHeight="1" x14ac:dyDescent="0.6">
      <c r="A72" s="1"/>
      <c r="B72" s="6"/>
      <c r="C72" s="1"/>
      <c r="D72" s="57"/>
      <c r="E72" s="154"/>
      <c r="F72" s="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1.75" hidden="1" customHeight="1" x14ac:dyDescent="0.6">
      <c r="A73" s="1"/>
      <c r="B73" s="6"/>
      <c r="C73" s="1"/>
      <c r="D73" s="57"/>
      <c r="E73" s="154"/>
      <c r="F73" s="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1.75" customHeight="1" x14ac:dyDescent="0.6">
      <c r="A74" s="1"/>
      <c r="B74" s="6"/>
      <c r="C74" s="1"/>
      <c r="D74" s="57"/>
      <c r="E74" s="154"/>
      <c r="F74" s="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1.75" customHeight="1" x14ac:dyDescent="0.6">
      <c r="A75" s="1"/>
      <c r="B75" s="6"/>
      <c r="C75" s="1"/>
      <c r="D75" s="57"/>
      <c r="E75" s="154"/>
      <c r="F75" s="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1.75" customHeight="1" x14ac:dyDescent="0.6">
      <c r="A76" s="1"/>
      <c r="B76" s="6"/>
      <c r="C76" s="1"/>
      <c r="D76" s="57"/>
      <c r="E76" s="154"/>
      <c r="F76" s="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1.75" customHeight="1" x14ac:dyDescent="0.6">
      <c r="A77" s="1"/>
      <c r="B77" s="6"/>
      <c r="C77" s="1"/>
      <c r="D77" s="57"/>
      <c r="E77" s="154"/>
      <c r="F77" s="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1.75" customHeight="1" x14ac:dyDescent="0.6">
      <c r="A78" s="1"/>
      <c r="B78" s="6"/>
      <c r="C78" s="1"/>
      <c r="D78" s="57"/>
      <c r="E78" s="154"/>
      <c r="F78" s="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1.75" customHeight="1" x14ac:dyDescent="0.6">
      <c r="A79" s="1"/>
      <c r="B79" s="6"/>
      <c r="C79" s="1"/>
      <c r="D79" s="57"/>
      <c r="E79" s="154"/>
      <c r="F79" s="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1.75" customHeight="1" x14ac:dyDescent="0.6">
      <c r="A80" s="1"/>
      <c r="B80" s="6"/>
      <c r="C80" s="1"/>
      <c r="D80" s="57"/>
      <c r="E80" s="154"/>
      <c r="F80" s="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1.75" customHeight="1" x14ac:dyDescent="0.6">
      <c r="A81" s="1"/>
      <c r="B81" s="6"/>
      <c r="C81" s="1"/>
      <c r="D81" s="57"/>
      <c r="E81" s="154"/>
      <c r="F81" s="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1.75" customHeight="1" x14ac:dyDescent="0.6">
      <c r="A82" s="1"/>
      <c r="B82" s="6"/>
      <c r="C82" s="1"/>
      <c r="D82" s="57"/>
      <c r="E82" s="154"/>
      <c r="F82" s="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1.75" customHeight="1" x14ac:dyDescent="0.6">
      <c r="A83" s="1"/>
      <c r="B83" s="6"/>
      <c r="C83" s="1"/>
      <c r="D83" s="57"/>
      <c r="E83" s="154"/>
      <c r="F83" s="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1.75" customHeight="1" x14ac:dyDescent="0.6">
      <c r="A84" s="1"/>
      <c r="B84" s="6"/>
      <c r="C84" s="1"/>
      <c r="D84" s="57"/>
      <c r="E84" s="154"/>
      <c r="F84" s="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1.75" customHeight="1" x14ac:dyDescent="0.6">
      <c r="A85" s="1"/>
      <c r="B85" s="6"/>
      <c r="C85" s="1"/>
      <c r="D85" s="57"/>
      <c r="E85" s="154"/>
      <c r="F85" s="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1.75" customHeight="1" x14ac:dyDescent="0.6">
      <c r="A86" s="1"/>
      <c r="B86" s="6"/>
      <c r="C86" s="1"/>
      <c r="D86" s="57"/>
      <c r="E86" s="154"/>
      <c r="F86" s="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1.75" customHeight="1" x14ac:dyDescent="0.6">
      <c r="A87" s="1"/>
      <c r="B87" s="6"/>
      <c r="C87" s="1"/>
      <c r="D87" s="57"/>
      <c r="E87" s="154"/>
      <c r="F87" s="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1.75" customHeight="1" x14ac:dyDescent="0.6">
      <c r="A88" s="1"/>
      <c r="B88" s="6"/>
      <c r="C88" s="1"/>
      <c r="D88" s="57"/>
      <c r="E88" s="154"/>
      <c r="F88" s="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1.75" customHeight="1" x14ac:dyDescent="0.6">
      <c r="A89" s="1"/>
      <c r="B89" s="6"/>
      <c r="C89" s="1"/>
      <c r="D89" s="57"/>
      <c r="E89" s="154"/>
      <c r="F89" s="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1.75" customHeight="1" x14ac:dyDescent="0.6">
      <c r="A90" s="1"/>
      <c r="B90" s="6"/>
      <c r="C90" s="1"/>
      <c r="D90" s="57"/>
      <c r="E90" s="154"/>
      <c r="F90" s="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1.75" customHeight="1" x14ac:dyDescent="0.6">
      <c r="A91" s="1"/>
      <c r="B91" s="6"/>
      <c r="C91" s="1"/>
      <c r="D91" s="57"/>
      <c r="E91" s="154"/>
      <c r="F91" s="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1.75" customHeight="1" x14ac:dyDescent="0.6">
      <c r="A92" s="1"/>
      <c r="B92" s="6"/>
      <c r="C92" s="1"/>
      <c r="D92" s="57"/>
      <c r="E92" s="154"/>
      <c r="F92" s="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1.75" customHeight="1" x14ac:dyDescent="0.6">
      <c r="A93" s="1"/>
      <c r="B93" s="6"/>
      <c r="C93" s="1"/>
      <c r="D93" s="57"/>
      <c r="E93" s="154"/>
      <c r="F93" s="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1.75" customHeight="1" x14ac:dyDescent="0.6">
      <c r="A94" s="1"/>
      <c r="B94" s="6"/>
      <c r="C94" s="1"/>
      <c r="D94" s="57"/>
      <c r="E94" s="154"/>
      <c r="F94" s="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1.75" customHeight="1" x14ac:dyDescent="0.6">
      <c r="A95" s="1"/>
      <c r="B95" s="6"/>
      <c r="C95" s="1"/>
      <c r="D95" s="57"/>
      <c r="E95" s="154"/>
      <c r="F95" s="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1.75" customHeight="1" x14ac:dyDescent="0.6">
      <c r="A96" s="1"/>
      <c r="B96" s="6"/>
      <c r="C96" s="1"/>
      <c r="D96" s="57"/>
      <c r="E96" s="154"/>
      <c r="F96" s="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1.75" customHeight="1" x14ac:dyDescent="0.6">
      <c r="A97" s="1"/>
      <c r="B97" s="6"/>
      <c r="C97" s="1"/>
      <c r="D97" s="57"/>
      <c r="E97" s="154"/>
      <c r="F97" s="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1.75" customHeight="1" x14ac:dyDescent="0.6">
      <c r="A98" s="1"/>
      <c r="B98" s="6"/>
      <c r="C98" s="1"/>
      <c r="D98" s="57"/>
      <c r="E98" s="154"/>
      <c r="F98" s="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1.75" customHeight="1" x14ac:dyDescent="0.6">
      <c r="A99" s="1"/>
      <c r="B99" s="6"/>
      <c r="C99" s="1"/>
      <c r="D99" s="57"/>
      <c r="E99" s="154"/>
      <c r="F99" s="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1.75" customHeight="1" x14ac:dyDescent="0.6">
      <c r="A100" s="1"/>
      <c r="B100" s="6"/>
      <c r="C100" s="1"/>
      <c r="D100" s="57"/>
      <c r="E100" s="154"/>
      <c r="F100" s="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1.75" customHeight="1" x14ac:dyDescent="0.6">
      <c r="A101" s="1"/>
      <c r="B101" s="6"/>
      <c r="C101" s="1"/>
      <c r="D101" s="57"/>
      <c r="E101" s="154"/>
      <c r="F101" s="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1.75" customHeight="1" x14ac:dyDescent="0.6">
      <c r="A102" s="1"/>
      <c r="B102" s="6"/>
      <c r="C102" s="1"/>
      <c r="D102" s="57"/>
      <c r="E102" s="154"/>
      <c r="F102" s="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1.75" customHeight="1" x14ac:dyDescent="0.6">
      <c r="A103" s="1"/>
      <c r="B103" s="6"/>
      <c r="C103" s="1"/>
      <c r="D103" s="57"/>
      <c r="E103" s="154"/>
      <c r="F103" s="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1.75" customHeight="1" x14ac:dyDescent="0.6">
      <c r="A104" s="1"/>
      <c r="B104" s="6"/>
      <c r="C104" s="1"/>
      <c r="D104" s="57"/>
      <c r="E104" s="154"/>
      <c r="F104" s="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1.75" customHeight="1" x14ac:dyDescent="0.6">
      <c r="A105" s="1"/>
      <c r="B105" s="6"/>
      <c r="C105" s="1"/>
      <c r="D105" s="57"/>
      <c r="E105" s="154"/>
      <c r="F105" s="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1.75" customHeight="1" x14ac:dyDescent="0.6">
      <c r="A106" s="1"/>
      <c r="B106" s="6"/>
      <c r="C106" s="1"/>
      <c r="D106" s="57"/>
      <c r="E106" s="154"/>
      <c r="F106" s="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1.75" customHeight="1" x14ac:dyDescent="0.6">
      <c r="A107" s="1"/>
      <c r="B107" s="6"/>
      <c r="C107" s="1"/>
      <c r="D107" s="57"/>
      <c r="E107" s="154"/>
      <c r="F107" s="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1.75" customHeight="1" x14ac:dyDescent="0.6">
      <c r="A108" s="1"/>
      <c r="B108" s="6"/>
      <c r="C108" s="1"/>
      <c r="D108" s="57"/>
      <c r="E108" s="154"/>
      <c r="F108" s="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1.75" customHeight="1" x14ac:dyDescent="0.6">
      <c r="A109" s="1"/>
      <c r="B109" s="6"/>
      <c r="C109" s="1"/>
      <c r="D109" s="57"/>
      <c r="E109" s="154"/>
      <c r="F109" s="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1.75" customHeight="1" x14ac:dyDescent="0.6">
      <c r="A110" s="1"/>
      <c r="B110" s="6"/>
      <c r="C110" s="1"/>
      <c r="D110" s="57"/>
      <c r="E110" s="154"/>
      <c r="F110" s="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1.75" customHeight="1" x14ac:dyDescent="0.6">
      <c r="A111" s="1"/>
      <c r="B111" s="6"/>
      <c r="C111" s="1"/>
      <c r="D111" s="57"/>
      <c r="E111" s="154"/>
      <c r="F111" s="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1.75" customHeight="1" x14ac:dyDescent="0.6">
      <c r="A112" s="1"/>
      <c r="B112" s="6"/>
      <c r="C112" s="1"/>
      <c r="D112" s="57"/>
      <c r="E112" s="154"/>
      <c r="F112" s="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1.75" customHeight="1" x14ac:dyDescent="0.6">
      <c r="A113" s="1"/>
      <c r="B113" s="6"/>
      <c r="C113" s="1"/>
      <c r="D113" s="57"/>
      <c r="E113" s="154"/>
      <c r="F113" s="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1.75" customHeight="1" x14ac:dyDescent="0.6">
      <c r="A114" s="1"/>
      <c r="B114" s="6"/>
      <c r="C114" s="1"/>
      <c r="D114" s="57"/>
      <c r="E114" s="154"/>
      <c r="F114" s="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1.75" customHeight="1" x14ac:dyDescent="0.6">
      <c r="A115" s="1"/>
      <c r="B115" s="6"/>
      <c r="C115" s="1"/>
      <c r="D115" s="57"/>
      <c r="E115" s="154"/>
      <c r="F115" s="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1.75" customHeight="1" x14ac:dyDescent="0.6">
      <c r="A116" s="1"/>
      <c r="B116" s="6"/>
      <c r="C116" s="1"/>
      <c r="D116" s="57"/>
      <c r="E116" s="154"/>
      <c r="F116" s="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1.75" customHeight="1" x14ac:dyDescent="0.6">
      <c r="A117" s="1"/>
      <c r="B117" s="6"/>
      <c r="C117" s="1"/>
      <c r="D117" s="57"/>
      <c r="E117" s="154"/>
      <c r="F117" s="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1.75" customHeight="1" x14ac:dyDescent="0.6">
      <c r="A118" s="1"/>
      <c r="B118" s="6"/>
      <c r="C118" s="1"/>
      <c r="D118" s="57"/>
      <c r="E118" s="154"/>
      <c r="F118" s="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1.75" customHeight="1" x14ac:dyDescent="0.6">
      <c r="A119" s="1"/>
      <c r="B119" s="6"/>
      <c r="C119" s="1"/>
      <c r="D119" s="57"/>
      <c r="E119" s="154"/>
      <c r="F119" s="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1.75" customHeight="1" x14ac:dyDescent="0.6">
      <c r="A120" s="1"/>
      <c r="B120" s="6"/>
      <c r="C120" s="1"/>
      <c r="D120" s="57"/>
      <c r="E120" s="154"/>
      <c r="F120" s="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1.75" customHeight="1" x14ac:dyDescent="0.6">
      <c r="A121" s="1"/>
      <c r="B121" s="6"/>
      <c r="C121" s="1"/>
      <c r="D121" s="57"/>
      <c r="E121" s="154"/>
      <c r="F121" s="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1.75" customHeight="1" x14ac:dyDescent="0.6">
      <c r="A122" s="1"/>
      <c r="B122" s="6"/>
      <c r="C122" s="1"/>
      <c r="D122" s="57"/>
      <c r="E122" s="154"/>
      <c r="F122" s="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1.75" customHeight="1" x14ac:dyDescent="0.6">
      <c r="A123" s="1"/>
      <c r="B123" s="6"/>
      <c r="C123" s="1"/>
      <c r="D123" s="57"/>
      <c r="E123" s="154"/>
      <c r="F123" s="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1.75" customHeight="1" x14ac:dyDescent="0.6">
      <c r="A124" s="1"/>
      <c r="B124" s="6"/>
      <c r="C124" s="1"/>
      <c r="D124" s="57"/>
      <c r="E124" s="154"/>
      <c r="F124" s="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1.75" customHeight="1" x14ac:dyDescent="0.6">
      <c r="A125" s="1"/>
      <c r="B125" s="6"/>
      <c r="C125" s="1"/>
      <c r="D125" s="57"/>
      <c r="E125" s="154"/>
      <c r="F125" s="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1.75" customHeight="1" x14ac:dyDescent="0.6">
      <c r="A126" s="1"/>
      <c r="B126" s="6"/>
      <c r="C126" s="1"/>
      <c r="D126" s="57"/>
      <c r="E126" s="154"/>
      <c r="F126" s="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1.75" customHeight="1" x14ac:dyDescent="0.6">
      <c r="A127" s="1"/>
      <c r="B127" s="6"/>
      <c r="C127" s="1"/>
      <c r="D127" s="57"/>
      <c r="E127" s="154"/>
      <c r="F127" s="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1.75" customHeight="1" x14ac:dyDescent="0.6">
      <c r="A128" s="1"/>
      <c r="B128" s="6"/>
      <c r="C128" s="1"/>
      <c r="D128" s="57"/>
      <c r="E128" s="154"/>
      <c r="F128" s="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1.75" customHeight="1" x14ac:dyDescent="0.6">
      <c r="A129" s="1"/>
      <c r="B129" s="6"/>
      <c r="C129" s="1"/>
      <c r="D129" s="57"/>
      <c r="E129" s="154"/>
      <c r="F129" s="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1.75" customHeight="1" x14ac:dyDescent="0.6">
      <c r="A130" s="1"/>
      <c r="B130" s="6"/>
      <c r="C130" s="1"/>
      <c r="D130" s="57"/>
      <c r="E130" s="154"/>
      <c r="F130" s="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1.75" customHeight="1" x14ac:dyDescent="0.6">
      <c r="A131" s="1"/>
      <c r="B131" s="6"/>
      <c r="C131" s="1"/>
      <c r="D131" s="57"/>
      <c r="E131" s="154"/>
      <c r="F131" s="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1.75" customHeight="1" x14ac:dyDescent="0.6">
      <c r="A132" s="1"/>
      <c r="B132" s="6"/>
      <c r="C132" s="1"/>
      <c r="D132" s="57"/>
      <c r="E132" s="154"/>
      <c r="F132" s="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1.75" customHeight="1" x14ac:dyDescent="0.6">
      <c r="A133" s="1"/>
      <c r="B133" s="6"/>
      <c r="C133" s="1"/>
      <c r="D133" s="57"/>
      <c r="E133" s="154"/>
      <c r="F133" s="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1.75" customHeight="1" x14ac:dyDescent="0.6">
      <c r="A134" s="1"/>
      <c r="B134" s="6"/>
      <c r="C134" s="1"/>
      <c r="D134" s="57"/>
      <c r="E134" s="154"/>
      <c r="F134" s="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1.75" customHeight="1" x14ac:dyDescent="0.6">
      <c r="A135" s="1"/>
      <c r="B135" s="6"/>
      <c r="C135" s="1"/>
      <c r="D135" s="57"/>
      <c r="E135" s="154"/>
      <c r="F135" s="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1.75" customHeight="1" x14ac:dyDescent="0.6">
      <c r="A136" s="1"/>
      <c r="B136" s="6"/>
      <c r="C136" s="1"/>
      <c r="D136" s="57"/>
      <c r="E136" s="154"/>
      <c r="F136" s="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1.75" customHeight="1" x14ac:dyDescent="0.6">
      <c r="A137" s="1"/>
      <c r="B137" s="6"/>
      <c r="C137" s="1"/>
      <c r="D137" s="57"/>
      <c r="E137" s="154"/>
      <c r="F137" s="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1.75" customHeight="1" x14ac:dyDescent="0.6">
      <c r="A138" s="1"/>
      <c r="B138" s="6"/>
      <c r="C138" s="1"/>
      <c r="D138" s="57"/>
      <c r="E138" s="154"/>
      <c r="F138" s="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1.75" customHeight="1" x14ac:dyDescent="0.6">
      <c r="A139" s="1"/>
      <c r="B139" s="6"/>
      <c r="C139" s="1"/>
      <c r="D139" s="57"/>
      <c r="E139" s="154"/>
      <c r="F139" s="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1.75" customHeight="1" x14ac:dyDescent="0.6">
      <c r="A140" s="1"/>
      <c r="B140" s="6"/>
      <c r="C140" s="1"/>
      <c r="D140" s="57"/>
      <c r="E140" s="154"/>
      <c r="F140" s="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1.75" customHeight="1" x14ac:dyDescent="0.6">
      <c r="A141" s="1"/>
      <c r="B141" s="6"/>
      <c r="C141" s="1"/>
      <c r="D141" s="57"/>
      <c r="E141" s="154"/>
      <c r="F141" s="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1.75" customHeight="1" x14ac:dyDescent="0.6">
      <c r="A142" s="1"/>
      <c r="B142" s="6"/>
      <c r="C142" s="1"/>
      <c r="D142" s="57"/>
      <c r="E142" s="154"/>
      <c r="F142" s="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1.75" customHeight="1" x14ac:dyDescent="0.6">
      <c r="A143" s="1"/>
      <c r="B143" s="6"/>
      <c r="C143" s="1"/>
      <c r="D143" s="57"/>
      <c r="E143" s="154"/>
      <c r="F143" s="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1.75" customHeight="1" x14ac:dyDescent="0.6">
      <c r="A144" s="1"/>
      <c r="B144" s="6"/>
      <c r="C144" s="1"/>
      <c r="D144" s="57"/>
      <c r="E144" s="154"/>
      <c r="F144" s="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1.75" customHeight="1" x14ac:dyDescent="0.6">
      <c r="A145" s="1"/>
      <c r="B145" s="6"/>
      <c r="C145" s="1"/>
      <c r="D145" s="57"/>
      <c r="E145" s="154"/>
      <c r="F145" s="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1.75" customHeight="1" x14ac:dyDescent="0.6">
      <c r="A146" s="1"/>
      <c r="B146" s="6"/>
      <c r="C146" s="1"/>
      <c r="D146" s="57"/>
      <c r="E146" s="154"/>
      <c r="F146" s="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1.75" customHeight="1" x14ac:dyDescent="0.6">
      <c r="A147" s="1"/>
      <c r="B147" s="6"/>
      <c r="C147" s="1"/>
      <c r="D147" s="57"/>
      <c r="E147" s="154"/>
      <c r="F147" s="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1.75" customHeight="1" x14ac:dyDescent="0.6">
      <c r="A148" s="1"/>
      <c r="B148" s="6"/>
      <c r="C148" s="1"/>
      <c r="D148" s="57"/>
      <c r="E148" s="154"/>
      <c r="F148" s="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1.75" customHeight="1" x14ac:dyDescent="0.6">
      <c r="A149" s="1"/>
      <c r="B149" s="6"/>
      <c r="C149" s="1"/>
      <c r="D149" s="57"/>
      <c r="E149" s="154"/>
      <c r="F149" s="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1.75" customHeight="1" x14ac:dyDescent="0.6">
      <c r="A150" s="1"/>
      <c r="B150" s="6"/>
      <c r="C150" s="1"/>
      <c r="D150" s="57"/>
      <c r="E150" s="154"/>
      <c r="F150" s="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1.75" customHeight="1" x14ac:dyDescent="0.6">
      <c r="A151" s="1"/>
      <c r="B151" s="6"/>
      <c r="C151" s="1"/>
      <c r="D151" s="57"/>
      <c r="E151" s="154"/>
      <c r="F151" s="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1.75" customHeight="1" x14ac:dyDescent="0.6">
      <c r="A152" s="1"/>
      <c r="B152" s="6"/>
      <c r="C152" s="1"/>
      <c r="D152" s="57"/>
      <c r="E152" s="154"/>
      <c r="F152" s="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1.75" customHeight="1" x14ac:dyDescent="0.6">
      <c r="A153" s="1"/>
      <c r="B153" s="6"/>
      <c r="C153" s="1"/>
      <c r="D153" s="57"/>
      <c r="E153" s="154"/>
      <c r="F153" s="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1.75" customHeight="1" x14ac:dyDescent="0.6">
      <c r="A154" s="1"/>
      <c r="B154" s="6"/>
      <c r="C154" s="1"/>
      <c r="D154" s="57"/>
      <c r="E154" s="154"/>
      <c r="F154" s="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1.75" customHeight="1" x14ac:dyDescent="0.6">
      <c r="A155" s="1"/>
      <c r="B155" s="6"/>
      <c r="C155" s="1"/>
      <c r="D155" s="57"/>
      <c r="E155" s="154"/>
      <c r="F155" s="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1.75" customHeight="1" x14ac:dyDescent="0.6">
      <c r="A156" s="1"/>
      <c r="B156" s="6"/>
      <c r="C156" s="1"/>
      <c r="D156" s="57"/>
      <c r="E156" s="154"/>
      <c r="F156" s="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1.75" customHeight="1" x14ac:dyDescent="0.6">
      <c r="A157" s="1"/>
      <c r="B157" s="6"/>
      <c r="C157" s="1"/>
      <c r="D157" s="57"/>
      <c r="E157" s="154"/>
      <c r="F157" s="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1.75" customHeight="1" x14ac:dyDescent="0.6">
      <c r="A158" s="1"/>
      <c r="B158" s="6"/>
      <c r="C158" s="1"/>
      <c r="D158" s="57"/>
      <c r="E158" s="154"/>
      <c r="F158" s="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1.75" customHeight="1" x14ac:dyDescent="0.6">
      <c r="A159" s="1"/>
      <c r="B159" s="6"/>
      <c r="C159" s="1"/>
      <c r="D159" s="57"/>
      <c r="E159" s="154"/>
      <c r="F159" s="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1.75" customHeight="1" x14ac:dyDescent="0.6">
      <c r="A160" s="1"/>
      <c r="B160" s="6"/>
      <c r="C160" s="1"/>
      <c r="D160" s="57"/>
      <c r="E160" s="154"/>
      <c r="F160" s="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1.75" customHeight="1" x14ac:dyDescent="0.6">
      <c r="A161" s="1"/>
      <c r="B161" s="6"/>
      <c r="C161" s="1"/>
      <c r="D161" s="57"/>
      <c r="E161" s="154"/>
      <c r="F161" s="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1.75" customHeight="1" x14ac:dyDescent="0.6">
      <c r="A162" s="1"/>
      <c r="B162" s="6"/>
      <c r="C162" s="1"/>
      <c r="D162" s="57"/>
      <c r="E162" s="154"/>
      <c r="F162" s="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1.75" customHeight="1" x14ac:dyDescent="0.6">
      <c r="A163" s="1"/>
      <c r="B163" s="6"/>
      <c r="C163" s="1"/>
      <c r="D163" s="57"/>
      <c r="E163" s="154"/>
      <c r="F163" s="9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1.75" customHeight="1" x14ac:dyDescent="0.6">
      <c r="A164" s="1"/>
      <c r="B164" s="6"/>
      <c r="C164" s="1"/>
      <c r="D164" s="57"/>
      <c r="E164" s="154"/>
      <c r="F164" s="9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1.75" customHeight="1" x14ac:dyDescent="0.6">
      <c r="A165" s="1"/>
      <c r="B165" s="6"/>
      <c r="C165" s="1"/>
      <c r="D165" s="57"/>
      <c r="E165" s="154"/>
      <c r="F165" s="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1.75" customHeight="1" x14ac:dyDescent="0.6">
      <c r="A166" s="1"/>
      <c r="B166" s="6"/>
      <c r="C166" s="1"/>
      <c r="D166" s="57"/>
      <c r="E166" s="154"/>
      <c r="F166" s="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1.75" customHeight="1" x14ac:dyDescent="0.6">
      <c r="A167" s="1"/>
      <c r="B167" s="6"/>
      <c r="C167" s="1"/>
      <c r="D167" s="57"/>
      <c r="E167" s="154"/>
      <c r="F167" s="9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1.75" customHeight="1" x14ac:dyDescent="0.6">
      <c r="A168" s="1"/>
      <c r="B168" s="6"/>
      <c r="C168" s="1"/>
      <c r="D168" s="57"/>
      <c r="E168" s="154"/>
      <c r="F168" s="9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1.75" customHeight="1" x14ac:dyDescent="0.6">
      <c r="A169" s="1"/>
      <c r="B169" s="6"/>
      <c r="C169" s="1"/>
      <c r="D169" s="57"/>
      <c r="E169" s="154"/>
      <c r="F169" s="9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1.75" customHeight="1" x14ac:dyDescent="0.6">
      <c r="A170" s="1"/>
      <c r="B170" s="6"/>
      <c r="C170" s="1"/>
      <c r="D170" s="57"/>
      <c r="E170" s="154"/>
      <c r="F170" s="9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1.75" customHeight="1" x14ac:dyDescent="0.6">
      <c r="A171" s="1"/>
      <c r="B171" s="6"/>
      <c r="C171" s="1"/>
      <c r="D171" s="57"/>
      <c r="E171" s="154"/>
      <c r="F171" s="9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1.75" customHeight="1" x14ac:dyDescent="0.6">
      <c r="A172" s="1"/>
      <c r="B172" s="6"/>
      <c r="C172" s="1"/>
      <c r="D172" s="57"/>
      <c r="E172" s="154"/>
      <c r="F172" s="9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1.75" customHeight="1" x14ac:dyDescent="0.6">
      <c r="A173" s="1"/>
      <c r="B173" s="6"/>
      <c r="C173" s="1"/>
      <c r="D173" s="57"/>
      <c r="E173" s="154"/>
      <c r="F173" s="9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1.75" customHeight="1" x14ac:dyDescent="0.6">
      <c r="A174" s="1"/>
      <c r="B174" s="6"/>
      <c r="C174" s="1"/>
      <c r="D174" s="57"/>
      <c r="E174" s="154"/>
      <c r="F174" s="9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1.75" customHeight="1" x14ac:dyDescent="0.6">
      <c r="A175" s="1"/>
      <c r="B175" s="6"/>
      <c r="C175" s="1"/>
      <c r="D175" s="57"/>
      <c r="E175" s="154"/>
      <c r="F175" s="9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1.75" customHeight="1" x14ac:dyDescent="0.6">
      <c r="A176" s="1"/>
      <c r="B176" s="6"/>
      <c r="C176" s="1"/>
      <c r="D176" s="57"/>
      <c r="E176" s="154"/>
      <c r="F176" s="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1.75" customHeight="1" x14ac:dyDescent="0.6">
      <c r="A177" s="1"/>
      <c r="B177" s="6"/>
      <c r="C177" s="1"/>
      <c r="D177" s="57"/>
      <c r="E177" s="154"/>
      <c r="F177" s="9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1.75" customHeight="1" x14ac:dyDescent="0.6">
      <c r="A178" s="1"/>
      <c r="B178" s="6"/>
      <c r="C178" s="1"/>
      <c r="D178" s="57"/>
      <c r="E178" s="154"/>
      <c r="F178" s="9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1.75" customHeight="1" x14ac:dyDescent="0.6">
      <c r="A179" s="1"/>
      <c r="B179" s="6"/>
      <c r="C179" s="1"/>
      <c r="D179" s="57"/>
      <c r="E179" s="154"/>
      <c r="F179" s="9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1.75" customHeight="1" x14ac:dyDescent="0.6">
      <c r="A180" s="1"/>
      <c r="B180" s="6"/>
      <c r="C180" s="1"/>
      <c r="D180" s="57"/>
      <c r="E180" s="154"/>
      <c r="F180" s="9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1.75" customHeight="1" x14ac:dyDescent="0.6">
      <c r="A181" s="1"/>
      <c r="B181" s="6"/>
      <c r="C181" s="1"/>
      <c r="D181" s="57"/>
      <c r="E181" s="154"/>
      <c r="F181" s="9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1.75" customHeight="1" x14ac:dyDescent="0.6">
      <c r="A182" s="1"/>
      <c r="B182" s="6"/>
      <c r="C182" s="1"/>
      <c r="D182" s="57"/>
      <c r="E182" s="154"/>
      <c r="F182" s="9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1.75" customHeight="1" x14ac:dyDescent="0.6">
      <c r="A183" s="1"/>
      <c r="B183" s="6"/>
      <c r="C183" s="1"/>
      <c r="D183" s="57"/>
      <c r="E183" s="154"/>
      <c r="F183" s="9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1.75" customHeight="1" x14ac:dyDescent="0.6">
      <c r="A184" s="1"/>
      <c r="B184" s="6"/>
      <c r="C184" s="1"/>
      <c r="D184" s="57"/>
      <c r="E184" s="154"/>
      <c r="F184" s="9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1.75" customHeight="1" x14ac:dyDescent="0.6">
      <c r="A185" s="1"/>
      <c r="B185" s="6"/>
      <c r="C185" s="1"/>
      <c r="D185" s="57"/>
      <c r="E185" s="154"/>
      <c r="F185" s="9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1.75" customHeight="1" x14ac:dyDescent="0.6">
      <c r="A186" s="1"/>
      <c r="B186" s="6"/>
      <c r="C186" s="1"/>
      <c r="D186" s="57"/>
      <c r="E186" s="154"/>
      <c r="F186" s="9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1.75" customHeight="1" x14ac:dyDescent="0.6">
      <c r="A187" s="1"/>
      <c r="B187" s="6"/>
      <c r="C187" s="1"/>
      <c r="D187" s="57"/>
      <c r="E187" s="154"/>
      <c r="F187" s="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1.75" customHeight="1" x14ac:dyDescent="0.6">
      <c r="A188" s="1"/>
      <c r="B188" s="6"/>
      <c r="C188" s="1"/>
      <c r="D188" s="57"/>
      <c r="E188" s="154"/>
      <c r="F188" s="9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1.75" customHeight="1" x14ac:dyDescent="0.6">
      <c r="A189" s="1"/>
      <c r="B189" s="6"/>
      <c r="C189" s="1"/>
      <c r="D189" s="57"/>
      <c r="E189" s="154"/>
      <c r="F189" s="9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1.75" customHeight="1" x14ac:dyDescent="0.6">
      <c r="A190" s="1"/>
      <c r="B190" s="6"/>
      <c r="C190" s="1"/>
      <c r="D190" s="57"/>
      <c r="E190" s="154"/>
      <c r="F190" s="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1.75" customHeight="1" x14ac:dyDescent="0.6">
      <c r="A191" s="1"/>
      <c r="B191" s="6"/>
      <c r="C191" s="1"/>
      <c r="D191" s="57"/>
      <c r="E191" s="154"/>
      <c r="F191" s="9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1.75" customHeight="1" x14ac:dyDescent="0.6">
      <c r="A192" s="1"/>
      <c r="B192" s="6"/>
      <c r="C192" s="1"/>
      <c r="D192" s="57"/>
      <c r="E192" s="154"/>
      <c r="F192" s="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1.75" customHeight="1" x14ac:dyDescent="0.6">
      <c r="A193" s="1"/>
      <c r="B193" s="6"/>
      <c r="C193" s="1"/>
      <c r="D193" s="57"/>
      <c r="E193" s="154"/>
      <c r="F193" s="9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1.75" customHeight="1" x14ac:dyDescent="0.6">
      <c r="A194" s="1"/>
      <c r="B194" s="6"/>
      <c r="C194" s="1"/>
      <c r="D194" s="57"/>
      <c r="E194" s="154"/>
      <c r="F194" s="9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1.75" customHeight="1" x14ac:dyDescent="0.6">
      <c r="A195" s="1"/>
      <c r="B195" s="6"/>
      <c r="C195" s="1"/>
      <c r="D195" s="57"/>
      <c r="E195" s="154"/>
      <c r="F195" s="9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1.75" customHeight="1" x14ac:dyDescent="0.6">
      <c r="A196" s="1"/>
      <c r="B196" s="6"/>
      <c r="C196" s="1"/>
      <c r="D196" s="57"/>
      <c r="E196" s="154"/>
      <c r="F196" s="9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1.75" customHeight="1" x14ac:dyDescent="0.6">
      <c r="A197" s="1"/>
      <c r="B197" s="6"/>
      <c r="C197" s="1"/>
      <c r="D197" s="57"/>
      <c r="E197" s="154"/>
      <c r="F197" s="9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1.75" customHeight="1" x14ac:dyDescent="0.6">
      <c r="A198" s="1"/>
      <c r="B198" s="6"/>
      <c r="C198" s="1"/>
      <c r="D198" s="57"/>
      <c r="E198" s="154"/>
      <c r="F198" s="9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1.75" customHeight="1" x14ac:dyDescent="0.6">
      <c r="A199" s="1"/>
      <c r="B199" s="6"/>
      <c r="C199" s="1"/>
      <c r="D199" s="57"/>
      <c r="E199" s="154"/>
      <c r="F199" s="9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1.75" customHeight="1" x14ac:dyDescent="0.6">
      <c r="A200" s="1"/>
      <c r="B200" s="6"/>
      <c r="C200" s="1"/>
      <c r="D200" s="57"/>
      <c r="E200" s="154"/>
      <c r="F200" s="9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1.75" customHeight="1" x14ac:dyDescent="0.6">
      <c r="A201" s="1"/>
      <c r="B201" s="6"/>
      <c r="C201" s="1"/>
      <c r="D201" s="57"/>
      <c r="E201" s="154"/>
      <c r="F201" s="9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1.75" customHeight="1" x14ac:dyDescent="0.6">
      <c r="A202" s="1"/>
      <c r="B202" s="6"/>
      <c r="C202" s="1"/>
      <c r="D202" s="57"/>
      <c r="E202" s="154"/>
      <c r="F202" s="9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1.75" customHeight="1" x14ac:dyDescent="0.6">
      <c r="A203" s="1"/>
      <c r="B203" s="6"/>
      <c r="C203" s="1"/>
      <c r="D203" s="57"/>
      <c r="E203" s="154"/>
      <c r="F203" s="9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1.75" customHeight="1" x14ac:dyDescent="0.6">
      <c r="A204" s="1"/>
      <c r="B204" s="6"/>
      <c r="C204" s="1"/>
      <c r="D204" s="57"/>
      <c r="E204" s="154"/>
      <c r="F204" s="9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1.75" customHeight="1" x14ac:dyDescent="0.6">
      <c r="A205" s="1"/>
      <c r="B205" s="6"/>
      <c r="C205" s="1"/>
      <c r="D205" s="57"/>
      <c r="E205" s="154"/>
      <c r="F205" s="9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1.75" customHeight="1" x14ac:dyDescent="0.6">
      <c r="A206" s="1"/>
      <c r="B206" s="6"/>
      <c r="C206" s="1"/>
      <c r="D206" s="57"/>
      <c r="E206" s="154"/>
      <c r="F206" s="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1.75" customHeight="1" x14ac:dyDescent="0.6">
      <c r="A207" s="1"/>
      <c r="B207" s="6"/>
      <c r="C207" s="1"/>
      <c r="D207" s="57"/>
      <c r="E207" s="154"/>
      <c r="F207" s="9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1.75" customHeight="1" x14ac:dyDescent="0.6">
      <c r="A208" s="1"/>
      <c r="B208" s="6"/>
      <c r="C208" s="1"/>
      <c r="D208" s="57"/>
      <c r="E208" s="154"/>
      <c r="F208" s="9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1.75" customHeight="1" x14ac:dyDescent="0.6">
      <c r="A209" s="1"/>
      <c r="B209" s="6"/>
      <c r="C209" s="1"/>
      <c r="D209" s="57"/>
      <c r="E209" s="154"/>
      <c r="F209" s="9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1.75" customHeight="1" x14ac:dyDescent="0.6">
      <c r="A210" s="1"/>
      <c r="B210" s="6"/>
      <c r="C210" s="1"/>
      <c r="D210" s="57"/>
      <c r="E210" s="154"/>
      <c r="F210" s="9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1.75" customHeight="1" x14ac:dyDescent="0.6">
      <c r="A211" s="1"/>
      <c r="B211" s="6"/>
      <c r="C211" s="1"/>
      <c r="D211" s="57"/>
      <c r="E211" s="154"/>
      <c r="F211" s="9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1.75" customHeight="1" x14ac:dyDescent="0.6">
      <c r="A212" s="1"/>
      <c r="B212" s="6"/>
      <c r="C212" s="1"/>
      <c r="D212" s="57"/>
      <c r="E212" s="154"/>
      <c r="F212" s="9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1.75" customHeight="1" x14ac:dyDescent="0.6">
      <c r="A213" s="1"/>
      <c r="B213" s="6"/>
      <c r="C213" s="1"/>
      <c r="D213" s="57"/>
      <c r="E213" s="154"/>
      <c r="F213" s="9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1.75" customHeight="1" x14ac:dyDescent="0.6">
      <c r="A214" s="1"/>
      <c r="B214" s="6"/>
      <c r="C214" s="1"/>
      <c r="D214" s="57"/>
      <c r="E214" s="154"/>
      <c r="F214" s="9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1.75" customHeight="1" x14ac:dyDescent="0.6">
      <c r="A215" s="1"/>
      <c r="B215" s="6"/>
      <c r="C215" s="1"/>
      <c r="D215" s="57"/>
      <c r="E215" s="154"/>
      <c r="F215" s="9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1.75" customHeight="1" x14ac:dyDescent="0.6">
      <c r="A216" s="1"/>
      <c r="B216" s="6"/>
      <c r="C216" s="1"/>
      <c r="D216" s="57"/>
      <c r="E216" s="154"/>
      <c r="F216" s="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1.75" customHeight="1" x14ac:dyDescent="0.6">
      <c r="A217" s="1"/>
      <c r="B217" s="6"/>
      <c r="C217" s="1"/>
      <c r="D217" s="57"/>
      <c r="E217" s="154"/>
      <c r="F217" s="9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1.75" customHeight="1" x14ac:dyDescent="0.6">
      <c r="A218" s="1"/>
      <c r="B218" s="6"/>
      <c r="C218" s="1"/>
      <c r="D218" s="57"/>
      <c r="E218" s="154"/>
      <c r="F218" s="9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1.75" customHeight="1" x14ac:dyDescent="0.6">
      <c r="A219" s="1"/>
      <c r="B219" s="6"/>
      <c r="C219" s="1"/>
      <c r="D219" s="57"/>
      <c r="E219" s="154"/>
      <c r="F219" s="9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1.75" customHeight="1" x14ac:dyDescent="0.6">
      <c r="A220" s="1"/>
      <c r="B220" s="6"/>
      <c r="C220" s="1"/>
      <c r="D220" s="57"/>
      <c r="E220" s="154"/>
      <c r="F220" s="9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1.75" customHeight="1" x14ac:dyDescent="0.6">
      <c r="A221" s="1"/>
      <c r="B221" s="6"/>
      <c r="C221" s="1"/>
      <c r="D221" s="57"/>
      <c r="E221" s="154"/>
      <c r="F221" s="9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1.75" customHeight="1" x14ac:dyDescent="0.6">
      <c r="A222" s="1"/>
      <c r="B222" s="6"/>
      <c r="C222" s="1"/>
      <c r="D222" s="57"/>
      <c r="E222" s="154"/>
      <c r="F222" s="9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1.75" customHeight="1" x14ac:dyDescent="0.6">
      <c r="A223" s="1"/>
      <c r="B223" s="6"/>
      <c r="C223" s="1"/>
      <c r="D223" s="57"/>
      <c r="E223" s="154"/>
      <c r="F223" s="9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1.75" customHeight="1" x14ac:dyDescent="0.6">
      <c r="A224" s="1"/>
      <c r="B224" s="6"/>
      <c r="C224" s="1"/>
      <c r="D224" s="57"/>
      <c r="E224" s="154"/>
      <c r="F224" s="9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1.75" customHeight="1" x14ac:dyDescent="0.6">
      <c r="A225" s="1"/>
      <c r="B225" s="6"/>
      <c r="C225" s="1"/>
      <c r="D225" s="57"/>
      <c r="E225" s="154"/>
      <c r="F225" s="9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1.75" customHeight="1" x14ac:dyDescent="0.6">
      <c r="A226" s="1"/>
      <c r="B226" s="6"/>
      <c r="C226" s="1"/>
      <c r="D226" s="57"/>
      <c r="E226" s="154"/>
      <c r="F226" s="9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1.75" customHeight="1" x14ac:dyDescent="0.6">
      <c r="A227" s="1"/>
      <c r="B227" s="6"/>
      <c r="C227" s="1"/>
      <c r="D227" s="57"/>
      <c r="E227" s="154"/>
      <c r="F227" s="9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1.75" customHeight="1" x14ac:dyDescent="0.6">
      <c r="A228" s="1"/>
      <c r="B228" s="6"/>
      <c r="C228" s="1"/>
      <c r="D228" s="57"/>
      <c r="E228" s="154"/>
      <c r="F228" s="9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1.75" customHeight="1" x14ac:dyDescent="0.6">
      <c r="A229" s="1"/>
      <c r="B229" s="6"/>
      <c r="C229" s="1"/>
      <c r="D229" s="57"/>
      <c r="E229" s="154"/>
      <c r="F229" s="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1.75" customHeight="1" x14ac:dyDescent="0.6">
      <c r="A230" s="1"/>
      <c r="B230" s="6"/>
      <c r="C230" s="1"/>
      <c r="D230" s="57"/>
      <c r="E230" s="154"/>
      <c r="F230" s="9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1.75" customHeight="1" x14ac:dyDescent="0.6">
      <c r="A231" s="1"/>
      <c r="B231" s="6"/>
      <c r="C231" s="1"/>
      <c r="D231" s="57"/>
      <c r="E231" s="154"/>
      <c r="F231" s="9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1.75" customHeight="1" x14ac:dyDescent="0.6">
      <c r="A232" s="1"/>
      <c r="B232" s="6"/>
      <c r="C232" s="1"/>
      <c r="D232" s="57"/>
      <c r="E232" s="154"/>
      <c r="F232" s="9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1.75" customHeight="1" x14ac:dyDescent="0.6">
      <c r="A233" s="1"/>
      <c r="B233" s="6"/>
      <c r="C233" s="1"/>
      <c r="D233" s="57"/>
      <c r="E233" s="154"/>
      <c r="F233" s="9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1.75" customHeight="1" x14ac:dyDescent="0.6">
      <c r="A234" s="1"/>
      <c r="B234" s="6"/>
      <c r="C234" s="1"/>
      <c r="D234" s="57"/>
      <c r="E234" s="154"/>
      <c r="F234" s="9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1.75" customHeight="1" x14ac:dyDescent="0.6">
      <c r="A235" s="1"/>
      <c r="B235" s="6"/>
      <c r="C235" s="1"/>
      <c r="D235" s="57"/>
      <c r="E235" s="154"/>
      <c r="F235" s="9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1.75" customHeight="1" x14ac:dyDescent="0.6">
      <c r="A236" s="1"/>
      <c r="B236" s="6"/>
      <c r="C236" s="1"/>
      <c r="D236" s="57"/>
      <c r="E236" s="154"/>
      <c r="F236" s="9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1.75" customHeight="1" x14ac:dyDescent="0.6">
      <c r="A237" s="1"/>
      <c r="B237" s="6"/>
      <c r="C237" s="1"/>
      <c r="D237" s="57"/>
      <c r="E237" s="154"/>
      <c r="F237" s="9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1.75" customHeight="1" x14ac:dyDescent="0.6">
      <c r="A238" s="1"/>
      <c r="B238" s="6"/>
      <c r="C238" s="1"/>
      <c r="D238" s="57"/>
      <c r="E238" s="154"/>
      <c r="F238" s="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1.75" customHeight="1" x14ac:dyDescent="0.6">
      <c r="A239" s="1"/>
      <c r="B239" s="6"/>
      <c r="C239" s="1"/>
      <c r="D239" s="57"/>
      <c r="E239" s="154"/>
      <c r="F239" s="9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1.75" customHeight="1" x14ac:dyDescent="0.6">
      <c r="A240" s="1"/>
      <c r="B240" s="6"/>
      <c r="C240" s="1"/>
      <c r="D240" s="57"/>
      <c r="E240" s="154"/>
      <c r="F240" s="9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1.75" customHeight="1" x14ac:dyDescent="0.6">
      <c r="A241" s="1"/>
      <c r="B241" s="6"/>
      <c r="C241" s="1"/>
      <c r="D241" s="57"/>
      <c r="E241" s="154"/>
      <c r="F241" s="9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1.75" customHeight="1" x14ac:dyDescent="0.6">
      <c r="A242" s="1"/>
      <c r="B242" s="6"/>
      <c r="C242" s="1"/>
      <c r="D242" s="57"/>
      <c r="E242" s="154"/>
      <c r="F242" s="9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1.75" customHeight="1" x14ac:dyDescent="0.6">
      <c r="A243" s="1"/>
      <c r="B243" s="6"/>
      <c r="C243" s="1"/>
      <c r="D243" s="57"/>
      <c r="E243" s="154"/>
      <c r="F243" s="9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1.75" customHeight="1" x14ac:dyDescent="0.6">
      <c r="A244" s="1"/>
      <c r="B244" s="6"/>
      <c r="C244" s="1"/>
      <c r="D244" s="57"/>
      <c r="E244" s="154"/>
      <c r="F244" s="9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1.75" customHeight="1" x14ac:dyDescent="0.6">
      <c r="A245" s="1"/>
      <c r="B245" s="6"/>
      <c r="C245" s="1"/>
      <c r="D245" s="57"/>
      <c r="E245" s="154"/>
      <c r="F245" s="9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1.75" customHeight="1" x14ac:dyDescent="0.6">
      <c r="A246" s="1"/>
      <c r="B246" s="6"/>
      <c r="C246" s="1"/>
      <c r="D246" s="57"/>
      <c r="E246" s="154"/>
      <c r="F246" s="9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1.75" customHeight="1" x14ac:dyDescent="0.6">
      <c r="A247" s="1"/>
      <c r="B247" s="6"/>
      <c r="C247" s="1"/>
      <c r="D247" s="57"/>
      <c r="E247" s="154"/>
      <c r="F247" s="9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1.75" customHeight="1" x14ac:dyDescent="0.6">
      <c r="A248" s="1"/>
      <c r="B248" s="6"/>
      <c r="C248" s="1"/>
      <c r="D248" s="57"/>
      <c r="E248" s="154"/>
      <c r="F248" s="9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1.75" customHeight="1" x14ac:dyDescent="0.6">
      <c r="A249" s="1"/>
      <c r="B249" s="6"/>
      <c r="C249" s="1"/>
      <c r="D249" s="57"/>
      <c r="E249" s="154"/>
      <c r="F249" s="9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1.75" customHeight="1" x14ac:dyDescent="0.6">
      <c r="A250" s="1"/>
      <c r="B250" s="6"/>
      <c r="C250" s="1"/>
      <c r="D250" s="57"/>
      <c r="E250" s="154"/>
      <c r="F250" s="9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1.75" customHeight="1" x14ac:dyDescent="0.6">
      <c r="A251" s="1"/>
      <c r="B251" s="6"/>
      <c r="C251" s="1"/>
      <c r="D251" s="57"/>
      <c r="E251" s="154"/>
      <c r="F251" s="9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1.75" customHeight="1" x14ac:dyDescent="0.6">
      <c r="A252" s="1"/>
      <c r="B252" s="6"/>
      <c r="C252" s="1"/>
      <c r="D252" s="57"/>
      <c r="E252" s="154"/>
      <c r="F252" s="9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1.75" customHeight="1" x14ac:dyDescent="0.6">
      <c r="A253" s="1"/>
      <c r="B253" s="6"/>
      <c r="C253" s="1"/>
      <c r="D253" s="57"/>
      <c r="E253" s="154"/>
      <c r="F253" s="9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1.75" customHeight="1" x14ac:dyDescent="0.6">
      <c r="A254" s="1"/>
      <c r="B254" s="6"/>
      <c r="C254" s="1"/>
      <c r="D254" s="57"/>
      <c r="E254" s="154"/>
      <c r="F254" s="9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1.75" customHeight="1" x14ac:dyDescent="0.6">
      <c r="A255" s="1"/>
      <c r="B255" s="6"/>
      <c r="C255" s="1"/>
      <c r="D255" s="57"/>
      <c r="E255" s="154"/>
      <c r="F255" s="9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1.75" customHeight="1" x14ac:dyDescent="0.6">
      <c r="A256" s="1"/>
      <c r="B256" s="6"/>
      <c r="C256" s="1"/>
      <c r="D256" s="57"/>
      <c r="E256" s="154"/>
      <c r="F256" s="9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1.75" customHeight="1" x14ac:dyDescent="0.6">
      <c r="A257" s="1"/>
      <c r="B257" s="6"/>
      <c r="C257" s="1"/>
      <c r="D257" s="57"/>
      <c r="E257" s="154"/>
      <c r="F257" s="9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1.75" customHeight="1" x14ac:dyDescent="0.6">
      <c r="A258" s="1"/>
      <c r="B258" s="6"/>
      <c r="C258" s="1"/>
      <c r="D258" s="57"/>
      <c r="E258" s="154"/>
      <c r="F258" s="9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1.75" customHeight="1" x14ac:dyDescent="0.6">
      <c r="A259" s="1"/>
      <c r="B259" s="6"/>
      <c r="C259" s="1"/>
      <c r="D259" s="57"/>
      <c r="E259" s="154"/>
      <c r="F259" s="9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1.75" customHeight="1" x14ac:dyDescent="0.6">
      <c r="A260" s="1"/>
      <c r="B260" s="6"/>
      <c r="C260" s="1"/>
      <c r="D260" s="57"/>
      <c r="E260" s="154"/>
      <c r="F260" s="9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1.75" customHeight="1" x14ac:dyDescent="0.6">
      <c r="A261" s="1"/>
      <c r="B261" s="6"/>
      <c r="C261" s="1"/>
      <c r="D261" s="57"/>
      <c r="E261" s="154"/>
      <c r="F261" s="9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1.75" customHeight="1" x14ac:dyDescent="0.6">
      <c r="A262" s="1"/>
      <c r="B262" s="6"/>
      <c r="C262" s="1"/>
      <c r="D262" s="57"/>
      <c r="E262" s="154"/>
      <c r="F262" s="9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1.75" customHeight="1" x14ac:dyDescent="0.6">
      <c r="A263" s="1"/>
      <c r="B263" s="6"/>
      <c r="C263" s="1"/>
      <c r="D263" s="57"/>
      <c r="E263" s="154"/>
      <c r="F263" s="9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1.75" customHeight="1" x14ac:dyDescent="0.6">
      <c r="A264" s="1"/>
      <c r="B264" s="6"/>
      <c r="C264" s="1"/>
      <c r="D264" s="57"/>
      <c r="E264" s="154"/>
      <c r="F264" s="9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1.75" customHeight="1" x14ac:dyDescent="0.6">
      <c r="A265" s="1"/>
      <c r="B265" s="6"/>
      <c r="C265" s="1"/>
      <c r="D265" s="57"/>
      <c r="E265" s="154"/>
      <c r="F265" s="9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1.75" customHeight="1" x14ac:dyDescent="0.6">
      <c r="A266" s="1"/>
      <c r="B266" s="6"/>
      <c r="C266" s="1"/>
      <c r="D266" s="57"/>
      <c r="E266" s="154"/>
      <c r="F266" s="9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1.75" customHeight="1" x14ac:dyDescent="0.6">
      <c r="A267" s="1"/>
      <c r="B267" s="6"/>
      <c r="C267" s="1"/>
      <c r="D267" s="57"/>
      <c r="E267" s="154"/>
      <c r="F267" s="9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1.75" customHeight="1" x14ac:dyDescent="0.6">
      <c r="A268" s="1"/>
      <c r="B268" s="6"/>
      <c r="C268" s="1"/>
      <c r="D268" s="57"/>
      <c r="E268" s="154"/>
      <c r="F268" s="9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1.75" customHeight="1" x14ac:dyDescent="0.6">
      <c r="A269" s="1"/>
      <c r="B269" s="6"/>
      <c r="C269" s="1"/>
      <c r="D269" s="57"/>
      <c r="E269" s="154"/>
      <c r="F269" s="9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1.75" customHeight="1" x14ac:dyDescent="0.6">
      <c r="A270" s="1"/>
      <c r="B270" s="6"/>
      <c r="C270" s="1"/>
      <c r="D270" s="57"/>
      <c r="E270" s="154"/>
      <c r="F270" s="9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1.75" customHeight="1" x14ac:dyDescent="0.6">
      <c r="A271" s="1"/>
      <c r="B271" s="6"/>
      <c r="C271" s="1"/>
      <c r="D271" s="57"/>
      <c r="E271" s="154"/>
      <c r="F271" s="9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1.75" customHeight="1" x14ac:dyDescent="0.6">
      <c r="A272" s="1"/>
      <c r="B272" s="6"/>
      <c r="C272" s="1"/>
      <c r="D272" s="57"/>
      <c r="E272" s="154"/>
      <c r="F272" s="9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1.75" customHeight="1" x14ac:dyDescent="0.6">
      <c r="A273" s="1"/>
      <c r="B273" s="6"/>
      <c r="C273" s="1"/>
      <c r="D273" s="57"/>
      <c r="E273" s="154"/>
      <c r="F273" s="9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1.75" customHeight="1" x14ac:dyDescent="0.6">
      <c r="A274" s="1"/>
      <c r="B274" s="6"/>
      <c r="C274" s="1"/>
      <c r="D274" s="57"/>
      <c r="E274" s="154"/>
      <c r="F274" s="9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1.75" customHeight="1" x14ac:dyDescent="0.6">
      <c r="A275" s="1"/>
      <c r="B275" s="6"/>
      <c r="C275" s="1"/>
      <c r="D275" s="57"/>
      <c r="E275" s="154"/>
      <c r="F275" s="9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1.75" customHeight="1" x14ac:dyDescent="0.6">
      <c r="A276" s="1"/>
      <c r="B276" s="6"/>
      <c r="C276" s="1"/>
      <c r="D276" s="57"/>
      <c r="E276" s="154"/>
      <c r="F276" s="9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1.75" customHeight="1" x14ac:dyDescent="0.6">
      <c r="A277" s="1"/>
      <c r="B277" s="6"/>
      <c r="C277" s="1"/>
      <c r="D277" s="57"/>
      <c r="E277" s="154"/>
      <c r="F277" s="9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1.75" customHeight="1" x14ac:dyDescent="0.6">
      <c r="A278" s="1"/>
      <c r="B278" s="6"/>
      <c r="C278" s="1"/>
      <c r="D278" s="57"/>
      <c r="E278" s="154"/>
      <c r="F278" s="9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1.75" customHeight="1" x14ac:dyDescent="0.6">
      <c r="A279" s="1"/>
      <c r="B279" s="6"/>
      <c r="C279" s="1"/>
      <c r="D279" s="57"/>
      <c r="E279" s="154"/>
      <c r="F279" s="9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1.75" customHeight="1" x14ac:dyDescent="0.6">
      <c r="A280" s="1"/>
      <c r="B280" s="6"/>
      <c r="C280" s="1"/>
      <c r="D280" s="57"/>
      <c r="E280" s="154"/>
      <c r="F280" s="9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1.75" customHeight="1" x14ac:dyDescent="0.6">
      <c r="A281" s="1"/>
      <c r="B281" s="6"/>
      <c r="C281" s="1"/>
      <c r="D281" s="57"/>
      <c r="E281" s="154"/>
      <c r="F281" s="9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1.75" customHeight="1" x14ac:dyDescent="0.6">
      <c r="A282" s="1"/>
      <c r="B282" s="6"/>
      <c r="C282" s="1"/>
      <c r="D282" s="57"/>
      <c r="E282" s="154"/>
      <c r="F282" s="9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1.75" customHeight="1" x14ac:dyDescent="0.6">
      <c r="A283" s="1"/>
      <c r="B283" s="6"/>
      <c r="C283" s="1"/>
      <c r="D283" s="57"/>
      <c r="E283" s="154"/>
      <c r="F283" s="9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1.75" customHeight="1" x14ac:dyDescent="0.6">
      <c r="A284" s="1"/>
      <c r="B284" s="6"/>
      <c r="C284" s="1"/>
      <c r="D284" s="57"/>
      <c r="E284" s="154"/>
      <c r="F284" s="9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1.75" customHeight="1" x14ac:dyDescent="0.6">
      <c r="A285" s="1"/>
      <c r="B285" s="6"/>
      <c r="C285" s="1"/>
      <c r="D285" s="57"/>
      <c r="E285" s="154"/>
      <c r="F285" s="9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1.75" customHeight="1" x14ac:dyDescent="0.6">
      <c r="A286" s="1"/>
      <c r="B286" s="6"/>
      <c r="C286" s="1"/>
      <c r="D286" s="57"/>
      <c r="E286" s="154"/>
      <c r="F286" s="9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1.75" customHeight="1" x14ac:dyDescent="0.6">
      <c r="A287" s="1"/>
      <c r="B287" s="6"/>
      <c r="C287" s="1"/>
      <c r="D287" s="57"/>
      <c r="E287" s="154"/>
      <c r="F287" s="9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1.75" customHeight="1" x14ac:dyDescent="0.6">
      <c r="A288" s="1"/>
      <c r="B288" s="6"/>
      <c r="C288" s="1"/>
      <c r="D288" s="57"/>
      <c r="E288" s="154"/>
      <c r="F288" s="9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1.75" customHeight="1" x14ac:dyDescent="0.6">
      <c r="A289" s="1"/>
      <c r="B289" s="6"/>
      <c r="C289" s="1"/>
      <c r="D289" s="57"/>
      <c r="E289" s="154"/>
      <c r="F289" s="9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1.75" customHeight="1" x14ac:dyDescent="0.6">
      <c r="A290" s="1"/>
      <c r="B290" s="6"/>
      <c r="C290" s="1"/>
      <c r="D290" s="57"/>
      <c r="E290" s="154"/>
      <c r="F290" s="9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1.75" customHeight="1" x14ac:dyDescent="0.6">
      <c r="A291" s="1"/>
      <c r="B291" s="6"/>
      <c r="C291" s="1"/>
      <c r="D291" s="57"/>
      <c r="E291" s="154"/>
      <c r="F291" s="9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1.75" customHeight="1" x14ac:dyDescent="0.6">
      <c r="A292" s="1"/>
      <c r="B292" s="6"/>
      <c r="C292" s="1"/>
      <c r="D292" s="57"/>
      <c r="E292" s="154"/>
      <c r="F292" s="9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1.75" customHeight="1" x14ac:dyDescent="0.6">
      <c r="A293" s="1"/>
      <c r="B293" s="6"/>
      <c r="C293" s="1"/>
      <c r="D293" s="57"/>
      <c r="E293" s="154"/>
      <c r="F293" s="9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1.75" customHeight="1" x14ac:dyDescent="0.6">
      <c r="A294" s="1"/>
      <c r="B294" s="6"/>
      <c r="C294" s="1"/>
      <c r="D294" s="57"/>
      <c r="E294" s="154"/>
      <c r="F294" s="9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1.75" customHeight="1" x14ac:dyDescent="0.6">
      <c r="A295" s="1"/>
      <c r="B295" s="6"/>
      <c r="C295" s="1"/>
      <c r="D295" s="57"/>
      <c r="E295" s="154"/>
      <c r="F295" s="9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1.75" customHeight="1" x14ac:dyDescent="0.6">
      <c r="A296" s="1"/>
      <c r="B296" s="6"/>
      <c r="C296" s="1"/>
      <c r="D296" s="57"/>
      <c r="E296" s="154"/>
      <c r="F296" s="9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1.75" customHeight="1" x14ac:dyDescent="0.6">
      <c r="A297" s="1"/>
      <c r="B297" s="6"/>
      <c r="C297" s="1"/>
      <c r="D297" s="57"/>
      <c r="E297" s="154"/>
      <c r="F297" s="9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1.75" customHeight="1" x14ac:dyDescent="0.6">
      <c r="A298" s="1"/>
      <c r="B298" s="6"/>
      <c r="C298" s="1"/>
      <c r="D298" s="57"/>
      <c r="E298" s="154"/>
      <c r="F298" s="9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1.75" customHeight="1" x14ac:dyDescent="0.6">
      <c r="A299" s="1"/>
      <c r="B299" s="6"/>
      <c r="C299" s="1"/>
      <c r="D299" s="57"/>
      <c r="E299" s="154"/>
      <c r="F299" s="9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1.75" customHeight="1" x14ac:dyDescent="0.6">
      <c r="A300" s="1"/>
      <c r="B300" s="6"/>
      <c r="C300" s="1"/>
      <c r="D300" s="57"/>
      <c r="E300" s="154"/>
      <c r="F300" s="9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1.75" customHeight="1" x14ac:dyDescent="0.6">
      <c r="A301" s="1"/>
      <c r="B301" s="6"/>
      <c r="C301" s="1"/>
      <c r="D301" s="57"/>
      <c r="E301" s="154"/>
      <c r="F301" s="9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1.75" customHeight="1" x14ac:dyDescent="0.6">
      <c r="A302" s="1"/>
      <c r="B302" s="6"/>
      <c r="C302" s="1"/>
      <c r="D302" s="57"/>
      <c r="E302" s="154"/>
      <c r="F302" s="9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1.75" customHeight="1" x14ac:dyDescent="0.6">
      <c r="A303" s="1"/>
      <c r="B303" s="6"/>
      <c r="C303" s="1"/>
      <c r="D303" s="57"/>
      <c r="E303" s="154"/>
      <c r="F303" s="9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1.75" customHeight="1" x14ac:dyDescent="0.6">
      <c r="A304" s="1"/>
      <c r="B304" s="6"/>
      <c r="C304" s="1"/>
      <c r="D304" s="57"/>
      <c r="E304" s="154"/>
      <c r="F304" s="9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1.75" customHeight="1" x14ac:dyDescent="0.6">
      <c r="A305" s="1"/>
      <c r="B305" s="6"/>
      <c r="C305" s="1"/>
      <c r="D305" s="57"/>
      <c r="E305" s="154"/>
      <c r="F305" s="9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1.75" customHeight="1" x14ac:dyDescent="0.6">
      <c r="A306" s="1"/>
      <c r="B306" s="6"/>
      <c r="C306" s="1"/>
      <c r="D306" s="57"/>
      <c r="E306" s="154"/>
      <c r="F306" s="9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1.75" customHeight="1" x14ac:dyDescent="0.6">
      <c r="A307" s="1"/>
      <c r="B307" s="6"/>
      <c r="C307" s="1"/>
      <c r="D307" s="57"/>
      <c r="E307" s="154"/>
      <c r="F307" s="9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1.75" customHeight="1" x14ac:dyDescent="0.6">
      <c r="A308" s="1"/>
      <c r="B308" s="6"/>
      <c r="C308" s="1"/>
      <c r="D308" s="57"/>
      <c r="E308" s="154"/>
      <c r="F308" s="9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1.75" customHeight="1" x14ac:dyDescent="0.6">
      <c r="A309" s="1"/>
      <c r="B309" s="6"/>
      <c r="C309" s="1"/>
      <c r="D309" s="57"/>
      <c r="E309" s="154"/>
      <c r="F309" s="9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1.75" customHeight="1" x14ac:dyDescent="0.6">
      <c r="A310" s="1"/>
      <c r="B310" s="6"/>
      <c r="C310" s="1"/>
      <c r="D310" s="57"/>
      <c r="E310" s="154"/>
      <c r="F310" s="9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1.75" customHeight="1" x14ac:dyDescent="0.6">
      <c r="A311" s="1"/>
      <c r="B311" s="6"/>
      <c r="C311" s="1"/>
      <c r="D311" s="57"/>
      <c r="E311" s="154"/>
      <c r="F311" s="9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1.75" customHeight="1" x14ac:dyDescent="0.6">
      <c r="A312" s="1"/>
      <c r="B312" s="6"/>
      <c r="C312" s="1"/>
      <c r="D312" s="57"/>
      <c r="E312" s="154"/>
      <c r="F312" s="9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1.75" customHeight="1" x14ac:dyDescent="0.6">
      <c r="A313" s="1"/>
      <c r="B313" s="6"/>
      <c r="C313" s="1"/>
      <c r="D313" s="57"/>
      <c r="E313" s="154"/>
      <c r="F313" s="9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1.75" customHeight="1" x14ac:dyDescent="0.6">
      <c r="A314" s="1"/>
      <c r="B314" s="6"/>
      <c r="C314" s="1"/>
      <c r="D314" s="57"/>
      <c r="E314" s="154"/>
      <c r="F314" s="9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1.75" customHeight="1" x14ac:dyDescent="0.6">
      <c r="A315" s="1"/>
      <c r="B315" s="6"/>
      <c r="C315" s="1"/>
      <c r="D315" s="57"/>
      <c r="E315" s="154"/>
      <c r="F315" s="9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1.75" customHeight="1" x14ac:dyDescent="0.6">
      <c r="A316" s="1"/>
      <c r="B316" s="6"/>
      <c r="C316" s="1"/>
      <c r="D316" s="57"/>
      <c r="E316" s="154"/>
      <c r="F316" s="9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1.75" customHeight="1" x14ac:dyDescent="0.6">
      <c r="A317" s="1"/>
      <c r="B317" s="6"/>
      <c r="C317" s="1"/>
      <c r="D317" s="57"/>
      <c r="E317" s="154"/>
      <c r="F317" s="9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1.75" customHeight="1" x14ac:dyDescent="0.6">
      <c r="A318" s="1"/>
      <c r="B318" s="6"/>
      <c r="C318" s="1"/>
      <c r="D318" s="57"/>
      <c r="E318" s="154"/>
      <c r="F318" s="9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1.75" customHeight="1" x14ac:dyDescent="0.6">
      <c r="A319" s="1"/>
      <c r="B319" s="6"/>
      <c r="C319" s="1"/>
      <c r="D319" s="57"/>
      <c r="E319" s="154"/>
      <c r="F319" s="9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1.75" customHeight="1" x14ac:dyDescent="0.6">
      <c r="A320" s="1"/>
      <c r="B320" s="6"/>
      <c r="C320" s="1"/>
      <c r="D320" s="57"/>
      <c r="E320" s="154"/>
      <c r="F320" s="9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1.75" customHeight="1" x14ac:dyDescent="0.6">
      <c r="A321" s="1"/>
      <c r="B321" s="6"/>
      <c r="C321" s="1"/>
      <c r="D321" s="57"/>
      <c r="E321" s="154"/>
      <c r="F321" s="9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1.75" customHeight="1" x14ac:dyDescent="0.6">
      <c r="A322" s="1"/>
      <c r="B322" s="6"/>
      <c r="C322" s="1"/>
      <c r="D322" s="57"/>
      <c r="E322" s="154"/>
      <c r="F322" s="9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1.75" customHeight="1" x14ac:dyDescent="0.6">
      <c r="A323" s="1"/>
      <c r="B323" s="6"/>
      <c r="C323" s="1"/>
      <c r="D323" s="57"/>
      <c r="E323" s="154"/>
      <c r="F323" s="9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1.75" customHeight="1" x14ac:dyDescent="0.6">
      <c r="A324" s="1"/>
      <c r="B324" s="6"/>
      <c r="C324" s="1"/>
      <c r="D324" s="57"/>
      <c r="E324" s="154"/>
      <c r="F324" s="9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1.75" customHeight="1" x14ac:dyDescent="0.6">
      <c r="A325" s="1"/>
      <c r="B325" s="6"/>
      <c r="C325" s="1"/>
      <c r="D325" s="57"/>
      <c r="E325" s="154"/>
      <c r="F325" s="9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1.75" customHeight="1" x14ac:dyDescent="0.6">
      <c r="A326" s="1"/>
      <c r="B326" s="6"/>
      <c r="C326" s="1"/>
      <c r="D326" s="57"/>
      <c r="E326" s="154"/>
      <c r="F326" s="9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1.75" customHeight="1" x14ac:dyDescent="0.6">
      <c r="A327" s="1"/>
      <c r="B327" s="6"/>
      <c r="C327" s="1"/>
      <c r="D327" s="57"/>
      <c r="E327" s="154"/>
      <c r="F327" s="9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1.75" customHeight="1" x14ac:dyDescent="0.6">
      <c r="A328" s="1"/>
      <c r="B328" s="6"/>
      <c r="C328" s="1"/>
      <c r="D328" s="57"/>
      <c r="E328" s="154"/>
      <c r="F328" s="9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1.75" customHeight="1" x14ac:dyDescent="0.6">
      <c r="A329" s="1"/>
      <c r="B329" s="6"/>
      <c r="C329" s="1"/>
      <c r="D329" s="57"/>
      <c r="E329" s="154"/>
      <c r="F329" s="9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1.75" customHeight="1" x14ac:dyDescent="0.6">
      <c r="A330" s="1"/>
      <c r="B330" s="6"/>
      <c r="C330" s="1"/>
      <c r="D330" s="57"/>
      <c r="E330" s="154"/>
      <c r="F330" s="9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1.75" customHeight="1" x14ac:dyDescent="0.6">
      <c r="A331" s="1"/>
      <c r="B331" s="6"/>
      <c r="C331" s="1"/>
      <c r="D331" s="57"/>
      <c r="E331" s="154"/>
      <c r="F331" s="9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1.75" customHeight="1" x14ac:dyDescent="0.6">
      <c r="A332" s="1"/>
      <c r="B332" s="6"/>
      <c r="C332" s="1"/>
      <c r="D332" s="57"/>
      <c r="E332" s="154"/>
      <c r="F332" s="9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1.75" customHeight="1" x14ac:dyDescent="0.6">
      <c r="A333" s="1"/>
      <c r="B333" s="6"/>
      <c r="C333" s="1"/>
      <c r="D333" s="57"/>
      <c r="E333" s="154"/>
      <c r="F333" s="9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1.75" customHeight="1" x14ac:dyDescent="0.6">
      <c r="A334" s="1"/>
      <c r="B334" s="6"/>
      <c r="C334" s="1"/>
      <c r="D334" s="57"/>
      <c r="E334" s="154"/>
      <c r="F334" s="9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1.75" customHeight="1" x14ac:dyDescent="0.6">
      <c r="A335" s="1"/>
      <c r="B335" s="6"/>
      <c r="C335" s="1"/>
      <c r="D335" s="57"/>
      <c r="E335" s="154"/>
      <c r="F335" s="9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1.75" customHeight="1" x14ac:dyDescent="0.6">
      <c r="A336" s="1"/>
      <c r="B336" s="6"/>
      <c r="C336" s="1"/>
      <c r="D336" s="57"/>
      <c r="E336" s="154"/>
      <c r="F336" s="9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1.75" customHeight="1" x14ac:dyDescent="0.6">
      <c r="A337" s="1"/>
      <c r="B337" s="6"/>
      <c r="C337" s="1"/>
      <c r="D337" s="57"/>
      <c r="E337" s="154"/>
      <c r="F337" s="9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1.75" customHeight="1" x14ac:dyDescent="0.6">
      <c r="A338" s="1"/>
      <c r="B338" s="6"/>
      <c r="C338" s="1"/>
      <c r="D338" s="57"/>
      <c r="E338" s="154"/>
      <c r="F338" s="9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1.75" customHeight="1" x14ac:dyDescent="0.6">
      <c r="A339" s="1"/>
      <c r="B339" s="6"/>
      <c r="C339" s="1"/>
      <c r="D339" s="57"/>
      <c r="E339" s="154"/>
      <c r="F339" s="9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1.75" customHeight="1" x14ac:dyDescent="0.6">
      <c r="A340" s="1"/>
      <c r="B340" s="6"/>
      <c r="C340" s="1"/>
      <c r="D340" s="57"/>
      <c r="E340" s="154"/>
      <c r="F340" s="9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1.75" customHeight="1" x14ac:dyDescent="0.6">
      <c r="A341" s="1"/>
      <c r="B341" s="6"/>
      <c r="C341" s="1"/>
      <c r="D341" s="57"/>
      <c r="E341" s="154"/>
      <c r="F341" s="9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1.75" customHeight="1" x14ac:dyDescent="0.6">
      <c r="A342" s="1"/>
      <c r="B342" s="6"/>
      <c r="C342" s="1"/>
      <c r="D342" s="57"/>
      <c r="E342" s="154"/>
      <c r="F342" s="9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1.75" customHeight="1" x14ac:dyDescent="0.6">
      <c r="A343" s="1"/>
      <c r="B343" s="6"/>
      <c r="C343" s="1"/>
      <c r="D343" s="57"/>
      <c r="E343" s="154"/>
      <c r="F343" s="9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1.75" customHeight="1" x14ac:dyDescent="0.6">
      <c r="A344" s="1"/>
      <c r="B344" s="6"/>
      <c r="C344" s="1"/>
      <c r="D344" s="57"/>
      <c r="E344" s="154"/>
      <c r="F344" s="9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1.75" customHeight="1" x14ac:dyDescent="0.6">
      <c r="A345" s="1"/>
      <c r="B345" s="6"/>
      <c r="C345" s="1"/>
      <c r="D345" s="57"/>
      <c r="E345" s="154"/>
      <c r="F345" s="9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1.75" customHeight="1" x14ac:dyDescent="0.6">
      <c r="A346" s="1"/>
      <c r="B346" s="6"/>
      <c r="C346" s="1"/>
      <c r="D346" s="57"/>
      <c r="E346" s="154"/>
      <c r="F346" s="9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1.75" customHeight="1" x14ac:dyDescent="0.6">
      <c r="A347" s="1"/>
      <c r="B347" s="6"/>
      <c r="C347" s="1"/>
      <c r="D347" s="57"/>
      <c r="E347" s="154"/>
      <c r="F347" s="9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1.75" customHeight="1" x14ac:dyDescent="0.6">
      <c r="A348" s="1"/>
      <c r="B348" s="6"/>
      <c r="C348" s="1"/>
      <c r="D348" s="57"/>
      <c r="E348" s="154"/>
      <c r="F348" s="9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1.75" customHeight="1" x14ac:dyDescent="0.6">
      <c r="A349" s="1"/>
      <c r="B349" s="6"/>
      <c r="C349" s="1"/>
      <c r="D349" s="57"/>
      <c r="E349" s="154"/>
      <c r="F349" s="9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1.75" customHeight="1" x14ac:dyDescent="0.6">
      <c r="A350" s="1"/>
      <c r="B350" s="6"/>
      <c r="C350" s="1"/>
      <c r="D350" s="57"/>
      <c r="E350" s="154"/>
      <c r="F350" s="9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1.75" customHeight="1" x14ac:dyDescent="0.6">
      <c r="A351" s="1"/>
      <c r="B351" s="6"/>
      <c r="C351" s="1"/>
      <c r="D351" s="57"/>
      <c r="E351" s="154"/>
      <c r="F351" s="9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1.75" customHeight="1" x14ac:dyDescent="0.6">
      <c r="A352" s="1"/>
      <c r="B352" s="6"/>
      <c r="C352" s="1"/>
      <c r="D352" s="57"/>
      <c r="E352" s="154"/>
      <c r="F352" s="9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1.75" customHeight="1" x14ac:dyDescent="0.6">
      <c r="A353" s="1"/>
      <c r="B353" s="6"/>
      <c r="C353" s="1"/>
      <c r="D353" s="57"/>
      <c r="E353" s="154"/>
      <c r="F353" s="9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1.75" customHeight="1" x14ac:dyDescent="0.6">
      <c r="A354" s="1"/>
      <c r="B354" s="6"/>
      <c r="C354" s="1"/>
      <c r="D354" s="57"/>
      <c r="E354" s="154"/>
      <c r="F354" s="9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1.75" customHeight="1" x14ac:dyDescent="0.6">
      <c r="A355" s="1"/>
      <c r="B355" s="6"/>
      <c r="C355" s="1"/>
      <c r="D355" s="57"/>
      <c r="E355" s="154"/>
      <c r="F355" s="9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1.75" customHeight="1" x14ac:dyDescent="0.6">
      <c r="A356" s="1"/>
      <c r="B356" s="6"/>
      <c r="C356" s="1"/>
      <c r="D356" s="57"/>
      <c r="E356" s="154"/>
      <c r="F356" s="9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1.75" customHeight="1" x14ac:dyDescent="0.6">
      <c r="A357" s="1"/>
      <c r="B357" s="6"/>
      <c r="C357" s="1"/>
      <c r="D357" s="57"/>
      <c r="E357" s="154"/>
      <c r="F357" s="9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1.75" customHeight="1" x14ac:dyDescent="0.6">
      <c r="A358" s="1"/>
      <c r="B358" s="6"/>
      <c r="C358" s="1"/>
      <c r="D358" s="57"/>
      <c r="E358" s="154"/>
      <c r="F358" s="9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1.75" customHeight="1" x14ac:dyDescent="0.6">
      <c r="A359" s="1"/>
      <c r="B359" s="6"/>
      <c r="C359" s="1"/>
      <c r="D359" s="57"/>
      <c r="E359" s="154"/>
      <c r="F359" s="9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1.75" customHeight="1" x14ac:dyDescent="0.6">
      <c r="A360" s="1"/>
      <c r="B360" s="6"/>
      <c r="C360" s="1"/>
      <c r="D360" s="57"/>
      <c r="E360" s="154"/>
      <c r="F360" s="9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1.75" customHeight="1" x14ac:dyDescent="0.6">
      <c r="A361" s="1"/>
      <c r="B361" s="6"/>
      <c r="C361" s="1"/>
      <c r="D361" s="57"/>
      <c r="E361" s="154"/>
      <c r="F361" s="9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1.75" customHeight="1" x14ac:dyDescent="0.6">
      <c r="A362" s="1"/>
      <c r="B362" s="6"/>
      <c r="C362" s="1"/>
      <c r="D362" s="57"/>
      <c r="E362" s="154"/>
      <c r="F362" s="9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1.75" customHeight="1" x14ac:dyDescent="0.6">
      <c r="A363" s="1"/>
      <c r="B363" s="6"/>
      <c r="C363" s="1"/>
      <c r="D363" s="57"/>
      <c r="E363" s="154"/>
      <c r="F363" s="9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1.75" customHeight="1" x14ac:dyDescent="0.6">
      <c r="A364" s="1"/>
      <c r="B364" s="6"/>
      <c r="C364" s="1"/>
      <c r="D364" s="57"/>
      <c r="E364" s="154"/>
      <c r="F364" s="9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1.75" customHeight="1" x14ac:dyDescent="0.6">
      <c r="A365" s="1"/>
      <c r="B365" s="6"/>
      <c r="C365" s="1"/>
      <c r="D365" s="57"/>
      <c r="E365" s="154"/>
      <c r="F365" s="9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1.75" customHeight="1" x14ac:dyDescent="0.6">
      <c r="A366" s="1"/>
      <c r="B366" s="6"/>
      <c r="C366" s="1"/>
      <c r="D366" s="57"/>
      <c r="E366" s="154"/>
      <c r="F366" s="9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1.75" customHeight="1" x14ac:dyDescent="0.6">
      <c r="A367" s="1"/>
      <c r="B367" s="6"/>
      <c r="C367" s="1"/>
      <c r="D367" s="57"/>
      <c r="E367" s="154"/>
      <c r="F367" s="9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1.75" customHeight="1" x14ac:dyDescent="0.6">
      <c r="A368" s="1"/>
      <c r="B368" s="6"/>
      <c r="C368" s="1"/>
      <c r="D368" s="57"/>
      <c r="E368" s="154"/>
      <c r="F368" s="9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1.75" customHeight="1" x14ac:dyDescent="0.6">
      <c r="A369" s="1"/>
      <c r="B369" s="6"/>
      <c r="C369" s="1"/>
      <c r="D369" s="57"/>
      <c r="E369" s="154"/>
      <c r="F369" s="9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1.75" customHeight="1" x14ac:dyDescent="0.6">
      <c r="A370" s="1"/>
      <c r="B370" s="6"/>
      <c r="C370" s="1"/>
      <c r="D370" s="57"/>
      <c r="E370" s="154"/>
      <c r="F370" s="9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1.75" customHeight="1" x14ac:dyDescent="0.6">
      <c r="A371" s="1"/>
      <c r="B371" s="6"/>
      <c r="C371" s="1"/>
      <c r="D371" s="57"/>
      <c r="E371" s="154"/>
      <c r="F371" s="9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1.75" customHeight="1" x14ac:dyDescent="0.6">
      <c r="A372" s="1"/>
      <c r="B372" s="6"/>
      <c r="C372" s="1"/>
      <c r="D372" s="57"/>
      <c r="E372" s="154"/>
      <c r="F372" s="9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1.75" customHeight="1" x14ac:dyDescent="0.6">
      <c r="A373" s="1"/>
      <c r="B373" s="6"/>
      <c r="C373" s="1"/>
      <c r="D373" s="57"/>
      <c r="E373" s="154"/>
      <c r="F373" s="9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1.75" customHeight="1" x14ac:dyDescent="0.6">
      <c r="A374" s="1"/>
      <c r="B374" s="6"/>
      <c r="C374" s="1"/>
      <c r="D374" s="57"/>
      <c r="E374" s="154"/>
      <c r="F374" s="9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1.75" customHeight="1" x14ac:dyDescent="0.6">
      <c r="A375" s="1"/>
      <c r="B375" s="6"/>
      <c r="C375" s="1"/>
      <c r="D375" s="57"/>
      <c r="E375" s="154"/>
      <c r="F375" s="9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1.75" customHeight="1" x14ac:dyDescent="0.6">
      <c r="A376" s="1"/>
      <c r="B376" s="6"/>
      <c r="C376" s="1"/>
      <c r="D376" s="57"/>
      <c r="E376" s="154"/>
      <c r="F376" s="9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1.75" customHeight="1" x14ac:dyDescent="0.6">
      <c r="A377" s="1"/>
      <c r="B377" s="6"/>
      <c r="C377" s="1"/>
      <c r="D377" s="57"/>
      <c r="E377" s="154"/>
      <c r="F377" s="9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1.75" customHeight="1" x14ac:dyDescent="0.6">
      <c r="A378" s="1"/>
      <c r="B378" s="6"/>
      <c r="C378" s="1"/>
      <c r="D378" s="57"/>
      <c r="E378" s="154"/>
      <c r="F378" s="9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1.75" customHeight="1" x14ac:dyDescent="0.6">
      <c r="A379" s="1"/>
      <c r="B379" s="6"/>
      <c r="C379" s="1"/>
      <c r="D379" s="57"/>
      <c r="E379" s="154"/>
      <c r="F379" s="9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1.75" customHeight="1" x14ac:dyDescent="0.6">
      <c r="A380" s="1"/>
      <c r="B380" s="6"/>
      <c r="C380" s="1"/>
      <c r="D380" s="57"/>
      <c r="E380" s="154"/>
      <c r="F380" s="9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1.75" customHeight="1" x14ac:dyDescent="0.6">
      <c r="A381" s="1"/>
      <c r="B381" s="6"/>
      <c r="C381" s="1"/>
      <c r="D381" s="57"/>
      <c r="E381" s="154"/>
      <c r="F381" s="9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1.75" customHeight="1" x14ac:dyDescent="0.6">
      <c r="A382" s="1"/>
      <c r="B382" s="6"/>
      <c r="C382" s="1"/>
      <c r="D382" s="57"/>
      <c r="E382" s="154"/>
      <c r="F382" s="9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1.75" customHeight="1" x14ac:dyDescent="0.6">
      <c r="A383" s="1"/>
      <c r="B383" s="6"/>
      <c r="C383" s="1"/>
      <c r="D383" s="57"/>
      <c r="E383" s="154"/>
      <c r="F383" s="9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1.75" customHeight="1" x14ac:dyDescent="0.6">
      <c r="A384" s="1"/>
      <c r="B384" s="6"/>
      <c r="C384" s="1"/>
      <c r="D384" s="57"/>
      <c r="E384" s="154"/>
      <c r="F384" s="9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1.75" customHeight="1" x14ac:dyDescent="0.6">
      <c r="A385" s="1"/>
      <c r="B385" s="6"/>
      <c r="C385" s="1"/>
      <c r="D385" s="57"/>
      <c r="E385" s="154"/>
      <c r="F385" s="9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1.75" customHeight="1" x14ac:dyDescent="0.6">
      <c r="A386" s="1"/>
      <c r="B386" s="6"/>
      <c r="C386" s="1"/>
      <c r="D386" s="57"/>
      <c r="E386" s="154"/>
      <c r="F386" s="9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1.75" customHeight="1" x14ac:dyDescent="0.6">
      <c r="A387" s="1"/>
      <c r="B387" s="6"/>
      <c r="C387" s="1"/>
      <c r="D387" s="57"/>
      <c r="E387" s="154"/>
      <c r="F387" s="9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1.75" customHeight="1" x14ac:dyDescent="0.6">
      <c r="A388" s="1"/>
      <c r="B388" s="6"/>
      <c r="C388" s="1"/>
      <c r="D388" s="57"/>
      <c r="E388" s="154"/>
      <c r="F388" s="9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1.75" customHeight="1" x14ac:dyDescent="0.6">
      <c r="A389" s="1"/>
      <c r="B389" s="6"/>
      <c r="C389" s="1"/>
      <c r="D389" s="57"/>
      <c r="E389" s="154"/>
      <c r="F389" s="9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1.75" customHeight="1" x14ac:dyDescent="0.6">
      <c r="A390" s="1"/>
      <c r="B390" s="6"/>
      <c r="C390" s="1"/>
      <c r="D390" s="57"/>
      <c r="E390" s="154"/>
      <c r="F390" s="9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1.75" customHeight="1" x14ac:dyDescent="0.6">
      <c r="A391" s="1"/>
      <c r="B391" s="6"/>
      <c r="C391" s="1"/>
      <c r="D391" s="57"/>
      <c r="E391" s="154"/>
      <c r="F391" s="9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1.75" customHeight="1" x14ac:dyDescent="0.6">
      <c r="A392" s="1"/>
      <c r="B392" s="6"/>
      <c r="C392" s="1"/>
      <c r="D392" s="57"/>
      <c r="E392" s="154"/>
      <c r="F392" s="9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1.75" customHeight="1" x14ac:dyDescent="0.6">
      <c r="A393" s="1"/>
      <c r="B393" s="6"/>
      <c r="C393" s="1"/>
      <c r="D393" s="57"/>
      <c r="E393" s="154"/>
      <c r="F393" s="9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1.75" customHeight="1" x14ac:dyDescent="0.6">
      <c r="A394" s="1"/>
      <c r="B394" s="6"/>
      <c r="C394" s="1"/>
      <c r="D394" s="57"/>
      <c r="E394" s="154"/>
      <c r="F394" s="9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1.75" customHeight="1" x14ac:dyDescent="0.6">
      <c r="A395" s="1"/>
      <c r="B395" s="6"/>
      <c r="C395" s="1"/>
      <c r="D395" s="57"/>
      <c r="E395" s="154"/>
      <c r="F395" s="9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1.75" customHeight="1" x14ac:dyDescent="0.6">
      <c r="A396" s="1"/>
      <c r="B396" s="6"/>
      <c r="C396" s="1"/>
      <c r="D396" s="57"/>
      <c r="E396" s="154"/>
      <c r="F396" s="9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1.75" customHeight="1" x14ac:dyDescent="0.6">
      <c r="A397" s="1"/>
      <c r="B397" s="6"/>
      <c r="C397" s="1"/>
      <c r="D397" s="57"/>
      <c r="E397" s="154"/>
      <c r="F397" s="9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1.75" customHeight="1" x14ac:dyDescent="0.6">
      <c r="A398" s="1"/>
      <c r="B398" s="6"/>
      <c r="C398" s="1"/>
      <c r="D398" s="57"/>
      <c r="E398" s="154"/>
      <c r="F398" s="9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1.75" customHeight="1" x14ac:dyDescent="0.6">
      <c r="A399" s="1"/>
      <c r="B399" s="6"/>
      <c r="C399" s="1"/>
      <c r="D399" s="57"/>
      <c r="E399" s="154"/>
      <c r="F399" s="9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1.75" customHeight="1" x14ac:dyDescent="0.6">
      <c r="A400" s="1"/>
      <c r="B400" s="6"/>
      <c r="C400" s="1"/>
      <c r="D400" s="57"/>
      <c r="E400" s="154"/>
      <c r="F400" s="9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1.75" customHeight="1" x14ac:dyDescent="0.6">
      <c r="A401" s="1"/>
      <c r="B401" s="6"/>
      <c r="C401" s="1"/>
      <c r="D401" s="57"/>
      <c r="E401" s="154"/>
      <c r="F401" s="9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1.75" customHeight="1" x14ac:dyDescent="0.6">
      <c r="A402" s="1"/>
      <c r="B402" s="6"/>
      <c r="C402" s="1"/>
      <c r="D402" s="57"/>
      <c r="E402" s="154"/>
      <c r="F402" s="9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1.75" customHeight="1" x14ac:dyDescent="0.6">
      <c r="A403" s="1"/>
      <c r="B403" s="6"/>
      <c r="C403" s="1"/>
      <c r="D403" s="57"/>
      <c r="E403" s="154"/>
      <c r="F403" s="9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1.75" customHeight="1" x14ac:dyDescent="0.6">
      <c r="A404" s="1"/>
      <c r="B404" s="6"/>
      <c r="C404" s="1"/>
      <c r="D404" s="57"/>
      <c r="E404" s="154"/>
      <c r="F404" s="9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1.75" customHeight="1" x14ac:dyDescent="0.6">
      <c r="A405" s="1"/>
      <c r="B405" s="6"/>
      <c r="C405" s="1"/>
      <c r="D405" s="57"/>
      <c r="E405" s="154"/>
      <c r="F405" s="9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1.75" customHeight="1" x14ac:dyDescent="0.6">
      <c r="A406" s="1"/>
      <c r="B406" s="6"/>
      <c r="C406" s="1"/>
      <c r="D406" s="57"/>
      <c r="E406" s="154"/>
      <c r="F406" s="9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1.75" customHeight="1" x14ac:dyDescent="0.6">
      <c r="A407" s="1"/>
      <c r="B407" s="6"/>
      <c r="C407" s="1"/>
      <c r="D407" s="57"/>
      <c r="E407" s="154"/>
      <c r="F407" s="9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1.75" customHeight="1" x14ac:dyDescent="0.6">
      <c r="A408" s="1"/>
      <c r="B408" s="6"/>
      <c r="C408" s="1"/>
      <c r="D408" s="57"/>
      <c r="E408" s="154"/>
      <c r="F408" s="9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1.75" customHeight="1" x14ac:dyDescent="0.6">
      <c r="A409" s="1"/>
      <c r="B409" s="6"/>
      <c r="C409" s="1"/>
      <c r="D409" s="57"/>
      <c r="E409" s="154"/>
      <c r="F409" s="9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1.75" customHeight="1" x14ac:dyDescent="0.6">
      <c r="A410" s="1"/>
      <c r="B410" s="6"/>
      <c r="C410" s="1"/>
      <c r="D410" s="57"/>
      <c r="E410" s="154"/>
      <c r="F410" s="9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1.75" customHeight="1" x14ac:dyDescent="0.6">
      <c r="A411" s="1"/>
      <c r="B411" s="6"/>
      <c r="C411" s="1"/>
      <c r="D411" s="57"/>
      <c r="E411" s="154"/>
      <c r="F411" s="9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1.75" customHeight="1" x14ac:dyDescent="0.6">
      <c r="A412" s="1"/>
      <c r="B412" s="6"/>
      <c r="C412" s="1"/>
      <c r="D412" s="57"/>
      <c r="E412" s="154"/>
      <c r="F412" s="9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1.75" customHeight="1" x14ac:dyDescent="0.6">
      <c r="A413" s="1"/>
      <c r="B413" s="6"/>
      <c r="C413" s="1"/>
      <c r="D413" s="57"/>
      <c r="E413" s="154"/>
      <c r="F413" s="9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1.75" customHeight="1" x14ac:dyDescent="0.6">
      <c r="A414" s="1"/>
      <c r="B414" s="6"/>
      <c r="C414" s="1"/>
      <c r="D414" s="57"/>
      <c r="E414" s="154"/>
      <c r="F414" s="9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1.75" customHeight="1" x14ac:dyDescent="0.6">
      <c r="A415" s="1"/>
      <c r="B415" s="6"/>
      <c r="C415" s="1"/>
      <c r="D415" s="57"/>
      <c r="E415" s="154"/>
      <c r="F415" s="9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1.75" customHeight="1" x14ac:dyDescent="0.6">
      <c r="A416" s="1"/>
      <c r="B416" s="6"/>
      <c r="C416" s="1"/>
      <c r="D416" s="57"/>
      <c r="E416" s="154"/>
      <c r="F416" s="9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1.75" customHeight="1" x14ac:dyDescent="0.6">
      <c r="A417" s="1"/>
      <c r="B417" s="6"/>
      <c r="C417" s="1"/>
      <c r="D417" s="57"/>
      <c r="E417" s="154"/>
      <c r="F417" s="9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1.75" customHeight="1" x14ac:dyDescent="0.6">
      <c r="A418" s="1"/>
      <c r="B418" s="6"/>
      <c r="C418" s="1"/>
      <c r="D418" s="57"/>
      <c r="E418" s="154"/>
      <c r="F418" s="9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1.75" customHeight="1" x14ac:dyDescent="0.6">
      <c r="A419" s="1"/>
      <c r="B419" s="6"/>
      <c r="C419" s="1"/>
      <c r="D419" s="57"/>
      <c r="E419" s="154"/>
      <c r="F419" s="9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1.75" customHeight="1" x14ac:dyDescent="0.6">
      <c r="A420" s="1"/>
      <c r="B420" s="6"/>
      <c r="C420" s="1"/>
      <c r="D420" s="57"/>
      <c r="E420" s="154"/>
      <c r="F420" s="9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1.75" customHeight="1" x14ac:dyDescent="0.6">
      <c r="A421" s="1"/>
      <c r="B421" s="6"/>
      <c r="C421" s="1"/>
      <c r="D421" s="57"/>
      <c r="E421" s="154"/>
      <c r="F421" s="9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1.75" customHeight="1" x14ac:dyDescent="0.6">
      <c r="A422" s="1"/>
      <c r="B422" s="6"/>
      <c r="C422" s="1"/>
      <c r="D422" s="57"/>
      <c r="E422" s="154"/>
      <c r="F422" s="9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1.75" customHeight="1" x14ac:dyDescent="0.6">
      <c r="A423" s="1"/>
      <c r="B423" s="6"/>
      <c r="C423" s="1"/>
      <c r="D423" s="57"/>
      <c r="E423" s="154"/>
      <c r="F423" s="9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1.75" customHeight="1" x14ac:dyDescent="0.6">
      <c r="A424" s="1"/>
      <c r="B424" s="6"/>
      <c r="C424" s="1"/>
      <c r="D424" s="57"/>
      <c r="E424" s="154"/>
      <c r="F424" s="9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1.75" customHeight="1" x14ac:dyDescent="0.6">
      <c r="A425" s="1"/>
      <c r="B425" s="6"/>
      <c r="C425" s="1"/>
      <c r="D425" s="57"/>
      <c r="E425" s="154"/>
      <c r="F425" s="9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1.75" customHeight="1" x14ac:dyDescent="0.6">
      <c r="A426" s="1"/>
      <c r="B426" s="6"/>
      <c r="C426" s="1"/>
      <c r="D426" s="57"/>
      <c r="E426" s="154"/>
      <c r="F426" s="9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1.75" customHeight="1" x14ac:dyDescent="0.6">
      <c r="A427" s="1"/>
      <c r="B427" s="6"/>
      <c r="C427" s="1"/>
      <c r="D427" s="57"/>
      <c r="E427" s="154"/>
      <c r="F427" s="9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1.75" customHeight="1" x14ac:dyDescent="0.6">
      <c r="A428" s="1"/>
      <c r="B428" s="6"/>
      <c r="C428" s="1"/>
      <c r="D428" s="57"/>
      <c r="E428" s="154"/>
      <c r="F428" s="9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1.75" customHeight="1" x14ac:dyDescent="0.6">
      <c r="A429" s="1"/>
      <c r="B429" s="6"/>
      <c r="C429" s="1"/>
      <c r="D429" s="57"/>
      <c r="E429" s="154"/>
      <c r="F429" s="9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1.75" customHeight="1" x14ac:dyDescent="0.6">
      <c r="A430" s="1"/>
      <c r="B430" s="6"/>
      <c r="C430" s="1"/>
      <c r="D430" s="57"/>
      <c r="E430" s="154"/>
      <c r="F430" s="9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1.75" customHeight="1" x14ac:dyDescent="0.6">
      <c r="A431" s="1"/>
      <c r="B431" s="6"/>
      <c r="C431" s="1"/>
      <c r="D431" s="57"/>
      <c r="E431" s="154"/>
      <c r="F431" s="9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1.75" customHeight="1" x14ac:dyDescent="0.6">
      <c r="A432" s="1"/>
      <c r="B432" s="6"/>
      <c r="C432" s="1"/>
      <c r="D432" s="57"/>
      <c r="E432" s="154"/>
      <c r="F432" s="9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1.75" customHeight="1" x14ac:dyDescent="0.6">
      <c r="A433" s="1"/>
      <c r="B433" s="6"/>
      <c r="C433" s="1"/>
      <c r="D433" s="57"/>
      <c r="E433" s="154"/>
      <c r="F433" s="9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1.75" customHeight="1" x14ac:dyDescent="0.6">
      <c r="A434" s="1"/>
      <c r="B434" s="6"/>
      <c r="C434" s="1"/>
      <c r="D434" s="57"/>
      <c r="E434" s="154"/>
      <c r="F434" s="9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1.75" customHeight="1" x14ac:dyDescent="0.6">
      <c r="A435" s="1"/>
      <c r="B435" s="6"/>
      <c r="C435" s="1"/>
      <c r="D435" s="57"/>
      <c r="E435" s="154"/>
      <c r="F435" s="9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1.75" customHeight="1" x14ac:dyDescent="0.6">
      <c r="A436" s="1"/>
      <c r="B436" s="6"/>
      <c r="C436" s="1"/>
      <c r="D436" s="57"/>
      <c r="E436" s="154"/>
      <c r="F436" s="9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1.75" customHeight="1" x14ac:dyDescent="0.6">
      <c r="A437" s="1"/>
      <c r="B437" s="6"/>
      <c r="C437" s="1"/>
      <c r="D437" s="57"/>
      <c r="E437" s="154"/>
      <c r="F437" s="9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1.75" customHeight="1" x14ac:dyDescent="0.6">
      <c r="A438" s="1"/>
      <c r="B438" s="6"/>
      <c r="C438" s="1"/>
      <c r="D438" s="57"/>
      <c r="E438" s="154"/>
      <c r="F438" s="9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1.75" customHeight="1" x14ac:dyDescent="0.6">
      <c r="A439" s="1"/>
      <c r="B439" s="6"/>
      <c r="C439" s="1"/>
      <c r="D439" s="57"/>
      <c r="E439" s="154"/>
      <c r="F439" s="9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1.75" customHeight="1" x14ac:dyDescent="0.6">
      <c r="A440" s="1"/>
      <c r="B440" s="6"/>
      <c r="C440" s="1"/>
      <c r="D440" s="57"/>
      <c r="E440" s="154"/>
      <c r="F440" s="9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1.75" customHeight="1" x14ac:dyDescent="0.6">
      <c r="A441" s="1"/>
      <c r="B441" s="6"/>
      <c r="C441" s="1"/>
      <c r="D441" s="57"/>
      <c r="E441" s="154"/>
      <c r="F441" s="9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1.75" customHeight="1" x14ac:dyDescent="0.6">
      <c r="A442" s="1"/>
      <c r="B442" s="6"/>
      <c r="C442" s="1"/>
      <c r="D442" s="57"/>
      <c r="E442" s="154"/>
      <c r="F442" s="9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1.75" customHeight="1" x14ac:dyDescent="0.6">
      <c r="A443" s="1"/>
      <c r="B443" s="6"/>
      <c r="C443" s="1"/>
      <c r="D443" s="57"/>
      <c r="E443" s="154"/>
      <c r="F443" s="9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1.75" customHeight="1" x14ac:dyDescent="0.6">
      <c r="A444" s="1"/>
      <c r="B444" s="6"/>
      <c r="C444" s="1"/>
      <c r="D444" s="57"/>
      <c r="E444" s="154"/>
      <c r="F444" s="9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1.75" customHeight="1" x14ac:dyDescent="0.6">
      <c r="A445" s="1"/>
      <c r="B445" s="6"/>
      <c r="C445" s="1"/>
      <c r="D445" s="57"/>
      <c r="E445" s="154"/>
      <c r="F445" s="9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1.75" customHeight="1" x14ac:dyDescent="0.6">
      <c r="A446" s="1"/>
      <c r="B446" s="6"/>
      <c r="C446" s="1"/>
      <c r="D446" s="57"/>
      <c r="E446" s="154"/>
      <c r="F446" s="9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1.75" customHeight="1" x14ac:dyDescent="0.6">
      <c r="A447" s="1"/>
      <c r="B447" s="6"/>
      <c r="C447" s="1"/>
      <c r="D447" s="57"/>
      <c r="E447" s="154"/>
      <c r="F447" s="9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1.75" customHeight="1" x14ac:dyDescent="0.6">
      <c r="A448" s="1"/>
      <c r="B448" s="6"/>
      <c r="C448" s="1"/>
      <c r="D448" s="57"/>
      <c r="E448" s="154"/>
      <c r="F448" s="9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1.75" customHeight="1" x14ac:dyDescent="0.6">
      <c r="A449" s="1"/>
      <c r="B449" s="6"/>
      <c r="C449" s="1"/>
      <c r="D449" s="57"/>
      <c r="E449" s="154"/>
      <c r="F449" s="9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1.75" customHeight="1" x14ac:dyDescent="0.6">
      <c r="A450" s="1"/>
      <c r="B450" s="6"/>
      <c r="C450" s="1"/>
      <c r="D450" s="57"/>
      <c r="E450" s="154"/>
      <c r="F450" s="9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1.75" customHeight="1" x14ac:dyDescent="0.6">
      <c r="A451" s="1"/>
      <c r="B451" s="6"/>
      <c r="C451" s="1"/>
      <c r="D451" s="57"/>
      <c r="E451" s="154"/>
      <c r="F451" s="9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1.75" customHeight="1" x14ac:dyDescent="0.6">
      <c r="A452" s="1"/>
      <c r="B452" s="6"/>
      <c r="C452" s="1"/>
      <c r="D452" s="57"/>
      <c r="E452" s="154"/>
      <c r="F452" s="9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1.75" customHeight="1" x14ac:dyDescent="0.6">
      <c r="A453" s="1"/>
      <c r="B453" s="6"/>
      <c r="C453" s="1"/>
      <c r="D453" s="57"/>
      <c r="E453" s="154"/>
      <c r="F453" s="9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1.75" customHeight="1" x14ac:dyDescent="0.6">
      <c r="A454" s="1"/>
      <c r="B454" s="6"/>
      <c r="C454" s="1"/>
      <c r="D454" s="57"/>
      <c r="E454" s="154"/>
      <c r="F454" s="9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1.75" customHeight="1" x14ac:dyDescent="0.6">
      <c r="A455" s="1"/>
      <c r="B455" s="6"/>
      <c r="C455" s="1"/>
      <c r="D455" s="57"/>
      <c r="E455" s="154"/>
      <c r="F455" s="9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1.75" customHeight="1" x14ac:dyDescent="0.6">
      <c r="A456" s="1"/>
      <c r="B456" s="6"/>
      <c r="C456" s="1"/>
      <c r="D456" s="57"/>
      <c r="E456" s="154"/>
      <c r="F456" s="9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1.75" customHeight="1" x14ac:dyDescent="0.6">
      <c r="A457" s="1"/>
      <c r="B457" s="6"/>
      <c r="C457" s="1"/>
      <c r="D457" s="57"/>
      <c r="E457" s="154"/>
      <c r="F457" s="9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1.75" customHeight="1" x14ac:dyDescent="0.6">
      <c r="A458" s="1"/>
      <c r="B458" s="6"/>
      <c r="C458" s="1"/>
      <c r="D458" s="57"/>
      <c r="E458" s="154"/>
      <c r="F458" s="9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1.75" customHeight="1" x14ac:dyDescent="0.6">
      <c r="A459" s="1"/>
      <c r="B459" s="6"/>
      <c r="C459" s="1"/>
      <c r="D459" s="57"/>
      <c r="E459" s="154"/>
      <c r="F459" s="9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1.75" customHeight="1" x14ac:dyDescent="0.6">
      <c r="A460" s="1"/>
      <c r="B460" s="6"/>
      <c r="C460" s="1"/>
      <c r="D460" s="57"/>
      <c r="E460" s="154"/>
      <c r="F460" s="9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1.75" customHeight="1" x14ac:dyDescent="0.6">
      <c r="A461" s="1"/>
      <c r="B461" s="6"/>
      <c r="C461" s="1"/>
      <c r="D461" s="57"/>
      <c r="E461" s="154"/>
      <c r="F461" s="9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1.75" customHeight="1" x14ac:dyDescent="0.6">
      <c r="A462" s="1"/>
      <c r="B462" s="6"/>
      <c r="C462" s="1"/>
      <c r="D462" s="57"/>
      <c r="E462" s="154"/>
      <c r="F462" s="9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1.75" customHeight="1" x14ac:dyDescent="0.6">
      <c r="A463" s="1"/>
      <c r="B463" s="6"/>
      <c r="C463" s="1"/>
      <c r="D463" s="57"/>
      <c r="E463" s="154"/>
      <c r="F463" s="9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1.75" customHeight="1" x14ac:dyDescent="0.6">
      <c r="A464" s="1"/>
      <c r="B464" s="6"/>
      <c r="C464" s="1"/>
      <c r="D464" s="57"/>
      <c r="E464" s="154"/>
      <c r="F464" s="9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1.75" customHeight="1" x14ac:dyDescent="0.6">
      <c r="A465" s="1"/>
      <c r="B465" s="6"/>
      <c r="C465" s="1"/>
      <c r="D465" s="57"/>
      <c r="E465" s="154"/>
      <c r="F465" s="9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1.75" customHeight="1" x14ac:dyDescent="0.6">
      <c r="A466" s="1"/>
      <c r="B466" s="6"/>
      <c r="C466" s="1"/>
      <c r="D466" s="57"/>
      <c r="E466" s="154"/>
      <c r="F466" s="9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1.75" customHeight="1" x14ac:dyDescent="0.6">
      <c r="A467" s="1"/>
      <c r="B467" s="6"/>
      <c r="C467" s="1"/>
      <c r="D467" s="57"/>
      <c r="E467" s="154"/>
      <c r="F467" s="9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1.75" customHeight="1" x14ac:dyDescent="0.6">
      <c r="A468" s="1"/>
      <c r="B468" s="6"/>
      <c r="C468" s="1"/>
      <c r="D468" s="57"/>
      <c r="E468" s="154"/>
      <c r="F468" s="9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1.75" customHeight="1" x14ac:dyDescent="0.6">
      <c r="A469" s="1"/>
      <c r="B469" s="6"/>
      <c r="C469" s="1"/>
      <c r="D469" s="57"/>
      <c r="E469" s="154"/>
      <c r="F469" s="9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1.75" customHeight="1" x14ac:dyDescent="0.6">
      <c r="A470" s="1"/>
      <c r="B470" s="6"/>
      <c r="C470" s="1"/>
      <c r="D470" s="57"/>
      <c r="E470" s="154"/>
      <c r="F470" s="9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1.75" customHeight="1" x14ac:dyDescent="0.6">
      <c r="A471" s="1"/>
      <c r="B471" s="6"/>
      <c r="C471" s="1"/>
      <c r="D471" s="57"/>
      <c r="E471" s="154"/>
      <c r="F471" s="9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1.75" customHeight="1" x14ac:dyDescent="0.6">
      <c r="A472" s="1"/>
      <c r="B472" s="6"/>
      <c r="C472" s="1"/>
      <c r="D472" s="57"/>
      <c r="E472" s="154"/>
      <c r="F472" s="9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1.75" customHeight="1" x14ac:dyDescent="0.6">
      <c r="A473" s="1"/>
      <c r="B473" s="6"/>
      <c r="C473" s="1"/>
      <c r="D473" s="57"/>
      <c r="E473" s="154"/>
      <c r="F473" s="9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1.75" customHeight="1" x14ac:dyDescent="0.6">
      <c r="A474" s="1"/>
      <c r="B474" s="6"/>
      <c r="C474" s="1"/>
      <c r="D474" s="57"/>
      <c r="E474" s="154"/>
      <c r="F474" s="9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1.75" customHeight="1" x14ac:dyDescent="0.6">
      <c r="A475" s="1"/>
      <c r="B475" s="6"/>
      <c r="C475" s="1"/>
      <c r="D475" s="57"/>
      <c r="E475" s="154"/>
      <c r="F475" s="9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1.75" customHeight="1" x14ac:dyDescent="0.6">
      <c r="A476" s="1"/>
      <c r="B476" s="6"/>
      <c r="C476" s="1"/>
      <c r="D476" s="57"/>
      <c r="E476" s="154"/>
      <c r="F476" s="9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1.75" customHeight="1" x14ac:dyDescent="0.6">
      <c r="A477" s="1"/>
      <c r="B477" s="6"/>
      <c r="C477" s="1"/>
      <c r="D477" s="57"/>
      <c r="E477" s="154"/>
      <c r="F477" s="9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1.75" customHeight="1" x14ac:dyDescent="0.6">
      <c r="A478" s="1"/>
      <c r="B478" s="6"/>
      <c r="C478" s="1"/>
      <c r="D478" s="57"/>
      <c r="E478" s="154"/>
      <c r="F478" s="9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1.75" customHeight="1" x14ac:dyDescent="0.6">
      <c r="A479" s="1"/>
      <c r="B479" s="6"/>
      <c r="C479" s="1"/>
      <c r="D479" s="57"/>
      <c r="E479" s="154"/>
      <c r="F479" s="9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1.75" customHeight="1" x14ac:dyDescent="0.6">
      <c r="A480" s="1"/>
      <c r="B480" s="6"/>
      <c r="C480" s="1"/>
      <c r="D480" s="57"/>
      <c r="E480" s="154"/>
      <c r="F480" s="9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1.75" customHeight="1" x14ac:dyDescent="0.6">
      <c r="A481" s="1"/>
      <c r="B481" s="6"/>
      <c r="C481" s="1"/>
      <c r="D481" s="57"/>
      <c r="E481" s="154"/>
      <c r="F481" s="9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1.75" customHeight="1" x14ac:dyDescent="0.6">
      <c r="A482" s="1"/>
      <c r="B482" s="6"/>
      <c r="C482" s="1"/>
      <c r="D482" s="57"/>
      <c r="E482" s="154"/>
      <c r="F482" s="9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1.75" customHeight="1" x14ac:dyDescent="0.6">
      <c r="A483" s="1"/>
      <c r="B483" s="6"/>
      <c r="C483" s="1"/>
      <c r="D483" s="57"/>
      <c r="E483" s="154"/>
      <c r="F483" s="9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1.75" customHeight="1" x14ac:dyDescent="0.6">
      <c r="A484" s="1"/>
      <c r="B484" s="6"/>
      <c r="C484" s="1"/>
      <c r="D484" s="57"/>
      <c r="E484" s="154"/>
      <c r="F484" s="9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1.75" customHeight="1" x14ac:dyDescent="0.6">
      <c r="A485" s="1"/>
      <c r="B485" s="6"/>
      <c r="C485" s="1"/>
      <c r="D485" s="57"/>
      <c r="E485" s="154"/>
      <c r="F485" s="9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1.75" customHeight="1" x14ac:dyDescent="0.6">
      <c r="A486" s="1"/>
      <c r="B486" s="6"/>
      <c r="C486" s="1"/>
      <c r="D486" s="57"/>
      <c r="E486" s="154"/>
      <c r="F486" s="9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1.75" customHeight="1" x14ac:dyDescent="0.6">
      <c r="A487" s="1"/>
      <c r="B487" s="6"/>
      <c r="C487" s="1"/>
      <c r="D487" s="57"/>
      <c r="E487" s="154"/>
      <c r="F487" s="9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1.75" customHeight="1" x14ac:dyDescent="0.6">
      <c r="A488" s="1"/>
      <c r="B488" s="6"/>
      <c r="C488" s="1"/>
      <c r="D488" s="57"/>
      <c r="E488" s="154"/>
      <c r="F488" s="9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1.75" customHeight="1" x14ac:dyDescent="0.6">
      <c r="A489" s="1"/>
      <c r="B489" s="6"/>
      <c r="C489" s="1"/>
      <c r="D489" s="57"/>
      <c r="E489" s="154"/>
      <c r="F489" s="9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1.75" customHeight="1" x14ac:dyDescent="0.6">
      <c r="A490" s="1"/>
      <c r="B490" s="6"/>
      <c r="C490" s="1"/>
      <c r="D490" s="57"/>
      <c r="E490" s="154"/>
      <c r="F490" s="9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1.75" customHeight="1" x14ac:dyDescent="0.6">
      <c r="A491" s="1"/>
      <c r="B491" s="6"/>
      <c r="C491" s="1"/>
      <c r="D491" s="57"/>
      <c r="E491" s="154"/>
      <c r="F491" s="9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1.75" customHeight="1" x14ac:dyDescent="0.6">
      <c r="A492" s="1"/>
      <c r="B492" s="6"/>
      <c r="C492" s="1"/>
      <c r="D492" s="57"/>
      <c r="E492" s="154"/>
      <c r="F492" s="9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1.75" customHeight="1" x14ac:dyDescent="0.6">
      <c r="A493" s="1"/>
      <c r="B493" s="6"/>
      <c r="C493" s="1"/>
      <c r="D493" s="57"/>
      <c r="E493" s="154"/>
      <c r="F493" s="9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1.75" customHeight="1" x14ac:dyDescent="0.6">
      <c r="A494" s="1"/>
      <c r="B494" s="6"/>
      <c r="C494" s="1"/>
      <c r="D494" s="57"/>
      <c r="E494" s="154"/>
      <c r="F494" s="9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1.75" customHeight="1" x14ac:dyDescent="0.6">
      <c r="A495" s="1"/>
      <c r="B495" s="6"/>
      <c r="C495" s="1"/>
      <c r="D495" s="57"/>
      <c r="E495" s="154"/>
      <c r="F495" s="9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1.75" customHeight="1" x14ac:dyDescent="0.6">
      <c r="A496" s="1"/>
      <c r="B496" s="6"/>
      <c r="C496" s="1"/>
      <c r="D496" s="57"/>
      <c r="E496" s="154"/>
      <c r="F496" s="9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1.75" customHeight="1" x14ac:dyDescent="0.6">
      <c r="A497" s="1"/>
      <c r="B497" s="6"/>
      <c r="C497" s="1"/>
      <c r="D497" s="57"/>
      <c r="E497" s="154"/>
      <c r="F497" s="9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1.75" customHeight="1" x14ac:dyDescent="0.6">
      <c r="A498" s="1"/>
      <c r="B498" s="6"/>
      <c r="C498" s="1"/>
      <c r="D498" s="57"/>
      <c r="E498" s="154"/>
      <c r="F498" s="9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1.75" customHeight="1" x14ac:dyDescent="0.6">
      <c r="A499" s="1"/>
      <c r="B499" s="6"/>
      <c r="C499" s="1"/>
      <c r="D499" s="57"/>
      <c r="E499" s="154"/>
      <c r="F499" s="9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1.75" customHeight="1" x14ac:dyDescent="0.6">
      <c r="A500" s="1"/>
      <c r="B500" s="6"/>
      <c r="C500" s="1"/>
      <c r="D500" s="57"/>
      <c r="E500" s="154"/>
      <c r="F500" s="9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1.75" customHeight="1" x14ac:dyDescent="0.6">
      <c r="A501" s="1"/>
      <c r="B501" s="6"/>
      <c r="C501" s="1"/>
      <c r="D501" s="57"/>
      <c r="E501" s="154"/>
      <c r="F501" s="9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1.75" customHeight="1" x14ac:dyDescent="0.6">
      <c r="A502" s="1"/>
      <c r="B502" s="6"/>
      <c r="C502" s="1"/>
      <c r="D502" s="57"/>
      <c r="E502" s="154"/>
      <c r="F502" s="9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1.75" customHeight="1" x14ac:dyDescent="0.6">
      <c r="A503" s="1"/>
      <c r="B503" s="6"/>
      <c r="C503" s="1"/>
      <c r="D503" s="57"/>
      <c r="E503" s="154"/>
      <c r="F503" s="9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1.75" customHeight="1" x14ac:dyDescent="0.6">
      <c r="A504" s="1"/>
      <c r="B504" s="6"/>
      <c r="C504" s="1"/>
      <c r="D504" s="57"/>
      <c r="E504" s="154"/>
      <c r="F504" s="9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1.75" customHeight="1" x14ac:dyDescent="0.6">
      <c r="A505" s="1"/>
      <c r="B505" s="6"/>
      <c r="C505" s="1"/>
      <c r="D505" s="57"/>
      <c r="E505" s="154"/>
      <c r="F505" s="9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1.75" customHeight="1" x14ac:dyDescent="0.6">
      <c r="A506" s="1"/>
      <c r="B506" s="6"/>
      <c r="C506" s="1"/>
      <c r="D506" s="57"/>
      <c r="E506" s="154"/>
      <c r="F506" s="9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1.75" customHeight="1" x14ac:dyDescent="0.6">
      <c r="A507" s="1"/>
      <c r="B507" s="6"/>
      <c r="C507" s="1"/>
      <c r="D507" s="57"/>
      <c r="E507" s="154"/>
      <c r="F507" s="9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1.75" customHeight="1" x14ac:dyDescent="0.6">
      <c r="A508" s="1"/>
      <c r="B508" s="6"/>
      <c r="C508" s="1"/>
      <c r="D508" s="57"/>
      <c r="E508" s="154"/>
      <c r="F508" s="9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1.75" customHeight="1" x14ac:dyDescent="0.6">
      <c r="A509" s="1"/>
      <c r="B509" s="6"/>
      <c r="C509" s="1"/>
      <c r="D509" s="57"/>
      <c r="E509" s="154"/>
      <c r="F509" s="9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1.75" customHeight="1" x14ac:dyDescent="0.6">
      <c r="A510" s="1"/>
      <c r="B510" s="6"/>
      <c r="C510" s="1"/>
      <c r="D510" s="57"/>
      <c r="E510" s="154"/>
      <c r="F510" s="9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1.75" customHeight="1" x14ac:dyDescent="0.6">
      <c r="A511" s="1"/>
      <c r="B511" s="6"/>
      <c r="C511" s="1"/>
      <c r="D511" s="57"/>
      <c r="E511" s="154"/>
      <c r="F511" s="9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1.75" customHeight="1" x14ac:dyDescent="0.6">
      <c r="A512" s="1"/>
      <c r="B512" s="6"/>
      <c r="C512" s="1"/>
      <c r="D512" s="57"/>
      <c r="E512" s="154"/>
      <c r="F512" s="9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1.75" customHeight="1" x14ac:dyDescent="0.6">
      <c r="A513" s="1"/>
      <c r="B513" s="6"/>
      <c r="C513" s="1"/>
      <c r="D513" s="57"/>
      <c r="E513" s="154"/>
      <c r="F513" s="9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1.75" customHeight="1" x14ac:dyDescent="0.6">
      <c r="A514" s="1"/>
      <c r="B514" s="6"/>
      <c r="C514" s="1"/>
      <c r="D514" s="57"/>
      <c r="E514" s="154"/>
      <c r="F514" s="9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1.75" customHeight="1" x14ac:dyDescent="0.6">
      <c r="A515" s="1"/>
      <c r="B515" s="6"/>
      <c r="C515" s="1"/>
      <c r="D515" s="57"/>
      <c r="E515" s="154"/>
      <c r="F515" s="9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1.75" customHeight="1" x14ac:dyDescent="0.6">
      <c r="A516" s="1"/>
      <c r="B516" s="6"/>
      <c r="C516" s="1"/>
      <c r="D516" s="57"/>
      <c r="E516" s="154"/>
      <c r="F516" s="9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1.75" customHeight="1" x14ac:dyDescent="0.6">
      <c r="A517" s="1"/>
      <c r="B517" s="6"/>
      <c r="C517" s="1"/>
      <c r="D517" s="57"/>
      <c r="E517" s="154"/>
      <c r="F517" s="9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1.75" customHeight="1" x14ac:dyDescent="0.6">
      <c r="A518" s="1"/>
      <c r="B518" s="6"/>
      <c r="C518" s="1"/>
      <c r="D518" s="57"/>
      <c r="E518" s="154"/>
      <c r="F518" s="9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1.75" customHeight="1" x14ac:dyDescent="0.6">
      <c r="A519" s="1"/>
      <c r="B519" s="6"/>
      <c r="C519" s="1"/>
      <c r="D519" s="57"/>
      <c r="E519" s="154"/>
      <c r="F519" s="9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1.75" customHeight="1" x14ac:dyDescent="0.6">
      <c r="A520" s="1"/>
      <c r="B520" s="6"/>
      <c r="C520" s="1"/>
      <c r="D520" s="57"/>
      <c r="E520" s="154"/>
      <c r="F520" s="9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1.75" customHeight="1" x14ac:dyDescent="0.6">
      <c r="A521" s="1"/>
      <c r="B521" s="6"/>
      <c r="C521" s="1"/>
      <c r="D521" s="57"/>
      <c r="E521" s="154"/>
      <c r="F521" s="9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1.75" customHeight="1" x14ac:dyDescent="0.6">
      <c r="A522" s="1"/>
      <c r="B522" s="6"/>
      <c r="C522" s="1"/>
      <c r="D522" s="57"/>
      <c r="E522" s="154"/>
      <c r="F522" s="9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1.75" customHeight="1" x14ac:dyDescent="0.6">
      <c r="A523" s="1"/>
      <c r="B523" s="6"/>
      <c r="C523" s="1"/>
      <c r="D523" s="57"/>
      <c r="E523" s="154"/>
      <c r="F523" s="9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1.75" customHeight="1" x14ac:dyDescent="0.6">
      <c r="A524" s="1"/>
      <c r="B524" s="6"/>
      <c r="C524" s="1"/>
      <c r="D524" s="57"/>
      <c r="E524" s="154"/>
      <c r="F524" s="9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1.75" customHeight="1" x14ac:dyDescent="0.6">
      <c r="A525" s="1"/>
      <c r="B525" s="6"/>
      <c r="C525" s="1"/>
      <c r="D525" s="57"/>
      <c r="E525" s="154"/>
      <c r="F525" s="9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1.75" customHeight="1" x14ac:dyDescent="0.6">
      <c r="A526" s="1"/>
      <c r="B526" s="6"/>
      <c r="C526" s="1"/>
      <c r="D526" s="57"/>
      <c r="E526" s="154"/>
      <c r="F526" s="9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1.75" customHeight="1" x14ac:dyDescent="0.6">
      <c r="A527" s="1"/>
      <c r="B527" s="6"/>
      <c r="C527" s="1"/>
      <c r="D527" s="57"/>
      <c r="E527" s="154"/>
      <c r="F527" s="9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1.75" customHeight="1" x14ac:dyDescent="0.6">
      <c r="A528" s="1"/>
      <c r="B528" s="6"/>
      <c r="C528" s="1"/>
      <c r="D528" s="57"/>
      <c r="E528" s="154"/>
      <c r="F528" s="9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1.75" customHeight="1" x14ac:dyDescent="0.6">
      <c r="A529" s="1"/>
      <c r="B529" s="6"/>
      <c r="C529" s="1"/>
      <c r="D529" s="57"/>
      <c r="E529" s="154"/>
      <c r="F529" s="9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1.75" customHeight="1" x14ac:dyDescent="0.6">
      <c r="A530" s="1"/>
      <c r="B530" s="6"/>
      <c r="C530" s="1"/>
      <c r="D530" s="57"/>
      <c r="E530" s="154"/>
      <c r="F530" s="9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1.75" customHeight="1" x14ac:dyDescent="0.6">
      <c r="A531" s="1"/>
      <c r="B531" s="6"/>
      <c r="C531" s="1"/>
      <c r="D531" s="57"/>
      <c r="E531" s="154"/>
      <c r="F531" s="9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1.75" customHeight="1" x14ac:dyDescent="0.6">
      <c r="A532" s="1"/>
      <c r="B532" s="6"/>
      <c r="C532" s="1"/>
      <c r="D532" s="57"/>
      <c r="E532" s="154"/>
      <c r="F532" s="9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1.75" customHeight="1" x14ac:dyDescent="0.6">
      <c r="A533" s="1"/>
      <c r="B533" s="6"/>
      <c r="C533" s="1"/>
      <c r="D533" s="57"/>
      <c r="E533" s="154"/>
      <c r="F533" s="9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1.75" customHeight="1" x14ac:dyDescent="0.6">
      <c r="A534" s="1"/>
      <c r="B534" s="6"/>
      <c r="C534" s="1"/>
      <c r="D534" s="57"/>
      <c r="E534" s="154"/>
      <c r="F534" s="9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1.75" customHeight="1" x14ac:dyDescent="0.6">
      <c r="A535" s="1"/>
      <c r="B535" s="6"/>
      <c r="C535" s="1"/>
      <c r="D535" s="57"/>
      <c r="E535" s="154"/>
      <c r="F535" s="9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1.75" customHeight="1" x14ac:dyDescent="0.6">
      <c r="A536" s="1"/>
      <c r="B536" s="6"/>
      <c r="C536" s="1"/>
      <c r="D536" s="57"/>
      <c r="E536" s="154"/>
      <c r="F536" s="9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1.75" customHeight="1" x14ac:dyDescent="0.6">
      <c r="A537" s="1"/>
      <c r="B537" s="6"/>
      <c r="C537" s="1"/>
      <c r="D537" s="57"/>
      <c r="E537" s="154"/>
      <c r="F537" s="9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1.75" customHeight="1" x14ac:dyDescent="0.6">
      <c r="A538" s="1"/>
      <c r="B538" s="6"/>
      <c r="C538" s="1"/>
      <c r="D538" s="57"/>
      <c r="E538" s="154"/>
      <c r="F538" s="9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1.75" customHeight="1" x14ac:dyDescent="0.6">
      <c r="A539" s="1"/>
      <c r="B539" s="6"/>
      <c r="C539" s="1"/>
      <c r="D539" s="57"/>
      <c r="E539" s="154"/>
      <c r="F539" s="9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1.75" customHeight="1" x14ac:dyDescent="0.6">
      <c r="A540" s="1"/>
      <c r="B540" s="6"/>
      <c r="C540" s="1"/>
      <c r="D540" s="57"/>
      <c r="E540" s="154"/>
      <c r="F540" s="9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1.75" customHeight="1" x14ac:dyDescent="0.6">
      <c r="A541" s="1"/>
      <c r="B541" s="6"/>
      <c r="C541" s="1"/>
      <c r="D541" s="57"/>
      <c r="E541" s="154"/>
      <c r="F541" s="9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1.75" customHeight="1" x14ac:dyDescent="0.6">
      <c r="A542" s="1"/>
      <c r="B542" s="6"/>
      <c r="C542" s="1"/>
      <c r="D542" s="57"/>
      <c r="E542" s="154"/>
      <c r="F542" s="9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1.75" customHeight="1" x14ac:dyDescent="0.6">
      <c r="A543" s="1"/>
      <c r="B543" s="6"/>
      <c r="C543" s="1"/>
      <c r="D543" s="57"/>
      <c r="E543" s="154"/>
      <c r="F543" s="9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1.75" customHeight="1" x14ac:dyDescent="0.6">
      <c r="A544" s="1"/>
      <c r="B544" s="6"/>
      <c r="C544" s="1"/>
      <c r="D544" s="57"/>
      <c r="E544" s="154"/>
      <c r="F544" s="9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1.75" customHeight="1" x14ac:dyDescent="0.6">
      <c r="A545" s="1"/>
      <c r="B545" s="6"/>
      <c r="C545" s="1"/>
      <c r="D545" s="57"/>
      <c r="E545" s="154"/>
      <c r="F545" s="9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1.75" customHeight="1" x14ac:dyDescent="0.6">
      <c r="A546" s="1"/>
      <c r="B546" s="6"/>
      <c r="C546" s="1"/>
      <c r="D546" s="57"/>
      <c r="E546" s="154"/>
      <c r="F546" s="9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1.75" customHeight="1" x14ac:dyDescent="0.6">
      <c r="A547" s="1"/>
      <c r="B547" s="6"/>
      <c r="C547" s="1"/>
      <c r="D547" s="57"/>
      <c r="E547" s="154"/>
      <c r="F547" s="9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1.75" customHeight="1" x14ac:dyDescent="0.6">
      <c r="A548" s="1"/>
      <c r="B548" s="6"/>
      <c r="C548" s="1"/>
      <c r="D548" s="57"/>
      <c r="E548" s="154"/>
      <c r="F548" s="9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1.75" customHeight="1" x14ac:dyDescent="0.6">
      <c r="A549" s="1"/>
      <c r="B549" s="6"/>
      <c r="C549" s="1"/>
      <c r="D549" s="57"/>
      <c r="E549" s="154"/>
      <c r="F549" s="9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1.75" customHeight="1" x14ac:dyDescent="0.6">
      <c r="A550" s="1"/>
      <c r="B550" s="6"/>
      <c r="C550" s="1"/>
      <c r="D550" s="57"/>
      <c r="E550" s="154"/>
      <c r="F550" s="9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1.75" customHeight="1" x14ac:dyDescent="0.6">
      <c r="A551" s="1"/>
      <c r="B551" s="6"/>
      <c r="C551" s="1"/>
      <c r="D551" s="57"/>
      <c r="E551" s="154"/>
      <c r="F551" s="9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1.75" customHeight="1" x14ac:dyDescent="0.6">
      <c r="A552" s="1"/>
      <c r="B552" s="6"/>
      <c r="C552" s="1"/>
      <c r="D552" s="57"/>
      <c r="E552" s="154"/>
      <c r="F552" s="9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1.75" customHeight="1" x14ac:dyDescent="0.6">
      <c r="A553" s="1"/>
      <c r="B553" s="6"/>
      <c r="C553" s="1"/>
      <c r="D553" s="57"/>
      <c r="E553" s="154"/>
      <c r="F553" s="9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1.75" customHeight="1" x14ac:dyDescent="0.6">
      <c r="A554" s="1"/>
      <c r="B554" s="6"/>
      <c r="C554" s="1"/>
      <c r="D554" s="57"/>
      <c r="E554" s="154"/>
      <c r="F554" s="9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1.75" customHeight="1" x14ac:dyDescent="0.6">
      <c r="A555" s="1"/>
      <c r="B555" s="6"/>
      <c r="C555" s="1"/>
      <c r="D555" s="57"/>
      <c r="E555" s="154"/>
      <c r="F555" s="9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1.75" customHeight="1" x14ac:dyDescent="0.6">
      <c r="A556" s="1"/>
      <c r="B556" s="6"/>
      <c r="C556" s="1"/>
      <c r="D556" s="57"/>
      <c r="E556" s="154"/>
      <c r="F556" s="9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1.75" customHeight="1" x14ac:dyDescent="0.6">
      <c r="A557" s="1"/>
      <c r="B557" s="6"/>
      <c r="C557" s="1"/>
      <c r="D557" s="57"/>
      <c r="E557" s="154"/>
      <c r="F557" s="9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1.75" customHeight="1" x14ac:dyDescent="0.6">
      <c r="A558" s="1"/>
      <c r="B558" s="6"/>
      <c r="C558" s="1"/>
      <c r="D558" s="57"/>
      <c r="E558" s="154"/>
      <c r="F558" s="9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1.75" customHeight="1" x14ac:dyDescent="0.6">
      <c r="A559" s="1"/>
      <c r="B559" s="6"/>
      <c r="C559" s="1"/>
      <c r="D559" s="57"/>
      <c r="E559" s="154"/>
      <c r="F559" s="9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1.75" customHeight="1" x14ac:dyDescent="0.6">
      <c r="A560" s="1"/>
      <c r="B560" s="6"/>
      <c r="C560" s="1"/>
      <c r="D560" s="57"/>
      <c r="E560" s="154"/>
      <c r="F560" s="9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1.75" customHeight="1" x14ac:dyDescent="0.6">
      <c r="A561" s="1"/>
      <c r="B561" s="6"/>
      <c r="C561" s="1"/>
      <c r="D561" s="57"/>
      <c r="E561" s="154"/>
      <c r="F561" s="9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1.75" customHeight="1" x14ac:dyDescent="0.6">
      <c r="A562" s="1"/>
      <c r="B562" s="6"/>
      <c r="C562" s="1"/>
      <c r="D562" s="57"/>
      <c r="E562" s="154"/>
      <c r="F562" s="9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1.75" customHeight="1" x14ac:dyDescent="0.6">
      <c r="A563" s="1"/>
      <c r="B563" s="6"/>
      <c r="C563" s="1"/>
      <c r="D563" s="57"/>
      <c r="E563" s="154"/>
      <c r="F563" s="9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1.75" customHeight="1" x14ac:dyDescent="0.6">
      <c r="A564" s="1"/>
      <c r="B564" s="6"/>
      <c r="C564" s="1"/>
      <c r="D564" s="57"/>
      <c r="E564" s="154"/>
      <c r="F564" s="9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1.75" customHeight="1" x14ac:dyDescent="0.6">
      <c r="A565" s="1"/>
      <c r="B565" s="6"/>
      <c r="C565" s="1"/>
      <c r="D565" s="57"/>
      <c r="E565" s="154"/>
      <c r="F565" s="9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1.75" customHeight="1" x14ac:dyDescent="0.6">
      <c r="A566" s="1"/>
      <c r="B566" s="6"/>
      <c r="C566" s="1"/>
      <c r="D566" s="57"/>
      <c r="E566" s="154"/>
      <c r="F566" s="9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1.75" customHeight="1" x14ac:dyDescent="0.6">
      <c r="A567" s="1"/>
      <c r="B567" s="6"/>
      <c r="C567" s="1"/>
      <c r="D567" s="57"/>
      <c r="E567" s="154"/>
      <c r="F567" s="9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1.75" customHeight="1" x14ac:dyDescent="0.6">
      <c r="A568" s="1"/>
      <c r="B568" s="6"/>
      <c r="C568" s="1"/>
      <c r="D568" s="57"/>
      <c r="E568" s="154"/>
      <c r="F568" s="9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1.75" customHeight="1" x14ac:dyDescent="0.6">
      <c r="A569" s="1"/>
      <c r="B569" s="6"/>
      <c r="C569" s="1"/>
      <c r="D569" s="57"/>
      <c r="E569" s="154"/>
      <c r="F569" s="9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1.75" customHeight="1" x14ac:dyDescent="0.6">
      <c r="A570" s="1"/>
      <c r="B570" s="6"/>
      <c r="C570" s="1"/>
      <c r="D570" s="57"/>
      <c r="E570" s="154"/>
      <c r="F570" s="9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1.75" customHeight="1" x14ac:dyDescent="0.6">
      <c r="A571" s="1"/>
      <c r="B571" s="6"/>
      <c r="C571" s="1"/>
      <c r="D571" s="57"/>
      <c r="E571" s="154"/>
      <c r="F571" s="9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1.75" customHeight="1" x14ac:dyDescent="0.6">
      <c r="A572" s="1"/>
      <c r="B572" s="6"/>
      <c r="C572" s="1"/>
      <c r="D572" s="57"/>
      <c r="E572" s="154"/>
      <c r="F572" s="9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1.75" customHeight="1" x14ac:dyDescent="0.6">
      <c r="A573" s="1"/>
      <c r="B573" s="6"/>
      <c r="C573" s="1"/>
      <c r="D573" s="57"/>
      <c r="E573" s="154"/>
      <c r="F573" s="9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1.75" customHeight="1" x14ac:dyDescent="0.6">
      <c r="A574" s="1"/>
      <c r="B574" s="6"/>
      <c r="C574" s="1"/>
      <c r="D574" s="57"/>
      <c r="E574" s="154"/>
      <c r="F574" s="9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1.75" customHeight="1" x14ac:dyDescent="0.6">
      <c r="A575" s="1"/>
      <c r="B575" s="6"/>
      <c r="C575" s="1"/>
      <c r="D575" s="57"/>
      <c r="E575" s="154"/>
      <c r="F575" s="9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1.75" customHeight="1" x14ac:dyDescent="0.6">
      <c r="A576" s="1"/>
      <c r="B576" s="6"/>
      <c r="C576" s="1"/>
      <c r="D576" s="57"/>
      <c r="E576" s="154"/>
      <c r="F576" s="9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1.75" customHeight="1" x14ac:dyDescent="0.6">
      <c r="A577" s="1"/>
      <c r="B577" s="6"/>
      <c r="C577" s="1"/>
      <c r="D577" s="57"/>
      <c r="E577" s="154"/>
      <c r="F577" s="9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1.75" customHeight="1" x14ac:dyDescent="0.6">
      <c r="A578" s="1"/>
      <c r="B578" s="6"/>
      <c r="C578" s="1"/>
      <c r="D578" s="57"/>
      <c r="E578" s="154"/>
      <c r="F578" s="9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1.75" customHeight="1" x14ac:dyDescent="0.6">
      <c r="A579" s="1"/>
      <c r="B579" s="6"/>
      <c r="C579" s="1"/>
      <c r="D579" s="57"/>
      <c r="E579" s="154"/>
      <c r="F579" s="9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1.75" customHeight="1" x14ac:dyDescent="0.6">
      <c r="A580" s="1"/>
      <c r="B580" s="6"/>
      <c r="C580" s="1"/>
      <c r="D580" s="57"/>
      <c r="E580" s="154"/>
      <c r="F580" s="9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1.75" customHeight="1" x14ac:dyDescent="0.6">
      <c r="A581" s="1"/>
      <c r="B581" s="6"/>
      <c r="C581" s="1"/>
      <c r="D581" s="57"/>
      <c r="E581" s="154"/>
      <c r="F581" s="9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1.75" customHeight="1" x14ac:dyDescent="0.6">
      <c r="A582" s="1"/>
      <c r="B582" s="6"/>
      <c r="C582" s="1"/>
      <c r="D582" s="57"/>
      <c r="E582" s="154"/>
      <c r="F582" s="9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1.75" customHeight="1" x14ac:dyDescent="0.6">
      <c r="A583" s="1"/>
      <c r="B583" s="6"/>
      <c r="C583" s="1"/>
      <c r="D583" s="57"/>
      <c r="E583" s="154"/>
      <c r="F583" s="9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1.75" customHeight="1" x14ac:dyDescent="0.6">
      <c r="A584" s="1"/>
      <c r="B584" s="6"/>
      <c r="C584" s="1"/>
      <c r="D584" s="57"/>
      <c r="E584" s="154"/>
      <c r="F584" s="9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1.75" customHeight="1" x14ac:dyDescent="0.6">
      <c r="A585" s="1"/>
      <c r="B585" s="6"/>
      <c r="C585" s="1"/>
      <c r="D585" s="57"/>
      <c r="E585" s="154"/>
      <c r="F585" s="9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1.75" customHeight="1" x14ac:dyDescent="0.6">
      <c r="A586" s="1"/>
      <c r="B586" s="6"/>
      <c r="C586" s="1"/>
      <c r="D586" s="57"/>
      <c r="E586" s="154"/>
      <c r="F586" s="9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1.75" customHeight="1" x14ac:dyDescent="0.6">
      <c r="A587" s="1"/>
      <c r="B587" s="6"/>
      <c r="C587" s="1"/>
      <c r="D587" s="57"/>
      <c r="E587" s="154"/>
      <c r="F587" s="9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1.75" customHeight="1" x14ac:dyDescent="0.6">
      <c r="A588" s="1"/>
      <c r="B588" s="6"/>
      <c r="C588" s="1"/>
      <c r="D588" s="57"/>
      <c r="E588" s="154"/>
      <c r="F588" s="9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1.75" customHeight="1" x14ac:dyDescent="0.6">
      <c r="A589" s="1"/>
      <c r="B589" s="6"/>
      <c r="C589" s="1"/>
      <c r="D589" s="57"/>
      <c r="E589" s="154"/>
      <c r="F589" s="9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1.75" customHeight="1" x14ac:dyDescent="0.6">
      <c r="A590" s="1"/>
      <c r="B590" s="6"/>
      <c r="C590" s="1"/>
      <c r="D590" s="57"/>
      <c r="E590" s="154"/>
      <c r="F590" s="9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1.75" customHeight="1" x14ac:dyDescent="0.6">
      <c r="A591" s="1"/>
      <c r="B591" s="6"/>
      <c r="C591" s="1"/>
      <c r="D591" s="57"/>
      <c r="E591" s="154"/>
      <c r="F591" s="9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1.75" customHeight="1" x14ac:dyDescent="0.6">
      <c r="A592" s="1"/>
      <c r="B592" s="6"/>
      <c r="C592" s="1"/>
      <c r="D592" s="57"/>
      <c r="E592" s="154"/>
      <c r="F592" s="9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1.75" customHeight="1" x14ac:dyDescent="0.6">
      <c r="A593" s="1"/>
      <c r="B593" s="6"/>
      <c r="C593" s="1"/>
      <c r="D593" s="57"/>
      <c r="E593" s="154"/>
      <c r="F593" s="9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1.75" customHeight="1" x14ac:dyDescent="0.6">
      <c r="A594" s="1"/>
      <c r="B594" s="6"/>
      <c r="C594" s="1"/>
      <c r="D594" s="57"/>
      <c r="E594" s="154"/>
      <c r="F594" s="9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1.75" customHeight="1" x14ac:dyDescent="0.6">
      <c r="A595" s="1"/>
      <c r="B595" s="6"/>
      <c r="C595" s="1"/>
      <c r="D595" s="57"/>
      <c r="E595" s="154"/>
      <c r="F595" s="9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1.75" customHeight="1" x14ac:dyDescent="0.6">
      <c r="A596" s="1"/>
      <c r="B596" s="6"/>
      <c r="C596" s="1"/>
      <c r="D596" s="57"/>
      <c r="E596" s="154"/>
      <c r="F596" s="9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1.75" customHeight="1" x14ac:dyDescent="0.6">
      <c r="A597" s="1"/>
      <c r="B597" s="6"/>
      <c r="C597" s="1"/>
      <c r="D597" s="57"/>
      <c r="E597" s="154"/>
      <c r="F597" s="9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1.75" customHeight="1" x14ac:dyDescent="0.6">
      <c r="A598" s="1"/>
      <c r="B598" s="6"/>
      <c r="C598" s="1"/>
      <c r="D598" s="57"/>
      <c r="E598" s="154"/>
      <c r="F598" s="9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1.75" customHeight="1" x14ac:dyDescent="0.6">
      <c r="A599" s="1"/>
      <c r="B599" s="6"/>
      <c r="C599" s="1"/>
      <c r="D599" s="57"/>
      <c r="E599" s="154"/>
      <c r="F599" s="9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1.75" customHeight="1" x14ac:dyDescent="0.6">
      <c r="A600" s="1"/>
      <c r="B600" s="6"/>
      <c r="C600" s="1"/>
      <c r="D600" s="57"/>
      <c r="E600" s="154"/>
      <c r="F600" s="9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1.75" customHeight="1" x14ac:dyDescent="0.6">
      <c r="A601" s="1"/>
      <c r="B601" s="6"/>
      <c r="C601" s="1"/>
      <c r="D601" s="57"/>
      <c r="E601" s="154"/>
      <c r="F601" s="9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1.75" customHeight="1" x14ac:dyDescent="0.6">
      <c r="A602" s="1"/>
      <c r="B602" s="6"/>
      <c r="C602" s="1"/>
      <c r="D602" s="57"/>
      <c r="E602" s="154"/>
      <c r="F602" s="9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1.75" customHeight="1" x14ac:dyDescent="0.6">
      <c r="A603" s="1"/>
      <c r="B603" s="6"/>
      <c r="C603" s="1"/>
      <c r="D603" s="57"/>
      <c r="E603" s="154"/>
      <c r="F603" s="9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1.75" customHeight="1" x14ac:dyDescent="0.6">
      <c r="A604" s="1"/>
      <c r="B604" s="6"/>
      <c r="C604" s="1"/>
      <c r="D604" s="57"/>
      <c r="E604" s="154"/>
      <c r="F604" s="9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1.75" customHeight="1" x14ac:dyDescent="0.6">
      <c r="A605" s="1"/>
      <c r="B605" s="6"/>
      <c r="C605" s="1"/>
      <c r="D605" s="57"/>
      <c r="E605" s="154"/>
      <c r="F605" s="9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1.75" customHeight="1" x14ac:dyDescent="0.6">
      <c r="A606" s="1"/>
      <c r="B606" s="6"/>
      <c r="C606" s="1"/>
      <c r="D606" s="57"/>
      <c r="E606" s="154"/>
      <c r="F606" s="9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1.75" customHeight="1" x14ac:dyDescent="0.6">
      <c r="A607" s="1"/>
      <c r="B607" s="6"/>
      <c r="C607" s="1"/>
      <c r="D607" s="57"/>
      <c r="E607" s="154"/>
      <c r="F607" s="9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1.75" customHeight="1" x14ac:dyDescent="0.6">
      <c r="A608" s="1"/>
      <c r="B608" s="6"/>
      <c r="C608" s="1"/>
      <c r="D608" s="57"/>
      <c r="E608" s="154"/>
      <c r="F608" s="9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1.75" customHeight="1" x14ac:dyDescent="0.6">
      <c r="A609" s="1"/>
      <c r="B609" s="6"/>
      <c r="C609" s="1"/>
      <c r="D609" s="57"/>
      <c r="E609" s="154"/>
      <c r="F609" s="9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1.75" customHeight="1" x14ac:dyDescent="0.6">
      <c r="A610" s="1"/>
      <c r="B610" s="6"/>
      <c r="C610" s="1"/>
      <c r="D610" s="57"/>
      <c r="E610" s="154"/>
      <c r="F610" s="9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1.75" customHeight="1" x14ac:dyDescent="0.6">
      <c r="A611" s="1"/>
      <c r="B611" s="6"/>
      <c r="C611" s="1"/>
      <c r="D611" s="57"/>
      <c r="E611" s="154"/>
      <c r="F611" s="9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1.75" customHeight="1" x14ac:dyDescent="0.6">
      <c r="A612" s="1"/>
      <c r="B612" s="6"/>
      <c r="C612" s="1"/>
      <c r="D612" s="57"/>
      <c r="E612" s="154"/>
      <c r="F612" s="9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1.75" customHeight="1" x14ac:dyDescent="0.6">
      <c r="A613" s="1"/>
      <c r="B613" s="6"/>
      <c r="C613" s="1"/>
      <c r="D613" s="57"/>
      <c r="E613" s="154"/>
      <c r="F613" s="9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1.75" customHeight="1" x14ac:dyDescent="0.6">
      <c r="A614" s="1"/>
      <c r="B614" s="6"/>
      <c r="C614" s="1"/>
      <c r="D614" s="57"/>
      <c r="E614" s="154"/>
      <c r="F614" s="9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1.75" customHeight="1" x14ac:dyDescent="0.6">
      <c r="A615" s="1"/>
      <c r="B615" s="6"/>
      <c r="C615" s="1"/>
      <c r="D615" s="57"/>
      <c r="E615" s="154"/>
      <c r="F615" s="9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1.75" customHeight="1" x14ac:dyDescent="0.6">
      <c r="A616" s="1"/>
      <c r="B616" s="6"/>
      <c r="C616" s="1"/>
      <c r="D616" s="57"/>
      <c r="E616" s="154"/>
      <c r="F616" s="9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1.75" customHeight="1" x14ac:dyDescent="0.6">
      <c r="A617" s="1"/>
      <c r="B617" s="6"/>
      <c r="C617" s="1"/>
      <c r="D617" s="57"/>
      <c r="E617" s="154"/>
      <c r="F617" s="9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1.75" customHeight="1" x14ac:dyDescent="0.6">
      <c r="A618" s="1"/>
      <c r="B618" s="6"/>
      <c r="C618" s="1"/>
      <c r="D618" s="57"/>
      <c r="E618" s="154"/>
      <c r="F618" s="9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1.75" customHeight="1" x14ac:dyDescent="0.6">
      <c r="A619" s="1"/>
      <c r="B619" s="6"/>
      <c r="C619" s="1"/>
      <c r="D619" s="57"/>
      <c r="E619" s="154"/>
      <c r="F619" s="9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1.75" customHeight="1" x14ac:dyDescent="0.6">
      <c r="A620" s="1"/>
      <c r="B620" s="6"/>
      <c r="C620" s="1"/>
      <c r="D620" s="57"/>
      <c r="E620" s="154"/>
      <c r="F620" s="9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1.75" customHeight="1" x14ac:dyDescent="0.6">
      <c r="A621" s="1"/>
      <c r="B621" s="6"/>
      <c r="C621" s="1"/>
      <c r="D621" s="57"/>
      <c r="E621" s="154"/>
      <c r="F621" s="9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1.75" customHeight="1" x14ac:dyDescent="0.6">
      <c r="A622" s="1"/>
      <c r="B622" s="6"/>
      <c r="C622" s="1"/>
      <c r="D622" s="57"/>
      <c r="E622" s="154"/>
      <c r="F622" s="9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1.75" customHeight="1" x14ac:dyDescent="0.6">
      <c r="A623" s="1"/>
      <c r="B623" s="6"/>
      <c r="C623" s="1"/>
      <c r="D623" s="57"/>
      <c r="E623" s="154"/>
      <c r="F623" s="9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1.75" customHeight="1" x14ac:dyDescent="0.6">
      <c r="A624" s="1"/>
      <c r="B624" s="6"/>
      <c r="C624" s="1"/>
      <c r="D624" s="57"/>
      <c r="E624" s="154"/>
      <c r="F624" s="9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1.75" customHeight="1" x14ac:dyDescent="0.6">
      <c r="A625" s="1"/>
      <c r="B625" s="6"/>
      <c r="C625" s="1"/>
      <c r="D625" s="57"/>
      <c r="E625" s="154"/>
      <c r="F625" s="9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1.75" customHeight="1" x14ac:dyDescent="0.6">
      <c r="A626" s="1"/>
      <c r="B626" s="6"/>
      <c r="C626" s="1"/>
      <c r="D626" s="57"/>
      <c r="E626" s="154"/>
      <c r="F626" s="9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1.75" customHeight="1" x14ac:dyDescent="0.6">
      <c r="A627" s="1"/>
      <c r="B627" s="6"/>
      <c r="C627" s="1"/>
      <c r="D627" s="57"/>
      <c r="E627" s="154"/>
      <c r="F627" s="9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1.75" customHeight="1" x14ac:dyDescent="0.6">
      <c r="A628" s="1"/>
      <c r="B628" s="6"/>
      <c r="C628" s="1"/>
      <c r="D628" s="57"/>
      <c r="E628" s="154"/>
      <c r="F628" s="9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1.75" customHeight="1" x14ac:dyDescent="0.6">
      <c r="A629" s="1"/>
      <c r="B629" s="6"/>
      <c r="C629" s="1"/>
      <c r="D629" s="57"/>
      <c r="E629" s="154"/>
      <c r="F629" s="9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1.75" customHeight="1" x14ac:dyDescent="0.6">
      <c r="A630" s="1"/>
      <c r="B630" s="6"/>
      <c r="C630" s="1"/>
      <c r="D630" s="57"/>
      <c r="E630" s="154"/>
      <c r="F630" s="9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1.75" customHeight="1" x14ac:dyDescent="0.6">
      <c r="A631" s="1"/>
      <c r="B631" s="6"/>
      <c r="C631" s="1"/>
      <c r="D631" s="57"/>
      <c r="E631" s="154"/>
      <c r="F631" s="9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1.75" customHeight="1" x14ac:dyDescent="0.6">
      <c r="A632" s="1"/>
      <c r="B632" s="6"/>
      <c r="C632" s="1"/>
      <c r="D632" s="57"/>
      <c r="E632" s="154"/>
      <c r="F632" s="9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1.75" customHeight="1" x14ac:dyDescent="0.6">
      <c r="A633" s="1"/>
      <c r="B633" s="6"/>
      <c r="C633" s="1"/>
      <c r="D633" s="57"/>
      <c r="E633" s="154"/>
      <c r="F633" s="9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1.75" customHeight="1" x14ac:dyDescent="0.6">
      <c r="A634" s="1"/>
      <c r="B634" s="6"/>
      <c r="C634" s="1"/>
      <c r="D634" s="57"/>
      <c r="E634" s="154"/>
      <c r="F634" s="9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1.75" customHeight="1" x14ac:dyDescent="0.6">
      <c r="A635" s="1"/>
      <c r="B635" s="6"/>
      <c r="C635" s="1"/>
      <c r="D635" s="57"/>
      <c r="E635" s="154"/>
      <c r="F635" s="9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1.75" customHeight="1" x14ac:dyDescent="0.6">
      <c r="A636" s="1"/>
      <c r="B636" s="6"/>
      <c r="C636" s="1"/>
      <c r="D636" s="57"/>
      <c r="E636" s="154"/>
      <c r="F636" s="9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1.75" customHeight="1" x14ac:dyDescent="0.6">
      <c r="A637" s="1"/>
      <c r="B637" s="6"/>
      <c r="C637" s="1"/>
      <c r="D637" s="57"/>
      <c r="E637" s="154"/>
      <c r="F637" s="9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1.75" customHeight="1" x14ac:dyDescent="0.6">
      <c r="A638" s="1"/>
      <c r="B638" s="6"/>
      <c r="C638" s="1"/>
      <c r="D638" s="57"/>
      <c r="E638" s="154"/>
      <c r="F638" s="9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1.75" customHeight="1" x14ac:dyDescent="0.6">
      <c r="A639" s="1"/>
      <c r="B639" s="6"/>
      <c r="C639" s="1"/>
      <c r="D639" s="57"/>
      <c r="E639" s="154"/>
      <c r="F639" s="9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1.75" customHeight="1" x14ac:dyDescent="0.6">
      <c r="A640" s="1"/>
      <c r="B640" s="6"/>
      <c r="C640" s="1"/>
      <c r="D640" s="57"/>
      <c r="E640" s="154"/>
      <c r="F640" s="9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1.75" customHeight="1" x14ac:dyDescent="0.6">
      <c r="A641" s="1"/>
      <c r="B641" s="6"/>
      <c r="C641" s="1"/>
      <c r="D641" s="57"/>
      <c r="E641" s="154"/>
      <c r="F641" s="9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1.75" customHeight="1" x14ac:dyDescent="0.6">
      <c r="A642" s="1"/>
      <c r="B642" s="6"/>
      <c r="C642" s="1"/>
      <c r="D642" s="57"/>
      <c r="E642" s="154"/>
      <c r="F642" s="9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1.75" customHeight="1" x14ac:dyDescent="0.6">
      <c r="A643" s="1"/>
      <c r="B643" s="6"/>
      <c r="C643" s="1"/>
      <c r="D643" s="57"/>
      <c r="E643" s="154"/>
      <c r="F643" s="9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1.75" customHeight="1" x14ac:dyDescent="0.6">
      <c r="A644" s="1"/>
      <c r="B644" s="6"/>
      <c r="C644" s="1"/>
      <c r="D644" s="57"/>
      <c r="E644" s="154"/>
      <c r="F644" s="9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1.75" customHeight="1" x14ac:dyDescent="0.6">
      <c r="A645" s="1"/>
      <c r="B645" s="6"/>
      <c r="C645" s="1"/>
      <c r="D645" s="57"/>
      <c r="E645" s="154"/>
      <c r="F645" s="9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1.75" customHeight="1" x14ac:dyDescent="0.6">
      <c r="A646" s="1"/>
      <c r="B646" s="6"/>
      <c r="C646" s="1"/>
      <c r="D646" s="57"/>
      <c r="E646" s="154"/>
      <c r="F646" s="9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1.75" customHeight="1" x14ac:dyDescent="0.6">
      <c r="A647" s="1"/>
      <c r="B647" s="6"/>
      <c r="C647" s="1"/>
      <c r="D647" s="57"/>
      <c r="E647" s="154"/>
      <c r="F647" s="9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1.75" customHeight="1" x14ac:dyDescent="0.6">
      <c r="A648" s="1"/>
      <c r="B648" s="6"/>
      <c r="C648" s="1"/>
      <c r="D648" s="57"/>
      <c r="E648" s="154"/>
      <c r="F648" s="9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1.75" customHeight="1" x14ac:dyDescent="0.6">
      <c r="A649" s="1"/>
      <c r="B649" s="6"/>
      <c r="C649" s="1"/>
      <c r="D649" s="57"/>
      <c r="E649" s="154"/>
      <c r="F649" s="9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1.75" customHeight="1" x14ac:dyDescent="0.6">
      <c r="A650" s="1"/>
      <c r="B650" s="6"/>
      <c r="C650" s="1"/>
      <c r="D650" s="57"/>
      <c r="E650" s="154"/>
      <c r="F650" s="9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1.75" customHeight="1" x14ac:dyDescent="0.6">
      <c r="A651" s="1"/>
      <c r="B651" s="6"/>
      <c r="C651" s="1"/>
      <c r="D651" s="57"/>
      <c r="E651" s="154"/>
      <c r="F651" s="9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1.75" customHeight="1" x14ac:dyDescent="0.6">
      <c r="A652" s="1"/>
      <c r="B652" s="6"/>
      <c r="C652" s="1"/>
      <c r="D652" s="57"/>
      <c r="E652" s="154"/>
      <c r="F652" s="9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1.75" customHeight="1" x14ac:dyDescent="0.6">
      <c r="A653" s="1"/>
      <c r="B653" s="6"/>
      <c r="C653" s="1"/>
      <c r="D653" s="57"/>
      <c r="E653" s="154"/>
      <c r="F653" s="9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1.75" customHeight="1" x14ac:dyDescent="0.6">
      <c r="A654" s="1"/>
      <c r="B654" s="6"/>
      <c r="C654" s="1"/>
      <c r="D654" s="57"/>
      <c r="E654" s="154"/>
      <c r="F654" s="9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1.75" customHeight="1" x14ac:dyDescent="0.6">
      <c r="A655" s="1"/>
      <c r="B655" s="6"/>
      <c r="C655" s="1"/>
      <c r="D655" s="57"/>
      <c r="E655" s="154"/>
      <c r="F655" s="9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1.75" customHeight="1" x14ac:dyDescent="0.6">
      <c r="A656" s="1"/>
      <c r="B656" s="6"/>
      <c r="C656" s="1"/>
      <c r="D656" s="57"/>
      <c r="E656" s="154"/>
      <c r="F656" s="9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1.75" customHeight="1" x14ac:dyDescent="0.6">
      <c r="A657" s="1"/>
      <c r="B657" s="6"/>
      <c r="C657" s="1"/>
      <c r="D657" s="57"/>
      <c r="E657" s="154"/>
      <c r="F657" s="9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1.75" customHeight="1" x14ac:dyDescent="0.6">
      <c r="A658" s="1"/>
      <c r="B658" s="6"/>
      <c r="C658" s="1"/>
      <c r="D658" s="57"/>
      <c r="E658" s="154"/>
      <c r="F658" s="9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1.75" customHeight="1" x14ac:dyDescent="0.6">
      <c r="A659" s="1"/>
      <c r="B659" s="6"/>
      <c r="C659" s="1"/>
      <c r="D659" s="57"/>
      <c r="E659" s="154"/>
      <c r="F659" s="9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1.75" customHeight="1" x14ac:dyDescent="0.6">
      <c r="A660" s="1"/>
      <c r="B660" s="6"/>
      <c r="C660" s="1"/>
      <c r="D660" s="57"/>
      <c r="E660" s="154"/>
      <c r="F660" s="9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1.75" customHeight="1" x14ac:dyDescent="0.6">
      <c r="A661" s="1"/>
      <c r="B661" s="6"/>
      <c r="C661" s="1"/>
      <c r="D661" s="57"/>
      <c r="E661" s="154"/>
      <c r="F661" s="9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1.75" customHeight="1" x14ac:dyDescent="0.6">
      <c r="A662" s="1"/>
      <c r="B662" s="6"/>
      <c r="C662" s="1"/>
      <c r="D662" s="57"/>
      <c r="E662" s="154"/>
      <c r="F662" s="9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1.75" customHeight="1" x14ac:dyDescent="0.6">
      <c r="A663" s="1"/>
      <c r="B663" s="6"/>
      <c r="C663" s="1"/>
      <c r="D663" s="57"/>
      <c r="E663" s="154"/>
      <c r="F663" s="9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1.75" customHeight="1" x14ac:dyDescent="0.6">
      <c r="A664" s="1"/>
      <c r="B664" s="6"/>
      <c r="C664" s="1"/>
      <c r="D664" s="57"/>
      <c r="E664" s="154"/>
      <c r="F664" s="9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1.75" customHeight="1" x14ac:dyDescent="0.6">
      <c r="A665" s="1"/>
      <c r="B665" s="6"/>
      <c r="C665" s="1"/>
      <c r="D665" s="57"/>
      <c r="E665" s="154"/>
      <c r="F665" s="9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1.75" customHeight="1" x14ac:dyDescent="0.6">
      <c r="A666" s="1"/>
      <c r="B666" s="6"/>
      <c r="C666" s="1"/>
      <c r="D666" s="57"/>
      <c r="E666" s="154"/>
      <c r="F666" s="9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1.75" customHeight="1" x14ac:dyDescent="0.6">
      <c r="A667" s="1"/>
      <c r="B667" s="6"/>
      <c r="C667" s="1"/>
      <c r="D667" s="57"/>
      <c r="E667" s="154"/>
      <c r="F667" s="9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1.75" customHeight="1" x14ac:dyDescent="0.6">
      <c r="A668" s="1"/>
      <c r="B668" s="6"/>
      <c r="C668" s="1"/>
      <c r="D668" s="57"/>
      <c r="E668" s="154"/>
      <c r="F668" s="9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1.75" customHeight="1" x14ac:dyDescent="0.6">
      <c r="A669" s="1"/>
      <c r="B669" s="6"/>
      <c r="C669" s="1"/>
      <c r="D669" s="57"/>
      <c r="E669" s="154"/>
      <c r="F669" s="9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1.75" customHeight="1" x14ac:dyDescent="0.6">
      <c r="A670" s="1"/>
      <c r="B670" s="6"/>
      <c r="C670" s="1"/>
      <c r="D670" s="57"/>
      <c r="E670" s="154"/>
      <c r="F670" s="9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1.75" customHeight="1" x14ac:dyDescent="0.6">
      <c r="A671" s="1"/>
      <c r="B671" s="6"/>
      <c r="C671" s="1"/>
      <c r="D671" s="57"/>
      <c r="E671" s="154"/>
      <c r="F671" s="9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1.75" customHeight="1" x14ac:dyDescent="0.6">
      <c r="A672" s="1"/>
      <c r="B672" s="6"/>
      <c r="C672" s="1"/>
      <c r="D672" s="57"/>
      <c r="E672" s="154"/>
      <c r="F672" s="9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1.75" customHeight="1" x14ac:dyDescent="0.6">
      <c r="A673" s="1"/>
      <c r="B673" s="6"/>
      <c r="C673" s="1"/>
      <c r="D673" s="57"/>
      <c r="E673" s="154"/>
      <c r="F673" s="9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1.75" customHeight="1" x14ac:dyDescent="0.6">
      <c r="A674" s="1"/>
      <c r="B674" s="6"/>
      <c r="C674" s="1"/>
      <c r="D674" s="57"/>
      <c r="E674" s="154"/>
      <c r="F674" s="9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1.75" customHeight="1" x14ac:dyDescent="0.6">
      <c r="A675" s="1"/>
      <c r="B675" s="6"/>
      <c r="C675" s="1"/>
      <c r="D675" s="57"/>
      <c r="E675" s="154"/>
      <c r="F675" s="9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1.75" customHeight="1" x14ac:dyDescent="0.6">
      <c r="A676" s="1"/>
      <c r="B676" s="6"/>
      <c r="C676" s="1"/>
      <c r="D676" s="57"/>
      <c r="E676" s="154"/>
      <c r="F676" s="9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1.75" customHeight="1" x14ac:dyDescent="0.6">
      <c r="A677" s="1"/>
      <c r="B677" s="6"/>
      <c r="C677" s="1"/>
      <c r="D677" s="57"/>
      <c r="E677" s="154"/>
      <c r="F677" s="9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1.75" customHeight="1" x14ac:dyDescent="0.6">
      <c r="A678" s="1"/>
      <c r="B678" s="6"/>
      <c r="C678" s="1"/>
      <c r="D678" s="57"/>
      <c r="E678" s="154"/>
      <c r="F678" s="9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1.75" customHeight="1" x14ac:dyDescent="0.6">
      <c r="A679" s="1"/>
      <c r="B679" s="6"/>
      <c r="C679" s="1"/>
      <c r="D679" s="57"/>
      <c r="E679" s="154"/>
      <c r="F679" s="9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1.75" customHeight="1" x14ac:dyDescent="0.6">
      <c r="A680" s="1"/>
      <c r="B680" s="6"/>
      <c r="C680" s="1"/>
      <c r="D680" s="57"/>
      <c r="E680" s="154"/>
      <c r="F680" s="9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1.75" customHeight="1" x14ac:dyDescent="0.6">
      <c r="A681" s="1"/>
      <c r="B681" s="6"/>
      <c r="C681" s="1"/>
      <c r="D681" s="57"/>
      <c r="E681" s="154"/>
      <c r="F681" s="9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1.75" customHeight="1" x14ac:dyDescent="0.6">
      <c r="A682" s="1"/>
      <c r="B682" s="6"/>
      <c r="C682" s="1"/>
      <c r="D682" s="57"/>
      <c r="E682" s="154"/>
      <c r="F682" s="9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1.75" customHeight="1" x14ac:dyDescent="0.6">
      <c r="A683" s="1"/>
      <c r="B683" s="6"/>
      <c r="C683" s="1"/>
      <c r="D683" s="57"/>
      <c r="E683" s="154"/>
      <c r="F683" s="9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1.75" customHeight="1" x14ac:dyDescent="0.6">
      <c r="A684" s="1"/>
      <c r="B684" s="6"/>
      <c r="C684" s="1"/>
      <c r="D684" s="57"/>
      <c r="E684" s="154"/>
      <c r="F684" s="9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1.75" customHeight="1" x14ac:dyDescent="0.6">
      <c r="A685" s="1"/>
      <c r="B685" s="6"/>
      <c r="C685" s="1"/>
      <c r="D685" s="57"/>
      <c r="E685" s="154"/>
      <c r="F685" s="9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1.75" customHeight="1" x14ac:dyDescent="0.6">
      <c r="A686" s="1"/>
      <c r="B686" s="6"/>
      <c r="C686" s="1"/>
      <c r="D686" s="57"/>
      <c r="E686" s="154"/>
      <c r="F686" s="9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1.75" customHeight="1" x14ac:dyDescent="0.6">
      <c r="A687" s="1"/>
      <c r="B687" s="6"/>
      <c r="C687" s="1"/>
      <c r="D687" s="57"/>
      <c r="E687" s="154"/>
      <c r="F687" s="9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1.75" customHeight="1" x14ac:dyDescent="0.6">
      <c r="A688" s="1"/>
      <c r="B688" s="6"/>
      <c r="C688" s="1"/>
      <c r="D688" s="57"/>
      <c r="E688" s="154"/>
      <c r="F688" s="9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1.75" customHeight="1" x14ac:dyDescent="0.6">
      <c r="A689" s="1"/>
      <c r="B689" s="6"/>
      <c r="C689" s="1"/>
      <c r="D689" s="57"/>
      <c r="E689" s="154"/>
      <c r="F689" s="9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1.75" customHeight="1" x14ac:dyDescent="0.6">
      <c r="A690" s="1"/>
      <c r="B690" s="6"/>
      <c r="C690" s="1"/>
      <c r="D690" s="57"/>
      <c r="E690" s="154"/>
      <c r="F690" s="9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1.75" customHeight="1" x14ac:dyDescent="0.6">
      <c r="A691" s="1"/>
      <c r="B691" s="6"/>
      <c r="C691" s="1"/>
      <c r="D691" s="57"/>
      <c r="E691" s="154"/>
      <c r="F691" s="9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1.75" customHeight="1" x14ac:dyDescent="0.6">
      <c r="A692" s="1"/>
      <c r="B692" s="6"/>
      <c r="C692" s="1"/>
      <c r="D692" s="57"/>
      <c r="E692" s="154"/>
      <c r="F692" s="9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1.75" customHeight="1" x14ac:dyDescent="0.6">
      <c r="A693" s="1"/>
      <c r="B693" s="6"/>
      <c r="C693" s="1"/>
      <c r="D693" s="57"/>
      <c r="E693" s="154"/>
      <c r="F693" s="9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1.75" customHeight="1" x14ac:dyDescent="0.6">
      <c r="A694" s="1"/>
      <c r="B694" s="6"/>
      <c r="C694" s="1"/>
      <c r="D694" s="57"/>
      <c r="E694" s="154"/>
      <c r="F694" s="9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1.75" customHeight="1" x14ac:dyDescent="0.6">
      <c r="A695" s="1"/>
      <c r="B695" s="6"/>
      <c r="C695" s="1"/>
      <c r="D695" s="57"/>
      <c r="E695" s="154"/>
      <c r="F695" s="9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1.75" customHeight="1" x14ac:dyDescent="0.6">
      <c r="A696" s="1"/>
      <c r="B696" s="6"/>
      <c r="C696" s="1"/>
      <c r="D696" s="57"/>
      <c r="E696" s="154"/>
      <c r="F696" s="9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1.75" customHeight="1" x14ac:dyDescent="0.6">
      <c r="A697" s="1"/>
      <c r="B697" s="6"/>
      <c r="C697" s="1"/>
      <c r="D697" s="57"/>
      <c r="E697" s="154"/>
      <c r="F697" s="9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1.75" customHeight="1" x14ac:dyDescent="0.6">
      <c r="A698" s="1"/>
      <c r="B698" s="6"/>
      <c r="C698" s="1"/>
      <c r="D698" s="57"/>
      <c r="E698" s="154"/>
      <c r="F698" s="9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1.75" customHeight="1" x14ac:dyDescent="0.6">
      <c r="A699" s="1"/>
      <c r="B699" s="6"/>
      <c r="C699" s="1"/>
      <c r="D699" s="57"/>
      <c r="E699" s="154"/>
      <c r="F699" s="9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1.75" customHeight="1" x14ac:dyDescent="0.6">
      <c r="A700" s="1"/>
      <c r="B700" s="6"/>
      <c r="C700" s="1"/>
      <c r="D700" s="57"/>
      <c r="E700" s="154"/>
      <c r="F700" s="9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1.75" customHeight="1" x14ac:dyDescent="0.6">
      <c r="A701" s="1"/>
      <c r="B701" s="6"/>
      <c r="C701" s="1"/>
      <c r="D701" s="57"/>
      <c r="E701" s="154"/>
      <c r="F701" s="9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1.75" customHeight="1" x14ac:dyDescent="0.6">
      <c r="A702" s="1"/>
      <c r="B702" s="6"/>
      <c r="C702" s="1"/>
      <c r="D702" s="57"/>
      <c r="E702" s="154"/>
      <c r="F702" s="9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1.75" customHeight="1" x14ac:dyDescent="0.6">
      <c r="A703" s="1"/>
      <c r="B703" s="6"/>
      <c r="C703" s="1"/>
      <c r="D703" s="57"/>
      <c r="E703" s="154"/>
      <c r="F703" s="9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1.75" customHeight="1" x14ac:dyDescent="0.6">
      <c r="A704" s="1"/>
      <c r="B704" s="6"/>
      <c r="C704" s="1"/>
      <c r="D704" s="57"/>
      <c r="E704" s="154"/>
      <c r="F704" s="9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1.75" customHeight="1" x14ac:dyDescent="0.6">
      <c r="A705" s="1"/>
      <c r="B705" s="6"/>
      <c r="C705" s="1"/>
      <c r="D705" s="57"/>
      <c r="E705" s="154"/>
      <c r="F705" s="9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1.75" customHeight="1" x14ac:dyDescent="0.6">
      <c r="A706" s="1"/>
      <c r="B706" s="6"/>
      <c r="C706" s="1"/>
      <c r="D706" s="57"/>
      <c r="E706" s="154"/>
      <c r="F706" s="9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1.75" customHeight="1" x14ac:dyDescent="0.6">
      <c r="A707" s="1"/>
      <c r="B707" s="6"/>
      <c r="C707" s="1"/>
      <c r="D707" s="57"/>
      <c r="E707" s="154"/>
      <c r="F707" s="9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1.75" customHeight="1" x14ac:dyDescent="0.6">
      <c r="A708" s="1"/>
      <c r="B708" s="6"/>
      <c r="C708" s="1"/>
      <c r="D708" s="57"/>
      <c r="E708" s="154"/>
      <c r="F708" s="9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1.75" customHeight="1" x14ac:dyDescent="0.6">
      <c r="A709" s="1"/>
      <c r="B709" s="6"/>
      <c r="C709" s="1"/>
      <c r="D709" s="57"/>
      <c r="E709" s="154"/>
      <c r="F709" s="9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1.75" customHeight="1" x14ac:dyDescent="0.6">
      <c r="A710" s="1"/>
      <c r="B710" s="6"/>
      <c r="C710" s="1"/>
      <c r="D710" s="57"/>
      <c r="E710" s="154"/>
      <c r="F710" s="9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1.75" customHeight="1" x14ac:dyDescent="0.6">
      <c r="A711" s="1"/>
      <c r="B711" s="6"/>
      <c r="C711" s="1"/>
      <c r="D711" s="57"/>
      <c r="E711" s="154"/>
      <c r="F711" s="9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1.75" customHeight="1" x14ac:dyDescent="0.6">
      <c r="A712" s="1"/>
      <c r="B712" s="6"/>
      <c r="C712" s="1"/>
      <c r="D712" s="57"/>
      <c r="E712" s="154"/>
      <c r="F712" s="9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1.75" customHeight="1" x14ac:dyDescent="0.6">
      <c r="A713" s="1"/>
      <c r="B713" s="6"/>
      <c r="C713" s="1"/>
      <c r="D713" s="57"/>
      <c r="E713" s="154"/>
      <c r="F713" s="9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1.75" customHeight="1" x14ac:dyDescent="0.6">
      <c r="A714" s="1"/>
      <c r="B714" s="6"/>
      <c r="C714" s="1"/>
      <c r="D714" s="57"/>
      <c r="E714" s="154"/>
      <c r="F714" s="9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1.75" customHeight="1" x14ac:dyDescent="0.6">
      <c r="A715" s="1"/>
      <c r="B715" s="6"/>
      <c r="C715" s="1"/>
      <c r="D715" s="57"/>
      <c r="E715" s="154"/>
      <c r="F715" s="9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1.75" customHeight="1" x14ac:dyDescent="0.6">
      <c r="A716" s="1"/>
      <c r="B716" s="6"/>
      <c r="C716" s="1"/>
      <c r="D716" s="57"/>
      <c r="E716" s="154"/>
      <c r="F716" s="9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1.75" customHeight="1" x14ac:dyDescent="0.6">
      <c r="A717" s="1"/>
      <c r="B717" s="6"/>
      <c r="C717" s="1"/>
      <c r="D717" s="57"/>
      <c r="E717" s="154"/>
      <c r="F717" s="9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1.75" customHeight="1" x14ac:dyDescent="0.6">
      <c r="A718" s="1"/>
      <c r="B718" s="6"/>
      <c r="C718" s="1"/>
      <c r="D718" s="57"/>
      <c r="E718" s="154"/>
      <c r="F718" s="9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1.75" customHeight="1" x14ac:dyDescent="0.6">
      <c r="A719" s="1"/>
      <c r="B719" s="6"/>
      <c r="C719" s="1"/>
      <c r="D719" s="57"/>
      <c r="E719" s="154"/>
      <c r="F719" s="9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1.75" customHeight="1" x14ac:dyDescent="0.6">
      <c r="A720" s="1"/>
      <c r="B720" s="6"/>
      <c r="C720" s="1"/>
      <c r="D720" s="57"/>
      <c r="E720" s="154"/>
      <c r="F720" s="9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1.75" customHeight="1" x14ac:dyDescent="0.6">
      <c r="A721" s="1"/>
      <c r="B721" s="6"/>
      <c r="C721" s="1"/>
      <c r="D721" s="57"/>
      <c r="E721" s="154"/>
      <c r="F721" s="9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1.75" customHeight="1" x14ac:dyDescent="0.6">
      <c r="A722" s="1"/>
      <c r="B722" s="6"/>
      <c r="C722" s="1"/>
      <c r="D722" s="57"/>
      <c r="E722" s="154"/>
      <c r="F722" s="9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1.75" customHeight="1" x14ac:dyDescent="0.6">
      <c r="A723" s="1"/>
      <c r="B723" s="6"/>
      <c r="C723" s="1"/>
      <c r="D723" s="57"/>
      <c r="E723" s="154"/>
      <c r="F723" s="9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1.75" customHeight="1" x14ac:dyDescent="0.6">
      <c r="A724" s="1"/>
      <c r="B724" s="6"/>
      <c r="C724" s="1"/>
      <c r="D724" s="57"/>
      <c r="E724" s="154"/>
      <c r="F724" s="9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1.75" customHeight="1" x14ac:dyDescent="0.6">
      <c r="A725" s="1"/>
      <c r="B725" s="6"/>
      <c r="C725" s="1"/>
      <c r="D725" s="57"/>
      <c r="E725" s="154"/>
      <c r="F725" s="9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1.75" customHeight="1" x14ac:dyDescent="0.6">
      <c r="A726" s="1"/>
      <c r="B726" s="6"/>
      <c r="C726" s="1"/>
      <c r="D726" s="57"/>
      <c r="E726" s="154"/>
      <c r="F726" s="9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1.75" customHeight="1" x14ac:dyDescent="0.6">
      <c r="A727" s="1"/>
      <c r="B727" s="6"/>
      <c r="C727" s="1"/>
      <c r="D727" s="57"/>
      <c r="E727" s="154"/>
      <c r="F727" s="9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1.75" customHeight="1" x14ac:dyDescent="0.6">
      <c r="A728" s="1"/>
      <c r="B728" s="6"/>
      <c r="C728" s="1"/>
      <c r="D728" s="57"/>
      <c r="E728" s="154"/>
      <c r="F728" s="9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1.75" customHeight="1" x14ac:dyDescent="0.6">
      <c r="A729" s="1"/>
      <c r="B729" s="6"/>
      <c r="C729" s="1"/>
      <c r="D729" s="57"/>
      <c r="E729" s="154"/>
      <c r="F729" s="9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1.75" customHeight="1" x14ac:dyDescent="0.6">
      <c r="A730" s="1"/>
      <c r="B730" s="6"/>
      <c r="C730" s="1"/>
      <c r="D730" s="57"/>
      <c r="E730" s="154"/>
      <c r="F730" s="9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1.75" customHeight="1" x14ac:dyDescent="0.6">
      <c r="A731" s="1"/>
      <c r="B731" s="6"/>
      <c r="C731" s="1"/>
      <c r="D731" s="57"/>
      <c r="E731" s="154"/>
      <c r="F731" s="9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1.75" customHeight="1" x14ac:dyDescent="0.6">
      <c r="A732" s="1"/>
      <c r="B732" s="6"/>
      <c r="C732" s="1"/>
      <c r="D732" s="57"/>
      <c r="E732" s="154"/>
      <c r="F732" s="9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1.75" customHeight="1" x14ac:dyDescent="0.6">
      <c r="A733" s="1"/>
      <c r="B733" s="6"/>
      <c r="C733" s="1"/>
      <c r="D733" s="57"/>
      <c r="E733" s="154"/>
      <c r="F733" s="9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1.75" customHeight="1" x14ac:dyDescent="0.6">
      <c r="A734" s="1"/>
      <c r="B734" s="6"/>
      <c r="C734" s="1"/>
      <c r="D734" s="57"/>
      <c r="E734" s="154"/>
      <c r="F734" s="9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1.75" customHeight="1" x14ac:dyDescent="0.6">
      <c r="A735" s="1"/>
      <c r="B735" s="6"/>
      <c r="C735" s="1"/>
      <c r="D735" s="57"/>
      <c r="E735" s="154"/>
      <c r="F735" s="9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1.75" customHeight="1" x14ac:dyDescent="0.6">
      <c r="A736" s="1"/>
      <c r="B736" s="6"/>
      <c r="C736" s="1"/>
      <c r="D736" s="57"/>
      <c r="E736" s="154"/>
      <c r="F736" s="9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1.75" customHeight="1" x14ac:dyDescent="0.6">
      <c r="A737" s="1"/>
      <c r="B737" s="6"/>
      <c r="C737" s="1"/>
      <c r="D737" s="57"/>
      <c r="E737" s="154"/>
      <c r="F737" s="9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1.75" customHeight="1" x14ac:dyDescent="0.6">
      <c r="A738" s="1"/>
      <c r="B738" s="6"/>
      <c r="C738" s="1"/>
      <c r="D738" s="57"/>
      <c r="E738" s="154"/>
      <c r="F738" s="9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1.75" customHeight="1" x14ac:dyDescent="0.6">
      <c r="A739" s="1"/>
      <c r="B739" s="6"/>
      <c r="C739" s="1"/>
      <c r="D739" s="57"/>
      <c r="E739" s="154"/>
      <c r="F739" s="9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1.75" customHeight="1" x14ac:dyDescent="0.6">
      <c r="A740" s="1"/>
      <c r="B740" s="6"/>
      <c r="C740" s="1"/>
      <c r="D740" s="57"/>
      <c r="E740" s="154"/>
      <c r="F740" s="9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1.75" customHeight="1" x14ac:dyDescent="0.6">
      <c r="A741" s="1"/>
      <c r="B741" s="6"/>
      <c r="C741" s="1"/>
      <c r="D741" s="57"/>
      <c r="E741" s="154"/>
      <c r="F741" s="9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1.75" customHeight="1" x14ac:dyDescent="0.6">
      <c r="A742" s="1"/>
      <c r="B742" s="6"/>
      <c r="C742" s="1"/>
      <c r="D742" s="57"/>
      <c r="E742" s="154"/>
      <c r="F742" s="9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1.75" customHeight="1" x14ac:dyDescent="0.6">
      <c r="A743" s="1"/>
      <c r="B743" s="6"/>
      <c r="C743" s="1"/>
      <c r="D743" s="57"/>
      <c r="E743" s="154"/>
      <c r="F743" s="9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1.75" customHeight="1" x14ac:dyDescent="0.6">
      <c r="A744" s="1"/>
      <c r="B744" s="6"/>
      <c r="C744" s="1"/>
      <c r="D744" s="57"/>
      <c r="E744" s="154"/>
      <c r="F744" s="9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1.75" customHeight="1" x14ac:dyDescent="0.6">
      <c r="A745" s="1"/>
      <c r="B745" s="6"/>
      <c r="C745" s="1"/>
      <c r="D745" s="57"/>
      <c r="E745" s="154"/>
      <c r="F745" s="9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1.75" customHeight="1" x14ac:dyDescent="0.6">
      <c r="A746" s="1"/>
      <c r="B746" s="6"/>
      <c r="C746" s="1"/>
      <c r="D746" s="57"/>
      <c r="E746" s="154"/>
      <c r="F746" s="9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1.75" customHeight="1" x14ac:dyDescent="0.6">
      <c r="A747" s="1"/>
      <c r="B747" s="6"/>
      <c r="C747" s="1"/>
      <c r="D747" s="57"/>
      <c r="E747" s="154"/>
      <c r="F747" s="9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1.75" customHeight="1" x14ac:dyDescent="0.6">
      <c r="A748" s="1"/>
      <c r="B748" s="6"/>
      <c r="C748" s="1"/>
      <c r="D748" s="57"/>
      <c r="E748" s="154"/>
      <c r="F748" s="9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1.75" customHeight="1" x14ac:dyDescent="0.6">
      <c r="A749" s="1"/>
      <c r="B749" s="6"/>
      <c r="C749" s="1"/>
      <c r="D749" s="57"/>
      <c r="E749" s="154"/>
      <c r="F749" s="9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1.75" customHeight="1" x14ac:dyDescent="0.6">
      <c r="A750" s="1"/>
      <c r="B750" s="6"/>
      <c r="C750" s="1"/>
      <c r="D750" s="57"/>
      <c r="E750" s="154"/>
      <c r="F750" s="9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1.75" customHeight="1" x14ac:dyDescent="0.6">
      <c r="A751" s="1"/>
      <c r="B751" s="6"/>
      <c r="C751" s="1"/>
      <c r="D751" s="57"/>
      <c r="E751" s="154"/>
      <c r="F751" s="9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1.75" customHeight="1" x14ac:dyDescent="0.6">
      <c r="A752" s="1"/>
      <c r="B752" s="6"/>
      <c r="C752" s="1"/>
      <c r="D752" s="57"/>
      <c r="E752" s="154"/>
      <c r="F752" s="9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1.75" customHeight="1" x14ac:dyDescent="0.6">
      <c r="A753" s="1"/>
      <c r="B753" s="6"/>
      <c r="C753" s="1"/>
      <c r="D753" s="57"/>
      <c r="E753" s="154"/>
      <c r="F753" s="9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1.75" customHeight="1" x14ac:dyDescent="0.6">
      <c r="A754" s="1"/>
      <c r="B754" s="6"/>
      <c r="C754" s="1"/>
      <c r="D754" s="57"/>
      <c r="E754" s="154"/>
      <c r="F754" s="9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1.75" customHeight="1" x14ac:dyDescent="0.6">
      <c r="A755" s="1"/>
      <c r="B755" s="6"/>
      <c r="C755" s="1"/>
      <c r="D755" s="57"/>
      <c r="E755" s="154"/>
      <c r="F755" s="9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1.75" customHeight="1" x14ac:dyDescent="0.6">
      <c r="A756" s="1"/>
      <c r="B756" s="6"/>
      <c r="C756" s="1"/>
      <c r="D756" s="57"/>
      <c r="E756" s="154"/>
      <c r="F756" s="9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1.75" customHeight="1" x14ac:dyDescent="0.6">
      <c r="A757" s="1"/>
      <c r="B757" s="6"/>
      <c r="C757" s="1"/>
      <c r="D757" s="57"/>
      <c r="E757" s="154"/>
      <c r="F757" s="9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1.75" customHeight="1" x14ac:dyDescent="0.6">
      <c r="A758" s="1"/>
      <c r="B758" s="6"/>
      <c r="C758" s="1"/>
      <c r="D758" s="57"/>
      <c r="E758" s="154"/>
      <c r="F758" s="9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1.75" customHeight="1" x14ac:dyDescent="0.6">
      <c r="A759" s="1"/>
      <c r="B759" s="6"/>
      <c r="C759" s="1"/>
      <c r="D759" s="57"/>
      <c r="E759" s="154"/>
      <c r="F759" s="9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1.75" customHeight="1" x14ac:dyDescent="0.6">
      <c r="A760" s="1"/>
      <c r="B760" s="6"/>
      <c r="C760" s="1"/>
      <c r="D760" s="57"/>
      <c r="E760" s="154"/>
      <c r="F760" s="9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1.75" customHeight="1" x14ac:dyDescent="0.6">
      <c r="A761" s="1"/>
      <c r="B761" s="6"/>
      <c r="C761" s="1"/>
      <c r="D761" s="57"/>
      <c r="E761" s="154"/>
      <c r="F761" s="9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1.75" customHeight="1" x14ac:dyDescent="0.6">
      <c r="A762" s="1"/>
      <c r="B762" s="6"/>
      <c r="C762" s="1"/>
      <c r="D762" s="57"/>
      <c r="E762" s="154"/>
      <c r="F762" s="9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1.75" customHeight="1" x14ac:dyDescent="0.6">
      <c r="A763" s="1"/>
      <c r="B763" s="6"/>
      <c r="C763" s="1"/>
      <c r="D763" s="57"/>
      <c r="E763" s="154"/>
      <c r="F763" s="9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1.75" customHeight="1" x14ac:dyDescent="0.6">
      <c r="A764" s="1"/>
      <c r="B764" s="6"/>
      <c r="C764" s="1"/>
      <c r="D764" s="57"/>
      <c r="E764" s="154"/>
      <c r="F764" s="9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1.75" customHeight="1" x14ac:dyDescent="0.6">
      <c r="A765" s="1"/>
      <c r="B765" s="6"/>
      <c r="C765" s="1"/>
      <c r="D765" s="57"/>
      <c r="E765" s="154"/>
      <c r="F765" s="9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1.75" customHeight="1" x14ac:dyDescent="0.6">
      <c r="A766" s="1"/>
      <c r="B766" s="6"/>
      <c r="C766" s="1"/>
      <c r="D766" s="57"/>
      <c r="E766" s="154"/>
      <c r="F766" s="9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1.75" customHeight="1" x14ac:dyDescent="0.6">
      <c r="A767" s="1"/>
      <c r="B767" s="6"/>
      <c r="C767" s="1"/>
      <c r="D767" s="57"/>
      <c r="E767" s="154"/>
      <c r="F767" s="9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1.75" customHeight="1" x14ac:dyDescent="0.6">
      <c r="A768" s="1"/>
      <c r="B768" s="6"/>
      <c r="C768" s="1"/>
      <c r="D768" s="57"/>
      <c r="E768" s="154"/>
      <c r="F768" s="9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1.75" customHeight="1" x14ac:dyDescent="0.6">
      <c r="A769" s="1"/>
      <c r="B769" s="6"/>
      <c r="C769" s="1"/>
      <c r="D769" s="57"/>
      <c r="E769" s="154"/>
      <c r="F769" s="9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1.75" customHeight="1" x14ac:dyDescent="0.6">
      <c r="A770" s="1"/>
      <c r="B770" s="6"/>
      <c r="C770" s="1"/>
      <c r="D770" s="57"/>
      <c r="E770" s="154"/>
      <c r="F770" s="9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1.75" customHeight="1" x14ac:dyDescent="0.6">
      <c r="A771" s="1"/>
      <c r="B771" s="6"/>
      <c r="C771" s="1"/>
      <c r="D771" s="57"/>
      <c r="E771" s="154"/>
      <c r="F771" s="9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1.75" customHeight="1" x14ac:dyDescent="0.6">
      <c r="A772" s="1"/>
      <c r="B772" s="6"/>
      <c r="C772" s="1"/>
      <c r="D772" s="57"/>
      <c r="E772" s="154"/>
      <c r="F772" s="9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1.75" customHeight="1" x14ac:dyDescent="0.6">
      <c r="A773" s="1"/>
      <c r="B773" s="6"/>
      <c r="C773" s="1"/>
      <c r="D773" s="57"/>
      <c r="E773" s="154"/>
      <c r="F773" s="9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1.75" customHeight="1" x14ac:dyDescent="0.6">
      <c r="A774" s="1"/>
      <c r="B774" s="6"/>
      <c r="C774" s="1"/>
      <c r="D774" s="57"/>
      <c r="E774" s="154"/>
      <c r="F774" s="9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1.75" customHeight="1" x14ac:dyDescent="0.6">
      <c r="A775" s="1"/>
      <c r="B775" s="6"/>
      <c r="C775" s="1"/>
      <c r="D775" s="57"/>
      <c r="E775" s="154"/>
      <c r="F775" s="9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1.75" customHeight="1" x14ac:dyDescent="0.6">
      <c r="A776" s="1"/>
      <c r="B776" s="6"/>
      <c r="C776" s="1"/>
      <c r="D776" s="57"/>
      <c r="E776" s="154"/>
      <c r="F776" s="9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1.75" customHeight="1" x14ac:dyDescent="0.6">
      <c r="A777" s="1"/>
      <c r="B777" s="6"/>
      <c r="C777" s="1"/>
      <c r="D777" s="57"/>
      <c r="E777" s="154"/>
      <c r="F777" s="9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1.75" customHeight="1" x14ac:dyDescent="0.6">
      <c r="A778" s="1"/>
      <c r="B778" s="6"/>
      <c r="C778" s="1"/>
      <c r="D778" s="57"/>
      <c r="E778" s="154"/>
      <c r="F778" s="9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1.75" customHeight="1" x14ac:dyDescent="0.6">
      <c r="A779" s="1"/>
      <c r="B779" s="6"/>
      <c r="C779" s="1"/>
      <c r="D779" s="57"/>
      <c r="E779" s="154"/>
      <c r="F779" s="9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1.75" customHeight="1" x14ac:dyDescent="0.6">
      <c r="A780" s="1"/>
      <c r="B780" s="6"/>
      <c r="C780" s="1"/>
      <c r="D780" s="57"/>
      <c r="E780" s="154"/>
      <c r="F780" s="9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1.75" customHeight="1" x14ac:dyDescent="0.6">
      <c r="A781" s="1"/>
      <c r="B781" s="6"/>
      <c r="C781" s="1"/>
      <c r="D781" s="57"/>
      <c r="E781" s="154"/>
      <c r="F781" s="9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1.75" customHeight="1" x14ac:dyDescent="0.6">
      <c r="A782" s="1"/>
      <c r="B782" s="6"/>
      <c r="C782" s="1"/>
      <c r="D782" s="57"/>
      <c r="E782" s="154"/>
      <c r="F782" s="9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1.75" customHeight="1" x14ac:dyDescent="0.6">
      <c r="A783" s="1"/>
      <c r="B783" s="6"/>
      <c r="C783" s="1"/>
      <c r="D783" s="57"/>
      <c r="E783" s="154"/>
      <c r="F783" s="9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1.75" customHeight="1" x14ac:dyDescent="0.6">
      <c r="A784" s="1"/>
      <c r="B784" s="6"/>
      <c r="C784" s="1"/>
      <c r="D784" s="57"/>
      <c r="E784" s="154"/>
      <c r="F784" s="9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1.75" customHeight="1" x14ac:dyDescent="0.6">
      <c r="A785" s="1"/>
      <c r="B785" s="6"/>
      <c r="C785" s="1"/>
      <c r="D785" s="57"/>
      <c r="E785" s="154"/>
      <c r="F785" s="9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1.75" customHeight="1" x14ac:dyDescent="0.6">
      <c r="A786" s="1"/>
      <c r="B786" s="6"/>
      <c r="C786" s="1"/>
      <c r="D786" s="57"/>
      <c r="E786" s="154"/>
      <c r="F786" s="9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1.75" customHeight="1" x14ac:dyDescent="0.6">
      <c r="A787" s="1"/>
      <c r="B787" s="6"/>
      <c r="C787" s="1"/>
      <c r="D787" s="57"/>
      <c r="E787" s="154"/>
      <c r="F787" s="9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1.75" customHeight="1" x14ac:dyDescent="0.6">
      <c r="A788" s="1"/>
      <c r="B788" s="6"/>
      <c r="C788" s="1"/>
      <c r="D788" s="57"/>
      <c r="E788" s="154"/>
      <c r="F788" s="9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1.75" customHeight="1" x14ac:dyDescent="0.6">
      <c r="A789" s="1"/>
      <c r="B789" s="6"/>
      <c r="C789" s="1"/>
      <c r="D789" s="57"/>
      <c r="E789" s="154"/>
      <c r="F789" s="9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1.75" customHeight="1" x14ac:dyDescent="0.6">
      <c r="A790" s="1"/>
      <c r="B790" s="6"/>
      <c r="C790" s="1"/>
      <c r="D790" s="57"/>
      <c r="E790" s="154"/>
      <c r="F790" s="9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1.75" customHeight="1" x14ac:dyDescent="0.6">
      <c r="A791" s="1"/>
      <c r="B791" s="6"/>
      <c r="C791" s="1"/>
      <c r="D791" s="57"/>
      <c r="E791" s="154"/>
      <c r="F791" s="9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1.75" customHeight="1" x14ac:dyDescent="0.6">
      <c r="A792" s="1"/>
      <c r="B792" s="6"/>
      <c r="C792" s="1"/>
      <c r="D792" s="57"/>
      <c r="E792" s="154"/>
      <c r="F792" s="9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1.75" customHeight="1" x14ac:dyDescent="0.6">
      <c r="A793" s="1"/>
      <c r="B793" s="6"/>
      <c r="C793" s="1"/>
      <c r="D793" s="57"/>
      <c r="E793" s="154"/>
      <c r="F793" s="9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1.75" customHeight="1" x14ac:dyDescent="0.6">
      <c r="A794" s="1"/>
      <c r="B794" s="6"/>
      <c r="C794" s="1"/>
      <c r="D794" s="57"/>
      <c r="E794" s="154"/>
      <c r="F794" s="9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1.75" customHeight="1" x14ac:dyDescent="0.6">
      <c r="A795" s="1"/>
      <c r="B795" s="6"/>
      <c r="C795" s="1"/>
      <c r="D795" s="57"/>
      <c r="E795" s="154"/>
      <c r="F795" s="9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1.75" customHeight="1" x14ac:dyDescent="0.6">
      <c r="A796" s="1"/>
      <c r="B796" s="6"/>
      <c r="C796" s="1"/>
      <c r="D796" s="57"/>
      <c r="E796" s="154"/>
      <c r="F796" s="9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1.75" customHeight="1" x14ac:dyDescent="0.6">
      <c r="A797" s="1"/>
      <c r="B797" s="6"/>
      <c r="C797" s="1"/>
      <c r="D797" s="57"/>
      <c r="E797" s="154"/>
      <c r="F797" s="9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1.75" customHeight="1" x14ac:dyDescent="0.6">
      <c r="A798" s="1"/>
      <c r="B798" s="6"/>
      <c r="C798" s="1"/>
      <c r="D798" s="57"/>
      <c r="E798" s="154"/>
      <c r="F798" s="9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1.75" customHeight="1" x14ac:dyDescent="0.6">
      <c r="A799" s="1"/>
      <c r="B799" s="6"/>
      <c r="C799" s="1"/>
      <c r="D799" s="57"/>
      <c r="E799" s="154"/>
      <c r="F799" s="9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1.75" customHeight="1" x14ac:dyDescent="0.6">
      <c r="A800" s="1"/>
      <c r="B800" s="6"/>
      <c r="C800" s="1"/>
      <c r="D800" s="57"/>
      <c r="E800" s="154"/>
      <c r="F800" s="9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1.75" customHeight="1" x14ac:dyDescent="0.6">
      <c r="A801" s="1"/>
      <c r="B801" s="6"/>
      <c r="C801" s="1"/>
      <c r="D801" s="57"/>
      <c r="E801" s="154"/>
      <c r="F801" s="9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1.75" customHeight="1" x14ac:dyDescent="0.6">
      <c r="A802" s="1"/>
      <c r="B802" s="6"/>
      <c r="C802" s="1"/>
      <c r="D802" s="57"/>
      <c r="E802" s="154"/>
      <c r="F802" s="9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1.75" customHeight="1" x14ac:dyDescent="0.6">
      <c r="A803" s="1"/>
      <c r="B803" s="6"/>
      <c r="C803" s="1"/>
      <c r="D803" s="57"/>
      <c r="E803" s="154"/>
      <c r="F803" s="9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1.75" customHeight="1" x14ac:dyDescent="0.6">
      <c r="A804" s="1"/>
      <c r="B804" s="6"/>
      <c r="C804" s="1"/>
      <c r="D804" s="57"/>
      <c r="E804" s="154"/>
      <c r="F804" s="9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1.75" customHeight="1" x14ac:dyDescent="0.6">
      <c r="A805" s="1"/>
      <c r="B805" s="6"/>
      <c r="C805" s="1"/>
      <c r="D805" s="57"/>
      <c r="E805" s="154"/>
      <c r="F805" s="9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1.75" customHeight="1" x14ac:dyDescent="0.6">
      <c r="A806" s="1"/>
      <c r="B806" s="6"/>
      <c r="C806" s="1"/>
      <c r="D806" s="57"/>
      <c r="E806" s="154"/>
      <c r="F806" s="9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1.75" customHeight="1" x14ac:dyDescent="0.6">
      <c r="A807" s="1"/>
      <c r="B807" s="6"/>
      <c r="C807" s="1"/>
      <c r="D807" s="57"/>
      <c r="E807" s="154"/>
      <c r="F807" s="9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1.75" customHeight="1" x14ac:dyDescent="0.6">
      <c r="A808" s="1"/>
      <c r="B808" s="6"/>
      <c r="C808" s="1"/>
      <c r="D808" s="57"/>
      <c r="E808" s="154"/>
      <c r="F808" s="9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1.75" customHeight="1" x14ac:dyDescent="0.6">
      <c r="A809" s="1"/>
      <c r="B809" s="6"/>
      <c r="C809" s="1"/>
      <c r="D809" s="57"/>
      <c r="E809" s="154"/>
      <c r="F809" s="9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1.75" customHeight="1" x14ac:dyDescent="0.6">
      <c r="A810" s="1"/>
      <c r="B810" s="6"/>
      <c r="C810" s="1"/>
      <c r="D810" s="57"/>
      <c r="E810" s="154"/>
      <c r="F810" s="9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1.75" customHeight="1" x14ac:dyDescent="0.6">
      <c r="A811" s="1"/>
      <c r="B811" s="6"/>
      <c r="C811" s="1"/>
      <c r="D811" s="57"/>
      <c r="E811" s="154"/>
      <c r="F811" s="9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1.75" customHeight="1" x14ac:dyDescent="0.6">
      <c r="A812" s="1"/>
      <c r="B812" s="6"/>
      <c r="C812" s="1"/>
      <c r="D812" s="57"/>
      <c r="E812" s="154"/>
      <c r="F812" s="9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1.75" customHeight="1" x14ac:dyDescent="0.6">
      <c r="A813" s="1"/>
      <c r="B813" s="6"/>
      <c r="C813" s="1"/>
      <c r="D813" s="57"/>
      <c r="E813" s="154"/>
      <c r="F813" s="9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1.75" customHeight="1" x14ac:dyDescent="0.6">
      <c r="A814" s="1"/>
      <c r="B814" s="6"/>
      <c r="C814" s="1"/>
      <c r="D814" s="57"/>
      <c r="E814" s="154"/>
      <c r="F814" s="9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1.75" customHeight="1" x14ac:dyDescent="0.6">
      <c r="A815" s="1"/>
      <c r="B815" s="6"/>
      <c r="C815" s="1"/>
      <c r="D815" s="57"/>
      <c r="E815" s="154"/>
      <c r="F815" s="9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1.75" customHeight="1" x14ac:dyDescent="0.6">
      <c r="A816" s="1"/>
      <c r="B816" s="6"/>
      <c r="C816" s="1"/>
      <c r="D816" s="57"/>
      <c r="E816" s="154"/>
      <c r="F816" s="9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1.75" customHeight="1" x14ac:dyDescent="0.6">
      <c r="A817" s="1"/>
      <c r="B817" s="6"/>
      <c r="C817" s="1"/>
      <c r="D817" s="57"/>
      <c r="E817" s="154"/>
      <c r="F817" s="9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1.75" customHeight="1" x14ac:dyDescent="0.6">
      <c r="A818" s="1"/>
      <c r="B818" s="6"/>
      <c r="C818" s="1"/>
      <c r="D818" s="57"/>
      <c r="E818" s="154"/>
      <c r="F818" s="9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1.75" customHeight="1" x14ac:dyDescent="0.6">
      <c r="A819" s="1"/>
      <c r="B819" s="6"/>
      <c r="C819" s="1"/>
      <c r="D819" s="57"/>
      <c r="E819" s="154"/>
      <c r="F819" s="9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1.75" customHeight="1" x14ac:dyDescent="0.6">
      <c r="A820" s="1"/>
      <c r="B820" s="6"/>
      <c r="C820" s="1"/>
      <c r="D820" s="57"/>
      <c r="E820" s="154"/>
      <c r="F820" s="9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1.75" customHeight="1" x14ac:dyDescent="0.6">
      <c r="A821" s="1"/>
      <c r="B821" s="6"/>
      <c r="C821" s="1"/>
      <c r="D821" s="57"/>
      <c r="E821" s="154"/>
      <c r="F821" s="9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1.75" customHeight="1" x14ac:dyDescent="0.6">
      <c r="A822" s="1"/>
      <c r="B822" s="6"/>
      <c r="C822" s="1"/>
      <c r="D822" s="57"/>
      <c r="E822" s="154"/>
      <c r="F822" s="9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1.75" customHeight="1" x14ac:dyDescent="0.6">
      <c r="A823" s="1"/>
      <c r="B823" s="6"/>
      <c r="C823" s="1"/>
      <c r="D823" s="57"/>
      <c r="E823" s="154"/>
      <c r="F823" s="9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1.75" customHeight="1" x14ac:dyDescent="0.6">
      <c r="A824" s="1"/>
      <c r="B824" s="6"/>
      <c r="C824" s="1"/>
      <c r="D824" s="57"/>
      <c r="E824" s="154"/>
      <c r="F824" s="9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1.75" customHeight="1" x14ac:dyDescent="0.6">
      <c r="A825" s="1"/>
      <c r="B825" s="6"/>
      <c r="C825" s="1"/>
      <c r="D825" s="57"/>
      <c r="E825" s="154"/>
      <c r="F825" s="9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1.75" customHeight="1" x14ac:dyDescent="0.6">
      <c r="A826" s="1"/>
      <c r="B826" s="6"/>
      <c r="C826" s="1"/>
      <c r="D826" s="57"/>
      <c r="E826" s="154"/>
      <c r="F826" s="9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1.75" customHeight="1" x14ac:dyDescent="0.6">
      <c r="A827" s="1"/>
      <c r="B827" s="6"/>
      <c r="C827" s="1"/>
      <c r="D827" s="57"/>
      <c r="E827" s="154"/>
      <c r="F827" s="9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1.75" customHeight="1" x14ac:dyDescent="0.6">
      <c r="A828" s="1"/>
      <c r="B828" s="6"/>
      <c r="C828" s="1"/>
      <c r="D828" s="57"/>
      <c r="E828" s="154"/>
      <c r="F828" s="9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1.75" customHeight="1" x14ac:dyDescent="0.6">
      <c r="A829" s="1"/>
      <c r="B829" s="6"/>
      <c r="C829" s="1"/>
      <c r="D829" s="57"/>
      <c r="E829" s="154"/>
      <c r="F829" s="9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1.75" customHeight="1" x14ac:dyDescent="0.6">
      <c r="A830" s="1"/>
      <c r="B830" s="6"/>
      <c r="C830" s="1"/>
      <c r="D830" s="57"/>
      <c r="E830" s="154"/>
      <c r="F830" s="9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1.75" customHeight="1" x14ac:dyDescent="0.6">
      <c r="A831" s="1"/>
      <c r="B831" s="6"/>
      <c r="C831" s="1"/>
      <c r="D831" s="57"/>
      <c r="E831" s="154"/>
      <c r="F831" s="9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1.75" customHeight="1" x14ac:dyDescent="0.6">
      <c r="A832" s="1"/>
      <c r="B832" s="6"/>
      <c r="C832" s="1"/>
      <c r="D832" s="57"/>
      <c r="E832" s="154"/>
      <c r="F832" s="9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1.75" customHeight="1" x14ac:dyDescent="0.6">
      <c r="A833" s="1"/>
      <c r="B833" s="6"/>
      <c r="C833" s="1"/>
      <c r="D833" s="57"/>
      <c r="E833" s="154"/>
      <c r="F833" s="9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1.75" customHeight="1" x14ac:dyDescent="0.6">
      <c r="A834" s="1"/>
      <c r="B834" s="6"/>
      <c r="C834" s="1"/>
      <c r="D834" s="57"/>
      <c r="E834" s="154"/>
      <c r="F834" s="9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1.75" customHeight="1" x14ac:dyDescent="0.6">
      <c r="A835" s="1"/>
      <c r="B835" s="6"/>
      <c r="C835" s="1"/>
      <c r="D835" s="57"/>
      <c r="E835" s="154"/>
      <c r="F835" s="9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1.75" customHeight="1" x14ac:dyDescent="0.6">
      <c r="A836" s="1"/>
      <c r="B836" s="6"/>
      <c r="C836" s="1"/>
      <c r="D836" s="57"/>
      <c r="E836" s="154"/>
      <c r="F836" s="9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1.75" customHeight="1" x14ac:dyDescent="0.6">
      <c r="A837" s="1"/>
      <c r="B837" s="6"/>
      <c r="C837" s="1"/>
      <c r="D837" s="57"/>
      <c r="E837" s="154"/>
      <c r="F837" s="9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1.75" customHeight="1" x14ac:dyDescent="0.6">
      <c r="A838" s="1"/>
      <c r="B838" s="6"/>
      <c r="C838" s="1"/>
      <c r="D838" s="57"/>
      <c r="E838" s="154"/>
      <c r="F838" s="9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1.75" customHeight="1" x14ac:dyDescent="0.6">
      <c r="A839" s="1"/>
      <c r="B839" s="6"/>
      <c r="C839" s="1"/>
      <c r="D839" s="57"/>
      <c r="E839" s="154"/>
      <c r="F839" s="9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1.75" customHeight="1" x14ac:dyDescent="0.6">
      <c r="A840" s="1"/>
      <c r="B840" s="6"/>
      <c r="C840" s="1"/>
      <c r="D840" s="57"/>
      <c r="E840" s="154"/>
      <c r="F840" s="9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1.75" customHeight="1" x14ac:dyDescent="0.6">
      <c r="A841" s="1"/>
      <c r="B841" s="6"/>
      <c r="C841" s="1"/>
      <c r="D841" s="57"/>
      <c r="E841" s="154"/>
      <c r="F841" s="9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1.75" customHeight="1" x14ac:dyDescent="0.6">
      <c r="A842" s="1"/>
      <c r="B842" s="6"/>
      <c r="C842" s="1"/>
      <c r="D842" s="57"/>
      <c r="E842" s="154"/>
      <c r="F842" s="9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1.75" customHeight="1" x14ac:dyDescent="0.6">
      <c r="A843" s="1"/>
      <c r="B843" s="6"/>
      <c r="C843" s="1"/>
      <c r="D843" s="57"/>
      <c r="E843" s="154"/>
      <c r="F843" s="9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1.75" customHeight="1" x14ac:dyDescent="0.6">
      <c r="A844" s="1"/>
      <c r="B844" s="6"/>
      <c r="C844" s="1"/>
      <c r="D844" s="57"/>
      <c r="E844" s="154"/>
      <c r="F844" s="9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1.75" customHeight="1" x14ac:dyDescent="0.6">
      <c r="A845" s="1"/>
      <c r="B845" s="6"/>
      <c r="C845" s="1"/>
      <c r="D845" s="57"/>
      <c r="E845" s="154"/>
      <c r="F845" s="9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1.75" customHeight="1" x14ac:dyDescent="0.6">
      <c r="A846" s="1"/>
      <c r="B846" s="6"/>
      <c r="C846" s="1"/>
      <c r="D846" s="57"/>
      <c r="E846" s="154"/>
      <c r="F846" s="9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1.75" customHeight="1" x14ac:dyDescent="0.6">
      <c r="A847" s="1"/>
      <c r="B847" s="6"/>
      <c r="C847" s="1"/>
      <c r="D847" s="57"/>
      <c r="E847" s="154"/>
      <c r="F847" s="9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1.75" customHeight="1" x14ac:dyDescent="0.6">
      <c r="A848" s="1"/>
      <c r="B848" s="6"/>
      <c r="C848" s="1"/>
      <c r="D848" s="57"/>
      <c r="E848" s="154"/>
      <c r="F848" s="9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1.75" customHeight="1" x14ac:dyDescent="0.6">
      <c r="A849" s="1"/>
      <c r="B849" s="6"/>
      <c r="C849" s="1"/>
      <c r="D849" s="57"/>
      <c r="E849" s="154"/>
      <c r="F849" s="9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1.75" customHeight="1" x14ac:dyDescent="0.6">
      <c r="A850" s="1"/>
      <c r="B850" s="6"/>
      <c r="C850" s="1"/>
      <c r="D850" s="57"/>
      <c r="E850" s="154"/>
      <c r="F850" s="9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1.75" customHeight="1" x14ac:dyDescent="0.6">
      <c r="A851" s="1"/>
      <c r="B851" s="6"/>
      <c r="C851" s="1"/>
      <c r="D851" s="57"/>
      <c r="E851" s="154"/>
      <c r="F851" s="9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1.75" customHeight="1" x14ac:dyDescent="0.6">
      <c r="A852" s="1"/>
      <c r="B852" s="6"/>
      <c r="C852" s="1"/>
      <c r="D852" s="57"/>
      <c r="E852" s="154"/>
      <c r="F852" s="9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1.75" customHeight="1" x14ac:dyDescent="0.6">
      <c r="A853" s="1"/>
      <c r="B853" s="6"/>
      <c r="C853" s="1"/>
      <c r="D853" s="57"/>
      <c r="E853" s="154"/>
      <c r="F853" s="9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1.75" customHeight="1" x14ac:dyDescent="0.6">
      <c r="A854" s="1"/>
      <c r="B854" s="6"/>
      <c r="C854" s="1"/>
      <c r="D854" s="57"/>
      <c r="E854" s="154"/>
      <c r="F854" s="9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1.75" customHeight="1" x14ac:dyDescent="0.6">
      <c r="A855" s="1"/>
      <c r="B855" s="6"/>
      <c r="C855" s="1"/>
      <c r="D855" s="57"/>
      <c r="E855" s="154"/>
      <c r="F855" s="9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1.75" customHeight="1" x14ac:dyDescent="0.6">
      <c r="A856" s="1"/>
      <c r="B856" s="6"/>
      <c r="C856" s="1"/>
      <c r="D856" s="57"/>
      <c r="E856" s="154"/>
      <c r="F856" s="9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1.75" customHeight="1" x14ac:dyDescent="0.6">
      <c r="A857" s="1"/>
      <c r="B857" s="6"/>
      <c r="C857" s="1"/>
      <c r="D857" s="57"/>
      <c r="E857" s="154"/>
      <c r="F857" s="9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1.75" customHeight="1" x14ac:dyDescent="0.6">
      <c r="A858" s="1"/>
      <c r="B858" s="6"/>
      <c r="C858" s="1"/>
      <c r="D858" s="57"/>
      <c r="E858" s="154"/>
      <c r="F858" s="9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1.75" customHeight="1" x14ac:dyDescent="0.6">
      <c r="A859" s="1"/>
      <c r="B859" s="6"/>
      <c r="C859" s="1"/>
      <c r="D859" s="57"/>
      <c r="E859" s="154"/>
      <c r="F859" s="9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1.75" customHeight="1" x14ac:dyDescent="0.6">
      <c r="A860" s="1"/>
      <c r="B860" s="6"/>
      <c r="C860" s="1"/>
      <c r="D860" s="57"/>
      <c r="E860" s="154"/>
      <c r="F860" s="9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1.75" customHeight="1" x14ac:dyDescent="0.6">
      <c r="A861" s="1"/>
      <c r="B861" s="6"/>
      <c r="C861" s="1"/>
      <c r="D861" s="57"/>
      <c r="E861" s="154"/>
      <c r="F861" s="9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1.75" customHeight="1" x14ac:dyDescent="0.6">
      <c r="A862" s="1"/>
      <c r="B862" s="6"/>
      <c r="C862" s="1"/>
      <c r="D862" s="57"/>
      <c r="E862" s="154"/>
      <c r="F862" s="9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1.75" customHeight="1" x14ac:dyDescent="0.6">
      <c r="A863" s="1"/>
      <c r="B863" s="6"/>
      <c r="C863" s="1"/>
      <c r="D863" s="57"/>
      <c r="E863" s="154"/>
      <c r="F863" s="9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1.75" customHeight="1" x14ac:dyDescent="0.6">
      <c r="A864" s="1"/>
      <c r="B864" s="6"/>
      <c r="C864" s="1"/>
      <c r="D864" s="57"/>
      <c r="E864" s="154"/>
      <c r="F864" s="9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1.75" customHeight="1" x14ac:dyDescent="0.6">
      <c r="A865" s="1"/>
      <c r="B865" s="6"/>
      <c r="C865" s="1"/>
      <c r="D865" s="57"/>
      <c r="E865" s="154"/>
      <c r="F865" s="9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1.75" customHeight="1" x14ac:dyDescent="0.6">
      <c r="A866" s="1"/>
      <c r="B866" s="6"/>
      <c r="C866" s="1"/>
      <c r="D866" s="57"/>
      <c r="E866" s="154"/>
      <c r="F866" s="9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1.75" customHeight="1" x14ac:dyDescent="0.6">
      <c r="A867" s="1"/>
      <c r="B867" s="6"/>
      <c r="C867" s="1"/>
      <c r="D867" s="57"/>
      <c r="E867" s="154"/>
      <c r="F867" s="9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1.75" customHeight="1" x14ac:dyDescent="0.6">
      <c r="A868" s="1"/>
      <c r="B868" s="6"/>
      <c r="C868" s="1"/>
      <c r="D868" s="57"/>
      <c r="E868" s="154"/>
      <c r="F868" s="9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1.75" customHeight="1" x14ac:dyDescent="0.6">
      <c r="A869" s="1"/>
      <c r="B869" s="6"/>
      <c r="C869" s="1"/>
      <c r="D869" s="57"/>
      <c r="E869" s="154"/>
      <c r="F869" s="9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1.75" customHeight="1" x14ac:dyDescent="0.6">
      <c r="A870" s="1"/>
      <c r="B870" s="6"/>
      <c r="C870" s="1"/>
      <c r="D870" s="57"/>
      <c r="E870" s="154"/>
      <c r="F870" s="9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1.75" customHeight="1" x14ac:dyDescent="0.6">
      <c r="A871" s="1"/>
      <c r="B871" s="6"/>
      <c r="C871" s="1"/>
      <c r="D871" s="57"/>
      <c r="E871" s="154"/>
      <c r="F871" s="9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1.75" customHeight="1" x14ac:dyDescent="0.6">
      <c r="A872" s="1"/>
      <c r="B872" s="6"/>
      <c r="C872" s="1"/>
      <c r="D872" s="57"/>
      <c r="E872" s="154"/>
      <c r="F872" s="9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1.75" customHeight="1" x14ac:dyDescent="0.6">
      <c r="A873" s="1"/>
      <c r="B873" s="6"/>
      <c r="C873" s="1"/>
      <c r="D873" s="57"/>
      <c r="E873" s="154"/>
      <c r="F873" s="9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1.75" customHeight="1" x14ac:dyDescent="0.6">
      <c r="A874" s="1"/>
      <c r="B874" s="6"/>
      <c r="C874" s="1"/>
      <c r="D874" s="57"/>
      <c r="E874" s="154"/>
      <c r="F874" s="9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1.75" customHeight="1" x14ac:dyDescent="0.6">
      <c r="A875" s="1"/>
      <c r="B875" s="6"/>
      <c r="C875" s="1"/>
      <c r="D875" s="57"/>
      <c r="E875" s="154"/>
      <c r="F875" s="9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1.75" customHeight="1" x14ac:dyDescent="0.6">
      <c r="A876" s="1"/>
      <c r="B876" s="6"/>
      <c r="C876" s="1"/>
      <c r="D876" s="57"/>
      <c r="E876" s="154"/>
      <c r="F876" s="9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1.75" customHeight="1" x14ac:dyDescent="0.6">
      <c r="A877" s="1"/>
      <c r="B877" s="6"/>
      <c r="C877" s="1"/>
      <c r="D877" s="57"/>
      <c r="E877" s="154"/>
      <c r="F877" s="9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1.75" customHeight="1" x14ac:dyDescent="0.6">
      <c r="A878" s="1"/>
      <c r="B878" s="6"/>
      <c r="C878" s="1"/>
      <c r="D878" s="57"/>
      <c r="E878" s="154"/>
      <c r="F878" s="9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1.75" customHeight="1" x14ac:dyDescent="0.6">
      <c r="A879" s="1"/>
      <c r="B879" s="6"/>
      <c r="C879" s="1"/>
      <c r="D879" s="57"/>
      <c r="E879" s="154"/>
      <c r="F879" s="9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1.75" customHeight="1" x14ac:dyDescent="0.6">
      <c r="A880" s="1"/>
      <c r="B880" s="6"/>
      <c r="C880" s="1"/>
      <c r="D880" s="57"/>
      <c r="E880" s="154"/>
      <c r="F880" s="9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1.75" customHeight="1" x14ac:dyDescent="0.6">
      <c r="A881" s="1"/>
      <c r="B881" s="6"/>
      <c r="C881" s="1"/>
      <c r="D881" s="57"/>
      <c r="E881" s="154"/>
      <c r="F881" s="9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1.75" customHeight="1" x14ac:dyDescent="0.6">
      <c r="A882" s="1"/>
      <c r="B882" s="6"/>
      <c r="C882" s="1"/>
      <c r="D882" s="57"/>
      <c r="E882" s="154"/>
      <c r="F882" s="9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1.75" customHeight="1" x14ac:dyDescent="0.6">
      <c r="A883" s="1"/>
      <c r="B883" s="6"/>
      <c r="C883" s="1"/>
      <c r="D883" s="57"/>
      <c r="E883" s="154"/>
      <c r="F883" s="9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1.75" customHeight="1" x14ac:dyDescent="0.6">
      <c r="A884" s="1"/>
      <c r="B884" s="6"/>
      <c r="C884" s="1"/>
      <c r="D884" s="57"/>
      <c r="E884" s="154"/>
      <c r="F884" s="9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1.75" customHeight="1" x14ac:dyDescent="0.6">
      <c r="A885" s="1"/>
      <c r="B885" s="6"/>
      <c r="C885" s="1"/>
      <c r="D885" s="57"/>
      <c r="E885" s="154"/>
      <c r="F885" s="9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1.75" customHeight="1" x14ac:dyDescent="0.6">
      <c r="A886" s="1"/>
      <c r="B886" s="6"/>
      <c r="C886" s="1"/>
      <c r="D886" s="57"/>
      <c r="E886" s="154"/>
      <c r="F886" s="9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1.75" customHeight="1" x14ac:dyDescent="0.6">
      <c r="A887" s="1"/>
      <c r="B887" s="6"/>
      <c r="C887" s="1"/>
      <c r="D887" s="57"/>
      <c r="E887" s="154"/>
      <c r="F887" s="9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1.75" customHeight="1" x14ac:dyDescent="0.6">
      <c r="A888" s="1"/>
      <c r="B888" s="6"/>
      <c r="C888" s="1"/>
      <c r="D888" s="57"/>
      <c r="E888" s="154"/>
      <c r="F888" s="9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1.75" customHeight="1" x14ac:dyDescent="0.6">
      <c r="A889" s="1"/>
      <c r="B889" s="6"/>
      <c r="C889" s="1"/>
      <c r="D889" s="57"/>
      <c r="E889" s="154"/>
      <c r="F889" s="9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1.75" customHeight="1" x14ac:dyDescent="0.6">
      <c r="A890" s="1"/>
      <c r="B890" s="6"/>
      <c r="C890" s="1"/>
      <c r="D890" s="57"/>
      <c r="E890" s="154"/>
      <c r="F890" s="9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1.75" customHeight="1" x14ac:dyDescent="0.6">
      <c r="A891" s="1"/>
      <c r="B891" s="6"/>
      <c r="C891" s="1"/>
      <c r="D891" s="57"/>
      <c r="E891" s="154"/>
      <c r="F891" s="9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1.75" customHeight="1" x14ac:dyDescent="0.6">
      <c r="A892" s="1"/>
      <c r="B892" s="6"/>
      <c r="C892" s="1"/>
      <c r="D892" s="57"/>
      <c r="E892" s="154"/>
      <c r="F892" s="9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1.75" customHeight="1" x14ac:dyDescent="0.6">
      <c r="A893" s="1"/>
      <c r="B893" s="6"/>
      <c r="C893" s="1"/>
      <c r="D893" s="57"/>
      <c r="E893" s="154"/>
      <c r="F893" s="9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1.75" customHeight="1" x14ac:dyDescent="0.6">
      <c r="A894" s="1"/>
      <c r="B894" s="6"/>
      <c r="C894" s="1"/>
      <c r="D894" s="57"/>
      <c r="E894" s="154"/>
      <c r="F894" s="9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1.75" customHeight="1" x14ac:dyDescent="0.6">
      <c r="A895" s="1"/>
      <c r="B895" s="6"/>
      <c r="C895" s="1"/>
      <c r="D895" s="57"/>
      <c r="E895" s="154"/>
      <c r="F895" s="9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1.75" customHeight="1" x14ac:dyDescent="0.6">
      <c r="A896" s="1"/>
      <c r="B896" s="6"/>
      <c r="C896" s="1"/>
      <c r="D896" s="57"/>
      <c r="E896" s="154"/>
      <c r="F896" s="9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1.75" customHeight="1" x14ac:dyDescent="0.6">
      <c r="A897" s="1"/>
      <c r="B897" s="6"/>
      <c r="C897" s="1"/>
      <c r="D897" s="57"/>
      <c r="E897" s="154"/>
      <c r="F897" s="9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1.75" customHeight="1" x14ac:dyDescent="0.6">
      <c r="A898" s="1"/>
      <c r="B898" s="6"/>
      <c r="C898" s="1"/>
      <c r="D898" s="57"/>
      <c r="E898" s="154"/>
      <c r="F898" s="9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1.75" customHeight="1" x14ac:dyDescent="0.6">
      <c r="A899" s="1"/>
      <c r="B899" s="6"/>
      <c r="C899" s="1"/>
      <c r="D899" s="57"/>
      <c r="E899" s="154"/>
      <c r="F899" s="9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1.75" customHeight="1" x14ac:dyDescent="0.6">
      <c r="A900" s="1"/>
      <c r="B900" s="6"/>
      <c r="C900" s="1"/>
      <c r="D900" s="57"/>
      <c r="E900" s="154"/>
      <c r="F900" s="9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1.75" customHeight="1" x14ac:dyDescent="0.6">
      <c r="A901" s="1"/>
      <c r="B901" s="6"/>
      <c r="C901" s="1"/>
      <c r="D901" s="57"/>
      <c r="E901" s="154"/>
      <c r="F901" s="9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1.75" customHeight="1" x14ac:dyDescent="0.6">
      <c r="A902" s="1"/>
      <c r="B902" s="6"/>
      <c r="C902" s="1"/>
      <c r="D902" s="57"/>
      <c r="E902" s="154"/>
      <c r="F902" s="9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1.75" customHeight="1" x14ac:dyDescent="0.6">
      <c r="A903" s="1"/>
      <c r="B903" s="6"/>
      <c r="C903" s="1"/>
      <c r="D903" s="57"/>
      <c r="E903" s="154"/>
      <c r="F903" s="9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1.75" customHeight="1" x14ac:dyDescent="0.6">
      <c r="A904" s="1"/>
      <c r="B904" s="6"/>
      <c r="C904" s="1"/>
      <c r="D904" s="57"/>
      <c r="E904" s="154"/>
      <c r="F904" s="9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1.75" customHeight="1" x14ac:dyDescent="0.6">
      <c r="A905" s="1"/>
      <c r="B905" s="6"/>
      <c r="C905" s="1"/>
      <c r="D905" s="57"/>
      <c r="E905" s="154"/>
      <c r="F905" s="9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1.75" customHeight="1" x14ac:dyDescent="0.6">
      <c r="A906" s="1"/>
      <c r="B906" s="6"/>
      <c r="C906" s="1"/>
      <c r="D906" s="57"/>
      <c r="E906" s="154"/>
      <c r="F906" s="9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1.75" customHeight="1" x14ac:dyDescent="0.6">
      <c r="A907" s="1"/>
      <c r="B907" s="6"/>
      <c r="C907" s="1"/>
      <c r="D907" s="57"/>
      <c r="E907" s="154"/>
      <c r="F907" s="9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1.75" customHeight="1" x14ac:dyDescent="0.6">
      <c r="A908" s="1"/>
      <c r="B908" s="6"/>
      <c r="C908" s="1"/>
      <c r="D908" s="57"/>
      <c r="E908" s="154"/>
      <c r="F908" s="9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1.75" customHeight="1" x14ac:dyDescent="0.6">
      <c r="A909" s="1"/>
      <c r="B909" s="6"/>
      <c r="C909" s="1"/>
      <c r="D909" s="57"/>
      <c r="E909" s="154"/>
      <c r="F909" s="9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1.75" customHeight="1" x14ac:dyDescent="0.6">
      <c r="A910" s="1"/>
      <c r="B910" s="6"/>
      <c r="C910" s="1"/>
      <c r="D910" s="57"/>
      <c r="E910" s="154"/>
      <c r="F910" s="9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1.75" customHeight="1" x14ac:dyDescent="0.6">
      <c r="A911" s="1"/>
      <c r="B911" s="6"/>
      <c r="C911" s="1"/>
      <c r="D911" s="57"/>
      <c r="E911" s="154"/>
      <c r="F911" s="9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1.75" customHeight="1" x14ac:dyDescent="0.6">
      <c r="A912" s="1"/>
      <c r="B912" s="6"/>
      <c r="C912" s="1"/>
      <c r="D912" s="57"/>
      <c r="E912" s="154"/>
      <c r="F912" s="9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1.75" customHeight="1" x14ac:dyDescent="0.6">
      <c r="A913" s="1"/>
      <c r="B913" s="6"/>
      <c r="C913" s="1"/>
      <c r="D913" s="57"/>
      <c r="E913" s="154"/>
      <c r="F913" s="9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1.75" customHeight="1" x14ac:dyDescent="0.6">
      <c r="A914" s="1"/>
      <c r="B914" s="6"/>
      <c r="C914" s="1"/>
      <c r="D914" s="57"/>
      <c r="E914" s="154"/>
      <c r="F914" s="9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1.75" customHeight="1" x14ac:dyDescent="0.6">
      <c r="A915" s="1"/>
      <c r="B915" s="6"/>
      <c r="C915" s="1"/>
      <c r="D915" s="57"/>
      <c r="E915" s="154"/>
      <c r="F915" s="9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1.75" customHeight="1" x14ac:dyDescent="0.6">
      <c r="A916" s="1"/>
      <c r="B916" s="6"/>
      <c r="C916" s="1"/>
      <c r="D916" s="57"/>
      <c r="E916" s="154"/>
      <c r="F916" s="9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1.75" customHeight="1" x14ac:dyDescent="0.6">
      <c r="A917" s="1"/>
      <c r="B917" s="6"/>
      <c r="C917" s="1"/>
      <c r="D917" s="57"/>
      <c r="E917" s="154"/>
      <c r="F917" s="9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1.75" customHeight="1" x14ac:dyDescent="0.6">
      <c r="A918" s="1"/>
      <c r="B918" s="6"/>
      <c r="C918" s="1"/>
      <c r="D918" s="57"/>
      <c r="E918" s="154"/>
      <c r="F918" s="9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1.75" customHeight="1" x14ac:dyDescent="0.6">
      <c r="A919" s="1"/>
      <c r="B919" s="6"/>
      <c r="C919" s="1"/>
      <c r="D919" s="57"/>
      <c r="E919" s="154"/>
      <c r="F919" s="9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1.75" customHeight="1" x14ac:dyDescent="0.6">
      <c r="A920" s="1"/>
      <c r="B920" s="6"/>
      <c r="C920" s="1"/>
      <c r="D920" s="57"/>
      <c r="E920" s="154"/>
      <c r="F920" s="9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1.75" customHeight="1" x14ac:dyDescent="0.6">
      <c r="A921" s="1"/>
      <c r="B921" s="6"/>
      <c r="C921" s="1"/>
      <c r="D921" s="57"/>
      <c r="E921" s="154"/>
      <c r="F921" s="9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1.75" customHeight="1" x14ac:dyDescent="0.6">
      <c r="A922" s="1"/>
      <c r="B922" s="6"/>
      <c r="C922" s="1"/>
      <c r="D922" s="57"/>
      <c r="E922" s="154"/>
      <c r="F922" s="9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1.75" customHeight="1" x14ac:dyDescent="0.6">
      <c r="A923" s="1"/>
      <c r="B923" s="6"/>
      <c r="C923" s="1"/>
      <c r="D923" s="57"/>
      <c r="E923" s="154"/>
      <c r="F923" s="9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1.75" customHeight="1" x14ac:dyDescent="0.6">
      <c r="A924" s="1"/>
      <c r="B924" s="6"/>
      <c r="C924" s="1"/>
      <c r="D924" s="57"/>
      <c r="E924" s="154"/>
      <c r="F924" s="9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1.75" customHeight="1" x14ac:dyDescent="0.6">
      <c r="A925" s="1"/>
      <c r="B925" s="6"/>
      <c r="C925" s="1"/>
      <c r="D925" s="57"/>
      <c r="E925" s="154"/>
      <c r="F925" s="9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1.75" customHeight="1" x14ac:dyDescent="0.6">
      <c r="A926" s="1"/>
      <c r="B926" s="6"/>
      <c r="C926" s="1"/>
      <c r="D926" s="57"/>
      <c r="E926" s="154"/>
      <c r="F926" s="9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1.75" customHeight="1" x14ac:dyDescent="0.6">
      <c r="A927" s="1"/>
      <c r="B927" s="6"/>
      <c r="C927" s="1"/>
      <c r="D927" s="57"/>
      <c r="E927" s="154"/>
      <c r="F927" s="9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1.75" customHeight="1" x14ac:dyDescent="0.6">
      <c r="A928" s="1"/>
      <c r="B928" s="6"/>
      <c r="C928" s="1"/>
      <c r="D928" s="57"/>
      <c r="E928" s="154"/>
      <c r="F928" s="9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1.75" customHeight="1" x14ac:dyDescent="0.6">
      <c r="A929" s="1"/>
      <c r="B929" s="6"/>
      <c r="C929" s="1"/>
      <c r="D929" s="57"/>
      <c r="E929" s="154"/>
      <c r="F929" s="9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1.75" customHeight="1" x14ac:dyDescent="0.6">
      <c r="A930" s="1"/>
      <c r="B930" s="6"/>
      <c r="C930" s="1"/>
      <c r="D930" s="57"/>
      <c r="E930" s="154"/>
      <c r="F930" s="9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1.75" customHeight="1" x14ac:dyDescent="0.6">
      <c r="A931" s="1"/>
      <c r="B931" s="6"/>
      <c r="C931" s="1"/>
      <c r="D931" s="57"/>
      <c r="E931" s="154"/>
      <c r="F931" s="9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1.75" customHeight="1" x14ac:dyDescent="0.6">
      <c r="A932" s="1"/>
      <c r="B932" s="6"/>
      <c r="C932" s="1"/>
      <c r="D932" s="57"/>
      <c r="E932" s="154"/>
      <c r="F932" s="9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1.75" customHeight="1" x14ac:dyDescent="0.6">
      <c r="A933" s="1"/>
      <c r="B933" s="6"/>
      <c r="C933" s="1"/>
      <c r="D933" s="57"/>
      <c r="E933" s="154"/>
      <c r="F933" s="9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1.75" customHeight="1" x14ac:dyDescent="0.6">
      <c r="A934" s="1"/>
      <c r="B934" s="6"/>
      <c r="C934" s="1"/>
      <c r="D934" s="57"/>
      <c r="E934" s="154"/>
      <c r="F934" s="9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1.75" customHeight="1" x14ac:dyDescent="0.6">
      <c r="A935" s="1"/>
      <c r="B935" s="6"/>
      <c r="C935" s="1"/>
      <c r="D935" s="57"/>
      <c r="E935" s="154"/>
      <c r="F935" s="9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1.75" customHeight="1" x14ac:dyDescent="0.6">
      <c r="A936" s="1"/>
      <c r="B936" s="6"/>
      <c r="C936" s="1"/>
      <c r="D936" s="57"/>
      <c r="E936" s="154"/>
      <c r="F936" s="9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1.75" customHeight="1" x14ac:dyDescent="0.6">
      <c r="A937" s="1"/>
      <c r="B937" s="6"/>
      <c r="C937" s="1"/>
      <c r="D937" s="57"/>
      <c r="E937" s="154"/>
      <c r="F937" s="9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1.75" customHeight="1" x14ac:dyDescent="0.6">
      <c r="A938" s="1"/>
      <c r="B938" s="6"/>
      <c r="C938" s="1"/>
      <c r="D938" s="57"/>
      <c r="E938" s="154"/>
      <c r="F938" s="9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1.75" customHeight="1" x14ac:dyDescent="0.6">
      <c r="A939" s="1"/>
      <c r="B939" s="6"/>
      <c r="C939" s="1"/>
      <c r="D939" s="57"/>
      <c r="E939" s="154"/>
      <c r="F939" s="9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1.75" customHeight="1" x14ac:dyDescent="0.6">
      <c r="A940" s="1"/>
      <c r="B940" s="6"/>
      <c r="C940" s="1"/>
      <c r="D940" s="57"/>
      <c r="E940" s="154"/>
      <c r="F940" s="9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1.75" customHeight="1" x14ac:dyDescent="0.6">
      <c r="A941" s="1"/>
      <c r="B941" s="6"/>
      <c r="C941" s="1"/>
      <c r="D941" s="57"/>
      <c r="E941" s="154"/>
      <c r="F941" s="9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1.75" customHeight="1" x14ac:dyDescent="0.6">
      <c r="A942" s="1"/>
      <c r="B942" s="6"/>
      <c r="C942" s="1"/>
      <c r="D942" s="57"/>
      <c r="E942" s="154"/>
      <c r="F942" s="9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1.75" customHeight="1" x14ac:dyDescent="0.6">
      <c r="A943" s="1"/>
      <c r="B943" s="6"/>
      <c r="C943" s="1"/>
      <c r="D943" s="57"/>
      <c r="E943" s="154"/>
      <c r="F943" s="9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1.75" customHeight="1" x14ac:dyDescent="0.6">
      <c r="A944" s="1"/>
      <c r="B944" s="6"/>
      <c r="C944" s="1"/>
      <c r="D944" s="57"/>
      <c r="E944" s="154"/>
      <c r="F944" s="9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1.75" customHeight="1" x14ac:dyDescent="0.6">
      <c r="A945" s="1"/>
      <c r="B945" s="6"/>
      <c r="C945" s="1"/>
      <c r="D945" s="57"/>
      <c r="E945" s="154"/>
      <c r="F945" s="9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1.75" customHeight="1" x14ac:dyDescent="0.6">
      <c r="A946" s="1"/>
      <c r="B946" s="6"/>
      <c r="C946" s="1"/>
      <c r="D946" s="57"/>
      <c r="E946" s="154"/>
      <c r="F946" s="9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1.75" customHeight="1" x14ac:dyDescent="0.6">
      <c r="A947" s="1"/>
      <c r="B947" s="6"/>
      <c r="C947" s="1"/>
      <c r="D947" s="57"/>
      <c r="E947" s="154"/>
      <c r="F947" s="9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1.75" customHeight="1" x14ac:dyDescent="0.6">
      <c r="A948" s="1"/>
      <c r="B948" s="6"/>
      <c r="C948" s="1"/>
      <c r="D948" s="57"/>
      <c r="E948" s="154"/>
      <c r="F948" s="9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1.75" customHeight="1" x14ac:dyDescent="0.6">
      <c r="A949" s="1"/>
      <c r="B949" s="6"/>
      <c r="C949" s="1"/>
      <c r="D949" s="57"/>
      <c r="E949" s="154"/>
      <c r="F949" s="9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1.75" customHeight="1" x14ac:dyDescent="0.6">
      <c r="A950" s="1"/>
      <c r="B950" s="6"/>
      <c r="C950" s="1"/>
      <c r="D950" s="57"/>
      <c r="E950" s="154"/>
      <c r="F950" s="9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1.75" customHeight="1" x14ac:dyDescent="0.6">
      <c r="A951" s="1"/>
      <c r="B951" s="6"/>
      <c r="C951" s="1"/>
      <c r="D951" s="57"/>
      <c r="E951" s="154"/>
      <c r="F951" s="9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1.75" customHeight="1" x14ac:dyDescent="0.6">
      <c r="A952" s="1"/>
      <c r="B952" s="6"/>
      <c r="C952" s="1"/>
      <c r="D952" s="57"/>
      <c r="E952" s="154"/>
      <c r="F952" s="9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1.75" customHeight="1" x14ac:dyDescent="0.6">
      <c r="A953" s="1"/>
      <c r="B953" s="6"/>
      <c r="C953" s="1"/>
      <c r="D953" s="57"/>
      <c r="E953" s="154"/>
      <c r="F953" s="9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1.75" customHeight="1" x14ac:dyDescent="0.6">
      <c r="A954" s="1"/>
      <c r="B954" s="6"/>
      <c r="C954" s="1"/>
      <c r="D954" s="57"/>
      <c r="E954" s="154"/>
      <c r="F954" s="9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1.75" customHeight="1" x14ac:dyDescent="0.6">
      <c r="A955" s="1"/>
      <c r="B955" s="6"/>
      <c r="C955" s="1"/>
      <c r="D955" s="57"/>
      <c r="E955" s="154"/>
      <c r="F955" s="9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1.75" customHeight="1" x14ac:dyDescent="0.6">
      <c r="A956" s="1"/>
      <c r="B956" s="6"/>
      <c r="C956" s="1"/>
      <c r="D956" s="57"/>
      <c r="E956" s="154"/>
      <c r="F956" s="9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1.75" customHeight="1" x14ac:dyDescent="0.6">
      <c r="A957" s="1"/>
      <c r="B957" s="6"/>
      <c r="C957" s="1"/>
      <c r="D957" s="57"/>
      <c r="E957" s="154"/>
      <c r="F957" s="9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1.75" customHeight="1" x14ac:dyDescent="0.6">
      <c r="A958" s="1"/>
      <c r="B958" s="6"/>
      <c r="C958" s="1"/>
      <c r="D958" s="57"/>
      <c r="E958" s="154"/>
      <c r="F958" s="9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1.75" customHeight="1" x14ac:dyDescent="0.6">
      <c r="A959" s="1"/>
      <c r="B959" s="6"/>
      <c r="C959" s="1"/>
      <c r="D959" s="57"/>
      <c r="E959" s="154"/>
      <c r="F959" s="9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1.75" customHeight="1" x14ac:dyDescent="0.6">
      <c r="A960" s="1"/>
      <c r="B960" s="6"/>
      <c r="C960" s="1"/>
      <c r="D960" s="57"/>
      <c r="E960" s="154"/>
      <c r="F960" s="9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1.75" customHeight="1" x14ac:dyDescent="0.6">
      <c r="A961" s="1"/>
      <c r="B961" s="6"/>
      <c r="C961" s="1"/>
      <c r="D961" s="57"/>
      <c r="E961" s="154"/>
      <c r="F961" s="9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1.75" customHeight="1" x14ac:dyDescent="0.6">
      <c r="A962" s="1"/>
      <c r="B962" s="6"/>
      <c r="C962" s="1"/>
      <c r="D962" s="57"/>
      <c r="E962" s="154"/>
      <c r="F962" s="9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1.75" customHeight="1" x14ac:dyDescent="0.6">
      <c r="A963" s="1"/>
      <c r="B963" s="6"/>
      <c r="C963" s="1"/>
      <c r="D963" s="57"/>
      <c r="E963" s="154"/>
      <c r="F963" s="9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1.75" customHeight="1" x14ac:dyDescent="0.6">
      <c r="A964" s="1"/>
      <c r="B964" s="6"/>
      <c r="C964" s="1"/>
      <c r="D964" s="57"/>
      <c r="E964" s="154"/>
      <c r="F964" s="9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1.75" customHeight="1" x14ac:dyDescent="0.6">
      <c r="A965" s="1"/>
      <c r="B965" s="6"/>
      <c r="C965" s="1"/>
      <c r="D965" s="57"/>
      <c r="E965" s="154"/>
      <c r="F965" s="9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1.75" customHeight="1" x14ac:dyDescent="0.6">
      <c r="A966" s="1"/>
      <c r="B966" s="6"/>
      <c r="C966" s="1"/>
      <c r="D966" s="57"/>
      <c r="E966" s="154"/>
      <c r="F966" s="9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1.75" customHeight="1" x14ac:dyDescent="0.6">
      <c r="A967" s="1"/>
      <c r="B967" s="6"/>
      <c r="C967" s="1"/>
      <c r="D967" s="57"/>
      <c r="E967" s="154"/>
      <c r="F967" s="9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1.75" customHeight="1" x14ac:dyDescent="0.6">
      <c r="A968" s="1"/>
      <c r="B968" s="6"/>
      <c r="C968" s="1"/>
      <c r="D968" s="57"/>
      <c r="E968" s="154"/>
      <c r="F968" s="9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1.75" customHeight="1" x14ac:dyDescent="0.6">
      <c r="A969" s="1"/>
      <c r="B969" s="6"/>
      <c r="C969" s="1"/>
      <c r="D969" s="57"/>
      <c r="E969" s="154"/>
      <c r="F969" s="9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21.75" customHeight="1" x14ac:dyDescent="0.6">
      <c r="A970" s="1"/>
      <c r="B970" s="6"/>
      <c r="C970" s="1"/>
      <c r="D970" s="57"/>
      <c r="E970" s="154"/>
      <c r="F970" s="9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21.75" customHeight="1" x14ac:dyDescent="0.6">
      <c r="A971" s="1"/>
      <c r="B971" s="6"/>
      <c r="C971" s="1"/>
      <c r="D971" s="57"/>
      <c r="E971" s="154"/>
      <c r="F971" s="9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21.75" customHeight="1" x14ac:dyDescent="0.6">
      <c r="A972" s="1"/>
      <c r="B972" s="6"/>
      <c r="C972" s="1"/>
      <c r="D972" s="57"/>
      <c r="E972" s="154"/>
      <c r="F972" s="9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21.75" customHeight="1" x14ac:dyDescent="0.6">
      <c r="A973" s="1"/>
      <c r="B973" s="6"/>
      <c r="C973" s="1"/>
      <c r="D973" s="57"/>
      <c r="E973" s="154"/>
      <c r="F973" s="9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21.75" customHeight="1" x14ac:dyDescent="0.6">
      <c r="A974" s="1"/>
      <c r="B974" s="6"/>
      <c r="C974" s="1"/>
      <c r="D974" s="57"/>
      <c r="E974" s="154"/>
      <c r="F974" s="9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21.75" customHeight="1" x14ac:dyDescent="0.6">
      <c r="A975" s="1"/>
      <c r="B975" s="6"/>
      <c r="C975" s="1"/>
      <c r="D975" s="57"/>
      <c r="E975" s="154"/>
      <c r="F975" s="9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21.75" customHeight="1" x14ac:dyDescent="0.6">
      <c r="A976" s="1"/>
      <c r="B976" s="6"/>
      <c r="C976" s="1"/>
      <c r="D976" s="57"/>
      <c r="E976" s="154"/>
      <c r="F976" s="9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21.75" customHeight="1" x14ac:dyDescent="0.6">
      <c r="A977" s="1"/>
      <c r="B977" s="6"/>
      <c r="C977" s="1"/>
      <c r="D977" s="57"/>
      <c r="E977" s="154"/>
      <c r="F977" s="9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21.75" customHeight="1" x14ac:dyDescent="0.6">
      <c r="A978" s="1"/>
      <c r="B978" s="6"/>
      <c r="C978" s="1"/>
      <c r="D978" s="57"/>
      <c r="E978" s="154"/>
      <c r="F978" s="9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21.75" customHeight="1" x14ac:dyDescent="0.6">
      <c r="A979" s="1"/>
      <c r="B979" s="6"/>
      <c r="C979" s="1"/>
      <c r="D979" s="57"/>
      <c r="E979" s="154"/>
      <c r="F979" s="9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21.75" customHeight="1" x14ac:dyDescent="0.6">
      <c r="A980" s="1"/>
      <c r="B980" s="6"/>
      <c r="C980" s="1"/>
      <c r="D980" s="57"/>
      <c r="E980" s="154"/>
      <c r="F980" s="9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21.75" customHeight="1" x14ac:dyDescent="0.6">
      <c r="A981" s="1"/>
      <c r="B981" s="6"/>
      <c r="C981" s="1"/>
      <c r="D981" s="57"/>
      <c r="E981" s="154"/>
      <c r="F981" s="9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21.75" customHeight="1" x14ac:dyDescent="0.6">
      <c r="A982" s="1"/>
      <c r="B982" s="6"/>
      <c r="C982" s="1"/>
      <c r="D982" s="57"/>
      <c r="E982" s="154"/>
      <c r="F982" s="9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21.75" customHeight="1" x14ac:dyDescent="0.6">
      <c r="A983" s="1"/>
      <c r="B983" s="6"/>
      <c r="C983" s="1"/>
      <c r="D983" s="57"/>
      <c r="E983" s="154"/>
      <c r="F983" s="9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21.75" customHeight="1" x14ac:dyDescent="0.6">
      <c r="A984" s="1"/>
      <c r="B984" s="6"/>
      <c r="C984" s="1"/>
      <c r="D984" s="57"/>
      <c r="E984" s="154"/>
      <c r="F984" s="9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21.75" customHeight="1" x14ac:dyDescent="0.6">
      <c r="A985" s="1"/>
      <c r="B985" s="6"/>
      <c r="C985" s="1"/>
      <c r="D985" s="57"/>
      <c r="E985" s="154"/>
      <c r="F985" s="9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21.75" customHeight="1" x14ac:dyDescent="0.6">
      <c r="A986" s="1"/>
      <c r="B986" s="6"/>
      <c r="C986" s="1"/>
      <c r="D986" s="57"/>
      <c r="E986" s="154"/>
      <c r="F986" s="9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21.75" customHeight="1" x14ac:dyDescent="0.6">
      <c r="A987" s="1"/>
      <c r="B987" s="6"/>
      <c r="C987" s="1"/>
      <c r="D987" s="57"/>
      <c r="E987" s="154"/>
      <c r="F987" s="9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21.75" customHeight="1" x14ac:dyDescent="0.6">
      <c r="A988" s="1"/>
      <c r="B988" s="6"/>
      <c r="C988" s="1"/>
      <c r="D988" s="57"/>
      <c r="E988" s="154"/>
      <c r="F988" s="9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21.75" customHeight="1" x14ac:dyDescent="0.6">
      <c r="A989" s="1"/>
      <c r="B989" s="6"/>
      <c r="C989" s="1"/>
      <c r="D989" s="57"/>
      <c r="E989" s="154"/>
      <c r="F989" s="9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21.75" customHeight="1" x14ac:dyDescent="0.6">
      <c r="A990" s="1"/>
      <c r="B990" s="6"/>
      <c r="C990" s="1"/>
      <c r="D990" s="57"/>
      <c r="E990" s="154"/>
      <c r="F990" s="9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21.75" customHeight="1" x14ac:dyDescent="0.6">
      <c r="A991" s="1"/>
      <c r="B991" s="6"/>
      <c r="C991" s="1"/>
      <c r="D991" s="57"/>
      <c r="E991" s="154"/>
      <c r="F991" s="9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21.75" customHeight="1" x14ac:dyDescent="0.6">
      <c r="A992" s="1"/>
      <c r="B992" s="6"/>
      <c r="C992" s="1"/>
      <c r="D992" s="57"/>
      <c r="E992" s="154"/>
      <c r="F992" s="9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21.75" customHeight="1" x14ac:dyDescent="0.6">
      <c r="A993" s="1"/>
      <c r="B993" s="6"/>
      <c r="C993" s="1"/>
      <c r="D993" s="57"/>
      <c r="E993" s="154"/>
      <c r="F993" s="9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21.75" customHeight="1" x14ac:dyDescent="0.6">
      <c r="A994" s="1"/>
      <c r="B994" s="6"/>
      <c r="C994" s="1"/>
      <c r="D994" s="57"/>
      <c r="E994" s="154"/>
      <c r="F994" s="9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21.75" customHeight="1" x14ac:dyDescent="0.6">
      <c r="A995" s="1"/>
      <c r="B995" s="6"/>
      <c r="C995" s="1"/>
      <c r="D995" s="57"/>
      <c r="E995" s="154"/>
      <c r="F995" s="9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21.75" customHeight="1" x14ac:dyDescent="0.6">
      <c r="A996" s="1"/>
      <c r="B996" s="6"/>
      <c r="C996" s="1"/>
      <c r="D996" s="57"/>
      <c r="E996" s="154"/>
      <c r="F996" s="9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21.75" customHeight="1" x14ac:dyDescent="0.6">
      <c r="A997" s="1"/>
      <c r="B997" s="6"/>
      <c r="C997" s="1"/>
      <c r="D997" s="57"/>
      <c r="E997" s="154"/>
      <c r="F997" s="9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21.75" customHeight="1" x14ac:dyDescent="0.6">
      <c r="A998" s="1"/>
      <c r="B998" s="6"/>
      <c r="C998" s="1"/>
      <c r="D998" s="57"/>
      <c r="E998" s="154"/>
      <c r="F998" s="9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21.75" customHeight="1" x14ac:dyDescent="0.6">
      <c r="A999" s="1"/>
      <c r="B999" s="6"/>
      <c r="C999" s="1"/>
      <c r="D999" s="57"/>
      <c r="E999" s="154"/>
      <c r="F999" s="9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21.75" customHeight="1" x14ac:dyDescent="0.6">
      <c r="A1000" s="1"/>
      <c r="B1000" s="6"/>
      <c r="C1000" s="1"/>
      <c r="D1000" s="57"/>
      <c r="E1000" s="154"/>
      <c r="F1000" s="9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7575-5AFF-431C-B831-E82A1D2772FD}">
  <dimension ref="B1:K29"/>
  <sheetViews>
    <sheetView showGridLines="0" workbookViewId="0">
      <selection activeCell="B7" sqref="B7"/>
    </sheetView>
  </sheetViews>
  <sheetFormatPr defaultColWidth="9.140625" defaultRowHeight="15" x14ac:dyDescent="0.25"/>
  <cols>
    <col min="1" max="1" width="9.140625" style="86"/>
    <col min="2" max="2" width="66.140625" style="86" customWidth="1"/>
    <col min="3" max="3" width="18.5703125" style="86" customWidth="1"/>
    <col min="4" max="4" width="22.85546875" style="86" customWidth="1"/>
    <col min="5" max="6" width="9.140625" style="86"/>
    <col min="7" max="7" width="12.28515625" style="86" bestFit="1" customWidth="1"/>
    <col min="8" max="8" width="10.7109375" style="86" bestFit="1" customWidth="1"/>
    <col min="9" max="9" width="43.140625" style="86" customWidth="1"/>
    <col min="10" max="10" width="17.5703125" style="86" customWidth="1"/>
    <col min="11" max="11" width="22.42578125" style="86" customWidth="1"/>
    <col min="12" max="16384" width="9.140625" style="86"/>
  </cols>
  <sheetData>
    <row r="1" spans="2:11" ht="15.75" thickBot="1" x14ac:dyDescent="0.3"/>
    <row r="2" spans="2:11" ht="21.75" x14ac:dyDescent="0.25">
      <c r="B2" s="92" t="s">
        <v>64</v>
      </c>
      <c r="C2" s="91" t="s">
        <v>63</v>
      </c>
      <c r="D2" s="90" t="s">
        <v>62</v>
      </c>
      <c r="I2" s="92" t="s">
        <v>64</v>
      </c>
      <c r="J2" s="91" t="s">
        <v>63</v>
      </c>
      <c r="K2" s="90" t="s">
        <v>62</v>
      </c>
    </row>
    <row r="3" spans="2:11" ht="21.75" x14ac:dyDescent="0.25">
      <c r="B3" s="132" t="s">
        <v>61</v>
      </c>
      <c r="C3" s="165">
        <v>9906.44</v>
      </c>
      <c r="D3" s="134">
        <f>ORÇAMENTO_EXECUTIVO!$B$19/'AREA PRIVATIVA'!C3</f>
        <v>6156.5060767201239</v>
      </c>
      <c r="G3" s="105">
        <f>C3/ORÇAMENTO_EXECUTIVO!G2</f>
        <v>0.5659024904087615</v>
      </c>
      <c r="I3" s="132" t="s">
        <v>61</v>
      </c>
      <c r="J3" s="133"/>
      <c r="K3" s="134" t="e">
        <f>ORÇAMENTO_EXECUTIVO!$B$19/'AREA PRIVATIVA'!J3</f>
        <v>#DIV/0!</v>
      </c>
    </row>
    <row r="4" spans="2:11" ht="22.5" thickBot="1" x14ac:dyDescent="0.3">
      <c r="B4" s="138" t="s">
        <v>163</v>
      </c>
      <c r="C4" s="166" t="s">
        <v>164</v>
      </c>
      <c r="D4" s="139">
        <f>ORÇAMENTO_EXECUTIVO!B19/(176+4)</f>
        <v>338828.10032590729</v>
      </c>
      <c r="G4" s="105"/>
      <c r="I4" s="135"/>
      <c r="J4" s="136"/>
      <c r="K4" s="137"/>
    </row>
    <row r="5" spans="2:11" ht="21.75" x14ac:dyDescent="0.25">
      <c r="B5" s="140" t="s">
        <v>92</v>
      </c>
      <c r="C5" s="167">
        <v>38.068899999999999</v>
      </c>
      <c r="D5" s="141">
        <f>C5*$D$3</f>
        <v>234371.41418405072</v>
      </c>
      <c r="G5" s="105"/>
      <c r="I5" s="126" t="s">
        <v>86</v>
      </c>
      <c r="J5" s="127"/>
      <c r="K5" s="128">
        <f>J5*$D$3</f>
        <v>0</v>
      </c>
    </row>
    <row r="6" spans="2:11" ht="21.75" x14ac:dyDescent="0.25">
      <c r="B6" s="126" t="s">
        <v>93</v>
      </c>
      <c r="C6" s="168">
        <v>38.331699999999998</v>
      </c>
      <c r="D6" s="128">
        <f>C6*$D$3</f>
        <v>235989.34398101276</v>
      </c>
      <c r="G6" s="105"/>
      <c r="I6" s="89" t="s">
        <v>87</v>
      </c>
      <c r="J6" s="88"/>
      <c r="K6" s="87">
        <f>J6*$D$3</f>
        <v>0</v>
      </c>
    </row>
    <row r="7" spans="2:11" ht="21.75" x14ac:dyDescent="0.25">
      <c r="B7" s="89" t="s">
        <v>66</v>
      </c>
      <c r="C7" s="169">
        <v>43.807499999999997</v>
      </c>
      <c r="D7" s="87">
        <f t="shared" ref="D7:D15" si="0">C7*$D$3</f>
        <v>269701.13995591679</v>
      </c>
      <c r="G7" s="105"/>
      <c r="I7" s="126" t="s">
        <v>88</v>
      </c>
      <c r="J7" s="127"/>
      <c r="K7" s="128">
        <f t="shared" ref="K7" si="1">J7*$D$3</f>
        <v>0</v>
      </c>
    </row>
    <row r="8" spans="2:11" ht="21.75" x14ac:dyDescent="0.25">
      <c r="B8" s="126" t="s">
        <v>67</v>
      </c>
      <c r="C8" s="168">
        <v>35.7102</v>
      </c>
      <c r="D8" s="128">
        <f t="shared" si="0"/>
        <v>219850.06330089096</v>
      </c>
      <c r="G8" s="105"/>
      <c r="I8" s="89" t="s">
        <v>89</v>
      </c>
      <c r="J8" s="88"/>
      <c r="K8" s="87">
        <f>J8*$D$3</f>
        <v>0</v>
      </c>
    </row>
    <row r="9" spans="2:11" ht="21.75" x14ac:dyDescent="0.25">
      <c r="B9" s="89" t="s">
        <v>68</v>
      </c>
      <c r="C9" s="169">
        <v>81.290000000000006</v>
      </c>
      <c r="D9" s="87">
        <f t="shared" si="0"/>
        <v>500462.37897657894</v>
      </c>
      <c r="G9" s="105"/>
    </row>
    <row r="10" spans="2:11" ht="21.75" x14ac:dyDescent="0.25">
      <c r="B10" s="126" t="s">
        <v>69</v>
      </c>
      <c r="C10" s="168">
        <v>75.11</v>
      </c>
      <c r="D10" s="128">
        <f t="shared" si="0"/>
        <v>462415.17142244853</v>
      </c>
      <c r="G10" s="105"/>
      <c r="J10" s="93">
        <f>J5+J6+J7+J8</f>
        <v>0</v>
      </c>
    </row>
    <row r="11" spans="2:11" ht="22.5" thickBot="1" x14ac:dyDescent="0.3">
      <c r="B11" s="142" t="s">
        <v>70</v>
      </c>
      <c r="C11" s="170">
        <v>79.913499999999999</v>
      </c>
      <c r="D11" s="143">
        <f t="shared" si="0"/>
        <v>491987.94836197363</v>
      </c>
      <c r="G11" s="105"/>
    </row>
    <row r="12" spans="2:11" ht="22.5" thickBot="1" x14ac:dyDescent="0.3">
      <c r="B12" s="102" t="s">
        <v>85</v>
      </c>
      <c r="C12" s="103">
        <f>C3-9026.89</f>
        <v>879.55000000000109</v>
      </c>
      <c r="D12" s="104">
        <f>C12*$D$3</f>
        <v>5414954.9197791917</v>
      </c>
      <c r="G12" s="223"/>
    </row>
    <row r="13" spans="2:11" x14ac:dyDescent="0.25">
      <c r="G13" s="105"/>
    </row>
    <row r="14" spans="2:11" ht="21.75" x14ac:dyDescent="0.25">
      <c r="B14" s="129"/>
      <c r="C14" s="130"/>
      <c r="D14" s="131"/>
      <c r="G14" s="105"/>
    </row>
    <row r="15" spans="2:11" ht="21.75" x14ac:dyDescent="0.25">
      <c r="B15" s="89" t="s">
        <v>85</v>
      </c>
      <c r="C15" s="88"/>
      <c r="D15" s="87">
        <f t="shared" si="0"/>
        <v>0</v>
      </c>
      <c r="G15" s="105"/>
    </row>
    <row r="16" spans="2:11" ht="21.75" x14ac:dyDescent="0.25">
      <c r="B16" s="126"/>
      <c r="C16" s="127"/>
      <c r="D16" s="128"/>
      <c r="G16" s="105"/>
    </row>
    <row r="19" spans="2:8" x14ac:dyDescent="0.25">
      <c r="H19" s="93"/>
    </row>
    <row r="21" spans="2:8" x14ac:dyDescent="0.25">
      <c r="B21" s="144" t="s">
        <v>64</v>
      </c>
      <c r="C21" s="145" t="s">
        <v>94</v>
      </c>
      <c r="D21" s="145" t="s">
        <v>95</v>
      </c>
      <c r="E21" s="145" t="s">
        <v>96</v>
      </c>
      <c r="F21" s="145" t="s">
        <v>97</v>
      </c>
      <c r="G21" s="145" t="s">
        <v>98</v>
      </c>
      <c r="H21" s="146"/>
    </row>
    <row r="22" spans="2:8" x14ac:dyDescent="0.25">
      <c r="B22" t="s">
        <v>92</v>
      </c>
      <c r="C22">
        <v>40</v>
      </c>
      <c r="D22" s="147">
        <v>38.068899999999999</v>
      </c>
      <c r="E22" s="146" t="s">
        <v>99</v>
      </c>
      <c r="F22" s="146"/>
      <c r="G22" s="146">
        <v>1</v>
      </c>
      <c r="H22" s="146"/>
    </row>
    <row r="23" spans="2:8" x14ac:dyDescent="0.25">
      <c r="B23" t="s">
        <v>93</v>
      </c>
      <c r="C23">
        <v>40</v>
      </c>
      <c r="D23" s="147">
        <v>38.331699999999998</v>
      </c>
      <c r="E23" s="146" t="s">
        <v>99</v>
      </c>
      <c r="F23" s="146"/>
      <c r="G23" s="146">
        <v>1</v>
      </c>
      <c r="H23" s="146"/>
    </row>
    <row r="24" spans="2:8" x14ac:dyDescent="0.25">
      <c r="B24" t="s">
        <v>66</v>
      </c>
      <c r="C24">
        <v>22</v>
      </c>
      <c r="D24" s="147">
        <v>43.807499999999997</v>
      </c>
      <c r="E24" s="146" t="s">
        <v>100</v>
      </c>
      <c r="F24" s="146">
        <v>1</v>
      </c>
      <c r="G24" s="146">
        <v>1</v>
      </c>
      <c r="H24" s="146"/>
    </row>
    <row r="25" spans="2:8" x14ac:dyDescent="0.25">
      <c r="B25" t="s">
        <v>67</v>
      </c>
      <c r="C25">
        <v>18</v>
      </c>
      <c r="D25" s="147">
        <v>35.7102</v>
      </c>
      <c r="E25" s="146" t="s">
        <v>99</v>
      </c>
      <c r="F25" s="146"/>
      <c r="G25" s="146">
        <v>1</v>
      </c>
      <c r="H25" s="146"/>
    </row>
    <row r="26" spans="2:8" x14ac:dyDescent="0.25">
      <c r="B26" t="s">
        <v>68</v>
      </c>
      <c r="C26">
        <v>4</v>
      </c>
      <c r="D26" s="147">
        <v>81.290000000000006</v>
      </c>
      <c r="E26" s="146" t="s">
        <v>101</v>
      </c>
      <c r="F26" s="146">
        <v>2</v>
      </c>
      <c r="G26" s="146">
        <v>2</v>
      </c>
      <c r="H26" s="146"/>
    </row>
    <row r="27" spans="2:8" x14ac:dyDescent="0.25">
      <c r="B27" t="s">
        <v>69</v>
      </c>
      <c r="C27">
        <v>3</v>
      </c>
      <c r="D27" s="147">
        <v>75.11</v>
      </c>
      <c r="E27" s="146" t="s">
        <v>101</v>
      </c>
      <c r="F27" s="146">
        <v>2</v>
      </c>
      <c r="G27" s="146">
        <v>3</v>
      </c>
      <c r="H27" s="146"/>
    </row>
    <row r="28" spans="2:8" x14ac:dyDescent="0.25">
      <c r="B28" t="s">
        <v>70</v>
      </c>
      <c r="C28">
        <v>2</v>
      </c>
      <c r="D28" s="147">
        <v>79.913499999999999</v>
      </c>
      <c r="E28" s="146" t="s">
        <v>101</v>
      </c>
      <c r="F28" s="146">
        <v>2</v>
      </c>
      <c r="G28" s="146">
        <v>2</v>
      </c>
      <c r="H28" s="146" t="s">
        <v>102</v>
      </c>
    </row>
    <row r="29" spans="2:8" x14ac:dyDescent="0.25">
      <c r="B29" s="144"/>
      <c r="C29" s="144">
        <f>SUM(C22:C28)</f>
        <v>129</v>
      </c>
      <c r="D29" s="148">
        <f>SUMPRODUCT($C$22:$C$28,D22:D28)</f>
        <v>5372.8895999999995</v>
      </c>
      <c r="E29" s="145"/>
      <c r="F29" s="148">
        <f t="shared" ref="F29:G29" si="2">SUMPRODUCT($C$22:$C$28,F22:F28)</f>
        <v>40</v>
      </c>
      <c r="G29" s="148">
        <f t="shared" si="2"/>
        <v>141</v>
      </c>
      <c r="H29" s="146"/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AF28"/>
  <sheetViews>
    <sheetView showGridLines="0" topLeftCell="J1" zoomScale="55" zoomScaleNormal="55" workbookViewId="0">
      <selection activeCell="X20" sqref="L20:X20"/>
    </sheetView>
  </sheetViews>
  <sheetFormatPr defaultRowHeight="15" x14ac:dyDescent="0.25"/>
  <cols>
    <col min="2" max="2" width="59.42578125" customWidth="1"/>
    <col min="3" max="5" width="17.85546875" customWidth="1"/>
    <col min="6" max="6" width="18.28515625" customWidth="1"/>
    <col min="7" max="7" width="17.85546875" customWidth="1"/>
    <col min="8" max="8" width="18.28515625" customWidth="1"/>
    <col min="9" max="9" width="17.85546875" customWidth="1"/>
    <col min="10" max="10" width="18.28515625" customWidth="1"/>
    <col min="11" max="28" width="17.85546875" customWidth="1"/>
    <col min="29" max="29" width="13.5703125" customWidth="1"/>
    <col min="30" max="31" width="17" style="53" customWidth="1"/>
  </cols>
  <sheetData>
    <row r="1" spans="2:32" ht="13.9" customHeight="1" x14ac:dyDescent="0.25"/>
    <row r="2" spans="2:32" ht="13.9" customHeight="1" thickBot="1" x14ac:dyDescent="0.3"/>
    <row r="3" spans="2:32" ht="13.9" customHeight="1" x14ac:dyDescent="0.25">
      <c r="C3" s="51" t="s">
        <v>42</v>
      </c>
      <c r="D3" s="94">
        <v>44805</v>
      </c>
      <c r="E3" s="51" t="s">
        <v>42</v>
      </c>
      <c r="F3" s="94">
        <v>45047</v>
      </c>
      <c r="G3" s="51" t="s">
        <v>42</v>
      </c>
      <c r="H3" s="94">
        <v>44409</v>
      </c>
      <c r="I3" s="51" t="s">
        <v>42</v>
      </c>
      <c r="J3" s="94">
        <v>44621</v>
      </c>
      <c r="K3" s="51" t="s">
        <v>42</v>
      </c>
      <c r="L3" s="94">
        <v>44652</v>
      </c>
      <c r="M3" s="51" t="s">
        <v>42</v>
      </c>
      <c r="N3" s="94">
        <v>45017</v>
      </c>
      <c r="O3" s="123" t="s">
        <v>42</v>
      </c>
      <c r="P3" s="94">
        <v>44652</v>
      </c>
      <c r="Q3" s="51" t="s">
        <v>42</v>
      </c>
      <c r="R3" s="94">
        <v>44958</v>
      </c>
      <c r="S3" s="51" t="s">
        <v>42</v>
      </c>
      <c r="T3" s="94">
        <v>44958</v>
      </c>
      <c r="U3" s="51" t="s">
        <v>42</v>
      </c>
      <c r="V3" s="94">
        <v>44927</v>
      </c>
      <c r="W3" s="51" t="s">
        <v>42</v>
      </c>
      <c r="X3" s="157">
        <v>45383</v>
      </c>
      <c r="Y3" s="51" t="s">
        <v>42</v>
      </c>
      <c r="Z3" s="157">
        <v>44805</v>
      </c>
      <c r="AA3" s="51" t="s">
        <v>42</v>
      </c>
      <c r="AB3" s="94">
        <v>45566</v>
      </c>
    </row>
    <row r="4" spans="2:32" ht="13.9" customHeight="1" thickBot="1" x14ac:dyDescent="0.3">
      <c r="C4" s="52" t="s">
        <v>45</v>
      </c>
      <c r="D4" s="46">
        <v>2623.42</v>
      </c>
      <c r="E4" s="52" t="s">
        <v>45</v>
      </c>
      <c r="F4" s="46">
        <v>2680.84</v>
      </c>
      <c r="G4" s="52" t="s">
        <v>45</v>
      </c>
      <c r="H4" s="46">
        <v>2329.85</v>
      </c>
      <c r="I4" s="52" t="s">
        <v>45</v>
      </c>
      <c r="J4" s="46">
        <v>2444.3000000000002</v>
      </c>
      <c r="K4" s="52" t="s">
        <v>45</v>
      </c>
      <c r="L4" s="46">
        <v>2461.35</v>
      </c>
      <c r="M4" s="52" t="s">
        <v>45</v>
      </c>
      <c r="N4" s="46">
        <v>2680.84</v>
      </c>
      <c r="O4" s="124" t="s">
        <v>45</v>
      </c>
      <c r="P4" s="125">
        <v>2461.35</v>
      </c>
      <c r="Q4" s="52" t="s">
        <v>45</v>
      </c>
      <c r="R4" s="46">
        <v>2662.47</v>
      </c>
      <c r="S4" s="52" t="s">
        <v>45</v>
      </c>
      <c r="T4" s="46">
        <v>2662.47</v>
      </c>
      <c r="U4" s="52" t="s">
        <v>45</v>
      </c>
      <c r="V4" s="46">
        <v>2651.17</v>
      </c>
      <c r="W4" s="52" t="s">
        <v>45</v>
      </c>
      <c r="X4" s="158">
        <v>2757.56</v>
      </c>
      <c r="Y4" s="52" t="s">
        <v>45</v>
      </c>
      <c r="Z4" s="158">
        <v>2623.42</v>
      </c>
      <c r="AA4" s="52" t="s">
        <v>45</v>
      </c>
      <c r="AB4" s="46">
        <v>2846.12</v>
      </c>
    </row>
    <row r="5" spans="2:32" ht="13.9" customHeight="1" thickBot="1" x14ac:dyDescent="0.3">
      <c r="C5" s="73" t="s">
        <v>53</v>
      </c>
      <c r="D5" s="81">
        <f>ORÇAMENTO_EXECUTIVO!$B$20/CÁLCULO_MÉDIAS!D4</f>
        <v>1.1304099229250368</v>
      </c>
      <c r="E5" s="73" t="s">
        <v>53</v>
      </c>
      <c r="F5" s="81">
        <f>ORÇAMENTO_EXECUTIVO!$B$20/CÁLCULO_MÉDIAS!F4</f>
        <v>1.1061980573253158</v>
      </c>
      <c r="G5" s="73" t="s">
        <v>53</v>
      </c>
      <c r="H5" s="81">
        <f>ORÇAMENTO_EXECUTIVO!$B$20/CÁLCULO_MÉDIAS!H4</f>
        <v>1.2728458913663969</v>
      </c>
      <c r="I5" s="73" t="s">
        <v>53</v>
      </c>
      <c r="J5" s="81">
        <f>ORÇAMENTO_EXECUTIVO!$B$20/CÁLCULO_MÉDIAS!J4</f>
        <v>1.2132471464222885</v>
      </c>
      <c r="K5" s="73" t="s">
        <v>53</v>
      </c>
      <c r="L5" s="81">
        <f>ORÇAMENTO_EXECUTIVO!$B$20/CÁLCULO_MÉDIAS!L4</f>
        <v>1.2048428707822942</v>
      </c>
      <c r="M5" s="73" t="s">
        <v>53</v>
      </c>
      <c r="N5" s="81">
        <f>ORÇAMENTO_EXECUTIVO!$B$20/CÁLCULO_MÉDIAS!N4</f>
        <v>1.1061980573253158</v>
      </c>
      <c r="O5" s="73" t="s">
        <v>53</v>
      </c>
      <c r="P5" s="81">
        <f>ORÇAMENTO_EXECUTIVO!$B$20/CÁLCULO_MÉDIAS!P4</f>
        <v>1.2048428707822942</v>
      </c>
      <c r="Q5" s="73" t="s">
        <v>53</v>
      </c>
      <c r="R5" s="81">
        <f>ORÇAMENTO_EXECUTIVO!$B$20/CÁLCULO_MÉDIAS!R4</f>
        <v>1.1138303905771709</v>
      </c>
      <c r="S5" s="73" t="s">
        <v>53</v>
      </c>
      <c r="T5" s="81">
        <f>ORÇAMENTO_EXECUTIVO!$B$20/CÁLCULO_MÉDIAS!T4</f>
        <v>1.1138303905771709</v>
      </c>
      <c r="U5" s="73" t="s">
        <v>53</v>
      </c>
      <c r="V5" s="81">
        <f>ORÇAMENTO_EXECUTIVO!$B$20/CÁLCULO_MÉDIAS!V4</f>
        <v>1.1185778354462368</v>
      </c>
      <c r="W5" s="73" t="s">
        <v>53</v>
      </c>
      <c r="X5" s="81">
        <f>ORÇAMENTO_EXECUTIVO!$B$20/CÁLCULO_MÉDIAS!X4</f>
        <v>1.0754217496627454</v>
      </c>
      <c r="Y5" s="73" t="s">
        <v>53</v>
      </c>
      <c r="Z5" s="81">
        <f>ORÇAMENTO_EXECUTIVO!$B$20/CÁLCULO_MÉDIAS!Z4</f>
        <v>1.1304099229250368</v>
      </c>
      <c r="AA5" s="73" t="s">
        <v>53</v>
      </c>
      <c r="AB5" s="81">
        <f>ORÇAMENTO_EXECUTIVO!$B$20/CÁLCULO_MÉDIAS!AB4</f>
        <v>1.0419588773488118</v>
      </c>
    </row>
    <row r="6" spans="2:32" ht="13.9" customHeight="1" thickBot="1" x14ac:dyDescent="0.3"/>
    <row r="7" spans="2:32" ht="19.149999999999999" customHeight="1" thickBot="1" x14ac:dyDescent="0.3">
      <c r="C7" s="206" t="s">
        <v>51</v>
      </c>
      <c r="D7" s="207"/>
      <c r="E7" s="206" t="s">
        <v>52</v>
      </c>
      <c r="F7" s="208"/>
      <c r="G7" s="206" t="s">
        <v>55</v>
      </c>
      <c r="H7" s="207"/>
      <c r="I7" s="208" t="s">
        <v>57</v>
      </c>
      <c r="J7" s="207"/>
      <c r="K7" s="208" t="s">
        <v>56</v>
      </c>
      <c r="L7" s="207"/>
      <c r="M7" s="208" t="s">
        <v>65</v>
      </c>
      <c r="N7" s="207"/>
      <c r="O7" s="210" t="s">
        <v>78</v>
      </c>
      <c r="P7" s="211"/>
      <c r="Q7" s="208" t="s">
        <v>76</v>
      </c>
      <c r="R7" s="207"/>
      <c r="S7" s="208" t="s">
        <v>72</v>
      </c>
      <c r="T7" s="207"/>
      <c r="U7" s="208" t="s">
        <v>73</v>
      </c>
      <c r="V7" s="207"/>
      <c r="W7" s="208" t="s">
        <v>113</v>
      </c>
      <c r="X7" s="207"/>
      <c r="Y7" s="206" t="s">
        <v>114</v>
      </c>
      <c r="Z7" s="207"/>
      <c r="AA7" s="208">
        <v>365</v>
      </c>
      <c r="AB7" s="207"/>
      <c r="AD7" s="209" t="s">
        <v>48</v>
      </c>
      <c r="AE7" s="209"/>
    </row>
    <row r="8" spans="2:32" ht="19.149999999999999" customHeight="1" thickBot="1" x14ac:dyDescent="0.3">
      <c r="B8" s="21"/>
      <c r="C8" s="48" t="s">
        <v>46</v>
      </c>
      <c r="D8" s="48" t="s">
        <v>47</v>
      </c>
      <c r="E8" s="48" t="s">
        <v>46</v>
      </c>
      <c r="F8" s="48" t="s">
        <v>47</v>
      </c>
      <c r="G8" s="49" t="s">
        <v>46</v>
      </c>
      <c r="H8" s="50" t="s">
        <v>47</v>
      </c>
      <c r="I8" s="48" t="s">
        <v>46</v>
      </c>
      <c r="J8" s="48" t="s">
        <v>47</v>
      </c>
      <c r="K8" s="48" t="s">
        <v>46</v>
      </c>
      <c r="L8" s="48" t="s">
        <v>47</v>
      </c>
      <c r="M8" s="48" t="s">
        <v>46</v>
      </c>
      <c r="N8" s="48" t="s">
        <v>47</v>
      </c>
      <c r="O8" s="114" t="s">
        <v>46</v>
      </c>
      <c r="P8" s="115" t="s">
        <v>47</v>
      </c>
      <c r="Q8" s="48" t="s">
        <v>46</v>
      </c>
      <c r="R8" s="48" t="s">
        <v>47</v>
      </c>
      <c r="S8" s="48" t="s">
        <v>46</v>
      </c>
      <c r="T8" s="48" t="s">
        <v>47</v>
      </c>
      <c r="U8" s="48" t="s">
        <v>46</v>
      </c>
      <c r="V8" s="48" t="s">
        <v>47</v>
      </c>
      <c r="W8" s="48" t="s">
        <v>46</v>
      </c>
      <c r="X8" s="159" t="s">
        <v>47</v>
      </c>
      <c r="Y8" s="48" t="s">
        <v>46</v>
      </c>
      <c r="Z8" s="159" t="s">
        <v>47</v>
      </c>
      <c r="AA8" s="48" t="s">
        <v>46</v>
      </c>
      <c r="AB8" s="48" t="s">
        <v>47</v>
      </c>
      <c r="AD8" s="54" t="s">
        <v>49</v>
      </c>
      <c r="AE8" s="54" t="s">
        <v>50</v>
      </c>
    </row>
    <row r="9" spans="2:32" ht="19.149999999999999" customHeight="1" x14ac:dyDescent="0.25">
      <c r="B9" s="37" t="s">
        <v>41</v>
      </c>
      <c r="C9" s="42">
        <v>228.96899558762433</v>
      </c>
      <c r="D9" s="74">
        <f>ORÇAMENTO_EXECUTIVO!$B$20/CÁLCULO_MÉDIAS!D$4*C9</f>
        <v>258.82882465442952</v>
      </c>
      <c r="E9" s="43">
        <v>158.50958379314596</v>
      </c>
      <c r="F9" s="74">
        <f>ORÇAMENTO_EXECUTIVO!$B$20/CÁLCULO_MÉDIAS!F$4*E9</f>
        <v>175.34299365942243</v>
      </c>
      <c r="G9" s="76">
        <v>320.92140220122201</v>
      </c>
      <c r="H9" s="70">
        <f>ORÇAMENTO_EXECUTIVO!$B$20/CÁLCULO_MÉDIAS!H$4*G9</f>
        <v>408.48348824336841</v>
      </c>
      <c r="I9" s="44">
        <v>287.62008743059209</v>
      </c>
      <c r="J9" s="70">
        <f>ORÇAMENTO_EXECUTIVO!$B$20/CÁLCULO_MÉDIAS!J$4*I9</f>
        <v>348.954250328895</v>
      </c>
      <c r="K9" s="75">
        <v>281.42632251000157</v>
      </c>
      <c r="L9" s="70">
        <f>ORÇAMENTO_EXECUTIVO!$B$20/CÁLCULO_MÉDIAS!L$4*K9</f>
        <v>339.07449832665407</v>
      </c>
      <c r="M9" s="75">
        <v>263.25797921470991</v>
      </c>
      <c r="N9" s="70">
        <f>ORÇAMENTO_EXECUTIVO!$B$20/CÁLCULO_MÉDIAS!N$4*M9</f>
        <v>291.21546518270048</v>
      </c>
      <c r="O9" s="116">
        <v>647.1</v>
      </c>
      <c r="P9" s="117">
        <f>$P$5*O9</f>
        <v>779.65382168322265</v>
      </c>
      <c r="Q9" s="75">
        <v>446.32711909525733</v>
      </c>
      <c r="R9" s="70">
        <f>ORÇAMENTO_EXECUTIVO!$B$20/CÁLCULO_MÉDIAS!R$4*Q9</f>
        <v>497.13270938705398</v>
      </c>
      <c r="S9" s="75">
        <v>192.53760160553878</v>
      </c>
      <c r="T9" s="70">
        <f>ORÇAMENTO_EXECUTIVO!$B$20/CÁLCULO_MÉDIAS!T$4*S9</f>
        <v>214.45423199708898</v>
      </c>
      <c r="U9" s="75">
        <v>400.33007959367535</v>
      </c>
      <c r="V9" s="70">
        <f>ORÇAMENTO_EXECUTIVO!$B$20/CÁLCULO_MÉDIAS!V$4*U9</f>
        <v>447.80035389591308</v>
      </c>
      <c r="W9" s="44">
        <v>744.07977636242038</v>
      </c>
      <c r="X9" s="70">
        <f>ORÇAMENTO_EXECUTIVO!$B$20/CÁLCULO_MÉDIAS!X$4*W9</f>
        <v>800.19957498433837</v>
      </c>
      <c r="Y9" s="42">
        <v>487.93174538969282</v>
      </c>
      <c r="Z9" s="70">
        <f>ORÇAMENTO_EXECUTIVO!$B$20/CÁLCULO_MÉDIAS!Z$4*Y9</f>
        <v>551.56288669864136</v>
      </c>
      <c r="AA9" s="75">
        <v>200.57792502155229</v>
      </c>
      <c r="AB9" s="70">
        <f>ORÇAMENTO_EXECUTIVO!$B$20/CÁLCULO_MÉDIAS!AB$4*AA9</f>
        <v>208.99394957641076</v>
      </c>
      <c r="AC9">
        <v>200</v>
      </c>
      <c r="AD9" s="55">
        <f>ROUND(AC9*1.1,0)</f>
        <v>220</v>
      </c>
      <c r="AE9" s="55">
        <f>ROUND(AF9*1.1,0)</f>
        <v>385</v>
      </c>
      <c r="AF9">
        <v>350</v>
      </c>
    </row>
    <row r="10" spans="2:32" ht="19.149999999999999" customHeight="1" x14ac:dyDescent="0.25">
      <c r="B10" s="38" t="s">
        <v>4</v>
      </c>
      <c r="C10" s="22">
        <v>10.059585954908375</v>
      </c>
      <c r="D10" s="74">
        <f>ORÇAMENTO_EXECUTIVO!$B$20/CÁLCULO_MÉDIAS!D$4*C10</f>
        <v>11.371455783945759</v>
      </c>
      <c r="E10" s="25">
        <v>12.392261825458075</v>
      </c>
      <c r="F10" s="74">
        <f>ORÇAMENTO_EXECUTIVO!$B$20/CÁLCULO_MÉDIAS!F$4*E10</f>
        <v>13.708295957188394</v>
      </c>
      <c r="G10" s="22">
        <v>5.6355099431607005</v>
      </c>
      <c r="H10" s="70">
        <f>ORÇAMENTO_EXECUTIVO!$B$20/CÁLCULO_MÉDIAS!H$4*G10</f>
        <v>7.1731356769065746</v>
      </c>
      <c r="I10" s="45">
        <v>19.883589119428461</v>
      </c>
      <c r="J10" s="70">
        <f>ORÇAMENTO_EXECUTIVO!$B$20/CÁLCULO_MÉDIAS!J$4*I10</f>
        <v>24.123707759779844</v>
      </c>
      <c r="K10" s="22">
        <v>6.2112128664866884</v>
      </c>
      <c r="L10" s="70">
        <f>ORÇAMENTO_EXECUTIVO!$B$20/CÁLCULO_MÉDIAS!L$4*K10</f>
        <v>7.4835355410977442</v>
      </c>
      <c r="M10" s="22">
        <v>26.515284956661631</v>
      </c>
      <c r="N10" s="70">
        <f>ORÇAMENTO_EXECUTIVO!$B$20/CÁLCULO_MÉDIAS!N$4*M10</f>
        <v>29.331156708486269</v>
      </c>
      <c r="O10" s="118">
        <v>93.34</v>
      </c>
      <c r="P10" s="117">
        <f t="shared" ref="P10:P24" si="0">$P$5*O10</f>
        <v>112.46003355881935</v>
      </c>
      <c r="Q10" s="22">
        <v>97.490108768032059</v>
      </c>
      <c r="R10" s="70">
        <f>ORÇAMENTO_EXECUTIVO!$B$20/CÁLCULO_MÉDIAS!R$4*Q10</f>
        <v>108.58744592650802</v>
      </c>
      <c r="S10" s="22">
        <v>131.35298076496832</v>
      </c>
      <c r="T10" s="70">
        <f>ORÇAMENTO_EXECUTIVO!$B$20/CÁLCULO_MÉDIAS!T$4*S10</f>
        <v>146.30494186892028</v>
      </c>
      <c r="U10" s="22">
        <v>73.603581460315908</v>
      </c>
      <c r="V10" s="70">
        <f>ORÇAMENTO_EXECUTIVO!$B$20/CÁLCULO_MÉDIAS!V$4*U10</f>
        <v>82.331334830970931</v>
      </c>
      <c r="W10" s="45">
        <v>72.150817858504539</v>
      </c>
      <c r="X10" s="70">
        <f>ORÇAMENTO_EXECUTIVO!$B$20/CÁLCULO_MÉDIAS!X$4*W10</f>
        <v>77.592558780991013</v>
      </c>
      <c r="Y10" s="22">
        <v>12.078622515582195</v>
      </c>
      <c r="Z10" s="70">
        <f>ORÇAMENTO_EXECUTIVO!$B$20/CÁLCULO_MÉDIAS!Z$4*Y10</f>
        <v>13.653794746879884</v>
      </c>
      <c r="AA10" s="22">
        <v>78.100204548850741</v>
      </c>
      <c r="AB10" s="70">
        <f>ORÇAMENTO_EXECUTIVO!$B$20/CÁLCULO_MÉDIAS!AB$4*AA10</f>
        <v>81.377201452433084</v>
      </c>
      <c r="AC10">
        <v>80</v>
      </c>
      <c r="AD10" s="55">
        <v>80</v>
      </c>
      <c r="AE10" s="55">
        <v>110</v>
      </c>
      <c r="AF10">
        <v>110</v>
      </c>
    </row>
    <row r="11" spans="2:32" ht="19.149999999999999" customHeight="1" x14ac:dyDescent="0.25">
      <c r="B11" s="39" t="s">
        <v>77</v>
      </c>
      <c r="C11" s="22">
        <v>167.14433582960407</v>
      </c>
      <c r="D11" s="74">
        <f>ORÇAMENTO_EXECUTIVO!$B$20/CÁLCULO_MÉDIAS!D$4*C11</f>
        <v>188.94161578249921</v>
      </c>
      <c r="E11" s="25">
        <v>108.74598109133323</v>
      </c>
      <c r="F11" s="74">
        <f>ORÇAMENTO_EXECUTIVO!$B$20/CÁLCULO_MÉDIAS!F$4*E11</f>
        <v>120.29459302516835</v>
      </c>
      <c r="G11" s="22">
        <v>124.41721036487162</v>
      </c>
      <c r="H11" s="70">
        <f>ORÇAMENTO_EXECUTIVO!$B$20/CÁLCULO_MÉDIAS!H$4*G11</f>
        <v>158.36393502819553</v>
      </c>
      <c r="I11" s="45">
        <v>139.8414744369945</v>
      </c>
      <c r="J11" s="70">
        <f>ORÇAMENTO_EXECUTIVO!$B$20/CÁLCULO_MÉDIAS!J$4*I11</f>
        <v>169.66226981216897</v>
      </c>
      <c r="K11" s="22">
        <v>113.54017687815042</v>
      </c>
      <c r="L11" s="70">
        <f>ORÇAMENTO_EXECUTIVO!$B$20/CÁLCULO_MÉDIAS!L$4*K11</f>
        <v>136.79807265900021</v>
      </c>
      <c r="M11" s="22">
        <v>309.92994415253145</v>
      </c>
      <c r="N11" s="70">
        <f>ORÇAMENTO_EXECUTIVO!$B$20/CÁLCULO_MÉDIAS!N$4*M11</f>
        <v>342.84390212847393</v>
      </c>
      <c r="O11" s="118">
        <v>316.11</v>
      </c>
      <c r="P11" s="117">
        <f t="shared" si="0"/>
        <v>380.86287988299102</v>
      </c>
      <c r="Q11" s="22">
        <v>261.81</v>
      </c>
      <c r="R11" s="70">
        <f>ORÇAMENTO_EXECUTIVO!$B$20/CÁLCULO_MÉDIAS!R$4*Q11</f>
        <v>291.61193455700914</v>
      </c>
      <c r="S11" s="22">
        <v>99.325700576150922</v>
      </c>
      <c r="T11" s="70">
        <f>ORÇAMENTO_EXECUTIVO!$B$20/CÁLCULO_MÉDIAS!T$4*S11</f>
        <v>110.63198386708531</v>
      </c>
      <c r="U11" s="22">
        <v>475.11877935278227</v>
      </c>
      <c r="V11" s="70">
        <f>ORÇAMENTO_EXECUTIVO!$B$20/CÁLCULO_MÉDIAS!V$4*U11</f>
        <v>531.45733578829334</v>
      </c>
      <c r="W11" s="45">
        <v>291.74229800426269</v>
      </c>
      <c r="X11" s="70">
        <f>ORÇAMENTO_EXECUTIVO!$B$20/CÁLCULO_MÉDIAS!X$4*W11</f>
        <v>313.74601257037426</v>
      </c>
      <c r="Y11" s="22">
        <v>157.74779091360386</v>
      </c>
      <c r="Z11" s="70">
        <f>ORÇAMENTO_EXECUTIVO!$B$20/CÁLCULO_MÉDIAS!Z$4*Y11</f>
        <v>178.31966816824178</v>
      </c>
      <c r="AA11" s="22">
        <v>361.55169320344987</v>
      </c>
      <c r="AB11" s="70">
        <f>ORÇAMENTO_EXECUTIVO!$B$20/CÁLCULO_MÉDIAS!AB$4*AA11</f>
        <v>376.72199635382867</v>
      </c>
      <c r="AD11" s="55">
        <v>310</v>
      </c>
      <c r="AE11" s="55">
        <v>380</v>
      </c>
    </row>
    <row r="12" spans="2:32" ht="19.149999999999999" customHeight="1" x14ac:dyDescent="0.25">
      <c r="B12" s="38" t="s">
        <v>6</v>
      </c>
      <c r="C12" s="22">
        <v>350.58818190023408</v>
      </c>
      <c r="D12" s="74">
        <f>ORÇAMENTO_EXECUTIVO!$B$20/CÁLCULO_MÉDIAS!D$4*C12</f>
        <v>396.30835968027242</v>
      </c>
      <c r="E12" s="25">
        <v>761.96985724233105</v>
      </c>
      <c r="F12" s="74">
        <f>ORÇAMENTO_EXECUTIVO!$B$20/CÁLCULO_MÉDIAS!F$4*E12</f>
        <v>842.88957582191483</v>
      </c>
      <c r="G12" s="22">
        <v>617.18898596113911</v>
      </c>
      <c r="H12" s="70">
        <f>ORÇAMENTO_EXECUTIVO!$B$20/CÁLCULO_MÉDIAS!H$4*G12</f>
        <v>785.58646497722873</v>
      </c>
      <c r="I12" s="45">
        <v>698.52393178397301</v>
      </c>
      <c r="J12" s="70">
        <f>ORÇAMENTO_EXECUTIVO!$B$20/CÁLCULO_MÉDIAS!J$4*I12</f>
        <v>847.48216694458256</v>
      </c>
      <c r="K12" s="22">
        <v>640.53849236520034</v>
      </c>
      <c r="L12" s="70">
        <f>ORÇAMENTO_EXECUTIVO!$B$20/CÁLCULO_MÉDIAS!L$4*K12</f>
        <v>771.74823598785065</v>
      </c>
      <c r="M12" s="22">
        <v>776.71351288528933</v>
      </c>
      <c r="N12" s="70">
        <f>ORÇAMENTO_EXECUTIVO!$B$20/CÁLCULO_MÉDIAS!N$4*M12</f>
        <v>859.19897905202879</v>
      </c>
      <c r="O12" s="118">
        <v>749.05</v>
      </c>
      <c r="P12" s="117">
        <f t="shared" si="0"/>
        <v>902.48755235947749</v>
      </c>
      <c r="Q12" s="22">
        <v>698.9826682581529</v>
      </c>
      <c r="R12" s="70">
        <f>ORÇAMENTO_EXECUTIVO!$B$20/CÁLCULO_MÉDIAS!R$4*Q12</f>
        <v>778.54813839265148</v>
      </c>
      <c r="S12" s="22">
        <v>670.83520323794403</v>
      </c>
      <c r="T12" s="70">
        <f>ORÇAMENTO_EXECUTIVO!$B$20/CÁLCULO_MÉDIAS!T$4*S12</f>
        <v>747.19663643543504</v>
      </c>
      <c r="U12" s="22">
        <v>724.13885887503648</v>
      </c>
      <c r="V12" s="70">
        <f>ORÇAMENTO_EXECUTIVO!$B$20/CÁLCULO_MÉDIAS!V$4*U12</f>
        <v>810.00567732294621</v>
      </c>
      <c r="W12" s="45">
        <v>1362.2978011263133</v>
      </c>
      <c r="X12" s="70">
        <f>ORÇAMENTO_EXECUTIVO!$B$20/CÁLCULO_MÉDIAS!X$4*W12</f>
        <v>1465.0446848489705</v>
      </c>
      <c r="Y12" s="22">
        <v>578.45426097188772</v>
      </c>
      <c r="Z12" s="70">
        <f>ORÇAMENTO_EXECUTIVO!$B$20/CÁLCULO_MÉDIAS!Z$4*Y12</f>
        <v>653.89043656089075</v>
      </c>
      <c r="AA12" s="22">
        <v>595.37114595651826</v>
      </c>
      <c r="AB12" s="70">
        <f>ORÇAMENTO_EXECUTIVO!$B$20/CÁLCULO_MÉDIAS!AB$4*AA12</f>
        <v>620.35225084672936</v>
      </c>
      <c r="AD12" s="55">
        <f>630*1.1</f>
        <v>693</v>
      </c>
      <c r="AE12" s="55">
        <f>780*1.1</f>
        <v>858.00000000000011</v>
      </c>
    </row>
    <row r="13" spans="2:32" ht="19.149999999999999" customHeight="1" x14ac:dyDescent="0.25">
      <c r="B13" s="40" t="s">
        <v>7</v>
      </c>
      <c r="C13" s="22">
        <v>180.14259789258332</v>
      </c>
      <c r="D13" s="74">
        <f>ORÇAMENTO_EXECUTIVO!$B$20/CÁLCULO_MÉDIAS!D$4*C13</f>
        <v>203.63498019927101</v>
      </c>
      <c r="E13" s="25">
        <v>161.08824756728762</v>
      </c>
      <c r="F13" s="74">
        <f>ORÇAMENTO_EXECUTIVO!$B$20/CÁLCULO_MÉDIAS!F$4*E13</f>
        <v>178.19550651687311</v>
      </c>
      <c r="G13" s="22">
        <v>108.56390729297264</v>
      </c>
      <c r="H13" s="70">
        <f>ORÇAMENTO_EXECUTIVO!$B$20/CÁLCULO_MÉDIAS!H$4*G13</f>
        <v>138.18512334854265</v>
      </c>
      <c r="I13" s="45">
        <v>139.69907384068046</v>
      </c>
      <c r="J13" s="70">
        <f>ORÇAMENTO_EXECUTIVO!$B$20/CÁLCULO_MÉDIAS!J$4*I13</f>
        <v>169.48950269504212</v>
      </c>
      <c r="K13" s="22">
        <v>124.50957246151708</v>
      </c>
      <c r="L13" s="70">
        <f>ORÇAMENTO_EXECUTIVO!$B$20/CÁLCULO_MÉDIAS!L$4*K13</f>
        <v>150.01447072441033</v>
      </c>
      <c r="M13" s="22">
        <v>98.694029887265188</v>
      </c>
      <c r="N13" s="70">
        <f>ORÇAMENTO_EXECUTIVO!$B$20/CÁLCULO_MÉDIAS!N$4*M13</f>
        <v>109.17514413089941</v>
      </c>
      <c r="O13" s="118">
        <v>151.59</v>
      </c>
      <c r="P13" s="117">
        <f t="shared" si="0"/>
        <v>182.642130781888</v>
      </c>
      <c r="Q13" s="22">
        <v>160.86391362466691</v>
      </c>
      <c r="R13" s="70">
        <f>ORÇAMENTO_EXECUTIVO!$B$20/CÁLCULO_MÉDIAS!R$4*Q13</f>
        <v>179.17511574233504</v>
      </c>
      <c r="S13" s="22">
        <v>151.38701853650412</v>
      </c>
      <c r="T13" s="70">
        <f>ORÇAMENTO_EXECUTIVO!$B$20/CÁLCULO_MÉDIAS!T$4*S13</f>
        <v>168.61946198482778</v>
      </c>
      <c r="U13" s="22">
        <v>168.13977714587139</v>
      </c>
      <c r="V13" s="70">
        <f>ORÇAMENTO_EXECUTIVO!$B$20/CÁLCULO_MÉDIAS!V$4*U13</f>
        <v>188.07742797224145</v>
      </c>
      <c r="W13" s="45">
        <v>272.22541892981479</v>
      </c>
      <c r="X13" s="70">
        <f>ORÇAMENTO_EXECUTIVO!$B$20/CÁLCULO_MÉDIAS!X$4*W13</f>
        <v>292.75713632817525</v>
      </c>
      <c r="Y13" s="22">
        <v>112.59324679622719</v>
      </c>
      <c r="Z13" s="70">
        <f>ORÇAMENTO_EXECUTIVO!$B$20/CÁLCULO_MÉDIAS!Z$4*Y13</f>
        <v>127.27652343280283</v>
      </c>
      <c r="AA13" s="22">
        <v>151.61061588475073</v>
      </c>
      <c r="AB13" s="70">
        <f>ORÇAMENTO_EXECUTIVO!$B$20/CÁLCULO_MÉDIAS!AB$4*AA13</f>
        <v>157.97202712143681</v>
      </c>
      <c r="AC13">
        <v>130</v>
      </c>
      <c r="AD13" s="55">
        <f t="shared" ref="AD13:AD24" si="1">ROUND(AC13*1.1,0)</f>
        <v>143</v>
      </c>
      <c r="AE13" s="55">
        <f t="shared" ref="AE13:AE24" si="2">ROUND(AF13*1.1,0)</f>
        <v>198</v>
      </c>
      <c r="AF13">
        <v>180</v>
      </c>
    </row>
    <row r="14" spans="2:32" ht="19.149999999999999" customHeight="1" x14ac:dyDescent="0.25">
      <c r="B14" s="38" t="s">
        <v>8</v>
      </c>
      <c r="C14" s="22">
        <v>208.77218238160745</v>
      </c>
      <c r="D14" s="74">
        <f>ORÇAMENTO_EXECUTIVO!$B$20/CÁLCULO_MÉDIAS!D$4*C14</f>
        <v>235.99814659488462</v>
      </c>
      <c r="E14" s="25">
        <v>310.24177930503993</v>
      </c>
      <c r="F14" s="74">
        <f>ORÇAMENTO_EXECUTIVO!$B$20/CÁLCULO_MÉDIAS!F$4*E14</f>
        <v>343.18885356838456</v>
      </c>
      <c r="G14" s="22">
        <v>266.66808029851785</v>
      </c>
      <c r="H14" s="70">
        <f>ORÇAMENTO_EXECUTIVO!$B$20/CÁLCULO_MÉDIAS!H$4*G14</f>
        <v>339.42737036653284</v>
      </c>
      <c r="I14" s="45">
        <v>273.46067243775792</v>
      </c>
      <c r="J14" s="70">
        <f>ORÇAMENTO_EXECUTIVO!$B$20/CÁLCULO_MÉDIAS!J$4*I14</f>
        <v>331.77538049382997</v>
      </c>
      <c r="K14" s="22">
        <v>333.98697527378704</v>
      </c>
      <c r="L14" s="70">
        <f>ORÇAMENTO_EXECUTIVO!$B$20/CÁLCULO_MÉDIAS!L$4*K14</f>
        <v>402.40182609276468</v>
      </c>
      <c r="M14" s="22">
        <v>252.23202573999424</v>
      </c>
      <c r="N14" s="70">
        <f>ORÇAMENTO_EXECUTIVO!$B$20/CÁLCULO_MÉDIAS!N$4*M14</f>
        <v>279.01857686881067</v>
      </c>
      <c r="O14" s="118">
        <v>374.08</v>
      </c>
      <c r="P14" s="117">
        <f t="shared" si="0"/>
        <v>450.70762110224064</v>
      </c>
      <c r="Q14" s="22">
        <v>431.14601208603079</v>
      </c>
      <c r="R14" s="70">
        <f>ORÇAMENTO_EXECUTIVO!$B$20/CÁLCULO_MÉDIAS!R$4*Q14</f>
        <v>480.22353103757331</v>
      </c>
      <c r="S14" s="22">
        <v>301.6524254355387</v>
      </c>
      <c r="T14" s="70">
        <f>ORÇAMENTO_EXECUTIVO!$B$20/CÁLCULO_MÉDIAS!T$4*S14</f>
        <v>335.98963884141699</v>
      </c>
      <c r="U14" s="22">
        <v>319.46729680451949</v>
      </c>
      <c r="V14" s="70">
        <f>ORÇAMENTO_EXECUTIVO!$B$20/CÁLCULO_MÉDIAS!V$4*U14</f>
        <v>357.34903735545987</v>
      </c>
      <c r="W14" s="45">
        <v>604.82909038633431</v>
      </c>
      <c r="X14" s="70">
        <f>ORÇAMENTO_EXECUTIVO!$B$20/CÁLCULO_MÉDIAS!X$4*W14</f>
        <v>650.44635863019846</v>
      </c>
      <c r="Y14" s="22">
        <v>240.74096600415527</v>
      </c>
      <c r="Z14" s="70">
        <f>ORÇAMENTO_EXECUTIVO!$B$20/CÁLCULO_MÉDIAS!Z$4*Y14</f>
        <v>272.13597682565609</v>
      </c>
      <c r="AA14" s="22">
        <v>368.82910399999997</v>
      </c>
      <c r="AB14" s="70">
        <f>ORÇAMENTO_EXECUTIVO!$B$20/CÁLCULO_MÉDIAS!AB$4*AA14</f>
        <v>384.3047591374081</v>
      </c>
      <c r="AC14">
        <v>320</v>
      </c>
      <c r="AD14" s="55">
        <f t="shared" si="1"/>
        <v>352</v>
      </c>
      <c r="AE14" s="55">
        <f t="shared" si="2"/>
        <v>473</v>
      </c>
      <c r="AF14">
        <v>430</v>
      </c>
    </row>
    <row r="15" spans="2:32" ht="19.149999999999999" customHeight="1" x14ac:dyDescent="0.25">
      <c r="B15" s="40" t="s">
        <v>40</v>
      </c>
      <c r="C15" s="22">
        <v>111.62697278256199</v>
      </c>
      <c r="D15" s="74">
        <f>ORÇAMENTO_EXECUTIVO!$B$20/CÁLCULO_MÉDIAS!D$4*C15</f>
        <v>126.18423769949109</v>
      </c>
      <c r="E15" s="25"/>
      <c r="F15" s="74">
        <f>ORÇAMENTO_EXECUTIVO!$B$20/CÁLCULO_MÉDIAS!F$4*E15</f>
        <v>0</v>
      </c>
      <c r="G15" s="22">
        <v>192.58192440918347</v>
      </c>
      <c r="H15" s="70">
        <f>ORÇAMENTO_EXECUTIVO!$B$20/CÁLCULO_MÉDIAS!H$4*G15</f>
        <v>245.12711123566322</v>
      </c>
      <c r="I15" s="79">
        <v>204.14544698350056</v>
      </c>
      <c r="J15" s="70">
        <f>ORÇAMENTO_EXECUTIVO!$B$20/CÁLCULO_MÉDIAS!J$4*I15</f>
        <v>247.67888100783463</v>
      </c>
      <c r="K15" s="22">
        <v>187.87175218523294</v>
      </c>
      <c r="L15" s="70">
        <f>ORÇAMENTO_EXECUTIVO!$B$20/CÁLCULO_MÉDIAS!L$4*K15</f>
        <v>226.3559412417558</v>
      </c>
      <c r="M15" s="22">
        <v>247.28447097827882</v>
      </c>
      <c r="N15" s="70">
        <f>ORÇAMENTO_EXECUTIVO!$B$20/CÁLCULO_MÉDIAS!N$4*M15</f>
        <v>273.5456014028905</v>
      </c>
      <c r="O15" s="118">
        <v>277.64</v>
      </c>
      <c r="P15" s="117">
        <f t="shared" si="0"/>
        <v>334.51257464399617</v>
      </c>
      <c r="Q15" s="22">
        <v>224.83791353983619</v>
      </c>
      <c r="R15" s="70">
        <f>ORÇAMENTO_EXECUTIVO!$B$20/CÁLCULO_MÉDIAS!R$4*Q15</f>
        <v>250.43130105463194</v>
      </c>
      <c r="S15" s="22">
        <v>121.62815025865672</v>
      </c>
      <c r="T15" s="70">
        <f>ORÇAMENTO_EXECUTIVO!$B$20/CÁLCULO_MÉDIAS!T$4*S15</f>
        <v>135.47313010777845</v>
      </c>
      <c r="U15" s="22">
        <v>126.03404132014695</v>
      </c>
      <c r="V15" s="70">
        <f>ORÇAMENTO_EXECUTIVO!$B$20/CÁLCULO_MÉDIAS!V$4*U15</f>
        <v>140.97888513243154</v>
      </c>
      <c r="W15" s="79">
        <v>438.99059947122021</v>
      </c>
      <c r="X15" s="70">
        <f>ORÇAMENTO_EXECUTIVO!$B$20/CÁLCULO_MÉDIAS!X$4*W15</f>
        <v>472.10003856883714</v>
      </c>
      <c r="Y15" s="22">
        <v>244.0750887127912</v>
      </c>
      <c r="Z15" s="70">
        <f>ORÇAMENTO_EXECUTIVO!$B$20/CÁLCULO_MÉDIAS!Z$4*Y15</f>
        <v>275.90490221974784</v>
      </c>
      <c r="AA15" s="22">
        <v>193.02830479800929</v>
      </c>
      <c r="AB15" s="70">
        <f>ORÇAMENTO_EXECUTIVO!$B$20/CÁLCULO_MÉDIAS!AB$4*AA15</f>
        <v>201.12755576387801</v>
      </c>
      <c r="AC15">
        <v>140</v>
      </c>
      <c r="AD15" s="55">
        <f t="shared" si="1"/>
        <v>154</v>
      </c>
      <c r="AE15" s="55">
        <f t="shared" si="2"/>
        <v>264</v>
      </c>
      <c r="AF15">
        <v>240</v>
      </c>
    </row>
    <row r="16" spans="2:32" ht="19.149999999999999" customHeight="1" x14ac:dyDescent="0.25">
      <c r="B16" s="40" t="s">
        <v>9</v>
      </c>
      <c r="C16" s="22">
        <v>16.630694464270512</v>
      </c>
      <c r="D16" s="74">
        <f>ORÇAMENTO_EXECUTIVO!$B$20/CÁLCULO_MÉDIAS!D$4*C16</f>
        <v>18.799502047545865</v>
      </c>
      <c r="E16" s="25">
        <v>48.175292289979815</v>
      </c>
      <c r="F16" s="74">
        <f>ORÇAMENTO_EXECUTIVO!$B$20/CÁLCULO_MÉDIAS!F$4*E16</f>
        <v>53.291414742254936</v>
      </c>
      <c r="G16" s="22">
        <v>25.029613918938338</v>
      </c>
      <c r="H16" s="70">
        <f>ORÇAMENTO_EXECUTIVO!$B$20/CÁLCULO_MÉDIAS!H$4*G16</f>
        <v>31.858841239207845</v>
      </c>
      <c r="I16" s="79">
        <v>16.719233649975155</v>
      </c>
      <c r="J16" s="70">
        <f>ORÇAMENTO_EXECUTIVO!$B$20/CÁLCULO_MÉDIAS!J$4*I16</f>
        <v>20.284562516199859</v>
      </c>
      <c r="K16" s="22">
        <v>16.045567662843403</v>
      </c>
      <c r="L16" s="70">
        <f>ORÇAMENTO_EXECUTIVO!$B$20/CÁLCULO_MÉDIAS!L$4*K16</f>
        <v>19.332387806231793</v>
      </c>
      <c r="M16" s="22">
        <v>50.859372037117453</v>
      </c>
      <c r="N16" s="70">
        <f>ORÇAMENTO_EXECUTIVO!$B$20/CÁLCULO_MÉDIAS!N$4*M16</f>
        <v>56.260538544244817</v>
      </c>
      <c r="O16" s="118">
        <v>61.96</v>
      </c>
      <c r="P16" s="117">
        <f t="shared" si="0"/>
        <v>74.652064273670959</v>
      </c>
      <c r="Q16" s="22">
        <v>79.544458955869572</v>
      </c>
      <c r="R16" s="70">
        <f>ORÇAMENTO_EXECUTIVO!$B$20/CÁLCULO_MÉDIAS!R$4*Q16</f>
        <v>88.599035787065944</v>
      </c>
      <c r="S16" s="22">
        <v>61.191657834322697</v>
      </c>
      <c r="T16" s="70">
        <f>ORÇAMENTO_EXECUTIVO!$B$20/CÁLCULO_MÉDIAS!T$4*S16</f>
        <v>68.157128145668253</v>
      </c>
      <c r="U16" s="22">
        <v>88.819903622374383</v>
      </c>
      <c r="V16" s="70">
        <f>ORÇAMENTO_EXECUTIVO!$B$20/CÁLCULO_MÉDIAS!V$4*U16</f>
        <v>99.351975538458902</v>
      </c>
      <c r="W16" s="45">
        <v>127.43889343775588</v>
      </c>
      <c r="X16" s="70">
        <f>ORÇAMENTO_EXECUTIVO!$B$20/CÁLCULO_MÉDIAS!X$4*W16</f>
        <v>137.05055775591558</v>
      </c>
      <c r="Y16" s="22">
        <v>45.575748772729781</v>
      </c>
      <c r="Z16" s="70">
        <f>ORÇAMENTO_EXECUTIVO!$B$20/CÁLCULO_MÉDIAS!Z$4*Y16</f>
        <v>51.519278657432316</v>
      </c>
      <c r="AA16" s="22">
        <v>37.010074767681488</v>
      </c>
      <c r="AB16" s="70">
        <f>ORÇAMENTO_EXECUTIVO!$B$20/CÁLCULO_MÉDIAS!AB$4*AA16</f>
        <v>38.562975955528991</v>
      </c>
      <c r="AC16">
        <v>30</v>
      </c>
      <c r="AD16" s="55">
        <f t="shared" si="1"/>
        <v>33</v>
      </c>
      <c r="AE16" s="55">
        <f t="shared" si="2"/>
        <v>72</v>
      </c>
      <c r="AF16">
        <v>65</v>
      </c>
    </row>
    <row r="17" spans="2:32" ht="19.149999999999999" customHeight="1" x14ac:dyDescent="0.25">
      <c r="B17" s="38" t="s">
        <v>36</v>
      </c>
      <c r="C17" s="22">
        <v>99.615057511952713</v>
      </c>
      <c r="D17" s="74">
        <f>ORÇAMENTO_EXECUTIVO!$B$20/CÁLCULO_MÉDIAS!D$4*C17</f>
        <v>112.60584948425958</v>
      </c>
      <c r="E17" s="25">
        <v>120.22823002109062</v>
      </c>
      <c r="F17" s="74">
        <f>ORÇAMENTO_EXECUTIVO!$B$20/CÁLCULO_MÉDIAS!F$4*E17</f>
        <v>132.99623448499167</v>
      </c>
      <c r="G17" s="22">
        <v>93.008633428643634</v>
      </c>
      <c r="H17" s="70">
        <f>ORÇAMENTO_EXECUTIVO!$B$20/CÁLCULO_MÉDIAS!H$4*G17</f>
        <v>118.38565692125236</v>
      </c>
      <c r="I17" s="79">
        <v>116.14939540377235</v>
      </c>
      <c r="J17" s="70">
        <f>ORÇAMENTO_EXECUTIVO!$B$20/CÁLCULO_MÉDIAS!J$4*I17</f>
        <v>140.91792253230088</v>
      </c>
      <c r="K17" s="22">
        <v>115.30952646564641</v>
      </c>
      <c r="L17" s="70">
        <f>ORÇAMENTO_EXECUTIVO!$B$20/CÁLCULO_MÉDIAS!L$4*K17</f>
        <v>138.92986089541637</v>
      </c>
      <c r="M17" s="22">
        <v>186.96494271505557</v>
      </c>
      <c r="N17" s="70">
        <f>ORÇAMENTO_EXECUTIVO!$B$20/CÁLCULO_MÉDIAS!N$4*M17</f>
        <v>206.82025641933345</v>
      </c>
      <c r="O17" s="118">
        <v>94.96</v>
      </c>
      <c r="P17" s="117">
        <f t="shared" si="0"/>
        <v>114.41187900948665</v>
      </c>
      <c r="Q17" s="22">
        <v>174.86802374946947</v>
      </c>
      <c r="R17" s="70">
        <f>ORÇAMENTO_EXECUTIVO!$B$20/CÁLCULO_MÉDIAS!R$4*Q17</f>
        <v>194.77331919232958</v>
      </c>
      <c r="S17" s="22">
        <v>161.73710209114981</v>
      </c>
      <c r="T17" s="70">
        <f>ORÇAMENTO_EXECUTIVO!$B$20/CÁLCULO_MÉDIAS!T$4*S17</f>
        <v>180.14769959300517</v>
      </c>
      <c r="U17" s="22">
        <v>208.78186068198954</v>
      </c>
      <c r="V17" s="70">
        <f>ORÇAMENTO_EXECUTIVO!$B$20/CÁLCULO_MÉDIAS!V$4*U17</f>
        <v>233.53876180209764</v>
      </c>
      <c r="W17" s="45">
        <v>323.39785362926665</v>
      </c>
      <c r="X17" s="70">
        <f>ORÇAMENTO_EXECUTIVO!$B$20/CÁLCULO_MÉDIAS!X$4*W17</f>
        <v>347.78908558716239</v>
      </c>
      <c r="Y17" s="22">
        <v>177.78960635422607</v>
      </c>
      <c r="Z17" s="70">
        <f>ORÇAMENTO_EXECUTIVO!$B$20/CÁLCULO_MÉDIAS!Z$4*Y17</f>
        <v>200.97513521575334</v>
      </c>
      <c r="AA17" s="22">
        <v>223.8807573261451</v>
      </c>
      <c r="AB17" s="70">
        <f>ORÇAMENTO_EXECUTIVO!$B$20/CÁLCULO_MÉDIAS!AB$4*AA17</f>
        <v>233.2745425635519</v>
      </c>
      <c r="AC17">
        <v>170</v>
      </c>
      <c r="AD17" s="55">
        <f t="shared" si="1"/>
        <v>187</v>
      </c>
      <c r="AE17" s="55">
        <f t="shared" si="2"/>
        <v>242</v>
      </c>
      <c r="AF17">
        <v>220</v>
      </c>
    </row>
    <row r="18" spans="2:32" ht="19.149999999999999" customHeight="1" x14ac:dyDescent="0.25">
      <c r="B18" s="40" t="s">
        <v>37</v>
      </c>
      <c r="C18" s="22">
        <v>25.63601901680774</v>
      </c>
      <c r="D18" s="74">
        <f>ORÇAMENTO_EXECUTIVO!$B$20/CÁLCULO_MÉDIAS!D$4*C18</f>
        <v>28.979210280894417</v>
      </c>
      <c r="E18" s="25">
        <v>60.615435374440366</v>
      </c>
      <c r="F18" s="74">
        <f>ORÇAMENTO_EXECUTIVO!$B$20/CÁLCULO_MÉDIAS!F$4*E18</f>
        <v>67.052676855134166</v>
      </c>
      <c r="G18" s="22">
        <v>68.035560489006272</v>
      </c>
      <c r="H18" s="70">
        <f>ORÇAMENTO_EXECUTIVO!$B$20/CÁLCULO_MÉDIAS!H$4*G18</f>
        <v>86.598783635241602</v>
      </c>
      <c r="I18" s="79">
        <v>41.891880261859669</v>
      </c>
      <c r="J18" s="70">
        <f>ORÇAMENTO_EXECUTIVO!$B$20/CÁLCULO_MÉDIAS!J$4*I18</f>
        <v>50.825204185965433</v>
      </c>
      <c r="K18" s="22">
        <v>56.158883124149376</v>
      </c>
      <c r="L18" s="70">
        <f>ORÇAMENTO_EXECUTIVO!$B$20/CÁLCULO_MÉDIAS!L$4*K18</f>
        <v>67.662629963227474</v>
      </c>
      <c r="M18" s="22">
        <v>63.568288057939455</v>
      </c>
      <c r="N18" s="70">
        <f>ORÇAMENTO_EXECUTIVO!$B$20/CÁLCULO_MÉDIAS!N$4*M18</f>
        <v>70.319116757188695</v>
      </c>
      <c r="O18" s="118">
        <v>59.11</v>
      </c>
      <c r="P18" s="117">
        <f t="shared" si="0"/>
        <v>71.218262091941412</v>
      </c>
      <c r="Q18" s="22">
        <v>58.787435638620238</v>
      </c>
      <c r="R18" s="70">
        <f>ORÇAMENTO_EXECUTIVO!$B$20/CÁLCULO_MÉDIAS!R$4*Q18</f>
        <v>65.479232398394672</v>
      </c>
      <c r="S18" s="22">
        <v>38.140863460693716</v>
      </c>
      <c r="T18" s="70">
        <f>ORÇAMENTO_EXECUTIVO!$B$20/CÁLCULO_MÉDIAS!T$4*S18</f>
        <v>42.482452845375029</v>
      </c>
      <c r="U18" s="22">
        <v>69.865565149785269</v>
      </c>
      <c r="V18" s="70">
        <f>ORÇAMENTO_EXECUTIVO!$B$20/CÁLCULO_MÉDIAS!V$4*U18</f>
        <v>78.150072637474835</v>
      </c>
      <c r="W18" s="45">
        <v>112.85164478001887</v>
      </c>
      <c r="X18" s="70">
        <f>ORÇAMENTO_EXECUTIVO!$B$20/CÁLCULO_MÉDIAS!X$4*W18</f>
        <v>121.36311328164652</v>
      </c>
      <c r="Y18" s="22">
        <v>48.608027358473223</v>
      </c>
      <c r="Z18" s="70">
        <f>ORÇAMENTO_EXECUTIVO!$B$20/CÁLCULO_MÉDIAS!Z$4*Y18</f>
        <v>54.946996459829798</v>
      </c>
      <c r="AA18" s="22">
        <v>111.871572</v>
      </c>
      <c r="AB18" s="70">
        <f>ORÇAMENTO_EXECUTIVO!$B$20/CÁLCULO_MÉDIAS!AB$4*AA18</f>
        <v>116.56557756836676</v>
      </c>
      <c r="AC18">
        <v>80</v>
      </c>
      <c r="AD18" s="55">
        <v>50</v>
      </c>
      <c r="AE18" s="55">
        <v>80</v>
      </c>
      <c r="AF18">
        <v>110</v>
      </c>
    </row>
    <row r="19" spans="2:32" ht="19.149999999999999" customHeight="1" x14ac:dyDescent="0.25">
      <c r="B19" s="38" t="s">
        <v>10</v>
      </c>
      <c r="C19" s="22">
        <v>143.31444561729413</v>
      </c>
      <c r="D19" s="74">
        <f>ORÇAMENTO_EXECUTIVO!$B$20/CÁLCULO_MÉDIAS!D$4*C19</f>
        <v>162.00407142428983</v>
      </c>
      <c r="E19" s="25">
        <v>180.49981775081886</v>
      </c>
      <c r="F19" s="74">
        <f>ORÇAMENTO_EXECUTIVO!$B$20/CÁLCULO_MÉDIAS!F$4*E19</f>
        <v>199.66854774352939</v>
      </c>
      <c r="G19" s="22">
        <v>149.11807509526901</v>
      </c>
      <c r="H19" s="70">
        <f>ORÇAMENTO_EXECUTIVO!$B$20/CÁLCULO_MÉDIAS!H$4*G19</f>
        <v>189.80432921347898</v>
      </c>
      <c r="I19" s="79">
        <v>167.57897200636646</v>
      </c>
      <c r="J19" s="70">
        <f>ORÇAMENTO_EXECUTIVO!$B$20/CÁLCULO_MÉDIAS!J$4*I19</f>
        <v>203.31470958710466</v>
      </c>
      <c r="K19" s="22">
        <v>173.07743010086483</v>
      </c>
      <c r="L19" s="70">
        <f>ORÇAMENTO_EXECUTIVO!$B$20/CÁLCULO_MÉDIAS!L$4*K19</f>
        <v>208.53110775034784</v>
      </c>
      <c r="M19" s="22">
        <v>185.49679351117254</v>
      </c>
      <c r="N19" s="70">
        <f>ORÇAMENTO_EXECUTIVO!$B$20/CÁLCULO_MÉDIAS!N$4*M19</f>
        <v>205.1961926221343</v>
      </c>
      <c r="O19" s="118">
        <v>221.98</v>
      </c>
      <c r="P19" s="117">
        <f t="shared" si="0"/>
        <v>267.45102045625367</v>
      </c>
      <c r="Q19" s="22">
        <v>239.48071884378379</v>
      </c>
      <c r="R19" s="70">
        <f>ORÇAMENTO_EXECUTIVO!$B$20/CÁLCULO_MÉDIAS!R$4*Q19</f>
        <v>266.74090260547337</v>
      </c>
      <c r="S19" s="22">
        <v>233.49803908530504</v>
      </c>
      <c r="T19" s="70">
        <f>ORÇAMENTO_EXECUTIVO!$B$20/CÁLCULO_MÉDIAS!T$4*S19</f>
        <v>260.07721207338881</v>
      </c>
      <c r="U19" s="22">
        <v>169.91385599268648</v>
      </c>
      <c r="V19" s="70">
        <f>ORÇAMENTO_EXECUTIVO!$B$20/CÁLCULO_MÉDIAS!V$4*U19</f>
        <v>190.06187324862282</v>
      </c>
      <c r="W19" s="45">
        <v>430.44909401153814</v>
      </c>
      <c r="X19" s="70">
        <f>ORÇAMENTO_EXECUTIVO!$B$20/CÁLCULO_MÉDIAS!X$4*W19</f>
        <v>462.91431782263192</v>
      </c>
      <c r="Y19" s="22">
        <v>198.16454246263029</v>
      </c>
      <c r="Z19" s="70">
        <f>ORÇAMENTO_EXECUTIVO!$B$20/CÁLCULO_MÉDIAS!Z$4*Y19</f>
        <v>224.00716517165711</v>
      </c>
      <c r="AA19" s="22">
        <v>199.52736498031484</v>
      </c>
      <c r="AB19" s="70">
        <f>ORÇAMENTO_EXECUTIVO!$B$20/CÁLCULO_MÉDIAS!AB$4*AA19</f>
        <v>207.89930921525547</v>
      </c>
      <c r="AD19" s="55">
        <v>185</v>
      </c>
      <c r="AE19" s="55">
        <v>255</v>
      </c>
    </row>
    <row r="20" spans="2:32" ht="19.149999999999999" customHeight="1" x14ac:dyDescent="0.25">
      <c r="B20" s="40" t="s">
        <v>11</v>
      </c>
      <c r="C20" s="22">
        <v>78.866728075908483</v>
      </c>
      <c r="D20" s="74">
        <f>ORÇAMENTO_EXECUTIVO!$B$20/CÁLCULO_MÉDIAS!D$4*C20</f>
        <v>89.151732005637541</v>
      </c>
      <c r="E20" s="25">
        <v>114.52018692481529</v>
      </c>
      <c r="F20" s="74">
        <f>ORÇAMENTO_EXECUTIVO!$B$20/CÁLCULO_MÉDIAS!F$4*E20</f>
        <v>126.68200830076272</v>
      </c>
      <c r="G20" s="22">
        <v>105.18524358637642</v>
      </c>
      <c r="H20" s="70">
        <f>ORÇAMENTO_EXECUTIVO!$B$20/CÁLCULO_MÉDIAS!H$4*G20</f>
        <v>133.88460513129289</v>
      </c>
      <c r="I20" s="79">
        <v>102.54519527845994</v>
      </c>
      <c r="J20" s="70">
        <f>ORÇAMENTO_EXECUTIVO!$B$20/CÁLCULO_MÉDIAS!J$4*I20</f>
        <v>124.41266555090786</v>
      </c>
      <c r="K20" s="22">
        <v>88.941825521186431</v>
      </c>
      <c r="L20" s="70">
        <f>ORÇAMENTO_EXECUTIVO!$B$20/CÁLCULO_MÉDIAS!L$4*K20</f>
        <v>107.16092439356419</v>
      </c>
      <c r="M20" s="22">
        <v>133.62134559979447</v>
      </c>
      <c r="N20" s="70">
        <f>ORÇAMENTO_EXECUTIVO!$B$20/CÁLCULO_MÉDIAS!N$4*M20</f>
        <v>147.81167291968728</v>
      </c>
      <c r="O20" s="118">
        <v>88.9</v>
      </c>
      <c r="P20" s="117">
        <f t="shared" si="0"/>
        <v>107.11053121254596</v>
      </c>
      <c r="Q20" s="22">
        <v>110.42907621204445</v>
      </c>
      <c r="R20" s="70">
        <f>ORÇAMENTO_EXECUTIVO!$B$20/CÁLCULO_MÉDIAS!R$4*Q20</f>
        <v>122.99926108833765</v>
      </c>
      <c r="S20" s="22">
        <v>60.245256527538778</v>
      </c>
      <c r="T20" s="70">
        <f>ORÇAMENTO_EXECUTIVO!$B$20/CÁLCULO_MÉDIAS!T$4*S20</f>
        <v>67.102997608490369</v>
      </c>
      <c r="U20" s="22">
        <v>91.971567274051793</v>
      </c>
      <c r="V20" s="70">
        <f>ORÇAMENTO_EXECUTIVO!$B$20/CÁLCULO_MÉDIAS!V$4*U20</f>
        <v>102.87735664400681</v>
      </c>
      <c r="W20" s="45">
        <v>211.69700170634599</v>
      </c>
      <c r="X20" s="70">
        <f>ORÇAMENTO_EXECUTIVO!$B$20/CÁLCULO_MÉDIAS!X$4*W20</f>
        <v>227.66355997339579</v>
      </c>
      <c r="Y20" s="22">
        <v>90.169148173343871</v>
      </c>
      <c r="Z20" s="70">
        <f>ORÇAMENTO_EXECUTIVO!$B$20/CÁLCULO_MÉDIAS!Z$4*Y20</f>
        <v>101.92809983684587</v>
      </c>
      <c r="AA20" s="22">
        <v>121.48383421910731</v>
      </c>
      <c r="AB20" s="70">
        <f>ORÇAMENTO_EXECUTIVO!$B$20/CÁLCULO_MÉDIAS!AB$4*AA20</f>
        <v>126.58115951897021</v>
      </c>
      <c r="AC20">
        <v>100</v>
      </c>
      <c r="AD20" s="55">
        <f t="shared" si="1"/>
        <v>110</v>
      </c>
      <c r="AE20" s="55">
        <v>150</v>
      </c>
      <c r="AF20">
        <v>130</v>
      </c>
    </row>
    <row r="21" spans="2:32" ht="19.149999999999999" customHeight="1" x14ac:dyDescent="0.25">
      <c r="B21" s="38" t="s">
        <v>12</v>
      </c>
      <c r="C21" s="22">
        <v>135.3074368981633</v>
      </c>
      <c r="D21" s="74">
        <f>ORÇAMENTO_EXECUTIVO!$B$20/CÁLCULO_MÉDIAS!D$4*C21</f>
        <v>152.95286931523705</v>
      </c>
      <c r="E21" s="25">
        <v>245.72947434308597</v>
      </c>
      <c r="F21" s="74">
        <f>ORÇAMENTO_EXECUTIVO!$B$20/CÁLCULO_MÉDIAS!F$4*E21</f>
        <v>271.82546714589273</v>
      </c>
      <c r="G21" s="22">
        <v>236.04487083554264</v>
      </c>
      <c r="H21" s="70">
        <f>ORÇAMENTO_EXECUTIVO!$B$20/CÁLCULO_MÉDIAS!H$4*G21</f>
        <v>300.44874402113231</v>
      </c>
      <c r="I21" s="79">
        <v>277.08910142380796</v>
      </c>
      <c r="J21" s="70">
        <f>ORÇAMENTO_EXECUTIVO!$B$20/CÁLCULO_MÉDIAS!J$4*I21</f>
        <v>336.17756160715106</v>
      </c>
      <c r="K21" s="22">
        <v>227.17268617600973</v>
      </c>
      <c r="L21" s="70">
        <f>ORÇAMENTO_EXECUTIVO!$B$20/CÁLCULO_MÉDIAS!L$4*K21</f>
        <v>273.70739137562879</v>
      </c>
      <c r="M21" s="22">
        <v>259.79040438950091</v>
      </c>
      <c r="N21" s="70">
        <f>ORÇAMENTO_EXECUTIVO!$B$20/CÁLCULO_MÉDIAS!N$4*M21</f>
        <v>287.37964064742408</v>
      </c>
      <c r="O21" s="118">
        <v>557.54999999999995</v>
      </c>
      <c r="P21" s="117">
        <f t="shared" si="0"/>
        <v>671.76014260466809</v>
      </c>
      <c r="Q21" s="22">
        <v>352.92352045265238</v>
      </c>
      <c r="R21" s="70">
        <f>ORÇAMENTO_EXECUTIVO!$B$20/CÁLCULO_MÉDIAS!R$4*Q21</f>
        <v>393.09694262964797</v>
      </c>
      <c r="S21" s="22">
        <v>393.73192727790519</v>
      </c>
      <c r="T21" s="70">
        <f>ORÇAMENTO_EXECUTIVO!$B$20/CÁLCULO_MÉDIAS!T$4*S21</f>
        <v>438.5505863426514</v>
      </c>
      <c r="U21" s="22">
        <v>334.99378534705028</v>
      </c>
      <c r="V21" s="70">
        <f>ORÇAMENTO_EXECUTIVO!$B$20/CÁLCULO_MÉDIAS!V$4*U21</f>
        <v>374.71662330144477</v>
      </c>
      <c r="W21" s="160">
        <v>507.4133607515422</v>
      </c>
      <c r="X21" s="70">
        <f>ORÇAMENTO_EXECUTIVO!$B$20/CÁLCULO_MÉDIAS!X$4*W21</f>
        <v>545.68336422167738</v>
      </c>
      <c r="Y21" s="22">
        <v>281.03700012870252</v>
      </c>
      <c r="Z21" s="70">
        <f>ORÇAMENTO_EXECUTIVO!$B$20/CÁLCULO_MÉDIAS!Z$4*Y21</f>
        <v>317.68701365457019</v>
      </c>
      <c r="AA21" s="22">
        <v>341.58964374760717</v>
      </c>
      <c r="AB21" s="70">
        <f>ORÇAMENTO_EXECUTIVO!$B$20/CÁLCULO_MÉDIAS!AB$4*AA21</f>
        <v>355.92236171323731</v>
      </c>
      <c r="AC21">
        <v>260</v>
      </c>
      <c r="AD21" s="55">
        <f t="shared" si="1"/>
        <v>286</v>
      </c>
      <c r="AE21" s="55">
        <f t="shared" si="2"/>
        <v>418</v>
      </c>
      <c r="AF21">
        <v>380</v>
      </c>
    </row>
    <row r="22" spans="2:32" ht="19.149999999999999" customHeight="1" x14ac:dyDescent="0.25">
      <c r="B22" s="40" t="s">
        <v>39</v>
      </c>
      <c r="C22" s="22">
        <v>4.0071969156258778</v>
      </c>
      <c r="D22" s="74">
        <f>ORÇAMENTO_EXECUTIVO!$B$20/CÁLCULO_MÉDIAS!D$4*C22</f>
        <v>4.5297751565380935</v>
      </c>
      <c r="E22" s="25">
        <v>15.64763189184705</v>
      </c>
      <c r="F22" s="74">
        <f>ORÇAMENTO_EXECUTIVO!$B$20/CÁLCULO_MÉDIAS!F$4*E22</f>
        <v>17.309380000502863</v>
      </c>
      <c r="G22" s="22">
        <v>4.7387027557396788</v>
      </c>
      <c r="H22" s="70">
        <f>ORÇAMENTO_EXECUTIVO!$B$20/CÁLCULO_MÉDIAS!H$4*G22</f>
        <v>6.0316383330498731</v>
      </c>
      <c r="I22" s="79">
        <v>4.7465773155783459</v>
      </c>
      <c r="J22" s="70">
        <f>ORÇAMENTO_EXECUTIVO!$B$20/CÁLCULO_MÉDIAS!J$4*I22</f>
        <v>5.7587713833981944</v>
      </c>
      <c r="K22" s="22">
        <v>1.8151669667267933</v>
      </c>
      <c r="L22" s="70">
        <f>ORÇAMENTO_EXECUTIVO!$B$20/CÁLCULO_MÉDIAS!L$4*K22</f>
        <v>2.1869909791402988</v>
      </c>
      <c r="M22" s="22">
        <v>4.0117126760907995</v>
      </c>
      <c r="N22" s="70">
        <f>ORÇAMENTO_EXECUTIVO!$B$20/CÁLCULO_MÉDIAS!N$4*M22</f>
        <v>4.4377487688389863</v>
      </c>
      <c r="O22" s="118">
        <v>0</v>
      </c>
      <c r="P22" s="117">
        <f t="shared" si="0"/>
        <v>0</v>
      </c>
      <c r="Q22" s="22">
        <v>67.327503955946341</v>
      </c>
      <c r="R22" s="70">
        <f>ORÇAMENTO_EXECUTIVO!$B$20/CÁLCULO_MÉDIAS!R$4*Q22</f>
        <v>74.991420027837734</v>
      </c>
      <c r="S22" s="22">
        <v>18.057175826109617</v>
      </c>
      <c r="T22" s="70">
        <f>ORÇAMENTO_EXECUTIVO!$B$20/CÁLCULO_MÉDIAS!T$4*S22</f>
        <v>20.112631203116322</v>
      </c>
      <c r="U22" s="22">
        <v>42.324726074708472</v>
      </c>
      <c r="V22" s="70">
        <f>ORÇAMENTO_EXECUTIVO!$B$20/CÁLCULO_MÉDIAS!V$4*U22</f>
        <v>47.3435004785023</v>
      </c>
      <c r="W22" s="161">
        <v>461.85446368858243</v>
      </c>
      <c r="X22" s="70">
        <f>ORÇAMENTO_EXECUTIVO!$B$20/CÁLCULO_MÉDIAS!X$4*W22</f>
        <v>496.68833542952422</v>
      </c>
      <c r="Y22" s="22">
        <v>91.542598687234559</v>
      </c>
      <c r="Z22" s="70">
        <f>ORÇAMENTO_EXECUTIVO!$B$20/CÁLCULO_MÉDIAS!Z$4*Y22</f>
        <v>103.48066192639439</v>
      </c>
      <c r="AA22" s="22">
        <v>22.308009066806761</v>
      </c>
      <c r="AB22" s="70">
        <f>ORÇAMENTO_EXECUTIVO!$B$20/CÁLCULO_MÉDIAS!AB$4*AA22</f>
        <v>23.244028083137088</v>
      </c>
      <c r="AC22">
        <v>12</v>
      </c>
      <c r="AD22" s="55">
        <f t="shared" si="1"/>
        <v>13</v>
      </c>
      <c r="AE22" s="55">
        <f t="shared" si="2"/>
        <v>22</v>
      </c>
      <c r="AF22">
        <v>20</v>
      </c>
    </row>
    <row r="23" spans="2:32" ht="19.149999999999999" customHeight="1" x14ac:dyDescent="0.25">
      <c r="B23" s="38" t="s">
        <v>13</v>
      </c>
      <c r="C23" s="22">
        <v>87.431610097830173</v>
      </c>
      <c r="D23" s="74">
        <f>ORÇAMENTO_EXECUTIVO!$B$20/CÁLCULO_MÉDIAS!D$4*C23</f>
        <v>98.833559631900073</v>
      </c>
      <c r="E23" s="25">
        <v>109.63024406307581</v>
      </c>
      <c r="F23" s="74">
        <f>ORÇAMENTO_EXECUTIVO!$B$20/CÁLCULO_MÉDIAS!F$4*E23</f>
        <v>121.27276300667469</v>
      </c>
      <c r="G23" s="22">
        <v>85.437669539190367</v>
      </c>
      <c r="H23" s="70">
        <f>ORÇAMENTO_EXECUTIVO!$B$20/CÁLCULO_MÉDIAS!H$4*G23</f>
        <v>108.74898664087841</v>
      </c>
      <c r="I23" s="79">
        <v>117.12920858749902</v>
      </c>
      <c r="J23" s="70">
        <f>ORÇAMENTO_EXECUTIVO!$B$20/CÁLCULO_MÉDIAS!J$4*I23</f>
        <v>142.1066780814842</v>
      </c>
      <c r="K23" s="22">
        <v>112.9038222911779</v>
      </c>
      <c r="L23" s="70">
        <f>ORÇAMENTO_EXECUTIVO!$B$20/CÁLCULO_MÉDIAS!L$4*K23</f>
        <v>136.03136537159676</v>
      </c>
      <c r="M23" s="22">
        <v>231.41622696215464</v>
      </c>
      <c r="N23" s="70">
        <f>ORÇAMENTO_EXECUTIVO!$B$20/CÁLCULO_MÉDIAS!N$4*M23</f>
        <v>255.99218069908983</v>
      </c>
      <c r="O23" s="119">
        <v>155.33000000000001</v>
      </c>
      <c r="P23" s="117">
        <f t="shared" si="0"/>
        <v>187.14824311861378</v>
      </c>
      <c r="Q23" s="22">
        <v>199.92091516176768</v>
      </c>
      <c r="R23" s="70">
        <f>ORÇAMENTO_EXECUTIVO!$B$20/CÁLCULO_MÉDIAS!R$4*Q23</f>
        <v>222.67799101917714</v>
      </c>
      <c r="S23" s="22">
        <v>152.18185211902374</v>
      </c>
      <c r="T23" s="70">
        <f>ORÇAMENTO_EXECUTIVO!$B$20/CÁLCULO_MÉDIAS!T$4*S23</f>
        <v>169.50477178448949</v>
      </c>
      <c r="U23" s="22">
        <v>128.59147661011136</v>
      </c>
      <c r="V23" s="70">
        <f>ORÇAMENTO_EXECUTIVO!$B$20/CÁLCULO_MÉDIAS!V$4*U23</f>
        <v>143.83957556337376</v>
      </c>
      <c r="W23" s="45">
        <v>65.547340162884154</v>
      </c>
      <c r="X23" s="70">
        <f>ORÇAMENTO_EXECUTIVO!$B$20/CÁLCULO_MÉDIAS!X$4*W23</f>
        <v>70.491035243708026</v>
      </c>
      <c r="Y23" s="164">
        <v>3.8263674640092669</v>
      </c>
      <c r="Z23" s="70">
        <f>ORÇAMENTO_EXECUTIVO!$B$20/CÁLCULO_MÉDIAS!Z$4*Y23</f>
        <v>4.325363750073584</v>
      </c>
      <c r="AA23" s="22">
        <v>109.31851032007637</v>
      </c>
      <c r="AB23" s="70">
        <f>ORÇAMENTO_EXECUTIVO!$B$20/CÁLCULO_MÉDIAS!AB$4*AA23</f>
        <v>113.90539228655126</v>
      </c>
      <c r="AC23">
        <v>100</v>
      </c>
      <c r="AD23" s="55">
        <f t="shared" si="1"/>
        <v>110</v>
      </c>
      <c r="AE23" s="55">
        <f t="shared" si="2"/>
        <v>176</v>
      </c>
      <c r="AF23">
        <v>160</v>
      </c>
    </row>
    <row r="24" spans="2:32" ht="19.149999999999999" customHeight="1" thickBot="1" x14ac:dyDescent="0.3">
      <c r="B24" s="41" t="s">
        <v>14</v>
      </c>
      <c r="C24" s="23">
        <v>105.34595210463215</v>
      </c>
      <c r="D24" s="74">
        <f>ORÇAMENTO_EXECUTIVO!$B$20/CÁLCULO_MÉDIAS!D$4*C24</f>
        <v>119.08410959906185</v>
      </c>
      <c r="E24" s="26">
        <v>104.621526267763</v>
      </c>
      <c r="F24" s="74">
        <f>ORÇAMENTO_EXECUTIVO!$B$20/CÁLCULO_MÉDIAS!F$4*E24</f>
        <v>115.73212911180893</v>
      </c>
      <c r="G24" s="23">
        <v>189.05137340991195</v>
      </c>
      <c r="H24" s="70">
        <f>ORÇAMENTO_EXECUTIVO!$B$20/CÁLCULO_MÉDIAS!H$4*G24</f>
        <v>240.63326390198091</v>
      </c>
      <c r="I24" s="80">
        <v>111.80889143554694</v>
      </c>
      <c r="J24" s="70">
        <f>ORÇAMENTO_EXECUTIVO!$B$20/CÁLCULO_MÉDIAS!J$4*I24</f>
        <v>135.65181847881678</v>
      </c>
      <c r="K24" s="22">
        <v>122.28379795455677</v>
      </c>
      <c r="L24" s="70">
        <f>ORÇAMENTO_EXECUTIVO!$B$20/CÁLCULO_MÉDIAS!L$4*K24</f>
        <v>147.33276217773022</v>
      </c>
      <c r="M24" s="22">
        <v>106.3411430074443</v>
      </c>
      <c r="N24" s="70">
        <f>ORÇAMENTO_EXECUTIVO!$B$20/CÁLCULO_MÉDIAS!N$4*M24</f>
        <v>117.63436580858848</v>
      </c>
      <c r="O24" s="120">
        <v>82.14</v>
      </c>
      <c r="P24" s="117">
        <f t="shared" si="0"/>
        <v>98.965793406057657</v>
      </c>
      <c r="Q24" s="22">
        <v>995.26777196366652</v>
      </c>
      <c r="R24" s="70">
        <f>ORÇAMENTO_EXECUTIVO!$B$20/CÁLCULO_MÉDIAS!R$4*Q24</f>
        <v>1108.5594911751614</v>
      </c>
      <c r="S24" s="22">
        <v>152.50969542853997</v>
      </c>
      <c r="T24" s="70">
        <f>ORÇAMENTO_EXECUTIVO!$B$20/CÁLCULO_MÉDIAS!T$4*S24</f>
        <v>169.86993362597605</v>
      </c>
      <c r="U24" s="22">
        <v>206.87294090519055</v>
      </c>
      <c r="V24" s="70">
        <f>ORÇAMENTO_EXECUTIVO!$B$20/CÁLCULO_MÉDIAS!V$4*U24</f>
        <v>231.40348645012529</v>
      </c>
      <c r="W24" s="162">
        <v>523.77946259477096</v>
      </c>
      <c r="X24" s="70">
        <f>ORÇAMENTO_EXECUTIVO!$B$20/CÁLCULO_MÉDIAS!X$4*W24</f>
        <v>563.2838261010811</v>
      </c>
      <c r="Y24" s="23">
        <v>102.51543510636341</v>
      </c>
      <c r="Z24" s="70">
        <f>ORÇAMENTO_EXECUTIVO!$B$20/CÁLCULO_MÉDIAS!Z$4*Y24</f>
        <v>115.88446509721088</v>
      </c>
      <c r="AA24" s="22">
        <v>128.39415203768996</v>
      </c>
      <c r="AB24" s="70">
        <f>ORÇAMENTO_EXECUTIVO!$B$20/CÁLCULO_MÉDIAS!AB$4*AA24</f>
        <v>133.78142651534409</v>
      </c>
      <c r="AC24">
        <v>100</v>
      </c>
      <c r="AD24" s="55">
        <f t="shared" si="1"/>
        <v>110</v>
      </c>
      <c r="AE24" s="55">
        <f t="shared" si="2"/>
        <v>242</v>
      </c>
      <c r="AF24">
        <v>220</v>
      </c>
    </row>
    <row r="25" spans="2:32" ht="19.149999999999999" customHeight="1" thickBot="1" x14ac:dyDescent="0.3">
      <c r="B25" s="47" t="s">
        <v>15</v>
      </c>
      <c r="C25" s="77">
        <f>SUM(C9:C24)</f>
        <v>1953.4579930316086</v>
      </c>
      <c r="D25" s="78">
        <f t="shared" ref="D25:L25" si="3">SUM(D9:D24)</f>
        <v>2208.2082993401582</v>
      </c>
      <c r="E25" s="77">
        <f t="shared" si="3"/>
        <v>2512.6155497515124</v>
      </c>
      <c r="F25" s="78">
        <f t="shared" si="3"/>
        <v>2779.4504399405037</v>
      </c>
      <c r="G25" s="77">
        <f t="shared" si="3"/>
        <v>2591.6267635296854</v>
      </c>
      <c r="H25" s="78">
        <f t="shared" si="3"/>
        <v>3298.7414779139535</v>
      </c>
      <c r="I25" s="77">
        <f t="shared" ref="I25:J25" si="4">SUM(I9:I24)</f>
        <v>2718.8327313957925</v>
      </c>
      <c r="J25" s="78">
        <f t="shared" si="4"/>
        <v>3298.6160529654621</v>
      </c>
      <c r="K25" s="77">
        <f t="shared" si="3"/>
        <v>2601.7932108035375</v>
      </c>
      <c r="L25" s="78">
        <f t="shared" si="3"/>
        <v>3134.7520012864175</v>
      </c>
      <c r="M25" s="77">
        <f t="shared" ref="M25:T25" si="5">SUM(M9:M24)</f>
        <v>3196.6974767710008</v>
      </c>
      <c r="N25" s="78">
        <f t="shared" si="5"/>
        <v>3536.1805386608194</v>
      </c>
      <c r="O25" s="121">
        <f t="shared" ref="O25:P25" si="6">SUM(O9:O24)</f>
        <v>3930.8399999999997</v>
      </c>
      <c r="P25" s="122">
        <f t="shared" si="6"/>
        <v>4736.044550185874</v>
      </c>
      <c r="Q25" s="77">
        <f t="shared" si="5"/>
        <v>4600.0071603057968</v>
      </c>
      <c r="R25" s="78">
        <f t="shared" ref="R25" si="7">SUM(R9:R24)</f>
        <v>5123.6277720211883</v>
      </c>
      <c r="S25" s="77">
        <f t="shared" si="5"/>
        <v>2940.0126500658903</v>
      </c>
      <c r="T25" s="78">
        <f t="shared" si="5"/>
        <v>3274.6754383247139</v>
      </c>
      <c r="U25" s="77">
        <f t="shared" ref="U25:X25" si="8">SUM(U9:U24)</f>
        <v>3628.9680962102962</v>
      </c>
      <c r="V25" s="78">
        <f t="shared" si="8"/>
        <v>4059.2832779623641</v>
      </c>
      <c r="W25" s="163">
        <f t="shared" si="8"/>
        <v>6550.7449169015754</v>
      </c>
      <c r="X25" s="78">
        <f t="shared" si="8"/>
        <v>7044.8135601286285</v>
      </c>
      <c r="Y25" s="163">
        <f>SUM(Y9:Y24)</f>
        <v>2872.8501958116531</v>
      </c>
      <c r="Z25" s="78">
        <f t="shared" ref="Z25" si="9">SUM(Z9:Z24)</f>
        <v>3247.4983684226277</v>
      </c>
      <c r="AA25" s="77">
        <f t="shared" ref="AA25:AB25" si="10">SUM(AA9:AA24)</f>
        <v>3244.4529118785599</v>
      </c>
      <c r="AB25" s="78">
        <f t="shared" si="10"/>
        <v>3380.5865136720686</v>
      </c>
      <c r="AD25" s="56">
        <f>SUM(AD10:AD24)</f>
        <v>2816</v>
      </c>
      <c r="AE25" s="56">
        <f>SUM(AE10:AE24)</f>
        <v>3940</v>
      </c>
    </row>
    <row r="27" spans="2:32" x14ac:dyDescent="0.25">
      <c r="B27" s="24"/>
      <c r="C27" s="27"/>
      <c r="E27" s="24"/>
      <c r="F27" s="27"/>
      <c r="K27" s="24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spans="2:32" x14ac:dyDescent="0.25">
      <c r="C28" s="27"/>
      <c r="F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</sheetData>
  <mergeCells count="14">
    <mergeCell ref="C7:D7"/>
    <mergeCell ref="E7:F7"/>
    <mergeCell ref="G7:H7"/>
    <mergeCell ref="K7:L7"/>
    <mergeCell ref="AD7:AE7"/>
    <mergeCell ref="I7:J7"/>
    <mergeCell ref="M7:N7"/>
    <mergeCell ref="U7:V7"/>
    <mergeCell ref="S7:T7"/>
    <mergeCell ref="Q7:R7"/>
    <mergeCell ref="O7:P7"/>
    <mergeCell ref="AA7:AB7"/>
    <mergeCell ref="W7:X7"/>
    <mergeCell ref="Y7:Z7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0121-BE73-4394-AAFF-A362A706A949}">
  <dimension ref="A1:X1004"/>
  <sheetViews>
    <sheetView showGridLines="0" zoomScale="85" zoomScaleNormal="85" workbookViewId="0">
      <selection activeCell="K15" sqref="K15"/>
    </sheetView>
  </sheetViews>
  <sheetFormatPr defaultColWidth="14.42578125" defaultRowHeight="15" customHeight="1" x14ac:dyDescent="0.25"/>
  <cols>
    <col min="1" max="1" width="62.28515625" customWidth="1"/>
    <col min="2" max="2" width="22.28515625" customWidth="1"/>
    <col min="3" max="3" width="18.7109375" customWidth="1"/>
    <col min="4" max="4" width="22.28515625" customWidth="1"/>
    <col min="5" max="5" width="18.7109375" customWidth="1"/>
    <col min="6" max="6" width="22.28515625" customWidth="1"/>
    <col min="7" max="7" width="18.7109375" customWidth="1"/>
    <col min="8" max="8" width="11.7109375" customWidth="1"/>
    <col min="9" max="11" width="9.140625" customWidth="1"/>
    <col min="12" max="12" width="10.85546875" customWidth="1"/>
    <col min="13" max="24" width="9.140625" customWidth="1"/>
  </cols>
  <sheetData>
    <row r="1" spans="1:24" s="153" customFormat="1" ht="22.15" customHeight="1" x14ac:dyDescent="0.25">
      <c r="A1" s="202" t="s">
        <v>0</v>
      </c>
      <c r="B1" s="204" t="s">
        <v>141</v>
      </c>
      <c r="C1" s="205"/>
      <c r="D1" s="204" t="s">
        <v>90</v>
      </c>
      <c r="E1" s="205"/>
      <c r="F1" s="204" t="s">
        <v>71</v>
      </c>
      <c r="G1" s="205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s="153" customFormat="1" ht="19.5" customHeight="1" x14ac:dyDescent="0.25">
      <c r="A2" s="203"/>
      <c r="B2" s="65" t="s">
        <v>2</v>
      </c>
      <c r="C2" s="62" t="s">
        <v>3</v>
      </c>
      <c r="D2" s="65" t="s">
        <v>2</v>
      </c>
      <c r="E2" s="62" t="s">
        <v>3</v>
      </c>
      <c r="F2" s="65" t="s">
        <v>2</v>
      </c>
      <c r="G2" s="62" t="s">
        <v>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9.5" customHeight="1" x14ac:dyDescent="0.6">
      <c r="A3" s="35" t="str">
        <f>ORÇAMENTO_EXECUTIVO!A2</f>
        <v>GERENCIAMENTO TÉCNICO E ADMINISTRATIVO</v>
      </c>
      <c r="B3" s="96">
        <f>'[1]Obra '!$C$33</f>
        <v>3667981.1343704127</v>
      </c>
      <c r="C3" s="96">
        <f>B3/ORÇAMENTO_EXECUTIVO!$G$2</f>
        <v>209.53235054293677</v>
      </c>
      <c r="D3" s="96">
        <v>3252723.6571481354</v>
      </c>
      <c r="E3" s="96">
        <f>D3/$D$22</f>
        <v>195.34235302425833</v>
      </c>
      <c r="F3" s="96">
        <f>B3-D3</f>
        <v>415257.47722227732</v>
      </c>
      <c r="G3" s="20">
        <f>C3-E3</f>
        <v>14.189997518678439</v>
      </c>
      <c r="H3" s="1" t="s">
        <v>146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9.5" customHeight="1" x14ac:dyDescent="0.6">
      <c r="A4" s="34" t="str">
        <f>ORÇAMENTO_EXECUTIVO!A3</f>
        <v>MOVIMENTAÇÃO DE TERRA</v>
      </c>
      <c r="B4" s="97">
        <f>'[1]Obra '!$C$34</f>
        <v>1400464.8625340608</v>
      </c>
      <c r="C4" s="97">
        <f>B4/ORÇAMENTO_EXECUTIVO!$G$2</f>
        <v>80.001146066396089</v>
      </c>
      <c r="D4" s="97">
        <v>1460125.0789389764</v>
      </c>
      <c r="E4" s="97">
        <f t="shared" ref="E4:E20" si="0">D4/$D$22</f>
        <v>87.687826785674247</v>
      </c>
      <c r="F4" s="97">
        <f t="shared" ref="F4:F19" si="1">B4-D4</f>
        <v>-59660.216404915554</v>
      </c>
      <c r="G4" s="19">
        <f t="shared" ref="G4:G19" si="2">C4-E4</f>
        <v>-7.6866807192781579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9.5" customHeight="1" x14ac:dyDescent="0.25">
      <c r="A5" s="35" t="s">
        <v>81</v>
      </c>
      <c r="B5" s="96">
        <f>'[1]Obra '!$C$35+'[1]Obra '!$C$36</f>
        <v>4009092.2367679793</v>
      </c>
      <c r="C5" s="96">
        <f>B5/ORÇAMENTO_EXECUTIVO!$G$2</f>
        <v>229.01822259716221</v>
      </c>
      <c r="D5" s="96">
        <v>4156281.3419120852</v>
      </c>
      <c r="E5" s="96">
        <f t="shared" si="0"/>
        <v>249.60551917028508</v>
      </c>
      <c r="F5" s="96">
        <f t="shared" si="1"/>
        <v>-147189.10514410585</v>
      </c>
      <c r="G5" s="20">
        <f t="shared" si="2"/>
        <v>-20.58729657312287</v>
      </c>
      <c r="H5" s="4"/>
      <c r="I5" s="5"/>
      <c r="J5" s="3"/>
      <c r="K5" s="4"/>
      <c r="L5" s="4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9.5" customHeight="1" x14ac:dyDescent="0.25">
      <c r="A6" s="34" t="str">
        <f>ORÇAMENTO_EXECUTIVO!A6</f>
        <v>SUPRAESTRUTURA</v>
      </c>
      <c r="B6" s="97">
        <f>'[1]Obra '!$C$37</f>
        <v>6463760.8192929588</v>
      </c>
      <c r="C6" s="97">
        <f>B6/ORÇAMENTO_EXECUTIVO!$G$2</f>
        <v>369.24044813721804</v>
      </c>
      <c r="D6" s="97">
        <v>5378159.9672821937</v>
      </c>
      <c r="E6" s="97">
        <f t="shared" si="0"/>
        <v>322.98545271161544</v>
      </c>
      <c r="F6" s="97">
        <f t="shared" si="1"/>
        <v>1085600.8520107651</v>
      </c>
      <c r="G6" s="19">
        <f t="shared" si="2"/>
        <v>46.254995425602601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9.5" customHeight="1" x14ac:dyDescent="0.25">
      <c r="A7" s="35" t="str">
        <f>ORÇAMENTO_EXECUTIVO!A7</f>
        <v>ALVENARIA</v>
      </c>
      <c r="B7" s="96">
        <f>'[1]Obra '!$C$38</f>
        <v>1539779.4021499997</v>
      </c>
      <c r="C7" s="96">
        <f>B7/ORÇAMENTO_EXECUTIVO!$G$2</f>
        <v>87.959448435239977</v>
      </c>
      <c r="D7" s="96">
        <v>3849164.1991109997</v>
      </c>
      <c r="E7" s="96">
        <f t="shared" si="0"/>
        <v>231.16159596856716</v>
      </c>
      <c r="F7" s="96">
        <f t="shared" si="1"/>
        <v>-2309384.7969610002</v>
      </c>
      <c r="G7" s="20">
        <f t="shared" si="2"/>
        <v>-143.20214753332718</v>
      </c>
      <c r="H7" s="3" t="s">
        <v>158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9.5" customHeight="1" x14ac:dyDescent="0.25">
      <c r="A8" s="34" t="str">
        <f>ORÇAMENTO_EXECUTIVO!A8</f>
        <v>INSTALAÇÕES ELÉTRICAS, HIDRÁULICAS, GLP E PREVENTIVAS</v>
      </c>
      <c r="B8" s="97">
        <f>'[1]Obra '!$C$39+'[1]Obra '!$C$48</f>
        <v>4111849.2620000006</v>
      </c>
      <c r="C8" s="97">
        <f>B8/ORÇAMENTO_EXECUTIVO!$G$2</f>
        <v>234.88818763867025</v>
      </c>
      <c r="D8" s="97">
        <v>4705105.5550000006</v>
      </c>
      <c r="E8" s="97">
        <f t="shared" si="0"/>
        <v>282.56516298929819</v>
      </c>
      <c r="F8" s="97">
        <f t="shared" si="1"/>
        <v>-593256.29300000006</v>
      </c>
      <c r="G8" s="19">
        <f t="shared" si="2"/>
        <v>-47.676975350627941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9.5" customHeight="1" x14ac:dyDescent="0.25">
      <c r="A9" s="35" t="str">
        <f>ORÇAMENTO_EXECUTIVO!A9</f>
        <v>EQUIPAMENTOS E SISTEMAS ESPECIAIS</v>
      </c>
      <c r="B9" s="96">
        <f>'[1]Obra '!$C$40+'[1]Obra '!$C$49</f>
        <v>3389279.8719215216</v>
      </c>
      <c r="C9" s="96">
        <f>B9/ORÇAMENTO_EXECUTIVO!$G$2</f>
        <v>193.61162236006854</v>
      </c>
      <c r="D9" s="96">
        <v>3157566.8345745094</v>
      </c>
      <c r="E9" s="96">
        <f t="shared" si="0"/>
        <v>189.62770905596582</v>
      </c>
      <c r="F9" s="96">
        <f t="shared" si="1"/>
        <v>231713.0373470122</v>
      </c>
      <c r="G9" s="20">
        <f t="shared" si="2"/>
        <v>3.9839133041027139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9.5" customHeight="1" x14ac:dyDescent="0.25">
      <c r="A10" s="34" t="str">
        <f>ORÇAMENTO_EXECUTIVO!A10</f>
        <v>IMPERMEABILIZAÇÃO</v>
      </c>
      <c r="B10" s="97">
        <f>'[1]Obra '!$C$43</f>
        <v>511572.58159000007</v>
      </c>
      <c r="C10" s="97">
        <f>B10/ORÇAMENTO_EXECUTIVO!$G$2</f>
        <v>29.223434245462588</v>
      </c>
      <c r="D10" s="97">
        <v>662766.79313999997</v>
      </c>
      <c r="E10" s="97">
        <f t="shared" si="0"/>
        <v>39.802466647849421</v>
      </c>
      <c r="F10" s="97">
        <f t="shared" si="1"/>
        <v>-151194.21154999989</v>
      </c>
      <c r="G10" s="19">
        <f t="shared" si="2"/>
        <v>-10.579032402386833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9.5" customHeight="1" x14ac:dyDescent="0.25">
      <c r="A11" s="35" t="s">
        <v>149</v>
      </c>
      <c r="B11" s="96">
        <f>'[1]Obra '!$C$41</f>
        <v>1426224.3488217001</v>
      </c>
      <c r="C11" s="96">
        <f>B11/ORÇAMENTO_EXECUTIVO!$G$2</f>
        <v>81.47264919383899</v>
      </c>
      <c r="D11" s="96">
        <v>759339.36475325003</v>
      </c>
      <c r="E11" s="96">
        <f t="shared" si="0"/>
        <v>45.602133439425515</v>
      </c>
      <c r="F11" s="96">
        <f t="shared" si="1"/>
        <v>666884.98406845005</v>
      </c>
      <c r="G11" s="20">
        <f t="shared" si="2"/>
        <v>35.870515754413475</v>
      </c>
      <c r="H11" s="3" t="s">
        <v>158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9.5" customHeight="1" x14ac:dyDescent="0.25">
      <c r="A12" s="34" t="str">
        <f>ORÇAMENTO_EXECUTIVO!A12</f>
        <v>REVESTIMENTOS E ACABAMENTOS INTERNOS EM TETO</v>
      </c>
      <c r="B12" s="97">
        <f>'[1]Obra '!$C$42</f>
        <v>349137.95659999998</v>
      </c>
      <c r="C12" s="97">
        <f>B12/ORÇAMENTO_EXECUTIVO!$G$2</f>
        <v>19.944403755149789</v>
      </c>
      <c r="D12" s="97">
        <v>703030.67089999991</v>
      </c>
      <c r="E12" s="97">
        <f t="shared" si="0"/>
        <v>42.220514245048456</v>
      </c>
      <c r="F12" s="97">
        <f t="shared" si="1"/>
        <v>-353892.71429999993</v>
      </c>
      <c r="G12" s="19">
        <f t="shared" si="2"/>
        <v>-22.276110489898667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9.5" customHeight="1" x14ac:dyDescent="0.25">
      <c r="A13" s="35" t="s">
        <v>150</v>
      </c>
      <c r="B13" s="96">
        <f>'[1]Obra '!$C$44</f>
        <v>2539181.4009000002</v>
      </c>
      <c r="C13" s="96">
        <f>B13/ORÇAMENTO_EXECUTIVO!$G$2</f>
        <v>145.04999559568503</v>
      </c>
      <c r="D13" s="96">
        <v>2733518.320053</v>
      </c>
      <c r="E13" s="96">
        <f t="shared" si="0"/>
        <v>164.1614711107174</v>
      </c>
      <c r="F13" s="96">
        <f t="shared" si="1"/>
        <v>-194336.91915299976</v>
      </c>
      <c r="G13" s="20">
        <f t="shared" si="2"/>
        <v>-19.111475515032367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9.5" customHeight="1" x14ac:dyDescent="0.25">
      <c r="A14" s="34" t="str">
        <f>ORÇAMENTO_EXECUTIVO!A14</f>
        <v>PINTURA INTERNA</v>
      </c>
      <c r="B14" s="97">
        <f>'[1]Obra '!$C$45</f>
        <v>786426.23940044013</v>
      </c>
      <c r="C14" s="97">
        <f>B14/ORÇAMENTO_EXECUTIVO!$G$2</f>
        <v>44.924369137602</v>
      </c>
      <c r="D14" s="97">
        <v>772340.08947915991</v>
      </c>
      <c r="E14" s="97">
        <f t="shared" si="0"/>
        <v>46.382892097911281</v>
      </c>
      <c r="F14" s="97">
        <f t="shared" si="1"/>
        <v>14086.149921280215</v>
      </c>
      <c r="G14" s="19">
        <f t="shared" si="2"/>
        <v>-1.4585229603092813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9.5" customHeight="1" x14ac:dyDescent="0.25">
      <c r="A15" s="35" t="str">
        <f>ORÇAMENTO_EXECUTIVO!A15</f>
        <v>ESQUADRIAS, VIDROS E FERRAGENS</v>
      </c>
      <c r="B15" s="96">
        <f>'[1]Obra '!$C$47</f>
        <v>5007297.9494829997</v>
      </c>
      <c r="C15" s="96">
        <f>B15/ORÇAMENTO_EXECUTIVO!$G$2</f>
        <v>286.04043226740527</v>
      </c>
      <c r="D15" s="96">
        <v>6010218.3718660008</v>
      </c>
      <c r="E15" s="96">
        <f t="shared" si="0"/>
        <v>360.94372676567735</v>
      </c>
      <c r="F15" s="96">
        <f t="shared" si="1"/>
        <v>-1002920.4223830011</v>
      </c>
      <c r="G15" s="20">
        <f t="shared" si="2"/>
        <v>-74.903294498272089</v>
      </c>
      <c r="H15" s="3" t="s">
        <v>159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9.5" customHeight="1" x14ac:dyDescent="0.25">
      <c r="A16" s="34" t="s">
        <v>39</v>
      </c>
      <c r="B16" s="97"/>
      <c r="C16" s="97">
        <f>B16/ORÇAMENTO_EXECUTIVO!$G$2</f>
        <v>0</v>
      </c>
      <c r="D16" s="97"/>
      <c r="E16" s="97">
        <f t="shared" si="0"/>
        <v>0</v>
      </c>
      <c r="F16" s="97">
        <f t="shared" si="1"/>
        <v>0</v>
      </c>
      <c r="G16" s="19">
        <f t="shared" si="2"/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9.5" customHeight="1" x14ac:dyDescent="0.25">
      <c r="A17" s="35" t="str">
        <f>ORÇAMENTO_EXECUTIVO!A16</f>
        <v>REVESTIMENTOS E ACABAMENTOS DE FACHADA</v>
      </c>
      <c r="B17" s="96">
        <f>'[1]Obra '!$C$46</f>
        <v>561222.52478157997</v>
      </c>
      <c r="C17" s="96">
        <f>B17/ORÇAMENTO_EXECUTIVO!$G$2</f>
        <v>32.05967274292167</v>
      </c>
      <c r="D17" s="96">
        <v>721237.84778978</v>
      </c>
      <c r="E17" s="96">
        <f t="shared" si="0"/>
        <v>43.313946442327968</v>
      </c>
      <c r="F17" s="96">
        <f t="shared" si="1"/>
        <v>-160015.32300820004</v>
      </c>
      <c r="G17" s="20">
        <f t="shared" si="2"/>
        <v>-11.254273699406298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9.5" customHeight="1" x14ac:dyDescent="0.25">
      <c r="A18" s="34" t="str">
        <f>ORÇAMENTO_EXECUTIVO!A17</f>
        <v>SERVIÇOS COMPLEMENTARES</v>
      </c>
      <c r="B18" s="97">
        <f>'[1]Obra '!$C$50</f>
        <v>1941982.0046400004</v>
      </c>
      <c r="C18" s="97">
        <f>B18/ORÇAMENTO_EXECUTIVO!$G$2</f>
        <v>110.93515458174433</v>
      </c>
      <c r="D18" s="97">
        <v>2518422.6155171935</v>
      </c>
      <c r="E18" s="97">
        <f t="shared" si="0"/>
        <v>151.24389634007912</v>
      </c>
      <c r="F18" s="97">
        <f t="shared" si="1"/>
        <v>-576440.61087719304</v>
      </c>
      <c r="G18" s="19">
        <f t="shared" si="2"/>
        <v>-40.30874175833479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9.5" customHeight="1" x14ac:dyDescent="0.25">
      <c r="A19" s="35" t="str">
        <f>ORÇAMENTO_EXECUTIVO!A18</f>
        <v>IMPREVISTOS E CONTINGENCIAS</v>
      </c>
      <c r="B19" s="96">
        <f>'[1]Obra '!$C$52</f>
        <v>680745.42921766511</v>
      </c>
      <c r="C19" s="96">
        <f>B19/ORÇAMENTO_EXECUTIVO!$G$2</f>
        <v>38.887383735091312</v>
      </c>
      <c r="D19" s="96">
        <v>872126.3410063429</v>
      </c>
      <c r="E19" s="96">
        <f t="shared" si="0"/>
        <v>52.375556470107185</v>
      </c>
      <c r="F19" s="96">
        <f t="shared" si="1"/>
        <v>-191380.9117886778</v>
      </c>
      <c r="G19" s="20">
        <f t="shared" si="2"/>
        <v>-13.488172735015873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9.5" customHeight="1" x14ac:dyDescent="0.25">
      <c r="A20" s="34" t="s">
        <v>151</v>
      </c>
      <c r="B20" s="97">
        <f>'[1]Obra '!$C$51</f>
        <v>22603060.034191996</v>
      </c>
      <c r="C20" s="97">
        <f>B20/ORÇAMENTO_EXECUTIVO!$G$2</f>
        <v>1291.1931999999997</v>
      </c>
      <c r="D20" s="97">
        <v>20141550.091400001</v>
      </c>
      <c r="E20" s="97">
        <f t="shared" si="0"/>
        <v>1209.6009999999999</v>
      </c>
      <c r="F20" s="97">
        <f t="shared" ref="F20" si="3">B20-D20</f>
        <v>2461509.9427919947</v>
      </c>
      <c r="G20" s="19">
        <f t="shared" ref="G20" si="4">C20-E20</f>
        <v>81.592199999999821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s="153" customFormat="1" ht="19.5" customHeight="1" thickBot="1" x14ac:dyDescent="0.3">
      <c r="A21" s="149" t="s">
        <v>15</v>
      </c>
      <c r="B21" s="150">
        <f>SUM(B3:B20)</f>
        <v>60989058.058663309</v>
      </c>
      <c r="C21" s="150">
        <f>SUM(C3:C19)</f>
        <v>2192.788921032593</v>
      </c>
      <c r="D21" s="150">
        <f>SUM(D3:D20)</f>
        <v>61853677.139871627</v>
      </c>
      <c r="E21" s="150">
        <f>SUM(E3:E20)</f>
        <v>3714.6232232648081</v>
      </c>
      <c r="F21" s="150">
        <f t="shared" ref="F21:G21" si="5">SUM(F4:F18)</f>
        <v>-3550005.589433908</v>
      </c>
      <c r="G21" s="151">
        <f t="shared" si="5"/>
        <v>-312.9351270158777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1.75" customHeight="1" x14ac:dyDescent="0.6">
      <c r="A22" s="1"/>
      <c r="B22" s="6"/>
      <c r="C22" s="1"/>
      <c r="D22" s="6">
        <v>16651.400000000001</v>
      </c>
      <c r="E22" s="1"/>
      <c r="F22" s="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1.75" customHeight="1" x14ac:dyDescent="0.6">
      <c r="A23" s="1"/>
      <c r="B23" s="6"/>
      <c r="C23" s="1"/>
      <c r="D23" s="6"/>
      <c r="E23" s="1"/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1.75" customHeight="1" x14ac:dyDescent="0.6">
      <c r="A24" s="1"/>
      <c r="B24" s="6"/>
      <c r="C24" s="1"/>
      <c r="D24" s="6"/>
      <c r="E24" s="1"/>
      <c r="F24" s="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1.75" hidden="1" customHeight="1" x14ac:dyDescent="0.6">
      <c r="A25" s="1"/>
      <c r="B25" s="6">
        <v>2007.57</v>
      </c>
      <c r="C25" s="1"/>
      <c r="D25" s="6"/>
      <c r="E25" s="1"/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1.75" hidden="1" customHeight="1" x14ac:dyDescent="0.6">
      <c r="A26" s="1"/>
      <c r="B26" s="6">
        <v>2461.35</v>
      </c>
      <c r="C26" s="1"/>
      <c r="D26" s="6"/>
      <c r="E26" s="1"/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1.75" hidden="1" customHeight="1" x14ac:dyDescent="0.6">
      <c r="A27" s="1"/>
      <c r="B27" s="6">
        <f>B26/B25</f>
        <v>1.2260344595705255</v>
      </c>
      <c r="C27" s="1"/>
      <c r="D27" s="6"/>
      <c r="E27" s="1"/>
      <c r="F27" s="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1.75" hidden="1" customHeight="1" x14ac:dyDescent="0.6">
      <c r="A28" s="1"/>
      <c r="B28" s="6"/>
      <c r="C28" s="1"/>
      <c r="D28" s="6"/>
      <c r="E28" s="1"/>
      <c r="F28" s="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1.75" hidden="1" customHeight="1" x14ac:dyDescent="0.6">
      <c r="A29" s="1"/>
      <c r="B29" s="6"/>
      <c r="C29" s="1"/>
      <c r="D29" s="6"/>
      <c r="E29" s="1"/>
      <c r="F29" s="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1.75" hidden="1" customHeight="1" x14ac:dyDescent="0.6">
      <c r="A30" s="1"/>
      <c r="B30" s="6"/>
      <c r="C30" s="1">
        <v>1.1023000000000001</v>
      </c>
      <c r="D30" s="6"/>
      <c r="E30" s="1"/>
      <c r="F30" s="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1.75" hidden="1" customHeight="1" x14ac:dyDescent="0.6">
      <c r="A31" s="1"/>
      <c r="B31" s="6"/>
      <c r="C31" s="1"/>
      <c r="D31" s="6"/>
      <c r="E31" s="1"/>
      <c r="F31" s="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1.75" hidden="1" customHeight="1" x14ac:dyDescent="0.6">
      <c r="A32" s="7" t="s">
        <v>16</v>
      </c>
      <c r="B32" s="6">
        <v>900</v>
      </c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1.75" hidden="1" customHeight="1" x14ac:dyDescent="0.6">
      <c r="A33" s="8" t="s">
        <v>17</v>
      </c>
      <c r="B33" s="6">
        <v>25</v>
      </c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1.75" hidden="1" customHeight="1" x14ac:dyDescent="0.6">
      <c r="A34" s="7" t="s">
        <v>18</v>
      </c>
      <c r="B34" s="6">
        <v>15</v>
      </c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1.75" hidden="1" customHeight="1" x14ac:dyDescent="0.6">
      <c r="A35" s="8" t="s">
        <v>19</v>
      </c>
      <c r="B35" s="6">
        <v>150</v>
      </c>
      <c r="C35" s="6"/>
      <c r="D35" s="6"/>
      <c r="E35" s="6"/>
      <c r="F35" s="6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1.75" hidden="1" customHeight="1" x14ac:dyDescent="0.6">
      <c r="A36" s="7" t="s">
        <v>20</v>
      </c>
      <c r="B36" s="6">
        <v>440</v>
      </c>
      <c r="C36" s="6"/>
      <c r="D36" s="6"/>
      <c r="E36" s="6"/>
      <c r="F36" s="6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1.75" hidden="1" customHeight="1" x14ac:dyDescent="0.6">
      <c r="A37" s="8" t="s">
        <v>21</v>
      </c>
      <c r="B37" s="6"/>
      <c r="C37" s="6"/>
      <c r="D37" s="6"/>
      <c r="E37" s="6"/>
      <c r="F37" s="6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1.75" hidden="1" customHeight="1" x14ac:dyDescent="0.6">
      <c r="A38" s="7" t="s">
        <v>22</v>
      </c>
      <c r="B38" s="6">
        <v>55</v>
      </c>
      <c r="C38" s="6"/>
      <c r="D38" s="6"/>
      <c r="E38" s="6"/>
      <c r="F38" s="6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1.75" hidden="1" customHeight="1" x14ac:dyDescent="0.6">
      <c r="A39" s="8" t="s">
        <v>23</v>
      </c>
      <c r="B39" s="6">
        <v>170</v>
      </c>
      <c r="C39" s="6"/>
      <c r="D39" s="6"/>
      <c r="E39" s="6"/>
      <c r="F39" s="6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1.75" hidden="1" customHeight="1" x14ac:dyDescent="0.6">
      <c r="A40" s="7" t="s">
        <v>24</v>
      </c>
      <c r="B40" s="6">
        <v>165</v>
      </c>
      <c r="C40" s="6"/>
      <c r="D40" s="6"/>
      <c r="E40" s="6"/>
      <c r="F40" s="6"/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1.75" hidden="1" customHeight="1" x14ac:dyDescent="0.6">
      <c r="A41" s="8" t="s">
        <v>25</v>
      </c>
      <c r="B41" s="6">
        <v>40</v>
      </c>
      <c r="C41" s="6"/>
      <c r="D41" s="6"/>
      <c r="E41" s="6"/>
      <c r="F41" s="6"/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1.75" hidden="1" customHeight="1" x14ac:dyDescent="0.6">
      <c r="A42" s="7" t="s">
        <v>26</v>
      </c>
      <c r="B42" s="6">
        <v>55</v>
      </c>
      <c r="C42" s="6"/>
      <c r="D42" s="6"/>
      <c r="E42" s="6"/>
      <c r="F42" s="6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1.75" hidden="1" customHeight="1" x14ac:dyDescent="0.6">
      <c r="A43" s="8" t="s">
        <v>27</v>
      </c>
      <c r="B43" s="6">
        <v>35</v>
      </c>
      <c r="C43" s="6"/>
      <c r="D43" s="6"/>
      <c r="E43" s="6"/>
      <c r="F43" s="6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1.75" hidden="1" customHeight="1" x14ac:dyDescent="0.6">
      <c r="A44" s="7" t="s">
        <v>28</v>
      </c>
      <c r="B44" s="6">
        <v>130</v>
      </c>
      <c r="C44" s="6"/>
      <c r="D44" s="6"/>
      <c r="E44" s="6"/>
      <c r="F44" s="6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1.75" hidden="1" customHeight="1" x14ac:dyDescent="0.6">
      <c r="A45" s="8" t="s">
        <v>29</v>
      </c>
      <c r="B45" s="6">
        <v>35</v>
      </c>
      <c r="C45" s="6"/>
      <c r="D45" s="6"/>
      <c r="E45" s="6"/>
      <c r="F45" s="6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1.75" hidden="1" customHeight="1" x14ac:dyDescent="0.6">
      <c r="A46" s="7" t="s">
        <v>30</v>
      </c>
      <c r="B46" s="6">
        <v>35</v>
      </c>
      <c r="C46" s="6"/>
      <c r="D46" s="6"/>
      <c r="E46" s="6"/>
      <c r="F46" s="6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1.75" hidden="1" customHeight="1" x14ac:dyDescent="0.6">
      <c r="A47" s="8" t="s">
        <v>31</v>
      </c>
      <c r="B47" s="6">
        <v>430</v>
      </c>
      <c r="C47" s="6"/>
      <c r="D47" s="6"/>
      <c r="E47" s="6"/>
      <c r="F47" s="6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21.75" hidden="1" customHeight="1" x14ac:dyDescent="0.6">
      <c r="A48" s="7" t="s">
        <v>27</v>
      </c>
      <c r="B48" s="6">
        <v>35</v>
      </c>
      <c r="C48" s="6"/>
      <c r="D48" s="6"/>
      <c r="E48" s="6"/>
      <c r="F48" s="6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21.75" hidden="1" customHeight="1" x14ac:dyDescent="0.6">
      <c r="A49" s="8" t="s">
        <v>32</v>
      </c>
      <c r="B49" s="6">
        <v>150</v>
      </c>
      <c r="C49" s="6"/>
      <c r="D49" s="6"/>
      <c r="E49" s="6"/>
      <c r="F49" s="6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21.75" hidden="1" customHeight="1" x14ac:dyDescent="0.6">
      <c r="A50" s="1"/>
      <c r="B50" s="6"/>
      <c r="C50" s="1"/>
      <c r="D50" s="6"/>
      <c r="E50" s="1"/>
      <c r="F50" s="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21.75" hidden="1" customHeight="1" x14ac:dyDescent="0.6">
      <c r="A51" s="1"/>
      <c r="B51" s="6"/>
      <c r="C51" s="1"/>
      <c r="D51" s="6"/>
      <c r="E51" s="1"/>
      <c r="F51" s="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21.75" hidden="1" customHeight="1" x14ac:dyDescent="0.6">
      <c r="A52" s="1"/>
      <c r="B52" s="6"/>
      <c r="C52" s="1"/>
      <c r="D52" s="6"/>
      <c r="E52" s="1"/>
      <c r="F52" s="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1.75" hidden="1" customHeight="1" x14ac:dyDescent="0.6">
      <c r="A53" s="1"/>
      <c r="B53" s="6"/>
      <c r="C53" s="1"/>
      <c r="D53" s="6"/>
      <c r="E53" s="1"/>
      <c r="F53" s="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21.75" hidden="1" customHeight="1" x14ac:dyDescent="0.6">
      <c r="A54" s="1"/>
      <c r="B54" s="6"/>
      <c r="C54" s="1"/>
      <c r="D54" s="6"/>
      <c r="E54" s="1"/>
      <c r="F54" s="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21.75" hidden="1" customHeight="1" x14ac:dyDescent="0.6">
      <c r="A55" s="1"/>
      <c r="B55" s="6"/>
      <c r="C55" s="1"/>
      <c r="D55" s="6"/>
      <c r="E55" s="1"/>
      <c r="F55" s="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21.75" hidden="1" customHeight="1" x14ac:dyDescent="0.6">
      <c r="A56" s="1"/>
      <c r="B56" s="6"/>
      <c r="C56" s="1"/>
      <c r="D56" s="6"/>
      <c r="E56" s="1"/>
      <c r="F56" s="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21.75" hidden="1" customHeight="1" x14ac:dyDescent="0.6">
      <c r="A57" s="1"/>
      <c r="B57" s="6"/>
      <c r="C57" s="1"/>
      <c r="D57" s="6"/>
      <c r="E57" s="1"/>
      <c r="F57" s="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21.75" hidden="1" customHeight="1" x14ac:dyDescent="0.6">
      <c r="A58" s="1"/>
      <c r="B58" s="6"/>
      <c r="C58" s="1"/>
      <c r="D58" s="6"/>
      <c r="E58" s="1"/>
      <c r="F58" s="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21.75" hidden="1" customHeight="1" x14ac:dyDescent="0.6">
      <c r="A59" s="1"/>
      <c r="B59" s="6"/>
      <c r="C59" s="1"/>
      <c r="D59" s="6"/>
      <c r="E59" s="1"/>
      <c r="F59" s="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21.75" hidden="1" customHeight="1" x14ac:dyDescent="0.6">
      <c r="A60" s="1"/>
      <c r="B60" s="6"/>
      <c r="C60" s="1"/>
      <c r="D60" s="6"/>
      <c r="E60" s="1"/>
      <c r="F60" s="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21.75" hidden="1" customHeight="1" x14ac:dyDescent="0.6">
      <c r="A61" s="1"/>
      <c r="B61" s="6"/>
      <c r="C61" s="1"/>
      <c r="D61" s="6"/>
      <c r="E61" s="1"/>
      <c r="F61" s="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21.75" hidden="1" customHeight="1" x14ac:dyDescent="0.6">
      <c r="A62" s="1"/>
      <c r="B62" s="6"/>
      <c r="C62" s="1"/>
      <c r="D62" s="6"/>
      <c r="E62" s="1"/>
      <c r="F62" s="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21.75" hidden="1" customHeight="1" x14ac:dyDescent="0.6">
      <c r="A63" s="1"/>
      <c r="B63" s="6"/>
      <c r="C63" s="1"/>
      <c r="D63" s="6"/>
      <c r="E63" s="1"/>
      <c r="F63" s="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21.75" hidden="1" customHeight="1" x14ac:dyDescent="0.6">
      <c r="A64" s="1"/>
      <c r="B64" s="6"/>
      <c r="C64" s="1"/>
      <c r="D64" s="6"/>
      <c r="E64" s="1"/>
      <c r="F64" s="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21.75" hidden="1" customHeight="1" x14ac:dyDescent="0.6">
      <c r="A65" s="1"/>
      <c r="B65" s="6"/>
      <c r="C65" s="1"/>
      <c r="D65" s="6"/>
      <c r="E65" s="1"/>
      <c r="F65" s="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21.75" hidden="1" customHeight="1" x14ac:dyDescent="0.6">
      <c r="A66" s="1"/>
      <c r="B66" s="6"/>
      <c r="C66" s="1"/>
      <c r="D66" s="6"/>
      <c r="E66" s="1"/>
      <c r="F66" s="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21.75" hidden="1" customHeight="1" x14ac:dyDescent="0.6">
      <c r="A67" s="1"/>
      <c r="B67" s="6"/>
      <c r="C67" s="1"/>
      <c r="D67" s="6"/>
      <c r="E67" s="1"/>
      <c r="F67" s="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21.75" hidden="1" customHeight="1" x14ac:dyDescent="0.6">
      <c r="A68" s="1"/>
      <c r="B68" s="6"/>
      <c r="C68" s="1"/>
      <c r="D68" s="6"/>
      <c r="E68" s="1"/>
      <c r="F68" s="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21.75" hidden="1" customHeight="1" x14ac:dyDescent="0.6">
      <c r="A69" s="1"/>
      <c r="B69" s="6"/>
      <c r="C69" s="1"/>
      <c r="D69" s="6"/>
      <c r="E69" s="1"/>
      <c r="F69" s="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21.75" hidden="1" customHeight="1" x14ac:dyDescent="0.6">
      <c r="A70" s="1"/>
      <c r="B70" s="6"/>
      <c r="C70" s="1"/>
      <c r="D70" s="6"/>
      <c r="E70" s="1"/>
      <c r="F70" s="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21.75" hidden="1" customHeight="1" x14ac:dyDescent="0.6">
      <c r="A71" s="1"/>
      <c r="B71" s="6"/>
      <c r="C71" s="1"/>
      <c r="D71" s="6"/>
      <c r="E71" s="1"/>
      <c r="F71" s="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21.75" hidden="1" customHeight="1" x14ac:dyDescent="0.6">
      <c r="A72" s="1"/>
      <c r="B72" s="6"/>
      <c r="C72" s="1"/>
      <c r="D72" s="6"/>
      <c r="E72" s="1"/>
      <c r="F72" s="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21.75" hidden="1" customHeight="1" x14ac:dyDescent="0.6">
      <c r="A73" s="1"/>
      <c r="B73" s="6"/>
      <c r="C73" s="1"/>
      <c r="D73" s="6"/>
      <c r="E73" s="1"/>
      <c r="F73" s="6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21.75" hidden="1" customHeight="1" x14ac:dyDescent="0.6">
      <c r="A74" s="1"/>
      <c r="B74" s="6"/>
      <c r="C74" s="1"/>
      <c r="D74" s="6"/>
      <c r="E74" s="1"/>
      <c r="F74" s="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21.75" hidden="1" customHeight="1" x14ac:dyDescent="0.6">
      <c r="A75" s="1"/>
      <c r="B75" s="6"/>
      <c r="C75" s="1"/>
      <c r="D75" s="6"/>
      <c r="E75" s="1"/>
      <c r="F75" s="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21.75" hidden="1" customHeight="1" x14ac:dyDescent="0.6">
      <c r="A76" s="1"/>
      <c r="B76" s="6"/>
      <c r="C76" s="1"/>
      <c r="D76" s="6"/>
      <c r="E76" s="1"/>
      <c r="F76" s="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21.75" hidden="1" customHeight="1" x14ac:dyDescent="0.6">
      <c r="A77" s="1"/>
      <c r="B77" s="6"/>
      <c r="C77" s="1"/>
      <c r="D77" s="6"/>
      <c r="E77" s="1"/>
      <c r="F77" s="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21.75" customHeight="1" x14ac:dyDescent="0.6">
      <c r="A78" s="1"/>
      <c r="B78" s="6"/>
      <c r="C78" s="1"/>
      <c r="D78" s="189"/>
      <c r="E78" s="1"/>
      <c r="F78" s="18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21.75" customHeight="1" x14ac:dyDescent="0.6">
      <c r="A79" s="1"/>
      <c r="B79" s="6"/>
      <c r="C79" s="1"/>
      <c r="D79" s="6"/>
      <c r="E79" s="1"/>
      <c r="F79" s="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21.75" customHeight="1" x14ac:dyDescent="0.6">
      <c r="A80" s="1"/>
      <c r="B80" s="6"/>
      <c r="C80" s="1"/>
      <c r="D80" s="6"/>
      <c r="E80" s="1"/>
      <c r="F80" s="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21.75" customHeight="1" x14ac:dyDescent="0.6">
      <c r="A81" s="1"/>
      <c r="B81" s="6"/>
      <c r="C81" s="1"/>
      <c r="D81" s="6"/>
      <c r="E81" s="1"/>
      <c r="F81" s="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21.75" customHeight="1" x14ac:dyDescent="0.6">
      <c r="A82" s="1"/>
      <c r="B82" s="6"/>
      <c r="C82" s="1"/>
      <c r="D82" s="6"/>
      <c r="E82" s="1"/>
      <c r="F82" s="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21.75" customHeight="1" x14ac:dyDescent="0.6">
      <c r="A83" s="1"/>
      <c r="B83" s="6"/>
      <c r="C83" s="1"/>
      <c r="D83" s="6"/>
      <c r="E83" s="1"/>
      <c r="F83" s="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21.75" customHeight="1" x14ac:dyDescent="0.6">
      <c r="A84" s="1"/>
      <c r="B84" s="6"/>
      <c r="C84" s="1"/>
      <c r="D84" s="6"/>
      <c r="E84" s="1"/>
      <c r="F84" s="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21.75" customHeight="1" x14ac:dyDescent="0.6">
      <c r="A85" s="1"/>
      <c r="B85" s="6"/>
      <c r="C85" s="1"/>
      <c r="D85" s="6"/>
      <c r="E85" s="1"/>
      <c r="F85" s="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21.75" customHeight="1" x14ac:dyDescent="0.6">
      <c r="A86" s="1"/>
      <c r="B86" s="6"/>
      <c r="C86" s="1"/>
      <c r="D86" s="6"/>
      <c r="E86" s="1"/>
      <c r="F86" s="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21.75" customHeight="1" x14ac:dyDescent="0.6">
      <c r="A87" s="1"/>
      <c r="B87" s="6"/>
      <c r="C87" s="1"/>
      <c r="D87" s="6"/>
      <c r="E87" s="1"/>
      <c r="F87" s="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21.75" customHeight="1" x14ac:dyDescent="0.6">
      <c r="A88" s="1"/>
      <c r="B88" s="6"/>
      <c r="C88" s="1"/>
      <c r="D88" s="6"/>
      <c r="E88" s="1"/>
      <c r="F88" s="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21.75" customHeight="1" x14ac:dyDescent="0.6">
      <c r="A89" s="1"/>
      <c r="B89" s="6"/>
      <c r="C89" s="1"/>
      <c r="D89" s="6"/>
      <c r="E89" s="1"/>
      <c r="F89" s="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21.75" customHeight="1" x14ac:dyDescent="0.6">
      <c r="A90" s="1"/>
      <c r="B90" s="6"/>
      <c r="C90" s="1"/>
      <c r="D90" s="6"/>
      <c r="E90" s="1"/>
      <c r="F90" s="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21.75" customHeight="1" x14ac:dyDescent="0.6">
      <c r="A91" s="1"/>
      <c r="B91" s="6"/>
      <c r="C91" s="1"/>
      <c r="D91" s="6"/>
      <c r="E91" s="1"/>
      <c r="F91" s="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21.75" customHeight="1" x14ac:dyDescent="0.6">
      <c r="A92" s="1"/>
      <c r="B92" s="6"/>
      <c r="C92" s="1"/>
      <c r="D92" s="6"/>
      <c r="E92" s="1"/>
      <c r="F92" s="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21.75" customHeight="1" x14ac:dyDescent="0.6">
      <c r="A93" s="1"/>
      <c r="B93" s="6"/>
      <c r="C93" s="1"/>
      <c r="D93" s="6"/>
      <c r="E93" s="1"/>
      <c r="F93" s="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21.75" customHeight="1" x14ac:dyDescent="0.6">
      <c r="A94" s="1"/>
      <c r="B94" s="6"/>
      <c r="C94" s="1"/>
      <c r="D94" s="6"/>
      <c r="E94" s="1"/>
      <c r="F94" s="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21.75" customHeight="1" x14ac:dyDescent="0.6">
      <c r="A95" s="1"/>
      <c r="B95" s="6"/>
      <c r="C95" s="1"/>
      <c r="D95" s="6"/>
      <c r="E95" s="1"/>
      <c r="F95" s="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21.75" customHeight="1" x14ac:dyDescent="0.6">
      <c r="A96" s="1"/>
      <c r="B96" s="6"/>
      <c r="C96" s="1"/>
      <c r="D96" s="6"/>
      <c r="E96" s="1"/>
      <c r="F96" s="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21.75" customHeight="1" x14ac:dyDescent="0.6">
      <c r="A97" s="1"/>
      <c r="B97" s="6"/>
      <c r="C97" s="1"/>
      <c r="D97" s="6"/>
      <c r="E97" s="1"/>
      <c r="F97" s="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21.75" customHeight="1" x14ac:dyDescent="0.6">
      <c r="A98" s="1"/>
      <c r="B98" s="6"/>
      <c r="C98" s="1"/>
      <c r="D98" s="6"/>
      <c r="E98" s="1"/>
      <c r="F98" s="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21.75" customHeight="1" x14ac:dyDescent="0.6">
      <c r="A99" s="1"/>
      <c r="B99" s="6"/>
      <c r="C99" s="1"/>
      <c r="D99" s="6"/>
      <c r="E99" s="1"/>
      <c r="F99" s="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21.75" customHeight="1" x14ac:dyDescent="0.6">
      <c r="A100" s="1"/>
      <c r="B100" s="6"/>
      <c r="C100" s="1"/>
      <c r="D100" s="6"/>
      <c r="E100" s="1"/>
      <c r="F100" s="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21.75" customHeight="1" x14ac:dyDescent="0.6">
      <c r="A101" s="1"/>
      <c r="B101" s="6"/>
      <c r="C101" s="1"/>
      <c r="D101" s="6"/>
      <c r="E101" s="1"/>
      <c r="F101" s="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21.75" customHeight="1" x14ac:dyDescent="0.6">
      <c r="A102" s="1"/>
      <c r="B102" s="6"/>
      <c r="C102" s="1"/>
      <c r="D102" s="6"/>
      <c r="E102" s="1"/>
      <c r="F102" s="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21.75" customHeight="1" x14ac:dyDescent="0.6">
      <c r="A103" s="1"/>
      <c r="B103" s="6"/>
      <c r="C103" s="1"/>
      <c r="D103" s="6"/>
      <c r="E103" s="1"/>
      <c r="F103" s="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21.75" customHeight="1" x14ac:dyDescent="0.6">
      <c r="A104" s="1"/>
      <c r="B104" s="6"/>
      <c r="C104" s="1"/>
      <c r="D104" s="6"/>
      <c r="E104" s="1"/>
      <c r="F104" s="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21.75" customHeight="1" x14ac:dyDescent="0.6">
      <c r="A105" s="1"/>
      <c r="B105" s="6"/>
      <c r="C105" s="1"/>
      <c r="D105" s="6"/>
      <c r="E105" s="1"/>
      <c r="F105" s="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21.75" customHeight="1" x14ac:dyDescent="0.6">
      <c r="A106" s="1"/>
      <c r="B106" s="6"/>
      <c r="C106" s="1"/>
      <c r="D106" s="6"/>
      <c r="E106" s="1"/>
      <c r="F106" s="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21.75" customHeight="1" x14ac:dyDescent="0.6">
      <c r="A107" s="1"/>
      <c r="B107" s="6"/>
      <c r="C107" s="1"/>
      <c r="D107" s="6"/>
      <c r="E107" s="1"/>
      <c r="F107" s="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21.75" customHeight="1" x14ac:dyDescent="0.6">
      <c r="A108" s="1"/>
      <c r="B108" s="6"/>
      <c r="C108" s="1"/>
      <c r="D108" s="6"/>
      <c r="E108" s="1"/>
      <c r="F108" s="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21.75" customHeight="1" x14ac:dyDescent="0.6">
      <c r="A109" s="1"/>
      <c r="B109" s="6"/>
      <c r="C109" s="1"/>
      <c r="D109" s="6"/>
      <c r="E109" s="1"/>
      <c r="F109" s="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21.75" customHeight="1" x14ac:dyDescent="0.6">
      <c r="A110" s="1"/>
      <c r="B110" s="6"/>
      <c r="C110" s="1"/>
      <c r="D110" s="6"/>
      <c r="E110" s="1"/>
      <c r="F110" s="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21.75" customHeight="1" x14ac:dyDescent="0.6">
      <c r="A111" s="1"/>
      <c r="B111" s="6"/>
      <c r="C111" s="1"/>
      <c r="D111" s="6"/>
      <c r="E111" s="1"/>
      <c r="F111" s="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21.75" customHeight="1" x14ac:dyDescent="0.6">
      <c r="A112" s="1"/>
      <c r="B112" s="6"/>
      <c r="C112" s="1"/>
      <c r="D112" s="6"/>
      <c r="E112" s="1"/>
      <c r="F112" s="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21.75" customHeight="1" x14ac:dyDescent="0.6">
      <c r="A113" s="1"/>
      <c r="B113" s="6"/>
      <c r="C113" s="1"/>
      <c r="D113" s="6"/>
      <c r="E113" s="1"/>
      <c r="F113" s="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21.75" customHeight="1" x14ac:dyDescent="0.6">
      <c r="A114" s="1"/>
      <c r="B114" s="6"/>
      <c r="C114" s="1"/>
      <c r="D114" s="6"/>
      <c r="E114" s="1"/>
      <c r="F114" s="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21.75" customHeight="1" x14ac:dyDescent="0.6">
      <c r="A115" s="1"/>
      <c r="B115" s="6"/>
      <c r="C115" s="1"/>
      <c r="D115" s="6"/>
      <c r="E115" s="1"/>
      <c r="F115" s="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21.75" customHeight="1" x14ac:dyDescent="0.6">
      <c r="A116" s="1"/>
      <c r="B116" s="6"/>
      <c r="C116" s="1"/>
      <c r="D116" s="6"/>
      <c r="E116" s="1"/>
      <c r="F116" s="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21.75" customHeight="1" x14ac:dyDescent="0.6">
      <c r="A117" s="1"/>
      <c r="B117" s="6"/>
      <c r="C117" s="1"/>
      <c r="D117" s="6"/>
      <c r="E117" s="1"/>
      <c r="F117" s="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21.75" customHeight="1" x14ac:dyDescent="0.6">
      <c r="A118" s="1"/>
      <c r="B118" s="6"/>
      <c r="C118" s="1"/>
      <c r="D118" s="6"/>
      <c r="E118" s="1"/>
      <c r="F118" s="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21.75" customHeight="1" x14ac:dyDescent="0.6">
      <c r="A119" s="1"/>
      <c r="B119" s="6"/>
      <c r="C119" s="1"/>
      <c r="D119" s="6"/>
      <c r="E119" s="1"/>
      <c r="F119" s="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21.75" customHeight="1" x14ac:dyDescent="0.6">
      <c r="A120" s="1"/>
      <c r="B120" s="6"/>
      <c r="C120" s="1"/>
      <c r="D120" s="6"/>
      <c r="E120" s="1"/>
      <c r="F120" s="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21.75" customHeight="1" x14ac:dyDescent="0.6">
      <c r="A121" s="1"/>
      <c r="B121" s="6"/>
      <c r="C121" s="1"/>
      <c r="D121" s="6"/>
      <c r="E121" s="1"/>
      <c r="F121" s="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21.75" customHeight="1" x14ac:dyDescent="0.6">
      <c r="A122" s="1"/>
      <c r="B122" s="6"/>
      <c r="C122" s="1"/>
      <c r="D122" s="6"/>
      <c r="E122" s="1"/>
      <c r="F122" s="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21.75" customHeight="1" x14ac:dyDescent="0.6">
      <c r="A123" s="1"/>
      <c r="B123" s="6"/>
      <c r="C123" s="1"/>
      <c r="D123" s="6"/>
      <c r="E123" s="1"/>
      <c r="F123" s="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21.75" customHeight="1" x14ac:dyDescent="0.6">
      <c r="A124" s="1"/>
      <c r="B124" s="6"/>
      <c r="C124" s="1"/>
      <c r="D124" s="6"/>
      <c r="E124" s="1"/>
      <c r="F124" s="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21.75" customHeight="1" x14ac:dyDescent="0.6">
      <c r="A125" s="1"/>
      <c r="B125" s="6"/>
      <c r="C125" s="1"/>
      <c r="D125" s="6"/>
      <c r="E125" s="1"/>
      <c r="F125" s="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21.75" customHeight="1" x14ac:dyDescent="0.6">
      <c r="A126" s="1"/>
      <c r="B126" s="6"/>
      <c r="C126" s="1"/>
      <c r="D126" s="6"/>
      <c r="E126" s="1"/>
      <c r="F126" s="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21.75" customHeight="1" x14ac:dyDescent="0.6">
      <c r="A127" s="1"/>
      <c r="B127" s="6"/>
      <c r="C127" s="1"/>
      <c r="D127" s="6"/>
      <c r="E127" s="1"/>
      <c r="F127" s="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21.75" customHeight="1" x14ac:dyDescent="0.6">
      <c r="A128" s="1"/>
      <c r="B128" s="6"/>
      <c r="C128" s="1"/>
      <c r="D128" s="6"/>
      <c r="E128" s="1"/>
      <c r="F128" s="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21.75" customHeight="1" x14ac:dyDescent="0.6">
      <c r="A129" s="1"/>
      <c r="B129" s="6"/>
      <c r="C129" s="1"/>
      <c r="D129" s="6"/>
      <c r="E129" s="1"/>
      <c r="F129" s="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21.75" customHeight="1" x14ac:dyDescent="0.6">
      <c r="A130" s="1"/>
      <c r="B130" s="6"/>
      <c r="C130" s="1"/>
      <c r="D130" s="6"/>
      <c r="E130" s="1"/>
      <c r="F130" s="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21.75" customHeight="1" x14ac:dyDescent="0.6">
      <c r="A131" s="1"/>
      <c r="B131" s="6"/>
      <c r="C131" s="1"/>
      <c r="D131" s="6"/>
      <c r="E131" s="1"/>
      <c r="F131" s="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21.75" customHeight="1" x14ac:dyDescent="0.6">
      <c r="A132" s="1"/>
      <c r="B132" s="6"/>
      <c r="C132" s="1"/>
      <c r="D132" s="6"/>
      <c r="E132" s="1"/>
      <c r="F132" s="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21.75" customHeight="1" x14ac:dyDescent="0.6">
      <c r="A133" s="1"/>
      <c r="B133" s="6"/>
      <c r="C133" s="1"/>
      <c r="D133" s="6"/>
      <c r="E133" s="1"/>
      <c r="F133" s="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21.75" customHeight="1" x14ac:dyDescent="0.6">
      <c r="A134" s="1"/>
      <c r="B134" s="6"/>
      <c r="C134" s="1"/>
      <c r="D134" s="6"/>
      <c r="E134" s="1"/>
      <c r="F134" s="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21.75" customHeight="1" x14ac:dyDescent="0.6">
      <c r="A135" s="1"/>
      <c r="B135" s="6"/>
      <c r="C135" s="1"/>
      <c r="D135" s="6"/>
      <c r="E135" s="1"/>
      <c r="F135" s="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21.75" customHeight="1" x14ac:dyDescent="0.6">
      <c r="A136" s="1"/>
      <c r="B136" s="6"/>
      <c r="C136" s="1"/>
      <c r="D136" s="6"/>
      <c r="E136" s="1"/>
      <c r="F136" s="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21.75" customHeight="1" x14ac:dyDescent="0.6">
      <c r="A137" s="1"/>
      <c r="B137" s="6"/>
      <c r="C137" s="1"/>
      <c r="D137" s="6"/>
      <c r="E137" s="1"/>
      <c r="F137" s="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21.75" customHeight="1" x14ac:dyDescent="0.6">
      <c r="A138" s="1"/>
      <c r="B138" s="6"/>
      <c r="C138" s="1"/>
      <c r="D138" s="6"/>
      <c r="E138" s="1"/>
      <c r="F138" s="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21.75" customHeight="1" x14ac:dyDescent="0.6">
      <c r="A139" s="1"/>
      <c r="B139" s="6"/>
      <c r="C139" s="1"/>
      <c r="D139" s="6"/>
      <c r="E139" s="1"/>
      <c r="F139" s="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21.75" customHeight="1" x14ac:dyDescent="0.6">
      <c r="A140" s="1"/>
      <c r="B140" s="6"/>
      <c r="C140" s="1"/>
      <c r="D140" s="6"/>
      <c r="E140" s="1"/>
      <c r="F140" s="6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21.75" customHeight="1" x14ac:dyDescent="0.6">
      <c r="A141" s="1"/>
      <c r="B141" s="6"/>
      <c r="C141" s="1"/>
      <c r="D141" s="6"/>
      <c r="E141" s="1"/>
      <c r="F141" s="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21.75" customHeight="1" x14ac:dyDescent="0.6">
      <c r="A142" s="1"/>
      <c r="B142" s="6"/>
      <c r="C142" s="1"/>
      <c r="D142" s="6"/>
      <c r="E142" s="1"/>
      <c r="F142" s="6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21.75" customHeight="1" x14ac:dyDescent="0.6">
      <c r="A143" s="1"/>
      <c r="B143" s="6"/>
      <c r="C143" s="1"/>
      <c r="D143" s="6"/>
      <c r="E143" s="1"/>
      <c r="F143" s="6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21.75" customHeight="1" x14ac:dyDescent="0.6">
      <c r="A144" s="1"/>
      <c r="B144" s="6"/>
      <c r="C144" s="1"/>
      <c r="D144" s="6"/>
      <c r="E144" s="1"/>
      <c r="F144" s="6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21.75" customHeight="1" x14ac:dyDescent="0.6">
      <c r="A145" s="1"/>
      <c r="B145" s="6"/>
      <c r="C145" s="1"/>
      <c r="D145" s="6"/>
      <c r="E145" s="1"/>
      <c r="F145" s="6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21.75" customHeight="1" x14ac:dyDescent="0.6">
      <c r="A146" s="1"/>
      <c r="B146" s="6"/>
      <c r="C146" s="1"/>
      <c r="D146" s="6"/>
      <c r="E146" s="1"/>
      <c r="F146" s="6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21.75" customHeight="1" x14ac:dyDescent="0.6">
      <c r="A147" s="1"/>
      <c r="B147" s="6"/>
      <c r="C147" s="1"/>
      <c r="D147" s="6"/>
      <c r="E147" s="1"/>
      <c r="F147" s="6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21.75" customHeight="1" x14ac:dyDescent="0.6">
      <c r="A148" s="1"/>
      <c r="B148" s="6"/>
      <c r="C148" s="1"/>
      <c r="D148" s="6"/>
      <c r="E148" s="1"/>
      <c r="F148" s="6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21.75" customHeight="1" x14ac:dyDescent="0.6">
      <c r="A149" s="1"/>
      <c r="B149" s="6"/>
      <c r="C149" s="1"/>
      <c r="D149" s="6"/>
      <c r="E149" s="1"/>
      <c r="F149" s="6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21.75" customHeight="1" x14ac:dyDescent="0.6">
      <c r="A150" s="1"/>
      <c r="B150" s="6"/>
      <c r="C150" s="1"/>
      <c r="D150" s="6"/>
      <c r="E150" s="1"/>
      <c r="F150" s="6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21.75" customHeight="1" x14ac:dyDescent="0.6">
      <c r="A151" s="1"/>
      <c r="B151" s="6"/>
      <c r="C151" s="1"/>
      <c r="D151" s="6"/>
      <c r="E151" s="1"/>
      <c r="F151" s="6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21.75" customHeight="1" x14ac:dyDescent="0.6">
      <c r="A152" s="1"/>
      <c r="B152" s="6"/>
      <c r="C152" s="1"/>
      <c r="D152" s="6"/>
      <c r="E152" s="1"/>
      <c r="F152" s="6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21.75" customHeight="1" x14ac:dyDescent="0.6">
      <c r="A153" s="1"/>
      <c r="B153" s="6"/>
      <c r="C153" s="1"/>
      <c r="D153" s="6"/>
      <c r="E153" s="1"/>
      <c r="F153" s="6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21.75" customHeight="1" x14ac:dyDescent="0.6">
      <c r="A154" s="1"/>
      <c r="B154" s="6"/>
      <c r="C154" s="1"/>
      <c r="D154" s="6"/>
      <c r="E154" s="1"/>
      <c r="F154" s="6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21.75" customHeight="1" x14ac:dyDescent="0.6">
      <c r="A155" s="1"/>
      <c r="B155" s="6"/>
      <c r="C155" s="1"/>
      <c r="D155" s="6"/>
      <c r="E155" s="1"/>
      <c r="F155" s="6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21.75" customHeight="1" x14ac:dyDescent="0.6">
      <c r="A156" s="1"/>
      <c r="B156" s="6"/>
      <c r="C156" s="1"/>
      <c r="D156" s="6"/>
      <c r="E156" s="1"/>
      <c r="F156" s="6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21.75" customHeight="1" x14ac:dyDescent="0.6">
      <c r="A157" s="1"/>
      <c r="B157" s="6"/>
      <c r="C157" s="1"/>
      <c r="D157" s="6"/>
      <c r="E157" s="1"/>
      <c r="F157" s="6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21.75" customHeight="1" x14ac:dyDescent="0.6">
      <c r="A158" s="1"/>
      <c r="B158" s="6"/>
      <c r="C158" s="1"/>
      <c r="D158" s="6"/>
      <c r="E158" s="1"/>
      <c r="F158" s="6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21.75" customHeight="1" x14ac:dyDescent="0.6">
      <c r="A159" s="1"/>
      <c r="B159" s="6"/>
      <c r="C159" s="1"/>
      <c r="D159" s="6"/>
      <c r="E159" s="1"/>
      <c r="F159" s="6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21.75" customHeight="1" x14ac:dyDescent="0.6">
      <c r="A160" s="1"/>
      <c r="B160" s="6"/>
      <c r="C160" s="1"/>
      <c r="D160" s="6"/>
      <c r="E160" s="1"/>
      <c r="F160" s="6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21.75" customHeight="1" x14ac:dyDescent="0.6">
      <c r="A161" s="1"/>
      <c r="B161" s="6"/>
      <c r="C161" s="1"/>
      <c r="D161" s="6"/>
      <c r="E161" s="1"/>
      <c r="F161" s="6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21.75" customHeight="1" x14ac:dyDescent="0.6">
      <c r="A162" s="1"/>
      <c r="B162" s="6"/>
      <c r="C162" s="1"/>
      <c r="D162" s="6"/>
      <c r="E162" s="1"/>
      <c r="F162" s="6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21.75" customHeight="1" x14ac:dyDescent="0.6">
      <c r="A163" s="1"/>
      <c r="B163" s="6"/>
      <c r="C163" s="1"/>
      <c r="D163" s="6"/>
      <c r="E163" s="1"/>
      <c r="F163" s="6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21.75" customHeight="1" x14ac:dyDescent="0.6">
      <c r="A164" s="1"/>
      <c r="B164" s="6"/>
      <c r="C164" s="1"/>
      <c r="D164" s="6"/>
      <c r="E164" s="1"/>
      <c r="F164" s="6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21.75" customHeight="1" x14ac:dyDescent="0.6">
      <c r="A165" s="1"/>
      <c r="B165" s="6"/>
      <c r="C165" s="1"/>
      <c r="D165" s="6"/>
      <c r="E165" s="1"/>
      <c r="F165" s="6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21.75" customHeight="1" x14ac:dyDescent="0.6">
      <c r="A166" s="1"/>
      <c r="B166" s="6"/>
      <c r="C166" s="1"/>
      <c r="D166" s="6"/>
      <c r="E166" s="1"/>
      <c r="F166" s="6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21.75" customHeight="1" x14ac:dyDescent="0.6">
      <c r="A167" s="1"/>
      <c r="B167" s="6"/>
      <c r="C167" s="1"/>
      <c r="D167" s="6"/>
      <c r="E167" s="1"/>
      <c r="F167" s="6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21.75" customHeight="1" x14ac:dyDescent="0.6">
      <c r="A168" s="1"/>
      <c r="B168" s="6"/>
      <c r="C168" s="1"/>
      <c r="D168" s="6"/>
      <c r="E168" s="1"/>
      <c r="F168" s="6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21.75" customHeight="1" x14ac:dyDescent="0.6">
      <c r="A169" s="1"/>
      <c r="B169" s="6"/>
      <c r="C169" s="1"/>
      <c r="D169" s="6"/>
      <c r="E169" s="1"/>
      <c r="F169" s="6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21.75" customHeight="1" x14ac:dyDescent="0.6">
      <c r="A170" s="1"/>
      <c r="B170" s="6"/>
      <c r="C170" s="1"/>
      <c r="D170" s="6"/>
      <c r="E170" s="1"/>
      <c r="F170" s="6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21.75" customHeight="1" x14ac:dyDescent="0.6">
      <c r="A171" s="1"/>
      <c r="B171" s="6"/>
      <c r="C171" s="1"/>
      <c r="D171" s="6"/>
      <c r="E171" s="1"/>
      <c r="F171" s="6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21.75" customHeight="1" x14ac:dyDescent="0.6">
      <c r="A172" s="1"/>
      <c r="B172" s="6"/>
      <c r="C172" s="1"/>
      <c r="D172" s="6"/>
      <c r="E172" s="1"/>
      <c r="F172" s="6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21.75" customHeight="1" x14ac:dyDescent="0.6">
      <c r="A173" s="1"/>
      <c r="B173" s="6"/>
      <c r="C173" s="1"/>
      <c r="D173" s="6"/>
      <c r="E173" s="1"/>
      <c r="F173" s="6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21.75" customHeight="1" x14ac:dyDescent="0.6">
      <c r="A174" s="1"/>
      <c r="B174" s="6"/>
      <c r="C174" s="1"/>
      <c r="D174" s="6"/>
      <c r="E174" s="1"/>
      <c r="F174" s="6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21.75" customHeight="1" x14ac:dyDescent="0.6">
      <c r="A175" s="1"/>
      <c r="B175" s="6"/>
      <c r="C175" s="1"/>
      <c r="D175" s="6"/>
      <c r="E175" s="1"/>
      <c r="F175" s="6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21.75" customHeight="1" x14ac:dyDescent="0.6">
      <c r="A176" s="1"/>
      <c r="B176" s="6"/>
      <c r="C176" s="1"/>
      <c r="D176" s="6"/>
      <c r="E176" s="1"/>
      <c r="F176" s="6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21.75" customHeight="1" x14ac:dyDescent="0.6">
      <c r="A177" s="1"/>
      <c r="B177" s="6"/>
      <c r="C177" s="1"/>
      <c r="D177" s="6"/>
      <c r="E177" s="1"/>
      <c r="F177" s="6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21.75" customHeight="1" x14ac:dyDescent="0.6">
      <c r="A178" s="1"/>
      <c r="B178" s="6"/>
      <c r="C178" s="1"/>
      <c r="D178" s="6"/>
      <c r="E178" s="1"/>
      <c r="F178" s="6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21.75" customHeight="1" x14ac:dyDescent="0.6">
      <c r="A179" s="1"/>
      <c r="B179" s="6"/>
      <c r="C179" s="1"/>
      <c r="D179" s="6"/>
      <c r="E179" s="1"/>
      <c r="F179" s="6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21.75" customHeight="1" x14ac:dyDescent="0.6">
      <c r="A180" s="1"/>
      <c r="B180" s="6"/>
      <c r="C180" s="1"/>
      <c r="D180" s="6"/>
      <c r="E180" s="1"/>
      <c r="F180" s="6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21.75" customHeight="1" x14ac:dyDescent="0.6">
      <c r="A181" s="1"/>
      <c r="B181" s="6"/>
      <c r="C181" s="1"/>
      <c r="D181" s="6"/>
      <c r="E181" s="1"/>
      <c r="F181" s="6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21.75" customHeight="1" x14ac:dyDescent="0.6">
      <c r="A182" s="1"/>
      <c r="B182" s="6"/>
      <c r="C182" s="1"/>
      <c r="D182" s="6"/>
      <c r="E182" s="1"/>
      <c r="F182" s="6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21.75" customHeight="1" x14ac:dyDescent="0.6">
      <c r="A183" s="1"/>
      <c r="B183" s="6"/>
      <c r="C183" s="1"/>
      <c r="D183" s="6"/>
      <c r="E183" s="1"/>
      <c r="F183" s="6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21.75" customHeight="1" x14ac:dyDescent="0.6">
      <c r="A184" s="1"/>
      <c r="B184" s="6"/>
      <c r="C184" s="1"/>
      <c r="D184" s="6"/>
      <c r="E184" s="1"/>
      <c r="F184" s="6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21.75" customHeight="1" x14ac:dyDescent="0.6">
      <c r="A185" s="1"/>
      <c r="B185" s="6"/>
      <c r="C185" s="1"/>
      <c r="D185" s="6"/>
      <c r="E185" s="1"/>
      <c r="F185" s="6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21.75" customHeight="1" x14ac:dyDescent="0.6">
      <c r="A186" s="1"/>
      <c r="B186" s="6"/>
      <c r="C186" s="1"/>
      <c r="D186" s="6"/>
      <c r="E186" s="1"/>
      <c r="F186" s="6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21.75" customHeight="1" x14ac:dyDescent="0.6">
      <c r="A187" s="1"/>
      <c r="B187" s="6"/>
      <c r="C187" s="1"/>
      <c r="D187" s="6"/>
      <c r="E187" s="1"/>
      <c r="F187" s="6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21.75" customHeight="1" x14ac:dyDescent="0.6">
      <c r="A188" s="1"/>
      <c r="B188" s="6"/>
      <c r="C188" s="1"/>
      <c r="D188" s="6"/>
      <c r="E188" s="1"/>
      <c r="F188" s="6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21.75" customHeight="1" x14ac:dyDescent="0.6">
      <c r="A189" s="1"/>
      <c r="B189" s="6"/>
      <c r="C189" s="1"/>
      <c r="D189" s="6"/>
      <c r="E189" s="1"/>
      <c r="F189" s="6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21.75" customHeight="1" x14ac:dyDescent="0.6">
      <c r="A190" s="1"/>
      <c r="B190" s="6"/>
      <c r="C190" s="1"/>
      <c r="D190" s="6"/>
      <c r="E190" s="1"/>
      <c r="F190" s="6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21.75" customHeight="1" x14ac:dyDescent="0.6">
      <c r="A191" s="1"/>
      <c r="B191" s="6"/>
      <c r="C191" s="1"/>
      <c r="D191" s="6"/>
      <c r="E191" s="1"/>
      <c r="F191" s="6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21.75" customHeight="1" x14ac:dyDescent="0.6">
      <c r="A192" s="1"/>
      <c r="B192" s="6"/>
      <c r="C192" s="1"/>
      <c r="D192" s="6"/>
      <c r="E192" s="1"/>
      <c r="F192" s="6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21.75" customHeight="1" x14ac:dyDescent="0.6">
      <c r="A193" s="1"/>
      <c r="B193" s="6"/>
      <c r="C193" s="1"/>
      <c r="D193" s="6"/>
      <c r="E193" s="1"/>
      <c r="F193" s="6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21.75" customHeight="1" x14ac:dyDescent="0.6">
      <c r="A194" s="1"/>
      <c r="B194" s="6"/>
      <c r="C194" s="1"/>
      <c r="D194" s="6"/>
      <c r="E194" s="1"/>
      <c r="F194" s="6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21.75" customHeight="1" x14ac:dyDescent="0.6">
      <c r="A195" s="1"/>
      <c r="B195" s="6"/>
      <c r="C195" s="1"/>
      <c r="D195" s="6"/>
      <c r="E195" s="1"/>
      <c r="F195" s="6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21.75" customHeight="1" x14ac:dyDescent="0.6">
      <c r="A196" s="1"/>
      <c r="B196" s="6"/>
      <c r="C196" s="1"/>
      <c r="D196" s="6"/>
      <c r="E196" s="1"/>
      <c r="F196" s="6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21.75" customHeight="1" x14ac:dyDescent="0.6">
      <c r="A197" s="1"/>
      <c r="B197" s="6"/>
      <c r="C197" s="1"/>
      <c r="D197" s="6"/>
      <c r="E197" s="1"/>
      <c r="F197" s="6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21.75" customHeight="1" x14ac:dyDescent="0.6">
      <c r="A198" s="1"/>
      <c r="B198" s="6"/>
      <c r="C198" s="1"/>
      <c r="D198" s="6"/>
      <c r="E198" s="1"/>
      <c r="F198" s="6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21.75" customHeight="1" x14ac:dyDescent="0.6">
      <c r="A199" s="1"/>
      <c r="B199" s="6"/>
      <c r="C199" s="1"/>
      <c r="D199" s="6"/>
      <c r="E199" s="1"/>
      <c r="F199" s="6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21.75" customHeight="1" x14ac:dyDescent="0.6">
      <c r="A200" s="1"/>
      <c r="B200" s="6"/>
      <c r="C200" s="1"/>
      <c r="D200" s="6"/>
      <c r="E200" s="1"/>
      <c r="F200" s="6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21.75" customHeight="1" x14ac:dyDescent="0.6">
      <c r="A201" s="1"/>
      <c r="B201" s="6"/>
      <c r="C201" s="1"/>
      <c r="D201" s="6"/>
      <c r="E201" s="1"/>
      <c r="F201" s="6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21.75" customHeight="1" x14ac:dyDescent="0.6">
      <c r="A202" s="1"/>
      <c r="B202" s="6"/>
      <c r="C202" s="1"/>
      <c r="D202" s="6"/>
      <c r="E202" s="1"/>
      <c r="F202" s="6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21.75" customHeight="1" x14ac:dyDescent="0.6">
      <c r="A203" s="1"/>
      <c r="B203" s="6"/>
      <c r="C203" s="1"/>
      <c r="D203" s="6"/>
      <c r="E203" s="1"/>
      <c r="F203" s="6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21.75" customHeight="1" x14ac:dyDescent="0.6">
      <c r="A204" s="1"/>
      <c r="B204" s="6"/>
      <c r="C204" s="1"/>
      <c r="D204" s="6"/>
      <c r="E204" s="1"/>
      <c r="F204" s="6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21.75" customHeight="1" x14ac:dyDescent="0.6">
      <c r="A205" s="1"/>
      <c r="B205" s="6"/>
      <c r="C205" s="1"/>
      <c r="D205" s="6"/>
      <c r="E205" s="1"/>
      <c r="F205" s="6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21.75" customHeight="1" x14ac:dyDescent="0.6">
      <c r="A206" s="1"/>
      <c r="B206" s="6"/>
      <c r="C206" s="1"/>
      <c r="D206" s="6"/>
      <c r="E206" s="1"/>
      <c r="F206" s="6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21.75" customHeight="1" x14ac:dyDescent="0.6">
      <c r="A207" s="1"/>
      <c r="B207" s="6"/>
      <c r="C207" s="1"/>
      <c r="D207" s="6"/>
      <c r="E207" s="1"/>
      <c r="F207" s="6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21.75" customHeight="1" x14ac:dyDescent="0.6">
      <c r="A208" s="1"/>
      <c r="B208" s="6"/>
      <c r="C208" s="1"/>
      <c r="D208" s="6"/>
      <c r="E208" s="1"/>
      <c r="F208" s="6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21.75" customHeight="1" x14ac:dyDescent="0.6">
      <c r="A209" s="1"/>
      <c r="B209" s="6"/>
      <c r="C209" s="1"/>
      <c r="D209" s="6"/>
      <c r="E209" s="1"/>
      <c r="F209" s="6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21.75" customHeight="1" x14ac:dyDescent="0.6">
      <c r="A210" s="1"/>
      <c r="B210" s="6"/>
      <c r="C210" s="1"/>
      <c r="D210" s="6"/>
      <c r="E210" s="1"/>
      <c r="F210" s="6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21.75" customHeight="1" x14ac:dyDescent="0.6">
      <c r="A211" s="1"/>
      <c r="B211" s="6"/>
      <c r="C211" s="1"/>
      <c r="D211" s="6"/>
      <c r="E211" s="1"/>
      <c r="F211" s="6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21.75" customHeight="1" x14ac:dyDescent="0.6">
      <c r="A212" s="1"/>
      <c r="B212" s="6"/>
      <c r="C212" s="1"/>
      <c r="D212" s="6"/>
      <c r="E212" s="1"/>
      <c r="F212" s="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21.75" customHeight="1" x14ac:dyDescent="0.6">
      <c r="A213" s="1"/>
      <c r="B213" s="6"/>
      <c r="C213" s="1"/>
      <c r="D213" s="6"/>
      <c r="E213" s="1"/>
      <c r="F213" s="6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21.75" customHeight="1" x14ac:dyDescent="0.6">
      <c r="A214" s="1"/>
      <c r="B214" s="6"/>
      <c r="C214" s="1"/>
      <c r="D214" s="6"/>
      <c r="E214" s="1"/>
      <c r="F214" s="6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21.75" customHeight="1" x14ac:dyDescent="0.6">
      <c r="A215" s="1"/>
      <c r="B215" s="6"/>
      <c r="C215" s="1"/>
      <c r="D215" s="6"/>
      <c r="E215" s="1"/>
      <c r="F215" s="6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21.75" customHeight="1" x14ac:dyDescent="0.6">
      <c r="A216" s="1"/>
      <c r="B216" s="6"/>
      <c r="C216" s="1"/>
      <c r="D216" s="6"/>
      <c r="E216" s="1"/>
      <c r="F216" s="6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21.75" customHeight="1" x14ac:dyDescent="0.6">
      <c r="A217" s="1"/>
      <c r="B217" s="6"/>
      <c r="C217" s="1"/>
      <c r="D217" s="6"/>
      <c r="E217" s="1"/>
      <c r="F217" s="6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21.75" customHeight="1" x14ac:dyDescent="0.6">
      <c r="A218" s="1"/>
      <c r="B218" s="6"/>
      <c r="C218" s="1"/>
      <c r="D218" s="6"/>
      <c r="E218" s="1"/>
      <c r="F218" s="6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21.75" customHeight="1" x14ac:dyDescent="0.6">
      <c r="A219" s="1"/>
      <c r="B219" s="6"/>
      <c r="C219" s="1"/>
      <c r="D219" s="6"/>
      <c r="E219" s="1"/>
      <c r="F219" s="6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21.75" customHeight="1" x14ac:dyDescent="0.6">
      <c r="A220" s="1"/>
      <c r="B220" s="6"/>
      <c r="C220" s="1"/>
      <c r="D220" s="6"/>
      <c r="E220" s="1"/>
      <c r="F220" s="6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21.75" customHeight="1" x14ac:dyDescent="0.6">
      <c r="A221" s="1"/>
      <c r="B221" s="6"/>
      <c r="C221" s="1"/>
      <c r="D221" s="6"/>
      <c r="E221" s="1"/>
      <c r="F221" s="6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21.75" customHeight="1" x14ac:dyDescent="0.6">
      <c r="A222" s="1"/>
      <c r="B222" s="6"/>
      <c r="C222" s="1"/>
      <c r="D222" s="6"/>
      <c r="E222" s="1"/>
      <c r="F222" s="6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21.75" customHeight="1" x14ac:dyDescent="0.6">
      <c r="A223" s="1"/>
      <c r="B223" s="6"/>
      <c r="C223" s="1"/>
      <c r="D223" s="6"/>
      <c r="E223" s="1"/>
      <c r="F223" s="6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21.75" customHeight="1" x14ac:dyDescent="0.6">
      <c r="A224" s="1"/>
      <c r="B224" s="6"/>
      <c r="C224" s="1"/>
      <c r="D224" s="6"/>
      <c r="E224" s="1"/>
      <c r="F224" s="6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21.75" customHeight="1" x14ac:dyDescent="0.6">
      <c r="A225" s="1"/>
      <c r="B225" s="6"/>
      <c r="C225" s="1"/>
      <c r="D225" s="6"/>
      <c r="E225" s="1"/>
      <c r="F225" s="6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21.75" customHeight="1" x14ac:dyDescent="0.6">
      <c r="A226" s="1"/>
      <c r="B226" s="6"/>
      <c r="C226" s="1"/>
      <c r="D226" s="6"/>
      <c r="E226" s="1"/>
      <c r="F226" s="6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21.75" customHeight="1" x14ac:dyDescent="0.6">
      <c r="A227" s="1"/>
      <c r="B227" s="6"/>
      <c r="C227" s="1"/>
      <c r="D227" s="6"/>
      <c r="E227" s="1"/>
      <c r="F227" s="6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21.75" customHeight="1" x14ac:dyDescent="0.6">
      <c r="A228" s="1"/>
      <c r="B228" s="6"/>
      <c r="C228" s="1"/>
      <c r="D228" s="6"/>
      <c r="E228" s="1"/>
      <c r="F228" s="6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21.75" customHeight="1" x14ac:dyDescent="0.6">
      <c r="A229" s="1"/>
      <c r="B229" s="6"/>
      <c r="C229" s="1"/>
      <c r="D229" s="6"/>
      <c r="E229" s="1"/>
      <c r="F229" s="6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21.75" customHeight="1" x14ac:dyDescent="0.6">
      <c r="A230" s="1"/>
      <c r="B230" s="6"/>
      <c r="C230" s="1"/>
      <c r="D230" s="6"/>
      <c r="E230" s="1"/>
      <c r="F230" s="6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21.75" customHeight="1" x14ac:dyDescent="0.6">
      <c r="A231" s="1"/>
      <c r="B231" s="6"/>
      <c r="C231" s="1"/>
      <c r="D231" s="6"/>
      <c r="E231" s="1"/>
      <c r="F231" s="6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21.75" customHeight="1" x14ac:dyDescent="0.6">
      <c r="A232" s="1"/>
      <c r="B232" s="6"/>
      <c r="C232" s="1"/>
      <c r="D232" s="6"/>
      <c r="E232" s="1"/>
      <c r="F232" s="6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21.75" customHeight="1" x14ac:dyDescent="0.6">
      <c r="A233" s="1"/>
      <c r="B233" s="6"/>
      <c r="C233" s="1"/>
      <c r="D233" s="6"/>
      <c r="E233" s="1"/>
      <c r="F233" s="6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21.75" customHeight="1" x14ac:dyDescent="0.6">
      <c r="A234" s="1"/>
      <c r="B234" s="6"/>
      <c r="C234" s="1"/>
      <c r="D234" s="6"/>
      <c r="E234" s="1"/>
      <c r="F234" s="6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21.75" customHeight="1" x14ac:dyDescent="0.6">
      <c r="A235" s="1"/>
      <c r="B235" s="6"/>
      <c r="C235" s="1"/>
      <c r="D235" s="6"/>
      <c r="E235" s="1"/>
      <c r="F235" s="6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21.75" customHeight="1" x14ac:dyDescent="0.6">
      <c r="A236" s="1"/>
      <c r="B236" s="6"/>
      <c r="C236" s="1"/>
      <c r="D236" s="6"/>
      <c r="E236" s="1"/>
      <c r="F236" s="6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21.75" customHeight="1" x14ac:dyDescent="0.6">
      <c r="A237" s="1"/>
      <c r="B237" s="6"/>
      <c r="C237" s="1"/>
      <c r="D237" s="6"/>
      <c r="E237" s="1"/>
      <c r="F237" s="6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21.75" customHeight="1" x14ac:dyDescent="0.6">
      <c r="A238" s="1"/>
      <c r="B238" s="6"/>
      <c r="C238" s="1"/>
      <c r="D238" s="6"/>
      <c r="E238" s="1"/>
      <c r="F238" s="6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21.75" customHeight="1" x14ac:dyDescent="0.6">
      <c r="A239" s="1"/>
      <c r="B239" s="6"/>
      <c r="C239" s="1"/>
      <c r="D239" s="6"/>
      <c r="E239" s="1"/>
      <c r="F239" s="6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21.75" customHeight="1" x14ac:dyDescent="0.6">
      <c r="A240" s="1"/>
      <c r="B240" s="6"/>
      <c r="C240" s="1"/>
      <c r="D240" s="6"/>
      <c r="E240" s="1"/>
      <c r="F240" s="6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21.75" customHeight="1" x14ac:dyDescent="0.6">
      <c r="A241" s="1"/>
      <c r="B241" s="6"/>
      <c r="C241" s="1"/>
      <c r="D241" s="6"/>
      <c r="E241" s="1"/>
      <c r="F241" s="6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21.75" customHeight="1" x14ac:dyDescent="0.6">
      <c r="A242" s="1"/>
      <c r="B242" s="6"/>
      <c r="C242" s="1"/>
      <c r="D242" s="6"/>
      <c r="E242" s="1"/>
      <c r="F242" s="6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21.75" customHeight="1" x14ac:dyDescent="0.6">
      <c r="A243" s="1"/>
      <c r="B243" s="6"/>
      <c r="C243" s="1"/>
      <c r="D243" s="6"/>
      <c r="E243" s="1"/>
      <c r="F243" s="6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21.75" customHeight="1" x14ac:dyDescent="0.6">
      <c r="A244" s="1"/>
      <c r="B244" s="6"/>
      <c r="C244" s="1"/>
      <c r="D244" s="6"/>
      <c r="E244" s="1"/>
      <c r="F244" s="6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21.75" customHeight="1" x14ac:dyDescent="0.6">
      <c r="A245" s="1"/>
      <c r="B245" s="6"/>
      <c r="C245" s="1"/>
      <c r="D245" s="6"/>
      <c r="E245" s="1"/>
      <c r="F245" s="6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21.75" customHeight="1" x14ac:dyDescent="0.6">
      <c r="A246" s="1"/>
      <c r="B246" s="6"/>
      <c r="C246" s="1"/>
      <c r="D246" s="6"/>
      <c r="E246" s="1"/>
      <c r="F246" s="6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21.75" customHeight="1" x14ac:dyDescent="0.6">
      <c r="A247" s="1"/>
      <c r="B247" s="6"/>
      <c r="C247" s="1"/>
      <c r="D247" s="6"/>
      <c r="E247" s="1"/>
      <c r="F247" s="6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21.75" customHeight="1" x14ac:dyDescent="0.6">
      <c r="A248" s="1"/>
      <c r="B248" s="6"/>
      <c r="C248" s="1"/>
      <c r="D248" s="6"/>
      <c r="E248" s="1"/>
      <c r="F248" s="6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21.75" customHeight="1" x14ac:dyDescent="0.6">
      <c r="A249" s="1"/>
      <c r="B249" s="6"/>
      <c r="C249" s="1"/>
      <c r="D249" s="6"/>
      <c r="E249" s="1"/>
      <c r="F249" s="6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21.75" customHeight="1" x14ac:dyDescent="0.6">
      <c r="A250" s="1"/>
      <c r="B250" s="6"/>
      <c r="C250" s="1"/>
      <c r="D250" s="6"/>
      <c r="E250" s="1"/>
      <c r="F250" s="6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21.75" customHeight="1" x14ac:dyDescent="0.6">
      <c r="A251" s="1"/>
      <c r="B251" s="6"/>
      <c r="C251" s="1"/>
      <c r="D251" s="6"/>
      <c r="E251" s="1"/>
      <c r="F251" s="6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21.75" customHeight="1" x14ac:dyDescent="0.6">
      <c r="A252" s="1"/>
      <c r="B252" s="6"/>
      <c r="C252" s="1"/>
      <c r="D252" s="6"/>
      <c r="E252" s="1"/>
      <c r="F252" s="6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21.75" customHeight="1" x14ac:dyDescent="0.6">
      <c r="A253" s="1"/>
      <c r="B253" s="6"/>
      <c r="C253" s="1"/>
      <c r="D253" s="6"/>
      <c r="E253" s="1"/>
      <c r="F253" s="6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21.75" customHeight="1" x14ac:dyDescent="0.6">
      <c r="A254" s="1"/>
      <c r="B254" s="6"/>
      <c r="C254" s="1"/>
      <c r="D254" s="6"/>
      <c r="E254" s="1"/>
      <c r="F254" s="6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21.75" customHeight="1" x14ac:dyDescent="0.6">
      <c r="A255" s="1"/>
      <c r="B255" s="6"/>
      <c r="C255" s="1"/>
      <c r="D255" s="6"/>
      <c r="E255" s="1"/>
      <c r="F255" s="6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21.75" customHeight="1" x14ac:dyDescent="0.6">
      <c r="A256" s="1"/>
      <c r="B256" s="6"/>
      <c r="C256" s="1"/>
      <c r="D256" s="6"/>
      <c r="E256" s="1"/>
      <c r="F256" s="6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21.75" customHeight="1" x14ac:dyDescent="0.6">
      <c r="A257" s="1"/>
      <c r="B257" s="6"/>
      <c r="C257" s="1"/>
      <c r="D257" s="6"/>
      <c r="E257" s="1"/>
      <c r="F257" s="6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21.75" customHeight="1" x14ac:dyDescent="0.6">
      <c r="A258" s="1"/>
      <c r="B258" s="6"/>
      <c r="C258" s="1"/>
      <c r="D258" s="6"/>
      <c r="E258" s="1"/>
      <c r="F258" s="6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21.75" customHeight="1" x14ac:dyDescent="0.6">
      <c r="A259" s="1"/>
      <c r="B259" s="6"/>
      <c r="C259" s="1"/>
      <c r="D259" s="6"/>
      <c r="E259" s="1"/>
      <c r="F259" s="6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21.75" customHeight="1" x14ac:dyDescent="0.6">
      <c r="A260" s="1"/>
      <c r="B260" s="6"/>
      <c r="C260" s="1"/>
      <c r="D260" s="6"/>
      <c r="E260" s="1"/>
      <c r="F260" s="6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21.75" customHeight="1" x14ac:dyDescent="0.6">
      <c r="A261" s="1"/>
      <c r="B261" s="6"/>
      <c r="C261" s="1"/>
      <c r="D261" s="6"/>
      <c r="E261" s="1"/>
      <c r="F261" s="6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21.75" customHeight="1" x14ac:dyDescent="0.6">
      <c r="A262" s="1"/>
      <c r="B262" s="6"/>
      <c r="C262" s="1"/>
      <c r="D262" s="6"/>
      <c r="E262" s="1"/>
      <c r="F262" s="6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21.75" customHeight="1" x14ac:dyDescent="0.6">
      <c r="A263" s="1"/>
      <c r="B263" s="6"/>
      <c r="C263" s="1"/>
      <c r="D263" s="6"/>
      <c r="E263" s="1"/>
      <c r="F263" s="6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21.75" customHeight="1" x14ac:dyDescent="0.6">
      <c r="A264" s="1"/>
      <c r="B264" s="6"/>
      <c r="C264" s="1"/>
      <c r="D264" s="6"/>
      <c r="E264" s="1"/>
      <c r="F264" s="6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21.75" customHeight="1" x14ac:dyDescent="0.6">
      <c r="A265" s="1"/>
      <c r="B265" s="6"/>
      <c r="C265" s="1"/>
      <c r="D265" s="6"/>
      <c r="E265" s="1"/>
      <c r="F265" s="6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21.75" customHeight="1" x14ac:dyDescent="0.6">
      <c r="A266" s="1"/>
      <c r="B266" s="6"/>
      <c r="C266" s="1"/>
      <c r="D266" s="6"/>
      <c r="E266" s="1"/>
      <c r="F266" s="6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21.75" customHeight="1" x14ac:dyDescent="0.6">
      <c r="A267" s="1"/>
      <c r="B267" s="6"/>
      <c r="C267" s="1"/>
      <c r="D267" s="6"/>
      <c r="E267" s="1"/>
      <c r="F267" s="6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21.75" customHeight="1" x14ac:dyDescent="0.6">
      <c r="A268" s="1"/>
      <c r="B268" s="6"/>
      <c r="C268" s="1"/>
      <c r="D268" s="6"/>
      <c r="E268" s="1"/>
      <c r="F268" s="6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21.75" customHeight="1" x14ac:dyDescent="0.6">
      <c r="A269" s="1"/>
      <c r="B269" s="6"/>
      <c r="C269" s="1"/>
      <c r="D269" s="6"/>
      <c r="E269" s="1"/>
      <c r="F269" s="6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21.75" customHeight="1" x14ac:dyDescent="0.6">
      <c r="A270" s="1"/>
      <c r="B270" s="6"/>
      <c r="C270" s="1"/>
      <c r="D270" s="6"/>
      <c r="E270" s="1"/>
      <c r="F270" s="6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21.75" customHeight="1" x14ac:dyDescent="0.6">
      <c r="A271" s="1"/>
      <c r="B271" s="6"/>
      <c r="C271" s="1"/>
      <c r="D271" s="6"/>
      <c r="E271" s="1"/>
      <c r="F271" s="6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21.75" customHeight="1" x14ac:dyDescent="0.6">
      <c r="A272" s="1"/>
      <c r="B272" s="6"/>
      <c r="C272" s="1"/>
      <c r="D272" s="6"/>
      <c r="E272" s="1"/>
      <c r="F272" s="6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21.75" customHeight="1" x14ac:dyDescent="0.6">
      <c r="A273" s="1"/>
      <c r="B273" s="6"/>
      <c r="C273" s="1"/>
      <c r="D273" s="6"/>
      <c r="E273" s="1"/>
      <c r="F273" s="6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21.75" customHeight="1" x14ac:dyDescent="0.6">
      <c r="A274" s="1"/>
      <c r="B274" s="6"/>
      <c r="C274" s="1"/>
      <c r="D274" s="6"/>
      <c r="E274" s="1"/>
      <c r="F274" s="6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21.75" customHeight="1" x14ac:dyDescent="0.6">
      <c r="A275" s="1"/>
      <c r="B275" s="6"/>
      <c r="C275" s="1"/>
      <c r="D275" s="6"/>
      <c r="E275" s="1"/>
      <c r="F275" s="6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21.75" customHeight="1" x14ac:dyDescent="0.6">
      <c r="A276" s="1"/>
      <c r="B276" s="6"/>
      <c r="C276" s="1"/>
      <c r="D276" s="6"/>
      <c r="E276" s="1"/>
      <c r="F276" s="6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21.75" customHeight="1" x14ac:dyDescent="0.6">
      <c r="A277" s="1"/>
      <c r="B277" s="6"/>
      <c r="C277" s="1"/>
      <c r="D277" s="6"/>
      <c r="E277" s="1"/>
      <c r="F277" s="6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21.75" customHeight="1" x14ac:dyDescent="0.6">
      <c r="A278" s="1"/>
      <c r="B278" s="6"/>
      <c r="C278" s="1"/>
      <c r="D278" s="6"/>
      <c r="E278" s="1"/>
      <c r="F278" s="6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21.75" customHeight="1" x14ac:dyDescent="0.6">
      <c r="A279" s="1"/>
      <c r="B279" s="6"/>
      <c r="C279" s="1"/>
      <c r="D279" s="6"/>
      <c r="E279" s="1"/>
      <c r="F279" s="6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21.75" customHeight="1" x14ac:dyDescent="0.6">
      <c r="A280" s="1"/>
      <c r="B280" s="6"/>
      <c r="C280" s="1"/>
      <c r="D280" s="6"/>
      <c r="E280" s="1"/>
      <c r="F280" s="6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21.75" customHeight="1" x14ac:dyDescent="0.6">
      <c r="A281" s="1"/>
      <c r="B281" s="6"/>
      <c r="C281" s="1"/>
      <c r="D281" s="6"/>
      <c r="E281" s="1"/>
      <c r="F281" s="6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21.75" customHeight="1" x14ac:dyDescent="0.6">
      <c r="A282" s="1"/>
      <c r="B282" s="6"/>
      <c r="C282" s="1"/>
      <c r="D282" s="6"/>
      <c r="E282" s="1"/>
      <c r="F282" s="6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21.75" customHeight="1" x14ac:dyDescent="0.6">
      <c r="A283" s="1"/>
      <c r="B283" s="6"/>
      <c r="C283" s="1"/>
      <c r="D283" s="6"/>
      <c r="E283" s="1"/>
      <c r="F283" s="6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21.75" customHeight="1" x14ac:dyDescent="0.6">
      <c r="A284" s="1"/>
      <c r="B284" s="6"/>
      <c r="C284" s="1"/>
      <c r="D284" s="6"/>
      <c r="E284" s="1"/>
      <c r="F284" s="6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21.75" customHeight="1" x14ac:dyDescent="0.6">
      <c r="A285" s="1"/>
      <c r="B285" s="6"/>
      <c r="C285" s="1"/>
      <c r="D285" s="6"/>
      <c r="E285" s="1"/>
      <c r="F285" s="6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21.75" customHeight="1" x14ac:dyDescent="0.6">
      <c r="A286" s="1"/>
      <c r="B286" s="6"/>
      <c r="C286" s="1"/>
      <c r="D286" s="6"/>
      <c r="E286" s="1"/>
      <c r="F286" s="6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21.75" customHeight="1" x14ac:dyDescent="0.6">
      <c r="A287" s="1"/>
      <c r="B287" s="6"/>
      <c r="C287" s="1"/>
      <c r="D287" s="6"/>
      <c r="E287" s="1"/>
      <c r="F287" s="6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21.75" customHeight="1" x14ac:dyDescent="0.6">
      <c r="A288" s="1"/>
      <c r="B288" s="6"/>
      <c r="C288" s="1"/>
      <c r="D288" s="6"/>
      <c r="E288" s="1"/>
      <c r="F288" s="6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21.75" customHeight="1" x14ac:dyDescent="0.6">
      <c r="A289" s="1"/>
      <c r="B289" s="6"/>
      <c r="C289" s="1"/>
      <c r="D289" s="6"/>
      <c r="E289" s="1"/>
      <c r="F289" s="6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21.75" customHeight="1" x14ac:dyDescent="0.6">
      <c r="A290" s="1"/>
      <c r="B290" s="6"/>
      <c r="C290" s="1"/>
      <c r="D290" s="6"/>
      <c r="E290" s="1"/>
      <c r="F290" s="6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21.75" customHeight="1" x14ac:dyDescent="0.6">
      <c r="A291" s="1"/>
      <c r="B291" s="6"/>
      <c r="C291" s="1"/>
      <c r="D291" s="6"/>
      <c r="E291" s="1"/>
      <c r="F291" s="6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21.75" customHeight="1" x14ac:dyDescent="0.6">
      <c r="A292" s="1"/>
      <c r="B292" s="6"/>
      <c r="C292" s="1"/>
      <c r="D292" s="6"/>
      <c r="E292" s="1"/>
      <c r="F292" s="6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21.75" customHeight="1" x14ac:dyDescent="0.6">
      <c r="A293" s="1"/>
      <c r="B293" s="6"/>
      <c r="C293" s="1"/>
      <c r="D293" s="6"/>
      <c r="E293" s="1"/>
      <c r="F293" s="6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21.75" customHeight="1" x14ac:dyDescent="0.6">
      <c r="A294" s="1"/>
      <c r="B294" s="6"/>
      <c r="C294" s="1"/>
      <c r="D294" s="6"/>
      <c r="E294" s="1"/>
      <c r="F294" s="6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21.75" customHeight="1" x14ac:dyDescent="0.6">
      <c r="A295" s="1"/>
      <c r="B295" s="6"/>
      <c r="C295" s="1"/>
      <c r="D295" s="6"/>
      <c r="E295" s="1"/>
      <c r="F295" s="6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21.75" customHeight="1" x14ac:dyDescent="0.6">
      <c r="A296" s="1"/>
      <c r="B296" s="6"/>
      <c r="C296" s="1"/>
      <c r="D296" s="6"/>
      <c r="E296" s="1"/>
      <c r="F296" s="6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21.75" customHeight="1" x14ac:dyDescent="0.6">
      <c r="A297" s="1"/>
      <c r="B297" s="6"/>
      <c r="C297" s="1"/>
      <c r="D297" s="6"/>
      <c r="E297" s="1"/>
      <c r="F297" s="6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21.75" customHeight="1" x14ac:dyDescent="0.6">
      <c r="A298" s="1"/>
      <c r="B298" s="6"/>
      <c r="C298" s="1"/>
      <c r="D298" s="6"/>
      <c r="E298" s="1"/>
      <c r="F298" s="6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21.75" customHeight="1" x14ac:dyDescent="0.6">
      <c r="A299" s="1"/>
      <c r="B299" s="6"/>
      <c r="C299" s="1"/>
      <c r="D299" s="6"/>
      <c r="E299" s="1"/>
      <c r="F299" s="6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21.75" customHeight="1" x14ac:dyDescent="0.6">
      <c r="A300" s="1"/>
      <c r="B300" s="6"/>
      <c r="C300" s="1"/>
      <c r="D300" s="6"/>
      <c r="E300" s="1"/>
      <c r="F300" s="6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21.75" customHeight="1" x14ac:dyDescent="0.6">
      <c r="A301" s="1"/>
      <c r="B301" s="6"/>
      <c r="C301" s="1"/>
      <c r="D301" s="6"/>
      <c r="E301" s="1"/>
      <c r="F301" s="6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21.75" customHeight="1" x14ac:dyDescent="0.6">
      <c r="A302" s="1"/>
      <c r="B302" s="6"/>
      <c r="C302" s="1"/>
      <c r="D302" s="6"/>
      <c r="E302" s="1"/>
      <c r="F302" s="6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21.75" customHeight="1" x14ac:dyDescent="0.6">
      <c r="A303" s="1"/>
      <c r="B303" s="6"/>
      <c r="C303" s="1"/>
      <c r="D303" s="6"/>
      <c r="E303" s="1"/>
      <c r="F303" s="6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21.75" customHeight="1" x14ac:dyDescent="0.6">
      <c r="A304" s="1"/>
      <c r="B304" s="6"/>
      <c r="C304" s="1"/>
      <c r="D304" s="6"/>
      <c r="E304" s="1"/>
      <c r="F304" s="6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21.75" customHeight="1" x14ac:dyDescent="0.6">
      <c r="A305" s="1"/>
      <c r="B305" s="6"/>
      <c r="C305" s="1"/>
      <c r="D305" s="6"/>
      <c r="E305" s="1"/>
      <c r="F305" s="6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21.75" customHeight="1" x14ac:dyDescent="0.6">
      <c r="A306" s="1"/>
      <c r="B306" s="6"/>
      <c r="C306" s="1"/>
      <c r="D306" s="6"/>
      <c r="E306" s="1"/>
      <c r="F306" s="6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21.75" customHeight="1" x14ac:dyDescent="0.6">
      <c r="A307" s="1"/>
      <c r="B307" s="6"/>
      <c r="C307" s="1"/>
      <c r="D307" s="6"/>
      <c r="E307" s="1"/>
      <c r="F307" s="6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21.75" customHeight="1" x14ac:dyDescent="0.6">
      <c r="A308" s="1"/>
      <c r="B308" s="6"/>
      <c r="C308" s="1"/>
      <c r="D308" s="6"/>
      <c r="E308" s="1"/>
      <c r="F308" s="6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21.75" customHeight="1" x14ac:dyDescent="0.6">
      <c r="A309" s="1"/>
      <c r="B309" s="6"/>
      <c r="C309" s="1"/>
      <c r="D309" s="6"/>
      <c r="E309" s="1"/>
      <c r="F309" s="6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21.75" customHeight="1" x14ac:dyDescent="0.6">
      <c r="A310" s="1"/>
      <c r="B310" s="6"/>
      <c r="C310" s="1"/>
      <c r="D310" s="6"/>
      <c r="E310" s="1"/>
      <c r="F310" s="6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21.75" customHeight="1" x14ac:dyDescent="0.6">
      <c r="A311" s="1"/>
      <c r="B311" s="6"/>
      <c r="C311" s="1"/>
      <c r="D311" s="6"/>
      <c r="E311" s="1"/>
      <c r="F311" s="6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21.75" customHeight="1" x14ac:dyDescent="0.6">
      <c r="A312" s="1"/>
      <c r="B312" s="6"/>
      <c r="C312" s="1"/>
      <c r="D312" s="6"/>
      <c r="E312" s="1"/>
      <c r="F312" s="6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21.75" customHeight="1" x14ac:dyDescent="0.6">
      <c r="A313" s="1"/>
      <c r="B313" s="6"/>
      <c r="C313" s="1"/>
      <c r="D313" s="6"/>
      <c r="E313" s="1"/>
      <c r="F313" s="6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21.75" customHeight="1" x14ac:dyDescent="0.6">
      <c r="A314" s="1"/>
      <c r="B314" s="6"/>
      <c r="C314" s="1"/>
      <c r="D314" s="6"/>
      <c r="E314" s="1"/>
      <c r="F314" s="6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21.75" customHeight="1" x14ac:dyDescent="0.6">
      <c r="A315" s="1"/>
      <c r="B315" s="6"/>
      <c r="C315" s="1"/>
      <c r="D315" s="6"/>
      <c r="E315" s="1"/>
      <c r="F315" s="6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21.75" customHeight="1" x14ac:dyDescent="0.6">
      <c r="A316" s="1"/>
      <c r="B316" s="6"/>
      <c r="C316" s="1"/>
      <c r="D316" s="6"/>
      <c r="E316" s="1"/>
      <c r="F316" s="6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21.75" customHeight="1" x14ac:dyDescent="0.6">
      <c r="A317" s="1"/>
      <c r="B317" s="6"/>
      <c r="C317" s="1"/>
      <c r="D317" s="6"/>
      <c r="E317" s="1"/>
      <c r="F317" s="6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21.75" customHeight="1" x14ac:dyDescent="0.6">
      <c r="A318" s="1"/>
      <c r="B318" s="6"/>
      <c r="C318" s="1"/>
      <c r="D318" s="6"/>
      <c r="E318" s="1"/>
      <c r="F318" s="6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21.75" customHeight="1" x14ac:dyDescent="0.6">
      <c r="A319" s="1"/>
      <c r="B319" s="6"/>
      <c r="C319" s="1"/>
      <c r="D319" s="6"/>
      <c r="E319" s="1"/>
      <c r="F319" s="6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21.75" customHeight="1" x14ac:dyDescent="0.6">
      <c r="A320" s="1"/>
      <c r="B320" s="6"/>
      <c r="C320" s="1"/>
      <c r="D320" s="6"/>
      <c r="E320" s="1"/>
      <c r="F320" s="6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21.75" customHeight="1" x14ac:dyDescent="0.6">
      <c r="A321" s="1"/>
      <c r="B321" s="6"/>
      <c r="C321" s="1"/>
      <c r="D321" s="6"/>
      <c r="E321" s="1"/>
      <c r="F321" s="6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21.75" customHeight="1" x14ac:dyDescent="0.6">
      <c r="A322" s="1"/>
      <c r="B322" s="6"/>
      <c r="C322" s="1"/>
      <c r="D322" s="6"/>
      <c r="E322" s="1"/>
      <c r="F322" s="6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21.75" customHeight="1" x14ac:dyDescent="0.6">
      <c r="A323" s="1"/>
      <c r="B323" s="6"/>
      <c r="C323" s="1"/>
      <c r="D323" s="6"/>
      <c r="E323" s="1"/>
      <c r="F323" s="6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21.75" customHeight="1" x14ac:dyDescent="0.6">
      <c r="A324" s="1"/>
      <c r="B324" s="6"/>
      <c r="C324" s="1"/>
      <c r="D324" s="6"/>
      <c r="E324" s="1"/>
      <c r="F324" s="6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21.75" customHeight="1" x14ac:dyDescent="0.6">
      <c r="A325" s="1"/>
      <c r="B325" s="6"/>
      <c r="C325" s="1"/>
      <c r="D325" s="6"/>
      <c r="E325" s="1"/>
      <c r="F325" s="6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21.75" customHeight="1" x14ac:dyDescent="0.6">
      <c r="A326" s="1"/>
      <c r="B326" s="6"/>
      <c r="C326" s="1"/>
      <c r="D326" s="6"/>
      <c r="E326" s="1"/>
      <c r="F326" s="6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21.75" customHeight="1" x14ac:dyDescent="0.6">
      <c r="A327" s="1"/>
      <c r="B327" s="6"/>
      <c r="C327" s="1"/>
      <c r="D327" s="6"/>
      <c r="E327" s="1"/>
      <c r="F327" s="6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21.75" customHeight="1" x14ac:dyDescent="0.6">
      <c r="A328" s="1"/>
      <c r="B328" s="6"/>
      <c r="C328" s="1"/>
      <c r="D328" s="6"/>
      <c r="E328" s="1"/>
      <c r="F328" s="6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21.75" customHeight="1" x14ac:dyDescent="0.6">
      <c r="A329" s="1"/>
      <c r="B329" s="6"/>
      <c r="C329" s="1"/>
      <c r="D329" s="6"/>
      <c r="E329" s="1"/>
      <c r="F329" s="6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21.75" customHeight="1" x14ac:dyDescent="0.6">
      <c r="A330" s="1"/>
      <c r="B330" s="6"/>
      <c r="C330" s="1"/>
      <c r="D330" s="6"/>
      <c r="E330" s="1"/>
      <c r="F330" s="6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21.75" customHeight="1" x14ac:dyDescent="0.6">
      <c r="A331" s="1"/>
      <c r="B331" s="6"/>
      <c r="C331" s="1"/>
      <c r="D331" s="6"/>
      <c r="E331" s="1"/>
      <c r="F331" s="6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21.75" customHeight="1" x14ac:dyDescent="0.6">
      <c r="A332" s="1"/>
      <c r="B332" s="6"/>
      <c r="C332" s="1"/>
      <c r="D332" s="6"/>
      <c r="E332" s="1"/>
      <c r="F332" s="6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21.75" customHeight="1" x14ac:dyDescent="0.6">
      <c r="A333" s="1"/>
      <c r="B333" s="6"/>
      <c r="C333" s="1"/>
      <c r="D333" s="6"/>
      <c r="E333" s="1"/>
      <c r="F333" s="6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21.75" customHeight="1" x14ac:dyDescent="0.6">
      <c r="A334" s="1"/>
      <c r="B334" s="6"/>
      <c r="C334" s="1"/>
      <c r="D334" s="6"/>
      <c r="E334" s="1"/>
      <c r="F334" s="6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21.75" customHeight="1" x14ac:dyDescent="0.6">
      <c r="A335" s="1"/>
      <c r="B335" s="6"/>
      <c r="C335" s="1"/>
      <c r="D335" s="6"/>
      <c r="E335" s="1"/>
      <c r="F335" s="6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21.75" customHeight="1" x14ac:dyDescent="0.6">
      <c r="A336" s="1"/>
      <c r="B336" s="6"/>
      <c r="C336" s="1"/>
      <c r="D336" s="6"/>
      <c r="E336" s="1"/>
      <c r="F336" s="6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21.75" customHeight="1" x14ac:dyDescent="0.6">
      <c r="A337" s="1"/>
      <c r="B337" s="6"/>
      <c r="C337" s="1"/>
      <c r="D337" s="6"/>
      <c r="E337" s="1"/>
      <c r="F337" s="6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21.75" customHeight="1" x14ac:dyDescent="0.6">
      <c r="A338" s="1"/>
      <c r="B338" s="6"/>
      <c r="C338" s="1"/>
      <c r="D338" s="6"/>
      <c r="E338" s="1"/>
      <c r="F338" s="6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21.75" customHeight="1" x14ac:dyDescent="0.6">
      <c r="A339" s="1"/>
      <c r="B339" s="6"/>
      <c r="C339" s="1"/>
      <c r="D339" s="6"/>
      <c r="E339" s="1"/>
      <c r="F339" s="6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21.75" customHeight="1" x14ac:dyDescent="0.6">
      <c r="A340" s="1"/>
      <c r="B340" s="6"/>
      <c r="C340" s="1"/>
      <c r="D340" s="6"/>
      <c r="E340" s="1"/>
      <c r="F340" s="6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21.75" customHeight="1" x14ac:dyDescent="0.6">
      <c r="A341" s="1"/>
      <c r="B341" s="6"/>
      <c r="C341" s="1"/>
      <c r="D341" s="6"/>
      <c r="E341" s="1"/>
      <c r="F341" s="6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21.75" customHeight="1" x14ac:dyDescent="0.6">
      <c r="A342" s="1"/>
      <c r="B342" s="6"/>
      <c r="C342" s="1"/>
      <c r="D342" s="6"/>
      <c r="E342" s="1"/>
      <c r="F342" s="6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21.75" customHeight="1" x14ac:dyDescent="0.6">
      <c r="A343" s="1"/>
      <c r="B343" s="6"/>
      <c r="C343" s="1"/>
      <c r="D343" s="6"/>
      <c r="E343" s="1"/>
      <c r="F343" s="6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21.75" customHeight="1" x14ac:dyDescent="0.6">
      <c r="A344" s="1"/>
      <c r="B344" s="6"/>
      <c r="C344" s="1"/>
      <c r="D344" s="6"/>
      <c r="E344" s="1"/>
      <c r="F344" s="6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21.75" customHeight="1" x14ac:dyDescent="0.6">
      <c r="A345" s="1"/>
      <c r="B345" s="6"/>
      <c r="C345" s="1"/>
      <c r="D345" s="6"/>
      <c r="E345" s="1"/>
      <c r="F345" s="6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21.75" customHeight="1" x14ac:dyDescent="0.6">
      <c r="A346" s="1"/>
      <c r="B346" s="6"/>
      <c r="C346" s="1"/>
      <c r="D346" s="6"/>
      <c r="E346" s="1"/>
      <c r="F346" s="6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21.75" customHeight="1" x14ac:dyDescent="0.6">
      <c r="A347" s="1"/>
      <c r="B347" s="6"/>
      <c r="C347" s="1"/>
      <c r="D347" s="6"/>
      <c r="E347" s="1"/>
      <c r="F347" s="6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21.75" customHeight="1" x14ac:dyDescent="0.6">
      <c r="A348" s="1"/>
      <c r="B348" s="6"/>
      <c r="C348" s="1"/>
      <c r="D348" s="6"/>
      <c r="E348" s="1"/>
      <c r="F348" s="6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21.75" customHeight="1" x14ac:dyDescent="0.6">
      <c r="A349" s="1"/>
      <c r="B349" s="6"/>
      <c r="C349" s="1"/>
      <c r="D349" s="6"/>
      <c r="E349" s="1"/>
      <c r="F349" s="6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21.75" customHeight="1" x14ac:dyDescent="0.6">
      <c r="A350" s="1"/>
      <c r="B350" s="6"/>
      <c r="C350" s="1"/>
      <c r="D350" s="6"/>
      <c r="E350" s="1"/>
      <c r="F350" s="6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21.75" customHeight="1" x14ac:dyDescent="0.6">
      <c r="A351" s="1"/>
      <c r="B351" s="6"/>
      <c r="C351" s="1"/>
      <c r="D351" s="6"/>
      <c r="E351" s="1"/>
      <c r="F351" s="6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21.75" customHeight="1" x14ac:dyDescent="0.6">
      <c r="A352" s="1"/>
      <c r="B352" s="6"/>
      <c r="C352" s="1"/>
      <c r="D352" s="6"/>
      <c r="E352" s="1"/>
      <c r="F352" s="6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21.75" customHeight="1" x14ac:dyDescent="0.6">
      <c r="A353" s="1"/>
      <c r="B353" s="6"/>
      <c r="C353" s="1"/>
      <c r="D353" s="6"/>
      <c r="E353" s="1"/>
      <c r="F353" s="6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21.75" customHeight="1" x14ac:dyDescent="0.6">
      <c r="A354" s="1"/>
      <c r="B354" s="6"/>
      <c r="C354" s="1"/>
      <c r="D354" s="6"/>
      <c r="E354" s="1"/>
      <c r="F354" s="6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21.75" customHeight="1" x14ac:dyDescent="0.6">
      <c r="A355" s="1"/>
      <c r="B355" s="6"/>
      <c r="C355" s="1"/>
      <c r="D355" s="6"/>
      <c r="E355" s="1"/>
      <c r="F355" s="6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21.75" customHeight="1" x14ac:dyDescent="0.6">
      <c r="A356" s="1"/>
      <c r="B356" s="6"/>
      <c r="C356" s="1"/>
      <c r="D356" s="6"/>
      <c r="E356" s="1"/>
      <c r="F356" s="6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21.75" customHeight="1" x14ac:dyDescent="0.6">
      <c r="A357" s="1"/>
      <c r="B357" s="6"/>
      <c r="C357" s="1"/>
      <c r="D357" s="6"/>
      <c r="E357" s="1"/>
      <c r="F357" s="6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21.75" customHeight="1" x14ac:dyDescent="0.6">
      <c r="A358" s="1"/>
      <c r="B358" s="6"/>
      <c r="C358" s="1"/>
      <c r="D358" s="6"/>
      <c r="E358" s="1"/>
      <c r="F358" s="6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21.75" customHeight="1" x14ac:dyDescent="0.6">
      <c r="A359" s="1"/>
      <c r="B359" s="6"/>
      <c r="C359" s="1"/>
      <c r="D359" s="6"/>
      <c r="E359" s="1"/>
      <c r="F359" s="6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21.75" customHeight="1" x14ac:dyDescent="0.6">
      <c r="A360" s="1"/>
      <c r="B360" s="6"/>
      <c r="C360" s="1"/>
      <c r="D360" s="6"/>
      <c r="E360" s="1"/>
      <c r="F360" s="6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21.75" customHeight="1" x14ac:dyDescent="0.6">
      <c r="A361" s="1"/>
      <c r="B361" s="6"/>
      <c r="C361" s="1"/>
      <c r="D361" s="6"/>
      <c r="E361" s="1"/>
      <c r="F361" s="6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21.75" customHeight="1" x14ac:dyDescent="0.6">
      <c r="A362" s="1"/>
      <c r="B362" s="6"/>
      <c r="C362" s="1"/>
      <c r="D362" s="6"/>
      <c r="E362" s="1"/>
      <c r="F362" s="6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21.75" customHeight="1" x14ac:dyDescent="0.6">
      <c r="A363" s="1"/>
      <c r="B363" s="6"/>
      <c r="C363" s="1"/>
      <c r="D363" s="6"/>
      <c r="E363" s="1"/>
      <c r="F363" s="6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21.75" customHeight="1" x14ac:dyDescent="0.6">
      <c r="A364" s="1"/>
      <c r="B364" s="6"/>
      <c r="C364" s="1"/>
      <c r="D364" s="6"/>
      <c r="E364" s="1"/>
      <c r="F364" s="6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21.75" customHeight="1" x14ac:dyDescent="0.6">
      <c r="A365" s="1"/>
      <c r="B365" s="6"/>
      <c r="C365" s="1"/>
      <c r="D365" s="6"/>
      <c r="E365" s="1"/>
      <c r="F365" s="6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21.75" customHeight="1" x14ac:dyDescent="0.6">
      <c r="A366" s="1"/>
      <c r="B366" s="6"/>
      <c r="C366" s="1"/>
      <c r="D366" s="6"/>
      <c r="E366" s="1"/>
      <c r="F366" s="6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21.75" customHeight="1" x14ac:dyDescent="0.6">
      <c r="A367" s="1"/>
      <c r="B367" s="6"/>
      <c r="C367" s="1"/>
      <c r="D367" s="6"/>
      <c r="E367" s="1"/>
      <c r="F367" s="6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21.75" customHeight="1" x14ac:dyDescent="0.6">
      <c r="A368" s="1"/>
      <c r="B368" s="6"/>
      <c r="C368" s="1"/>
      <c r="D368" s="6"/>
      <c r="E368" s="1"/>
      <c r="F368" s="6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21.75" customHeight="1" x14ac:dyDescent="0.6">
      <c r="A369" s="1"/>
      <c r="B369" s="6"/>
      <c r="C369" s="1"/>
      <c r="D369" s="6"/>
      <c r="E369" s="1"/>
      <c r="F369" s="6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21.75" customHeight="1" x14ac:dyDescent="0.6">
      <c r="A370" s="1"/>
      <c r="B370" s="6"/>
      <c r="C370" s="1"/>
      <c r="D370" s="6"/>
      <c r="E370" s="1"/>
      <c r="F370" s="6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21.75" customHeight="1" x14ac:dyDescent="0.6">
      <c r="A371" s="1"/>
      <c r="B371" s="6"/>
      <c r="C371" s="1"/>
      <c r="D371" s="6"/>
      <c r="E371" s="1"/>
      <c r="F371" s="6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21.75" customHeight="1" x14ac:dyDescent="0.6">
      <c r="A372" s="1"/>
      <c r="B372" s="6"/>
      <c r="C372" s="1"/>
      <c r="D372" s="6"/>
      <c r="E372" s="1"/>
      <c r="F372" s="6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21.75" customHeight="1" x14ac:dyDescent="0.6">
      <c r="A373" s="1"/>
      <c r="B373" s="6"/>
      <c r="C373" s="1"/>
      <c r="D373" s="6"/>
      <c r="E373" s="1"/>
      <c r="F373" s="6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21.75" customHeight="1" x14ac:dyDescent="0.6">
      <c r="A374" s="1"/>
      <c r="B374" s="6"/>
      <c r="C374" s="1"/>
      <c r="D374" s="6"/>
      <c r="E374" s="1"/>
      <c r="F374" s="6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21.75" customHeight="1" x14ac:dyDescent="0.6">
      <c r="A375" s="1"/>
      <c r="B375" s="6"/>
      <c r="C375" s="1"/>
      <c r="D375" s="6"/>
      <c r="E375" s="1"/>
      <c r="F375" s="6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21.75" customHeight="1" x14ac:dyDescent="0.6">
      <c r="A376" s="1"/>
      <c r="B376" s="6"/>
      <c r="C376" s="1"/>
      <c r="D376" s="6"/>
      <c r="E376" s="1"/>
      <c r="F376" s="6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21.75" customHeight="1" x14ac:dyDescent="0.6">
      <c r="A377" s="1"/>
      <c r="B377" s="6"/>
      <c r="C377" s="1"/>
      <c r="D377" s="6"/>
      <c r="E377" s="1"/>
      <c r="F377" s="6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21.75" customHeight="1" x14ac:dyDescent="0.6">
      <c r="A378" s="1"/>
      <c r="B378" s="6"/>
      <c r="C378" s="1"/>
      <c r="D378" s="6"/>
      <c r="E378" s="1"/>
      <c r="F378" s="6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21.75" customHeight="1" x14ac:dyDescent="0.6">
      <c r="A379" s="1"/>
      <c r="B379" s="6"/>
      <c r="C379" s="1"/>
      <c r="D379" s="6"/>
      <c r="E379" s="1"/>
      <c r="F379" s="6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21.75" customHeight="1" x14ac:dyDescent="0.6">
      <c r="A380" s="1"/>
      <c r="B380" s="6"/>
      <c r="C380" s="1"/>
      <c r="D380" s="6"/>
      <c r="E380" s="1"/>
      <c r="F380" s="6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21.75" customHeight="1" x14ac:dyDescent="0.6">
      <c r="A381" s="1"/>
      <c r="B381" s="6"/>
      <c r="C381" s="1"/>
      <c r="D381" s="6"/>
      <c r="E381" s="1"/>
      <c r="F381" s="6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21.75" customHeight="1" x14ac:dyDescent="0.6">
      <c r="A382" s="1"/>
      <c r="B382" s="6"/>
      <c r="C382" s="1"/>
      <c r="D382" s="6"/>
      <c r="E382" s="1"/>
      <c r="F382" s="6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21.75" customHeight="1" x14ac:dyDescent="0.6">
      <c r="A383" s="1"/>
      <c r="B383" s="6"/>
      <c r="C383" s="1"/>
      <c r="D383" s="6"/>
      <c r="E383" s="1"/>
      <c r="F383" s="6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21.75" customHeight="1" x14ac:dyDescent="0.6">
      <c r="A384" s="1"/>
      <c r="B384" s="6"/>
      <c r="C384" s="1"/>
      <c r="D384" s="6"/>
      <c r="E384" s="1"/>
      <c r="F384" s="6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21.75" customHeight="1" x14ac:dyDescent="0.6">
      <c r="A385" s="1"/>
      <c r="B385" s="6"/>
      <c r="C385" s="1"/>
      <c r="D385" s="6"/>
      <c r="E385" s="1"/>
      <c r="F385" s="6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21.75" customHeight="1" x14ac:dyDescent="0.6">
      <c r="A386" s="1"/>
      <c r="B386" s="6"/>
      <c r="C386" s="1"/>
      <c r="D386" s="6"/>
      <c r="E386" s="1"/>
      <c r="F386" s="6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21.75" customHeight="1" x14ac:dyDescent="0.6">
      <c r="A387" s="1"/>
      <c r="B387" s="6"/>
      <c r="C387" s="1"/>
      <c r="D387" s="6"/>
      <c r="E387" s="1"/>
      <c r="F387" s="6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21.75" customHeight="1" x14ac:dyDescent="0.6">
      <c r="A388" s="1"/>
      <c r="B388" s="6"/>
      <c r="C388" s="1"/>
      <c r="D388" s="6"/>
      <c r="E388" s="1"/>
      <c r="F388" s="6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21.75" customHeight="1" x14ac:dyDescent="0.6">
      <c r="A389" s="1"/>
      <c r="B389" s="6"/>
      <c r="C389" s="1"/>
      <c r="D389" s="6"/>
      <c r="E389" s="1"/>
      <c r="F389" s="6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21.75" customHeight="1" x14ac:dyDescent="0.6">
      <c r="A390" s="1"/>
      <c r="B390" s="6"/>
      <c r="C390" s="1"/>
      <c r="D390" s="6"/>
      <c r="E390" s="1"/>
      <c r="F390" s="6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21.75" customHeight="1" x14ac:dyDescent="0.6">
      <c r="A391" s="1"/>
      <c r="B391" s="6"/>
      <c r="C391" s="1"/>
      <c r="D391" s="6"/>
      <c r="E391" s="1"/>
      <c r="F391" s="6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21.75" customHeight="1" x14ac:dyDescent="0.6">
      <c r="A392" s="1"/>
      <c r="B392" s="6"/>
      <c r="C392" s="1"/>
      <c r="D392" s="6"/>
      <c r="E392" s="1"/>
      <c r="F392" s="6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21.75" customHeight="1" x14ac:dyDescent="0.6">
      <c r="A393" s="1"/>
      <c r="B393" s="6"/>
      <c r="C393" s="1"/>
      <c r="D393" s="6"/>
      <c r="E393" s="1"/>
      <c r="F393" s="6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21.75" customHeight="1" x14ac:dyDescent="0.6">
      <c r="A394" s="1"/>
      <c r="B394" s="6"/>
      <c r="C394" s="1"/>
      <c r="D394" s="6"/>
      <c r="E394" s="1"/>
      <c r="F394" s="6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21.75" customHeight="1" x14ac:dyDescent="0.6">
      <c r="A395" s="1"/>
      <c r="B395" s="6"/>
      <c r="C395" s="1"/>
      <c r="D395" s="6"/>
      <c r="E395" s="1"/>
      <c r="F395" s="6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21.75" customHeight="1" x14ac:dyDescent="0.6">
      <c r="A396" s="1"/>
      <c r="B396" s="6"/>
      <c r="C396" s="1"/>
      <c r="D396" s="6"/>
      <c r="E396" s="1"/>
      <c r="F396" s="6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21.75" customHeight="1" x14ac:dyDescent="0.6">
      <c r="A397" s="1"/>
      <c r="B397" s="6"/>
      <c r="C397" s="1"/>
      <c r="D397" s="6"/>
      <c r="E397" s="1"/>
      <c r="F397" s="6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21.75" customHeight="1" x14ac:dyDescent="0.6">
      <c r="A398" s="1"/>
      <c r="B398" s="6"/>
      <c r="C398" s="1"/>
      <c r="D398" s="6"/>
      <c r="E398" s="1"/>
      <c r="F398" s="6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21.75" customHeight="1" x14ac:dyDescent="0.6">
      <c r="A399" s="1"/>
      <c r="B399" s="6"/>
      <c r="C399" s="1"/>
      <c r="D399" s="6"/>
      <c r="E399" s="1"/>
      <c r="F399" s="6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21.75" customHeight="1" x14ac:dyDescent="0.6">
      <c r="A400" s="1"/>
      <c r="B400" s="6"/>
      <c r="C400" s="1"/>
      <c r="D400" s="6"/>
      <c r="E400" s="1"/>
      <c r="F400" s="6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21.75" customHeight="1" x14ac:dyDescent="0.6">
      <c r="A401" s="1"/>
      <c r="B401" s="6"/>
      <c r="C401" s="1"/>
      <c r="D401" s="6"/>
      <c r="E401" s="1"/>
      <c r="F401" s="6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21.75" customHeight="1" x14ac:dyDescent="0.6">
      <c r="A402" s="1"/>
      <c r="B402" s="6"/>
      <c r="C402" s="1"/>
      <c r="D402" s="6"/>
      <c r="E402" s="1"/>
      <c r="F402" s="6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21.75" customHeight="1" x14ac:dyDescent="0.6">
      <c r="A403" s="1"/>
      <c r="B403" s="6"/>
      <c r="C403" s="1"/>
      <c r="D403" s="6"/>
      <c r="E403" s="1"/>
      <c r="F403" s="6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21.75" customHeight="1" x14ac:dyDescent="0.6">
      <c r="A404" s="1"/>
      <c r="B404" s="6"/>
      <c r="C404" s="1"/>
      <c r="D404" s="6"/>
      <c r="E404" s="1"/>
      <c r="F404" s="6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21.75" customHeight="1" x14ac:dyDescent="0.6">
      <c r="A405" s="1"/>
      <c r="B405" s="6"/>
      <c r="C405" s="1"/>
      <c r="D405" s="6"/>
      <c r="E405" s="1"/>
      <c r="F405" s="6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21.75" customHeight="1" x14ac:dyDescent="0.6">
      <c r="A406" s="1"/>
      <c r="B406" s="6"/>
      <c r="C406" s="1"/>
      <c r="D406" s="6"/>
      <c r="E406" s="1"/>
      <c r="F406" s="6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21.75" customHeight="1" x14ac:dyDescent="0.6">
      <c r="A407" s="1"/>
      <c r="B407" s="6"/>
      <c r="C407" s="1"/>
      <c r="D407" s="6"/>
      <c r="E407" s="1"/>
      <c r="F407" s="6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21.75" customHeight="1" x14ac:dyDescent="0.6">
      <c r="A408" s="1"/>
      <c r="B408" s="6"/>
      <c r="C408" s="1"/>
      <c r="D408" s="6"/>
      <c r="E408" s="1"/>
      <c r="F408" s="6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21.75" customHeight="1" x14ac:dyDescent="0.6">
      <c r="A409" s="1"/>
      <c r="B409" s="6"/>
      <c r="C409" s="1"/>
      <c r="D409" s="6"/>
      <c r="E409" s="1"/>
      <c r="F409" s="6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21.75" customHeight="1" x14ac:dyDescent="0.6">
      <c r="A410" s="1"/>
      <c r="B410" s="6"/>
      <c r="C410" s="1"/>
      <c r="D410" s="6"/>
      <c r="E410" s="1"/>
      <c r="F410" s="6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21.75" customHeight="1" x14ac:dyDescent="0.6">
      <c r="A411" s="1"/>
      <c r="B411" s="6"/>
      <c r="C411" s="1"/>
      <c r="D411" s="6"/>
      <c r="E411" s="1"/>
      <c r="F411" s="6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21.75" customHeight="1" x14ac:dyDescent="0.6">
      <c r="A412" s="1"/>
      <c r="B412" s="6"/>
      <c r="C412" s="1"/>
      <c r="D412" s="6"/>
      <c r="E412" s="1"/>
      <c r="F412" s="6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21.75" customHeight="1" x14ac:dyDescent="0.6">
      <c r="A413" s="1"/>
      <c r="B413" s="6"/>
      <c r="C413" s="1"/>
      <c r="D413" s="6"/>
      <c r="E413" s="1"/>
      <c r="F413" s="6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21.75" customHeight="1" x14ac:dyDescent="0.6">
      <c r="A414" s="1"/>
      <c r="B414" s="6"/>
      <c r="C414" s="1"/>
      <c r="D414" s="6"/>
      <c r="E414" s="1"/>
      <c r="F414" s="6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21.75" customHeight="1" x14ac:dyDescent="0.6">
      <c r="A415" s="1"/>
      <c r="B415" s="6"/>
      <c r="C415" s="1"/>
      <c r="D415" s="6"/>
      <c r="E415" s="1"/>
      <c r="F415" s="6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21.75" customHeight="1" x14ac:dyDescent="0.6">
      <c r="A416" s="1"/>
      <c r="B416" s="6"/>
      <c r="C416" s="1"/>
      <c r="D416" s="6"/>
      <c r="E416" s="1"/>
      <c r="F416" s="6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21.75" customHeight="1" x14ac:dyDescent="0.6">
      <c r="A417" s="1"/>
      <c r="B417" s="6"/>
      <c r="C417" s="1"/>
      <c r="D417" s="6"/>
      <c r="E417" s="1"/>
      <c r="F417" s="6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21.75" customHeight="1" x14ac:dyDescent="0.6">
      <c r="A418" s="1"/>
      <c r="B418" s="6"/>
      <c r="C418" s="1"/>
      <c r="D418" s="6"/>
      <c r="E418" s="1"/>
      <c r="F418" s="6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21.75" customHeight="1" x14ac:dyDescent="0.6">
      <c r="A419" s="1"/>
      <c r="B419" s="6"/>
      <c r="C419" s="1"/>
      <c r="D419" s="6"/>
      <c r="E419" s="1"/>
      <c r="F419" s="6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21.75" customHeight="1" x14ac:dyDescent="0.6">
      <c r="A420" s="1"/>
      <c r="B420" s="6"/>
      <c r="C420" s="1"/>
      <c r="D420" s="6"/>
      <c r="E420" s="1"/>
      <c r="F420" s="6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21.75" customHeight="1" x14ac:dyDescent="0.6">
      <c r="A421" s="1"/>
      <c r="B421" s="6"/>
      <c r="C421" s="1"/>
      <c r="D421" s="6"/>
      <c r="E421" s="1"/>
      <c r="F421" s="6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21.75" customHeight="1" x14ac:dyDescent="0.6">
      <c r="A422" s="1"/>
      <c r="B422" s="6"/>
      <c r="C422" s="1"/>
      <c r="D422" s="6"/>
      <c r="E422" s="1"/>
      <c r="F422" s="6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21.75" customHeight="1" x14ac:dyDescent="0.6">
      <c r="A423" s="1"/>
      <c r="B423" s="6"/>
      <c r="C423" s="1"/>
      <c r="D423" s="6"/>
      <c r="E423" s="1"/>
      <c r="F423" s="6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21.75" customHeight="1" x14ac:dyDescent="0.6">
      <c r="A424" s="1"/>
      <c r="B424" s="6"/>
      <c r="C424" s="1"/>
      <c r="D424" s="6"/>
      <c r="E424" s="1"/>
      <c r="F424" s="6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21.75" customHeight="1" x14ac:dyDescent="0.6">
      <c r="A425" s="1"/>
      <c r="B425" s="6"/>
      <c r="C425" s="1"/>
      <c r="D425" s="6"/>
      <c r="E425" s="1"/>
      <c r="F425" s="6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21.75" customHeight="1" x14ac:dyDescent="0.6">
      <c r="A426" s="1"/>
      <c r="B426" s="6"/>
      <c r="C426" s="1"/>
      <c r="D426" s="6"/>
      <c r="E426" s="1"/>
      <c r="F426" s="6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21.75" customHeight="1" x14ac:dyDescent="0.6">
      <c r="A427" s="1"/>
      <c r="B427" s="6"/>
      <c r="C427" s="1"/>
      <c r="D427" s="6"/>
      <c r="E427" s="1"/>
      <c r="F427" s="6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21.75" customHeight="1" x14ac:dyDescent="0.6">
      <c r="A428" s="1"/>
      <c r="B428" s="6"/>
      <c r="C428" s="1"/>
      <c r="D428" s="6"/>
      <c r="E428" s="1"/>
      <c r="F428" s="6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21.75" customHeight="1" x14ac:dyDescent="0.6">
      <c r="A429" s="1"/>
      <c r="B429" s="6"/>
      <c r="C429" s="1"/>
      <c r="D429" s="6"/>
      <c r="E429" s="1"/>
      <c r="F429" s="6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21.75" customHeight="1" x14ac:dyDescent="0.6">
      <c r="A430" s="1"/>
      <c r="B430" s="6"/>
      <c r="C430" s="1"/>
      <c r="D430" s="6"/>
      <c r="E430" s="1"/>
      <c r="F430" s="6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21.75" customHeight="1" x14ac:dyDescent="0.6">
      <c r="A431" s="1"/>
      <c r="B431" s="6"/>
      <c r="C431" s="1"/>
      <c r="D431" s="6"/>
      <c r="E431" s="1"/>
      <c r="F431" s="6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21.75" customHeight="1" x14ac:dyDescent="0.6">
      <c r="A432" s="1"/>
      <c r="B432" s="6"/>
      <c r="C432" s="1"/>
      <c r="D432" s="6"/>
      <c r="E432" s="1"/>
      <c r="F432" s="6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21.75" customHeight="1" x14ac:dyDescent="0.6">
      <c r="A433" s="1"/>
      <c r="B433" s="6"/>
      <c r="C433" s="1"/>
      <c r="D433" s="6"/>
      <c r="E433" s="1"/>
      <c r="F433" s="6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21.75" customHeight="1" x14ac:dyDescent="0.6">
      <c r="A434" s="1"/>
      <c r="B434" s="6"/>
      <c r="C434" s="1"/>
      <c r="D434" s="6"/>
      <c r="E434" s="1"/>
      <c r="F434" s="6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21.75" customHeight="1" x14ac:dyDescent="0.6">
      <c r="A435" s="1"/>
      <c r="B435" s="6"/>
      <c r="C435" s="1"/>
      <c r="D435" s="6"/>
      <c r="E435" s="1"/>
      <c r="F435" s="6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21.75" customHeight="1" x14ac:dyDescent="0.6">
      <c r="A436" s="1"/>
      <c r="B436" s="6"/>
      <c r="C436" s="1"/>
      <c r="D436" s="6"/>
      <c r="E436" s="1"/>
      <c r="F436" s="6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21.75" customHeight="1" x14ac:dyDescent="0.6">
      <c r="A437" s="1"/>
      <c r="B437" s="6"/>
      <c r="C437" s="1"/>
      <c r="D437" s="6"/>
      <c r="E437" s="1"/>
      <c r="F437" s="6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21.75" customHeight="1" x14ac:dyDescent="0.6">
      <c r="A438" s="1"/>
      <c r="B438" s="6"/>
      <c r="C438" s="1"/>
      <c r="D438" s="6"/>
      <c r="E438" s="1"/>
      <c r="F438" s="6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21.75" customHeight="1" x14ac:dyDescent="0.6">
      <c r="A439" s="1"/>
      <c r="B439" s="6"/>
      <c r="C439" s="1"/>
      <c r="D439" s="6"/>
      <c r="E439" s="1"/>
      <c r="F439" s="6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21.75" customHeight="1" x14ac:dyDescent="0.6">
      <c r="A440" s="1"/>
      <c r="B440" s="6"/>
      <c r="C440" s="1"/>
      <c r="D440" s="6"/>
      <c r="E440" s="1"/>
      <c r="F440" s="6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21.75" customHeight="1" x14ac:dyDescent="0.6">
      <c r="A441" s="1"/>
      <c r="B441" s="6"/>
      <c r="C441" s="1"/>
      <c r="D441" s="6"/>
      <c r="E441" s="1"/>
      <c r="F441" s="6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21.75" customHeight="1" x14ac:dyDescent="0.6">
      <c r="A442" s="1"/>
      <c r="B442" s="6"/>
      <c r="C442" s="1"/>
      <c r="D442" s="6"/>
      <c r="E442" s="1"/>
      <c r="F442" s="6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21.75" customHeight="1" x14ac:dyDescent="0.6">
      <c r="A443" s="1"/>
      <c r="B443" s="6"/>
      <c r="C443" s="1"/>
      <c r="D443" s="6"/>
      <c r="E443" s="1"/>
      <c r="F443" s="6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21.75" customHeight="1" x14ac:dyDescent="0.6">
      <c r="A444" s="1"/>
      <c r="B444" s="6"/>
      <c r="C444" s="1"/>
      <c r="D444" s="6"/>
      <c r="E444" s="1"/>
      <c r="F444" s="6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21.75" customHeight="1" x14ac:dyDescent="0.6">
      <c r="A445" s="1"/>
      <c r="B445" s="6"/>
      <c r="C445" s="1"/>
      <c r="D445" s="6"/>
      <c r="E445" s="1"/>
      <c r="F445" s="6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21.75" customHeight="1" x14ac:dyDescent="0.6">
      <c r="A446" s="1"/>
      <c r="B446" s="6"/>
      <c r="C446" s="1"/>
      <c r="D446" s="6"/>
      <c r="E446" s="1"/>
      <c r="F446" s="6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21.75" customHeight="1" x14ac:dyDescent="0.6">
      <c r="A447" s="1"/>
      <c r="B447" s="6"/>
      <c r="C447" s="1"/>
      <c r="D447" s="6"/>
      <c r="E447" s="1"/>
      <c r="F447" s="6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21.75" customHeight="1" x14ac:dyDescent="0.6">
      <c r="A448" s="1"/>
      <c r="B448" s="6"/>
      <c r="C448" s="1"/>
      <c r="D448" s="6"/>
      <c r="E448" s="1"/>
      <c r="F448" s="6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21.75" customHeight="1" x14ac:dyDescent="0.6">
      <c r="A449" s="1"/>
      <c r="B449" s="6"/>
      <c r="C449" s="1"/>
      <c r="D449" s="6"/>
      <c r="E449" s="1"/>
      <c r="F449" s="6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21.75" customHeight="1" x14ac:dyDescent="0.6">
      <c r="A450" s="1"/>
      <c r="B450" s="6"/>
      <c r="C450" s="1"/>
      <c r="D450" s="6"/>
      <c r="E450" s="1"/>
      <c r="F450" s="6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21.75" customHeight="1" x14ac:dyDescent="0.6">
      <c r="A451" s="1"/>
      <c r="B451" s="6"/>
      <c r="C451" s="1"/>
      <c r="D451" s="6"/>
      <c r="E451" s="1"/>
      <c r="F451" s="6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21.75" customHeight="1" x14ac:dyDescent="0.6">
      <c r="A452" s="1"/>
      <c r="B452" s="6"/>
      <c r="C452" s="1"/>
      <c r="D452" s="6"/>
      <c r="E452" s="1"/>
      <c r="F452" s="6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21.75" customHeight="1" x14ac:dyDescent="0.6">
      <c r="A453" s="1"/>
      <c r="B453" s="6"/>
      <c r="C453" s="1"/>
      <c r="D453" s="6"/>
      <c r="E453" s="1"/>
      <c r="F453" s="6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21.75" customHeight="1" x14ac:dyDescent="0.6">
      <c r="A454" s="1"/>
      <c r="B454" s="6"/>
      <c r="C454" s="1"/>
      <c r="D454" s="6"/>
      <c r="E454" s="1"/>
      <c r="F454" s="6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21.75" customHeight="1" x14ac:dyDescent="0.6">
      <c r="A455" s="1"/>
      <c r="B455" s="6"/>
      <c r="C455" s="1"/>
      <c r="D455" s="6"/>
      <c r="E455" s="1"/>
      <c r="F455" s="6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21.75" customHeight="1" x14ac:dyDescent="0.6">
      <c r="A456" s="1"/>
      <c r="B456" s="6"/>
      <c r="C456" s="1"/>
      <c r="D456" s="6"/>
      <c r="E456" s="1"/>
      <c r="F456" s="6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21.75" customHeight="1" x14ac:dyDescent="0.6">
      <c r="A457" s="1"/>
      <c r="B457" s="6"/>
      <c r="C457" s="1"/>
      <c r="D457" s="6"/>
      <c r="E457" s="1"/>
      <c r="F457" s="6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21.75" customHeight="1" x14ac:dyDescent="0.6">
      <c r="A458" s="1"/>
      <c r="B458" s="6"/>
      <c r="C458" s="1"/>
      <c r="D458" s="6"/>
      <c r="E458" s="1"/>
      <c r="F458" s="6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21.75" customHeight="1" x14ac:dyDescent="0.6">
      <c r="A459" s="1"/>
      <c r="B459" s="6"/>
      <c r="C459" s="1"/>
      <c r="D459" s="6"/>
      <c r="E459" s="1"/>
      <c r="F459" s="6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21.75" customHeight="1" x14ac:dyDescent="0.6">
      <c r="A460" s="1"/>
      <c r="B460" s="6"/>
      <c r="C460" s="1"/>
      <c r="D460" s="6"/>
      <c r="E460" s="1"/>
      <c r="F460" s="6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21.75" customHeight="1" x14ac:dyDescent="0.6">
      <c r="A461" s="1"/>
      <c r="B461" s="6"/>
      <c r="C461" s="1"/>
      <c r="D461" s="6"/>
      <c r="E461" s="1"/>
      <c r="F461" s="6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21.75" customHeight="1" x14ac:dyDescent="0.6">
      <c r="A462" s="1"/>
      <c r="B462" s="6"/>
      <c r="C462" s="1"/>
      <c r="D462" s="6"/>
      <c r="E462" s="1"/>
      <c r="F462" s="6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21.75" customHeight="1" x14ac:dyDescent="0.6">
      <c r="A463" s="1"/>
      <c r="B463" s="6"/>
      <c r="C463" s="1"/>
      <c r="D463" s="6"/>
      <c r="E463" s="1"/>
      <c r="F463" s="6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21.75" customHeight="1" x14ac:dyDescent="0.6">
      <c r="A464" s="1"/>
      <c r="B464" s="6"/>
      <c r="C464" s="1"/>
      <c r="D464" s="6"/>
      <c r="E464" s="1"/>
      <c r="F464" s="6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21.75" customHeight="1" x14ac:dyDescent="0.6">
      <c r="A465" s="1"/>
      <c r="B465" s="6"/>
      <c r="C465" s="1"/>
      <c r="D465" s="6"/>
      <c r="E465" s="1"/>
      <c r="F465" s="6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21.75" customHeight="1" x14ac:dyDescent="0.6">
      <c r="A466" s="1"/>
      <c r="B466" s="6"/>
      <c r="C466" s="1"/>
      <c r="D466" s="6"/>
      <c r="E466" s="1"/>
      <c r="F466" s="6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21.75" customHeight="1" x14ac:dyDescent="0.6">
      <c r="A467" s="1"/>
      <c r="B467" s="6"/>
      <c r="C467" s="1"/>
      <c r="D467" s="6"/>
      <c r="E467" s="1"/>
      <c r="F467" s="6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21.75" customHeight="1" x14ac:dyDescent="0.6">
      <c r="A468" s="1"/>
      <c r="B468" s="6"/>
      <c r="C468" s="1"/>
      <c r="D468" s="6"/>
      <c r="E468" s="1"/>
      <c r="F468" s="6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21.75" customHeight="1" x14ac:dyDescent="0.6">
      <c r="A469" s="1"/>
      <c r="B469" s="6"/>
      <c r="C469" s="1"/>
      <c r="D469" s="6"/>
      <c r="E469" s="1"/>
      <c r="F469" s="6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21.75" customHeight="1" x14ac:dyDescent="0.6">
      <c r="A470" s="1"/>
      <c r="B470" s="6"/>
      <c r="C470" s="1"/>
      <c r="D470" s="6"/>
      <c r="E470" s="1"/>
      <c r="F470" s="6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21.75" customHeight="1" x14ac:dyDescent="0.6">
      <c r="A471" s="1"/>
      <c r="B471" s="6"/>
      <c r="C471" s="1"/>
      <c r="D471" s="6"/>
      <c r="E471" s="1"/>
      <c r="F471" s="6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21.75" customHeight="1" x14ac:dyDescent="0.6">
      <c r="A472" s="1"/>
      <c r="B472" s="6"/>
      <c r="C472" s="1"/>
      <c r="D472" s="6"/>
      <c r="E472" s="1"/>
      <c r="F472" s="6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21.75" customHeight="1" x14ac:dyDescent="0.6">
      <c r="A473" s="1"/>
      <c r="B473" s="6"/>
      <c r="C473" s="1"/>
      <c r="D473" s="6"/>
      <c r="E473" s="1"/>
      <c r="F473" s="6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21.75" customHeight="1" x14ac:dyDescent="0.6">
      <c r="A474" s="1"/>
      <c r="B474" s="6"/>
      <c r="C474" s="1"/>
      <c r="D474" s="6"/>
      <c r="E474" s="1"/>
      <c r="F474" s="6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21.75" customHeight="1" x14ac:dyDescent="0.6">
      <c r="A475" s="1"/>
      <c r="B475" s="6"/>
      <c r="C475" s="1"/>
      <c r="D475" s="6"/>
      <c r="E475" s="1"/>
      <c r="F475" s="6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21.75" customHeight="1" x14ac:dyDescent="0.6">
      <c r="A476" s="1"/>
      <c r="B476" s="6"/>
      <c r="C476" s="1"/>
      <c r="D476" s="6"/>
      <c r="E476" s="1"/>
      <c r="F476" s="6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21.75" customHeight="1" x14ac:dyDescent="0.6">
      <c r="A477" s="1"/>
      <c r="B477" s="6"/>
      <c r="C477" s="1"/>
      <c r="D477" s="6"/>
      <c r="E477" s="1"/>
      <c r="F477" s="6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21.75" customHeight="1" x14ac:dyDescent="0.6">
      <c r="A478" s="1"/>
      <c r="B478" s="6"/>
      <c r="C478" s="1"/>
      <c r="D478" s="6"/>
      <c r="E478" s="1"/>
      <c r="F478" s="6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21.75" customHeight="1" x14ac:dyDescent="0.6">
      <c r="A479" s="1"/>
      <c r="B479" s="6"/>
      <c r="C479" s="1"/>
      <c r="D479" s="6"/>
      <c r="E479" s="1"/>
      <c r="F479" s="6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21.75" customHeight="1" x14ac:dyDescent="0.6">
      <c r="A480" s="1"/>
      <c r="B480" s="6"/>
      <c r="C480" s="1"/>
      <c r="D480" s="6"/>
      <c r="E480" s="1"/>
      <c r="F480" s="6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21.75" customHeight="1" x14ac:dyDescent="0.6">
      <c r="A481" s="1"/>
      <c r="B481" s="6"/>
      <c r="C481" s="1"/>
      <c r="D481" s="6"/>
      <c r="E481" s="1"/>
      <c r="F481" s="6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21.75" customHeight="1" x14ac:dyDescent="0.6">
      <c r="A482" s="1"/>
      <c r="B482" s="6"/>
      <c r="C482" s="1"/>
      <c r="D482" s="6"/>
      <c r="E482" s="1"/>
      <c r="F482" s="6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21.75" customHeight="1" x14ac:dyDescent="0.6">
      <c r="A483" s="1"/>
      <c r="B483" s="6"/>
      <c r="C483" s="1"/>
      <c r="D483" s="6"/>
      <c r="E483" s="1"/>
      <c r="F483" s="6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21.75" customHeight="1" x14ac:dyDescent="0.6">
      <c r="A484" s="1"/>
      <c r="B484" s="6"/>
      <c r="C484" s="1"/>
      <c r="D484" s="6"/>
      <c r="E484" s="1"/>
      <c r="F484" s="6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21.75" customHeight="1" x14ac:dyDescent="0.6">
      <c r="A485" s="1"/>
      <c r="B485" s="6"/>
      <c r="C485" s="1"/>
      <c r="D485" s="6"/>
      <c r="E485" s="1"/>
      <c r="F485" s="6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21.75" customHeight="1" x14ac:dyDescent="0.6">
      <c r="A486" s="1"/>
      <c r="B486" s="6"/>
      <c r="C486" s="1"/>
      <c r="D486" s="6"/>
      <c r="E486" s="1"/>
      <c r="F486" s="6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21.75" customHeight="1" x14ac:dyDescent="0.6">
      <c r="A487" s="1"/>
      <c r="B487" s="6"/>
      <c r="C487" s="1"/>
      <c r="D487" s="6"/>
      <c r="E487" s="1"/>
      <c r="F487" s="6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21.75" customHeight="1" x14ac:dyDescent="0.6">
      <c r="A488" s="1"/>
      <c r="B488" s="6"/>
      <c r="C488" s="1"/>
      <c r="D488" s="6"/>
      <c r="E488" s="1"/>
      <c r="F488" s="6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21.75" customHeight="1" x14ac:dyDescent="0.6">
      <c r="A489" s="1"/>
      <c r="B489" s="6"/>
      <c r="C489" s="1"/>
      <c r="D489" s="6"/>
      <c r="E489" s="1"/>
      <c r="F489" s="6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21.75" customHeight="1" x14ac:dyDescent="0.6">
      <c r="A490" s="1"/>
      <c r="B490" s="6"/>
      <c r="C490" s="1"/>
      <c r="D490" s="6"/>
      <c r="E490" s="1"/>
      <c r="F490" s="6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21.75" customHeight="1" x14ac:dyDescent="0.6">
      <c r="A491" s="1"/>
      <c r="B491" s="6"/>
      <c r="C491" s="1"/>
      <c r="D491" s="6"/>
      <c r="E491" s="1"/>
      <c r="F491" s="6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21.75" customHeight="1" x14ac:dyDescent="0.6">
      <c r="A492" s="1"/>
      <c r="B492" s="6"/>
      <c r="C492" s="1"/>
      <c r="D492" s="6"/>
      <c r="E492" s="1"/>
      <c r="F492" s="6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21.75" customHeight="1" x14ac:dyDescent="0.6">
      <c r="A493" s="1"/>
      <c r="B493" s="6"/>
      <c r="C493" s="1"/>
      <c r="D493" s="6"/>
      <c r="E493" s="1"/>
      <c r="F493" s="6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21.75" customHeight="1" x14ac:dyDescent="0.6">
      <c r="A494" s="1"/>
      <c r="B494" s="6"/>
      <c r="C494" s="1"/>
      <c r="D494" s="6"/>
      <c r="E494" s="1"/>
      <c r="F494" s="6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21.75" customHeight="1" x14ac:dyDescent="0.6">
      <c r="A495" s="1"/>
      <c r="B495" s="6"/>
      <c r="C495" s="1"/>
      <c r="D495" s="6"/>
      <c r="E495" s="1"/>
      <c r="F495" s="6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21.75" customHeight="1" x14ac:dyDescent="0.6">
      <c r="A496" s="1"/>
      <c r="B496" s="6"/>
      <c r="C496" s="1"/>
      <c r="D496" s="6"/>
      <c r="E496" s="1"/>
      <c r="F496" s="6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21.75" customHeight="1" x14ac:dyDescent="0.6">
      <c r="A497" s="1"/>
      <c r="B497" s="6"/>
      <c r="C497" s="1"/>
      <c r="D497" s="6"/>
      <c r="E497" s="1"/>
      <c r="F497" s="6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21.75" customHeight="1" x14ac:dyDescent="0.6">
      <c r="A498" s="1"/>
      <c r="B498" s="6"/>
      <c r="C498" s="1"/>
      <c r="D498" s="6"/>
      <c r="E498" s="1"/>
      <c r="F498" s="6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21.75" customHeight="1" x14ac:dyDescent="0.6">
      <c r="A499" s="1"/>
      <c r="B499" s="6"/>
      <c r="C499" s="1"/>
      <c r="D499" s="6"/>
      <c r="E499" s="1"/>
      <c r="F499" s="6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21.75" customHeight="1" x14ac:dyDescent="0.6">
      <c r="A500" s="1"/>
      <c r="B500" s="6"/>
      <c r="C500" s="1"/>
      <c r="D500" s="6"/>
      <c r="E500" s="1"/>
      <c r="F500" s="6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21.75" customHeight="1" x14ac:dyDescent="0.6">
      <c r="A501" s="1"/>
      <c r="B501" s="6"/>
      <c r="C501" s="1"/>
      <c r="D501" s="6"/>
      <c r="E501" s="1"/>
      <c r="F501" s="6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21.75" customHeight="1" x14ac:dyDescent="0.6">
      <c r="A502" s="1"/>
      <c r="B502" s="6"/>
      <c r="C502" s="1"/>
      <c r="D502" s="6"/>
      <c r="E502" s="1"/>
      <c r="F502" s="6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21.75" customHeight="1" x14ac:dyDescent="0.6">
      <c r="A503" s="1"/>
      <c r="B503" s="6"/>
      <c r="C503" s="1"/>
      <c r="D503" s="6"/>
      <c r="E503" s="1"/>
      <c r="F503" s="6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21.75" customHeight="1" x14ac:dyDescent="0.6">
      <c r="A504" s="1"/>
      <c r="B504" s="6"/>
      <c r="C504" s="1"/>
      <c r="D504" s="6"/>
      <c r="E504" s="1"/>
      <c r="F504" s="6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21.75" customHeight="1" x14ac:dyDescent="0.6">
      <c r="A505" s="1"/>
      <c r="B505" s="6"/>
      <c r="C505" s="1"/>
      <c r="D505" s="6"/>
      <c r="E505" s="1"/>
      <c r="F505" s="6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21.75" customHeight="1" x14ac:dyDescent="0.6">
      <c r="A506" s="1"/>
      <c r="B506" s="6"/>
      <c r="C506" s="1"/>
      <c r="D506" s="6"/>
      <c r="E506" s="1"/>
      <c r="F506" s="6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21.75" customHeight="1" x14ac:dyDescent="0.6">
      <c r="A507" s="1"/>
      <c r="B507" s="6"/>
      <c r="C507" s="1"/>
      <c r="D507" s="6"/>
      <c r="E507" s="1"/>
      <c r="F507" s="6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21.75" customHeight="1" x14ac:dyDescent="0.6">
      <c r="A508" s="1"/>
      <c r="B508" s="6"/>
      <c r="C508" s="1"/>
      <c r="D508" s="6"/>
      <c r="E508" s="1"/>
      <c r="F508" s="6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21.75" customHeight="1" x14ac:dyDescent="0.6">
      <c r="A509" s="1"/>
      <c r="B509" s="6"/>
      <c r="C509" s="1"/>
      <c r="D509" s="6"/>
      <c r="E509" s="1"/>
      <c r="F509" s="6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21.75" customHeight="1" x14ac:dyDescent="0.6">
      <c r="A510" s="1"/>
      <c r="B510" s="6"/>
      <c r="C510" s="1"/>
      <c r="D510" s="6"/>
      <c r="E510" s="1"/>
      <c r="F510" s="6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21.75" customHeight="1" x14ac:dyDescent="0.6">
      <c r="A511" s="1"/>
      <c r="B511" s="6"/>
      <c r="C511" s="1"/>
      <c r="D511" s="6"/>
      <c r="E511" s="1"/>
      <c r="F511" s="6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21.75" customHeight="1" x14ac:dyDescent="0.6">
      <c r="A512" s="1"/>
      <c r="B512" s="6"/>
      <c r="C512" s="1"/>
      <c r="D512" s="6"/>
      <c r="E512" s="1"/>
      <c r="F512" s="6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21.75" customHeight="1" x14ac:dyDescent="0.6">
      <c r="A513" s="1"/>
      <c r="B513" s="6"/>
      <c r="C513" s="1"/>
      <c r="D513" s="6"/>
      <c r="E513" s="1"/>
      <c r="F513" s="6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21.75" customHeight="1" x14ac:dyDescent="0.6">
      <c r="A514" s="1"/>
      <c r="B514" s="6"/>
      <c r="C514" s="1"/>
      <c r="D514" s="6"/>
      <c r="E514" s="1"/>
      <c r="F514" s="6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21.75" customHeight="1" x14ac:dyDescent="0.6">
      <c r="A515" s="1"/>
      <c r="B515" s="6"/>
      <c r="C515" s="1"/>
      <c r="D515" s="6"/>
      <c r="E515" s="1"/>
      <c r="F515" s="6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21.75" customHeight="1" x14ac:dyDescent="0.6">
      <c r="A516" s="1"/>
      <c r="B516" s="6"/>
      <c r="C516" s="1"/>
      <c r="D516" s="6"/>
      <c r="E516" s="1"/>
      <c r="F516" s="6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21.75" customHeight="1" x14ac:dyDescent="0.6">
      <c r="A517" s="1"/>
      <c r="B517" s="6"/>
      <c r="C517" s="1"/>
      <c r="D517" s="6"/>
      <c r="E517" s="1"/>
      <c r="F517" s="6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21.75" customHeight="1" x14ac:dyDescent="0.6">
      <c r="A518" s="1"/>
      <c r="B518" s="6"/>
      <c r="C518" s="1"/>
      <c r="D518" s="6"/>
      <c r="E518" s="1"/>
      <c r="F518" s="6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21.75" customHeight="1" x14ac:dyDescent="0.6">
      <c r="A519" s="1"/>
      <c r="B519" s="6"/>
      <c r="C519" s="1"/>
      <c r="D519" s="6"/>
      <c r="E519" s="1"/>
      <c r="F519" s="6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21.75" customHeight="1" x14ac:dyDescent="0.6">
      <c r="A520" s="1"/>
      <c r="B520" s="6"/>
      <c r="C520" s="1"/>
      <c r="D520" s="6"/>
      <c r="E520" s="1"/>
      <c r="F520" s="6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21.75" customHeight="1" x14ac:dyDescent="0.6">
      <c r="A521" s="1"/>
      <c r="B521" s="6"/>
      <c r="C521" s="1"/>
      <c r="D521" s="6"/>
      <c r="E521" s="1"/>
      <c r="F521" s="6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21.75" customHeight="1" x14ac:dyDescent="0.6">
      <c r="A522" s="1"/>
      <c r="B522" s="6"/>
      <c r="C522" s="1"/>
      <c r="D522" s="6"/>
      <c r="E522" s="1"/>
      <c r="F522" s="6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21.75" customHeight="1" x14ac:dyDescent="0.6">
      <c r="A523" s="1"/>
      <c r="B523" s="6"/>
      <c r="C523" s="1"/>
      <c r="D523" s="6"/>
      <c r="E523" s="1"/>
      <c r="F523" s="6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21.75" customHeight="1" x14ac:dyDescent="0.6">
      <c r="A524" s="1"/>
      <c r="B524" s="6"/>
      <c r="C524" s="1"/>
      <c r="D524" s="6"/>
      <c r="E524" s="1"/>
      <c r="F524" s="6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21.75" customHeight="1" x14ac:dyDescent="0.6">
      <c r="A525" s="1"/>
      <c r="B525" s="6"/>
      <c r="C525" s="1"/>
      <c r="D525" s="6"/>
      <c r="E525" s="1"/>
      <c r="F525" s="6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21.75" customHeight="1" x14ac:dyDescent="0.6">
      <c r="A526" s="1"/>
      <c r="B526" s="6"/>
      <c r="C526" s="1"/>
      <c r="D526" s="6"/>
      <c r="E526" s="1"/>
      <c r="F526" s="6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21.75" customHeight="1" x14ac:dyDescent="0.6">
      <c r="A527" s="1"/>
      <c r="B527" s="6"/>
      <c r="C527" s="1"/>
      <c r="D527" s="6"/>
      <c r="E527" s="1"/>
      <c r="F527" s="6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21.75" customHeight="1" x14ac:dyDescent="0.6">
      <c r="A528" s="1"/>
      <c r="B528" s="6"/>
      <c r="C528" s="1"/>
      <c r="D528" s="6"/>
      <c r="E528" s="1"/>
      <c r="F528" s="6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21.75" customHeight="1" x14ac:dyDescent="0.6">
      <c r="A529" s="1"/>
      <c r="B529" s="6"/>
      <c r="C529" s="1"/>
      <c r="D529" s="6"/>
      <c r="E529" s="1"/>
      <c r="F529" s="6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21.75" customHeight="1" x14ac:dyDescent="0.6">
      <c r="A530" s="1"/>
      <c r="B530" s="6"/>
      <c r="C530" s="1"/>
      <c r="D530" s="6"/>
      <c r="E530" s="1"/>
      <c r="F530" s="6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21.75" customHeight="1" x14ac:dyDescent="0.6">
      <c r="A531" s="1"/>
      <c r="B531" s="6"/>
      <c r="C531" s="1"/>
      <c r="D531" s="6"/>
      <c r="E531" s="1"/>
      <c r="F531" s="6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21.75" customHeight="1" x14ac:dyDescent="0.6">
      <c r="A532" s="1"/>
      <c r="B532" s="6"/>
      <c r="C532" s="1"/>
      <c r="D532" s="6"/>
      <c r="E532" s="1"/>
      <c r="F532" s="6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21.75" customHeight="1" x14ac:dyDescent="0.6">
      <c r="A533" s="1"/>
      <c r="B533" s="6"/>
      <c r="C533" s="1"/>
      <c r="D533" s="6"/>
      <c r="E533" s="1"/>
      <c r="F533" s="6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21.75" customHeight="1" x14ac:dyDescent="0.6">
      <c r="A534" s="1"/>
      <c r="B534" s="6"/>
      <c r="C534" s="1"/>
      <c r="D534" s="6"/>
      <c r="E534" s="1"/>
      <c r="F534" s="6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21.75" customHeight="1" x14ac:dyDescent="0.6">
      <c r="A535" s="1"/>
      <c r="B535" s="6"/>
      <c r="C535" s="1"/>
      <c r="D535" s="6"/>
      <c r="E535" s="1"/>
      <c r="F535" s="6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21.75" customHeight="1" x14ac:dyDescent="0.6">
      <c r="A536" s="1"/>
      <c r="B536" s="6"/>
      <c r="C536" s="1"/>
      <c r="D536" s="6"/>
      <c r="E536" s="1"/>
      <c r="F536" s="6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21.75" customHeight="1" x14ac:dyDescent="0.6">
      <c r="A537" s="1"/>
      <c r="B537" s="6"/>
      <c r="C537" s="1"/>
      <c r="D537" s="6"/>
      <c r="E537" s="1"/>
      <c r="F537" s="6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21.75" customHeight="1" x14ac:dyDescent="0.6">
      <c r="A538" s="1"/>
      <c r="B538" s="6"/>
      <c r="C538" s="1"/>
      <c r="D538" s="6"/>
      <c r="E538" s="1"/>
      <c r="F538" s="6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21.75" customHeight="1" x14ac:dyDescent="0.6">
      <c r="A539" s="1"/>
      <c r="B539" s="6"/>
      <c r="C539" s="1"/>
      <c r="D539" s="6"/>
      <c r="E539" s="1"/>
      <c r="F539" s="6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21.75" customHeight="1" x14ac:dyDescent="0.6">
      <c r="A540" s="1"/>
      <c r="B540" s="6"/>
      <c r="C540" s="1"/>
      <c r="D540" s="6"/>
      <c r="E540" s="1"/>
      <c r="F540" s="6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21.75" customHeight="1" x14ac:dyDescent="0.6">
      <c r="A541" s="1"/>
      <c r="B541" s="6"/>
      <c r="C541" s="1"/>
      <c r="D541" s="6"/>
      <c r="E541" s="1"/>
      <c r="F541" s="6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21.75" customHeight="1" x14ac:dyDescent="0.6">
      <c r="A542" s="1"/>
      <c r="B542" s="6"/>
      <c r="C542" s="1"/>
      <c r="D542" s="6"/>
      <c r="E542" s="1"/>
      <c r="F542" s="6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21.75" customHeight="1" x14ac:dyDescent="0.6">
      <c r="A543" s="1"/>
      <c r="B543" s="6"/>
      <c r="C543" s="1"/>
      <c r="D543" s="6"/>
      <c r="E543" s="1"/>
      <c r="F543" s="6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21.75" customHeight="1" x14ac:dyDescent="0.6">
      <c r="A544" s="1"/>
      <c r="B544" s="6"/>
      <c r="C544" s="1"/>
      <c r="D544" s="6"/>
      <c r="E544" s="1"/>
      <c r="F544" s="6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21.75" customHeight="1" x14ac:dyDescent="0.6">
      <c r="A545" s="1"/>
      <c r="B545" s="6"/>
      <c r="C545" s="1"/>
      <c r="D545" s="6"/>
      <c r="E545" s="1"/>
      <c r="F545" s="6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21.75" customHeight="1" x14ac:dyDescent="0.6">
      <c r="A546" s="1"/>
      <c r="B546" s="6"/>
      <c r="C546" s="1"/>
      <c r="D546" s="6"/>
      <c r="E546" s="1"/>
      <c r="F546" s="6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21.75" customHeight="1" x14ac:dyDescent="0.6">
      <c r="A547" s="1"/>
      <c r="B547" s="6"/>
      <c r="C547" s="1"/>
      <c r="D547" s="6"/>
      <c r="E547" s="1"/>
      <c r="F547" s="6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21.75" customHeight="1" x14ac:dyDescent="0.6">
      <c r="A548" s="1"/>
      <c r="B548" s="6"/>
      <c r="C548" s="1"/>
      <c r="D548" s="6"/>
      <c r="E548" s="1"/>
      <c r="F548" s="6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21.75" customHeight="1" x14ac:dyDescent="0.6">
      <c r="A549" s="1"/>
      <c r="B549" s="6"/>
      <c r="C549" s="1"/>
      <c r="D549" s="6"/>
      <c r="E549" s="1"/>
      <c r="F549" s="6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21.75" customHeight="1" x14ac:dyDescent="0.6">
      <c r="A550" s="1"/>
      <c r="B550" s="6"/>
      <c r="C550" s="1"/>
      <c r="D550" s="6"/>
      <c r="E550" s="1"/>
      <c r="F550" s="6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21.75" customHeight="1" x14ac:dyDescent="0.6">
      <c r="A551" s="1"/>
      <c r="B551" s="6"/>
      <c r="C551" s="1"/>
      <c r="D551" s="6"/>
      <c r="E551" s="1"/>
      <c r="F551" s="6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21.75" customHeight="1" x14ac:dyDescent="0.6">
      <c r="A552" s="1"/>
      <c r="B552" s="6"/>
      <c r="C552" s="1"/>
      <c r="D552" s="6"/>
      <c r="E552" s="1"/>
      <c r="F552" s="6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21.75" customHeight="1" x14ac:dyDescent="0.6">
      <c r="A553" s="1"/>
      <c r="B553" s="6"/>
      <c r="C553" s="1"/>
      <c r="D553" s="6"/>
      <c r="E553" s="1"/>
      <c r="F553" s="6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21.75" customHeight="1" x14ac:dyDescent="0.6">
      <c r="A554" s="1"/>
      <c r="B554" s="6"/>
      <c r="C554" s="1"/>
      <c r="D554" s="6"/>
      <c r="E554" s="1"/>
      <c r="F554" s="6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21.75" customHeight="1" x14ac:dyDescent="0.6">
      <c r="A555" s="1"/>
      <c r="B555" s="6"/>
      <c r="C555" s="1"/>
      <c r="D555" s="6"/>
      <c r="E555" s="1"/>
      <c r="F555" s="6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21.75" customHeight="1" x14ac:dyDescent="0.6">
      <c r="A556" s="1"/>
      <c r="B556" s="6"/>
      <c r="C556" s="1"/>
      <c r="D556" s="6"/>
      <c r="E556" s="1"/>
      <c r="F556" s="6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21.75" customHeight="1" x14ac:dyDescent="0.6">
      <c r="A557" s="1"/>
      <c r="B557" s="6"/>
      <c r="C557" s="1"/>
      <c r="D557" s="6"/>
      <c r="E557" s="1"/>
      <c r="F557" s="6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21.75" customHeight="1" x14ac:dyDescent="0.6">
      <c r="A558" s="1"/>
      <c r="B558" s="6"/>
      <c r="C558" s="1"/>
      <c r="D558" s="6"/>
      <c r="E558" s="1"/>
      <c r="F558" s="6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21.75" customHeight="1" x14ac:dyDescent="0.6">
      <c r="A559" s="1"/>
      <c r="B559" s="6"/>
      <c r="C559" s="1"/>
      <c r="D559" s="6"/>
      <c r="E559" s="1"/>
      <c r="F559" s="6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21.75" customHeight="1" x14ac:dyDescent="0.6">
      <c r="A560" s="1"/>
      <c r="B560" s="6"/>
      <c r="C560" s="1"/>
      <c r="D560" s="6"/>
      <c r="E560" s="1"/>
      <c r="F560" s="6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21.75" customHeight="1" x14ac:dyDescent="0.6">
      <c r="A561" s="1"/>
      <c r="B561" s="6"/>
      <c r="C561" s="1"/>
      <c r="D561" s="6"/>
      <c r="E561" s="1"/>
      <c r="F561" s="6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21.75" customHeight="1" x14ac:dyDescent="0.6">
      <c r="A562" s="1"/>
      <c r="B562" s="6"/>
      <c r="C562" s="1"/>
      <c r="D562" s="6"/>
      <c r="E562" s="1"/>
      <c r="F562" s="6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21.75" customHeight="1" x14ac:dyDescent="0.6">
      <c r="A563" s="1"/>
      <c r="B563" s="6"/>
      <c r="C563" s="1"/>
      <c r="D563" s="6"/>
      <c r="E563" s="1"/>
      <c r="F563" s="6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21.75" customHeight="1" x14ac:dyDescent="0.6">
      <c r="A564" s="1"/>
      <c r="B564" s="6"/>
      <c r="C564" s="1"/>
      <c r="D564" s="6"/>
      <c r="E564" s="1"/>
      <c r="F564" s="6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21.75" customHeight="1" x14ac:dyDescent="0.6">
      <c r="A565" s="1"/>
      <c r="B565" s="6"/>
      <c r="C565" s="1"/>
      <c r="D565" s="6"/>
      <c r="E565" s="1"/>
      <c r="F565" s="6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21.75" customHeight="1" x14ac:dyDescent="0.6">
      <c r="A566" s="1"/>
      <c r="B566" s="6"/>
      <c r="C566" s="1"/>
      <c r="D566" s="6"/>
      <c r="E566" s="1"/>
      <c r="F566" s="6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21.75" customHeight="1" x14ac:dyDescent="0.6">
      <c r="A567" s="1"/>
      <c r="B567" s="6"/>
      <c r="C567" s="1"/>
      <c r="D567" s="6"/>
      <c r="E567" s="1"/>
      <c r="F567" s="6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21.75" customHeight="1" x14ac:dyDescent="0.6">
      <c r="A568" s="1"/>
      <c r="B568" s="6"/>
      <c r="C568" s="1"/>
      <c r="D568" s="6"/>
      <c r="E568" s="1"/>
      <c r="F568" s="6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21.75" customHeight="1" x14ac:dyDescent="0.6">
      <c r="A569" s="1"/>
      <c r="B569" s="6"/>
      <c r="C569" s="1"/>
      <c r="D569" s="6"/>
      <c r="E569" s="1"/>
      <c r="F569" s="6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21.75" customHeight="1" x14ac:dyDescent="0.6">
      <c r="A570" s="1"/>
      <c r="B570" s="6"/>
      <c r="C570" s="1"/>
      <c r="D570" s="6"/>
      <c r="E570" s="1"/>
      <c r="F570" s="6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21.75" customHeight="1" x14ac:dyDescent="0.6">
      <c r="A571" s="1"/>
      <c r="B571" s="6"/>
      <c r="C571" s="1"/>
      <c r="D571" s="6"/>
      <c r="E571" s="1"/>
      <c r="F571" s="6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21.75" customHeight="1" x14ac:dyDescent="0.6">
      <c r="A572" s="1"/>
      <c r="B572" s="6"/>
      <c r="C572" s="1"/>
      <c r="D572" s="6"/>
      <c r="E572" s="1"/>
      <c r="F572" s="6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21.75" customHeight="1" x14ac:dyDescent="0.6">
      <c r="A573" s="1"/>
      <c r="B573" s="6"/>
      <c r="C573" s="1"/>
      <c r="D573" s="6"/>
      <c r="E573" s="1"/>
      <c r="F573" s="6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21.75" customHeight="1" x14ac:dyDescent="0.6">
      <c r="A574" s="1"/>
      <c r="B574" s="6"/>
      <c r="C574" s="1"/>
      <c r="D574" s="6"/>
      <c r="E574" s="1"/>
      <c r="F574" s="6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21.75" customHeight="1" x14ac:dyDescent="0.6">
      <c r="A575" s="1"/>
      <c r="B575" s="6"/>
      <c r="C575" s="1"/>
      <c r="D575" s="6"/>
      <c r="E575" s="1"/>
      <c r="F575" s="6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21.75" customHeight="1" x14ac:dyDescent="0.6">
      <c r="A576" s="1"/>
      <c r="B576" s="6"/>
      <c r="C576" s="1"/>
      <c r="D576" s="6"/>
      <c r="E576" s="1"/>
      <c r="F576" s="6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21.75" customHeight="1" x14ac:dyDescent="0.6">
      <c r="A577" s="1"/>
      <c r="B577" s="6"/>
      <c r="C577" s="1"/>
      <c r="D577" s="6"/>
      <c r="E577" s="1"/>
      <c r="F577" s="6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21.75" customHeight="1" x14ac:dyDescent="0.6">
      <c r="A578" s="1"/>
      <c r="B578" s="6"/>
      <c r="C578" s="1"/>
      <c r="D578" s="6"/>
      <c r="E578" s="1"/>
      <c r="F578" s="6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21.75" customHeight="1" x14ac:dyDescent="0.6">
      <c r="A579" s="1"/>
      <c r="B579" s="6"/>
      <c r="C579" s="1"/>
      <c r="D579" s="6"/>
      <c r="E579" s="1"/>
      <c r="F579" s="6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21.75" customHeight="1" x14ac:dyDescent="0.6">
      <c r="A580" s="1"/>
      <c r="B580" s="6"/>
      <c r="C580" s="1"/>
      <c r="D580" s="6"/>
      <c r="E580" s="1"/>
      <c r="F580" s="6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21.75" customHeight="1" x14ac:dyDescent="0.6">
      <c r="A581" s="1"/>
      <c r="B581" s="6"/>
      <c r="C581" s="1"/>
      <c r="D581" s="6"/>
      <c r="E581" s="1"/>
      <c r="F581" s="6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21.75" customHeight="1" x14ac:dyDescent="0.6">
      <c r="A582" s="1"/>
      <c r="B582" s="6"/>
      <c r="C582" s="1"/>
      <c r="D582" s="6"/>
      <c r="E582" s="1"/>
      <c r="F582" s="6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21.75" customHeight="1" x14ac:dyDescent="0.6">
      <c r="A583" s="1"/>
      <c r="B583" s="6"/>
      <c r="C583" s="1"/>
      <c r="D583" s="6"/>
      <c r="E583" s="1"/>
      <c r="F583" s="6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21.75" customHeight="1" x14ac:dyDescent="0.6">
      <c r="A584" s="1"/>
      <c r="B584" s="6"/>
      <c r="C584" s="1"/>
      <c r="D584" s="6"/>
      <c r="E584" s="1"/>
      <c r="F584" s="6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21.75" customHeight="1" x14ac:dyDescent="0.6">
      <c r="A585" s="1"/>
      <c r="B585" s="6"/>
      <c r="C585" s="1"/>
      <c r="D585" s="6"/>
      <c r="E585" s="1"/>
      <c r="F585" s="6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21.75" customHeight="1" x14ac:dyDescent="0.6">
      <c r="A586" s="1"/>
      <c r="B586" s="6"/>
      <c r="C586" s="1"/>
      <c r="D586" s="6"/>
      <c r="E586" s="1"/>
      <c r="F586" s="6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21.75" customHeight="1" x14ac:dyDescent="0.6">
      <c r="A587" s="1"/>
      <c r="B587" s="6"/>
      <c r="C587" s="1"/>
      <c r="D587" s="6"/>
      <c r="E587" s="1"/>
      <c r="F587" s="6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21.75" customHeight="1" x14ac:dyDescent="0.6">
      <c r="A588" s="1"/>
      <c r="B588" s="6"/>
      <c r="C588" s="1"/>
      <c r="D588" s="6"/>
      <c r="E588" s="1"/>
      <c r="F588" s="6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21.75" customHeight="1" x14ac:dyDescent="0.6">
      <c r="A589" s="1"/>
      <c r="B589" s="6"/>
      <c r="C589" s="1"/>
      <c r="D589" s="6"/>
      <c r="E589" s="1"/>
      <c r="F589" s="6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21.75" customHeight="1" x14ac:dyDescent="0.6">
      <c r="A590" s="1"/>
      <c r="B590" s="6"/>
      <c r="C590" s="1"/>
      <c r="D590" s="6"/>
      <c r="E590" s="1"/>
      <c r="F590" s="6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21.75" customHeight="1" x14ac:dyDescent="0.6">
      <c r="A591" s="1"/>
      <c r="B591" s="6"/>
      <c r="C591" s="1"/>
      <c r="D591" s="6"/>
      <c r="E591" s="1"/>
      <c r="F591" s="6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21.75" customHeight="1" x14ac:dyDescent="0.6">
      <c r="A592" s="1"/>
      <c r="B592" s="6"/>
      <c r="C592" s="1"/>
      <c r="D592" s="6"/>
      <c r="E592" s="1"/>
      <c r="F592" s="6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21.75" customHeight="1" x14ac:dyDescent="0.6">
      <c r="A593" s="1"/>
      <c r="B593" s="6"/>
      <c r="C593" s="1"/>
      <c r="D593" s="6"/>
      <c r="E593" s="1"/>
      <c r="F593" s="6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21.75" customHeight="1" x14ac:dyDescent="0.6">
      <c r="A594" s="1"/>
      <c r="B594" s="6"/>
      <c r="C594" s="1"/>
      <c r="D594" s="6"/>
      <c r="E594" s="1"/>
      <c r="F594" s="6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21.75" customHeight="1" x14ac:dyDescent="0.6">
      <c r="A595" s="1"/>
      <c r="B595" s="6"/>
      <c r="C595" s="1"/>
      <c r="D595" s="6"/>
      <c r="E595" s="1"/>
      <c r="F595" s="6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21.75" customHeight="1" x14ac:dyDescent="0.6">
      <c r="A596" s="1"/>
      <c r="B596" s="6"/>
      <c r="C596" s="1"/>
      <c r="D596" s="6"/>
      <c r="E596" s="1"/>
      <c r="F596" s="6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21.75" customHeight="1" x14ac:dyDescent="0.6">
      <c r="A597" s="1"/>
      <c r="B597" s="6"/>
      <c r="C597" s="1"/>
      <c r="D597" s="6"/>
      <c r="E597" s="1"/>
      <c r="F597" s="6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21.75" customHeight="1" x14ac:dyDescent="0.6">
      <c r="A598" s="1"/>
      <c r="B598" s="6"/>
      <c r="C598" s="1"/>
      <c r="D598" s="6"/>
      <c r="E598" s="1"/>
      <c r="F598" s="6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21.75" customHeight="1" x14ac:dyDescent="0.6">
      <c r="A599" s="1"/>
      <c r="B599" s="6"/>
      <c r="C599" s="1"/>
      <c r="D599" s="6"/>
      <c r="E599" s="1"/>
      <c r="F599" s="6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21.75" customHeight="1" x14ac:dyDescent="0.6">
      <c r="A600" s="1"/>
      <c r="B600" s="6"/>
      <c r="C600" s="1"/>
      <c r="D600" s="6"/>
      <c r="E600" s="1"/>
      <c r="F600" s="6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21.75" customHeight="1" x14ac:dyDescent="0.6">
      <c r="A601" s="1"/>
      <c r="B601" s="6"/>
      <c r="C601" s="1"/>
      <c r="D601" s="6"/>
      <c r="E601" s="1"/>
      <c r="F601" s="6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21.75" customHeight="1" x14ac:dyDescent="0.6">
      <c r="A602" s="1"/>
      <c r="B602" s="6"/>
      <c r="C602" s="1"/>
      <c r="D602" s="6"/>
      <c r="E602" s="1"/>
      <c r="F602" s="6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21.75" customHeight="1" x14ac:dyDescent="0.6">
      <c r="A603" s="1"/>
      <c r="B603" s="6"/>
      <c r="C603" s="1"/>
      <c r="D603" s="6"/>
      <c r="E603" s="1"/>
      <c r="F603" s="6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21.75" customHeight="1" x14ac:dyDescent="0.6">
      <c r="A604" s="1"/>
      <c r="B604" s="6"/>
      <c r="C604" s="1"/>
      <c r="D604" s="6"/>
      <c r="E604" s="1"/>
      <c r="F604" s="6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21.75" customHeight="1" x14ac:dyDescent="0.6">
      <c r="A605" s="1"/>
      <c r="B605" s="6"/>
      <c r="C605" s="1"/>
      <c r="D605" s="6"/>
      <c r="E605" s="1"/>
      <c r="F605" s="6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21.75" customHeight="1" x14ac:dyDescent="0.6">
      <c r="A606" s="1"/>
      <c r="B606" s="6"/>
      <c r="C606" s="1"/>
      <c r="D606" s="6"/>
      <c r="E606" s="1"/>
      <c r="F606" s="6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21.75" customHeight="1" x14ac:dyDescent="0.6">
      <c r="A607" s="1"/>
      <c r="B607" s="6"/>
      <c r="C607" s="1"/>
      <c r="D607" s="6"/>
      <c r="E607" s="1"/>
      <c r="F607" s="6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21.75" customHeight="1" x14ac:dyDescent="0.6">
      <c r="A608" s="1"/>
      <c r="B608" s="6"/>
      <c r="C608" s="1"/>
      <c r="D608" s="6"/>
      <c r="E608" s="1"/>
      <c r="F608" s="6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21.75" customHeight="1" x14ac:dyDescent="0.6">
      <c r="A609" s="1"/>
      <c r="B609" s="6"/>
      <c r="C609" s="1"/>
      <c r="D609" s="6"/>
      <c r="E609" s="1"/>
      <c r="F609" s="6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21.75" customHeight="1" x14ac:dyDescent="0.6">
      <c r="A610" s="1"/>
      <c r="B610" s="6"/>
      <c r="C610" s="1"/>
      <c r="D610" s="6"/>
      <c r="E610" s="1"/>
      <c r="F610" s="6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21.75" customHeight="1" x14ac:dyDescent="0.6">
      <c r="A611" s="1"/>
      <c r="B611" s="6"/>
      <c r="C611" s="1"/>
      <c r="D611" s="6"/>
      <c r="E611" s="1"/>
      <c r="F611" s="6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21.75" customHeight="1" x14ac:dyDescent="0.6">
      <c r="A612" s="1"/>
      <c r="B612" s="6"/>
      <c r="C612" s="1"/>
      <c r="D612" s="6"/>
      <c r="E612" s="1"/>
      <c r="F612" s="6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21.75" customHeight="1" x14ac:dyDescent="0.6">
      <c r="A613" s="1"/>
      <c r="B613" s="6"/>
      <c r="C613" s="1"/>
      <c r="D613" s="6"/>
      <c r="E613" s="1"/>
      <c r="F613" s="6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21.75" customHeight="1" x14ac:dyDescent="0.6">
      <c r="A614" s="1"/>
      <c r="B614" s="6"/>
      <c r="C614" s="1"/>
      <c r="D614" s="6"/>
      <c r="E614" s="1"/>
      <c r="F614" s="6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21.75" customHeight="1" x14ac:dyDescent="0.6">
      <c r="A615" s="1"/>
      <c r="B615" s="6"/>
      <c r="C615" s="1"/>
      <c r="D615" s="6"/>
      <c r="E615" s="1"/>
      <c r="F615" s="6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21.75" customHeight="1" x14ac:dyDescent="0.6">
      <c r="A616" s="1"/>
      <c r="B616" s="6"/>
      <c r="C616" s="1"/>
      <c r="D616" s="6"/>
      <c r="E616" s="1"/>
      <c r="F616" s="6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21.75" customHeight="1" x14ac:dyDescent="0.6">
      <c r="A617" s="1"/>
      <c r="B617" s="6"/>
      <c r="C617" s="1"/>
      <c r="D617" s="6"/>
      <c r="E617" s="1"/>
      <c r="F617" s="6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21.75" customHeight="1" x14ac:dyDescent="0.6">
      <c r="A618" s="1"/>
      <c r="B618" s="6"/>
      <c r="C618" s="1"/>
      <c r="D618" s="6"/>
      <c r="E618" s="1"/>
      <c r="F618" s="6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21.75" customHeight="1" x14ac:dyDescent="0.6">
      <c r="A619" s="1"/>
      <c r="B619" s="6"/>
      <c r="C619" s="1"/>
      <c r="D619" s="6"/>
      <c r="E619" s="1"/>
      <c r="F619" s="6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21.75" customHeight="1" x14ac:dyDescent="0.6">
      <c r="A620" s="1"/>
      <c r="B620" s="6"/>
      <c r="C620" s="1"/>
      <c r="D620" s="6"/>
      <c r="E620" s="1"/>
      <c r="F620" s="6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21.75" customHeight="1" x14ac:dyDescent="0.6">
      <c r="A621" s="1"/>
      <c r="B621" s="6"/>
      <c r="C621" s="1"/>
      <c r="D621" s="6"/>
      <c r="E621" s="1"/>
      <c r="F621" s="6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21.75" customHeight="1" x14ac:dyDescent="0.6">
      <c r="A622" s="1"/>
      <c r="B622" s="6"/>
      <c r="C622" s="1"/>
      <c r="D622" s="6"/>
      <c r="E622" s="1"/>
      <c r="F622" s="6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21.75" customHeight="1" x14ac:dyDescent="0.6">
      <c r="A623" s="1"/>
      <c r="B623" s="6"/>
      <c r="C623" s="1"/>
      <c r="D623" s="6"/>
      <c r="E623" s="1"/>
      <c r="F623" s="6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21.75" customHeight="1" x14ac:dyDescent="0.6">
      <c r="A624" s="1"/>
      <c r="B624" s="6"/>
      <c r="C624" s="1"/>
      <c r="D624" s="6"/>
      <c r="E624" s="1"/>
      <c r="F624" s="6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21.75" customHeight="1" x14ac:dyDescent="0.6">
      <c r="A625" s="1"/>
      <c r="B625" s="6"/>
      <c r="C625" s="1"/>
      <c r="D625" s="6"/>
      <c r="E625" s="1"/>
      <c r="F625" s="6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21.75" customHeight="1" x14ac:dyDescent="0.6">
      <c r="A626" s="1"/>
      <c r="B626" s="6"/>
      <c r="C626" s="1"/>
      <c r="D626" s="6"/>
      <c r="E626" s="1"/>
      <c r="F626" s="6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21.75" customHeight="1" x14ac:dyDescent="0.6">
      <c r="A627" s="1"/>
      <c r="B627" s="6"/>
      <c r="C627" s="1"/>
      <c r="D627" s="6"/>
      <c r="E627" s="1"/>
      <c r="F627" s="6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21.75" customHeight="1" x14ac:dyDescent="0.6">
      <c r="A628" s="1"/>
      <c r="B628" s="6"/>
      <c r="C628" s="1"/>
      <c r="D628" s="6"/>
      <c r="E628" s="1"/>
      <c r="F628" s="6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21.75" customHeight="1" x14ac:dyDescent="0.6">
      <c r="A629" s="1"/>
      <c r="B629" s="6"/>
      <c r="C629" s="1"/>
      <c r="D629" s="6"/>
      <c r="E629" s="1"/>
      <c r="F629" s="6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21.75" customHeight="1" x14ac:dyDescent="0.6">
      <c r="A630" s="1"/>
      <c r="B630" s="6"/>
      <c r="C630" s="1"/>
      <c r="D630" s="6"/>
      <c r="E630" s="1"/>
      <c r="F630" s="6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21.75" customHeight="1" x14ac:dyDescent="0.6">
      <c r="A631" s="1"/>
      <c r="B631" s="6"/>
      <c r="C631" s="1"/>
      <c r="D631" s="6"/>
      <c r="E631" s="1"/>
      <c r="F631" s="6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21.75" customHeight="1" x14ac:dyDescent="0.6">
      <c r="A632" s="1"/>
      <c r="B632" s="6"/>
      <c r="C632" s="1"/>
      <c r="D632" s="6"/>
      <c r="E632" s="1"/>
      <c r="F632" s="6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21.75" customHeight="1" x14ac:dyDescent="0.6">
      <c r="A633" s="1"/>
      <c r="B633" s="6"/>
      <c r="C633" s="1"/>
      <c r="D633" s="6"/>
      <c r="E633" s="1"/>
      <c r="F633" s="6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21.75" customHeight="1" x14ac:dyDescent="0.6">
      <c r="A634" s="1"/>
      <c r="B634" s="6"/>
      <c r="C634" s="1"/>
      <c r="D634" s="6"/>
      <c r="E634" s="1"/>
      <c r="F634" s="6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21.75" customHeight="1" x14ac:dyDescent="0.6">
      <c r="A635" s="1"/>
      <c r="B635" s="6"/>
      <c r="C635" s="1"/>
      <c r="D635" s="6"/>
      <c r="E635" s="1"/>
      <c r="F635" s="6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21.75" customHeight="1" x14ac:dyDescent="0.6">
      <c r="A636" s="1"/>
      <c r="B636" s="6"/>
      <c r="C636" s="1"/>
      <c r="D636" s="6"/>
      <c r="E636" s="1"/>
      <c r="F636" s="6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21.75" customHeight="1" x14ac:dyDescent="0.6">
      <c r="A637" s="1"/>
      <c r="B637" s="6"/>
      <c r="C637" s="1"/>
      <c r="D637" s="6"/>
      <c r="E637" s="1"/>
      <c r="F637" s="6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21.75" customHeight="1" x14ac:dyDescent="0.6">
      <c r="A638" s="1"/>
      <c r="B638" s="6"/>
      <c r="C638" s="1"/>
      <c r="D638" s="6"/>
      <c r="E638" s="1"/>
      <c r="F638" s="6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21.75" customHeight="1" x14ac:dyDescent="0.6">
      <c r="A639" s="1"/>
      <c r="B639" s="6"/>
      <c r="C639" s="1"/>
      <c r="D639" s="6"/>
      <c r="E639" s="1"/>
      <c r="F639" s="6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21.75" customHeight="1" x14ac:dyDescent="0.6">
      <c r="A640" s="1"/>
      <c r="B640" s="6"/>
      <c r="C640" s="1"/>
      <c r="D640" s="6"/>
      <c r="E640" s="1"/>
      <c r="F640" s="6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21.75" customHeight="1" x14ac:dyDescent="0.6">
      <c r="A641" s="1"/>
      <c r="B641" s="6"/>
      <c r="C641" s="1"/>
      <c r="D641" s="6"/>
      <c r="E641" s="1"/>
      <c r="F641" s="6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21.75" customHeight="1" x14ac:dyDescent="0.6">
      <c r="A642" s="1"/>
      <c r="B642" s="6"/>
      <c r="C642" s="1"/>
      <c r="D642" s="6"/>
      <c r="E642" s="1"/>
      <c r="F642" s="6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21.75" customHeight="1" x14ac:dyDescent="0.6">
      <c r="A643" s="1"/>
      <c r="B643" s="6"/>
      <c r="C643" s="1"/>
      <c r="D643" s="6"/>
      <c r="E643" s="1"/>
      <c r="F643" s="6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21.75" customHeight="1" x14ac:dyDescent="0.6">
      <c r="A644" s="1"/>
      <c r="B644" s="6"/>
      <c r="C644" s="1"/>
      <c r="D644" s="6"/>
      <c r="E644" s="1"/>
      <c r="F644" s="6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21.75" customHeight="1" x14ac:dyDescent="0.6">
      <c r="A645" s="1"/>
      <c r="B645" s="6"/>
      <c r="C645" s="1"/>
      <c r="D645" s="6"/>
      <c r="E645" s="1"/>
      <c r="F645" s="6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21.75" customHeight="1" x14ac:dyDescent="0.6">
      <c r="A646" s="1"/>
      <c r="B646" s="6"/>
      <c r="C646" s="1"/>
      <c r="D646" s="6"/>
      <c r="E646" s="1"/>
      <c r="F646" s="6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21.75" customHeight="1" x14ac:dyDescent="0.6">
      <c r="A647" s="1"/>
      <c r="B647" s="6"/>
      <c r="C647" s="1"/>
      <c r="D647" s="6"/>
      <c r="E647" s="1"/>
      <c r="F647" s="6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21.75" customHeight="1" x14ac:dyDescent="0.6">
      <c r="A648" s="1"/>
      <c r="B648" s="6"/>
      <c r="C648" s="1"/>
      <c r="D648" s="6"/>
      <c r="E648" s="1"/>
      <c r="F648" s="6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21.75" customHeight="1" x14ac:dyDescent="0.6">
      <c r="A649" s="1"/>
      <c r="B649" s="6"/>
      <c r="C649" s="1"/>
      <c r="D649" s="6"/>
      <c r="E649" s="1"/>
      <c r="F649" s="6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21.75" customHeight="1" x14ac:dyDescent="0.6">
      <c r="A650" s="1"/>
      <c r="B650" s="6"/>
      <c r="C650" s="1"/>
      <c r="D650" s="6"/>
      <c r="E650" s="1"/>
      <c r="F650" s="6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21.75" customHeight="1" x14ac:dyDescent="0.6">
      <c r="A651" s="1"/>
      <c r="B651" s="6"/>
      <c r="C651" s="1"/>
      <c r="D651" s="6"/>
      <c r="E651" s="1"/>
      <c r="F651" s="6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21.75" customHeight="1" x14ac:dyDescent="0.6">
      <c r="A652" s="1"/>
      <c r="B652" s="6"/>
      <c r="C652" s="1"/>
      <c r="D652" s="6"/>
      <c r="E652" s="1"/>
      <c r="F652" s="6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21.75" customHeight="1" x14ac:dyDescent="0.6">
      <c r="A653" s="1"/>
      <c r="B653" s="6"/>
      <c r="C653" s="1"/>
      <c r="D653" s="6"/>
      <c r="E653" s="1"/>
      <c r="F653" s="6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21.75" customHeight="1" x14ac:dyDescent="0.6">
      <c r="A654" s="1"/>
      <c r="B654" s="6"/>
      <c r="C654" s="1"/>
      <c r="D654" s="6"/>
      <c r="E654" s="1"/>
      <c r="F654" s="6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21.75" customHeight="1" x14ac:dyDescent="0.6">
      <c r="A655" s="1"/>
      <c r="B655" s="6"/>
      <c r="C655" s="1"/>
      <c r="D655" s="6"/>
      <c r="E655" s="1"/>
      <c r="F655" s="6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21.75" customHeight="1" x14ac:dyDescent="0.6">
      <c r="A656" s="1"/>
      <c r="B656" s="6"/>
      <c r="C656" s="1"/>
      <c r="D656" s="6"/>
      <c r="E656" s="1"/>
      <c r="F656" s="6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21.75" customHeight="1" x14ac:dyDescent="0.6">
      <c r="A657" s="1"/>
      <c r="B657" s="6"/>
      <c r="C657" s="1"/>
      <c r="D657" s="6"/>
      <c r="E657" s="1"/>
      <c r="F657" s="6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21.75" customHeight="1" x14ac:dyDescent="0.6">
      <c r="A658" s="1"/>
      <c r="B658" s="6"/>
      <c r="C658" s="1"/>
      <c r="D658" s="6"/>
      <c r="E658" s="1"/>
      <c r="F658" s="6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21.75" customHeight="1" x14ac:dyDescent="0.6">
      <c r="A659" s="1"/>
      <c r="B659" s="6"/>
      <c r="C659" s="1"/>
      <c r="D659" s="6"/>
      <c r="E659" s="1"/>
      <c r="F659" s="6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21.75" customHeight="1" x14ac:dyDescent="0.6">
      <c r="A660" s="1"/>
      <c r="B660" s="6"/>
      <c r="C660" s="1"/>
      <c r="D660" s="6"/>
      <c r="E660" s="1"/>
      <c r="F660" s="6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21.75" customHeight="1" x14ac:dyDescent="0.6">
      <c r="A661" s="1"/>
      <c r="B661" s="6"/>
      <c r="C661" s="1"/>
      <c r="D661" s="6"/>
      <c r="E661" s="1"/>
      <c r="F661" s="6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21.75" customHeight="1" x14ac:dyDescent="0.6">
      <c r="A662" s="1"/>
      <c r="B662" s="6"/>
      <c r="C662" s="1"/>
      <c r="D662" s="6"/>
      <c r="E662" s="1"/>
      <c r="F662" s="6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21.75" customHeight="1" x14ac:dyDescent="0.6">
      <c r="A663" s="1"/>
      <c r="B663" s="6"/>
      <c r="C663" s="1"/>
      <c r="D663" s="6"/>
      <c r="E663" s="1"/>
      <c r="F663" s="6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21.75" customHeight="1" x14ac:dyDescent="0.6">
      <c r="A664" s="1"/>
      <c r="B664" s="6"/>
      <c r="C664" s="1"/>
      <c r="D664" s="6"/>
      <c r="E664" s="1"/>
      <c r="F664" s="6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21.75" customHeight="1" x14ac:dyDescent="0.6">
      <c r="A665" s="1"/>
      <c r="B665" s="6"/>
      <c r="C665" s="1"/>
      <c r="D665" s="6"/>
      <c r="E665" s="1"/>
      <c r="F665" s="6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21.75" customHeight="1" x14ac:dyDescent="0.6">
      <c r="A666" s="1"/>
      <c r="B666" s="6"/>
      <c r="C666" s="1"/>
      <c r="D666" s="6"/>
      <c r="E666" s="1"/>
      <c r="F666" s="6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21.75" customHeight="1" x14ac:dyDescent="0.6">
      <c r="A667" s="1"/>
      <c r="B667" s="6"/>
      <c r="C667" s="1"/>
      <c r="D667" s="6"/>
      <c r="E667" s="1"/>
      <c r="F667" s="6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21.75" customHeight="1" x14ac:dyDescent="0.6">
      <c r="A668" s="1"/>
      <c r="B668" s="6"/>
      <c r="C668" s="1"/>
      <c r="D668" s="6"/>
      <c r="E668" s="1"/>
      <c r="F668" s="6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21.75" customHeight="1" x14ac:dyDescent="0.6">
      <c r="A669" s="1"/>
      <c r="B669" s="6"/>
      <c r="C669" s="1"/>
      <c r="D669" s="6"/>
      <c r="E669" s="1"/>
      <c r="F669" s="6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21.75" customHeight="1" x14ac:dyDescent="0.6">
      <c r="A670" s="1"/>
      <c r="B670" s="6"/>
      <c r="C670" s="1"/>
      <c r="D670" s="6"/>
      <c r="E670" s="1"/>
      <c r="F670" s="6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21.75" customHeight="1" x14ac:dyDescent="0.6">
      <c r="A671" s="1"/>
      <c r="B671" s="6"/>
      <c r="C671" s="1"/>
      <c r="D671" s="6"/>
      <c r="E671" s="1"/>
      <c r="F671" s="6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21.75" customHeight="1" x14ac:dyDescent="0.6">
      <c r="A672" s="1"/>
      <c r="B672" s="6"/>
      <c r="C672" s="1"/>
      <c r="D672" s="6"/>
      <c r="E672" s="1"/>
      <c r="F672" s="6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21.75" customHeight="1" x14ac:dyDescent="0.6">
      <c r="A673" s="1"/>
      <c r="B673" s="6"/>
      <c r="C673" s="1"/>
      <c r="D673" s="6"/>
      <c r="E673" s="1"/>
      <c r="F673" s="6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21.75" customHeight="1" x14ac:dyDescent="0.6">
      <c r="A674" s="1"/>
      <c r="B674" s="6"/>
      <c r="C674" s="1"/>
      <c r="D674" s="6"/>
      <c r="E674" s="1"/>
      <c r="F674" s="6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21.75" customHeight="1" x14ac:dyDescent="0.6">
      <c r="A675" s="1"/>
      <c r="B675" s="6"/>
      <c r="C675" s="1"/>
      <c r="D675" s="6"/>
      <c r="E675" s="1"/>
      <c r="F675" s="6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21.75" customHeight="1" x14ac:dyDescent="0.6">
      <c r="A676" s="1"/>
      <c r="B676" s="6"/>
      <c r="C676" s="1"/>
      <c r="D676" s="6"/>
      <c r="E676" s="1"/>
      <c r="F676" s="6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21.75" customHeight="1" x14ac:dyDescent="0.6">
      <c r="A677" s="1"/>
      <c r="B677" s="6"/>
      <c r="C677" s="1"/>
      <c r="D677" s="6"/>
      <c r="E677" s="1"/>
      <c r="F677" s="6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21.75" customHeight="1" x14ac:dyDescent="0.6">
      <c r="A678" s="1"/>
      <c r="B678" s="6"/>
      <c r="C678" s="1"/>
      <c r="D678" s="6"/>
      <c r="E678" s="1"/>
      <c r="F678" s="6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21.75" customHeight="1" x14ac:dyDescent="0.6">
      <c r="A679" s="1"/>
      <c r="B679" s="6"/>
      <c r="C679" s="1"/>
      <c r="D679" s="6"/>
      <c r="E679" s="1"/>
      <c r="F679" s="6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21.75" customHeight="1" x14ac:dyDescent="0.6">
      <c r="A680" s="1"/>
      <c r="B680" s="6"/>
      <c r="C680" s="1"/>
      <c r="D680" s="6"/>
      <c r="E680" s="1"/>
      <c r="F680" s="6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21.75" customHeight="1" x14ac:dyDescent="0.6">
      <c r="A681" s="1"/>
      <c r="B681" s="6"/>
      <c r="C681" s="1"/>
      <c r="D681" s="6"/>
      <c r="E681" s="1"/>
      <c r="F681" s="6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21.75" customHeight="1" x14ac:dyDescent="0.6">
      <c r="A682" s="1"/>
      <c r="B682" s="6"/>
      <c r="C682" s="1"/>
      <c r="D682" s="6"/>
      <c r="E682" s="1"/>
      <c r="F682" s="6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21.75" customHeight="1" x14ac:dyDescent="0.6">
      <c r="A683" s="1"/>
      <c r="B683" s="6"/>
      <c r="C683" s="1"/>
      <c r="D683" s="6"/>
      <c r="E683" s="1"/>
      <c r="F683" s="6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21.75" customHeight="1" x14ac:dyDescent="0.6">
      <c r="A684" s="1"/>
      <c r="B684" s="6"/>
      <c r="C684" s="1"/>
      <c r="D684" s="6"/>
      <c r="E684" s="1"/>
      <c r="F684" s="6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21.75" customHeight="1" x14ac:dyDescent="0.6">
      <c r="A685" s="1"/>
      <c r="B685" s="6"/>
      <c r="C685" s="1"/>
      <c r="D685" s="6"/>
      <c r="E685" s="1"/>
      <c r="F685" s="6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21.75" customHeight="1" x14ac:dyDescent="0.6">
      <c r="A686" s="1"/>
      <c r="B686" s="6"/>
      <c r="C686" s="1"/>
      <c r="D686" s="6"/>
      <c r="E686" s="1"/>
      <c r="F686" s="6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21.75" customHeight="1" x14ac:dyDescent="0.6">
      <c r="A687" s="1"/>
      <c r="B687" s="6"/>
      <c r="C687" s="1"/>
      <c r="D687" s="6"/>
      <c r="E687" s="1"/>
      <c r="F687" s="6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21.75" customHeight="1" x14ac:dyDescent="0.6">
      <c r="A688" s="1"/>
      <c r="B688" s="6"/>
      <c r="C688" s="1"/>
      <c r="D688" s="6"/>
      <c r="E688" s="1"/>
      <c r="F688" s="6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21.75" customHeight="1" x14ac:dyDescent="0.6">
      <c r="A689" s="1"/>
      <c r="B689" s="6"/>
      <c r="C689" s="1"/>
      <c r="D689" s="6"/>
      <c r="E689" s="1"/>
      <c r="F689" s="6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21.75" customHeight="1" x14ac:dyDescent="0.6">
      <c r="A690" s="1"/>
      <c r="B690" s="6"/>
      <c r="C690" s="1"/>
      <c r="D690" s="6"/>
      <c r="E690" s="1"/>
      <c r="F690" s="6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21.75" customHeight="1" x14ac:dyDescent="0.6">
      <c r="A691" s="1"/>
      <c r="B691" s="6"/>
      <c r="C691" s="1"/>
      <c r="D691" s="6"/>
      <c r="E691" s="1"/>
      <c r="F691" s="6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21.75" customHeight="1" x14ac:dyDescent="0.6">
      <c r="A692" s="1"/>
      <c r="B692" s="6"/>
      <c r="C692" s="1"/>
      <c r="D692" s="6"/>
      <c r="E692" s="1"/>
      <c r="F692" s="6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21.75" customHeight="1" x14ac:dyDescent="0.6">
      <c r="A693" s="1"/>
      <c r="B693" s="6"/>
      <c r="C693" s="1"/>
      <c r="D693" s="6"/>
      <c r="E693" s="1"/>
      <c r="F693" s="6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21.75" customHeight="1" x14ac:dyDescent="0.6">
      <c r="A694" s="1"/>
      <c r="B694" s="6"/>
      <c r="C694" s="1"/>
      <c r="D694" s="6"/>
      <c r="E694" s="1"/>
      <c r="F694" s="6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21.75" customHeight="1" x14ac:dyDescent="0.6">
      <c r="A695" s="1"/>
      <c r="B695" s="6"/>
      <c r="C695" s="1"/>
      <c r="D695" s="6"/>
      <c r="E695" s="1"/>
      <c r="F695" s="6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21.75" customHeight="1" x14ac:dyDescent="0.6">
      <c r="A696" s="1"/>
      <c r="B696" s="6"/>
      <c r="C696" s="1"/>
      <c r="D696" s="6"/>
      <c r="E696" s="1"/>
      <c r="F696" s="6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21.75" customHeight="1" x14ac:dyDescent="0.6">
      <c r="A697" s="1"/>
      <c r="B697" s="6"/>
      <c r="C697" s="1"/>
      <c r="D697" s="6"/>
      <c r="E697" s="1"/>
      <c r="F697" s="6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21.75" customHeight="1" x14ac:dyDescent="0.6">
      <c r="A698" s="1"/>
      <c r="B698" s="6"/>
      <c r="C698" s="1"/>
      <c r="D698" s="6"/>
      <c r="E698" s="1"/>
      <c r="F698" s="6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21.75" customHeight="1" x14ac:dyDescent="0.6">
      <c r="A699" s="1"/>
      <c r="B699" s="6"/>
      <c r="C699" s="1"/>
      <c r="D699" s="6"/>
      <c r="E699" s="1"/>
      <c r="F699" s="6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21.75" customHeight="1" x14ac:dyDescent="0.6">
      <c r="A700" s="1"/>
      <c r="B700" s="6"/>
      <c r="C700" s="1"/>
      <c r="D700" s="6"/>
      <c r="E700" s="1"/>
      <c r="F700" s="6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21.75" customHeight="1" x14ac:dyDescent="0.6">
      <c r="A701" s="1"/>
      <c r="B701" s="6"/>
      <c r="C701" s="1"/>
      <c r="D701" s="6"/>
      <c r="E701" s="1"/>
      <c r="F701" s="6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21.75" customHeight="1" x14ac:dyDescent="0.6">
      <c r="A702" s="1"/>
      <c r="B702" s="6"/>
      <c r="C702" s="1"/>
      <c r="D702" s="6"/>
      <c r="E702" s="1"/>
      <c r="F702" s="6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21.75" customHeight="1" x14ac:dyDescent="0.6">
      <c r="A703" s="1"/>
      <c r="B703" s="6"/>
      <c r="C703" s="1"/>
      <c r="D703" s="6"/>
      <c r="E703" s="1"/>
      <c r="F703" s="6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21.75" customHeight="1" x14ac:dyDescent="0.6">
      <c r="A704" s="1"/>
      <c r="B704" s="6"/>
      <c r="C704" s="1"/>
      <c r="D704" s="6"/>
      <c r="E704" s="1"/>
      <c r="F704" s="6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21.75" customHeight="1" x14ac:dyDescent="0.6">
      <c r="A705" s="1"/>
      <c r="B705" s="6"/>
      <c r="C705" s="1"/>
      <c r="D705" s="6"/>
      <c r="E705" s="1"/>
      <c r="F705" s="6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21.75" customHeight="1" x14ac:dyDescent="0.6">
      <c r="A706" s="1"/>
      <c r="B706" s="6"/>
      <c r="C706" s="1"/>
      <c r="D706" s="6"/>
      <c r="E706" s="1"/>
      <c r="F706" s="6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21.75" customHeight="1" x14ac:dyDescent="0.6">
      <c r="A707" s="1"/>
      <c r="B707" s="6"/>
      <c r="C707" s="1"/>
      <c r="D707" s="6"/>
      <c r="E707" s="1"/>
      <c r="F707" s="6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21.75" customHeight="1" x14ac:dyDescent="0.6">
      <c r="A708" s="1"/>
      <c r="B708" s="6"/>
      <c r="C708" s="1"/>
      <c r="D708" s="6"/>
      <c r="E708" s="1"/>
      <c r="F708" s="6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21.75" customHeight="1" x14ac:dyDescent="0.6">
      <c r="A709" s="1"/>
      <c r="B709" s="6"/>
      <c r="C709" s="1"/>
      <c r="D709" s="6"/>
      <c r="E709" s="1"/>
      <c r="F709" s="6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21.75" customHeight="1" x14ac:dyDescent="0.6">
      <c r="A710" s="1"/>
      <c r="B710" s="6"/>
      <c r="C710" s="1"/>
      <c r="D710" s="6"/>
      <c r="E710" s="1"/>
      <c r="F710" s="6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21.75" customHeight="1" x14ac:dyDescent="0.6">
      <c r="A711" s="1"/>
      <c r="B711" s="6"/>
      <c r="C711" s="1"/>
      <c r="D711" s="6"/>
      <c r="E711" s="1"/>
      <c r="F711" s="6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21.75" customHeight="1" x14ac:dyDescent="0.6">
      <c r="A712" s="1"/>
      <c r="B712" s="6"/>
      <c r="C712" s="1"/>
      <c r="D712" s="6"/>
      <c r="E712" s="1"/>
      <c r="F712" s="6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21.75" customHeight="1" x14ac:dyDescent="0.6">
      <c r="A713" s="1"/>
      <c r="B713" s="6"/>
      <c r="C713" s="1"/>
      <c r="D713" s="6"/>
      <c r="E713" s="1"/>
      <c r="F713" s="6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21.75" customHeight="1" x14ac:dyDescent="0.6">
      <c r="A714" s="1"/>
      <c r="B714" s="6"/>
      <c r="C714" s="1"/>
      <c r="D714" s="6"/>
      <c r="E714" s="1"/>
      <c r="F714" s="6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21.75" customHeight="1" x14ac:dyDescent="0.6">
      <c r="A715" s="1"/>
      <c r="B715" s="6"/>
      <c r="C715" s="1"/>
      <c r="D715" s="6"/>
      <c r="E715" s="1"/>
      <c r="F715" s="6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21.75" customHeight="1" x14ac:dyDescent="0.6">
      <c r="A716" s="1"/>
      <c r="B716" s="6"/>
      <c r="C716" s="1"/>
      <c r="D716" s="6"/>
      <c r="E716" s="1"/>
      <c r="F716" s="6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21.75" customHeight="1" x14ac:dyDescent="0.6">
      <c r="A717" s="1"/>
      <c r="B717" s="6"/>
      <c r="C717" s="1"/>
      <c r="D717" s="6"/>
      <c r="E717" s="1"/>
      <c r="F717" s="6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21.75" customHeight="1" x14ac:dyDescent="0.6">
      <c r="A718" s="1"/>
      <c r="B718" s="6"/>
      <c r="C718" s="1"/>
      <c r="D718" s="6"/>
      <c r="E718" s="1"/>
      <c r="F718" s="6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21.75" customHeight="1" x14ac:dyDescent="0.6">
      <c r="A719" s="1"/>
      <c r="B719" s="6"/>
      <c r="C719" s="1"/>
      <c r="D719" s="6"/>
      <c r="E719" s="1"/>
      <c r="F719" s="6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21.75" customHeight="1" x14ac:dyDescent="0.6">
      <c r="A720" s="1"/>
      <c r="B720" s="6"/>
      <c r="C720" s="1"/>
      <c r="D720" s="6"/>
      <c r="E720" s="1"/>
      <c r="F720" s="6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21.75" customHeight="1" x14ac:dyDescent="0.6">
      <c r="A721" s="1"/>
      <c r="B721" s="6"/>
      <c r="C721" s="1"/>
      <c r="D721" s="6"/>
      <c r="E721" s="1"/>
      <c r="F721" s="6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21.75" customHeight="1" x14ac:dyDescent="0.6">
      <c r="A722" s="1"/>
      <c r="B722" s="6"/>
      <c r="C722" s="1"/>
      <c r="D722" s="6"/>
      <c r="E722" s="1"/>
      <c r="F722" s="6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21.75" customHeight="1" x14ac:dyDescent="0.6">
      <c r="A723" s="1"/>
      <c r="B723" s="6"/>
      <c r="C723" s="1"/>
      <c r="D723" s="6"/>
      <c r="E723" s="1"/>
      <c r="F723" s="6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21.75" customHeight="1" x14ac:dyDescent="0.6">
      <c r="A724" s="1"/>
      <c r="B724" s="6"/>
      <c r="C724" s="1"/>
      <c r="D724" s="6"/>
      <c r="E724" s="1"/>
      <c r="F724" s="6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21.75" customHeight="1" x14ac:dyDescent="0.6">
      <c r="A725" s="1"/>
      <c r="B725" s="6"/>
      <c r="C725" s="1"/>
      <c r="D725" s="6"/>
      <c r="E725" s="1"/>
      <c r="F725" s="6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21.75" customHeight="1" x14ac:dyDescent="0.6">
      <c r="A726" s="1"/>
      <c r="B726" s="6"/>
      <c r="C726" s="1"/>
      <c r="D726" s="6"/>
      <c r="E726" s="1"/>
      <c r="F726" s="6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21.75" customHeight="1" x14ac:dyDescent="0.6">
      <c r="A727" s="1"/>
      <c r="B727" s="6"/>
      <c r="C727" s="1"/>
      <c r="D727" s="6"/>
      <c r="E727" s="1"/>
      <c r="F727" s="6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21.75" customHeight="1" x14ac:dyDescent="0.6">
      <c r="A728" s="1"/>
      <c r="B728" s="6"/>
      <c r="C728" s="1"/>
      <c r="D728" s="6"/>
      <c r="E728" s="1"/>
      <c r="F728" s="6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21.75" customHeight="1" x14ac:dyDescent="0.6">
      <c r="A729" s="1"/>
      <c r="B729" s="6"/>
      <c r="C729" s="1"/>
      <c r="D729" s="6"/>
      <c r="E729" s="1"/>
      <c r="F729" s="6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21.75" customHeight="1" x14ac:dyDescent="0.6">
      <c r="A730" s="1"/>
      <c r="B730" s="6"/>
      <c r="C730" s="1"/>
      <c r="D730" s="6"/>
      <c r="E730" s="1"/>
      <c r="F730" s="6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21.75" customHeight="1" x14ac:dyDescent="0.6">
      <c r="A731" s="1"/>
      <c r="B731" s="6"/>
      <c r="C731" s="1"/>
      <c r="D731" s="6"/>
      <c r="E731" s="1"/>
      <c r="F731" s="6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21.75" customHeight="1" x14ac:dyDescent="0.6">
      <c r="A732" s="1"/>
      <c r="B732" s="6"/>
      <c r="C732" s="1"/>
      <c r="D732" s="6"/>
      <c r="E732" s="1"/>
      <c r="F732" s="6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21.75" customHeight="1" x14ac:dyDescent="0.6">
      <c r="A733" s="1"/>
      <c r="B733" s="6"/>
      <c r="C733" s="1"/>
      <c r="D733" s="6"/>
      <c r="E733" s="1"/>
      <c r="F733" s="6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21.75" customHeight="1" x14ac:dyDescent="0.6">
      <c r="A734" s="1"/>
      <c r="B734" s="6"/>
      <c r="C734" s="1"/>
      <c r="D734" s="6"/>
      <c r="E734" s="1"/>
      <c r="F734" s="6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21.75" customHeight="1" x14ac:dyDescent="0.6">
      <c r="A735" s="1"/>
      <c r="B735" s="6"/>
      <c r="C735" s="1"/>
      <c r="D735" s="6"/>
      <c r="E735" s="1"/>
      <c r="F735" s="6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21.75" customHeight="1" x14ac:dyDescent="0.6">
      <c r="A736" s="1"/>
      <c r="B736" s="6"/>
      <c r="C736" s="1"/>
      <c r="D736" s="6"/>
      <c r="E736" s="1"/>
      <c r="F736" s="6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21.75" customHeight="1" x14ac:dyDescent="0.6">
      <c r="A737" s="1"/>
      <c r="B737" s="6"/>
      <c r="C737" s="1"/>
      <c r="D737" s="6"/>
      <c r="E737" s="1"/>
      <c r="F737" s="6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21.75" customHeight="1" x14ac:dyDescent="0.6">
      <c r="A738" s="1"/>
      <c r="B738" s="6"/>
      <c r="C738" s="1"/>
      <c r="D738" s="6"/>
      <c r="E738" s="1"/>
      <c r="F738" s="6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21.75" customHeight="1" x14ac:dyDescent="0.6">
      <c r="A739" s="1"/>
      <c r="B739" s="6"/>
      <c r="C739" s="1"/>
      <c r="D739" s="6"/>
      <c r="E739" s="1"/>
      <c r="F739" s="6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21.75" customHeight="1" x14ac:dyDescent="0.6">
      <c r="A740" s="1"/>
      <c r="B740" s="6"/>
      <c r="C740" s="1"/>
      <c r="D740" s="6"/>
      <c r="E740" s="1"/>
      <c r="F740" s="6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21.75" customHeight="1" x14ac:dyDescent="0.6">
      <c r="A741" s="1"/>
      <c r="B741" s="6"/>
      <c r="C741" s="1"/>
      <c r="D741" s="6"/>
      <c r="E741" s="1"/>
      <c r="F741" s="6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21.75" customHeight="1" x14ac:dyDescent="0.6">
      <c r="A742" s="1"/>
      <c r="B742" s="6"/>
      <c r="C742" s="1"/>
      <c r="D742" s="6"/>
      <c r="E742" s="1"/>
      <c r="F742" s="6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21.75" customHeight="1" x14ac:dyDescent="0.6">
      <c r="A743" s="1"/>
      <c r="B743" s="6"/>
      <c r="C743" s="1"/>
      <c r="D743" s="6"/>
      <c r="E743" s="1"/>
      <c r="F743" s="6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21.75" customHeight="1" x14ac:dyDescent="0.6">
      <c r="A744" s="1"/>
      <c r="B744" s="6"/>
      <c r="C744" s="1"/>
      <c r="D744" s="6"/>
      <c r="E744" s="1"/>
      <c r="F744" s="6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21.75" customHeight="1" x14ac:dyDescent="0.6">
      <c r="A745" s="1"/>
      <c r="B745" s="6"/>
      <c r="C745" s="1"/>
      <c r="D745" s="6"/>
      <c r="E745" s="1"/>
      <c r="F745" s="6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21.75" customHeight="1" x14ac:dyDescent="0.6">
      <c r="A746" s="1"/>
      <c r="B746" s="6"/>
      <c r="C746" s="1"/>
      <c r="D746" s="6"/>
      <c r="E746" s="1"/>
      <c r="F746" s="6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21.75" customHeight="1" x14ac:dyDescent="0.6">
      <c r="A747" s="1"/>
      <c r="B747" s="6"/>
      <c r="C747" s="1"/>
      <c r="D747" s="6"/>
      <c r="E747" s="1"/>
      <c r="F747" s="6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21.75" customHeight="1" x14ac:dyDescent="0.6">
      <c r="A748" s="1"/>
      <c r="B748" s="6"/>
      <c r="C748" s="1"/>
      <c r="D748" s="6"/>
      <c r="E748" s="1"/>
      <c r="F748" s="6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21.75" customHeight="1" x14ac:dyDescent="0.6">
      <c r="A749" s="1"/>
      <c r="B749" s="6"/>
      <c r="C749" s="1"/>
      <c r="D749" s="6"/>
      <c r="E749" s="1"/>
      <c r="F749" s="6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21.75" customHeight="1" x14ac:dyDescent="0.6">
      <c r="A750" s="1"/>
      <c r="B750" s="6"/>
      <c r="C750" s="1"/>
      <c r="D750" s="6"/>
      <c r="E750" s="1"/>
      <c r="F750" s="6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21.75" customHeight="1" x14ac:dyDescent="0.6">
      <c r="A751" s="1"/>
      <c r="B751" s="6"/>
      <c r="C751" s="1"/>
      <c r="D751" s="6"/>
      <c r="E751" s="1"/>
      <c r="F751" s="6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21.75" customHeight="1" x14ac:dyDescent="0.6">
      <c r="A752" s="1"/>
      <c r="B752" s="6"/>
      <c r="C752" s="1"/>
      <c r="D752" s="6"/>
      <c r="E752" s="1"/>
      <c r="F752" s="6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21.75" customHeight="1" x14ac:dyDescent="0.6">
      <c r="A753" s="1"/>
      <c r="B753" s="6"/>
      <c r="C753" s="1"/>
      <c r="D753" s="6"/>
      <c r="E753" s="1"/>
      <c r="F753" s="6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21.75" customHeight="1" x14ac:dyDescent="0.6">
      <c r="A754" s="1"/>
      <c r="B754" s="6"/>
      <c r="C754" s="1"/>
      <c r="D754" s="6"/>
      <c r="E754" s="1"/>
      <c r="F754" s="6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21.75" customHeight="1" x14ac:dyDescent="0.6">
      <c r="A755" s="1"/>
      <c r="B755" s="6"/>
      <c r="C755" s="1"/>
      <c r="D755" s="6"/>
      <c r="E755" s="1"/>
      <c r="F755" s="6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21.75" customHeight="1" x14ac:dyDescent="0.6">
      <c r="A756" s="1"/>
      <c r="B756" s="6"/>
      <c r="C756" s="1"/>
      <c r="D756" s="6"/>
      <c r="E756" s="1"/>
      <c r="F756" s="6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21.75" customHeight="1" x14ac:dyDescent="0.6">
      <c r="A757" s="1"/>
      <c r="B757" s="6"/>
      <c r="C757" s="1"/>
      <c r="D757" s="6"/>
      <c r="E757" s="1"/>
      <c r="F757" s="6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21.75" customHeight="1" x14ac:dyDescent="0.6">
      <c r="A758" s="1"/>
      <c r="B758" s="6"/>
      <c r="C758" s="1"/>
      <c r="D758" s="6"/>
      <c r="E758" s="1"/>
      <c r="F758" s="6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21.75" customHeight="1" x14ac:dyDescent="0.6">
      <c r="A759" s="1"/>
      <c r="B759" s="6"/>
      <c r="C759" s="1"/>
      <c r="D759" s="6"/>
      <c r="E759" s="1"/>
      <c r="F759" s="6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21.75" customHeight="1" x14ac:dyDescent="0.6">
      <c r="A760" s="1"/>
      <c r="B760" s="6"/>
      <c r="C760" s="1"/>
      <c r="D760" s="6"/>
      <c r="E760" s="1"/>
      <c r="F760" s="6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21.75" customHeight="1" x14ac:dyDescent="0.6">
      <c r="A761" s="1"/>
      <c r="B761" s="6"/>
      <c r="C761" s="1"/>
      <c r="D761" s="6"/>
      <c r="E761" s="1"/>
      <c r="F761" s="6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21.75" customHeight="1" x14ac:dyDescent="0.6">
      <c r="A762" s="1"/>
      <c r="B762" s="6"/>
      <c r="C762" s="1"/>
      <c r="D762" s="6"/>
      <c r="E762" s="1"/>
      <c r="F762" s="6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21.75" customHeight="1" x14ac:dyDescent="0.6">
      <c r="A763" s="1"/>
      <c r="B763" s="6"/>
      <c r="C763" s="1"/>
      <c r="D763" s="6"/>
      <c r="E763" s="1"/>
      <c r="F763" s="6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21.75" customHeight="1" x14ac:dyDescent="0.6">
      <c r="A764" s="1"/>
      <c r="B764" s="6"/>
      <c r="C764" s="1"/>
      <c r="D764" s="6"/>
      <c r="E764" s="1"/>
      <c r="F764" s="6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21.75" customHeight="1" x14ac:dyDescent="0.6">
      <c r="A765" s="1"/>
      <c r="B765" s="6"/>
      <c r="C765" s="1"/>
      <c r="D765" s="6"/>
      <c r="E765" s="1"/>
      <c r="F765" s="6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21.75" customHeight="1" x14ac:dyDescent="0.6">
      <c r="A766" s="1"/>
      <c r="B766" s="6"/>
      <c r="C766" s="1"/>
      <c r="D766" s="6"/>
      <c r="E766" s="1"/>
      <c r="F766" s="6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21.75" customHeight="1" x14ac:dyDescent="0.6">
      <c r="A767" s="1"/>
      <c r="B767" s="6"/>
      <c r="C767" s="1"/>
      <c r="D767" s="6"/>
      <c r="E767" s="1"/>
      <c r="F767" s="6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21.75" customHeight="1" x14ac:dyDescent="0.6">
      <c r="A768" s="1"/>
      <c r="B768" s="6"/>
      <c r="C768" s="1"/>
      <c r="D768" s="6"/>
      <c r="E768" s="1"/>
      <c r="F768" s="6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21.75" customHeight="1" x14ac:dyDescent="0.6">
      <c r="A769" s="1"/>
      <c r="B769" s="6"/>
      <c r="C769" s="1"/>
      <c r="D769" s="6"/>
      <c r="E769" s="1"/>
      <c r="F769" s="6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21.75" customHeight="1" x14ac:dyDescent="0.6">
      <c r="A770" s="1"/>
      <c r="B770" s="6"/>
      <c r="C770" s="1"/>
      <c r="D770" s="6"/>
      <c r="E770" s="1"/>
      <c r="F770" s="6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21.75" customHeight="1" x14ac:dyDescent="0.6">
      <c r="A771" s="1"/>
      <c r="B771" s="6"/>
      <c r="C771" s="1"/>
      <c r="D771" s="6"/>
      <c r="E771" s="1"/>
      <c r="F771" s="6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21.75" customHeight="1" x14ac:dyDescent="0.6">
      <c r="A772" s="1"/>
      <c r="B772" s="6"/>
      <c r="C772" s="1"/>
      <c r="D772" s="6"/>
      <c r="E772" s="1"/>
      <c r="F772" s="6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21.75" customHeight="1" x14ac:dyDescent="0.6">
      <c r="A773" s="1"/>
      <c r="B773" s="6"/>
      <c r="C773" s="1"/>
      <c r="D773" s="6"/>
      <c r="E773" s="1"/>
      <c r="F773" s="6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21.75" customHeight="1" x14ac:dyDescent="0.6">
      <c r="A774" s="1"/>
      <c r="B774" s="6"/>
      <c r="C774" s="1"/>
      <c r="D774" s="6"/>
      <c r="E774" s="1"/>
      <c r="F774" s="6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21.75" customHeight="1" x14ac:dyDescent="0.6">
      <c r="A775" s="1"/>
      <c r="B775" s="6"/>
      <c r="C775" s="1"/>
      <c r="D775" s="6"/>
      <c r="E775" s="1"/>
      <c r="F775" s="6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21.75" customHeight="1" x14ac:dyDescent="0.6">
      <c r="A776" s="1"/>
      <c r="B776" s="6"/>
      <c r="C776" s="1"/>
      <c r="D776" s="6"/>
      <c r="E776" s="1"/>
      <c r="F776" s="6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21.75" customHeight="1" x14ac:dyDescent="0.6">
      <c r="A777" s="1"/>
      <c r="B777" s="6"/>
      <c r="C777" s="1"/>
      <c r="D777" s="6"/>
      <c r="E777" s="1"/>
      <c r="F777" s="6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21.75" customHeight="1" x14ac:dyDescent="0.6">
      <c r="A778" s="1"/>
      <c r="B778" s="6"/>
      <c r="C778" s="1"/>
      <c r="D778" s="6"/>
      <c r="E778" s="1"/>
      <c r="F778" s="6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21.75" customHeight="1" x14ac:dyDescent="0.6">
      <c r="A779" s="1"/>
      <c r="B779" s="6"/>
      <c r="C779" s="1"/>
      <c r="D779" s="6"/>
      <c r="E779" s="1"/>
      <c r="F779" s="6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21.75" customHeight="1" x14ac:dyDescent="0.6">
      <c r="A780" s="1"/>
      <c r="B780" s="6"/>
      <c r="C780" s="1"/>
      <c r="D780" s="6"/>
      <c r="E780" s="1"/>
      <c r="F780" s="6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21.75" customHeight="1" x14ac:dyDescent="0.6">
      <c r="A781" s="1"/>
      <c r="B781" s="6"/>
      <c r="C781" s="1"/>
      <c r="D781" s="6"/>
      <c r="E781" s="1"/>
      <c r="F781" s="6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21.75" customHeight="1" x14ac:dyDescent="0.6">
      <c r="A782" s="1"/>
      <c r="B782" s="6"/>
      <c r="C782" s="1"/>
      <c r="D782" s="6"/>
      <c r="E782" s="1"/>
      <c r="F782" s="6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21.75" customHeight="1" x14ac:dyDescent="0.6">
      <c r="A783" s="1"/>
      <c r="B783" s="6"/>
      <c r="C783" s="1"/>
      <c r="D783" s="6"/>
      <c r="E783" s="1"/>
      <c r="F783" s="6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21.75" customHeight="1" x14ac:dyDescent="0.6">
      <c r="A784" s="1"/>
      <c r="B784" s="6"/>
      <c r="C784" s="1"/>
      <c r="D784" s="6"/>
      <c r="E784" s="1"/>
      <c r="F784" s="6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21.75" customHeight="1" x14ac:dyDescent="0.6">
      <c r="A785" s="1"/>
      <c r="B785" s="6"/>
      <c r="C785" s="1"/>
      <c r="D785" s="6"/>
      <c r="E785" s="1"/>
      <c r="F785" s="6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21.75" customHeight="1" x14ac:dyDescent="0.6">
      <c r="A786" s="1"/>
      <c r="B786" s="6"/>
      <c r="C786" s="1"/>
      <c r="D786" s="6"/>
      <c r="E786" s="1"/>
      <c r="F786" s="6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21.75" customHeight="1" x14ac:dyDescent="0.6">
      <c r="A787" s="1"/>
      <c r="B787" s="6"/>
      <c r="C787" s="1"/>
      <c r="D787" s="6"/>
      <c r="E787" s="1"/>
      <c r="F787" s="6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21.75" customHeight="1" x14ac:dyDescent="0.6">
      <c r="A788" s="1"/>
      <c r="B788" s="6"/>
      <c r="C788" s="1"/>
      <c r="D788" s="6"/>
      <c r="E788" s="1"/>
      <c r="F788" s="6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21.75" customHeight="1" x14ac:dyDescent="0.6">
      <c r="A789" s="1"/>
      <c r="B789" s="6"/>
      <c r="C789" s="1"/>
      <c r="D789" s="6"/>
      <c r="E789" s="1"/>
      <c r="F789" s="6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21.75" customHeight="1" x14ac:dyDescent="0.6">
      <c r="A790" s="1"/>
      <c r="B790" s="6"/>
      <c r="C790" s="1"/>
      <c r="D790" s="6"/>
      <c r="E790" s="1"/>
      <c r="F790" s="6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21.75" customHeight="1" x14ac:dyDescent="0.6">
      <c r="A791" s="1"/>
      <c r="B791" s="6"/>
      <c r="C791" s="1"/>
      <c r="D791" s="6"/>
      <c r="E791" s="1"/>
      <c r="F791" s="6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21.75" customHeight="1" x14ac:dyDescent="0.6">
      <c r="A792" s="1"/>
      <c r="B792" s="6"/>
      <c r="C792" s="1"/>
      <c r="D792" s="6"/>
      <c r="E792" s="1"/>
      <c r="F792" s="6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21.75" customHeight="1" x14ac:dyDescent="0.6">
      <c r="A793" s="1"/>
      <c r="B793" s="6"/>
      <c r="C793" s="1"/>
      <c r="D793" s="6"/>
      <c r="E793" s="1"/>
      <c r="F793" s="6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21.75" customHeight="1" x14ac:dyDescent="0.6">
      <c r="A794" s="1"/>
      <c r="B794" s="6"/>
      <c r="C794" s="1"/>
      <c r="D794" s="6"/>
      <c r="E794" s="1"/>
      <c r="F794" s="6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21.75" customHeight="1" x14ac:dyDescent="0.6">
      <c r="A795" s="1"/>
      <c r="B795" s="6"/>
      <c r="C795" s="1"/>
      <c r="D795" s="6"/>
      <c r="E795" s="1"/>
      <c r="F795" s="6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21.75" customHeight="1" x14ac:dyDescent="0.6">
      <c r="A796" s="1"/>
      <c r="B796" s="6"/>
      <c r="C796" s="1"/>
      <c r="D796" s="6"/>
      <c r="E796" s="1"/>
      <c r="F796" s="6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21.75" customHeight="1" x14ac:dyDescent="0.6">
      <c r="A797" s="1"/>
      <c r="B797" s="6"/>
      <c r="C797" s="1"/>
      <c r="D797" s="6"/>
      <c r="E797" s="1"/>
      <c r="F797" s="6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21.75" customHeight="1" x14ac:dyDescent="0.6">
      <c r="A798" s="1"/>
      <c r="B798" s="6"/>
      <c r="C798" s="1"/>
      <c r="D798" s="6"/>
      <c r="E798" s="1"/>
      <c r="F798" s="6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21.75" customHeight="1" x14ac:dyDescent="0.6">
      <c r="A799" s="1"/>
      <c r="B799" s="6"/>
      <c r="C799" s="1"/>
      <c r="D799" s="6"/>
      <c r="E799" s="1"/>
      <c r="F799" s="6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21.75" customHeight="1" x14ac:dyDescent="0.6">
      <c r="A800" s="1"/>
      <c r="B800" s="6"/>
      <c r="C800" s="1"/>
      <c r="D800" s="6"/>
      <c r="E800" s="1"/>
      <c r="F800" s="6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21.75" customHeight="1" x14ac:dyDescent="0.6">
      <c r="A801" s="1"/>
      <c r="B801" s="6"/>
      <c r="C801" s="1"/>
      <c r="D801" s="6"/>
      <c r="E801" s="1"/>
      <c r="F801" s="6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21.75" customHeight="1" x14ac:dyDescent="0.6">
      <c r="A802" s="1"/>
      <c r="B802" s="6"/>
      <c r="C802" s="1"/>
      <c r="D802" s="6"/>
      <c r="E802" s="1"/>
      <c r="F802" s="6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21.75" customHeight="1" x14ac:dyDescent="0.6">
      <c r="A803" s="1"/>
      <c r="B803" s="6"/>
      <c r="C803" s="1"/>
      <c r="D803" s="6"/>
      <c r="E803" s="1"/>
      <c r="F803" s="6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21.75" customHeight="1" x14ac:dyDescent="0.6">
      <c r="A804" s="1"/>
      <c r="B804" s="6"/>
      <c r="C804" s="1"/>
      <c r="D804" s="6"/>
      <c r="E804" s="1"/>
      <c r="F804" s="6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21.75" customHeight="1" x14ac:dyDescent="0.6">
      <c r="A805" s="1"/>
      <c r="B805" s="6"/>
      <c r="C805" s="1"/>
      <c r="D805" s="6"/>
      <c r="E805" s="1"/>
      <c r="F805" s="6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21.75" customHeight="1" x14ac:dyDescent="0.6">
      <c r="A806" s="1"/>
      <c r="B806" s="6"/>
      <c r="C806" s="1"/>
      <c r="D806" s="6"/>
      <c r="E806" s="1"/>
      <c r="F806" s="6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21.75" customHeight="1" x14ac:dyDescent="0.6">
      <c r="A807" s="1"/>
      <c r="B807" s="6"/>
      <c r="C807" s="1"/>
      <c r="D807" s="6"/>
      <c r="E807" s="1"/>
      <c r="F807" s="6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21.75" customHeight="1" x14ac:dyDescent="0.6">
      <c r="A808" s="1"/>
      <c r="B808" s="6"/>
      <c r="C808" s="1"/>
      <c r="D808" s="6"/>
      <c r="E808" s="1"/>
      <c r="F808" s="6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21.75" customHeight="1" x14ac:dyDescent="0.6">
      <c r="A809" s="1"/>
      <c r="B809" s="6"/>
      <c r="C809" s="1"/>
      <c r="D809" s="6"/>
      <c r="E809" s="1"/>
      <c r="F809" s="6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21.75" customHeight="1" x14ac:dyDescent="0.6">
      <c r="A810" s="1"/>
      <c r="B810" s="6"/>
      <c r="C810" s="1"/>
      <c r="D810" s="6"/>
      <c r="E810" s="1"/>
      <c r="F810" s="6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21.75" customHeight="1" x14ac:dyDescent="0.6">
      <c r="A811" s="1"/>
      <c r="B811" s="6"/>
      <c r="C811" s="1"/>
      <c r="D811" s="6"/>
      <c r="E811" s="1"/>
      <c r="F811" s="6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21.75" customHeight="1" x14ac:dyDescent="0.6">
      <c r="A812" s="1"/>
      <c r="B812" s="6"/>
      <c r="C812" s="1"/>
      <c r="D812" s="6"/>
      <c r="E812" s="1"/>
      <c r="F812" s="6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21.75" customHeight="1" x14ac:dyDescent="0.6">
      <c r="A813" s="1"/>
      <c r="B813" s="6"/>
      <c r="C813" s="1"/>
      <c r="D813" s="6"/>
      <c r="E813" s="1"/>
      <c r="F813" s="6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21.75" customHeight="1" x14ac:dyDescent="0.6">
      <c r="A814" s="1"/>
      <c r="B814" s="6"/>
      <c r="C814" s="1"/>
      <c r="D814" s="6"/>
      <c r="E814" s="1"/>
      <c r="F814" s="6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21.75" customHeight="1" x14ac:dyDescent="0.6">
      <c r="A815" s="1"/>
      <c r="B815" s="6"/>
      <c r="C815" s="1"/>
      <c r="D815" s="6"/>
      <c r="E815" s="1"/>
      <c r="F815" s="6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21.75" customHeight="1" x14ac:dyDescent="0.6">
      <c r="A816" s="1"/>
      <c r="B816" s="6"/>
      <c r="C816" s="1"/>
      <c r="D816" s="6"/>
      <c r="E816" s="1"/>
      <c r="F816" s="6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21.75" customHeight="1" x14ac:dyDescent="0.6">
      <c r="A817" s="1"/>
      <c r="B817" s="6"/>
      <c r="C817" s="1"/>
      <c r="D817" s="6"/>
      <c r="E817" s="1"/>
      <c r="F817" s="6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21.75" customHeight="1" x14ac:dyDescent="0.6">
      <c r="A818" s="1"/>
      <c r="B818" s="6"/>
      <c r="C818" s="1"/>
      <c r="D818" s="6"/>
      <c r="E818" s="1"/>
      <c r="F818" s="6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21.75" customHeight="1" x14ac:dyDescent="0.6">
      <c r="A819" s="1"/>
      <c r="B819" s="6"/>
      <c r="C819" s="1"/>
      <c r="D819" s="6"/>
      <c r="E819" s="1"/>
      <c r="F819" s="6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21.75" customHeight="1" x14ac:dyDescent="0.6">
      <c r="A820" s="1"/>
      <c r="B820" s="6"/>
      <c r="C820" s="1"/>
      <c r="D820" s="6"/>
      <c r="E820" s="1"/>
      <c r="F820" s="6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21.75" customHeight="1" x14ac:dyDescent="0.6">
      <c r="A821" s="1"/>
      <c r="B821" s="6"/>
      <c r="C821" s="1"/>
      <c r="D821" s="6"/>
      <c r="E821" s="1"/>
      <c r="F821" s="6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21.75" customHeight="1" x14ac:dyDescent="0.6">
      <c r="A822" s="1"/>
      <c r="B822" s="6"/>
      <c r="C822" s="1"/>
      <c r="D822" s="6"/>
      <c r="E822" s="1"/>
      <c r="F822" s="6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21.75" customHeight="1" x14ac:dyDescent="0.6">
      <c r="A823" s="1"/>
      <c r="B823" s="6"/>
      <c r="C823" s="1"/>
      <c r="D823" s="6"/>
      <c r="E823" s="1"/>
      <c r="F823" s="6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21.75" customHeight="1" x14ac:dyDescent="0.6">
      <c r="A824" s="1"/>
      <c r="B824" s="6"/>
      <c r="C824" s="1"/>
      <c r="D824" s="6"/>
      <c r="E824" s="1"/>
      <c r="F824" s="6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21.75" customHeight="1" x14ac:dyDescent="0.6">
      <c r="A825" s="1"/>
      <c r="B825" s="6"/>
      <c r="C825" s="1"/>
      <c r="D825" s="6"/>
      <c r="E825" s="1"/>
      <c r="F825" s="6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21.75" customHeight="1" x14ac:dyDescent="0.6">
      <c r="A826" s="1"/>
      <c r="B826" s="6"/>
      <c r="C826" s="1"/>
      <c r="D826" s="6"/>
      <c r="E826" s="1"/>
      <c r="F826" s="6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21.75" customHeight="1" x14ac:dyDescent="0.6">
      <c r="A827" s="1"/>
      <c r="B827" s="6"/>
      <c r="C827" s="1"/>
      <c r="D827" s="6"/>
      <c r="E827" s="1"/>
      <c r="F827" s="6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21.75" customHeight="1" x14ac:dyDescent="0.6">
      <c r="A828" s="1"/>
      <c r="B828" s="6"/>
      <c r="C828" s="1"/>
      <c r="D828" s="6"/>
      <c r="E828" s="1"/>
      <c r="F828" s="6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21.75" customHeight="1" x14ac:dyDescent="0.6">
      <c r="A829" s="1"/>
      <c r="B829" s="6"/>
      <c r="C829" s="1"/>
      <c r="D829" s="6"/>
      <c r="E829" s="1"/>
      <c r="F829" s="6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21.75" customHeight="1" x14ac:dyDescent="0.6">
      <c r="A830" s="1"/>
      <c r="B830" s="6"/>
      <c r="C830" s="1"/>
      <c r="D830" s="6"/>
      <c r="E830" s="1"/>
      <c r="F830" s="6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21.75" customHeight="1" x14ac:dyDescent="0.6">
      <c r="A831" s="1"/>
      <c r="B831" s="6"/>
      <c r="C831" s="1"/>
      <c r="D831" s="6"/>
      <c r="E831" s="1"/>
      <c r="F831" s="6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21.75" customHeight="1" x14ac:dyDescent="0.6">
      <c r="A832" s="1"/>
      <c r="B832" s="6"/>
      <c r="C832" s="1"/>
      <c r="D832" s="6"/>
      <c r="E832" s="1"/>
      <c r="F832" s="6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21.75" customHeight="1" x14ac:dyDescent="0.6">
      <c r="A833" s="1"/>
      <c r="B833" s="6"/>
      <c r="C833" s="1"/>
      <c r="D833" s="6"/>
      <c r="E833" s="1"/>
      <c r="F833" s="6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21.75" customHeight="1" x14ac:dyDescent="0.6">
      <c r="A834" s="1"/>
      <c r="B834" s="6"/>
      <c r="C834" s="1"/>
      <c r="D834" s="6"/>
      <c r="E834" s="1"/>
      <c r="F834" s="6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21.75" customHeight="1" x14ac:dyDescent="0.6">
      <c r="A835" s="1"/>
      <c r="B835" s="6"/>
      <c r="C835" s="1"/>
      <c r="D835" s="6"/>
      <c r="E835" s="1"/>
      <c r="F835" s="6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21.75" customHeight="1" x14ac:dyDescent="0.6">
      <c r="A836" s="1"/>
      <c r="B836" s="6"/>
      <c r="C836" s="1"/>
      <c r="D836" s="6"/>
      <c r="E836" s="1"/>
      <c r="F836" s="6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21.75" customHeight="1" x14ac:dyDescent="0.6">
      <c r="A837" s="1"/>
      <c r="B837" s="6"/>
      <c r="C837" s="1"/>
      <c r="D837" s="6"/>
      <c r="E837" s="1"/>
      <c r="F837" s="6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21.75" customHeight="1" x14ac:dyDescent="0.6">
      <c r="A838" s="1"/>
      <c r="B838" s="6"/>
      <c r="C838" s="1"/>
      <c r="D838" s="6"/>
      <c r="E838" s="1"/>
      <c r="F838" s="6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21.75" customHeight="1" x14ac:dyDescent="0.6">
      <c r="A839" s="1"/>
      <c r="B839" s="6"/>
      <c r="C839" s="1"/>
      <c r="D839" s="6"/>
      <c r="E839" s="1"/>
      <c r="F839" s="6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21.75" customHeight="1" x14ac:dyDescent="0.6">
      <c r="A840" s="1"/>
      <c r="B840" s="6"/>
      <c r="C840" s="1"/>
      <c r="D840" s="6"/>
      <c r="E840" s="1"/>
      <c r="F840" s="6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21.75" customHeight="1" x14ac:dyDescent="0.6">
      <c r="A841" s="1"/>
      <c r="B841" s="6"/>
      <c r="C841" s="1"/>
      <c r="D841" s="6"/>
      <c r="E841" s="1"/>
      <c r="F841" s="6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21.75" customHeight="1" x14ac:dyDescent="0.6">
      <c r="A842" s="1"/>
      <c r="B842" s="6"/>
      <c r="C842" s="1"/>
      <c r="D842" s="6"/>
      <c r="E842" s="1"/>
      <c r="F842" s="6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21.75" customHeight="1" x14ac:dyDescent="0.6">
      <c r="A843" s="1"/>
      <c r="B843" s="6"/>
      <c r="C843" s="1"/>
      <c r="D843" s="6"/>
      <c r="E843" s="1"/>
      <c r="F843" s="6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21.75" customHeight="1" x14ac:dyDescent="0.6">
      <c r="A844" s="1"/>
      <c r="B844" s="6"/>
      <c r="C844" s="1"/>
      <c r="D844" s="6"/>
      <c r="E844" s="1"/>
      <c r="F844" s="6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21.75" customHeight="1" x14ac:dyDescent="0.6">
      <c r="A845" s="1"/>
      <c r="B845" s="6"/>
      <c r="C845" s="1"/>
      <c r="D845" s="6"/>
      <c r="E845" s="1"/>
      <c r="F845" s="6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21.75" customHeight="1" x14ac:dyDescent="0.6">
      <c r="A846" s="1"/>
      <c r="B846" s="6"/>
      <c r="C846" s="1"/>
      <c r="D846" s="6"/>
      <c r="E846" s="1"/>
      <c r="F846" s="6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21.75" customHeight="1" x14ac:dyDescent="0.6">
      <c r="A847" s="1"/>
      <c r="B847" s="6"/>
      <c r="C847" s="1"/>
      <c r="D847" s="6"/>
      <c r="E847" s="1"/>
      <c r="F847" s="6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21.75" customHeight="1" x14ac:dyDescent="0.6">
      <c r="A848" s="1"/>
      <c r="B848" s="6"/>
      <c r="C848" s="1"/>
      <c r="D848" s="6"/>
      <c r="E848" s="1"/>
      <c r="F848" s="6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21.75" customHeight="1" x14ac:dyDescent="0.6">
      <c r="A849" s="1"/>
      <c r="B849" s="6"/>
      <c r="C849" s="1"/>
      <c r="D849" s="6"/>
      <c r="E849" s="1"/>
      <c r="F849" s="6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21.75" customHeight="1" x14ac:dyDescent="0.6">
      <c r="A850" s="1"/>
      <c r="B850" s="6"/>
      <c r="C850" s="1"/>
      <c r="D850" s="6"/>
      <c r="E850" s="1"/>
      <c r="F850" s="6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21.75" customHeight="1" x14ac:dyDescent="0.6">
      <c r="A851" s="1"/>
      <c r="B851" s="6"/>
      <c r="C851" s="1"/>
      <c r="D851" s="6"/>
      <c r="E851" s="1"/>
      <c r="F851" s="6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21.75" customHeight="1" x14ac:dyDescent="0.6">
      <c r="A852" s="1"/>
      <c r="B852" s="6"/>
      <c r="C852" s="1"/>
      <c r="D852" s="6"/>
      <c r="E852" s="1"/>
      <c r="F852" s="6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21.75" customHeight="1" x14ac:dyDescent="0.6">
      <c r="A853" s="1"/>
      <c r="B853" s="6"/>
      <c r="C853" s="1"/>
      <c r="D853" s="6"/>
      <c r="E853" s="1"/>
      <c r="F853" s="6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21.75" customHeight="1" x14ac:dyDescent="0.6">
      <c r="A854" s="1"/>
      <c r="B854" s="6"/>
      <c r="C854" s="1"/>
      <c r="D854" s="6"/>
      <c r="E854" s="1"/>
      <c r="F854" s="6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21.75" customHeight="1" x14ac:dyDescent="0.6">
      <c r="A855" s="1"/>
      <c r="B855" s="6"/>
      <c r="C855" s="1"/>
      <c r="D855" s="6"/>
      <c r="E855" s="1"/>
      <c r="F855" s="6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21.75" customHeight="1" x14ac:dyDescent="0.6">
      <c r="A856" s="1"/>
      <c r="B856" s="6"/>
      <c r="C856" s="1"/>
      <c r="D856" s="6"/>
      <c r="E856" s="1"/>
      <c r="F856" s="6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21.75" customHeight="1" x14ac:dyDescent="0.6">
      <c r="A857" s="1"/>
      <c r="B857" s="6"/>
      <c r="C857" s="1"/>
      <c r="D857" s="6"/>
      <c r="E857" s="1"/>
      <c r="F857" s="6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21.75" customHeight="1" x14ac:dyDescent="0.6">
      <c r="A858" s="1"/>
      <c r="B858" s="6"/>
      <c r="C858" s="1"/>
      <c r="D858" s="6"/>
      <c r="E858" s="1"/>
      <c r="F858" s="6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21.75" customHeight="1" x14ac:dyDescent="0.6">
      <c r="A859" s="1"/>
      <c r="B859" s="6"/>
      <c r="C859" s="1"/>
      <c r="D859" s="6"/>
      <c r="E859" s="1"/>
      <c r="F859" s="6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21.75" customHeight="1" x14ac:dyDescent="0.6">
      <c r="A860" s="1"/>
      <c r="B860" s="6"/>
      <c r="C860" s="1"/>
      <c r="D860" s="6"/>
      <c r="E860" s="1"/>
      <c r="F860" s="6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21.75" customHeight="1" x14ac:dyDescent="0.6">
      <c r="A861" s="1"/>
      <c r="B861" s="6"/>
      <c r="C861" s="1"/>
      <c r="D861" s="6"/>
      <c r="E861" s="1"/>
      <c r="F861" s="6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21.75" customHeight="1" x14ac:dyDescent="0.6">
      <c r="A862" s="1"/>
      <c r="B862" s="6"/>
      <c r="C862" s="1"/>
      <c r="D862" s="6"/>
      <c r="E862" s="1"/>
      <c r="F862" s="6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21.75" customHeight="1" x14ac:dyDescent="0.6">
      <c r="A863" s="1"/>
      <c r="B863" s="6"/>
      <c r="C863" s="1"/>
      <c r="D863" s="6"/>
      <c r="E863" s="1"/>
      <c r="F863" s="6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21.75" customHeight="1" x14ac:dyDescent="0.6">
      <c r="A864" s="1"/>
      <c r="B864" s="6"/>
      <c r="C864" s="1"/>
      <c r="D864" s="6"/>
      <c r="E864" s="1"/>
      <c r="F864" s="6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21.75" customHeight="1" x14ac:dyDescent="0.6">
      <c r="A865" s="1"/>
      <c r="B865" s="6"/>
      <c r="C865" s="1"/>
      <c r="D865" s="6"/>
      <c r="E865" s="1"/>
      <c r="F865" s="6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21.75" customHeight="1" x14ac:dyDescent="0.6">
      <c r="A866" s="1"/>
      <c r="B866" s="6"/>
      <c r="C866" s="1"/>
      <c r="D866" s="6"/>
      <c r="E866" s="1"/>
      <c r="F866" s="6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21.75" customHeight="1" x14ac:dyDescent="0.6">
      <c r="A867" s="1"/>
      <c r="B867" s="6"/>
      <c r="C867" s="1"/>
      <c r="D867" s="6"/>
      <c r="E867" s="1"/>
      <c r="F867" s="6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21.75" customHeight="1" x14ac:dyDescent="0.6">
      <c r="A868" s="1"/>
      <c r="B868" s="6"/>
      <c r="C868" s="1"/>
      <c r="D868" s="6"/>
      <c r="E868" s="1"/>
      <c r="F868" s="6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21.75" customHeight="1" x14ac:dyDescent="0.6">
      <c r="A869" s="1"/>
      <c r="B869" s="6"/>
      <c r="C869" s="1"/>
      <c r="D869" s="6"/>
      <c r="E869" s="1"/>
      <c r="F869" s="6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21.75" customHeight="1" x14ac:dyDescent="0.6">
      <c r="A870" s="1"/>
      <c r="B870" s="6"/>
      <c r="C870" s="1"/>
      <c r="D870" s="6"/>
      <c r="E870" s="1"/>
      <c r="F870" s="6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21.75" customHeight="1" x14ac:dyDescent="0.6">
      <c r="A871" s="1"/>
      <c r="B871" s="6"/>
      <c r="C871" s="1"/>
      <c r="D871" s="6"/>
      <c r="E871" s="1"/>
      <c r="F871" s="6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21.75" customHeight="1" x14ac:dyDescent="0.6">
      <c r="A872" s="1"/>
      <c r="B872" s="6"/>
      <c r="C872" s="1"/>
      <c r="D872" s="6"/>
      <c r="E872" s="1"/>
      <c r="F872" s="6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21.75" customHeight="1" x14ac:dyDescent="0.6">
      <c r="A873" s="1"/>
      <c r="B873" s="6"/>
      <c r="C873" s="1"/>
      <c r="D873" s="6"/>
      <c r="E873" s="1"/>
      <c r="F873" s="6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21.75" customHeight="1" x14ac:dyDescent="0.6">
      <c r="A874" s="1"/>
      <c r="B874" s="6"/>
      <c r="C874" s="1"/>
      <c r="D874" s="6"/>
      <c r="E874" s="1"/>
      <c r="F874" s="6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21.75" customHeight="1" x14ac:dyDescent="0.6">
      <c r="A875" s="1"/>
      <c r="B875" s="6"/>
      <c r="C875" s="1"/>
      <c r="D875" s="6"/>
      <c r="E875" s="1"/>
      <c r="F875" s="6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21.75" customHeight="1" x14ac:dyDescent="0.6">
      <c r="A876" s="1"/>
      <c r="B876" s="6"/>
      <c r="C876" s="1"/>
      <c r="D876" s="6"/>
      <c r="E876" s="1"/>
      <c r="F876" s="6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21.75" customHeight="1" x14ac:dyDescent="0.6">
      <c r="A877" s="1"/>
      <c r="B877" s="6"/>
      <c r="C877" s="1"/>
      <c r="D877" s="6"/>
      <c r="E877" s="1"/>
      <c r="F877" s="6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21.75" customHeight="1" x14ac:dyDescent="0.6">
      <c r="A878" s="1"/>
      <c r="B878" s="6"/>
      <c r="C878" s="1"/>
      <c r="D878" s="6"/>
      <c r="E878" s="1"/>
      <c r="F878" s="6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21.75" customHeight="1" x14ac:dyDescent="0.6">
      <c r="A879" s="1"/>
      <c r="B879" s="6"/>
      <c r="C879" s="1"/>
      <c r="D879" s="6"/>
      <c r="E879" s="1"/>
      <c r="F879" s="6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21.75" customHeight="1" x14ac:dyDescent="0.6">
      <c r="A880" s="1"/>
      <c r="B880" s="6"/>
      <c r="C880" s="1"/>
      <c r="D880" s="6"/>
      <c r="E880" s="1"/>
      <c r="F880" s="6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21.75" customHeight="1" x14ac:dyDescent="0.6">
      <c r="A881" s="1"/>
      <c r="B881" s="6"/>
      <c r="C881" s="1"/>
      <c r="D881" s="6"/>
      <c r="E881" s="1"/>
      <c r="F881" s="6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21.75" customHeight="1" x14ac:dyDescent="0.6">
      <c r="A882" s="1"/>
      <c r="B882" s="6"/>
      <c r="C882" s="1"/>
      <c r="D882" s="6"/>
      <c r="E882" s="1"/>
      <c r="F882" s="6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21.75" customHeight="1" x14ac:dyDescent="0.6">
      <c r="A883" s="1"/>
      <c r="B883" s="6"/>
      <c r="C883" s="1"/>
      <c r="D883" s="6"/>
      <c r="E883" s="1"/>
      <c r="F883" s="6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21.75" customHeight="1" x14ac:dyDescent="0.6">
      <c r="A884" s="1"/>
      <c r="B884" s="6"/>
      <c r="C884" s="1"/>
      <c r="D884" s="6"/>
      <c r="E884" s="1"/>
      <c r="F884" s="6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21.75" customHeight="1" x14ac:dyDescent="0.6">
      <c r="A885" s="1"/>
      <c r="B885" s="6"/>
      <c r="C885" s="1"/>
      <c r="D885" s="6"/>
      <c r="E885" s="1"/>
      <c r="F885" s="6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21.75" customHeight="1" x14ac:dyDescent="0.6">
      <c r="A886" s="1"/>
      <c r="B886" s="6"/>
      <c r="C886" s="1"/>
      <c r="D886" s="6"/>
      <c r="E886" s="1"/>
      <c r="F886" s="6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21.75" customHeight="1" x14ac:dyDescent="0.6">
      <c r="A887" s="1"/>
      <c r="B887" s="6"/>
      <c r="C887" s="1"/>
      <c r="D887" s="6"/>
      <c r="E887" s="1"/>
      <c r="F887" s="6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21.75" customHeight="1" x14ac:dyDescent="0.6">
      <c r="A888" s="1"/>
      <c r="B888" s="6"/>
      <c r="C888" s="1"/>
      <c r="D888" s="6"/>
      <c r="E888" s="1"/>
      <c r="F888" s="6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21.75" customHeight="1" x14ac:dyDescent="0.6">
      <c r="A889" s="1"/>
      <c r="B889" s="6"/>
      <c r="C889" s="1"/>
      <c r="D889" s="6"/>
      <c r="E889" s="1"/>
      <c r="F889" s="6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21.75" customHeight="1" x14ac:dyDescent="0.6">
      <c r="A890" s="1"/>
      <c r="B890" s="6"/>
      <c r="C890" s="1"/>
      <c r="D890" s="6"/>
      <c r="E890" s="1"/>
      <c r="F890" s="6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21.75" customHeight="1" x14ac:dyDescent="0.6">
      <c r="A891" s="1"/>
      <c r="B891" s="6"/>
      <c r="C891" s="1"/>
      <c r="D891" s="6"/>
      <c r="E891" s="1"/>
      <c r="F891" s="6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21.75" customHeight="1" x14ac:dyDescent="0.6">
      <c r="A892" s="1"/>
      <c r="B892" s="6"/>
      <c r="C892" s="1"/>
      <c r="D892" s="6"/>
      <c r="E892" s="1"/>
      <c r="F892" s="6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21.75" customHeight="1" x14ac:dyDescent="0.6">
      <c r="A893" s="1"/>
      <c r="B893" s="6"/>
      <c r="C893" s="1"/>
      <c r="D893" s="6"/>
      <c r="E893" s="1"/>
      <c r="F893" s="6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21.75" customHeight="1" x14ac:dyDescent="0.6">
      <c r="A894" s="1"/>
      <c r="B894" s="6"/>
      <c r="C894" s="1"/>
      <c r="D894" s="6"/>
      <c r="E894" s="1"/>
      <c r="F894" s="6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21.75" customHeight="1" x14ac:dyDescent="0.6">
      <c r="A895" s="1"/>
      <c r="B895" s="6"/>
      <c r="C895" s="1"/>
      <c r="D895" s="6"/>
      <c r="E895" s="1"/>
      <c r="F895" s="6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21.75" customHeight="1" x14ac:dyDescent="0.6">
      <c r="A896" s="1"/>
      <c r="B896" s="6"/>
      <c r="C896" s="1"/>
      <c r="D896" s="6"/>
      <c r="E896" s="1"/>
      <c r="F896" s="6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21.75" customHeight="1" x14ac:dyDescent="0.6">
      <c r="A897" s="1"/>
      <c r="B897" s="6"/>
      <c r="C897" s="1"/>
      <c r="D897" s="6"/>
      <c r="E897" s="1"/>
      <c r="F897" s="6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21.75" customHeight="1" x14ac:dyDescent="0.6">
      <c r="A898" s="1"/>
      <c r="B898" s="6"/>
      <c r="C898" s="1"/>
      <c r="D898" s="6"/>
      <c r="E898" s="1"/>
      <c r="F898" s="6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21.75" customHeight="1" x14ac:dyDescent="0.6">
      <c r="A899" s="1"/>
      <c r="B899" s="6"/>
      <c r="C899" s="1"/>
      <c r="D899" s="6"/>
      <c r="E899" s="1"/>
      <c r="F899" s="6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21.75" customHeight="1" x14ac:dyDescent="0.6">
      <c r="A900" s="1"/>
      <c r="B900" s="6"/>
      <c r="C900" s="1"/>
      <c r="D900" s="6"/>
      <c r="E900" s="1"/>
      <c r="F900" s="6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21.75" customHeight="1" x14ac:dyDescent="0.6">
      <c r="A901" s="1"/>
      <c r="B901" s="6"/>
      <c r="C901" s="1"/>
      <c r="D901" s="6"/>
      <c r="E901" s="1"/>
      <c r="F901" s="6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21.75" customHeight="1" x14ac:dyDescent="0.6">
      <c r="A902" s="1"/>
      <c r="B902" s="6"/>
      <c r="C902" s="1"/>
      <c r="D902" s="6"/>
      <c r="E902" s="1"/>
      <c r="F902" s="6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21.75" customHeight="1" x14ac:dyDescent="0.6">
      <c r="A903" s="1"/>
      <c r="B903" s="6"/>
      <c r="C903" s="1"/>
      <c r="D903" s="6"/>
      <c r="E903" s="1"/>
      <c r="F903" s="6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21.75" customHeight="1" x14ac:dyDescent="0.6">
      <c r="A904" s="1"/>
      <c r="B904" s="6"/>
      <c r="C904" s="1"/>
      <c r="D904" s="6"/>
      <c r="E904" s="1"/>
      <c r="F904" s="6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21.75" customHeight="1" x14ac:dyDescent="0.6">
      <c r="A905" s="1"/>
      <c r="B905" s="6"/>
      <c r="C905" s="1"/>
      <c r="D905" s="6"/>
      <c r="E905" s="1"/>
      <c r="F905" s="6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21.75" customHeight="1" x14ac:dyDescent="0.6">
      <c r="A906" s="1"/>
      <c r="B906" s="6"/>
      <c r="C906" s="1"/>
      <c r="D906" s="6"/>
      <c r="E906" s="1"/>
      <c r="F906" s="6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21.75" customHeight="1" x14ac:dyDescent="0.6">
      <c r="A907" s="1"/>
      <c r="B907" s="6"/>
      <c r="C907" s="1"/>
      <c r="D907" s="6"/>
      <c r="E907" s="1"/>
      <c r="F907" s="6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21.75" customHeight="1" x14ac:dyDescent="0.6">
      <c r="A908" s="1"/>
      <c r="B908" s="6"/>
      <c r="C908" s="1"/>
      <c r="D908" s="6"/>
      <c r="E908" s="1"/>
      <c r="F908" s="6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21.75" customHeight="1" x14ac:dyDescent="0.6">
      <c r="A909" s="1"/>
      <c r="B909" s="6"/>
      <c r="C909" s="1"/>
      <c r="D909" s="6"/>
      <c r="E909" s="1"/>
      <c r="F909" s="6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21.75" customHeight="1" x14ac:dyDescent="0.6">
      <c r="A910" s="1"/>
      <c r="B910" s="6"/>
      <c r="C910" s="1"/>
      <c r="D910" s="6"/>
      <c r="E910" s="1"/>
      <c r="F910" s="6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21.75" customHeight="1" x14ac:dyDescent="0.6">
      <c r="A911" s="1"/>
      <c r="B911" s="6"/>
      <c r="C911" s="1"/>
      <c r="D911" s="6"/>
      <c r="E911" s="1"/>
      <c r="F911" s="6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21.75" customHeight="1" x14ac:dyDescent="0.6">
      <c r="A912" s="1"/>
      <c r="B912" s="6"/>
      <c r="C912" s="1"/>
      <c r="D912" s="6"/>
      <c r="E912" s="1"/>
      <c r="F912" s="6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21.75" customHeight="1" x14ac:dyDescent="0.6">
      <c r="A913" s="1"/>
      <c r="B913" s="6"/>
      <c r="C913" s="1"/>
      <c r="D913" s="6"/>
      <c r="E913" s="1"/>
      <c r="F913" s="6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21.75" customHeight="1" x14ac:dyDescent="0.6">
      <c r="A914" s="1"/>
      <c r="B914" s="6"/>
      <c r="C914" s="1"/>
      <c r="D914" s="6"/>
      <c r="E914" s="1"/>
      <c r="F914" s="6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21.75" customHeight="1" x14ac:dyDescent="0.6">
      <c r="A915" s="1"/>
      <c r="B915" s="6"/>
      <c r="C915" s="1"/>
      <c r="D915" s="6"/>
      <c r="E915" s="1"/>
      <c r="F915" s="6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21.75" customHeight="1" x14ac:dyDescent="0.6">
      <c r="A916" s="1"/>
      <c r="B916" s="6"/>
      <c r="C916" s="1"/>
      <c r="D916" s="6"/>
      <c r="E916" s="1"/>
      <c r="F916" s="6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21.75" customHeight="1" x14ac:dyDescent="0.6">
      <c r="A917" s="1"/>
      <c r="B917" s="6"/>
      <c r="C917" s="1"/>
      <c r="D917" s="6"/>
      <c r="E917" s="1"/>
      <c r="F917" s="6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21.75" customHeight="1" x14ac:dyDescent="0.6">
      <c r="A918" s="1"/>
      <c r="B918" s="6"/>
      <c r="C918" s="1"/>
      <c r="D918" s="6"/>
      <c r="E918" s="1"/>
      <c r="F918" s="6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21.75" customHeight="1" x14ac:dyDescent="0.6">
      <c r="A919" s="1"/>
      <c r="B919" s="6"/>
      <c r="C919" s="1"/>
      <c r="D919" s="6"/>
      <c r="E919" s="1"/>
      <c r="F919" s="6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21.75" customHeight="1" x14ac:dyDescent="0.6">
      <c r="A920" s="1"/>
      <c r="B920" s="6"/>
      <c r="C920" s="1"/>
      <c r="D920" s="6"/>
      <c r="E920" s="1"/>
      <c r="F920" s="6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21.75" customHeight="1" x14ac:dyDescent="0.6">
      <c r="A921" s="1"/>
      <c r="B921" s="6"/>
      <c r="C921" s="1"/>
      <c r="D921" s="6"/>
      <c r="E921" s="1"/>
      <c r="F921" s="6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21.75" customHeight="1" x14ac:dyDescent="0.6">
      <c r="A922" s="1"/>
      <c r="B922" s="6"/>
      <c r="C922" s="1"/>
      <c r="D922" s="6"/>
      <c r="E922" s="1"/>
      <c r="F922" s="6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21.75" customHeight="1" x14ac:dyDescent="0.6">
      <c r="A923" s="1"/>
      <c r="B923" s="6"/>
      <c r="C923" s="1"/>
      <c r="D923" s="6"/>
      <c r="E923" s="1"/>
      <c r="F923" s="6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21.75" customHeight="1" x14ac:dyDescent="0.6">
      <c r="A924" s="1"/>
      <c r="B924" s="6"/>
      <c r="C924" s="1"/>
      <c r="D924" s="6"/>
      <c r="E924" s="1"/>
      <c r="F924" s="6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21.75" customHeight="1" x14ac:dyDescent="0.6">
      <c r="A925" s="1"/>
      <c r="B925" s="6"/>
      <c r="C925" s="1"/>
      <c r="D925" s="6"/>
      <c r="E925" s="1"/>
      <c r="F925" s="6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21.75" customHeight="1" x14ac:dyDescent="0.6">
      <c r="A926" s="1"/>
      <c r="B926" s="6"/>
      <c r="C926" s="1"/>
      <c r="D926" s="6"/>
      <c r="E926" s="1"/>
      <c r="F926" s="6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21.75" customHeight="1" x14ac:dyDescent="0.6">
      <c r="A927" s="1"/>
      <c r="B927" s="6"/>
      <c r="C927" s="1"/>
      <c r="D927" s="6"/>
      <c r="E927" s="1"/>
      <c r="F927" s="6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21.75" customHeight="1" x14ac:dyDescent="0.6">
      <c r="A928" s="1"/>
      <c r="B928" s="6"/>
      <c r="C928" s="1"/>
      <c r="D928" s="6"/>
      <c r="E928" s="1"/>
      <c r="F928" s="6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21.75" customHeight="1" x14ac:dyDescent="0.6">
      <c r="A929" s="1"/>
      <c r="B929" s="6"/>
      <c r="C929" s="1"/>
      <c r="D929" s="6"/>
      <c r="E929" s="1"/>
      <c r="F929" s="6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21.75" customHeight="1" x14ac:dyDescent="0.6">
      <c r="A930" s="1"/>
      <c r="B930" s="6"/>
      <c r="C930" s="1"/>
      <c r="D930" s="6"/>
      <c r="E930" s="1"/>
      <c r="F930" s="6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21.75" customHeight="1" x14ac:dyDescent="0.6">
      <c r="A931" s="1"/>
      <c r="B931" s="6"/>
      <c r="C931" s="1"/>
      <c r="D931" s="6"/>
      <c r="E931" s="1"/>
      <c r="F931" s="6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21.75" customHeight="1" x14ac:dyDescent="0.6">
      <c r="A932" s="1"/>
      <c r="B932" s="6"/>
      <c r="C932" s="1"/>
      <c r="D932" s="6"/>
      <c r="E932" s="1"/>
      <c r="F932" s="6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21.75" customHeight="1" x14ac:dyDescent="0.6">
      <c r="A933" s="1"/>
      <c r="B933" s="6"/>
      <c r="C933" s="1"/>
      <c r="D933" s="6"/>
      <c r="E933" s="1"/>
      <c r="F933" s="6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21.75" customHeight="1" x14ac:dyDescent="0.6">
      <c r="A934" s="1"/>
      <c r="B934" s="6"/>
      <c r="C934" s="1"/>
      <c r="D934" s="6"/>
      <c r="E934" s="1"/>
      <c r="F934" s="6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21.75" customHeight="1" x14ac:dyDescent="0.6">
      <c r="A935" s="1"/>
      <c r="B935" s="6"/>
      <c r="C935" s="1"/>
      <c r="D935" s="6"/>
      <c r="E935" s="1"/>
      <c r="F935" s="6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21.75" customHeight="1" x14ac:dyDescent="0.6">
      <c r="A936" s="1"/>
      <c r="B936" s="6"/>
      <c r="C936" s="1"/>
      <c r="D936" s="6"/>
      <c r="E936" s="1"/>
      <c r="F936" s="6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21.75" customHeight="1" x14ac:dyDescent="0.6">
      <c r="A937" s="1"/>
      <c r="B937" s="6"/>
      <c r="C937" s="1"/>
      <c r="D937" s="6"/>
      <c r="E937" s="1"/>
      <c r="F937" s="6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21.75" customHeight="1" x14ac:dyDescent="0.6">
      <c r="A938" s="1"/>
      <c r="B938" s="6"/>
      <c r="C938" s="1"/>
      <c r="D938" s="6"/>
      <c r="E938" s="1"/>
      <c r="F938" s="6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21.75" customHeight="1" x14ac:dyDescent="0.6">
      <c r="A939" s="1"/>
      <c r="B939" s="6"/>
      <c r="C939" s="1"/>
      <c r="D939" s="6"/>
      <c r="E939" s="1"/>
      <c r="F939" s="6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21.75" customHeight="1" x14ac:dyDescent="0.6">
      <c r="A940" s="1"/>
      <c r="B940" s="6"/>
      <c r="C940" s="1"/>
      <c r="D940" s="6"/>
      <c r="E940" s="1"/>
      <c r="F940" s="6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21.75" customHeight="1" x14ac:dyDescent="0.6">
      <c r="A941" s="1"/>
      <c r="B941" s="6"/>
      <c r="C941" s="1"/>
      <c r="D941" s="6"/>
      <c r="E941" s="1"/>
      <c r="F941" s="6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21.75" customHeight="1" x14ac:dyDescent="0.6">
      <c r="A942" s="1"/>
      <c r="B942" s="6"/>
      <c r="C942" s="1"/>
      <c r="D942" s="6"/>
      <c r="E942" s="1"/>
      <c r="F942" s="6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21.75" customHeight="1" x14ac:dyDescent="0.6">
      <c r="A943" s="1"/>
      <c r="B943" s="6"/>
      <c r="C943" s="1"/>
      <c r="D943" s="6"/>
      <c r="E943" s="1"/>
      <c r="F943" s="6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21.75" customHeight="1" x14ac:dyDescent="0.6">
      <c r="A944" s="1"/>
      <c r="B944" s="6"/>
      <c r="C944" s="1"/>
      <c r="D944" s="6"/>
      <c r="E944" s="1"/>
      <c r="F944" s="6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21.75" customHeight="1" x14ac:dyDescent="0.6">
      <c r="A945" s="1"/>
      <c r="B945" s="6"/>
      <c r="C945" s="1"/>
      <c r="D945" s="6"/>
      <c r="E945" s="1"/>
      <c r="F945" s="6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21.75" customHeight="1" x14ac:dyDescent="0.6">
      <c r="A946" s="1"/>
      <c r="B946" s="6"/>
      <c r="C946" s="1"/>
      <c r="D946" s="6"/>
      <c r="E946" s="1"/>
      <c r="F946" s="6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21.75" customHeight="1" x14ac:dyDescent="0.6">
      <c r="A947" s="1"/>
      <c r="B947" s="6"/>
      <c r="C947" s="1"/>
      <c r="D947" s="6"/>
      <c r="E947" s="1"/>
      <c r="F947" s="6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21.75" customHeight="1" x14ac:dyDescent="0.6">
      <c r="A948" s="1"/>
      <c r="B948" s="6"/>
      <c r="C948" s="1"/>
      <c r="D948" s="6"/>
      <c r="E948" s="1"/>
      <c r="F948" s="6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21.75" customHeight="1" x14ac:dyDescent="0.6">
      <c r="A949" s="1"/>
      <c r="B949" s="6"/>
      <c r="C949" s="1"/>
      <c r="D949" s="6"/>
      <c r="E949" s="1"/>
      <c r="F949" s="6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21.75" customHeight="1" x14ac:dyDescent="0.6">
      <c r="A950" s="1"/>
      <c r="B950" s="6"/>
      <c r="C950" s="1"/>
      <c r="D950" s="6"/>
      <c r="E950" s="1"/>
      <c r="F950" s="6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21.75" customHeight="1" x14ac:dyDescent="0.6">
      <c r="A951" s="1"/>
      <c r="B951" s="6"/>
      <c r="C951" s="1"/>
      <c r="D951" s="6"/>
      <c r="E951" s="1"/>
      <c r="F951" s="6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21.75" customHeight="1" x14ac:dyDescent="0.6">
      <c r="A952" s="1"/>
      <c r="B952" s="6"/>
      <c r="C952" s="1"/>
      <c r="D952" s="6"/>
      <c r="E952" s="1"/>
      <c r="F952" s="6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21.75" customHeight="1" x14ac:dyDescent="0.6">
      <c r="A953" s="1"/>
      <c r="B953" s="6"/>
      <c r="C953" s="1"/>
      <c r="D953" s="6"/>
      <c r="E953" s="1"/>
      <c r="F953" s="6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21.75" customHeight="1" x14ac:dyDescent="0.6">
      <c r="A954" s="1"/>
      <c r="B954" s="6"/>
      <c r="C954" s="1"/>
      <c r="D954" s="6"/>
      <c r="E954" s="1"/>
      <c r="F954" s="6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21.75" customHeight="1" x14ac:dyDescent="0.6">
      <c r="A955" s="1"/>
      <c r="B955" s="6"/>
      <c r="C955" s="1"/>
      <c r="D955" s="6"/>
      <c r="E955" s="1"/>
      <c r="F955" s="6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21.75" customHeight="1" x14ac:dyDescent="0.6">
      <c r="A956" s="1"/>
      <c r="B956" s="6"/>
      <c r="C956" s="1"/>
      <c r="D956" s="6"/>
      <c r="E956" s="1"/>
      <c r="F956" s="6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21.75" customHeight="1" x14ac:dyDescent="0.6">
      <c r="A957" s="1"/>
      <c r="B957" s="6"/>
      <c r="C957" s="1"/>
      <c r="D957" s="6"/>
      <c r="E957" s="1"/>
      <c r="F957" s="6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21.75" customHeight="1" x14ac:dyDescent="0.6">
      <c r="A958" s="1"/>
      <c r="B958" s="6"/>
      <c r="C958" s="1"/>
      <c r="D958" s="6"/>
      <c r="E958" s="1"/>
      <c r="F958" s="6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21.75" customHeight="1" x14ac:dyDescent="0.6">
      <c r="A959" s="1"/>
      <c r="B959" s="6"/>
      <c r="C959" s="1"/>
      <c r="D959" s="6"/>
      <c r="E959" s="1"/>
      <c r="F959" s="6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21.75" customHeight="1" x14ac:dyDescent="0.6">
      <c r="A960" s="1"/>
      <c r="B960" s="6"/>
      <c r="C960" s="1"/>
      <c r="D960" s="6"/>
      <c r="E960" s="1"/>
      <c r="F960" s="6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21.75" customHeight="1" x14ac:dyDescent="0.6">
      <c r="A961" s="1"/>
      <c r="B961" s="6"/>
      <c r="C961" s="1"/>
      <c r="D961" s="6"/>
      <c r="E961" s="1"/>
      <c r="F961" s="6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21.75" customHeight="1" x14ac:dyDescent="0.6">
      <c r="A962" s="1"/>
      <c r="B962" s="6"/>
      <c r="C962" s="1"/>
      <c r="D962" s="6"/>
      <c r="E962" s="1"/>
      <c r="F962" s="6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21.75" customHeight="1" x14ac:dyDescent="0.6">
      <c r="A963" s="1"/>
      <c r="B963" s="6"/>
      <c r="C963" s="1"/>
      <c r="D963" s="6"/>
      <c r="E963" s="1"/>
      <c r="F963" s="6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21.75" customHeight="1" x14ac:dyDescent="0.6">
      <c r="A964" s="1"/>
      <c r="B964" s="6"/>
      <c r="C964" s="1"/>
      <c r="D964" s="6"/>
      <c r="E964" s="1"/>
      <c r="F964" s="6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21.75" customHeight="1" x14ac:dyDescent="0.6">
      <c r="A965" s="1"/>
      <c r="B965" s="6"/>
      <c r="C965" s="1"/>
      <c r="D965" s="6"/>
      <c r="E965" s="1"/>
      <c r="F965" s="6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21.75" customHeight="1" x14ac:dyDescent="0.6">
      <c r="A966" s="1"/>
      <c r="B966" s="6"/>
      <c r="C966" s="1"/>
      <c r="D966" s="6"/>
      <c r="E966" s="1"/>
      <c r="F966" s="6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21.75" customHeight="1" x14ac:dyDescent="0.6">
      <c r="A967" s="1"/>
      <c r="B967" s="6"/>
      <c r="C967" s="1"/>
      <c r="D967" s="6"/>
      <c r="E967" s="1"/>
      <c r="F967" s="6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21.75" customHeight="1" x14ac:dyDescent="0.6">
      <c r="A968" s="1"/>
      <c r="B968" s="6"/>
      <c r="C968" s="1"/>
      <c r="D968" s="6"/>
      <c r="E968" s="1"/>
      <c r="F968" s="6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21.75" customHeight="1" x14ac:dyDescent="0.6">
      <c r="A969" s="1"/>
      <c r="B969" s="6"/>
      <c r="C969" s="1"/>
      <c r="D969" s="6"/>
      <c r="E969" s="1"/>
      <c r="F969" s="6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21.75" customHeight="1" x14ac:dyDescent="0.6">
      <c r="A970" s="1"/>
      <c r="B970" s="6"/>
      <c r="C970" s="1"/>
      <c r="D970" s="6"/>
      <c r="E970" s="1"/>
      <c r="F970" s="6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21.75" customHeight="1" x14ac:dyDescent="0.6">
      <c r="A971" s="1"/>
      <c r="B971" s="6"/>
      <c r="C971" s="1"/>
      <c r="D971" s="6"/>
      <c r="E971" s="1"/>
      <c r="F971" s="6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21.75" customHeight="1" x14ac:dyDescent="0.6">
      <c r="A972" s="1"/>
      <c r="B972" s="6"/>
      <c r="C972" s="1"/>
      <c r="D972" s="6"/>
      <c r="E972" s="1"/>
      <c r="F972" s="6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21.75" customHeight="1" x14ac:dyDescent="0.6">
      <c r="A973" s="1"/>
      <c r="B973" s="6"/>
      <c r="C973" s="1"/>
      <c r="D973" s="6"/>
      <c r="E973" s="1"/>
      <c r="F973" s="6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21.75" customHeight="1" x14ac:dyDescent="0.6">
      <c r="A974" s="1"/>
      <c r="B974" s="6"/>
      <c r="C974" s="1"/>
      <c r="D974" s="6"/>
      <c r="E974" s="1"/>
      <c r="F974" s="6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21.75" customHeight="1" x14ac:dyDescent="0.6">
      <c r="A975" s="1"/>
      <c r="B975" s="6"/>
      <c r="C975" s="1"/>
      <c r="D975" s="6"/>
      <c r="E975" s="1"/>
      <c r="F975" s="6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21.75" customHeight="1" x14ac:dyDescent="0.6">
      <c r="A976" s="1"/>
      <c r="B976" s="6"/>
      <c r="C976" s="1"/>
      <c r="D976" s="6"/>
      <c r="E976" s="1"/>
      <c r="F976" s="6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21.75" customHeight="1" x14ac:dyDescent="0.6">
      <c r="A977" s="1"/>
      <c r="B977" s="6"/>
      <c r="C977" s="1"/>
      <c r="D977" s="6"/>
      <c r="E977" s="1"/>
      <c r="F977" s="6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21.75" customHeight="1" x14ac:dyDescent="0.6">
      <c r="A978" s="1"/>
      <c r="B978" s="6"/>
      <c r="C978" s="1"/>
      <c r="D978" s="6"/>
      <c r="E978" s="1"/>
      <c r="F978" s="6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21.75" customHeight="1" x14ac:dyDescent="0.6">
      <c r="A979" s="1"/>
      <c r="B979" s="6"/>
      <c r="C979" s="1"/>
      <c r="D979" s="6"/>
      <c r="E979" s="1"/>
      <c r="F979" s="6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21.75" customHeight="1" x14ac:dyDescent="0.6">
      <c r="A980" s="1"/>
      <c r="B980" s="6"/>
      <c r="C980" s="1"/>
      <c r="D980" s="6"/>
      <c r="E980" s="1"/>
      <c r="F980" s="6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21.75" customHeight="1" x14ac:dyDescent="0.6">
      <c r="A981" s="1"/>
      <c r="B981" s="6"/>
      <c r="C981" s="1"/>
      <c r="D981" s="6"/>
      <c r="E981" s="1"/>
      <c r="F981" s="6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21.75" customHeight="1" x14ac:dyDescent="0.6">
      <c r="A982" s="1"/>
      <c r="B982" s="6"/>
      <c r="C982" s="1"/>
      <c r="D982" s="6"/>
      <c r="E982" s="1"/>
      <c r="F982" s="6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21.75" customHeight="1" x14ac:dyDescent="0.6">
      <c r="A983" s="1"/>
      <c r="B983" s="6"/>
      <c r="C983" s="1"/>
      <c r="D983" s="6"/>
      <c r="E983" s="1"/>
      <c r="F983" s="6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21.75" customHeight="1" x14ac:dyDescent="0.6">
      <c r="A984" s="1"/>
      <c r="B984" s="6"/>
      <c r="C984" s="1"/>
      <c r="D984" s="6"/>
      <c r="E984" s="1"/>
      <c r="F984" s="6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21.75" customHeight="1" x14ac:dyDescent="0.6">
      <c r="A985" s="1"/>
      <c r="B985" s="6"/>
      <c r="C985" s="1"/>
      <c r="D985" s="6"/>
      <c r="E985" s="1"/>
      <c r="F985" s="6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21.75" customHeight="1" x14ac:dyDescent="0.6">
      <c r="A986" s="1"/>
      <c r="B986" s="6"/>
      <c r="C986" s="1"/>
      <c r="D986" s="6"/>
      <c r="E986" s="1"/>
      <c r="F986" s="6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21.75" customHeight="1" x14ac:dyDescent="0.6">
      <c r="A987" s="1"/>
      <c r="B987" s="6"/>
      <c r="C987" s="1"/>
      <c r="D987" s="6"/>
      <c r="E987" s="1"/>
      <c r="F987" s="6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21.75" customHeight="1" x14ac:dyDescent="0.6">
      <c r="A988" s="1"/>
      <c r="B988" s="6"/>
      <c r="C988" s="1"/>
      <c r="D988" s="6"/>
      <c r="E988" s="1"/>
      <c r="F988" s="6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21.75" customHeight="1" x14ac:dyDescent="0.6">
      <c r="A989" s="1"/>
      <c r="B989" s="6"/>
      <c r="C989" s="1"/>
      <c r="D989" s="6"/>
      <c r="E989" s="1"/>
      <c r="F989" s="6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21.75" customHeight="1" x14ac:dyDescent="0.6">
      <c r="A990" s="1"/>
      <c r="B990" s="6"/>
      <c r="C990" s="1"/>
      <c r="D990" s="6"/>
      <c r="E990" s="1"/>
      <c r="F990" s="6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21.75" customHeight="1" x14ac:dyDescent="0.6">
      <c r="A991" s="1"/>
      <c r="B991" s="6"/>
      <c r="C991" s="1"/>
      <c r="D991" s="6"/>
      <c r="E991" s="1"/>
      <c r="F991" s="6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21.75" customHeight="1" x14ac:dyDescent="0.6">
      <c r="A992" s="1"/>
      <c r="B992" s="6"/>
      <c r="C992" s="1"/>
      <c r="D992" s="6"/>
      <c r="E992" s="1"/>
      <c r="F992" s="6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21.75" customHeight="1" x14ac:dyDescent="0.6">
      <c r="A993" s="1"/>
      <c r="B993" s="6"/>
      <c r="C993" s="1"/>
      <c r="D993" s="6"/>
      <c r="E993" s="1"/>
      <c r="F993" s="6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21.75" customHeight="1" x14ac:dyDescent="0.6">
      <c r="A994" s="1"/>
      <c r="B994" s="6"/>
      <c r="C994" s="1"/>
      <c r="D994" s="6"/>
      <c r="E994" s="1"/>
      <c r="F994" s="6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21.75" customHeight="1" x14ac:dyDescent="0.6">
      <c r="A995" s="1"/>
      <c r="B995" s="6"/>
      <c r="C995" s="1"/>
      <c r="D995" s="6"/>
      <c r="E995" s="1"/>
      <c r="F995" s="6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21.75" customHeight="1" x14ac:dyDescent="0.6">
      <c r="A996" s="1"/>
      <c r="B996" s="6"/>
      <c r="C996" s="1"/>
      <c r="D996" s="6"/>
      <c r="E996" s="1"/>
      <c r="F996" s="6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21.75" customHeight="1" x14ac:dyDescent="0.6">
      <c r="A997" s="1"/>
      <c r="B997" s="6"/>
      <c r="C997" s="1"/>
      <c r="D997" s="6"/>
      <c r="E997" s="1"/>
      <c r="F997" s="6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21.75" customHeight="1" x14ac:dyDescent="0.6">
      <c r="A998" s="1"/>
      <c r="B998" s="6"/>
      <c r="C998" s="1"/>
      <c r="D998" s="6"/>
      <c r="E998" s="1"/>
      <c r="F998" s="6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21.75" customHeight="1" x14ac:dyDescent="0.6">
      <c r="A999" s="1"/>
      <c r="B999" s="6"/>
      <c r="C999" s="1"/>
      <c r="D999" s="6"/>
      <c r="E999" s="1"/>
      <c r="F999" s="6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21.75" customHeight="1" x14ac:dyDescent="0.6">
      <c r="A1000" s="1"/>
      <c r="B1000" s="6"/>
      <c r="C1000" s="1"/>
      <c r="D1000" s="6"/>
      <c r="E1000" s="1"/>
      <c r="F1000" s="6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21.75" customHeight="1" x14ac:dyDescent="0.6">
      <c r="A1001" s="1"/>
      <c r="B1001" s="6"/>
      <c r="C1001" s="1"/>
      <c r="D1001" s="6"/>
      <c r="E1001" s="1"/>
      <c r="F1001" s="6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21.75" customHeight="1" x14ac:dyDescent="0.6">
      <c r="A1002" s="1"/>
      <c r="B1002" s="6"/>
      <c r="C1002" s="1"/>
      <c r="D1002" s="6"/>
      <c r="E1002" s="1"/>
      <c r="F1002" s="6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21.75" customHeight="1" x14ac:dyDescent="0.6">
      <c r="A1003" s="1"/>
      <c r="B1003" s="6"/>
      <c r="C1003" s="1"/>
      <c r="D1003" s="6"/>
      <c r="E1003" s="1"/>
      <c r="F1003" s="6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21.75" customHeight="1" x14ac:dyDescent="0.6">
      <c r="A1004" s="1"/>
      <c r="B1004" s="6"/>
      <c r="C1004" s="1"/>
      <c r="D1004" s="6"/>
      <c r="E1004" s="1"/>
      <c r="F1004" s="6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</sheetData>
  <mergeCells count="4">
    <mergeCell ref="A1:A2"/>
    <mergeCell ref="B1:C1"/>
    <mergeCell ref="D1:E1"/>
    <mergeCell ref="F1:G1"/>
  </mergeCells>
  <pageMargins left="0.511811024" right="0.511811024" top="0.78740157499999996" bottom="0.78740157499999996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7E59-7FAE-453B-A09B-BC809984534C}">
  <dimension ref="A1:W982"/>
  <sheetViews>
    <sheetView showGridLines="0" zoomScale="70" zoomScaleNormal="70" workbookViewId="0">
      <selection activeCell="F28" sqref="F28"/>
    </sheetView>
  </sheetViews>
  <sheetFormatPr defaultColWidth="14.42578125" defaultRowHeight="15" customHeight="1" x14ac:dyDescent="0.25"/>
  <cols>
    <col min="1" max="1" width="55" bestFit="1" customWidth="1"/>
    <col min="2" max="2" width="25" bestFit="1" customWidth="1"/>
    <col min="3" max="3" width="9.140625" bestFit="1" customWidth="1"/>
    <col min="4" max="4" width="18.28515625" bestFit="1" customWidth="1"/>
    <col min="5" max="5" width="25" bestFit="1" customWidth="1"/>
    <col min="6" max="6" width="24.5703125" bestFit="1" customWidth="1"/>
    <col min="7" max="7" width="8.7109375" style="29" bestFit="1" customWidth="1"/>
    <col min="8" max="8" width="17.85546875" style="29" bestFit="1" customWidth="1"/>
    <col min="9" max="9" width="24.28515625" style="29" bestFit="1" customWidth="1"/>
    <col min="10" max="10" width="17.7109375" style="29" customWidth="1"/>
    <col min="11" max="11" width="83.7109375" customWidth="1"/>
    <col min="12" max="12" width="39.28515625" customWidth="1"/>
    <col min="13" max="13" width="14.28515625" customWidth="1"/>
    <col min="14" max="23" width="9.140625" customWidth="1"/>
  </cols>
  <sheetData>
    <row r="1" spans="1:23" ht="20.45" customHeight="1" x14ac:dyDescent="0.25">
      <c r="A1" s="212" t="s">
        <v>0</v>
      </c>
      <c r="B1" s="214" t="s">
        <v>84</v>
      </c>
      <c r="C1" s="215"/>
      <c r="D1" s="215"/>
      <c r="E1" s="216" t="s">
        <v>106</v>
      </c>
      <c r="F1" s="217"/>
      <c r="G1" s="217"/>
      <c r="H1" s="218"/>
      <c r="I1" s="219" t="s">
        <v>71</v>
      </c>
      <c r="J1" s="219"/>
    </row>
    <row r="2" spans="1:23" ht="22.5" customHeight="1" thickBot="1" x14ac:dyDescent="0.3">
      <c r="A2" s="213"/>
      <c r="B2" s="62" t="s">
        <v>33</v>
      </c>
      <c r="C2" s="62" t="s">
        <v>34</v>
      </c>
      <c r="D2" s="62" t="s">
        <v>3</v>
      </c>
      <c r="E2" s="62" t="s">
        <v>33</v>
      </c>
      <c r="F2" s="62" t="s">
        <v>82</v>
      </c>
      <c r="G2" s="62" t="s">
        <v>34</v>
      </c>
      <c r="H2" s="62" t="s">
        <v>3</v>
      </c>
      <c r="I2" s="62" t="s">
        <v>33</v>
      </c>
      <c r="J2" s="62" t="s">
        <v>3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t="22.5" customHeight="1" thickBot="1" x14ac:dyDescent="0.3">
      <c r="A3" s="107" t="s">
        <v>35</v>
      </c>
      <c r="B3" s="110">
        <f>ORÇAMENTO_EXECUTIVO!B2</f>
        <v>3894011.7347123325</v>
      </c>
      <c r="C3" s="10" t="e">
        <f t="shared" ref="C3:C19" si="0">B3/B$20</f>
        <v>#REF!</v>
      </c>
      <c r="D3" s="111">
        <f>B3/VERSÕES!M$4</f>
        <v>222.44428254293678</v>
      </c>
      <c r="E3" s="110">
        <v>3527122.5</v>
      </c>
      <c r="F3" s="110">
        <f>E3*$L$5</f>
        <v>3682827.3233447922</v>
      </c>
      <c r="G3" s="10">
        <f t="shared" ref="G3:G19" si="1">F3/F$20</f>
        <v>8.2935580940480078E-2</v>
      </c>
      <c r="H3" s="111">
        <f>F3/VERSÕES!M$3</f>
        <v>261.03625004127247</v>
      </c>
      <c r="I3" s="110">
        <f>B3-F3</f>
        <v>211184.41136754025</v>
      </c>
      <c r="J3" s="111">
        <f>D3-H3</f>
        <v>-38.591967498335691</v>
      </c>
      <c r="K3" s="9"/>
      <c r="L3" s="32" t="s">
        <v>83</v>
      </c>
      <c r="M3" s="82">
        <v>14108.49</v>
      </c>
      <c r="N3" s="33" t="s">
        <v>44</v>
      </c>
      <c r="O3" s="9"/>
      <c r="P3" s="9"/>
      <c r="Q3" s="9"/>
      <c r="R3" s="9"/>
      <c r="S3" s="9"/>
      <c r="T3" s="9"/>
      <c r="U3" s="9"/>
      <c r="V3" s="9"/>
      <c r="W3" s="9"/>
    </row>
    <row r="4" spans="1:23" ht="19.5" customHeight="1" thickBot="1" x14ac:dyDescent="0.3">
      <c r="A4" s="106" t="s">
        <v>4</v>
      </c>
      <c r="B4" s="108">
        <f>ORÇAMENTO_EXECUTIVO!B3</f>
        <v>1400464.8625340608</v>
      </c>
      <c r="C4" s="11" t="e">
        <f t="shared" si="0"/>
        <v>#REF!</v>
      </c>
      <c r="D4" s="109">
        <f>B4/VERSÕES!M$4</f>
        <v>80.001146066396089</v>
      </c>
      <c r="E4" s="108">
        <v>673079.31702077831</v>
      </c>
      <c r="F4" s="108">
        <f>E4*$L$5</f>
        <v>702792.4035817791</v>
      </c>
      <c r="G4" s="11">
        <f t="shared" si="1"/>
        <v>1.5826562353913085E-2</v>
      </c>
      <c r="H4" s="109">
        <f>F4/VERSÕES!M$3</f>
        <v>49.813438828803022</v>
      </c>
      <c r="I4" s="108">
        <f>B4-F4</f>
        <v>697672.45895228174</v>
      </c>
      <c r="J4" s="109">
        <f>D4-H4</f>
        <v>30.187707237593067</v>
      </c>
      <c r="K4" s="9" t="s">
        <v>103</v>
      </c>
      <c r="L4" s="32" t="s">
        <v>43</v>
      </c>
      <c r="M4" s="82">
        <f>ORÇAMENTO_EXECUTIVO!G2</f>
        <v>17505.560000000001</v>
      </c>
      <c r="N4" s="33" t="s">
        <v>44</v>
      </c>
      <c r="O4" s="9"/>
      <c r="P4" s="9"/>
      <c r="Q4" s="9"/>
      <c r="R4" s="9"/>
      <c r="S4" s="9"/>
      <c r="T4" s="9"/>
      <c r="U4" s="9"/>
      <c r="V4" s="9"/>
      <c r="W4" s="9"/>
    </row>
    <row r="5" spans="1:23" ht="19.5" customHeight="1" x14ac:dyDescent="0.25">
      <c r="A5" s="107" t="s">
        <v>81</v>
      </c>
      <c r="B5" s="110">
        <f>ORÇAMENTO_EXECUTIVO!B4+ORÇAMENTO_EXECUTIVO!B5</f>
        <v>5478291.13899046</v>
      </c>
      <c r="C5" s="10" t="e">
        <f t="shared" si="0"/>
        <v>#REF!</v>
      </c>
      <c r="D5" s="111">
        <f>B5/VERSÕES!M$4</f>
        <v>312.94578059716224</v>
      </c>
      <c r="E5" s="110">
        <v>4758622.5768750003</v>
      </c>
      <c r="F5" s="110">
        <f t="shared" ref="F5:F19" si="2">E5*$L$5</f>
        <v>4968691.9713167474</v>
      </c>
      <c r="G5" s="10">
        <f t="shared" si="1"/>
        <v>0.11189266261367799</v>
      </c>
      <c r="H5" s="111">
        <f>F5/VERSÕES!M$3</f>
        <v>352.17744573067336</v>
      </c>
      <c r="I5" s="110">
        <f t="shared" ref="I5:I19" si="3">B5-F5</f>
        <v>509599.1676737126</v>
      </c>
      <c r="J5" s="111">
        <f t="shared" ref="J5:J19" si="4">D5-H5</f>
        <v>-39.231665133511115</v>
      </c>
      <c r="K5" s="9"/>
      <c r="L5" s="12">
        <v>1.0441450001650898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t="19.5" customHeight="1" x14ac:dyDescent="0.25">
      <c r="A6" s="106" t="s">
        <v>6</v>
      </c>
      <c r="B6" s="108">
        <f>ORÇAMENTO_EXECUTIVO!B6</f>
        <v>11888495.22749904</v>
      </c>
      <c r="C6" s="11" t="e">
        <f t="shared" si="0"/>
        <v>#REF!</v>
      </c>
      <c r="D6" s="109">
        <f>B6/VERSÕES!M$4</f>
        <v>679.12681613721804</v>
      </c>
      <c r="E6" s="108">
        <v>8711995.6125000007</v>
      </c>
      <c r="F6" s="108">
        <f t="shared" si="2"/>
        <v>9096586.6602520756</v>
      </c>
      <c r="G6" s="11">
        <f t="shared" si="1"/>
        <v>0.20485095634574674</v>
      </c>
      <c r="H6" s="109">
        <f>F6/VERSÕES!M$3</f>
        <v>644.75976240207672</v>
      </c>
      <c r="I6" s="108">
        <f t="shared" si="3"/>
        <v>2791908.5672469642</v>
      </c>
      <c r="J6" s="109">
        <f t="shared" si="4"/>
        <v>34.367053735141326</v>
      </c>
      <c r="K6" s="9" t="s">
        <v>75</v>
      </c>
      <c r="L6" s="12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t="19.5" customHeight="1" x14ac:dyDescent="0.25">
      <c r="A7" s="107" t="s">
        <v>7</v>
      </c>
      <c r="B7" s="110">
        <f>ORÇAMENTO_EXECUTIVO!B7</f>
        <v>2669932.4038596</v>
      </c>
      <c r="C7" s="10" t="e">
        <f t="shared" si="0"/>
        <v>#REF!</v>
      </c>
      <c r="D7" s="111">
        <f>B7/VERSÕES!M$4</f>
        <v>152.51910843523999</v>
      </c>
      <c r="E7" s="110">
        <v>1663392.6734999998</v>
      </c>
      <c r="F7" s="110">
        <f t="shared" si="2"/>
        <v>1736823.1433462666</v>
      </c>
      <c r="G7" s="10">
        <f t="shared" si="1"/>
        <v>3.9112460003547025E-2</v>
      </c>
      <c r="H7" s="111">
        <f>F7/VERSÕES!M$3</f>
        <v>123.10482151855136</v>
      </c>
      <c r="I7" s="110">
        <f t="shared" si="3"/>
        <v>933109.26051333337</v>
      </c>
      <c r="J7" s="111">
        <f t="shared" si="4"/>
        <v>29.414286916688624</v>
      </c>
      <c r="K7" s="9" t="s">
        <v>104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ht="19.5" customHeight="1" x14ac:dyDescent="0.25">
      <c r="A8" s="106" t="s">
        <v>8</v>
      </c>
      <c r="B8" s="108">
        <f>ORÇAMENTO_EXECUTIVO!B8</f>
        <v>6824216.4661030415</v>
      </c>
      <c r="C8" s="11" t="e">
        <f t="shared" si="0"/>
        <v>#REF!</v>
      </c>
      <c r="D8" s="109">
        <f>B8/VERSÕES!M$4</f>
        <v>389.8313716386703</v>
      </c>
      <c r="E8" s="108">
        <v>5123863.01</v>
      </c>
      <c r="F8" s="108">
        <f t="shared" si="2"/>
        <v>5350055.9434223473</v>
      </c>
      <c r="G8" s="11">
        <f t="shared" si="1"/>
        <v>0.12048080422321222</v>
      </c>
      <c r="H8" s="109">
        <f>F8/VERSÕES!M$3</f>
        <v>379.20825995002633</v>
      </c>
      <c r="I8" s="108">
        <f t="shared" si="3"/>
        <v>1474160.5226806942</v>
      </c>
      <c r="J8" s="109">
        <f t="shared" si="4"/>
        <v>10.623111688643974</v>
      </c>
      <c r="K8" s="9" t="s">
        <v>75</v>
      </c>
      <c r="L8" s="14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ht="19.5" customHeight="1" x14ac:dyDescent="0.25">
      <c r="A9" s="107" t="s">
        <v>40</v>
      </c>
      <c r="B9" s="110">
        <f>ORÇAMENTO_EXECUTIVO!B9</f>
        <v>3389279.8719215216</v>
      </c>
      <c r="C9" s="10" t="e">
        <f t="shared" si="0"/>
        <v>#REF!</v>
      </c>
      <c r="D9" s="111">
        <f>B9/VERSÕES!M$4</f>
        <v>193.61162236006854</v>
      </c>
      <c r="E9" s="110">
        <v>2581391.4500000002</v>
      </c>
      <c r="F9" s="110">
        <f t="shared" si="2"/>
        <v>2695346.9759864118</v>
      </c>
      <c r="G9" s="10">
        <f t="shared" si="1"/>
        <v>6.0697976761662872E-2</v>
      </c>
      <c r="H9" s="111">
        <f>F9/VERSÕES!M$3</f>
        <v>191.04432692558962</v>
      </c>
      <c r="I9" s="110">
        <f t="shared" si="3"/>
        <v>693932.89593510982</v>
      </c>
      <c r="J9" s="111">
        <f t="shared" si="4"/>
        <v>2.5672954344789218</v>
      </c>
      <c r="K9" s="9" t="s">
        <v>75</v>
      </c>
      <c r="L9" s="15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19.5" customHeight="1" x14ac:dyDescent="0.25">
      <c r="A10" s="106" t="s">
        <v>9</v>
      </c>
      <c r="B10" s="108">
        <f>ORÇAMENTO_EXECUTIVO!B10</f>
        <v>963633.78227384016</v>
      </c>
      <c r="C10" s="11" t="e">
        <f t="shared" si="0"/>
        <v>#REF!</v>
      </c>
      <c r="D10" s="109">
        <f>B10/VERSÕES!M$4</f>
        <v>55.047298245462592</v>
      </c>
      <c r="E10" s="108">
        <v>1028245.40775</v>
      </c>
      <c r="F10" s="108">
        <f t="shared" si="2"/>
        <v>1073637.3014448767</v>
      </c>
      <c r="G10" s="11">
        <f t="shared" si="1"/>
        <v>2.4177819239656992E-2</v>
      </c>
      <c r="H10" s="109">
        <f>F10/VERSÕES!M$3</f>
        <v>76.098668351104664</v>
      </c>
      <c r="I10" s="108">
        <f t="shared" si="3"/>
        <v>-110003.51917103655</v>
      </c>
      <c r="J10" s="109">
        <f t="shared" si="4"/>
        <v>-21.051370105642071</v>
      </c>
      <c r="K10" s="9" t="s">
        <v>75</v>
      </c>
      <c r="L10" s="14"/>
      <c r="M10" s="30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19.5" customHeight="1" x14ac:dyDescent="0.25">
      <c r="A11" s="107" t="s">
        <v>36</v>
      </c>
      <c r="B11" s="110">
        <f>ORÇAMENTO_EXECUTIVO!B11</f>
        <v>3955585.0851409007</v>
      </c>
      <c r="C11" s="10" t="e">
        <f t="shared" si="0"/>
        <v>#REF!</v>
      </c>
      <c r="D11" s="111">
        <f>B11/VERSÕES!M$4</f>
        <v>225.96164219487412</v>
      </c>
      <c r="E11" s="110">
        <v>2214204.5699999998</v>
      </c>
      <c r="F11" s="110">
        <f t="shared" si="2"/>
        <v>2311950.6311081923</v>
      </c>
      <c r="G11" s="10">
        <f t="shared" si="1"/>
        <v>5.2064067050128213E-2</v>
      </c>
      <c r="H11" s="111">
        <f>F11/VERSÕES!M$3</f>
        <v>163.86945953168569</v>
      </c>
      <c r="I11" s="110">
        <f t="shared" si="3"/>
        <v>1643634.4540327084</v>
      </c>
      <c r="J11" s="111">
        <f t="shared" si="4"/>
        <v>62.092182663188424</v>
      </c>
      <c r="K11" s="9" t="s">
        <v>105</v>
      </c>
      <c r="L11" s="13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19.5" customHeight="1" x14ac:dyDescent="0.25">
      <c r="A12" s="106" t="s">
        <v>37</v>
      </c>
      <c r="B12" s="108">
        <f>ORÇAMENTO_EXECUTIVO!B12</f>
        <v>1140245.0577967202</v>
      </c>
      <c r="C12" s="11" t="e">
        <f t="shared" si="0"/>
        <v>#REF!</v>
      </c>
      <c r="D12" s="109">
        <f>B12/VERSÕES!M$4</f>
        <v>65.136165755149804</v>
      </c>
      <c r="E12" s="108">
        <v>1107529.203</v>
      </c>
      <c r="F12" s="108">
        <f t="shared" si="2"/>
        <v>1156421.0798492767</v>
      </c>
      <c r="G12" s="11">
        <f t="shared" si="1"/>
        <v>2.6042071932390179E-2</v>
      </c>
      <c r="H12" s="109">
        <f>F12/VERSÕES!M$3</f>
        <v>81.966325230359644</v>
      </c>
      <c r="I12" s="108">
        <f t="shared" si="3"/>
        <v>-16176.022052556509</v>
      </c>
      <c r="J12" s="109">
        <f t="shared" si="4"/>
        <v>-16.83015947520984</v>
      </c>
      <c r="K12" s="9" t="s">
        <v>107</v>
      </c>
      <c r="L12" s="9"/>
      <c r="M12" s="31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19.5" customHeight="1" x14ac:dyDescent="0.25">
      <c r="A13" s="107" t="s">
        <v>10</v>
      </c>
      <c r="B13" s="110">
        <f>ORÇAMENTO_EXECUTIVO!B13</f>
        <v>4304402.0710772807</v>
      </c>
      <c r="C13" s="10" t="e">
        <f t="shared" si="0"/>
        <v>#REF!</v>
      </c>
      <c r="D13" s="111">
        <f>B13/VERSÕES!M$4</f>
        <v>245.88771059464995</v>
      </c>
      <c r="E13" s="110">
        <v>2186815.9500000002</v>
      </c>
      <c r="F13" s="110">
        <f t="shared" si="2"/>
        <v>2283352.9404737712</v>
      </c>
      <c r="G13" s="10">
        <f t="shared" si="1"/>
        <v>5.1420060183097645E-2</v>
      </c>
      <c r="H13" s="111">
        <f>F13/VERSÕES!M$3</f>
        <v>161.84247502558893</v>
      </c>
      <c r="I13" s="110">
        <f t="shared" si="3"/>
        <v>2021049.1306035095</v>
      </c>
      <c r="J13" s="111">
        <f t="shared" si="4"/>
        <v>84.04523556906102</v>
      </c>
      <c r="K13" s="9" t="s">
        <v>105</v>
      </c>
      <c r="L13" s="9"/>
      <c r="M13" s="13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19.5" customHeight="1" x14ac:dyDescent="0.25">
      <c r="A14" s="106" t="s">
        <v>11</v>
      </c>
      <c r="B14" s="108">
        <f>ORÇAMENTO_EXECUTIVO!B14</f>
        <v>2594671.0421358002</v>
      </c>
      <c r="C14" s="11" t="e">
        <f t="shared" si="0"/>
        <v>#REF!</v>
      </c>
      <c r="D14" s="109">
        <f>B14/VERSÕES!M$4</f>
        <v>148.21982513760199</v>
      </c>
      <c r="E14" s="108">
        <v>1481391.45</v>
      </c>
      <c r="F14" s="108">
        <f t="shared" si="2"/>
        <v>1546787.4758048125</v>
      </c>
      <c r="G14" s="11">
        <f t="shared" si="1"/>
        <v>3.4832943995001628E-2</v>
      </c>
      <c r="H14" s="109">
        <f>F14/VERSÕES!M$3</f>
        <v>109.63522501733442</v>
      </c>
      <c r="I14" s="108">
        <f t="shared" si="3"/>
        <v>1047883.5663309877</v>
      </c>
      <c r="J14" s="109">
        <f t="shared" si="4"/>
        <v>38.584600120267567</v>
      </c>
      <c r="K14" s="9" t="s">
        <v>108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19.5" customHeight="1" x14ac:dyDescent="0.25">
      <c r="A15" s="107" t="s">
        <v>12</v>
      </c>
      <c r="B15" s="110">
        <f>ORÇAMENTO_EXECUTIVO!B15</f>
        <v>5911420.3508506799</v>
      </c>
      <c r="C15" s="10" t="e">
        <f t="shared" si="0"/>
        <v>#REF!</v>
      </c>
      <c r="D15" s="111">
        <f>B15/VERSÕES!M$4</f>
        <v>337.68816026740529</v>
      </c>
      <c r="E15" s="110">
        <v>3194869.51</v>
      </c>
      <c r="F15" s="110">
        <f t="shared" si="2"/>
        <v>3335907.02504639</v>
      </c>
      <c r="G15" s="10">
        <f t="shared" si="1"/>
        <v>7.5123095055779007E-2</v>
      </c>
      <c r="H15" s="111">
        <f>F15/VERSÕES!M$3</f>
        <v>236.44677956651563</v>
      </c>
      <c r="I15" s="110">
        <f t="shared" si="3"/>
        <v>2575513.3258042899</v>
      </c>
      <c r="J15" s="111">
        <f t="shared" si="4"/>
        <v>101.24138070088966</v>
      </c>
      <c r="K15" s="9" t="s">
        <v>108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19.5" customHeight="1" x14ac:dyDescent="0.25">
      <c r="A16" s="106" t="s">
        <v>39</v>
      </c>
      <c r="B16" s="108" t="e">
        <f>ORÇAMENTO_EXECUTIVO!#REF!</f>
        <v>#REF!</v>
      </c>
      <c r="C16" s="11" t="e">
        <f t="shared" si="0"/>
        <v>#REF!</v>
      </c>
      <c r="D16" s="109" t="e">
        <f>B16/VERSÕES!M$4</f>
        <v>#REF!</v>
      </c>
      <c r="E16" s="108"/>
      <c r="F16" s="108">
        <f>E16*$L$5</f>
        <v>0</v>
      </c>
      <c r="G16" s="11">
        <f t="shared" si="1"/>
        <v>0</v>
      </c>
      <c r="H16" s="109">
        <f>F16/VERSÕES!M$3</f>
        <v>0</v>
      </c>
      <c r="I16" s="108" t="e">
        <f>B16-F16</f>
        <v>#REF!</v>
      </c>
      <c r="J16" s="109" t="e">
        <f t="shared" si="4"/>
        <v>#REF!</v>
      </c>
      <c r="K16" s="9" t="s">
        <v>109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ht="19.5" customHeight="1" x14ac:dyDescent="0.25">
      <c r="A17" s="107" t="s">
        <v>13</v>
      </c>
      <c r="B17" s="110">
        <f>ORÇAMENTO_EXECUTIVO!B16</f>
        <v>2143436.7271750201</v>
      </c>
      <c r="C17" s="10" t="e">
        <f t="shared" si="0"/>
        <v>#REF!</v>
      </c>
      <c r="D17" s="111">
        <f>B17/VERSÕES!M$4</f>
        <v>122.44319674292167</v>
      </c>
      <c r="E17" s="110">
        <v>1823115.7480000001</v>
      </c>
      <c r="F17" s="110">
        <f t="shared" si="2"/>
        <v>1903597.1929964379</v>
      </c>
      <c r="G17" s="10">
        <f t="shared" si="1"/>
        <v>4.2868135054032822E-2</v>
      </c>
      <c r="H17" s="111">
        <f>F17/VERSÕES!M$3</f>
        <v>134.92565065406984</v>
      </c>
      <c r="I17" s="110">
        <f t="shared" si="3"/>
        <v>239839.53417858225</v>
      </c>
      <c r="J17" s="111">
        <f t="shared" si="4"/>
        <v>-12.48245391114817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19.5" customHeight="1" x14ac:dyDescent="0.25">
      <c r="A18" s="106" t="s">
        <v>14</v>
      </c>
      <c r="B18" s="108">
        <f>ORÇAMENTO_EXECUTIVO!B17</f>
        <v>2620073.8056657603</v>
      </c>
      <c r="C18" s="11" t="e">
        <f t="shared" si="0"/>
        <v>#REF!</v>
      </c>
      <c r="D18" s="109">
        <f>B18/VERSÕES!M$4</f>
        <v>149.67095058174431</v>
      </c>
      <c r="E18" s="108">
        <v>2452820.5799999996</v>
      </c>
      <c r="F18" s="108">
        <f t="shared" si="2"/>
        <v>2561100.3449090351</v>
      </c>
      <c r="G18" s="11">
        <f t="shared" si="1"/>
        <v>5.7674804247673628E-2</v>
      </c>
      <c r="H18" s="109">
        <f>F18/VERSÕES!M$3</f>
        <v>181.52901869080497</v>
      </c>
      <c r="I18" s="108">
        <f t="shared" si="3"/>
        <v>58973.460756725166</v>
      </c>
      <c r="J18" s="109">
        <f t="shared" si="4"/>
        <v>-31.858068109060667</v>
      </c>
      <c r="K18" s="9" t="s">
        <v>75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19.5" customHeight="1" x14ac:dyDescent="0.25">
      <c r="A19" s="107" t="s">
        <v>38</v>
      </c>
      <c r="B19" s="110">
        <f>ORÇAMENTO_EXECUTIVO!B18</f>
        <v>1810898.4309272654</v>
      </c>
      <c r="C19" s="10" t="e">
        <f t="shared" si="0"/>
        <v>#REF!</v>
      </c>
      <c r="D19" s="111">
        <f>B19/VERSÕES!M$4</f>
        <v>103.44704373509133</v>
      </c>
      <c r="E19" s="110">
        <v>0</v>
      </c>
      <c r="F19" s="110">
        <f t="shared" si="2"/>
        <v>0</v>
      </c>
      <c r="G19" s="10">
        <f t="shared" si="1"/>
        <v>0</v>
      </c>
      <c r="H19" s="111">
        <f>F19/VERSÕES!M$3</f>
        <v>0</v>
      </c>
      <c r="I19" s="110">
        <f t="shared" si="3"/>
        <v>1810898.4309272654</v>
      </c>
      <c r="J19" s="111">
        <f t="shared" si="4"/>
        <v>103.44704373509133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19.5" customHeight="1" x14ac:dyDescent="0.25">
      <c r="A20" s="61" t="s">
        <v>15</v>
      </c>
      <c r="B20" s="98" t="e">
        <f t="shared" ref="B20:J20" si="5">SUM(B3:B19)</f>
        <v>#REF!</v>
      </c>
      <c r="C20" s="64" t="e">
        <f t="shared" si="5"/>
        <v>#REF!</v>
      </c>
      <c r="D20" s="101" t="e">
        <f t="shared" si="5"/>
        <v>#REF!</v>
      </c>
      <c r="E20" s="98">
        <f t="shared" si="5"/>
        <v>42528459.558645785</v>
      </c>
      <c r="F20" s="98">
        <f t="shared" si="5"/>
        <v>44405878.412883207</v>
      </c>
      <c r="G20" s="64">
        <f t="shared" si="5"/>
        <v>1</v>
      </c>
      <c r="H20" s="101">
        <f t="shared" si="5"/>
        <v>3147.4579074644562</v>
      </c>
      <c r="I20" s="101" t="e">
        <f t="shared" si="5"/>
        <v>#REF!</v>
      </c>
      <c r="J20" s="101" t="e">
        <f t="shared" si="5"/>
        <v>#REF!</v>
      </c>
      <c r="K20" s="13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ht="19.5" customHeight="1" x14ac:dyDescent="0.25">
      <c r="A21" s="61" t="s">
        <v>54</v>
      </c>
      <c r="B21" s="63">
        <v>2846.12</v>
      </c>
      <c r="C21" s="66">
        <v>45566</v>
      </c>
      <c r="D21" s="65" t="e">
        <f>D20/B21</f>
        <v>#REF!</v>
      </c>
      <c r="E21" s="216"/>
      <c r="F21" s="217"/>
      <c r="G21" s="218"/>
      <c r="H21" s="65">
        <f>+H20/B21</f>
        <v>1.1058767400757721</v>
      </c>
      <c r="I21" s="220" t="e">
        <f>J20/D20</f>
        <v>#REF!</v>
      </c>
      <c r="J21" s="221"/>
      <c r="K21" s="13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22.5" customHeight="1" x14ac:dyDescent="0.25">
      <c r="A22" s="9"/>
      <c r="B22" s="9"/>
      <c r="C22" s="9"/>
      <c r="D22" s="9"/>
      <c r="E22" s="9"/>
      <c r="F22" s="9"/>
      <c r="G22" s="14"/>
      <c r="H22" s="14"/>
      <c r="I22" s="14"/>
      <c r="J22" s="14"/>
      <c r="K22" s="9"/>
      <c r="L22" s="13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22.5" customHeight="1" x14ac:dyDescent="0.25">
      <c r="A23" s="9"/>
      <c r="B23" s="9"/>
      <c r="C23" s="9"/>
      <c r="D23" s="9"/>
      <c r="E23" s="13"/>
      <c r="F23" s="13"/>
      <c r="G23" s="14"/>
      <c r="H23" s="14"/>
      <c r="I23" s="14"/>
      <c r="J23" s="14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9.5" customHeight="1" x14ac:dyDescent="0.25">
      <c r="A24" s="9"/>
      <c r="B24" s="9"/>
      <c r="C24" s="9"/>
      <c r="D24" s="9"/>
      <c r="E24" s="9"/>
      <c r="F24" s="9"/>
      <c r="G24" s="14"/>
      <c r="H24" s="14"/>
      <c r="I24" s="14"/>
      <c r="J24" s="14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19.5" customHeight="1" x14ac:dyDescent="0.25">
      <c r="A25" s="9"/>
      <c r="B25" s="9"/>
      <c r="C25" s="9"/>
      <c r="D25" s="9"/>
      <c r="E25" s="9"/>
      <c r="F25" s="9"/>
      <c r="G25" s="14"/>
      <c r="H25" s="14"/>
      <c r="I25" s="14"/>
      <c r="J25" s="14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ht="19.5" customHeight="1" x14ac:dyDescent="0.25">
      <c r="A26" s="9"/>
      <c r="B26" s="9"/>
      <c r="C26" s="9"/>
      <c r="D26" s="9"/>
      <c r="E26" s="9"/>
      <c r="F26" s="9"/>
      <c r="G26" s="14"/>
      <c r="H26" s="14"/>
      <c r="I26" s="14"/>
      <c r="J26" s="14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ht="19.5" customHeight="1" x14ac:dyDescent="0.25">
      <c r="A27" s="9"/>
      <c r="B27" s="9"/>
      <c r="C27" s="9"/>
      <c r="D27" s="9"/>
      <c r="E27" s="9"/>
      <c r="F27" s="9"/>
      <c r="G27" s="14"/>
      <c r="H27" s="14"/>
      <c r="I27" s="14"/>
      <c r="J27" s="14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19.5" customHeight="1" x14ac:dyDescent="0.25">
      <c r="A28" s="9"/>
      <c r="B28" s="9"/>
      <c r="C28" s="9"/>
      <c r="D28" s="9"/>
      <c r="E28" s="9"/>
      <c r="F28" s="9"/>
      <c r="G28" s="14"/>
      <c r="H28" s="14"/>
      <c r="I28" s="14"/>
      <c r="J28" s="14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ht="19.5" customHeight="1" x14ac:dyDescent="0.25">
      <c r="A29" s="9"/>
      <c r="B29" s="9"/>
      <c r="C29" s="9"/>
      <c r="D29" s="9"/>
      <c r="E29" s="9"/>
      <c r="F29" s="9"/>
      <c r="G29" s="14"/>
      <c r="H29" s="14"/>
      <c r="I29" s="14"/>
      <c r="J29" s="14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9.5" customHeight="1" x14ac:dyDescent="0.25">
      <c r="A30" s="9"/>
      <c r="B30" s="9"/>
      <c r="C30" s="9"/>
      <c r="D30" s="9"/>
      <c r="E30" s="9"/>
      <c r="F30" s="9"/>
      <c r="G30" s="14"/>
      <c r="H30" s="14"/>
      <c r="I30" s="14"/>
      <c r="J30" s="14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ht="19.5" customHeight="1" x14ac:dyDescent="0.25">
      <c r="A31" s="9"/>
      <c r="B31" s="9"/>
      <c r="C31" s="9"/>
      <c r="D31" s="9"/>
      <c r="E31" s="9"/>
      <c r="F31" s="9"/>
      <c r="G31" s="14"/>
      <c r="H31" s="14"/>
      <c r="I31" s="14"/>
      <c r="J31" s="14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ht="19.5" customHeight="1" x14ac:dyDescent="0.25">
      <c r="A32" s="9"/>
      <c r="B32" s="9"/>
      <c r="C32" s="9"/>
      <c r="D32" s="9"/>
      <c r="E32" s="9"/>
      <c r="F32" s="9"/>
      <c r="G32" s="14"/>
      <c r="H32" s="14"/>
      <c r="I32" s="14"/>
      <c r="J32" s="14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 ht="19.5" customHeight="1" x14ac:dyDescent="0.25">
      <c r="A33" s="9"/>
      <c r="B33" s="9"/>
      <c r="C33" s="9"/>
      <c r="D33" s="9"/>
      <c r="E33" s="9"/>
      <c r="F33" s="9"/>
      <c r="G33" s="14"/>
      <c r="H33" s="14"/>
      <c r="I33" s="14"/>
      <c r="J33" s="14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ht="19.5" customHeight="1" x14ac:dyDescent="0.25">
      <c r="A34" s="9"/>
      <c r="B34" s="9"/>
      <c r="C34" s="9"/>
      <c r="D34" s="9"/>
      <c r="E34" s="9"/>
      <c r="F34" s="9"/>
      <c r="G34" s="14"/>
      <c r="H34" s="14"/>
      <c r="I34" s="14"/>
      <c r="J34" s="14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ht="19.5" customHeight="1" x14ac:dyDescent="0.25">
      <c r="A35" s="9"/>
      <c r="B35" s="9"/>
      <c r="C35" s="9"/>
      <c r="D35" s="9"/>
      <c r="E35" s="9"/>
      <c r="F35" s="9"/>
      <c r="G35" s="14"/>
      <c r="H35" s="14"/>
      <c r="I35" s="14"/>
      <c r="J35" s="14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ht="19.5" customHeight="1" x14ac:dyDescent="0.25">
      <c r="A36" s="9"/>
      <c r="B36" s="9"/>
      <c r="C36" s="9"/>
      <c r="D36" s="9"/>
      <c r="E36" s="9"/>
      <c r="F36" s="9"/>
      <c r="G36" s="14"/>
      <c r="H36" s="14"/>
      <c r="I36" s="14"/>
      <c r="J36" s="14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 ht="19.5" customHeight="1" x14ac:dyDescent="0.25">
      <c r="A37" s="9"/>
      <c r="B37" s="9"/>
      <c r="C37" s="9"/>
      <c r="D37" s="9"/>
      <c r="E37" s="9"/>
      <c r="F37" s="9"/>
      <c r="G37" s="14"/>
      <c r="H37" s="14"/>
      <c r="I37" s="14"/>
      <c r="J37" s="14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ht="19.5" customHeight="1" x14ac:dyDescent="0.25">
      <c r="A38" s="9"/>
      <c r="B38" s="9"/>
      <c r="C38" s="9"/>
      <c r="D38" s="9"/>
      <c r="E38" s="9"/>
      <c r="F38" s="9"/>
      <c r="G38" s="14"/>
      <c r="H38" s="14"/>
      <c r="I38" s="14"/>
      <c r="J38" s="14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9.5" customHeight="1" x14ac:dyDescent="0.25">
      <c r="A39" s="9"/>
      <c r="B39" s="9"/>
      <c r="C39" s="9"/>
      <c r="D39" s="9"/>
      <c r="E39" s="9"/>
      <c r="F39" s="9"/>
      <c r="G39" s="14"/>
      <c r="H39" s="14"/>
      <c r="I39" s="14"/>
      <c r="J39" s="14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ht="19.5" customHeight="1" x14ac:dyDescent="0.25">
      <c r="A40" s="9"/>
      <c r="B40" s="9"/>
      <c r="C40" s="9"/>
      <c r="D40" s="9"/>
      <c r="E40" s="9"/>
      <c r="F40" s="9"/>
      <c r="G40" s="14"/>
      <c r="H40" s="14"/>
      <c r="I40" s="14"/>
      <c r="J40" s="14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3" ht="19.5" customHeight="1" x14ac:dyDescent="0.25">
      <c r="A41" s="9"/>
      <c r="B41" s="9"/>
      <c r="C41" s="9"/>
      <c r="D41" s="9"/>
      <c r="E41" s="9"/>
      <c r="F41" s="9"/>
      <c r="G41" s="14"/>
      <c r="H41" s="14"/>
      <c r="I41" s="14"/>
      <c r="J41" s="1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 ht="19.5" customHeight="1" x14ac:dyDescent="0.25">
      <c r="A42" s="9"/>
      <c r="B42" s="9"/>
      <c r="C42" s="9"/>
      <c r="D42" s="9"/>
      <c r="E42" s="9"/>
      <c r="F42" s="9"/>
      <c r="G42" s="14"/>
      <c r="H42" s="14"/>
      <c r="I42" s="14"/>
      <c r="J42" s="1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1:23" ht="19.5" customHeight="1" x14ac:dyDescent="0.25">
      <c r="A43" s="9"/>
      <c r="B43" s="9"/>
      <c r="C43" s="9"/>
      <c r="D43" s="9"/>
      <c r="E43" s="9"/>
      <c r="F43" s="9"/>
      <c r="G43" s="14"/>
      <c r="H43" s="14"/>
      <c r="I43" s="14"/>
      <c r="J43" s="1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 ht="19.5" customHeight="1" x14ac:dyDescent="0.25">
      <c r="A44" s="9"/>
      <c r="B44" s="9"/>
      <c r="C44" s="9"/>
      <c r="D44" s="9"/>
      <c r="E44" s="9"/>
      <c r="F44" s="9"/>
      <c r="G44" s="14"/>
      <c r="H44" s="14"/>
      <c r="I44" s="14"/>
      <c r="J44" s="14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ht="19.5" customHeight="1" x14ac:dyDescent="0.25">
      <c r="A45" s="9"/>
      <c r="B45" s="9"/>
      <c r="C45" s="9"/>
      <c r="D45" s="9"/>
      <c r="E45" s="9"/>
      <c r="F45" s="9"/>
      <c r="G45" s="14"/>
      <c r="H45" s="14"/>
      <c r="I45" s="14"/>
      <c r="J45" s="1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ht="19.5" customHeight="1" x14ac:dyDescent="0.25">
      <c r="A46" s="9"/>
      <c r="B46" s="9"/>
      <c r="C46" s="9"/>
      <c r="D46" s="9"/>
      <c r="E46" s="9"/>
      <c r="F46" s="9"/>
      <c r="G46" s="14"/>
      <c r="H46" s="14"/>
      <c r="I46" s="14"/>
      <c r="J46" s="14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ht="19.5" customHeight="1" x14ac:dyDescent="0.25">
      <c r="A47" s="9"/>
      <c r="B47" s="9"/>
      <c r="C47" s="9"/>
      <c r="D47" s="9"/>
      <c r="E47" s="9"/>
      <c r="F47" s="9"/>
      <c r="G47" s="14"/>
      <c r="H47" s="14"/>
      <c r="I47" s="14"/>
      <c r="J47" s="14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ht="19.5" customHeight="1" x14ac:dyDescent="0.25">
      <c r="A48" s="9"/>
      <c r="B48" s="9"/>
      <c r="C48" s="9"/>
      <c r="D48" s="9"/>
      <c r="E48" s="9"/>
      <c r="F48" s="9"/>
      <c r="G48" s="14"/>
      <c r="H48" s="14"/>
      <c r="I48" s="14"/>
      <c r="J48" s="1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ht="19.5" customHeight="1" x14ac:dyDescent="0.25">
      <c r="A49" s="9"/>
      <c r="B49" s="9"/>
      <c r="C49" s="9"/>
      <c r="D49" s="9"/>
      <c r="E49" s="9"/>
      <c r="F49" s="9"/>
      <c r="G49" s="14"/>
      <c r="H49" s="14"/>
      <c r="I49" s="14"/>
      <c r="J49" s="14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ht="19.5" customHeight="1" x14ac:dyDescent="0.25">
      <c r="A50" s="9"/>
      <c r="B50" s="9"/>
      <c r="C50" s="9"/>
      <c r="D50" s="9"/>
      <c r="E50" s="9"/>
      <c r="F50" s="9"/>
      <c r="G50" s="14"/>
      <c r="H50" s="14"/>
      <c r="I50" s="14"/>
      <c r="J50" s="14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 ht="19.5" customHeight="1" x14ac:dyDescent="0.25">
      <c r="A51" s="9"/>
      <c r="B51" s="9"/>
      <c r="C51" s="9"/>
      <c r="D51" s="9"/>
      <c r="E51" s="9"/>
      <c r="F51" s="9"/>
      <c r="G51" s="14"/>
      <c r="H51" s="14"/>
      <c r="I51" s="14"/>
      <c r="J51" s="14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ht="19.5" customHeight="1" x14ac:dyDescent="0.25">
      <c r="A52" s="9"/>
      <c r="B52" s="9"/>
      <c r="C52" s="9"/>
      <c r="D52" s="9"/>
      <c r="E52" s="9"/>
      <c r="F52" s="9"/>
      <c r="G52" s="14"/>
      <c r="H52" s="14"/>
      <c r="I52" s="14"/>
      <c r="J52" s="14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ht="19.5" customHeight="1" x14ac:dyDescent="0.25">
      <c r="A53" s="9"/>
      <c r="B53" s="9"/>
      <c r="C53" s="9"/>
      <c r="D53" s="9"/>
      <c r="E53" s="9"/>
      <c r="F53" s="9"/>
      <c r="G53" s="14"/>
      <c r="H53" s="14"/>
      <c r="I53" s="14"/>
      <c r="J53" s="14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ht="19.5" customHeight="1" x14ac:dyDescent="0.25">
      <c r="A54" s="9"/>
      <c r="B54" s="9"/>
      <c r="C54" s="9"/>
      <c r="D54" s="9"/>
      <c r="E54" s="9"/>
      <c r="F54" s="9"/>
      <c r="G54" s="14"/>
      <c r="H54" s="14"/>
      <c r="I54" s="14"/>
      <c r="J54" s="14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ht="19.5" customHeight="1" x14ac:dyDescent="0.25">
      <c r="A55" s="9"/>
      <c r="B55" s="9"/>
      <c r="C55" s="9"/>
      <c r="D55" s="9"/>
      <c r="E55" s="9"/>
      <c r="F55" s="9"/>
      <c r="G55" s="14"/>
      <c r="H55" s="14"/>
      <c r="I55" s="14"/>
      <c r="J55" s="14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ht="19.5" customHeight="1" x14ac:dyDescent="0.25">
      <c r="A56" s="9"/>
      <c r="B56" s="9"/>
      <c r="C56" s="9"/>
      <c r="D56" s="9"/>
      <c r="E56" s="9"/>
      <c r="F56" s="9"/>
      <c r="G56" s="14"/>
      <c r="H56" s="14"/>
      <c r="I56" s="14"/>
      <c r="J56" s="14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ht="19.5" customHeight="1" x14ac:dyDescent="0.25">
      <c r="A57" s="9"/>
      <c r="B57" s="9"/>
      <c r="C57" s="9"/>
      <c r="D57" s="9"/>
      <c r="E57" s="9"/>
      <c r="F57" s="9"/>
      <c r="G57" s="14"/>
      <c r="H57" s="14"/>
      <c r="I57" s="14"/>
      <c r="J57" s="14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ht="19.5" customHeight="1" x14ac:dyDescent="0.25">
      <c r="A58" s="9"/>
      <c r="B58" s="9"/>
      <c r="C58" s="9"/>
      <c r="D58" s="9"/>
      <c r="E58" s="9"/>
      <c r="F58" s="9"/>
      <c r="G58" s="14"/>
      <c r="H58" s="14"/>
      <c r="I58" s="14"/>
      <c r="J58" s="1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ht="19.5" customHeight="1" x14ac:dyDescent="0.25">
      <c r="A59" s="9"/>
      <c r="B59" s="9"/>
      <c r="C59" s="9"/>
      <c r="D59" s="9"/>
      <c r="E59" s="9"/>
      <c r="F59" s="9"/>
      <c r="G59" s="14"/>
      <c r="H59" s="14"/>
      <c r="I59" s="14"/>
      <c r="J59" s="1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ht="19.5" customHeight="1" x14ac:dyDescent="0.25">
      <c r="A60" s="9"/>
      <c r="B60" s="9"/>
      <c r="C60" s="9"/>
      <c r="D60" s="9"/>
      <c r="E60" s="9"/>
      <c r="F60" s="9"/>
      <c r="G60" s="14"/>
      <c r="H60" s="14"/>
      <c r="I60" s="14"/>
      <c r="J60" s="1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ht="19.5" customHeight="1" x14ac:dyDescent="0.25">
      <c r="A61" s="9"/>
      <c r="B61" s="9"/>
      <c r="C61" s="9"/>
      <c r="D61" s="9"/>
      <c r="E61" s="9"/>
      <c r="F61" s="9"/>
      <c r="G61" s="14"/>
      <c r="H61" s="14"/>
      <c r="I61" s="14"/>
      <c r="J61" s="14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ht="19.5" customHeight="1" x14ac:dyDescent="0.25">
      <c r="A62" s="9"/>
      <c r="B62" s="9"/>
      <c r="C62" s="9"/>
      <c r="D62" s="9"/>
      <c r="E62" s="9"/>
      <c r="F62" s="9"/>
      <c r="G62" s="14"/>
      <c r="H62" s="14"/>
      <c r="I62" s="14"/>
      <c r="J62" s="14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ht="19.5" customHeight="1" x14ac:dyDescent="0.25">
      <c r="A63" s="9"/>
      <c r="B63" s="9"/>
      <c r="C63" s="9"/>
      <c r="D63" s="9"/>
      <c r="E63" s="9"/>
      <c r="F63" s="9"/>
      <c r="G63" s="14"/>
      <c r="H63" s="14"/>
      <c r="I63" s="14"/>
      <c r="J63" s="14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ht="19.5" customHeight="1" x14ac:dyDescent="0.25">
      <c r="A64" s="9"/>
      <c r="B64" s="9"/>
      <c r="C64" s="9"/>
      <c r="D64" s="9"/>
      <c r="E64" s="9"/>
      <c r="F64" s="9"/>
      <c r="G64" s="14"/>
      <c r="H64" s="14"/>
      <c r="I64" s="14"/>
      <c r="J64" s="14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ht="19.5" customHeight="1" x14ac:dyDescent="0.25">
      <c r="A65" s="9"/>
      <c r="B65" s="9"/>
      <c r="C65" s="9"/>
      <c r="D65" s="9"/>
      <c r="E65" s="9"/>
      <c r="F65" s="9"/>
      <c r="G65" s="14"/>
      <c r="H65" s="14"/>
      <c r="I65" s="14"/>
      <c r="J65" s="14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ht="19.5" customHeight="1" x14ac:dyDescent="0.25">
      <c r="A66" s="9"/>
      <c r="B66" s="9"/>
      <c r="C66" s="9"/>
      <c r="D66" s="9"/>
      <c r="E66" s="9"/>
      <c r="F66" s="9"/>
      <c r="G66" s="14"/>
      <c r="H66" s="14"/>
      <c r="I66" s="14"/>
      <c r="J66" s="14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ht="19.5" customHeight="1" x14ac:dyDescent="0.25">
      <c r="A67" s="9"/>
      <c r="B67" s="9"/>
      <c r="C67" s="9"/>
      <c r="D67" s="9"/>
      <c r="E67" s="9"/>
      <c r="F67" s="9"/>
      <c r="G67" s="14"/>
      <c r="H67" s="14"/>
      <c r="I67" s="14"/>
      <c r="J67" s="14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ht="19.5" customHeight="1" x14ac:dyDescent="0.25">
      <c r="A68" s="9"/>
      <c r="B68" s="9"/>
      <c r="C68" s="9"/>
      <c r="D68" s="9"/>
      <c r="E68" s="9"/>
      <c r="F68" s="9"/>
      <c r="G68" s="14"/>
      <c r="H68" s="14"/>
      <c r="I68" s="14"/>
      <c r="J68" s="14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ht="19.5" customHeight="1" x14ac:dyDescent="0.25">
      <c r="A69" s="9"/>
      <c r="B69" s="9"/>
      <c r="C69" s="9"/>
      <c r="D69" s="9"/>
      <c r="E69" s="9"/>
      <c r="F69" s="9"/>
      <c r="G69" s="14"/>
      <c r="H69" s="14"/>
      <c r="I69" s="14"/>
      <c r="J69" s="14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t="19.5" customHeight="1" x14ac:dyDescent="0.25">
      <c r="A70" s="9"/>
      <c r="B70" s="9"/>
      <c r="C70" s="9"/>
      <c r="D70" s="9"/>
      <c r="E70" s="9"/>
      <c r="F70" s="9"/>
      <c r="G70" s="14"/>
      <c r="H70" s="14"/>
      <c r="I70" s="14"/>
      <c r="J70" s="14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ht="19.5" customHeight="1" x14ac:dyDescent="0.25">
      <c r="A71" s="9"/>
      <c r="B71" s="9"/>
      <c r="C71" s="9"/>
      <c r="D71" s="9"/>
      <c r="E71" s="9"/>
      <c r="F71" s="9"/>
      <c r="G71" s="14"/>
      <c r="H71" s="14"/>
      <c r="I71" s="14"/>
      <c r="J71" s="14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ht="19.5" customHeight="1" x14ac:dyDescent="0.25">
      <c r="A72" s="9"/>
      <c r="B72" s="9"/>
      <c r="C72" s="9"/>
      <c r="D72" s="9"/>
      <c r="E72" s="9"/>
      <c r="F72" s="9"/>
      <c r="G72" s="14"/>
      <c r="H72" s="14"/>
      <c r="I72" s="14"/>
      <c r="J72" s="14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 ht="19.5" customHeight="1" x14ac:dyDescent="0.25">
      <c r="A73" s="9"/>
      <c r="B73" s="9"/>
      <c r="C73" s="9"/>
      <c r="D73" s="9"/>
      <c r="E73" s="9"/>
      <c r="F73" s="9"/>
      <c r="G73" s="14"/>
      <c r="H73" s="14"/>
      <c r="I73" s="14"/>
      <c r="J73" s="14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 ht="19.5" customHeight="1" x14ac:dyDescent="0.25">
      <c r="A74" s="9"/>
      <c r="B74" s="9"/>
      <c r="C74" s="9"/>
      <c r="D74" s="9"/>
      <c r="E74" s="9"/>
      <c r="F74" s="9"/>
      <c r="G74" s="14"/>
      <c r="H74" s="14"/>
      <c r="I74" s="14"/>
      <c r="J74" s="14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 ht="19.5" customHeight="1" x14ac:dyDescent="0.25">
      <c r="A75" s="9"/>
      <c r="B75" s="9"/>
      <c r="C75" s="9"/>
      <c r="D75" s="9"/>
      <c r="E75" s="9"/>
      <c r="F75" s="9"/>
      <c r="G75" s="14"/>
      <c r="H75" s="14"/>
      <c r="I75" s="14"/>
      <c r="J75" s="14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 ht="19.5" customHeight="1" x14ac:dyDescent="0.25">
      <c r="A76" s="9"/>
      <c r="B76" s="9"/>
      <c r="C76" s="9"/>
      <c r="D76" s="9"/>
      <c r="E76" s="9"/>
      <c r="F76" s="9"/>
      <c r="G76" s="14"/>
      <c r="H76" s="14"/>
      <c r="I76" s="14"/>
      <c r="J76" s="14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 ht="19.5" customHeight="1" x14ac:dyDescent="0.25">
      <c r="A77" s="9"/>
      <c r="B77" s="9"/>
      <c r="C77" s="9"/>
      <c r="D77" s="9"/>
      <c r="E77" s="9"/>
      <c r="F77" s="9"/>
      <c r="G77" s="14"/>
      <c r="H77" s="14"/>
      <c r="I77" s="14"/>
      <c r="J77" s="14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1:23" ht="19.5" customHeight="1" x14ac:dyDescent="0.25">
      <c r="A78" s="9"/>
      <c r="B78" s="9"/>
      <c r="C78" s="9"/>
      <c r="D78" s="9"/>
      <c r="E78" s="9"/>
      <c r="F78" s="9"/>
      <c r="G78" s="14"/>
      <c r="H78" s="14"/>
      <c r="I78" s="14"/>
      <c r="J78" s="14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3" ht="19.5" customHeight="1" x14ac:dyDescent="0.25">
      <c r="A79" s="9"/>
      <c r="B79" s="9"/>
      <c r="C79" s="9"/>
      <c r="D79" s="9"/>
      <c r="E79" s="9"/>
      <c r="F79" s="9"/>
      <c r="G79" s="14"/>
      <c r="H79" s="14"/>
      <c r="I79" s="14"/>
      <c r="J79" s="14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1:23" ht="19.5" customHeight="1" x14ac:dyDescent="0.25">
      <c r="A80" s="9"/>
      <c r="B80" s="9"/>
      <c r="C80" s="9"/>
      <c r="D80" s="9"/>
      <c r="E80" s="9"/>
      <c r="F80" s="9"/>
      <c r="G80" s="14"/>
      <c r="H80" s="14"/>
      <c r="I80" s="14"/>
      <c r="J80" s="14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 ht="19.5" customHeight="1" x14ac:dyDescent="0.25">
      <c r="A81" s="9"/>
      <c r="B81" s="9"/>
      <c r="C81" s="9"/>
      <c r="D81" s="9"/>
      <c r="E81" s="9"/>
      <c r="F81" s="9"/>
      <c r="G81" s="14"/>
      <c r="H81" s="14"/>
      <c r="I81" s="14"/>
      <c r="J81" s="14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 ht="19.5" customHeight="1" x14ac:dyDescent="0.25">
      <c r="A82" s="9"/>
      <c r="B82" s="9"/>
      <c r="C82" s="9"/>
      <c r="D82" s="9"/>
      <c r="E82" s="9"/>
      <c r="F82" s="9"/>
      <c r="G82" s="14"/>
      <c r="H82" s="14"/>
      <c r="I82" s="14"/>
      <c r="J82" s="14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 ht="19.5" customHeight="1" x14ac:dyDescent="0.25">
      <c r="A83" s="9"/>
      <c r="B83" s="9"/>
      <c r="C83" s="9"/>
      <c r="D83" s="9"/>
      <c r="E83" s="9"/>
      <c r="F83" s="9"/>
      <c r="G83" s="14"/>
      <c r="H83" s="14"/>
      <c r="I83" s="14"/>
      <c r="J83" s="14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 ht="19.5" customHeight="1" x14ac:dyDescent="0.25">
      <c r="A84" s="9"/>
      <c r="B84" s="9"/>
      <c r="C84" s="9"/>
      <c r="D84" s="9"/>
      <c r="E84" s="9"/>
      <c r="F84" s="9"/>
      <c r="G84" s="14"/>
      <c r="H84" s="14"/>
      <c r="I84" s="14"/>
      <c r="J84" s="14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 ht="19.5" customHeight="1" x14ac:dyDescent="0.25">
      <c r="A85" s="9"/>
      <c r="B85" s="9"/>
      <c r="C85" s="9"/>
      <c r="D85" s="9"/>
      <c r="E85" s="9"/>
      <c r="F85" s="9"/>
      <c r="G85" s="14"/>
      <c r="H85" s="14"/>
      <c r="I85" s="14"/>
      <c r="J85" s="14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 ht="19.5" customHeight="1" x14ac:dyDescent="0.25">
      <c r="A86" s="9"/>
      <c r="B86" s="9"/>
      <c r="C86" s="9"/>
      <c r="D86" s="9"/>
      <c r="E86" s="9"/>
      <c r="F86" s="9"/>
      <c r="G86" s="14"/>
      <c r="H86" s="14"/>
      <c r="I86" s="14"/>
      <c r="J86" s="14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ht="19.5" customHeight="1" x14ac:dyDescent="0.25">
      <c r="A87" s="9"/>
      <c r="B87" s="9"/>
      <c r="C87" s="9"/>
      <c r="D87" s="9"/>
      <c r="E87" s="9"/>
      <c r="F87" s="9"/>
      <c r="G87" s="14"/>
      <c r="H87" s="14"/>
      <c r="I87" s="14"/>
      <c r="J87" s="14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ht="19.5" customHeight="1" x14ac:dyDescent="0.25">
      <c r="A88" s="9"/>
      <c r="B88" s="9"/>
      <c r="C88" s="9"/>
      <c r="D88" s="9"/>
      <c r="E88" s="9"/>
      <c r="F88" s="9"/>
      <c r="G88" s="14"/>
      <c r="H88" s="14"/>
      <c r="I88" s="14"/>
      <c r="J88" s="14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ht="19.5" customHeight="1" x14ac:dyDescent="0.25">
      <c r="A89" s="9"/>
      <c r="B89" s="9"/>
      <c r="C89" s="9"/>
      <c r="D89" s="9"/>
      <c r="E89" s="9"/>
      <c r="F89" s="9"/>
      <c r="G89" s="14"/>
      <c r="H89" s="14"/>
      <c r="I89" s="14"/>
      <c r="J89" s="14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ht="19.5" customHeight="1" x14ac:dyDescent="0.25">
      <c r="A90" s="9"/>
      <c r="B90" s="9"/>
      <c r="C90" s="9"/>
      <c r="D90" s="9"/>
      <c r="E90" s="9"/>
      <c r="F90" s="9"/>
      <c r="G90" s="14"/>
      <c r="H90" s="14"/>
      <c r="I90" s="14"/>
      <c r="J90" s="14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ht="19.5" customHeight="1" x14ac:dyDescent="0.25">
      <c r="A91" s="9"/>
      <c r="B91" s="9"/>
      <c r="C91" s="9"/>
      <c r="D91" s="9"/>
      <c r="E91" s="9"/>
      <c r="F91" s="9"/>
      <c r="G91" s="14"/>
      <c r="H91" s="14"/>
      <c r="I91" s="14"/>
      <c r="J91" s="14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ht="19.5" customHeight="1" x14ac:dyDescent="0.25">
      <c r="A92" s="9"/>
      <c r="B92" s="9"/>
      <c r="C92" s="9"/>
      <c r="D92" s="9"/>
      <c r="E92" s="9"/>
      <c r="F92" s="9"/>
      <c r="G92" s="14"/>
      <c r="H92" s="14"/>
      <c r="I92" s="14"/>
      <c r="J92" s="14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ht="19.5" customHeight="1" x14ac:dyDescent="0.25">
      <c r="A93" s="9"/>
      <c r="B93" s="9"/>
      <c r="C93" s="9"/>
      <c r="D93" s="9"/>
      <c r="E93" s="9"/>
      <c r="F93" s="9"/>
      <c r="G93" s="14"/>
      <c r="H93" s="14"/>
      <c r="I93" s="14"/>
      <c r="J93" s="14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ht="19.5" customHeight="1" x14ac:dyDescent="0.25">
      <c r="A94" s="9"/>
      <c r="B94" s="9"/>
      <c r="C94" s="9"/>
      <c r="D94" s="9"/>
      <c r="E94" s="9"/>
      <c r="F94" s="9"/>
      <c r="G94" s="14"/>
      <c r="H94" s="14"/>
      <c r="I94" s="14"/>
      <c r="J94" s="14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ht="19.5" customHeight="1" x14ac:dyDescent="0.25">
      <c r="A95" s="9"/>
      <c r="B95" s="9"/>
      <c r="C95" s="9"/>
      <c r="D95" s="9"/>
      <c r="E95" s="9"/>
      <c r="F95" s="9"/>
      <c r="G95" s="14"/>
      <c r="H95" s="14"/>
      <c r="I95" s="14"/>
      <c r="J95" s="14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ht="19.5" customHeight="1" x14ac:dyDescent="0.25">
      <c r="A96" s="9"/>
      <c r="B96" s="9"/>
      <c r="C96" s="9"/>
      <c r="D96" s="9"/>
      <c r="E96" s="9"/>
      <c r="F96" s="9"/>
      <c r="G96" s="14"/>
      <c r="H96" s="14"/>
      <c r="I96" s="14"/>
      <c r="J96" s="14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ht="19.5" customHeight="1" x14ac:dyDescent="0.25">
      <c r="A97" s="9"/>
      <c r="B97" s="9"/>
      <c r="C97" s="9"/>
      <c r="D97" s="9"/>
      <c r="E97" s="9"/>
      <c r="F97" s="9"/>
      <c r="G97" s="14"/>
      <c r="H97" s="14"/>
      <c r="I97" s="14"/>
      <c r="J97" s="14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ht="19.5" customHeight="1" x14ac:dyDescent="0.25">
      <c r="A98" s="9"/>
      <c r="B98" s="9"/>
      <c r="C98" s="9"/>
      <c r="D98" s="9"/>
      <c r="E98" s="9"/>
      <c r="F98" s="9"/>
      <c r="G98" s="14"/>
      <c r="H98" s="14"/>
      <c r="I98" s="14"/>
      <c r="J98" s="14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ht="19.5" customHeight="1" x14ac:dyDescent="0.25">
      <c r="A99" s="9"/>
      <c r="B99" s="9"/>
      <c r="C99" s="9"/>
      <c r="D99" s="9"/>
      <c r="E99" s="9"/>
      <c r="F99" s="9"/>
      <c r="G99" s="14"/>
      <c r="H99" s="14"/>
      <c r="I99" s="14"/>
      <c r="J99" s="14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ht="19.5" customHeight="1" x14ac:dyDescent="0.25">
      <c r="A100" s="9"/>
      <c r="B100" s="9"/>
      <c r="C100" s="9"/>
      <c r="D100" s="9"/>
      <c r="E100" s="9"/>
      <c r="F100" s="9"/>
      <c r="G100" s="14"/>
      <c r="H100" s="14"/>
      <c r="I100" s="14"/>
      <c r="J100" s="14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 ht="19.5" customHeight="1" x14ac:dyDescent="0.25">
      <c r="A101" s="9"/>
      <c r="B101" s="9"/>
      <c r="C101" s="9"/>
      <c r="D101" s="9"/>
      <c r="E101" s="9"/>
      <c r="F101" s="9"/>
      <c r="G101" s="14"/>
      <c r="H101" s="14"/>
      <c r="I101" s="14"/>
      <c r="J101" s="14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 ht="19.5" customHeight="1" x14ac:dyDescent="0.25">
      <c r="A102" s="9"/>
      <c r="B102" s="9"/>
      <c r="C102" s="9"/>
      <c r="D102" s="9"/>
      <c r="E102" s="9"/>
      <c r="F102" s="9"/>
      <c r="G102" s="14"/>
      <c r="H102" s="14"/>
      <c r="I102" s="14"/>
      <c r="J102" s="14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ht="19.5" customHeight="1" x14ac:dyDescent="0.25">
      <c r="A103" s="9"/>
      <c r="B103" s="9"/>
      <c r="C103" s="9"/>
      <c r="D103" s="9"/>
      <c r="E103" s="9"/>
      <c r="F103" s="9"/>
      <c r="G103" s="14"/>
      <c r="H103" s="14"/>
      <c r="I103" s="14"/>
      <c r="J103" s="14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 ht="19.5" customHeight="1" x14ac:dyDescent="0.25">
      <c r="A104" s="9"/>
      <c r="B104" s="9"/>
      <c r="C104" s="9"/>
      <c r="D104" s="9"/>
      <c r="E104" s="9"/>
      <c r="F104" s="9"/>
      <c r="G104" s="14"/>
      <c r="H104" s="14"/>
      <c r="I104" s="14"/>
      <c r="J104" s="14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 ht="19.5" customHeight="1" x14ac:dyDescent="0.25">
      <c r="A105" s="9"/>
      <c r="B105" s="9"/>
      <c r="C105" s="9"/>
      <c r="D105" s="9"/>
      <c r="E105" s="9"/>
      <c r="F105" s="9"/>
      <c r="G105" s="14"/>
      <c r="H105" s="14"/>
      <c r="I105" s="14"/>
      <c r="J105" s="14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 ht="19.5" customHeight="1" x14ac:dyDescent="0.25">
      <c r="A106" s="9"/>
      <c r="B106" s="9"/>
      <c r="C106" s="9"/>
      <c r="D106" s="9"/>
      <c r="E106" s="9"/>
      <c r="F106" s="9"/>
      <c r="G106" s="14"/>
      <c r="H106" s="14"/>
      <c r="I106" s="14"/>
      <c r="J106" s="14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 ht="19.5" customHeight="1" x14ac:dyDescent="0.25">
      <c r="A107" s="9"/>
      <c r="B107" s="9"/>
      <c r="C107" s="9"/>
      <c r="D107" s="9"/>
      <c r="E107" s="9"/>
      <c r="F107" s="9"/>
      <c r="G107" s="14"/>
      <c r="H107" s="14"/>
      <c r="I107" s="14"/>
      <c r="J107" s="14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 ht="19.5" customHeight="1" x14ac:dyDescent="0.25">
      <c r="A108" s="9"/>
      <c r="B108" s="9"/>
      <c r="C108" s="9"/>
      <c r="D108" s="9"/>
      <c r="E108" s="9"/>
      <c r="F108" s="9"/>
      <c r="G108" s="14"/>
      <c r="H108" s="14"/>
      <c r="I108" s="14"/>
      <c r="J108" s="14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ht="19.5" customHeight="1" x14ac:dyDescent="0.25">
      <c r="A109" s="9"/>
      <c r="B109" s="9"/>
      <c r="C109" s="9"/>
      <c r="D109" s="9"/>
      <c r="E109" s="9"/>
      <c r="F109" s="9"/>
      <c r="G109" s="14"/>
      <c r="H109" s="14"/>
      <c r="I109" s="14"/>
      <c r="J109" s="14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 ht="19.5" customHeight="1" x14ac:dyDescent="0.25">
      <c r="A110" s="9"/>
      <c r="B110" s="9"/>
      <c r="C110" s="9"/>
      <c r="D110" s="9"/>
      <c r="E110" s="9"/>
      <c r="F110" s="9"/>
      <c r="G110" s="14"/>
      <c r="H110" s="14"/>
      <c r="I110" s="14"/>
      <c r="J110" s="14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 ht="19.5" customHeight="1" x14ac:dyDescent="0.25">
      <c r="A111" s="9"/>
      <c r="B111" s="9"/>
      <c r="C111" s="9"/>
      <c r="D111" s="9"/>
      <c r="E111" s="9"/>
      <c r="F111" s="9"/>
      <c r="G111" s="14"/>
      <c r="H111" s="14"/>
      <c r="I111" s="14"/>
      <c r="J111" s="14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 ht="19.5" customHeight="1" x14ac:dyDescent="0.25">
      <c r="A112" s="9"/>
      <c r="B112" s="9"/>
      <c r="C112" s="9"/>
      <c r="D112" s="9"/>
      <c r="E112" s="9"/>
      <c r="F112" s="9"/>
      <c r="G112" s="14"/>
      <c r="H112" s="14"/>
      <c r="I112" s="14"/>
      <c r="J112" s="14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 ht="19.5" customHeight="1" x14ac:dyDescent="0.25">
      <c r="A113" s="9"/>
      <c r="B113" s="9"/>
      <c r="C113" s="9"/>
      <c r="D113" s="9"/>
      <c r="E113" s="9"/>
      <c r="F113" s="9"/>
      <c r="G113" s="14"/>
      <c r="H113" s="14"/>
      <c r="I113" s="14"/>
      <c r="J113" s="14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 ht="19.5" customHeight="1" x14ac:dyDescent="0.25">
      <c r="A114" s="9"/>
      <c r="B114" s="9"/>
      <c r="C114" s="9"/>
      <c r="D114" s="9"/>
      <c r="E114" s="9"/>
      <c r="F114" s="9"/>
      <c r="G114" s="14"/>
      <c r="H114" s="14"/>
      <c r="I114" s="14"/>
      <c r="J114" s="14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 ht="19.5" customHeight="1" x14ac:dyDescent="0.25">
      <c r="A115" s="9"/>
      <c r="B115" s="9"/>
      <c r="C115" s="9"/>
      <c r="D115" s="9"/>
      <c r="E115" s="9"/>
      <c r="F115" s="9"/>
      <c r="G115" s="14"/>
      <c r="H115" s="14"/>
      <c r="I115" s="14"/>
      <c r="J115" s="14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 ht="19.5" customHeight="1" x14ac:dyDescent="0.25">
      <c r="A116" s="9"/>
      <c r="B116" s="9"/>
      <c r="C116" s="9"/>
      <c r="D116" s="9"/>
      <c r="E116" s="9"/>
      <c r="F116" s="9"/>
      <c r="G116" s="14"/>
      <c r="H116" s="14"/>
      <c r="I116" s="14"/>
      <c r="J116" s="14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 ht="19.5" customHeight="1" x14ac:dyDescent="0.25">
      <c r="A117" s="9"/>
      <c r="B117" s="9"/>
      <c r="C117" s="9"/>
      <c r="D117" s="9"/>
      <c r="E117" s="9"/>
      <c r="F117" s="9"/>
      <c r="G117" s="14"/>
      <c r="H117" s="14"/>
      <c r="I117" s="14"/>
      <c r="J117" s="14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 ht="19.5" customHeight="1" x14ac:dyDescent="0.25">
      <c r="A118" s="9"/>
      <c r="B118" s="9"/>
      <c r="C118" s="9"/>
      <c r="D118" s="9"/>
      <c r="E118" s="9"/>
      <c r="F118" s="9"/>
      <c r="G118" s="14"/>
      <c r="H118" s="14"/>
      <c r="I118" s="14"/>
      <c r="J118" s="14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 ht="19.5" customHeight="1" x14ac:dyDescent="0.25">
      <c r="A119" s="9"/>
      <c r="B119" s="9"/>
      <c r="C119" s="9"/>
      <c r="D119" s="9"/>
      <c r="E119" s="9"/>
      <c r="F119" s="9"/>
      <c r="G119" s="14"/>
      <c r="H119" s="14"/>
      <c r="I119" s="14"/>
      <c r="J119" s="14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 ht="19.5" customHeight="1" x14ac:dyDescent="0.25">
      <c r="A120" s="9"/>
      <c r="B120" s="9"/>
      <c r="C120" s="9"/>
      <c r="D120" s="9"/>
      <c r="E120" s="9"/>
      <c r="F120" s="9"/>
      <c r="G120" s="14"/>
      <c r="H120" s="14"/>
      <c r="I120" s="14"/>
      <c r="J120" s="14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 ht="19.5" customHeight="1" x14ac:dyDescent="0.25">
      <c r="A121" s="9"/>
      <c r="B121" s="9"/>
      <c r="C121" s="9"/>
      <c r="D121" s="9"/>
      <c r="E121" s="9"/>
      <c r="F121" s="9"/>
      <c r="G121" s="14"/>
      <c r="H121" s="14"/>
      <c r="I121" s="14"/>
      <c r="J121" s="14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 ht="19.5" customHeight="1" x14ac:dyDescent="0.25">
      <c r="A122" s="9"/>
      <c r="B122" s="9"/>
      <c r="C122" s="9"/>
      <c r="D122" s="9"/>
      <c r="E122" s="9"/>
      <c r="F122" s="9"/>
      <c r="G122" s="14"/>
      <c r="H122" s="14"/>
      <c r="I122" s="14"/>
      <c r="J122" s="14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1:23" ht="19.5" customHeight="1" x14ac:dyDescent="0.25">
      <c r="A123" s="9"/>
      <c r="B123" s="9"/>
      <c r="C123" s="9"/>
      <c r="D123" s="9"/>
      <c r="E123" s="9"/>
      <c r="F123" s="9"/>
      <c r="G123" s="14"/>
      <c r="H123" s="14"/>
      <c r="I123" s="14"/>
      <c r="J123" s="14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1:23" ht="19.5" customHeight="1" x14ac:dyDescent="0.25">
      <c r="A124" s="9"/>
      <c r="B124" s="9"/>
      <c r="C124" s="9"/>
      <c r="D124" s="9"/>
      <c r="E124" s="9"/>
      <c r="F124" s="9"/>
      <c r="G124" s="14"/>
      <c r="H124" s="14"/>
      <c r="I124" s="14"/>
      <c r="J124" s="14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 ht="19.5" customHeight="1" x14ac:dyDescent="0.25">
      <c r="A125" s="9"/>
      <c r="B125" s="9"/>
      <c r="C125" s="9"/>
      <c r="D125" s="9"/>
      <c r="E125" s="9"/>
      <c r="F125" s="9"/>
      <c r="G125" s="14"/>
      <c r="H125" s="14"/>
      <c r="I125" s="14"/>
      <c r="J125" s="14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 ht="19.5" customHeight="1" x14ac:dyDescent="0.25">
      <c r="A126" s="9"/>
      <c r="B126" s="9"/>
      <c r="C126" s="9"/>
      <c r="D126" s="9"/>
      <c r="E126" s="9"/>
      <c r="F126" s="9"/>
      <c r="G126" s="14"/>
      <c r="H126" s="14"/>
      <c r="I126" s="14"/>
      <c r="J126" s="14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 ht="19.5" customHeight="1" x14ac:dyDescent="0.25">
      <c r="A127" s="9"/>
      <c r="B127" s="9"/>
      <c r="C127" s="9"/>
      <c r="D127" s="9"/>
      <c r="E127" s="9"/>
      <c r="F127" s="9"/>
      <c r="G127" s="14"/>
      <c r="H127" s="14"/>
      <c r="I127" s="14"/>
      <c r="J127" s="14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 ht="19.5" customHeight="1" x14ac:dyDescent="0.25">
      <c r="A128" s="9"/>
      <c r="B128" s="9"/>
      <c r="C128" s="9"/>
      <c r="D128" s="9"/>
      <c r="E128" s="9"/>
      <c r="F128" s="9"/>
      <c r="G128" s="14"/>
      <c r="H128" s="14"/>
      <c r="I128" s="14"/>
      <c r="J128" s="14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 ht="19.5" customHeight="1" x14ac:dyDescent="0.25">
      <c r="A129" s="9"/>
      <c r="B129" s="9"/>
      <c r="C129" s="9"/>
      <c r="D129" s="9"/>
      <c r="E129" s="9"/>
      <c r="F129" s="9"/>
      <c r="G129" s="14"/>
      <c r="H129" s="14"/>
      <c r="I129" s="14"/>
      <c r="J129" s="14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 ht="19.5" customHeight="1" x14ac:dyDescent="0.25">
      <c r="A130" s="9"/>
      <c r="B130" s="9"/>
      <c r="C130" s="9"/>
      <c r="D130" s="9"/>
      <c r="E130" s="9"/>
      <c r="F130" s="9"/>
      <c r="G130" s="14"/>
      <c r="H130" s="14"/>
      <c r="I130" s="14"/>
      <c r="J130" s="14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 ht="19.5" customHeight="1" x14ac:dyDescent="0.25">
      <c r="A131" s="9"/>
      <c r="B131" s="9"/>
      <c r="C131" s="9"/>
      <c r="D131" s="9"/>
      <c r="E131" s="9"/>
      <c r="F131" s="9"/>
      <c r="G131" s="14"/>
      <c r="H131" s="14"/>
      <c r="I131" s="14"/>
      <c r="J131" s="14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 ht="19.5" customHeight="1" x14ac:dyDescent="0.25">
      <c r="A132" s="9"/>
      <c r="B132" s="9"/>
      <c r="C132" s="9"/>
      <c r="D132" s="9"/>
      <c r="E132" s="9"/>
      <c r="F132" s="9"/>
      <c r="G132" s="14"/>
      <c r="H132" s="14"/>
      <c r="I132" s="14"/>
      <c r="J132" s="14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1:23" ht="19.5" customHeight="1" x14ac:dyDescent="0.25">
      <c r="A133" s="9"/>
      <c r="B133" s="9"/>
      <c r="C133" s="9"/>
      <c r="D133" s="9"/>
      <c r="E133" s="9"/>
      <c r="F133" s="9"/>
      <c r="G133" s="14"/>
      <c r="H133" s="14"/>
      <c r="I133" s="14"/>
      <c r="J133" s="14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1:23" ht="19.5" customHeight="1" x14ac:dyDescent="0.25">
      <c r="A134" s="9"/>
      <c r="B134" s="9"/>
      <c r="C134" s="9"/>
      <c r="D134" s="9"/>
      <c r="E134" s="9"/>
      <c r="F134" s="9"/>
      <c r="G134" s="14"/>
      <c r="H134" s="14"/>
      <c r="I134" s="14"/>
      <c r="J134" s="14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 ht="19.5" customHeight="1" x14ac:dyDescent="0.25">
      <c r="A135" s="9"/>
      <c r="B135" s="9"/>
      <c r="C135" s="9"/>
      <c r="D135" s="9"/>
      <c r="E135" s="9"/>
      <c r="F135" s="9"/>
      <c r="G135" s="14"/>
      <c r="H135" s="14"/>
      <c r="I135" s="14"/>
      <c r="J135" s="14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 ht="19.5" customHeight="1" x14ac:dyDescent="0.25">
      <c r="A136" s="9"/>
      <c r="B136" s="9"/>
      <c r="C136" s="9"/>
      <c r="D136" s="9"/>
      <c r="E136" s="9"/>
      <c r="F136" s="9"/>
      <c r="G136" s="14"/>
      <c r="H136" s="14"/>
      <c r="I136" s="14"/>
      <c r="J136" s="14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 ht="19.5" customHeight="1" x14ac:dyDescent="0.25">
      <c r="A137" s="9"/>
      <c r="B137" s="9"/>
      <c r="C137" s="9"/>
      <c r="D137" s="9"/>
      <c r="E137" s="9"/>
      <c r="F137" s="9"/>
      <c r="G137" s="14"/>
      <c r="H137" s="14"/>
      <c r="I137" s="14"/>
      <c r="J137" s="14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 ht="19.5" customHeight="1" x14ac:dyDescent="0.25">
      <c r="A138" s="9"/>
      <c r="B138" s="9"/>
      <c r="C138" s="9"/>
      <c r="D138" s="9"/>
      <c r="E138" s="9"/>
      <c r="F138" s="9"/>
      <c r="G138" s="14"/>
      <c r="H138" s="14"/>
      <c r="I138" s="14"/>
      <c r="J138" s="14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 ht="19.5" customHeight="1" x14ac:dyDescent="0.25">
      <c r="A139" s="9"/>
      <c r="B139" s="9"/>
      <c r="C139" s="9"/>
      <c r="D139" s="9"/>
      <c r="E139" s="9"/>
      <c r="F139" s="9"/>
      <c r="G139" s="14"/>
      <c r="H139" s="14"/>
      <c r="I139" s="14"/>
      <c r="J139" s="14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1:23" ht="19.5" customHeight="1" x14ac:dyDescent="0.25">
      <c r="A140" s="9"/>
      <c r="B140" s="9"/>
      <c r="C140" s="9"/>
      <c r="D140" s="9"/>
      <c r="E140" s="9"/>
      <c r="F140" s="9"/>
      <c r="G140" s="14"/>
      <c r="H140" s="14"/>
      <c r="I140" s="14"/>
      <c r="J140" s="14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 ht="19.5" customHeight="1" x14ac:dyDescent="0.25">
      <c r="A141" s="9"/>
      <c r="B141" s="9"/>
      <c r="C141" s="9"/>
      <c r="D141" s="9"/>
      <c r="E141" s="9"/>
      <c r="F141" s="9"/>
      <c r="G141" s="14"/>
      <c r="H141" s="14"/>
      <c r="I141" s="14"/>
      <c r="J141" s="14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1:23" ht="19.5" customHeight="1" x14ac:dyDescent="0.25">
      <c r="A142" s="9"/>
      <c r="B142" s="9"/>
      <c r="C142" s="9"/>
      <c r="D142" s="9"/>
      <c r="E142" s="9"/>
      <c r="F142" s="9"/>
      <c r="G142" s="14"/>
      <c r="H142" s="14"/>
      <c r="I142" s="14"/>
      <c r="J142" s="14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1:23" ht="19.5" customHeight="1" x14ac:dyDescent="0.25">
      <c r="A143" s="9"/>
      <c r="B143" s="9"/>
      <c r="C143" s="9"/>
      <c r="D143" s="9"/>
      <c r="E143" s="9"/>
      <c r="F143" s="9"/>
      <c r="G143" s="14"/>
      <c r="H143" s="14"/>
      <c r="I143" s="14"/>
      <c r="J143" s="14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1:23" ht="19.5" customHeight="1" x14ac:dyDescent="0.25">
      <c r="A144" s="9"/>
      <c r="B144" s="9"/>
      <c r="C144" s="9"/>
      <c r="D144" s="9"/>
      <c r="E144" s="9"/>
      <c r="F144" s="9"/>
      <c r="G144" s="14"/>
      <c r="H144" s="14"/>
      <c r="I144" s="14"/>
      <c r="J144" s="14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 ht="19.5" customHeight="1" x14ac:dyDescent="0.25">
      <c r="A145" s="9"/>
      <c r="B145" s="9"/>
      <c r="C145" s="9"/>
      <c r="D145" s="9"/>
      <c r="E145" s="9"/>
      <c r="F145" s="9"/>
      <c r="G145" s="14"/>
      <c r="H145" s="14"/>
      <c r="I145" s="14"/>
      <c r="J145" s="14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 ht="19.5" customHeight="1" x14ac:dyDescent="0.25">
      <c r="A146" s="9"/>
      <c r="B146" s="9"/>
      <c r="C146" s="9"/>
      <c r="D146" s="9"/>
      <c r="E146" s="9"/>
      <c r="F146" s="9"/>
      <c r="G146" s="14"/>
      <c r="H146" s="14"/>
      <c r="I146" s="14"/>
      <c r="J146" s="14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 ht="19.5" customHeight="1" x14ac:dyDescent="0.25">
      <c r="A147" s="9"/>
      <c r="B147" s="9"/>
      <c r="C147" s="9"/>
      <c r="D147" s="9"/>
      <c r="E147" s="9"/>
      <c r="F147" s="9"/>
      <c r="G147" s="14"/>
      <c r="H147" s="14"/>
      <c r="I147" s="14"/>
      <c r="J147" s="14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1:23" ht="19.5" customHeight="1" x14ac:dyDescent="0.25">
      <c r="A148" s="9"/>
      <c r="B148" s="9"/>
      <c r="C148" s="9"/>
      <c r="D148" s="9"/>
      <c r="E148" s="9"/>
      <c r="F148" s="9"/>
      <c r="G148" s="14"/>
      <c r="H148" s="14"/>
      <c r="I148" s="14"/>
      <c r="J148" s="14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 ht="19.5" customHeight="1" x14ac:dyDescent="0.25">
      <c r="A149" s="9"/>
      <c r="B149" s="9"/>
      <c r="C149" s="9"/>
      <c r="D149" s="9"/>
      <c r="E149" s="9"/>
      <c r="F149" s="9"/>
      <c r="G149" s="14"/>
      <c r="H149" s="14"/>
      <c r="I149" s="14"/>
      <c r="J149" s="14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 ht="19.5" customHeight="1" x14ac:dyDescent="0.25">
      <c r="A150" s="9"/>
      <c r="B150" s="9"/>
      <c r="C150" s="9"/>
      <c r="D150" s="9"/>
      <c r="E150" s="9"/>
      <c r="F150" s="9"/>
      <c r="G150" s="14"/>
      <c r="H150" s="14"/>
      <c r="I150" s="14"/>
      <c r="J150" s="14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 ht="19.5" customHeight="1" x14ac:dyDescent="0.25">
      <c r="A151" s="9"/>
      <c r="B151" s="9"/>
      <c r="C151" s="9"/>
      <c r="D151" s="9"/>
      <c r="E151" s="9"/>
      <c r="F151" s="9"/>
      <c r="G151" s="14"/>
      <c r="H151" s="14"/>
      <c r="I151" s="14"/>
      <c r="J151" s="14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 ht="19.5" customHeight="1" x14ac:dyDescent="0.25">
      <c r="A152" s="9"/>
      <c r="B152" s="9"/>
      <c r="C152" s="9"/>
      <c r="D152" s="9"/>
      <c r="E152" s="9"/>
      <c r="F152" s="9"/>
      <c r="G152" s="14"/>
      <c r="H152" s="14"/>
      <c r="I152" s="14"/>
      <c r="J152" s="14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1:23" ht="19.5" customHeight="1" x14ac:dyDescent="0.25">
      <c r="A153" s="9"/>
      <c r="B153" s="9"/>
      <c r="C153" s="9"/>
      <c r="D153" s="9"/>
      <c r="E153" s="9"/>
      <c r="F153" s="9"/>
      <c r="G153" s="14"/>
      <c r="H153" s="14"/>
      <c r="I153" s="14"/>
      <c r="J153" s="14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1:23" ht="19.5" customHeight="1" x14ac:dyDescent="0.25">
      <c r="A154" s="9"/>
      <c r="B154" s="9"/>
      <c r="C154" s="9"/>
      <c r="D154" s="9"/>
      <c r="E154" s="9"/>
      <c r="F154" s="9"/>
      <c r="G154" s="14"/>
      <c r="H154" s="14"/>
      <c r="I154" s="14"/>
      <c r="J154" s="14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 ht="19.5" customHeight="1" x14ac:dyDescent="0.25">
      <c r="A155" s="9"/>
      <c r="B155" s="9"/>
      <c r="C155" s="9"/>
      <c r="D155" s="9"/>
      <c r="E155" s="9"/>
      <c r="F155" s="9"/>
      <c r="G155" s="14"/>
      <c r="H155" s="14"/>
      <c r="I155" s="14"/>
      <c r="J155" s="14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 ht="19.5" customHeight="1" x14ac:dyDescent="0.25">
      <c r="A156" s="9"/>
      <c r="B156" s="9"/>
      <c r="C156" s="9"/>
      <c r="D156" s="9"/>
      <c r="E156" s="9"/>
      <c r="F156" s="9"/>
      <c r="G156" s="14"/>
      <c r="H156" s="14"/>
      <c r="I156" s="14"/>
      <c r="J156" s="14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 ht="19.5" customHeight="1" x14ac:dyDescent="0.25">
      <c r="A157" s="9"/>
      <c r="B157" s="9"/>
      <c r="C157" s="9"/>
      <c r="D157" s="9"/>
      <c r="E157" s="9"/>
      <c r="F157" s="9"/>
      <c r="G157" s="14"/>
      <c r="H157" s="14"/>
      <c r="I157" s="14"/>
      <c r="J157" s="14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 ht="19.5" customHeight="1" x14ac:dyDescent="0.25">
      <c r="A158" s="9"/>
      <c r="B158" s="9"/>
      <c r="C158" s="9"/>
      <c r="D158" s="9"/>
      <c r="E158" s="9"/>
      <c r="F158" s="9"/>
      <c r="G158" s="14"/>
      <c r="H158" s="14"/>
      <c r="I158" s="14"/>
      <c r="J158" s="14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 ht="19.5" customHeight="1" x14ac:dyDescent="0.25">
      <c r="A159" s="9"/>
      <c r="B159" s="9"/>
      <c r="C159" s="9"/>
      <c r="D159" s="9"/>
      <c r="E159" s="9"/>
      <c r="F159" s="9"/>
      <c r="G159" s="14"/>
      <c r="H159" s="14"/>
      <c r="I159" s="14"/>
      <c r="J159" s="14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1:23" ht="19.5" customHeight="1" x14ac:dyDescent="0.25">
      <c r="A160" s="9"/>
      <c r="B160" s="9"/>
      <c r="C160" s="9"/>
      <c r="D160" s="9"/>
      <c r="E160" s="9"/>
      <c r="F160" s="9"/>
      <c r="G160" s="14"/>
      <c r="H160" s="14"/>
      <c r="I160" s="14"/>
      <c r="J160" s="14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 ht="19.5" customHeight="1" x14ac:dyDescent="0.25">
      <c r="A161" s="9"/>
      <c r="B161" s="9"/>
      <c r="C161" s="9"/>
      <c r="D161" s="9"/>
      <c r="E161" s="9"/>
      <c r="F161" s="9"/>
      <c r="G161" s="14"/>
      <c r="H161" s="14"/>
      <c r="I161" s="14"/>
      <c r="J161" s="14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1:23" ht="19.5" customHeight="1" x14ac:dyDescent="0.25">
      <c r="A162" s="9"/>
      <c r="B162" s="9"/>
      <c r="C162" s="9"/>
      <c r="D162" s="9"/>
      <c r="E162" s="9"/>
      <c r="F162" s="9"/>
      <c r="G162" s="14"/>
      <c r="H162" s="14"/>
      <c r="I162" s="14"/>
      <c r="J162" s="14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 ht="19.5" customHeight="1" x14ac:dyDescent="0.25">
      <c r="A163" s="9"/>
      <c r="B163" s="9"/>
      <c r="C163" s="9"/>
      <c r="D163" s="9"/>
      <c r="E163" s="9"/>
      <c r="F163" s="9"/>
      <c r="G163" s="14"/>
      <c r="H163" s="14"/>
      <c r="I163" s="14"/>
      <c r="J163" s="14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1:23" ht="19.5" customHeight="1" x14ac:dyDescent="0.25">
      <c r="A164" s="9"/>
      <c r="B164" s="9"/>
      <c r="C164" s="9"/>
      <c r="D164" s="9"/>
      <c r="E164" s="9"/>
      <c r="F164" s="9"/>
      <c r="G164" s="14"/>
      <c r="H164" s="14"/>
      <c r="I164" s="14"/>
      <c r="J164" s="14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 ht="19.5" customHeight="1" x14ac:dyDescent="0.25">
      <c r="A165" s="9"/>
      <c r="B165" s="9"/>
      <c r="C165" s="9"/>
      <c r="D165" s="9"/>
      <c r="E165" s="9"/>
      <c r="F165" s="9"/>
      <c r="G165" s="14"/>
      <c r="H165" s="14"/>
      <c r="I165" s="14"/>
      <c r="J165" s="14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1:23" ht="19.5" customHeight="1" x14ac:dyDescent="0.25">
      <c r="A166" s="9"/>
      <c r="B166" s="9"/>
      <c r="C166" s="9"/>
      <c r="D166" s="9"/>
      <c r="E166" s="9"/>
      <c r="F166" s="9"/>
      <c r="G166" s="14"/>
      <c r="H166" s="14"/>
      <c r="I166" s="14"/>
      <c r="J166" s="14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1:23" ht="19.5" customHeight="1" x14ac:dyDescent="0.25">
      <c r="A167" s="9"/>
      <c r="B167" s="9"/>
      <c r="C167" s="9"/>
      <c r="D167" s="9"/>
      <c r="E167" s="9"/>
      <c r="F167" s="9"/>
      <c r="G167" s="14"/>
      <c r="H167" s="14"/>
      <c r="I167" s="14"/>
      <c r="J167" s="14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1:23" ht="19.5" customHeight="1" x14ac:dyDescent="0.25">
      <c r="A168" s="9"/>
      <c r="B168" s="9"/>
      <c r="C168" s="9"/>
      <c r="D168" s="9"/>
      <c r="E168" s="9"/>
      <c r="F168" s="9"/>
      <c r="G168" s="14"/>
      <c r="H168" s="14"/>
      <c r="I168" s="14"/>
      <c r="J168" s="14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1:23" ht="19.5" customHeight="1" x14ac:dyDescent="0.25">
      <c r="A169" s="9"/>
      <c r="B169" s="9"/>
      <c r="C169" s="9"/>
      <c r="D169" s="9"/>
      <c r="E169" s="9"/>
      <c r="F169" s="9"/>
      <c r="G169" s="14"/>
      <c r="H169" s="14"/>
      <c r="I169" s="14"/>
      <c r="J169" s="14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1:23" ht="19.5" customHeight="1" x14ac:dyDescent="0.25">
      <c r="A170" s="9"/>
      <c r="B170" s="9"/>
      <c r="C170" s="9"/>
      <c r="D170" s="9"/>
      <c r="E170" s="9"/>
      <c r="F170" s="9"/>
      <c r="G170" s="14"/>
      <c r="H170" s="14"/>
      <c r="I170" s="14"/>
      <c r="J170" s="14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:23" ht="19.5" customHeight="1" x14ac:dyDescent="0.25">
      <c r="A171" s="9"/>
      <c r="B171" s="9"/>
      <c r="C171" s="9"/>
      <c r="D171" s="9"/>
      <c r="E171" s="9"/>
      <c r="F171" s="9"/>
      <c r="G171" s="14"/>
      <c r="H171" s="14"/>
      <c r="I171" s="14"/>
      <c r="J171" s="14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1:23" ht="19.5" customHeight="1" x14ac:dyDescent="0.25">
      <c r="A172" s="9"/>
      <c r="B172" s="9"/>
      <c r="C172" s="9"/>
      <c r="D172" s="9"/>
      <c r="E172" s="9"/>
      <c r="F172" s="9"/>
      <c r="G172" s="14"/>
      <c r="H172" s="14"/>
      <c r="I172" s="14"/>
      <c r="J172" s="14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:23" ht="19.5" customHeight="1" x14ac:dyDescent="0.25">
      <c r="A173" s="9"/>
      <c r="B173" s="9"/>
      <c r="C173" s="9"/>
      <c r="D173" s="9"/>
      <c r="E173" s="9"/>
      <c r="F173" s="9"/>
      <c r="G173" s="14"/>
      <c r="H173" s="14"/>
      <c r="I173" s="14"/>
      <c r="J173" s="14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 ht="19.5" customHeight="1" x14ac:dyDescent="0.25">
      <c r="A174" s="9"/>
      <c r="B174" s="9"/>
      <c r="C174" s="9"/>
      <c r="D174" s="9"/>
      <c r="E174" s="9"/>
      <c r="F174" s="9"/>
      <c r="G174" s="14"/>
      <c r="H174" s="14"/>
      <c r="I174" s="14"/>
      <c r="J174" s="14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 ht="19.5" customHeight="1" x14ac:dyDescent="0.25">
      <c r="A175" s="9"/>
      <c r="B175" s="9"/>
      <c r="C175" s="9"/>
      <c r="D175" s="9"/>
      <c r="E175" s="9"/>
      <c r="F175" s="9"/>
      <c r="G175" s="14"/>
      <c r="H175" s="14"/>
      <c r="I175" s="14"/>
      <c r="J175" s="14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 ht="19.5" customHeight="1" x14ac:dyDescent="0.25">
      <c r="A176" s="9"/>
      <c r="B176" s="9"/>
      <c r="C176" s="9"/>
      <c r="D176" s="9"/>
      <c r="E176" s="9"/>
      <c r="F176" s="9"/>
      <c r="G176" s="14"/>
      <c r="H176" s="14"/>
      <c r="I176" s="14"/>
      <c r="J176" s="14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1:23" ht="19.5" customHeight="1" x14ac:dyDescent="0.25">
      <c r="A177" s="9"/>
      <c r="B177" s="9"/>
      <c r="C177" s="9"/>
      <c r="D177" s="9"/>
      <c r="E177" s="9"/>
      <c r="F177" s="9"/>
      <c r="G177" s="14"/>
      <c r="H177" s="14"/>
      <c r="I177" s="14"/>
      <c r="J177" s="14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1:23" ht="19.5" customHeight="1" x14ac:dyDescent="0.25">
      <c r="A178" s="9"/>
      <c r="B178" s="9"/>
      <c r="C178" s="9"/>
      <c r="D178" s="9"/>
      <c r="E178" s="9"/>
      <c r="F178" s="9"/>
      <c r="G178" s="14"/>
      <c r="H178" s="14"/>
      <c r="I178" s="14"/>
      <c r="J178" s="14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:23" ht="19.5" customHeight="1" x14ac:dyDescent="0.25">
      <c r="A179" s="9"/>
      <c r="B179" s="9"/>
      <c r="C179" s="9"/>
      <c r="D179" s="9"/>
      <c r="E179" s="9"/>
      <c r="F179" s="9"/>
      <c r="G179" s="14"/>
      <c r="H179" s="14"/>
      <c r="I179" s="14"/>
      <c r="J179" s="14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1:23" ht="19.5" customHeight="1" x14ac:dyDescent="0.25">
      <c r="A180" s="9"/>
      <c r="B180" s="9"/>
      <c r="C180" s="9"/>
      <c r="D180" s="9"/>
      <c r="E180" s="9"/>
      <c r="F180" s="9"/>
      <c r="G180" s="14"/>
      <c r="H180" s="14"/>
      <c r="I180" s="14"/>
      <c r="J180" s="14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:23" ht="19.5" customHeight="1" x14ac:dyDescent="0.25">
      <c r="A181" s="9"/>
      <c r="B181" s="9"/>
      <c r="C181" s="9"/>
      <c r="D181" s="9"/>
      <c r="E181" s="9"/>
      <c r="F181" s="9"/>
      <c r="G181" s="14"/>
      <c r="H181" s="14"/>
      <c r="I181" s="14"/>
      <c r="J181" s="14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1:23" ht="19.5" customHeight="1" x14ac:dyDescent="0.25">
      <c r="A182" s="9"/>
      <c r="B182" s="9"/>
      <c r="C182" s="9"/>
      <c r="D182" s="9"/>
      <c r="E182" s="9"/>
      <c r="F182" s="9"/>
      <c r="G182" s="14"/>
      <c r="H182" s="14"/>
      <c r="I182" s="14"/>
      <c r="J182" s="14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1:23" ht="19.5" customHeight="1" x14ac:dyDescent="0.25">
      <c r="A183" s="9"/>
      <c r="B183" s="9"/>
      <c r="C183" s="9"/>
      <c r="D183" s="9"/>
      <c r="E183" s="9"/>
      <c r="F183" s="9"/>
      <c r="G183" s="14"/>
      <c r="H183" s="14"/>
      <c r="I183" s="14"/>
      <c r="J183" s="14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pans="1:23" ht="19.5" customHeight="1" x14ac:dyDescent="0.25">
      <c r="A184" s="9"/>
      <c r="B184" s="9"/>
      <c r="C184" s="9"/>
      <c r="D184" s="9"/>
      <c r="E184" s="9"/>
      <c r="F184" s="9"/>
      <c r="G184" s="14"/>
      <c r="H184" s="14"/>
      <c r="I184" s="14"/>
      <c r="J184" s="14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spans="1:23" ht="19.5" customHeight="1" x14ac:dyDescent="0.25">
      <c r="A185" s="9"/>
      <c r="B185" s="9"/>
      <c r="C185" s="9"/>
      <c r="D185" s="9"/>
      <c r="E185" s="9"/>
      <c r="F185" s="9"/>
      <c r="G185" s="14"/>
      <c r="H185" s="14"/>
      <c r="I185" s="14"/>
      <c r="J185" s="14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spans="1:23" ht="19.5" customHeight="1" x14ac:dyDescent="0.25">
      <c r="A186" s="9"/>
      <c r="B186" s="9"/>
      <c r="C186" s="9"/>
      <c r="D186" s="9"/>
      <c r="E186" s="9"/>
      <c r="F186" s="9"/>
      <c r="G186" s="14"/>
      <c r="H186" s="14"/>
      <c r="I186" s="14"/>
      <c r="J186" s="14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spans="1:23" ht="19.5" customHeight="1" x14ac:dyDescent="0.25">
      <c r="A187" s="9"/>
      <c r="B187" s="9"/>
      <c r="C187" s="9"/>
      <c r="D187" s="9"/>
      <c r="E187" s="9"/>
      <c r="F187" s="9"/>
      <c r="G187" s="14"/>
      <c r="H187" s="14"/>
      <c r="I187" s="14"/>
      <c r="J187" s="14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pans="1:23" ht="19.5" customHeight="1" x14ac:dyDescent="0.25">
      <c r="A188" s="9"/>
      <c r="B188" s="9"/>
      <c r="C188" s="9"/>
      <c r="D188" s="9"/>
      <c r="E188" s="9"/>
      <c r="F188" s="9"/>
      <c r="G188" s="14"/>
      <c r="H188" s="14"/>
      <c r="I188" s="14"/>
      <c r="J188" s="14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1:23" ht="19.5" customHeight="1" x14ac:dyDescent="0.25">
      <c r="A189" s="9"/>
      <c r="B189" s="9"/>
      <c r="C189" s="9"/>
      <c r="D189" s="9"/>
      <c r="E189" s="9"/>
      <c r="F189" s="9"/>
      <c r="G189" s="14"/>
      <c r="H189" s="14"/>
      <c r="I189" s="14"/>
      <c r="J189" s="14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spans="1:23" ht="19.5" customHeight="1" x14ac:dyDescent="0.25">
      <c r="A190" s="9"/>
      <c r="B190" s="9"/>
      <c r="C190" s="9"/>
      <c r="D190" s="9"/>
      <c r="E190" s="9"/>
      <c r="F190" s="9"/>
      <c r="G190" s="14"/>
      <c r="H190" s="14"/>
      <c r="I190" s="14"/>
      <c r="J190" s="14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pans="1:23" ht="19.5" customHeight="1" x14ac:dyDescent="0.25">
      <c r="A191" s="9"/>
      <c r="B191" s="9"/>
      <c r="C191" s="9"/>
      <c r="D191" s="9"/>
      <c r="E191" s="9"/>
      <c r="F191" s="9"/>
      <c r="G191" s="14"/>
      <c r="H191" s="14"/>
      <c r="I191" s="14"/>
      <c r="J191" s="14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pans="1:23" ht="19.5" customHeight="1" x14ac:dyDescent="0.25">
      <c r="A192" s="9"/>
      <c r="B192" s="9"/>
      <c r="C192" s="9"/>
      <c r="D192" s="9"/>
      <c r="E192" s="9"/>
      <c r="F192" s="9"/>
      <c r="G192" s="14"/>
      <c r="H192" s="14"/>
      <c r="I192" s="14"/>
      <c r="J192" s="14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1:23" ht="19.5" customHeight="1" x14ac:dyDescent="0.25">
      <c r="A193" s="9"/>
      <c r="B193" s="9"/>
      <c r="C193" s="9"/>
      <c r="D193" s="9"/>
      <c r="E193" s="9"/>
      <c r="F193" s="9"/>
      <c r="G193" s="14"/>
      <c r="H193" s="14"/>
      <c r="I193" s="14"/>
      <c r="J193" s="14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1:23" ht="19.5" customHeight="1" x14ac:dyDescent="0.25">
      <c r="A194" s="9"/>
      <c r="B194" s="9"/>
      <c r="C194" s="9"/>
      <c r="D194" s="9"/>
      <c r="E194" s="9"/>
      <c r="F194" s="9"/>
      <c r="G194" s="14"/>
      <c r="H194" s="14"/>
      <c r="I194" s="14"/>
      <c r="J194" s="14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1:23" ht="19.5" customHeight="1" x14ac:dyDescent="0.25">
      <c r="A195" s="9"/>
      <c r="B195" s="9"/>
      <c r="C195" s="9"/>
      <c r="D195" s="9"/>
      <c r="E195" s="9"/>
      <c r="F195" s="9"/>
      <c r="G195" s="14"/>
      <c r="H195" s="14"/>
      <c r="I195" s="14"/>
      <c r="J195" s="14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1:23" ht="19.5" customHeight="1" x14ac:dyDescent="0.25">
      <c r="A196" s="9"/>
      <c r="B196" s="9"/>
      <c r="C196" s="9"/>
      <c r="D196" s="9"/>
      <c r="E196" s="9"/>
      <c r="F196" s="9"/>
      <c r="G196" s="14"/>
      <c r="H196" s="14"/>
      <c r="I196" s="14"/>
      <c r="J196" s="14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spans="1:23" ht="19.5" customHeight="1" x14ac:dyDescent="0.25">
      <c r="A197" s="9"/>
      <c r="B197" s="9"/>
      <c r="C197" s="9"/>
      <c r="D197" s="9"/>
      <c r="E197" s="9"/>
      <c r="F197" s="9"/>
      <c r="G197" s="14"/>
      <c r="H197" s="14"/>
      <c r="I197" s="14"/>
      <c r="J197" s="14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pans="1:23" ht="19.5" customHeight="1" x14ac:dyDescent="0.25">
      <c r="A198" s="9"/>
      <c r="B198" s="9"/>
      <c r="C198" s="9"/>
      <c r="D198" s="9"/>
      <c r="E198" s="9"/>
      <c r="F198" s="9"/>
      <c r="G198" s="14"/>
      <c r="H198" s="14"/>
      <c r="I198" s="14"/>
      <c r="J198" s="14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pans="1:23" ht="19.5" customHeight="1" x14ac:dyDescent="0.25">
      <c r="A199" s="9"/>
      <c r="B199" s="9"/>
      <c r="C199" s="9"/>
      <c r="D199" s="9"/>
      <c r="E199" s="9"/>
      <c r="F199" s="9"/>
      <c r="G199" s="14"/>
      <c r="H199" s="14"/>
      <c r="I199" s="14"/>
      <c r="J199" s="14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pans="1:23" ht="19.5" customHeight="1" x14ac:dyDescent="0.25">
      <c r="A200" s="9"/>
      <c r="B200" s="9"/>
      <c r="C200" s="9"/>
      <c r="D200" s="9"/>
      <c r="E200" s="9"/>
      <c r="F200" s="9"/>
      <c r="G200" s="14"/>
      <c r="H200" s="14"/>
      <c r="I200" s="14"/>
      <c r="J200" s="14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pans="1:23" ht="19.5" customHeight="1" x14ac:dyDescent="0.25">
      <c r="A201" s="9"/>
      <c r="B201" s="9"/>
      <c r="C201" s="9"/>
      <c r="D201" s="9"/>
      <c r="E201" s="9"/>
      <c r="F201" s="9"/>
      <c r="G201" s="14"/>
      <c r="H201" s="14"/>
      <c r="I201" s="14"/>
      <c r="J201" s="14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spans="1:23" ht="19.5" customHeight="1" x14ac:dyDescent="0.25">
      <c r="A202" s="9"/>
      <c r="B202" s="9"/>
      <c r="C202" s="9"/>
      <c r="D202" s="9"/>
      <c r="E202" s="9"/>
      <c r="F202" s="9"/>
      <c r="G202" s="14"/>
      <c r="H202" s="14"/>
      <c r="I202" s="14"/>
      <c r="J202" s="14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spans="1:23" ht="19.5" customHeight="1" x14ac:dyDescent="0.25">
      <c r="A203" s="9"/>
      <c r="B203" s="9"/>
      <c r="C203" s="9"/>
      <c r="D203" s="9"/>
      <c r="E203" s="9"/>
      <c r="F203" s="9"/>
      <c r="G203" s="14"/>
      <c r="H203" s="14"/>
      <c r="I203" s="14"/>
      <c r="J203" s="14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spans="1:23" ht="19.5" customHeight="1" x14ac:dyDescent="0.25">
      <c r="A204" s="9"/>
      <c r="B204" s="9"/>
      <c r="C204" s="9"/>
      <c r="D204" s="9"/>
      <c r="E204" s="9"/>
      <c r="F204" s="9"/>
      <c r="G204" s="14"/>
      <c r="H204" s="14"/>
      <c r="I204" s="14"/>
      <c r="J204" s="14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pans="1:23" ht="19.5" customHeight="1" x14ac:dyDescent="0.25">
      <c r="A205" s="9"/>
      <c r="B205" s="9"/>
      <c r="C205" s="9"/>
      <c r="D205" s="9"/>
      <c r="E205" s="9"/>
      <c r="F205" s="9"/>
      <c r="G205" s="14"/>
      <c r="H205" s="14"/>
      <c r="I205" s="14"/>
      <c r="J205" s="14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spans="1:23" ht="19.5" customHeight="1" x14ac:dyDescent="0.25">
      <c r="A206" s="9"/>
      <c r="B206" s="9"/>
      <c r="C206" s="9"/>
      <c r="D206" s="9"/>
      <c r="E206" s="9"/>
      <c r="F206" s="9"/>
      <c r="G206" s="14"/>
      <c r="H206" s="14"/>
      <c r="I206" s="14"/>
      <c r="J206" s="14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spans="1:23" ht="19.5" customHeight="1" x14ac:dyDescent="0.25">
      <c r="A207" s="9"/>
      <c r="B207" s="9"/>
      <c r="C207" s="9"/>
      <c r="D207" s="9"/>
      <c r="E207" s="9"/>
      <c r="F207" s="9"/>
      <c r="G207" s="14"/>
      <c r="H207" s="14"/>
      <c r="I207" s="14"/>
      <c r="J207" s="14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spans="1:23" ht="19.5" customHeight="1" x14ac:dyDescent="0.25">
      <c r="A208" s="9"/>
      <c r="B208" s="9"/>
      <c r="C208" s="9"/>
      <c r="D208" s="9"/>
      <c r="E208" s="9"/>
      <c r="F208" s="9"/>
      <c r="G208" s="14"/>
      <c r="H208" s="14"/>
      <c r="I208" s="14"/>
      <c r="J208" s="14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spans="1:23" ht="19.5" customHeight="1" x14ac:dyDescent="0.25">
      <c r="A209" s="9"/>
      <c r="B209" s="9"/>
      <c r="C209" s="9"/>
      <c r="D209" s="9"/>
      <c r="E209" s="9"/>
      <c r="F209" s="9"/>
      <c r="G209" s="14"/>
      <c r="H209" s="14"/>
      <c r="I209" s="14"/>
      <c r="J209" s="14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spans="1:23" ht="19.5" customHeight="1" x14ac:dyDescent="0.25">
      <c r="A210" s="9"/>
      <c r="B210" s="9"/>
      <c r="C210" s="9"/>
      <c r="D210" s="9"/>
      <c r="E210" s="9"/>
      <c r="F210" s="9"/>
      <c r="G210" s="14"/>
      <c r="H210" s="14"/>
      <c r="I210" s="14"/>
      <c r="J210" s="14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spans="1:23" ht="19.5" customHeight="1" x14ac:dyDescent="0.25">
      <c r="A211" s="9"/>
      <c r="B211" s="9"/>
      <c r="C211" s="9"/>
      <c r="D211" s="9"/>
      <c r="E211" s="9"/>
      <c r="F211" s="9"/>
      <c r="G211" s="14"/>
      <c r="H211" s="14"/>
      <c r="I211" s="14"/>
      <c r="J211" s="14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spans="1:23" ht="19.5" customHeight="1" x14ac:dyDescent="0.25">
      <c r="A212" s="9"/>
      <c r="B212" s="9"/>
      <c r="C212" s="9"/>
      <c r="D212" s="9"/>
      <c r="E212" s="9"/>
      <c r="F212" s="9"/>
      <c r="G212" s="14"/>
      <c r="H212" s="14"/>
      <c r="I212" s="14"/>
      <c r="J212" s="14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spans="1:23" ht="19.5" customHeight="1" x14ac:dyDescent="0.25">
      <c r="A213" s="9"/>
      <c r="B213" s="9"/>
      <c r="C213" s="9"/>
      <c r="D213" s="9"/>
      <c r="E213" s="9"/>
      <c r="F213" s="9"/>
      <c r="G213" s="14"/>
      <c r="H213" s="14"/>
      <c r="I213" s="14"/>
      <c r="J213" s="14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spans="1:23" ht="19.5" customHeight="1" x14ac:dyDescent="0.25">
      <c r="A214" s="9"/>
      <c r="B214" s="9"/>
      <c r="C214" s="9"/>
      <c r="D214" s="9"/>
      <c r="E214" s="9"/>
      <c r="F214" s="9"/>
      <c r="G214" s="14"/>
      <c r="H214" s="14"/>
      <c r="I214" s="14"/>
      <c r="J214" s="14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spans="1:23" ht="19.5" customHeight="1" x14ac:dyDescent="0.25">
      <c r="A215" s="9"/>
      <c r="B215" s="9"/>
      <c r="C215" s="9"/>
      <c r="D215" s="9"/>
      <c r="E215" s="9"/>
      <c r="F215" s="9"/>
      <c r="G215" s="14"/>
      <c r="H215" s="14"/>
      <c r="I215" s="14"/>
      <c r="J215" s="14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spans="1:23" ht="19.5" customHeight="1" x14ac:dyDescent="0.25">
      <c r="A216" s="9"/>
      <c r="B216" s="9"/>
      <c r="C216" s="9"/>
      <c r="D216" s="9"/>
      <c r="E216" s="9"/>
      <c r="F216" s="9"/>
      <c r="G216" s="14"/>
      <c r="H216" s="14"/>
      <c r="I216" s="14"/>
      <c r="J216" s="14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spans="1:23" ht="19.5" customHeight="1" x14ac:dyDescent="0.25">
      <c r="A217" s="9"/>
      <c r="B217" s="9"/>
      <c r="C217" s="9"/>
      <c r="D217" s="9"/>
      <c r="E217" s="9"/>
      <c r="F217" s="9"/>
      <c r="G217" s="14"/>
      <c r="H217" s="14"/>
      <c r="I217" s="14"/>
      <c r="J217" s="14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 spans="1:23" ht="19.5" customHeight="1" x14ac:dyDescent="0.25">
      <c r="A218" s="9"/>
      <c r="B218" s="9"/>
      <c r="C218" s="9"/>
      <c r="D218" s="9"/>
      <c r="E218" s="9"/>
      <c r="F218" s="9"/>
      <c r="G218" s="14"/>
      <c r="H218" s="14"/>
      <c r="I218" s="14"/>
      <c r="J218" s="14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 spans="1:23" ht="19.5" customHeight="1" x14ac:dyDescent="0.25">
      <c r="A219" s="9"/>
      <c r="B219" s="9"/>
      <c r="C219" s="9"/>
      <c r="D219" s="9"/>
      <c r="E219" s="9"/>
      <c r="F219" s="9"/>
      <c r="G219" s="14"/>
      <c r="H219" s="14"/>
      <c r="I219" s="14"/>
      <c r="J219" s="14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spans="1:23" ht="19.5" customHeight="1" x14ac:dyDescent="0.25">
      <c r="A220" s="9"/>
      <c r="B220" s="9"/>
      <c r="C220" s="9"/>
      <c r="D220" s="9"/>
      <c r="E220" s="9"/>
      <c r="F220" s="9"/>
      <c r="G220" s="14"/>
      <c r="H220" s="14"/>
      <c r="I220" s="14"/>
      <c r="J220" s="14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spans="1:23" ht="19.5" customHeight="1" x14ac:dyDescent="0.25">
      <c r="A221" s="9"/>
      <c r="B221" s="9"/>
      <c r="C221" s="9"/>
      <c r="D221" s="9"/>
      <c r="E221" s="9"/>
      <c r="F221" s="9"/>
      <c r="G221" s="14"/>
      <c r="H221" s="14"/>
      <c r="I221" s="14"/>
      <c r="J221" s="14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spans="1:23" ht="19.5" customHeight="1" x14ac:dyDescent="0.25">
      <c r="A222" s="9"/>
      <c r="B222" s="9"/>
      <c r="C222" s="9"/>
      <c r="D222" s="9"/>
      <c r="E222" s="9"/>
      <c r="F222" s="9"/>
      <c r="G222" s="14"/>
      <c r="H222" s="14"/>
      <c r="I222" s="14"/>
      <c r="J222" s="14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spans="1:23" ht="19.5" customHeight="1" x14ac:dyDescent="0.25">
      <c r="A223" s="9"/>
      <c r="B223" s="9"/>
      <c r="C223" s="9"/>
      <c r="D223" s="9"/>
      <c r="E223" s="9"/>
      <c r="F223" s="9"/>
      <c r="G223" s="14"/>
      <c r="H223" s="14"/>
      <c r="I223" s="14"/>
      <c r="J223" s="14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 spans="1:23" ht="19.5" customHeight="1" x14ac:dyDescent="0.25">
      <c r="A224" s="9"/>
      <c r="B224" s="9"/>
      <c r="C224" s="9"/>
      <c r="D224" s="9"/>
      <c r="E224" s="9"/>
      <c r="F224" s="9"/>
      <c r="G224" s="14"/>
      <c r="H224" s="14"/>
      <c r="I224" s="14"/>
      <c r="J224" s="14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spans="1:23" ht="19.5" customHeight="1" x14ac:dyDescent="0.25">
      <c r="A225" s="9"/>
      <c r="B225" s="9"/>
      <c r="C225" s="9"/>
      <c r="D225" s="9"/>
      <c r="E225" s="9"/>
      <c r="F225" s="9"/>
      <c r="G225" s="14"/>
      <c r="H225" s="14"/>
      <c r="I225" s="14"/>
      <c r="J225" s="14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spans="1:23" ht="19.5" customHeight="1" x14ac:dyDescent="0.25">
      <c r="A226" s="9"/>
      <c r="B226" s="9"/>
      <c r="C226" s="9"/>
      <c r="D226" s="9"/>
      <c r="E226" s="9"/>
      <c r="F226" s="9"/>
      <c r="G226" s="14"/>
      <c r="H226" s="14"/>
      <c r="I226" s="14"/>
      <c r="J226" s="14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spans="1:23" ht="19.5" customHeight="1" x14ac:dyDescent="0.25">
      <c r="A227" s="9"/>
      <c r="B227" s="9"/>
      <c r="C227" s="9"/>
      <c r="D227" s="9"/>
      <c r="E227" s="9"/>
      <c r="F227" s="9"/>
      <c r="G227" s="14"/>
      <c r="H227" s="14"/>
      <c r="I227" s="14"/>
      <c r="J227" s="14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spans="1:23" ht="19.5" customHeight="1" x14ac:dyDescent="0.25">
      <c r="A228" s="9"/>
      <c r="B228" s="9"/>
      <c r="C228" s="9"/>
      <c r="D228" s="9"/>
      <c r="E228" s="9"/>
      <c r="F228" s="9"/>
      <c r="G228" s="14"/>
      <c r="H228" s="14"/>
      <c r="I228" s="14"/>
      <c r="J228" s="14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 spans="1:23" ht="19.5" customHeight="1" x14ac:dyDescent="0.25">
      <c r="A229" s="9"/>
      <c r="B229" s="9"/>
      <c r="C229" s="9"/>
      <c r="D229" s="9"/>
      <c r="E229" s="9"/>
      <c r="F229" s="9"/>
      <c r="G229" s="14"/>
      <c r="H229" s="14"/>
      <c r="I229" s="14"/>
      <c r="J229" s="14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spans="1:23" ht="19.5" customHeight="1" x14ac:dyDescent="0.25">
      <c r="A230" s="9"/>
      <c r="B230" s="9"/>
      <c r="C230" s="9"/>
      <c r="D230" s="9"/>
      <c r="E230" s="9"/>
      <c r="F230" s="9"/>
      <c r="G230" s="14"/>
      <c r="H230" s="14"/>
      <c r="I230" s="14"/>
      <c r="J230" s="14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 spans="1:23" ht="19.5" customHeight="1" x14ac:dyDescent="0.25">
      <c r="A231" s="9"/>
      <c r="B231" s="9"/>
      <c r="C231" s="9"/>
      <c r="D231" s="9"/>
      <c r="E231" s="9"/>
      <c r="F231" s="9"/>
      <c r="G231" s="14"/>
      <c r="H231" s="14"/>
      <c r="I231" s="14"/>
      <c r="J231" s="14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 spans="1:23" ht="19.5" customHeight="1" x14ac:dyDescent="0.25">
      <c r="A232" s="9"/>
      <c r="B232" s="9"/>
      <c r="C232" s="9"/>
      <c r="D232" s="9"/>
      <c r="E232" s="9"/>
      <c r="F232" s="9"/>
      <c r="G232" s="14"/>
      <c r="H232" s="14"/>
      <c r="I232" s="14"/>
      <c r="J232" s="14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 spans="1:23" ht="19.5" customHeight="1" x14ac:dyDescent="0.25">
      <c r="A233" s="9"/>
      <c r="B233" s="9"/>
      <c r="C233" s="9"/>
      <c r="D233" s="9"/>
      <c r="E233" s="9"/>
      <c r="F233" s="9"/>
      <c r="G233" s="14"/>
      <c r="H233" s="14"/>
      <c r="I233" s="14"/>
      <c r="J233" s="14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 spans="1:23" ht="19.5" customHeight="1" x14ac:dyDescent="0.25">
      <c r="A234" s="9"/>
      <c r="B234" s="9"/>
      <c r="C234" s="9"/>
      <c r="D234" s="9"/>
      <c r="E234" s="9"/>
      <c r="F234" s="9"/>
      <c r="G234" s="14"/>
      <c r="H234" s="14"/>
      <c r="I234" s="14"/>
      <c r="J234" s="14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 spans="1:23" ht="19.5" customHeight="1" x14ac:dyDescent="0.25">
      <c r="A235" s="9"/>
      <c r="B235" s="9"/>
      <c r="C235" s="9"/>
      <c r="D235" s="9"/>
      <c r="E235" s="9"/>
      <c r="F235" s="9"/>
      <c r="G235" s="14"/>
      <c r="H235" s="14"/>
      <c r="I235" s="14"/>
      <c r="J235" s="14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 spans="1:23" ht="19.5" customHeight="1" x14ac:dyDescent="0.25">
      <c r="A236" s="9"/>
      <c r="B236" s="9"/>
      <c r="C236" s="9"/>
      <c r="D236" s="9"/>
      <c r="E236" s="9"/>
      <c r="F236" s="9"/>
      <c r="G236" s="14"/>
      <c r="H236" s="14"/>
      <c r="I236" s="14"/>
      <c r="J236" s="14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 spans="1:23" ht="19.5" customHeight="1" x14ac:dyDescent="0.25">
      <c r="A237" s="9"/>
      <c r="B237" s="9"/>
      <c r="C237" s="9"/>
      <c r="D237" s="9"/>
      <c r="E237" s="9"/>
      <c r="F237" s="9"/>
      <c r="G237" s="14"/>
      <c r="H237" s="14"/>
      <c r="I237" s="14"/>
      <c r="J237" s="14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 spans="1:23" ht="19.5" customHeight="1" x14ac:dyDescent="0.25">
      <c r="A238" s="9"/>
      <c r="B238" s="9"/>
      <c r="C238" s="9"/>
      <c r="D238" s="9"/>
      <c r="E238" s="9"/>
      <c r="F238" s="9"/>
      <c r="G238" s="14"/>
      <c r="H238" s="14"/>
      <c r="I238" s="14"/>
      <c r="J238" s="14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 spans="1:23" ht="19.5" customHeight="1" x14ac:dyDescent="0.25">
      <c r="A239" s="9"/>
      <c r="B239" s="9"/>
      <c r="C239" s="9"/>
      <c r="D239" s="9"/>
      <c r="E239" s="9"/>
      <c r="F239" s="9"/>
      <c r="G239" s="14"/>
      <c r="H239" s="14"/>
      <c r="I239" s="14"/>
      <c r="J239" s="14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 spans="1:23" ht="19.5" customHeight="1" x14ac:dyDescent="0.25">
      <c r="A240" s="9"/>
      <c r="B240" s="9"/>
      <c r="C240" s="9"/>
      <c r="D240" s="9"/>
      <c r="E240" s="9"/>
      <c r="F240" s="9"/>
      <c r="G240" s="14"/>
      <c r="H240" s="14"/>
      <c r="I240" s="14"/>
      <c r="J240" s="14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spans="1:23" ht="19.5" customHeight="1" x14ac:dyDescent="0.25">
      <c r="A241" s="9"/>
      <c r="B241" s="9"/>
      <c r="C241" s="9"/>
      <c r="D241" s="9"/>
      <c r="E241" s="9"/>
      <c r="F241" s="9"/>
      <c r="G241" s="14"/>
      <c r="H241" s="14"/>
      <c r="I241" s="14"/>
      <c r="J241" s="14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spans="1:23" ht="19.5" customHeight="1" x14ac:dyDescent="0.25">
      <c r="A242" s="9"/>
      <c r="B242" s="9"/>
      <c r="C242" s="9"/>
      <c r="D242" s="9"/>
      <c r="E242" s="9"/>
      <c r="F242" s="9"/>
      <c r="G242" s="14"/>
      <c r="H242" s="14"/>
      <c r="I242" s="14"/>
      <c r="J242" s="14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spans="1:23" ht="19.5" customHeight="1" x14ac:dyDescent="0.25">
      <c r="A243" s="9"/>
      <c r="B243" s="9"/>
      <c r="C243" s="9"/>
      <c r="D243" s="9"/>
      <c r="E243" s="9"/>
      <c r="F243" s="9"/>
      <c r="G243" s="14"/>
      <c r="H243" s="14"/>
      <c r="I243" s="14"/>
      <c r="J243" s="14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 spans="1:23" ht="19.5" customHeight="1" x14ac:dyDescent="0.25">
      <c r="A244" s="9"/>
      <c r="B244" s="9"/>
      <c r="C244" s="9"/>
      <c r="D244" s="9"/>
      <c r="E244" s="9"/>
      <c r="F244" s="9"/>
      <c r="G244" s="14"/>
      <c r="H244" s="14"/>
      <c r="I244" s="14"/>
      <c r="J244" s="14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 spans="1:23" ht="19.5" customHeight="1" x14ac:dyDescent="0.25">
      <c r="A245" s="9"/>
      <c r="B245" s="9"/>
      <c r="C245" s="9"/>
      <c r="D245" s="9"/>
      <c r="E245" s="9"/>
      <c r="F245" s="9"/>
      <c r="G245" s="14"/>
      <c r="H245" s="14"/>
      <c r="I245" s="14"/>
      <c r="J245" s="14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 spans="1:23" ht="19.5" customHeight="1" x14ac:dyDescent="0.25">
      <c r="A246" s="9"/>
      <c r="B246" s="9"/>
      <c r="C246" s="9"/>
      <c r="D246" s="9"/>
      <c r="E246" s="9"/>
      <c r="F246" s="9"/>
      <c r="G246" s="14"/>
      <c r="H246" s="14"/>
      <c r="I246" s="14"/>
      <c r="J246" s="14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 spans="1:23" ht="19.5" customHeight="1" x14ac:dyDescent="0.25">
      <c r="A247" s="9"/>
      <c r="B247" s="9"/>
      <c r="C247" s="9"/>
      <c r="D247" s="9"/>
      <c r="E247" s="9"/>
      <c r="F247" s="9"/>
      <c r="G247" s="14"/>
      <c r="H247" s="14"/>
      <c r="I247" s="14"/>
      <c r="J247" s="14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 spans="1:23" ht="19.5" customHeight="1" x14ac:dyDescent="0.25">
      <c r="A248" s="9"/>
      <c r="B248" s="9"/>
      <c r="C248" s="9"/>
      <c r="D248" s="9"/>
      <c r="E248" s="9"/>
      <c r="F248" s="9"/>
      <c r="G248" s="14"/>
      <c r="H248" s="14"/>
      <c r="I248" s="14"/>
      <c r="J248" s="14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 spans="1:23" ht="19.5" customHeight="1" x14ac:dyDescent="0.25">
      <c r="A249" s="9"/>
      <c r="B249" s="9"/>
      <c r="C249" s="9"/>
      <c r="D249" s="9"/>
      <c r="E249" s="9"/>
      <c r="F249" s="9"/>
      <c r="G249" s="14"/>
      <c r="H249" s="14"/>
      <c r="I249" s="14"/>
      <c r="J249" s="14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 spans="1:23" ht="19.5" customHeight="1" x14ac:dyDescent="0.25">
      <c r="A250" s="9"/>
      <c r="B250" s="9"/>
      <c r="C250" s="9"/>
      <c r="D250" s="9"/>
      <c r="E250" s="9"/>
      <c r="F250" s="9"/>
      <c r="G250" s="14"/>
      <c r="H250" s="14"/>
      <c r="I250" s="14"/>
      <c r="J250" s="14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 spans="1:23" ht="19.5" customHeight="1" x14ac:dyDescent="0.25">
      <c r="A251" s="9"/>
      <c r="B251" s="9"/>
      <c r="C251" s="9"/>
      <c r="D251" s="9"/>
      <c r="E251" s="9"/>
      <c r="F251" s="9"/>
      <c r="G251" s="14"/>
      <c r="H251" s="14"/>
      <c r="I251" s="14"/>
      <c r="J251" s="14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 spans="1:23" ht="19.5" customHeight="1" x14ac:dyDescent="0.25">
      <c r="A252" s="9"/>
      <c r="B252" s="9"/>
      <c r="C252" s="9"/>
      <c r="D252" s="9"/>
      <c r="E252" s="9"/>
      <c r="F252" s="9"/>
      <c r="G252" s="14"/>
      <c r="H252" s="14"/>
      <c r="I252" s="14"/>
      <c r="J252" s="14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 spans="1:23" ht="19.5" customHeight="1" x14ac:dyDescent="0.25">
      <c r="A253" s="9"/>
      <c r="B253" s="9"/>
      <c r="C253" s="9"/>
      <c r="D253" s="9"/>
      <c r="E253" s="9"/>
      <c r="F253" s="9"/>
      <c r="G253" s="14"/>
      <c r="H253" s="14"/>
      <c r="I253" s="14"/>
      <c r="J253" s="14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 spans="1:23" ht="19.5" customHeight="1" x14ac:dyDescent="0.25">
      <c r="A254" s="9"/>
      <c r="B254" s="9"/>
      <c r="C254" s="9"/>
      <c r="D254" s="9"/>
      <c r="E254" s="9"/>
      <c r="F254" s="9"/>
      <c r="G254" s="14"/>
      <c r="H254" s="14"/>
      <c r="I254" s="14"/>
      <c r="J254" s="14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 spans="1:23" ht="19.5" customHeight="1" x14ac:dyDescent="0.25">
      <c r="A255" s="9"/>
      <c r="B255" s="9"/>
      <c r="C255" s="9"/>
      <c r="D255" s="9"/>
      <c r="E255" s="9"/>
      <c r="F255" s="9"/>
      <c r="G255" s="14"/>
      <c r="H255" s="14"/>
      <c r="I255" s="14"/>
      <c r="J255" s="14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 spans="1:23" ht="19.5" customHeight="1" x14ac:dyDescent="0.25">
      <c r="A256" s="9"/>
      <c r="B256" s="9"/>
      <c r="C256" s="9"/>
      <c r="D256" s="9"/>
      <c r="E256" s="9"/>
      <c r="F256" s="9"/>
      <c r="G256" s="14"/>
      <c r="H256" s="14"/>
      <c r="I256" s="14"/>
      <c r="J256" s="14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 spans="1:23" ht="19.5" customHeight="1" x14ac:dyDescent="0.25">
      <c r="A257" s="9"/>
      <c r="B257" s="9"/>
      <c r="C257" s="9"/>
      <c r="D257" s="9"/>
      <c r="E257" s="9"/>
      <c r="F257" s="9"/>
      <c r="G257" s="14"/>
      <c r="H257" s="14"/>
      <c r="I257" s="14"/>
      <c r="J257" s="14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 spans="1:23" ht="19.5" customHeight="1" x14ac:dyDescent="0.25">
      <c r="A258" s="9"/>
      <c r="B258" s="9"/>
      <c r="C258" s="9"/>
      <c r="D258" s="9"/>
      <c r="E258" s="9"/>
      <c r="F258" s="9"/>
      <c r="G258" s="14"/>
      <c r="H258" s="14"/>
      <c r="I258" s="14"/>
      <c r="J258" s="14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 spans="1:23" ht="19.5" customHeight="1" x14ac:dyDescent="0.25">
      <c r="A259" s="9"/>
      <c r="B259" s="9"/>
      <c r="C259" s="9"/>
      <c r="D259" s="9"/>
      <c r="E259" s="9"/>
      <c r="F259" s="9"/>
      <c r="G259" s="14"/>
      <c r="H259" s="14"/>
      <c r="I259" s="14"/>
      <c r="J259" s="14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 spans="1:23" ht="19.5" customHeight="1" x14ac:dyDescent="0.25">
      <c r="A260" s="9"/>
      <c r="B260" s="9"/>
      <c r="C260" s="9"/>
      <c r="D260" s="9"/>
      <c r="E260" s="9"/>
      <c r="F260" s="9"/>
      <c r="G260" s="14"/>
      <c r="H260" s="14"/>
      <c r="I260" s="14"/>
      <c r="J260" s="14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 spans="1:23" ht="19.5" customHeight="1" x14ac:dyDescent="0.25">
      <c r="A261" s="9"/>
      <c r="B261" s="9"/>
      <c r="C261" s="9"/>
      <c r="D261" s="9"/>
      <c r="E261" s="9"/>
      <c r="F261" s="9"/>
      <c r="G261" s="14"/>
      <c r="H261" s="14"/>
      <c r="I261" s="14"/>
      <c r="J261" s="14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 spans="1:23" ht="19.5" customHeight="1" x14ac:dyDescent="0.25">
      <c r="A262" s="9"/>
      <c r="B262" s="9"/>
      <c r="C262" s="9"/>
      <c r="D262" s="9"/>
      <c r="E262" s="9"/>
      <c r="F262" s="9"/>
      <c r="G262" s="14"/>
      <c r="H262" s="14"/>
      <c r="I262" s="14"/>
      <c r="J262" s="14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 spans="1:23" ht="19.5" customHeight="1" x14ac:dyDescent="0.25">
      <c r="A263" s="9"/>
      <c r="B263" s="9"/>
      <c r="C263" s="9"/>
      <c r="D263" s="9"/>
      <c r="E263" s="9"/>
      <c r="F263" s="9"/>
      <c r="G263" s="14"/>
      <c r="H263" s="14"/>
      <c r="I263" s="14"/>
      <c r="J263" s="14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 spans="1:23" ht="19.5" customHeight="1" x14ac:dyDescent="0.25">
      <c r="A264" s="9"/>
      <c r="B264" s="9"/>
      <c r="C264" s="9"/>
      <c r="D264" s="9"/>
      <c r="E264" s="9"/>
      <c r="F264" s="9"/>
      <c r="G264" s="14"/>
      <c r="H264" s="14"/>
      <c r="I264" s="14"/>
      <c r="J264" s="14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 spans="1:23" ht="19.5" customHeight="1" x14ac:dyDescent="0.25">
      <c r="A265" s="9"/>
      <c r="B265" s="9"/>
      <c r="C265" s="9"/>
      <c r="D265" s="9"/>
      <c r="E265" s="9"/>
      <c r="F265" s="9"/>
      <c r="G265" s="14"/>
      <c r="H265" s="14"/>
      <c r="I265" s="14"/>
      <c r="J265" s="14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 spans="1:23" ht="19.5" customHeight="1" x14ac:dyDescent="0.25">
      <c r="A266" s="9"/>
      <c r="B266" s="9"/>
      <c r="C266" s="9"/>
      <c r="D266" s="9"/>
      <c r="E266" s="9"/>
      <c r="F266" s="9"/>
      <c r="G266" s="14"/>
      <c r="H266" s="14"/>
      <c r="I266" s="14"/>
      <c r="J266" s="14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 spans="1:23" ht="19.5" customHeight="1" x14ac:dyDescent="0.25">
      <c r="A267" s="9"/>
      <c r="B267" s="9"/>
      <c r="C267" s="9"/>
      <c r="D267" s="9"/>
      <c r="E267" s="9"/>
      <c r="F267" s="9"/>
      <c r="G267" s="14"/>
      <c r="H267" s="14"/>
      <c r="I267" s="14"/>
      <c r="J267" s="14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 spans="1:23" ht="19.5" customHeight="1" x14ac:dyDescent="0.25">
      <c r="A268" s="9"/>
      <c r="B268" s="9"/>
      <c r="C268" s="9"/>
      <c r="D268" s="9"/>
      <c r="E268" s="9"/>
      <c r="F268" s="9"/>
      <c r="G268" s="14"/>
      <c r="H268" s="14"/>
      <c r="I268" s="14"/>
      <c r="J268" s="14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 spans="1:23" ht="19.5" customHeight="1" x14ac:dyDescent="0.25">
      <c r="A269" s="9"/>
      <c r="B269" s="9"/>
      <c r="C269" s="9"/>
      <c r="D269" s="9"/>
      <c r="E269" s="9"/>
      <c r="F269" s="9"/>
      <c r="G269" s="14"/>
      <c r="H269" s="14"/>
      <c r="I269" s="14"/>
      <c r="J269" s="14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 spans="1:23" ht="19.5" customHeight="1" x14ac:dyDescent="0.25">
      <c r="A270" s="9"/>
      <c r="B270" s="9"/>
      <c r="C270" s="9"/>
      <c r="D270" s="9"/>
      <c r="E270" s="9"/>
      <c r="F270" s="9"/>
      <c r="G270" s="14"/>
      <c r="H270" s="14"/>
      <c r="I270" s="14"/>
      <c r="J270" s="14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 spans="1:23" ht="19.5" customHeight="1" x14ac:dyDescent="0.25">
      <c r="A271" s="9"/>
      <c r="B271" s="9"/>
      <c r="C271" s="9"/>
      <c r="D271" s="9"/>
      <c r="E271" s="9"/>
      <c r="F271" s="9"/>
      <c r="G271" s="14"/>
      <c r="H271" s="14"/>
      <c r="I271" s="14"/>
      <c r="J271" s="14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 spans="1:23" ht="19.5" customHeight="1" x14ac:dyDescent="0.25">
      <c r="A272" s="9"/>
      <c r="B272" s="9"/>
      <c r="C272" s="9"/>
      <c r="D272" s="9"/>
      <c r="E272" s="9"/>
      <c r="F272" s="9"/>
      <c r="G272" s="14"/>
      <c r="H272" s="14"/>
      <c r="I272" s="14"/>
      <c r="J272" s="14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 spans="1:23" ht="19.5" customHeight="1" x14ac:dyDescent="0.25">
      <c r="A273" s="9"/>
      <c r="B273" s="9"/>
      <c r="C273" s="9"/>
      <c r="D273" s="9"/>
      <c r="E273" s="9"/>
      <c r="F273" s="9"/>
      <c r="G273" s="14"/>
      <c r="H273" s="14"/>
      <c r="I273" s="14"/>
      <c r="J273" s="14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 spans="1:23" ht="19.5" customHeight="1" x14ac:dyDescent="0.25">
      <c r="A274" s="9"/>
      <c r="B274" s="9"/>
      <c r="C274" s="9"/>
      <c r="D274" s="9"/>
      <c r="E274" s="9"/>
      <c r="F274" s="9"/>
      <c r="G274" s="14"/>
      <c r="H274" s="14"/>
      <c r="I274" s="14"/>
      <c r="J274" s="14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 spans="1:23" ht="19.5" customHeight="1" x14ac:dyDescent="0.25">
      <c r="A275" s="9"/>
      <c r="B275" s="9"/>
      <c r="C275" s="9"/>
      <c r="D275" s="9"/>
      <c r="E275" s="9"/>
      <c r="F275" s="9"/>
      <c r="G275" s="14"/>
      <c r="H275" s="14"/>
      <c r="I275" s="14"/>
      <c r="J275" s="14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 spans="1:23" ht="19.5" customHeight="1" x14ac:dyDescent="0.25">
      <c r="A276" s="9"/>
      <c r="B276" s="9"/>
      <c r="C276" s="9"/>
      <c r="D276" s="9"/>
      <c r="E276" s="9"/>
      <c r="F276" s="9"/>
      <c r="G276" s="14"/>
      <c r="H276" s="14"/>
      <c r="I276" s="14"/>
      <c r="J276" s="14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 spans="1:23" ht="19.5" customHeight="1" x14ac:dyDescent="0.25">
      <c r="A277" s="9"/>
      <c r="B277" s="9"/>
      <c r="C277" s="9"/>
      <c r="D277" s="9"/>
      <c r="E277" s="9"/>
      <c r="F277" s="9"/>
      <c r="G277" s="14"/>
      <c r="H277" s="14"/>
      <c r="I277" s="14"/>
      <c r="J277" s="14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 spans="1:23" ht="19.5" customHeight="1" x14ac:dyDescent="0.25">
      <c r="A278" s="9"/>
      <c r="B278" s="9"/>
      <c r="C278" s="9"/>
      <c r="D278" s="9"/>
      <c r="E278" s="9"/>
      <c r="F278" s="9"/>
      <c r="G278" s="14"/>
      <c r="H278" s="14"/>
      <c r="I278" s="14"/>
      <c r="J278" s="14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 spans="1:23" ht="19.5" customHeight="1" x14ac:dyDescent="0.25">
      <c r="A279" s="9"/>
      <c r="B279" s="9"/>
      <c r="C279" s="9"/>
      <c r="D279" s="9"/>
      <c r="E279" s="9"/>
      <c r="F279" s="9"/>
      <c r="G279" s="14"/>
      <c r="H279" s="14"/>
      <c r="I279" s="14"/>
      <c r="J279" s="14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 spans="1:23" ht="19.5" customHeight="1" x14ac:dyDescent="0.25">
      <c r="A280" s="9"/>
      <c r="B280" s="9"/>
      <c r="C280" s="9"/>
      <c r="D280" s="9"/>
      <c r="E280" s="9"/>
      <c r="F280" s="9"/>
      <c r="G280" s="14"/>
      <c r="H280" s="14"/>
      <c r="I280" s="14"/>
      <c r="J280" s="14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 spans="1:23" ht="19.5" customHeight="1" x14ac:dyDescent="0.25">
      <c r="A281" s="9"/>
      <c r="B281" s="9"/>
      <c r="C281" s="9"/>
      <c r="D281" s="9"/>
      <c r="E281" s="9"/>
      <c r="F281" s="9"/>
      <c r="G281" s="14"/>
      <c r="H281" s="14"/>
      <c r="I281" s="14"/>
      <c r="J281" s="14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 spans="1:23" ht="19.5" customHeight="1" x14ac:dyDescent="0.25">
      <c r="A282" s="9"/>
      <c r="B282" s="9"/>
      <c r="C282" s="9"/>
      <c r="D282" s="9"/>
      <c r="E282" s="9"/>
      <c r="F282" s="9"/>
      <c r="G282" s="14"/>
      <c r="H282" s="14"/>
      <c r="I282" s="14"/>
      <c r="J282" s="14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 spans="1:23" ht="19.5" customHeight="1" x14ac:dyDescent="0.25">
      <c r="A283" s="9"/>
      <c r="B283" s="9"/>
      <c r="C283" s="9"/>
      <c r="D283" s="9"/>
      <c r="E283" s="9"/>
      <c r="F283" s="9"/>
      <c r="G283" s="14"/>
      <c r="H283" s="14"/>
      <c r="I283" s="14"/>
      <c r="J283" s="14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 spans="1:23" ht="19.5" customHeight="1" x14ac:dyDescent="0.25">
      <c r="A284" s="9"/>
      <c r="B284" s="9"/>
      <c r="C284" s="9"/>
      <c r="D284" s="9"/>
      <c r="E284" s="9"/>
      <c r="F284" s="9"/>
      <c r="G284" s="14"/>
      <c r="H284" s="14"/>
      <c r="I284" s="14"/>
      <c r="J284" s="14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 spans="1:23" ht="19.5" customHeight="1" x14ac:dyDescent="0.25">
      <c r="A285" s="9"/>
      <c r="B285" s="9"/>
      <c r="C285" s="9"/>
      <c r="D285" s="9"/>
      <c r="E285" s="9"/>
      <c r="F285" s="9"/>
      <c r="G285" s="14"/>
      <c r="H285" s="14"/>
      <c r="I285" s="14"/>
      <c r="J285" s="14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 spans="1:23" ht="19.5" customHeight="1" x14ac:dyDescent="0.25">
      <c r="A286" s="9"/>
      <c r="B286" s="9"/>
      <c r="C286" s="9"/>
      <c r="D286" s="9"/>
      <c r="E286" s="9"/>
      <c r="F286" s="9"/>
      <c r="G286" s="14"/>
      <c r="H286" s="14"/>
      <c r="I286" s="14"/>
      <c r="J286" s="14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 spans="1:23" ht="19.5" customHeight="1" x14ac:dyDescent="0.25">
      <c r="A287" s="9"/>
      <c r="B287" s="9"/>
      <c r="C287" s="9"/>
      <c r="D287" s="9"/>
      <c r="E287" s="9"/>
      <c r="F287" s="9"/>
      <c r="G287" s="14"/>
      <c r="H287" s="14"/>
      <c r="I287" s="14"/>
      <c r="J287" s="14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 spans="1:23" ht="19.5" customHeight="1" x14ac:dyDescent="0.25">
      <c r="A288" s="9"/>
      <c r="B288" s="9"/>
      <c r="C288" s="9"/>
      <c r="D288" s="9"/>
      <c r="E288" s="9"/>
      <c r="F288" s="9"/>
      <c r="G288" s="14"/>
      <c r="H288" s="14"/>
      <c r="I288" s="14"/>
      <c r="J288" s="14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 spans="1:23" ht="19.5" customHeight="1" x14ac:dyDescent="0.25">
      <c r="A289" s="9"/>
      <c r="B289" s="9"/>
      <c r="C289" s="9"/>
      <c r="D289" s="9"/>
      <c r="E289" s="9"/>
      <c r="F289" s="9"/>
      <c r="G289" s="14"/>
      <c r="H289" s="14"/>
      <c r="I289" s="14"/>
      <c r="J289" s="14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 spans="1:23" ht="19.5" customHeight="1" x14ac:dyDescent="0.25">
      <c r="A290" s="9"/>
      <c r="B290" s="9"/>
      <c r="C290" s="9"/>
      <c r="D290" s="9"/>
      <c r="E290" s="9"/>
      <c r="F290" s="9"/>
      <c r="G290" s="14"/>
      <c r="H290" s="14"/>
      <c r="I290" s="14"/>
      <c r="J290" s="14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 spans="1:23" ht="19.5" customHeight="1" x14ac:dyDescent="0.25">
      <c r="A291" s="9"/>
      <c r="B291" s="9"/>
      <c r="C291" s="9"/>
      <c r="D291" s="9"/>
      <c r="E291" s="9"/>
      <c r="F291" s="9"/>
      <c r="G291" s="14"/>
      <c r="H291" s="14"/>
      <c r="I291" s="14"/>
      <c r="J291" s="14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 spans="1:23" ht="19.5" customHeight="1" x14ac:dyDescent="0.25">
      <c r="A292" s="9"/>
      <c r="B292" s="9"/>
      <c r="C292" s="9"/>
      <c r="D292" s="9"/>
      <c r="E292" s="9"/>
      <c r="F292" s="9"/>
      <c r="G292" s="14"/>
      <c r="H292" s="14"/>
      <c r="I292" s="14"/>
      <c r="J292" s="14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 spans="1:23" ht="19.5" customHeight="1" x14ac:dyDescent="0.25">
      <c r="A293" s="9"/>
      <c r="B293" s="9"/>
      <c r="C293" s="9"/>
      <c r="D293" s="9"/>
      <c r="E293" s="9"/>
      <c r="F293" s="9"/>
      <c r="G293" s="14"/>
      <c r="H293" s="14"/>
      <c r="I293" s="14"/>
      <c r="J293" s="14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 spans="1:23" ht="19.5" customHeight="1" x14ac:dyDescent="0.25">
      <c r="A294" s="9"/>
      <c r="B294" s="9"/>
      <c r="C294" s="9"/>
      <c r="D294" s="9"/>
      <c r="E294" s="9"/>
      <c r="F294" s="9"/>
      <c r="G294" s="14"/>
      <c r="H294" s="14"/>
      <c r="I294" s="14"/>
      <c r="J294" s="14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 spans="1:23" ht="19.5" customHeight="1" x14ac:dyDescent="0.25">
      <c r="A295" s="9"/>
      <c r="B295" s="9"/>
      <c r="C295" s="9"/>
      <c r="D295" s="9"/>
      <c r="E295" s="9"/>
      <c r="F295" s="9"/>
      <c r="G295" s="14"/>
      <c r="H295" s="14"/>
      <c r="I295" s="14"/>
      <c r="J295" s="14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 spans="1:23" ht="19.5" customHeight="1" x14ac:dyDescent="0.25">
      <c r="A296" s="9"/>
      <c r="B296" s="9"/>
      <c r="C296" s="9"/>
      <c r="D296" s="9"/>
      <c r="E296" s="9"/>
      <c r="F296" s="9"/>
      <c r="G296" s="14"/>
      <c r="H296" s="14"/>
      <c r="I296" s="14"/>
      <c r="J296" s="14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 spans="1:23" ht="19.5" customHeight="1" x14ac:dyDescent="0.25">
      <c r="A297" s="9"/>
      <c r="B297" s="9"/>
      <c r="C297" s="9"/>
      <c r="D297" s="9"/>
      <c r="E297" s="9"/>
      <c r="F297" s="9"/>
      <c r="G297" s="14"/>
      <c r="H297" s="14"/>
      <c r="I297" s="14"/>
      <c r="J297" s="14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 spans="1:23" ht="19.5" customHeight="1" x14ac:dyDescent="0.25">
      <c r="A298" s="9"/>
      <c r="B298" s="9"/>
      <c r="C298" s="9"/>
      <c r="D298" s="9"/>
      <c r="E298" s="9"/>
      <c r="F298" s="9"/>
      <c r="G298" s="14"/>
      <c r="H298" s="14"/>
      <c r="I298" s="14"/>
      <c r="J298" s="14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 spans="1:23" ht="19.5" customHeight="1" x14ac:dyDescent="0.25">
      <c r="A299" s="9"/>
      <c r="B299" s="9"/>
      <c r="C299" s="9"/>
      <c r="D299" s="9"/>
      <c r="E299" s="9"/>
      <c r="F299" s="9"/>
      <c r="G299" s="14"/>
      <c r="H299" s="14"/>
      <c r="I299" s="14"/>
      <c r="J299" s="14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 spans="1:23" ht="19.5" customHeight="1" x14ac:dyDescent="0.25">
      <c r="A300" s="9"/>
      <c r="B300" s="9"/>
      <c r="C300" s="9"/>
      <c r="D300" s="9"/>
      <c r="E300" s="9"/>
      <c r="F300" s="9"/>
      <c r="G300" s="14"/>
      <c r="H300" s="14"/>
      <c r="I300" s="14"/>
      <c r="J300" s="14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 spans="1:23" ht="19.5" customHeight="1" x14ac:dyDescent="0.25">
      <c r="A301" s="9"/>
      <c r="B301" s="9"/>
      <c r="C301" s="9"/>
      <c r="D301" s="9"/>
      <c r="E301" s="9"/>
      <c r="F301" s="9"/>
      <c r="G301" s="14"/>
      <c r="H301" s="14"/>
      <c r="I301" s="14"/>
      <c r="J301" s="14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 spans="1:23" ht="19.5" customHeight="1" x14ac:dyDescent="0.25">
      <c r="A302" s="9"/>
      <c r="B302" s="9"/>
      <c r="C302" s="9"/>
      <c r="D302" s="9"/>
      <c r="E302" s="9"/>
      <c r="F302" s="9"/>
      <c r="G302" s="14"/>
      <c r="H302" s="14"/>
      <c r="I302" s="14"/>
      <c r="J302" s="14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 spans="1:23" ht="19.5" customHeight="1" x14ac:dyDescent="0.25">
      <c r="A303" s="9"/>
      <c r="B303" s="9"/>
      <c r="C303" s="9"/>
      <c r="D303" s="9"/>
      <c r="E303" s="9"/>
      <c r="F303" s="9"/>
      <c r="G303" s="14"/>
      <c r="H303" s="14"/>
      <c r="I303" s="14"/>
      <c r="J303" s="14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 spans="1:23" ht="19.5" customHeight="1" x14ac:dyDescent="0.25">
      <c r="A304" s="9"/>
      <c r="B304" s="9"/>
      <c r="C304" s="9"/>
      <c r="D304" s="9"/>
      <c r="E304" s="9"/>
      <c r="F304" s="9"/>
      <c r="G304" s="14"/>
      <c r="H304" s="14"/>
      <c r="I304" s="14"/>
      <c r="J304" s="14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 spans="1:23" ht="19.5" customHeight="1" x14ac:dyDescent="0.25">
      <c r="A305" s="9"/>
      <c r="B305" s="9"/>
      <c r="C305" s="9"/>
      <c r="D305" s="9"/>
      <c r="E305" s="9"/>
      <c r="F305" s="9"/>
      <c r="G305" s="14"/>
      <c r="H305" s="14"/>
      <c r="I305" s="14"/>
      <c r="J305" s="14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 spans="1:23" ht="19.5" customHeight="1" x14ac:dyDescent="0.25">
      <c r="A306" s="9"/>
      <c r="B306" s="9"/>
      <c r="C306" s="9"/>
      <c r="D306" s="9"/>
      <c r="E306" s="9"/>
      <c r="F306" s="9"/>
      <c r="G306" s="14"/>
      <c r="H306" s="14"/>
      <c r="I306" s="14"/>
      <c r="J306" s="14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 spans="1:23" ht="19.5" customHeight="1" x14ac:dyDescent="0.25">
      <c r="A307" s="9"/>
      <c r="B307" s="9"/>
      <c r="C307" s="9"/>
      <c r="D307" s="9"/>
      <c r="E307" s="9"/>
      <c r="F307" s="9"/>
      <c r="G307" s="14"/>
      <c r="H307" s="14"/>
      <c r="I307" s="14"/>
      <c r="J307" s="14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 spans="1:23" ht="19.5" customHeight="1" x14ac:dyDescent="0.25">
      <c r="A308" s="9"/>
      <c r="B308" s="9"/>
      <c r="C308" s="9"/>
      <c r="D308" s="9"/>
      <c r="E308" s="9"/>
      <c r="F308" s="9"/>
      <c r="G308" s="14"/>
      <c r="H308" s="14"/>
      <c r="I308" s="14"/>
      <c r="J308" s="14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 spans="1:23" ht="19.5" customHeight="1" x14ac:dyDescent="0.25">
      <c r="A309" s="9"/>
      <c r="B309" s="9"/>
      <c r="C309" s="9"/>
      <c r="D309" s="9"/>
      <c r="E309" s="9"/>
      <c r="F309" s="9"/>
      <c r="G309" s="14"/>
      <c r="H309" s="14"/>
      <c r="I309" s="14"/>
      <c r="J309" s="14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 spans="1:23" ht="19.5" customHeight="1" x14ac:dyDescent="0.25">
      <c r="A310" s="9"/>
      <c r="B310" s="9"/>
      <c r="C310" s="9"/>
      <c r="D310" s="9"/>
      <c r="E310" s="9"/>
      <c r="F310" s="9"/>
      <c r="G310" s="14"/>
      <c r="H310" s="14"/>
      <c r="I310" s="14"/>
      <c r="J310" s="14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 spans="1:23" ht="19.5" customHeight="1" x14ac:dyDescent="0.25">
      <c r="A311" s="9"/>
      <c r="B311" s="9"/>
      <c r="C311" s="9"/>
      <c r="D311" s="9"/>
      <c r="E311" s="9"/>
      <c r="F311" s="9"/>
      <c r="G311" s="14"/>
      <c r="H311" s="14"/>
      <c r="I311" s="14"/>
      <c r="J311" s="14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 spans="1:23" ht="19.5" customHeight="1" x14ac:dyDescent="0.25">
      <c r="A312" s="9"/>
      <c r="B312" s="9"/>
      <c r="C312" s="9"/>
      <c r="D312" s="9"/>
      <c r="E312" s="9"/>
      <c r="F312" s="9"/>
      <c r="G312" s="14"/>
      <c r="H312" s="14"/>
      <c r="I312" s="14"/>
      <c r="J312" s="14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 spans="1:23" ht="19.5" customHeight="1" x14ac:dyDescent="0.25">
      <c r="A313" s="9"/>
      <c r="B313" s="9"/>
      <c r="C313" s="9"/>
      <c r="D313" s="9"/>
      <c r="E313" s="9"/>
      <c r="F313" s="9"/>
      <c r="G313" s="14"/>
      <c r="H313" s="14"/>
      <c r="I313" s="14"/>
      <c r="J313" s="14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 spans="1:23" ht="19.5" customHeight="1" x14ac:dyDescent="0.25">
      <c r="A314" s="9"/>
      <c r="B314" s="9"/>
      <c r="C314" s="9"/>
      <c r="D314" s="9"/>
      <c r="E314" s="9"/>
      <c r="F314" s="9"/>
      <c r="G314" s="14"/>
      <c r="H314" s="14"/>
      <c r="I314" s="14"/>
      <c r="J314" s="14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 spans="1:23" ht="19.5" customHeight="1" x14ac:dyDescent="0.25">
      <c r="A315" s="9"/>
      <c r="B315" s="9"/>
      <c r="C315" s="9"/>
      <c r="D315" s="9"/>
      <c r="E315" s="9"/>
      <c r="F315" s="9"/>
      <c r="G315" s="14"/>
      <c r="H315" s="14"/>
      <c r="I315" s="14"/>
      <c r="J315" s="14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 spans="1:23" ht="19.5" customHeight="1" x14ac:dyDescent="0.25">
      <c r="A316" s="9"/>
      <c r="B316" s="9"/>
      <c r="C316" s="9"/>
      <c r="D316" s="9"/>
      <c r="E316" s="9"/>
      <c r="F316" s="9"/>
      <c r="G316" s="14"/>
      <c r="H316" s="14"/>
      <c r="I316" s="14"/>
      <c r="J316" s="14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 spans="1:23" ht="19.5" customHeight="1" x14ac:dyDescent="0.25">
      <c r="A317" s="9"/>
      <c r="B317" s="9"/>
      <c r="C317" s="9"/>
      <c r="D317" s="9"/>
      <c r="E317" s="9"/>
      <c r="F317" s="9"/>
      <c r="G317" s="14"/>
      <c r="H317" s="14"/>
      <c r="I317" s="14"/>
      <c r="J317" s="14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 spans="1:23" ht="19.5" customHeight="1" x14ac:dyDescent="0.25">
      <c r="A318" s="9"/>
      <c r="B318" s="9"/>
      <c r="C318" s="9"/>
      <c r="D318" s="9"/>
      <c r="E318" s="9"/>
      <c r="F318" s="9"/>
      <c r="G318" s="14"/>
      <c r="H318" s="14"/>
      <c r="I318" s="14"/>
      <c r="J318" s="14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 spans="1:23" ht="19.5" customHeight="1" x14ac:dyDescent="0.25">
      <c r="A319" s="9"/>
      <c r="B319" s="9"/>
      <c r="C319" s="9"/>
      <c r="D319" s="9"/>
      <c r="E319" s="9"/>
      <c r="F319" s="9"/>
      <c r="G319" s="14"/>
      <c r="H319" s="14"/>
      <c r="I319" s="14"/>
      <c r="J319" s="14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 spans="1:23" ht="19.5" customHeight="1" x14ac:dyDescent="0.25">
      <c r="A320" s="9"/>
      <c r="B320" s="9"/>
      <c r="C320" s="9"/>
      <c r="D320" s="9"/>
      <c r="E320" s="9"/>
      <c r="F320" s="9"/>
      <c r="G320" s="14"/>
      <c r="H320" s="14"/>
      <c r="I320" s="14"/>
      <c r="J320" s="14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 spans="1:23" ht="19.5" customHeight="1" x14ac:dyDescent="0.25">
      <c r="A321" s="9"/>
      <c r="B321" s="9"/>
      <c r="C321" s="9"/>
      <c r="D321" s="9"/>
      <c r="E321" s="9"/>
      <c r="F321" s="9"/>
      <c r="G321" s="14"/>
      <c r="H321" s="14"/>
      <c r="I321" s="14"/>
      <c r="J321" s="14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spans="1:23" ht="19.5" customHeight="1" x14ac:dyDescent="0.25">
      <c r="A322" s="9"/>
      <c r="B322" s="9"/>
      <c r="C322" s="9"/>
      <c r="D322" s="9"/>
      <c r="E322" s="9"/>
      <c r="F322" s="9"/>
      <c r="G322" s="14"/>
      <c r="H322" s="14"/>
      <c r="I322" s="14"/>
      <c r="J322" s="14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 spans="1:23" ht="19.5" customHeight="1" x14ac:dyDescent="0.25">
      <c r="A323" s="9"/>
      <c r="B323" s="9"/>
      <c r="C323" s="9"/>
      <c r="D323" s="9"/>
      <c r="E323" s="9"/>
      <c r="F323" s="9"/>
      <c r="G323" s="14"/>
      <c r="H323" s="14"/>
      <c r="I323" s="14"/>
      <c r="J323" s="14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 spans="1:23" ht="19.5" customHeight="1" x14ac:dyDescent="0.25">
      <c r="A324" s="9"/>
      <c r="B324" s="9"/>
      <c r="C324" s="9"/>
      <c r="D324" s="9"/>
      <c r="E324" s="9"/>
      <c r="F324" s="9"/>
      <c r="G324" s="14"/>
      <c r="H324" s="14"/>
      <c r="I324" s="14"/>
      <c r="J324" s="14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 spans="1:23" ht="19.5" customHeight="1" x14ac:dyDescent="0.25">
      <c r="A325" s="9"/>
      <c r="B325" s="9"/>
      <c r="C325" s="9"/>
      <c r="D325" s="9"/>
      <c r="E325" s="9"/>
      <c r="F325" s="9"/>
      <c r="G325" s="14"/>
      <c r="H325" s="14"/>
      <c r="I325" s="14"/>
      <c r="J325" s="14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 spans="1:23" ht="19.5" customHeight="1" x14ac:dyDescent="0.25">
      <c r="A326" s="9"/>
      <c r="B326" s="9"/>
      <c r="C326" s="9"/>
      <c r="D326" s="9"/>
      <c r="E326" s="9"/>
      <c r="F326" s="9"/>
      <c r="G326" s="14"/>
      <c r="H326" s="14"/>
      <c r="I326" s="14"/>
      <c r="J326" s="14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 spans="1:23" ht="19.5" customHeight="1" x14ac:dyDescent="0.25">
      <c r="A327" s="9"/>
      <c r="B327" s="9"/>
      <c r="C327" s="9"/>
      <c r="D327" s="9"/>
      <c r="E327" s="9"/>
      <c r="F327" s="9"/>
      <c r="G327" s="14"/>
      <c r="H327" s="14"/>
      <c r="I327" s="14"/>
      <c r="J327" s="14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 spans="1:23" ht="19.5" customHeight="1" x14ac:dyDescent="0.25">
      <c r="A328" s="9"/>
      <c r="B328" s="9"/>
      <c r="C328" s="9"/>
      <c r="D328" s="9"/>
      <c r="E328" s="9"/>
      <c r="F328" s="9"/>
      <c r="G328" s="14"/>
      <c r="H328" s="14"/>
      <c r="I328" s="14"/>
      <c r="J328" s="14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 spans="1:23" ht="19.5" customHeight="1" x14ac:dyDescent="0.25">
      <c r="A329" s="9"/>
      <c r="B329" s="9"/>
      <c r="C329" s="9"/>
      <c r="D329" s="9"/>
      <c r="E329" s="9"/>
      <c r="F329" s="9"/>
      <c r="G329" s="14"/>
      <c r="H329" s="14"/>
      <c r="I329" s="14"/>
      <c r="J329" s="14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 spans="1:23" ht="19.5" customHeight="1" x14ac:dyDescent="0.25">
      <c r="A330" s="9"/>
      <c r="B330" s="9"/>
      <c r="C330" s="9"/>
      <c r="D330" s="9"/>
      <c r="E330" s="9"/>
      <c r="F330" s="9"/>
      <c r="G330" s="14"/>
      <c r="H330" s="14"/>
      <c r="I330" s="14"/>
      <c r="J330" s="14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 spans="1:23" ht="19.5" customHeight="1" x14ac:dyDescent="0.25">
      <c r="A331" s="9"/>
      <c r="B331" s="9"/>
      <c r="C331" s="9"/>
      <c r="D331" s="9"/>
      <c r="E331" s="9"/>
      <c r="F331" s="9"/>
      <c r="G331" s="14"/>
      <c r="H331" s="14"/>
      <c r="I331" s="14"/>
      <c r="J331" s="14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 spans="1:23" ht="19.5" customHeight="1" x14ac:dyDescent="0.25">
      <c r="A332" s="9"/>
      <c r="B332" s="9"/>
      <c r="C332" s="9"/>
      <c r="D332" s="9"/>
      <c r="E332" s="9"/>
      <c r="F332" s="9"/>
      <c r="G332" s="14"/>
      <c r="H332" s="14"/>
      <c r="I332" s="14"/>
      <c r="J332" s="14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 spans="1:23" ht="19.5" customHeight="1" x14ac:dyDescent="0.25">
      <c r="A333" s="9"/>
      <c r="B333" s="9"/>
      <c r="C333" s="9"/>
      <c r="D333" s="9"/>
      <c r="E333" s="9"/>
      <c r="F333" s="9"/>
      <c r="G333" s="14"/>
      <c r="H333" s="14"/>
      <c r="I333" s="14"/>
      <c r="J333" s="14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spans="1:23" ht="19.5" customHeight="1" x14ac:dyDescent="0.25">
      <c r="A334" s="9"/>
      <c r="B334" s="9"/>
      <c r="C334" s="9"/>
      <c r="D334" s="9"/>
      <c r="E334" s="9"/>
      <c r="F334" s="9"/>
      <c r="G334" s="14"/>
      <c r="H334" s="14"/>
      <c r="I334" s="14"/>
      <c r="J334" s="14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 spans="1:23" ht="19.5" customHeight="1" x14ac:dyDescent="0.25">
      <c r="A335" s="9"/>
      <c r="B335" s="9"/>
      <c r="C335" s="9"/>
      <c r="D335" s="9"/>
      <c r="E335" s="9"/>
      <c r="F335" s="9"/>
      <c r="G335" s="14"/>
      <c r="H335" s="14"/>
      <c r="I335" s="14"/>
      <c r="J335" s="14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 spans="1:23" ht="19.5" customHeight="1" x14ac:dyDescent="0.25">
      <c r="A336" s="9"/>
      <c r="B336" s="9"/>
      <c r="C336" s="9"/>
      <c r="D336" s="9"/>
      <c r="E336" s="9"/>
      <c r="F336" s="9"/>
      <c r="G336" s="14"/>
      <c r="H336" s="14"/>
      <c r="I336" s="14"/>
      <c r="J336" s="14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 spans="1:23" ht="19.5" customHeight="1" x14ac:dyDescent="0.25">
      <c r="A337" s="9"/>
      <c r="B337" s="9"/>
      <c r="C337" s="9"/>
      <c r="D337" s="9"/>
      <c r="E337" s="9"/>
      <c r="F337" s="9"/>
      <c r="G337" s="14"/>
      <c r="H337" s="14"/>
      <c r="I337" s="14"/>
      <c r="J337" s="14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 spans="1:23" ht="19.5" customHeight="1" x14ac:dyDescent="0.25">
      <c r="A338" s="9"/>
      <c r="B338" s="9"/>
      <c r="C338" s="9"/>
      <c r="D338" s="9"/>
      <c r="E338" s="9"/>
      <c r="F338" s="9"/>
      <c r="G338" s="14"/>
      <c r="H338" s="14"/>
      <c r="I338" s="14"/>
      <c r="J338" s="14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 spans="1:23" ht="19.5" customHeight="1" x14ac:dyDescent="0.25">
      <c r="A339" s="9"/>
      <c r="B339" s="9"/>
      <c r="C339" s="9"/>
      <c r="D339" s="9"/>
      <c r="E339" s="9"/>
      <c r="F339" s="9"/>
      <c r="G339" s="14"/>
      <c r="H339" s="14"/>
      <c r="I339" s="14"/>
      <c r="J339" s="14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 spans="1:23" ht="19.5" customHeight="1" x14ac:dyDescent="0.25">
      <c r="A340" s="9"/>
      <c r="B340" s="9"/>
      <c r="C340" s="9"/>
      <c r="D340" s="9"/>
      <c r="E340" s="9"/>
      <c r="F340" s="9"/>
      <c r="G340" s="14"/>
      <c r="H340" s="14"/>
      <c r="I340" s="14"/>
      <c r="J340" s="14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 spans="1:23" ht="19.5" customHeight="1" x14ac:dyDescent="0.25">
      <c r="A341" s="9"/>
      <c r="B341" s="9"/>
      <c r="C341" s="9"/>
      <c r="D341" s="9"/>
      <c r="E341" s="9"/>
      <c r="F341" s="9"/>
      <c r="G341" s="14"/>
      <c r="H341" s="14"/>
      <c r="I341" s="14"/>
      <c r="J341" s="14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 spans="1:23" ht="19.5" customHeight="1" x14ac:dyDescent="0.25">
      <c r="A342" s="9"/>
      <c r="B342" s="9"/>
      <c r="C342" s="9"/>
      <c r="D342" s="9"/>
      <c r="E342" s="9"/>
      <c r="F342" s="9"/>
      <c r="G342" s="14"/>
      <c r="H342" s="14"/>
      <c r="I342" s="14"/>
      <c r="J342" s="14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 spans="1:23" ht="19.5" customHeight="1" x14ac:dyDescent="0.25">
      <c r="A343" s="9"/>
      <c r="B343" s="9"/>
      <c r="C343" s="9"/>
      <c r="D343" s="9"/>
      <c r="E343" s="9"/>
      <c r="F343" s="9"/>
      <c r="G343" s="14"/>
      <c r="H343" s="14"/>
      <c r="I343" s="14"/>
      <c r="J343" s="14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 spans="1:23" ht="19.5" customHeight="1" x14ac:dyDescent="0.25">
      <c r="A344" s="9"/>
      <c r="B344" s="9"/>
      <c r="C344" s="9"/>
      <c r="D344" s="9"/>
      <c r="E344" s="9"/>
      <c r="F344" s="9"/>
      <c r="G344" s="14"/>
      <c r="H344" s="14"/>
      <c r="I344" s="14"/>
      <c r="J344" s="14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 spans="1:23" ht="19.5" customHeight="1" x14ac:dyDescent="0.25">
      <c r="A345" s="9"/>
      <c r="B345" s="9"/>
      <c r="C345" s="9"/>
      <c r="D345" s="9"/>
      <c r="E345" s="9"/>
      <c r="F345" s="9"/>
      <c r="G345" s="14"/>
      <c r="H345" s="14"/>
      <c r="I345" s="14"/>
      <c r="J345" s="14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 spans="1:23" ht="19.5" customHeight="1" x14ac:dyDescent="0.25">
      <c r="A346" s="9"/>
      <c r="B346" s="9"/>
      <c r="C346" s="9"/>
      <c r="D346" s="9"/>
      <c r="E346" s="9"/>
      <c r="F346" s="9"/>
      <c r="G346" s="14"/>
      <c r="H346" s="14"/>
      <c r="I346" s="14"/>
      <c r="J346" s="14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 spans="1:23" ht="19.5" customHeight="1" x14ac:dyDescent="0.25">
      <c r="A347" s="9"/>
      <c r="B347" s="9"/>
      <c r="C347" s="9"/>
      <c r="D347" s="9"/>
      <c r="E347" s="9"/>
      <c r="F347" s="9"/>
      <c r="G347" s="14"/>
      <c r="H347" s="14"/>
      <c r="I347" s="14"/>
      <c r="J347" s="14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 spans="1:23" ht="19.5" customHeight="1" x14ac:dyDescent="0.25">
      <c r="A348" s="9"/>
      <c r="B348" s="9"/>
      <c r="C348" s="9"/>
      <c r="D348" s="9"/>
      <c r="E348" s="9"/>
      <c r="F348" s="9"/>
      <c r="G348" s="14"/>
      <c r="H348" s="14"/>
      <c r="I348" s="14"/>
      <c r="J348" s="14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 spans="1:23" ht="19.5" customHeight="1" x14ac:dyDescent="0.25">
      <c r="A349" s="9"/>
      <c r="B349" s="9"/>
      <c r="C349" s="9"/>
      <c r="D349" s="9"/>
      <c r="E349" s="9"/>
      <c r="F349" s="9"/>
      <c r="G349" s="14"/>
      <c r="H349" s="14"/>
      <c r="I349" s="14"/>
      <c r="J349" s="14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 spans="1:23" ht="19.5" customHeight="1" x14ac:dyDescent="0.25">
      <c r="A350" s="9"/>
      <c r="B350" s="9"/>
      <c r="C350" s="9"/>
      <c r="D350" s="9"/>
      <c r="E350" s="9"/>
      <c r="F350" s="9"/>
      <c r="G350" s="14"/>
      <c r="H350" s="14"/>
      <c r="I350" s="14"/>
      <c r="J350" s="14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 spans="1:23" ht="19.5" customHeight="1" x14ac:dyDescent="0.25">
      <c r="A351" s="9"/>
      <c r="B351" s="9"/>
      <c r="C351" s="9"/>
      <c r="D351" s="9"/>
      <c r="E351" s="9"/>
      <c r="F351" s="9"/>
      <c r="G351" s="14"/>
      <c r="H351" s="14"/>
      <c r="I351" s="14"/>
      <c r="J351" s="14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 spans="1:23" ht="19.5" customHeight="1" x14ac:dyDescent="0.25">
      <c r="A352" s="9"/>
      <c r="B352" s="9"/>
      <c r="C352" s="9"/>
      <c r="D352" s="9"/>
      <c r="E352" s="9"/>
      <c r="F352" s="9"/>
      <c r="G352" s="14"/>
      <c r="H352" s="14"/>
      <c r="I352" s="14"/>
      <c r="J352" s="14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 spans="1:23" ht="19.5" customHeight="1" x14ac:dyDescent="0.25">
      <c r="A353" s="9"/>
      <c r="B353" s="9"/>
      <c r="C353" s="9"/>
      <c r="D353" s="9"/>
      <c r="E353" s="9"/>
      <c r="F353" s="9"/>
      <c r="G353" s="14"/>
      <c r="H353" s="14"/>
      <c r="I353" s="14"/>
      <c r="J353" s="14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 spans="1:23" ht="19.5" customHeight="1" x14ac:dyDescent="0.25">
      <c r="A354" s="9"/>
      <c r="B354" s="9"/>
      <c r="C354" s="9"/>
      <c r="D354" s="9"/>
      <c r="E354" s="9"/>
      <c r="F354" s="9"/>
      <c r="G354" s="14"/>
      <c r="H354" s="14"/>
      <c r="I354" s="14"/>
      <c r="J354" s="14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 spans="1:23" ht="19.5" customHeight="1" x14ac:dyDescent="0.25">
      <c r="A355" s="9"/>
      <c r="B355" s="9"/>
      <c r="C355" s="9"/>
      <c r="D355" s="9"/>
      <c r="E355" s="9"/>
      <c r="F355" s="9"/>
      <c r="G355" s="14"/>
      <c r="H355" s="14"/>
      <c r="I355" s="14"/>
      <c r="J355" s="14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 spans="1:23" ht="19.5" customHeight="1" x14ac:dyDescent="0.25">
      <c r="A356" s="9"/>
      <c r="B356" s="9"/>
      <c r="C356" s="9"/>
      <c r="D356" s="9"/>
      <c r="E356" s="9"/>
      <c r="F356" s="9"/>
      <c r="G356" s="14"/>
      <c r="H356" s="14"/>
      <c r="I356" s="14"/>
      <c r="J356" s="14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 spans="1:23" ht="19.5" customHeight="1" x14ac:dyDescent="0.25">
      <c r="A357" s="9"/>
      <c r="B357" s="9"/>
      <c r="C357" s="9"/>
      <c r="D357" s="9"/>
      <c r="E357" s="9"/>
      <c r="F357" s="9"/>
      <c r="G357" s="14"/>
      <c r="H357" s="14"/>
      <c r="I357" s="14"/>
      <c r="J357" s="14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 spans="1:23" ht="19.5" customHeight="1" x14ac:dyDescent="0.25">
      <c r="A358" s="9"/>
      <c r="B358" s="9"/>
      <c r="C358" s="9"/>
      <c r="D358" s="9"/>
      <c r="E358" s="9"/>
      <c r="F358" s="9"/>
      <c r="G358" s="14"/>
      <c r="H358" s="14"/>
      <c r="I358" s="14"/>
      <c r="J358" s="14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 spans="1:23" ht="19.5" customHeight="1" x14ac:dyDescent="0.25">
      <c r="A359" s="9"/>
      <c r="B359" s="9"/>
      <c r="C359" s="9"/>
      <c r="D359" s="9"/>
      <c r="E359" s="9"/>
      <c r="F359" s="9"/>
      <c r="G359" s="14"/>
      <c r="H359" s="14"/>
      <c r="I359" s="14"/>
      <c r="J359" s="14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 spans="1:23" ht="19.5" customHeight="1" x14ac:dyDescent="0.25">
      <c r="A360" s="9"/>
      <c r="B360" s="9"/>
      <c r="C360" s="9"/>
      <c r="D360" s="9"/>
      <c r="E360" s="9"/>
      <c r="F360" s="9"/>
      <c r="G360" s="14"/>
      <c r="H360" s="14"/>
      <c r="I360" s="14"/>
      <c r="J360" s="14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 spans="1:23" ht="19.5" customHeight="1" x14ac:dyDescent="0.25">
      <c r="A361" s="9"/>
      <c r="B361" s="9"/>
      <c r="C361" s="9"/>
      <c r="D361" s="9"/>
      <c r="E361" s="9"/>
      <c r="F361" s="9"/>
      <c r="G361" s="14"/>
      <c r="H361" s="14"/>
      <c r="I361" s="14"/>
      <c r="J361" s="14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 spans="1:23" ht="19.5" customHeight="1" x14ac:dyDescent="0.25">
      <c r="A362" s="9"/>
      <c r="B362" s="9"/>
      <c r="C362" s="9"/>
      <c r="D362" s="9"/>
      <c r="E362" s="9"/>
      <c r="F362" s="9"/>
      <c r="G362" s="14"/>
      <c r="H362" s="14"/>
      <c r="I362" s="14"/>
      <c r="J362" s="14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 spans="1:23" ht="19.5" customHeight="1" x14ac:dyDescent="0.25">
      <c r="A363" s="9"/>
      <c r="B363" s="9"/>
      <c r="C363" s="9"/>
      <c r="D363" s="9"/>
      <c r="E363" s="9"/>
      <c r="F363" s="9"/>
      <c r="G363" s="14"/>
      <c r="H363" s="14"/>
      <c r="I363" s="14"/>
      <c r="J363" s="14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 spans="1:23" ht="19.5" customHeight="1" x14ac:dyDescent="0.25">
      <c r="A364" s="9"/>
      <c r="B364" s="9"/>
      <c r="C364" s="9"/>
      <c r="D364" s="9"/>
      <c r="E364" s="9"/>
      <c r="F364" s="9"/>
      <c r="G364" s="14"/>
      <c r="H364" s="14"/>
      <c r="I364" s="14"/>
      <c r="J364" s="14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 spans="1:23" ht="19.5" customHeight="1" x14ac:dyDescent="0.25">
      <c r="A365" s="9"/>
      <c r="B365" s="9"/>
      <c r="C365" s="9"/>
      <c r="D365" s="9"/>
      <c r="E365" s="9"/>
      <c r="F365" s="9"/>
      <c r="G365" s="14"/>
      <c r="H365" s="14"/>
      <c r="I365" s="14"/>
      <c r="J365" s="14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 spans="1:23" ht="19.5" customHeight="1" x14ac:dyDescent="0.25">
      <c r="A366" s="9"/>
      <c r="B366" s="9"/>
      <c r="C366" s="9"/>
      <c r="D366" s="9"/>
      <c r="E366" s="9"/>
      <c r="F366" s="9"/>
      <c r="G366" s="14"/>
      <c r="H366" s="14"/>
      <c r="I366" s="14"/>
      <c r="J366" s="14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 spans="1:23" ht="19.5" customHeight="1" x14ac:dyDescent="0.25">
      <c r="A367" s="9"/>
      <c r="B367" s="9"/>
      <c r="C367" s="9"/>
      <c r="D367" s="9"/>
      <c r="E367" s="9"/>
      <c r="F367" s="9"/>
      <c r="G367" s="14"/>
      <c r="H367" s="14"/>
      <c r="I367" s="14"/>
      <c r="J367" s="14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 spans="1:23" ht="19.5" customHeight="1" x14ac:dyDescent="0.25">
      <c r="A368" s="9"/>
      <c r="B368" s="9"/>
      <c r="C368" s="9"/>
      <c r="D368" s="9"/>
      <c r="E368" s="9"/>
      <c r="F368" s="9"/>
      <c r="G368" s="14"/>
      <c r="H368" s="14"/>
      <c r="I368" s="14"/>
      <c r="J368" s="14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 spans="1:23" ht="19.5" customHeight="1" x14ac:dyDescent="0.25">
      <c r="A369" s="9"/>
      <c r="B369" s="9"/>
      <c r="C369" s="9"/>
      <c r="D369" s="9"/>
      <c r="E369" s="9"/>
      <c r="F369" s="9"/>
      <c r="G369" s="14"/>
      <c r="H369" s="14"/>
      <c r="I369" s="14"/>
      <c r="J369" s="14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spans="1:23" ht="19.5" customHeight="1" x14ac:dyDescent="0.25">
      <c r="A370" s="9"/>
      <c r="B370" s="9"/>
      <c r="C370" s="9"/>
      <c r="D370" s="9"/>
      <c r="E370" s="9"/>
      <c r="F370" s="9"/>
      <c r="G370" s="14"/>
      <c r="H370" s="14"/>
      <c r="I370" s="14"/>
      <c r="J370" s="14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 spans="1:23" ht="19.5" customHeight="1" x14ac:dyDescent="0.25">
      <c r="A371" s="9"/>
      <c r="B371" s="9"/>
      <c r="C371" s="9"/>
      <c r="D371" s="9"/>
      <c r="E371" s="9"/>
      <c r="F371" s="9"/>
      <c r="G371" s="14"/>
      <c r="H371" s="14"/>
      <c r="I371" s="14"/>
      <c r="J371" s="14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 spans="1:23" ht="19.5" customHeight="1" x14ac:dyDescent="0.25">
      <c r="A372" s="9"/>
      <c r="B372" s="9"/>
      <c r="C372" s="9"/>
      <c r="D372" s="9"/>
      <c r="E372" s="9"/>
      <c r="F372" s="9"/>
      <c r="G372" s="14"/>
      <c r="H372" s="14"/>
      <c r="I372" s="14"/>
      <c r="J372" s="14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 spans="1:23" ht="19.5" customHeight="1" x14ac:dyDescent="0.25">
      <c r="A373" s="9"/>
      <c r="B373" s="9"/>
      <c r="C373" s="9"/>
      <c r="D373" s="9"/>
      <c r="E373" s="9"/>
      <c r="F373" s="9"/>
      <c r="G373" s="14"/>
      <c r="H373" s="14"/>
      <c r="I373" s="14"/>
      <c r="J373" s="14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 spans="1:23" ht="19.5" customHeight="1" x14ac:dyDescent="0.25">
      <c r="A374" s="9"/>
      <c r="B374" s="9"/>
      <c r="C374" s="9"/>
      <c r="D374" s="9"/>
      <c r="E374" s="9"/>
      <c r="F374" s="9"/>
      <c r="G374" s="14"/>
      <c r="H374" s="14"/>
      <c r="I374" s="14"/>
      <c r="J374" s="14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 spans="1:23" ht="19.5" customHeight="1" x14ac:dyDescent="0.25">
      <c r="A375" s="9"/>
      <c r="B375" s="9"/>
      <c r="C375" s="9"/>
      <c r="D375" s="9"/>
      <c r="E375" s="9"/>
      <c r="F375" s="9"/>
      <c r="G375" s="14"/>
      <c r="H375" s="14"/>
      <c r="I375" s="14"/>
      <c r="J375" s="14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 spans="1:23" ht="19.5" customHeight="1" x14ac:dyDescent="0.25">
      <c r="A376" s="9"/>
      <c r="B376" s="9"/>
      <c r="C376" s="9"/>
      <c r="D376" s="9"/>
      <c r="E376" s="9"/>
      <c r="F376" s="9"/>
      <c r="G376" s="14"/>
      <c r="H376" s="14"/>
      <c r="I376" s="14"/>
      <c r="J376" s="14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 spans="1:23" ht="19.5" customHeight="1" x14ac:dyDescent="0.25">
      <c r="A377" s="9"/>
      <c r="B377" s="9"/>
      <c r="C377" s="9"/>
      <c r="D377" s="9"/>
      <c r="E377" s="9"/>
      <c r="F377" s="9"/>
      <c r="G377" s="14"/>
      <c r="H377" s="14"/>
      <c r="I377" s="14"/>
      <c r="J377" s="14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 spans="1:23" ht="19.5" customHeight="1" x14ac:dyDescent="0.25">
      <c r="A378" s="9"/>
      <c r="B378" s="9"/>
      <c r="C378" s="9"/>
      <c r="D378" s="9"/>
      <c r="E378" s="9"/>
      <c r="F378" s="9"/>
      <c r="G378" s="14"/>
      <c r="H378" s="14"/>
      <c r="I378" s="14"/>
      <c r="J378" s="14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 spans="1:23" ht="19.5" customHeight="1" x14ac:dyDescent="0.25">
      <c r="A379" s="9"/>
      <c r="B379" s="9"/>
      <c r="C379" s="9"/>
      <c r="D379" s="9"/>
      <c r="E379" s="9"/>
      <c r="F379" s="9"/>
      <c r="G379" s="14"/>
      <c r="H379" s="14"/>
      <c r="I379" s="14"/>
      <c r="J379" s="14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 spans="1:23" ht="19.5" customHeight="1" x14ac:dyDescent="0.25">
      <c r="A380" s="9"/>
      <c r="B380" s="9"/>
      <c r="C380" s="9"/>
      <c r="D380" s="9"/>
      <c r="E380" s="9"/>
      <c r="F380" s="9"/>
      <c r="G380" s="14"/>
      <c r="H380" s="14"/>
      <c r="I380" s="14"/>
      <c r="J380" s="14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 spans="1:23" ht="19.5" customHeight="1" x14ac:dyDescent="0.25">
      <c r="A381" s="9"/>
      <c r="B381" s="9"/>
      <c r="C381" s="9"/>
      <c r="D381" s="9"/>
      <c r="E381" s="9"/>
      <c r="F381" s="9"/>
      <c r="G381" s="14"/>
      <c r="H381" s="14"/>
      <c r="I381" s="14"/>
      <c r="J381" s="14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 spans="1:23" ht="19.5" customHeight="1" x14ac:dyDescent="0.25">
      <c r="A382" s="9"/>
      <c r="B382" s="9"/>
      <c r="C382" s="9"/>
      <c r="D382" s="9"/>
      <c r="E382" s="9"/>
      <c r="F382" s="9"/>
      <c r="G382" s="14"/>
      <c r="H382" s="14"/>
      <c r="I382" s="14"/>
      <c r="J382" s="14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 spans="1:23" ht="19.5" customHeight="1" x14ac:dyDescent="0.25">
      <c r="A383" s="9"/>
      <c r="B383" s="9"/>
      <c r="C383" s="9"/>
      <c r="D383" s="9"/>
      <c r="E383" s="9"/>
      <c r="F383" s="9"/>
      <c r="G383" s="14"/>
      <c r="H383" s="14"/>
      <c r="I383" s="14"/>
      <c r="J383" s="14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 spans="1:23" ht="19.5" customHeight="1" x14ac:dyDescent="0.25">
      <c r="A384" s="9"/>
      <c r="B384" s="9"/>
      <c r="C384" s="9"/>
      <c r="D384" s="9"/>
      <c r="E384" s="9"/>
      <c r="F384" s="9"/>
      <c r="G384" s="14"/>
      <c r="H384" s="14"/>
      <c r="I384" s="14"/>
      <c r="J384" s="14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 spans="1:23" ht="19.5" customHeight="1" x14ac:dyDescent="0.25">
      <c r="A385" s="9"/>
      <c r="B385" s="9"/>
      <c r="C385" s="9"/>
      <c r="D385" s="9"/>
      <c r="E385" s="9"/>
      <c r="F385" s="9"/>
      <c r="G385" s="14"/>
      <c r="H385" s="14"/>
      <c r="I385" s="14"/>
      <c r="J385" s="14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 spans="1:23" ht="19.5" customHeight="1" x14ac:dyDescent="0.25">
      <c r="A386" s="9"/>
      <c r="B386" s="9"/>
      <c r="C386" s="9"/>
      <c r="D386" s="9"/>
      <c r="E386" s="9"/>
      <c r="F386" s="9"/>
      <c r="G386" s="14"/>
      <c r="H386" s="14"/>
      <c r="I386" s="14"/>
      <c r="J386" s="14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 spans="1:23" ht="19.5" customHeight="1" x14ac:dyDescent="0.25">
      <c r="A387" s="9"/>
      <c r="B387" s="9"/>
      <c r="C387" s="9"/>
      <c r="D387" s="9"/>
      <c r="E387" s="9"/>
      <c r="F387" s="9"/>
      <c r="G387" s="14"/>
      <c r="H387" s="14"/>
      <c r="I387" s="14"/>
      <c r="J387" s="14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 spans="1:23" ht="19.5" customHeight="1" x14ac:dyDescent="0.25">
      <c r="A388" s="9"/>
      <c r="B388" s="9"/>
      <c r="C388" s="9"/>
      <c r="D388" s="9"/>
      <c r="E388" s="9"/>
      <c r="F388" s="9"/>
      <c r="G388" s="14"/>
      <c r="H388" s="14"/>
      <c r="I388" s="14"/>
      <c r="J388" s="14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 spans="1:23" ht="19.5" customHeight="1" x14ac:dyDescent="0.25">
      <c r="A389" s="9"/>
      <c r="B389" s="9"/>
      <c r="C389" s="9"/>
      <c r="D389" s="9"/>
      <c r="E389" s="9"/>
      <c r="F389" s="9"/>
      <c r="G389" s="14"/>
      <c r="H389" s="14"/>
      <c r="I389" s="14"/>
      <c r="J389" s="14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 spans="1:23" ht="19.5" customHeight="1" x14ac:dyDescent="0.25">
      <c r="A390" s="9"/>
      <c r="B390" s="9"/>
      <c r="C390" s="9"/>
      <c r="D390" s="9"/>
      <c r="E390" s="9"/>
      <c r="F390" s="9"/>
      <c r="G390" s="14"/>
      <c r="H390" s="14"/>
      <c r="I390" s="14"/>
      <c r="J390" s="14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 spans="1:23" ht="19.5" customHeight="1" x14ac:dyDescent="0.25">
      <c r="A391" s="9"/>
      <c r="B391" s="9"/>
      <c r="C391" s="9"/>
      <c r="D391" s="9"/>
      <c r="E391" s="9"/>
      <c r="F391" s="9"/>
      <c r="G391" s="14"/>
      <c r="H391" s="14"/>
      <c r="I391" s="14"/>
      <c r="J391" s="14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 spans="1:23" ht="19.5" customHeight="1" x14ac:dyDescent="0.25">
      <c r="A392" s="9"/>
      <c r="B392" s="9"/>
      <c r="C392" s="9"/>
      <c r="D392" s="9"/>
      <c r="E392" s="9"/>
      <c r="F392" s="9"/>
      <c r="G392" s="14"/>
      <c r="H392" s="14"/>
      <c r="I392" s="14"/>
      <c r="J392" s="14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 spans="1:23" ht="19.5" customHeight="1" x14ac:dyDescent="0.25">
      <c r="A393" s="9"/>
      <c r="B393" s="9"/>
      <c r="C393" s="9"/>
      <c r="D393" s="9"/>
      <c r="E393" s="9"/>
      <c r="F393" s="9"/>
      <c r="G393" s="14"/>
      <c r="H393" s="14"/>
      <c r="I393" s="14"/>
      <c r="J393" s="14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spans="1:23" ht="19.5" customHeight="1" x14ac:dyDescent="0.25">
      <c r="A394" s="9"/>
      <c r="B394" s="9"/>
      <c r="C394" s="9"/>
      <c r="D394" s="9"/>
      <c r="E394" s="9"/>
      <c r="F394" s="9"/>
      <c r="G394" s="14"/>
      <c r="H394" s="14"/>
      <c r="I394" s="14"/>
      <c r="J394" s="14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 spans="1:23" ht="19.5" customHeight="1" x14ac:dyDescent="0.25">
      <c r="A395" s="9"/>
      <c r="B395" s="9"/>
      <c r="C395" s="9"/>
      <c r="D395" s="9"/>
      <c r="E395" s="9"/>
      <c r="F395" s="9"/>
      <c r="G395" s="14"/>
      <c r="H395" s="14"/>
      <c r="I395" s="14"/>
      <c r="J395" s="14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 spans="1:23" ht="19.5" customHeight="1" x14ac:dyDescent="0.25">
      <c r="A396" s="9"/>
      <c r="B396" s="9"/>
      <c r="C396" s="9"/>
      <c r="D396" s="9"/>
      <c r="E396" s="9"/>
      <c r="F396" s="9"/>
      <c r="G396" s="14"/>
      <c r="H396" s="14"/>
      <c r="I396" s="14"/>
      <c r="J396" s="14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 spans="1:23" ht="19.5" customHeight="1" x14ac:dyDescent="0.25">
      <c r="A397" s="9"/>
      <c r="B397" s="9"/>
      <c r="C397" s="9"/>
      <c r="D397" s="9"/>
      <c r="E397" s="9"/>
      <c r="F397" s="9"/>
      <c r="G397" s="14"/>
      <c r="H397" s="14"/>
      <c r="I397" s="14"/>
      <c r="J397" s="14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 spans="1:23" ht="19.5" customHeight="1" x14ac:dyDescent="0.25">
      <c r="A398" s="9"/>
      <c r="B398" s="9"/>
      <c r="C398" s="9"/>
      <c r="D398" s="9"/>
      <c r="E398" s="9"/>
      <c r="F398" s="9"/>
      <c r="G398" s="14"/>
      <c r="H398" s="14"/>
      <c r="I398" s="14"/>
      <c r="J398" s="14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 spans="1:23" ht="19.5" customHeight="1" x14ac:dyDescent="0.25">
      <c r="A399" s="9"/>
      <c r="B399" s="9"/>
      <c r="C399" s="9"/>
      <c r="D399" s="9"/>
      <c r="E399" s="9"/>
      <c r="F399" s="9"/>
      <c r="G399" s="14"/>
      <c r="H399" s="14"/>
      <c r="I399" s="14"/>
      <c r="J399" s="14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 spans="1:23" ht="19.5" customHeight="1" x14ac:dyDescent="0.25">
      <c r="A400" s="9"/>
      <c r="B400" s="9"/>
      <c r="C400" s="9"/>
      <c r="D400" s="9"/>
      <c r="E400" s="9"/>
      <c r="F400" s="9"/>
      <c r="G400" s="14"/>
      <c r="H400" s="14"/>
      <c r="I400" s="14"/>
      <c r="J400" s="14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 spans="1:23" ht="19.5" customHeight="1" x14ac:dyDescent="0.25">
      <c r="A401" s="9"/>
      <c r="B401" s="9"/>
      <c r="C401" s="9"/>
      <c r="D401" s="9"/>
      <c r="E401" s="9"/>
      <c r="F401" s="9"/>
      <c r="G401" s="14"/>
      <c r="H401" s="14"/>
      <c r="I401" s="14"/>
      <c r="J401" s="14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 spans="1:23" ht="19.5" customHeight="1" x14ac:dyDescent="0.25">
      <c r="A402" s="9"/>
      <c r="B402" s="9"/>
      <c r="C402" s="9"/>
      <c r="D402" s="9"/>
      <c r="E402" s="9"/>
      <c r="F402" s="9"/>
      <c r="G402" s="14"/>
      <c r="H402" s="14"/>
      <c r="I402" s="14"/>
      <c r="J402" s="14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 spans="1:23" ht="19.5" customHeight="1" x14ac:dyDescent="0.25">
      <c r="A403" s="9"/>
      <c r="B403" s="9"/>
      <c r="C403" s="9"/>
      <c r="D403" s="9"/>
      <c r="E403" s="9"/>
      <c r="F403" s="9"/>
      <c r="G403" s="14"/>
      <c r="H403" s="14"/>
      <c r="I403" s="14"/>
      <c r="J403" s="14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 spans="1:23" ht="19.5" customHeight="1" x14ac:dyDescent="0.25">
      <c r="A404" s="9"/>
      <c r="B404" s="9"/>
      <c r="C404" s="9"/>
      <c r="D404" s="9"/>
      <c r="E404" s="9"/>
      <c r="F404" s="9"/>
      <c r="G404" s="14"/>
      <c r="H404" s="14"/>
      <c r="I404" s="14"/>
      <c r="J404" s="14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 spans="1:23" ht="19.5" customHeight="1" x14ac:dyDescent="0.25">
      <c r="A405" s="9"/>
      <c r="B405" s="9"/>
      <c r="C405" s="9"/>
      <c r="D405" s="9"/>
      <c r="E405" s="9"/>
      <c r="F405" s="9"/>
      <c r="G405" s="14"/>
      <c r="H405" s="14"/>
      <c r="I405" s="14"/>
      <c r="J405" s="14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spans="1:23" ht="19.5" customHeight="1" x14ac:dyDescent="0.25">
      <c r="A406" s="9"/>
      <c r="B406" s="9"/>
      <c r="C406" s="9"/>
      <c r="D406" s="9"/>
      <c r="E406" s="9"/>
      <c r="F406" s="9"/>
      <c r="G406" s="14"/>
      <c r="H406" s="14"/>
      <c r="I406" s="14"/>
      <c r="J406" s="14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 spans="1:23" ht="19.5" customHeight="1" x14ac:dyDescent="0.25">
      <c r="A407" s="9"/>
      <c r="B407" s="9"/>
      <c r="C407" s="9"/>
      <c r="D407" s="9"/>
      <c r="E407" s="9"/>
      <c r="F407" s="9"/>
      <c r="G407" s="14"/>
      <c r="H407" s="14"/>
      <c r="I407" s="14"/>
      <c r="J407" s="14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 spans="1:23" ht="19.5" customHeight="1" x14ac:dyDescent="0.25">
      <c r="A408" s="9"/>
      <c r="B408" s="9"/>
      <c r="C408" s="9"/>
      <c r="D408" s="9"/>
      <c r="E408" s="9"/>
      <c r="F408" s="9"/>
      <c r="G408" s="14"/>
      <c r="H408" s="14"/>
      <c r="I408" s="14"/>
      <c r="J408" s="14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 spans="1:23" ht="19.5" customHeight="1" x14ac:dyDescent="0.25">
      <c r="A409" s="9"/>
      <c r="B409" s="9"/>
      <c r="C409" s="9"/>
      <c r="D409" s="9"/>
      <c r="E409" s="9"/>
      <c r="F409" s="9"/>
      <c r="G409" s="14"/>
      <c r="H409" s="14"/>
      <c r="I409" s="14"/>
      <c r="J409" s="14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 spans="1:23" ht="19.5" customHeight="1" x14ac:dyDescent="0.25">
      <c r="A410" s="9"/>
      <c r="B410" s="9"/>
      <c r="C410" s="9"/>
      <c r="D410" s="9"/>
      <c r="E410" s="9"/>
      <c r="F410" s="9"/>
      <c r="G410" s="14"/>
      <c r="H410" s="14"/>
      <c r="I410" s="14"/>
      <c r="J410" s="14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 spans="1:23" ht="19.5" customHeight="1" x14ac:dyDescent="0.25">
      <c r="A411" s="9"/>
      <c r="B411" s="9"/>
      <c r="C411" s="9"/>
      <c r="D411" s="9"/>
      <c r="E411" s="9"/>
      <c r="F411" s="9"/>
      <c r="G411" s="14"/>
      <c r="H411" s="14"/>
      <c r="I411" s="14"/>
      <c r="J411" s="14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 spans="1:23" ht="19.5" customHeight="1" x14ac:dyDescent="0.25">
      <c r="A412" s="9"/>
      <c r="B412" s="9"/>
      <c r="C412" s="9"/>
      <c r="D412" s="9"/>
      <c r="E412" s="9"/>
      <c r="F412" s="9"/>
      <c r="G412" s="14"/>
      <c r="H412" s="14"/>
      <c r="I412" s="14"/>
      <c r="J412" s="14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 spans="1:23" ht="19.5" customHeight="1" x14ac:dyDescent="0.25">
      <c r="A413" s="9"/>
      <c r="B413" s="9"/>
      <c r="C413" s="9"/>
      <c r="D413" s="9"/>
      <c r="E413" s="9"/>
      <c r="F413" s="9"/>
      <c r="G413" s="14"/>
      <c r="H413" s="14"/>
      <c r="I413" s="14"/>
      <c r="J413" s="14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 spans="1:23" ht="19.5" customHeight="1" x14ac:dyDescent="0.25">
      <c r="A414" s="9"/>
      <c r="B414" s="9"/>
      <c r="C414" s="9"/>
      <c r="D414" s="9"/>
      <c r="E414" s="9"/>
      <c r="F414" s="9"/>
      <c r="G414" s="14"/>
      <c r="H414" s="14"/>
      <c r="I414" s="14"/>
      <c r="J414" s="14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 spans="1:23" ht="19.5" customHeight="1" x14ac:dyDescent="0.25">
      <c r="A415" s="9"/>
      <c r="B415" s="9"/>
      <c r="C415" s="9"/>
      <c r="D415" s="9"/>
      <c r="E415" s="9"/>
      <c r="F415" s="9"/>
      <c r="G415" s="14"/>
      <c r="H415" s="14"/>
      <c r="I415" s="14"/>
      <c r="J415" s="14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 spans="1:23" ht="19.5" customHeight="1" x14ac:dyDescent="0.25">
      <c r="A416" s="9"/>
      <c r="B416" s="9"/>
      <c r="C416" s="9"/>
      <c r="D416" s="9"/>
      <c r="E416" s="9"/>
      <c r="F416" s="9"/>
      <c r="G416" s="14"/>
      <c r="H416" s="14"/>
      <c r="I416" s="14"/>
      <c r="J416" s="14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 spans="1:23" ht="19.5" customHeight="1" x14ac:dyDescent="0.25">
      <c r="A417" s="9"/>
      <c r="B417" s="9"/>
      <c r="C417" s="9"/>
      <c r="D417" s="9"/>
      <c r="E417" s="9"/>
      <c r="F417" s="9"/>
      <c r="G417" s="14"/>
      <c r="H417" s="14"/>
      <c r="I417" s="14"/>
      <c r="J417" s="14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spans="1:23" ht="19.5" customHeight="1" x14ac:dyDescent="0.25">
      <c r="A418" s="9"/>
      <c r="B418" s="9"/>
      <c r="C418" s="9"/>
      <c r="D418" s="9"/>
      <c r="E418" s="9"/>
      <c r="F418" s="9"/>
      <c r="G418" s="14"/>
      <c r="H418" s="14"/>
      <c r="I418" s="14"/>
      <c r="J418" s="14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 spans="1:23" ht="19.5" customHeight="1" x14ac:dyDescent="0.25">
      <c r="A419" s="9"/>
      <c r="B419" s="9"/>
      <c r="C419" s="9"/>
      <c r="D419" s="9"/>
      <c r="E419" s="9"/>
      <c r="F419" s="9"/>
      <c r="G419" s="14"/>
      <c r="H419" s="14"/>
      <c r="I419" s="14"/>
      <c r="J419" s="14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 spans="1:23" ht="19.5" customHeight="1" x14ac:dyDescent="0.25">
      <c r="A420" s="9"/>
      <c r="B420" s="9"/>
      <c r="C420" s="9"/>
      <c r="D420" s="9"/>
      <c r="E420" s="9"/>
      <c r="F420" s="9"/>
      <c r="G420" s="14"/>
      <c r="H420" s="14"/>
      <c r="I420" s="14"/>
      <c r="J420" s="14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 spans="1:23" ht="19.5" customHeight="1" x14ac:dyDescent="0.25">
      <c r="A421" s="9"/>
      <c r="B421" s="9"/>
      <c r="C421" s="9"/>
      <c r="D421" s="9"/>
      <c r="E421" s="9"/>
      <c r="F421" s="9"/>
      <c r="G421" s="14"/>
      <c r="H421" s="14"/>
      <c r="I421" s="14"/>
      <c r="J421" s="14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 spans="1:23" ht="19.5" customHeight="1" x14ac:dyDescent="0.25">
      <c r="A422" s="9"/>
      <c r="B422" s="9"/>
      <c r="C422" s="9"/>
      <c r="D422" s="9"/>
      <c r="E422" s="9"/>
      <c r="F422" s="9"/>
      <c r="G422" s="14"/>
      <c r="H422" s="14"/>
      <c r="I422" s="14"/>
      <c r="J422" s="14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 spans="1:23" ht="19.5" customHeight="1" x14ac:dyDescent="0.25">
      <c r="A423" s="9"/>
      <c r="B423" s="9"/>
      <c r="C423" s="9"/>
      <c r="D423" s="9"/>
      <c r="E423" s="9"/>
      <c r="F423" s="9"/>
      <c r="G423" s="14"/>
      <c r="H423" s="14"/>
      <c r="I423" s="14"/>
      <c r="J423" s="14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 spans="1:23" ht="19.5" customHeight="1" x14ac:dyDescent="0.25">
      <c r="A424" s="9"/>
      <c r="B424" s="9"/>
      <c r="C424" s="9"/>
      <c r="D424" s="9"/>
      <c r="E424" s="9"/>
      <c r="F424" s="9"/>
      <c r="G424" s="14"/>
      <c r="H424" s="14"/>
      <c r="I424" s="14"/>
      <c r="J424" s="14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 spans="1:23" ht="19.5" customHeight="1" x14ac:dyDescent="0.25">
      <c r="A425" s="9"/>
      <c r="B425" s="9"/>
      <c r="C425" s="9"/>
      <c r="D425" s="9"/>
      <c r="E425" s="9"/>
      <c r="F425" s="9"/>
      <c r="G425" s="14"/>
      <c r="H425" s="14"/>
      <c r="I425" s="14"/>
      <c r="J425" s="14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 spans="1:23" ht="19.5" customHeight="1" x14ac:dyDescent="0.25">
      <c r="A426" s="9"/>
      <c r="B426" s="9"/>
      <c r="C426" s="9"/>
      <c r="D426" s="9"/>
      <c r="E426" s="9"/>
      <c r="F426" s="9"/>
      <c r="G426" s="14"/>
      <c r="H426" s="14"/>
      <c r="I426" s="14"/>
      <c r="J426" s="14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 spans="1:23" ht="19.5" customHeight="1" x14ac:dyDescent="0.25">
      <c r="A427" s="9"/>
      <c r="B427" s="9"/>
      <c r="C427" s="9"/>
      <c r="D427" s="9"/>
      <c r="E427" s="9"/>
      <c r="F427" s="9"/>
      <c r="G427" s="14"/>
      <c r="H427" s="14"/>
      <c r="I427" s="14"/>
      <c r="J427" s="14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 spans="1:23" ht="19.5" customHeight="1" x14ac:dyDescent="0.25">
      <c r="A428" s="9"/>
      <c r="B428" s="9"/>
      <c r="C428" s="9"/>
      <c r="D428" s="9"/>
      <c r="E428" s="9"/>
      <c r="F428" s="9"/>
      <c r="G428" s="14"/>
      <c r="H428" s="14"/>
      <c r="I428" s="14"/>
      <c r="J428" s="14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 spans="1:23" ht="19.5" customHeight="1" x14ac:dyDescent="0.25">
      <c r="A429" s="9"/>
      <c r="B429" s="9"/>
      <c r="C429" s="9"/>
      <c r="D429" s="9"/>
      <c r="E429" s="9"/>
      <c r="F429" s="9"/>
      <c r="G429" s="14"/>
      <c r="H429" s="14"/>
      <c r="I429" s="14"/>
      <c r="J429" s="14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 spans="1:23" ht="19.5" customHeight="1" x14ac:dyDescent="0.25">
      <c r="A430" s="9"/>
      <c r="B430" s="9"/>
      <c r="C430" s="9"/>
      <c r="D430" s="9"/>
      <c r="E430" s="9"/>
      <c r="F430" s="9"/>
      <c r="G430" s="14"/>
      <c r="H430" s="14"/>
      <c r="I430" s="14"/>
      <c r="J430" s="14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 spans="1:23" ht="19.5" customHeight="1" x14ac:dyDescent="0.25">
      <c r="A431" s="9"/>
      <c r="B431" s="9"/>
      <c r="C431" s="9"/>
      <c r="D431" s="9"/>
      <c r="E431" s="9"/>
      <c r="F431" s="9"/>
      <c r="G431" s="14"/>
      <c r="H431" s="14"/>
      <c r="I431" s="14"/>
      <c r="J431" s="14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 spans="1:23" ht="19.5" customHeight="1" x14ac:dyDescent="0.25">
      <c r="A432" s="9"/>
      <c r="B432" s="9"/>
      <c r="C432" s="9"/>
      <c r="D432" s="9"/>
      <c r="E432" s="9"/>
      <c r="F432" s="9"/>
      <c r="G432" s="14"/>
      <c r="H432" s="14"/>
      <c r="I432" s="14"/>
      <c r="J432" s="14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 spans="1:23" ht="19.5" customHeight="1" x14ac:dyDescent="0.25">
      <c r="A433" s="9"/>
      <c r="B433" s="9"/>
      <c r="C433" s="9"/>
      <c r="D433" s="9"/>
      <c r="E433" s="9"/>
      <c r="F433" s="9"/>
      <c r="G433" s="14"/>
      <c r="H433" s="14"/>
      <c r="I433" s="14"/>
      <c r="J433" s="14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 spans="1:23" ht="19.5" customHeight="1" x14ac:dyDescent="0.25">
      <c r="A434" s="9"/>
      <c r="B434" s="9"/>
      <c r="C434" s="9"/>
      <c r="D434" s="9"/>
      <c r="E434" s="9"/>
      <c r="F434" s="9"/>
      <c r="G434" s="14"/>
      <c r="H434" s="14"/>
      <c r="I434" s="14"/>
      <c r="J434" s="14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 spans="1:23" ht="19.5" customHeight="1" x14ac:dyDescent="0.25">
      <c r="A435" s="9"/>
      <c r="B435" s="9"/>
      <c r="C435" s="9"/>
      <c r="D435" s="9"/>
      <c r="E435" s="9"/>
      <c r="F435" s="9"/>
      <c r="G435" s="14"/>
      <c r="H435" s="14"/>
      <c r="I435" s="14"/>
      <c r="J435" s="14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 spans="1:23" ht="19.5" customHeight="1" x14ac:dyDescent="0.25">
      <c r="A436" s="9"/>
      <c r="B436" s="9"/>
      <c r="C436" s="9"/>
      <c r="D436" s="9"/>
      <c r="E436" s="9"/>
      <c r="F436" s="9"/>
      <c r="G436" s="14"/>
      <c r="H436" s="14"/>
      <c r="I436" s="14"/>
      <c r="J436" s="14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 spans="1:23" ht="19.5" customHeight="1" x14ac:dyDescent="0.25">
      <c r="A437" s="9"/>
      <c r="B437" s="9"/>
      <c r="C437" s="9"/>
      <c r="D437" s="9"/>
      <c r="E437" s="9"/>
      <c r="F437" s="9"/>
      <c r="G437" s="14"/>
      <c r="H437" s="14"/>
      <c r="I437" s="14"/>
      <c r="J437" s="14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 spans="1:23" ht="19.5" customHeight="1" x14ac:dyDescent="0.25">
      <c r="A438" s="9"/>
      <c r="B438" s="9"/>
      <c r="C438" s="9"/>
      <c r="D438" s="9"/>
      <c r="E438" s="9"/>
      <c r="F438" s="9"/>
      <c r="G438" s="14"/>
      <c r="H438" s="14"/>
      <c r="I438" s="14"/>
      <c r="J438" s="14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 spans="1:23" ht="19.5" customHeight="1" x14ac:dyDescent="0.25">
      <c r="A439" s="9"/>
      <c r="B439" s="9"/>
      <c r="C439" s="9"/>
      <c r="D439" s="9"/>
      <c r="E439" s="9"/>
      <c r="F439" s="9"/>
      <c r="G439" s="14"/>
      <c r="H439" s="14"/>
      <c r="I439" s="14"/>
      <c r="J439" s="14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 spans="1:23" ht="19.5" customHeight="1" x14ac:dyDescent="0.25">
      <c r="A440" s="9"/>
      <c r="B440" s="9"/>
      <c r="C440" s="9"/>
      <c r="D440" s="9"/>
      <c r="E440" s="9"/>
      <c r="F440" s="9"/>
      <c r="G440" s="14"/>
      <c r="H440" s="14"/>
      <c r="I440" s="14"/>
      <c r="J440" s="14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 spans="1:23" ht="19.5" customHeight="1" x14ac:dyDescent="0.25">
      <c r="A441" s="9"/>
      <c r="B441" s="9"/>
      <c r="C441" s="9"/>
      <c r="D441" s="9"/>
      <c r="E441" s="9"/>
      <c r="F441" s="9"/>
      <c r="G441" s="14"/>
      <c r="H441" s="14"/>
      <c r="I441" s="14"/>
      <c r="J441" s="14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 spans="1:23" ht="19.5" customHeight="1" x14ac:dyDescent="0.25">
      <c r="A442" s="9"/>
      <c r="B442" s="9"/>
      <c r="C442" s="9"/>
      <c r="D442" s="9"/>
      <c r="E442" s="9"/>
      <c r="F442" s="9"/>
      <c r="G442" s="14"/>
      <c r="H442" s="14"/>
      <c r="I442" s="14"/>
      <c r="J442" s="14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 spans="1:23" ht="19.5" customHeight="1" x14ac:dyDescent="0.25">
      <c r="A443" s="9"/>
      <c r="B443" s="9"/>
      <c r="C443" s="9"/>
      <c r="D443" s="9"/>
      <c r="E443" s="9"/>
      <c r="F443" s="9"/>
      <c r="G443" s="14"/>
      <c r="H443" s="14"/>
      <c r="I443" s="14"/>
      <c r="J443" s="14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 spans="1:23" ht="19.5" customHeight="1" x14ac:dyDescent="0.25">
      <c r="A444" s="9"/>
      <c r="B444" s="9"/>
      <c r="C444" s="9"/>
      <c r="D444" s="9"/>
      <c r="E444" s="9"/>
      <c r="F444" s="9"/>
      <c r="G444" s="14"/>
      <c r="H444" s="14"/>
      <c r="I444" s="14"/>
      <c r="J444" s="14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 spans="1:23" ht="19.5" customHeight="1" x14ac:dyDescent="0.25">
      <c r="A445" s="9"/>
      <c r="B445" s="9"/>
      <c r="C445" s="9"/>
      <c r="D445" s="9"/>
      <c r="E445" s="9"/>
      <c r="F445" s="9"/>
      <c r="G445" s="14"/>
      <c r="H445" s="14"/>
      <c r="I445" s="14"/>
      <c r="J445" s="14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 spans="1:23" ht="19.5" customHeight="1" x14ac:dyDescent="0.25">
      <c r="A446" s="9"/>
      <c r="B446" s="9"/>
      <c r="C446" s="9"/>
      <c r="D446" s="9"/>
      <c r="E446" s="9"/>
      <c r="F446" s="9"/>
      <c r="G446" s="14"/>
      <c r="H446" s="14"/>
      <c r="I446" s="14"/>
      <c r="J446" s="14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 spans="1:23" ht="19.5" customHeight="1" x14ac:dyDescent="0.25">
      <c r="A447" s="9"/>
      <c r="B447" s="9"/>
      <c r="C447" s="9"/>
      <c r="D447" s="9"/>
      <c r="E447" s="9"/>
      <c r="F447" s="9"/>
      <c r="G447" s="14"/>
      <c r="H447" s="14"/>
      <c r="I447" s="14"/>
      <c r="J447" s="14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 spans="1:23" ht="19.5" customHeight="1" x14ac:dyDescent="0.25">
      <c r="A448" s="9"/>
      <c r="B448" s="9"/>
      <c r="C448" s="9"/>
      <c r="D448" s="9"/>
      <c r="E448" s="9"/>
      <c r="F448" s="9"/>
      <c r="G448" s="14"/>
      <c r="H448" s="14"/>
      <c r="I448" s="14"/>
      <c r="J448" s="14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 spans="1:23" ht="19.5" customHeight="1" x14ac:dyDescent="0.25">
      <c r="A449" s="9"/>
      <c r="B449" s="9"/>
      <c r="C449" s="9"/>
      <c r="D449" s="9"/>
      <c r="E449" s="9"/>
      <c r="F449" s="9"/>
      <c r="G449" s="14"/>
      <c r="H449" s="14"/>
      <c r="I449" s="14"/>
      <c r="J449" s="14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 spans="1:23" ht="19.5" customHeight="1" x14ac:dyDescent="0.25">
      <c r="A450" s="9"/>
      <c r="B450" s="9"/>
      <c r="C450" s="9"/>
      <c r="D450" s="9"/>
      <c r="E450" s="9"/>
      <c r="F450" s="9"/>
      <c r="G450" s="14"/>
      <c r="H450" s="14"/>
      <c r="I450" s="14"/>
      <c r="J450" s="14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 spans="1:23" ht="19.5" customHeight="1" x14ac:dyDescent="0.25">
      <c r="A451" s="9"/>
      <c r="B451" s="9"/>
      <c r="C451" s="9"/>
      <c r="D451" s="9"/>
      <c r="E451" s="9"/>
      <c r="F451" s="9"/>
      <c r="G451" s="14"/>
      <c r="H451" s="14"/>
      <c r="I451" s="14"/>
      <c r="J451" s="14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 spans="1:23" ht="19.5" customHeight="1" x14ac:dyDescent="0.25">
      <c r="A452" s="9"/>
      <c r="B452" s="9"/>
      <c r="C452" s="9"/>
      <c r="D452" s="9"/>
      <c r="E452" s="9"/>
      <c r="F452" s="9"/>
      <c r="G452" s="14"/>
      <c r="H452" s="14"/>
      <c r="I452" s="14"/>
      <c r="J452" s="14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 spans="1:23" ht="19.5" customHeight="1" x14ac:dyDescent="0.25">
      <c r="A453" s="9"/>
      <c r="B453" s="9"/>
      <c r="C453" s="9"/>
      <c r="D453" s="9"/>
      <c r="E453" s="9"/>
      <c r="F453" s="9"/>
      <c r="G453" s="14"/>
      <c r="H453" s="14"/>
      <c r="I453" s="14"/>
      <c r="J453" s="14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 spans="1:23" ht="19.5" customHeight="1" x14ac:dyDescent="0.25">
      <c r="A454" s="9"/>
      <c r="B454" s="9"/>
      <c r="C454" s="9"/>
      <c r="D454" s="9"/>
      <c r="E454" s="9"/>
      <c r="F454" s="9"/>
      <c r="G454" s="14"/>
      <c r="H454" s="14"/>
      <c r="I454" s="14"/>
      <c r="J454" s="14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 spans="1:23" ht="19.5" customHeight="1" x14ac:dyDescent="0.25">
      <c r="A455" s="9"/>
      <c r="B455" s="9"/>
      <c r="C455" s="9"/>
      <c r="D455" s="9"/>
      <c r="E455" s="9"/>
      <c r="F455" s="9"/>
      <c r="G455" s="14"/>
      <c r="H455" s="14"/>
      <c r="I455" s="14"/>
      <c r="J455" s="14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 spans="1:23" ht="19.5" customHeight="1" x14ac:dyDescent="0.25">
      <c r="A456" s="9"/>
      <c r="B456" s="9"/>
      <c r="C456" s="9"/>
      <c r="D456" s="9"/>
      <c r="E456" s="9"/>
      <c r="F456" s="9"/>
      <c r="G456" s="14"/>
      <c r="H456" s="14"/>
      <c r="I456" s="14"/>
      <c r="J456" s="14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 spans="1:23" ht="19.5" customHeight="1" x14ac:dyDescent="0.25">
      <c r="A457" s="9"/>
      <c r="B457" s="9"/>
      <c r="C457" s="9"/>
      <c r="D457" s="9"/>
      <c r="E457" s="9"/>
      <c r="F457" s="9"/>
      <c r="G457" s="14"/>
      <c r="H457" s="14"/>
      <c r="I457" s="14"/>
      <c r="J457" s="14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 spans="1:23" ht="19.5" customHeight="1" x14ac:dyDescent="0.25">
      <c r="A458" s="9"/>
      <c r="B458" s="9"/>
      <c r="C458" s="9"/>
      <c r="D458" s="9"/>
      <c r="E458" s="9"/>
      <c r="F458" s="9"/>
      <c r="G458" s="14"/>
      <c r="H458" s="14"/>
      <c r="I458" s="14"/>
      <c r="J458" s="14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 spans="1:23" ht="19.5" customHeight="1" x14ac:dyDescent="0.25">
      <c r="A459" s="9"/>
      <c r="B459" s="9"/>
      <c r="C459" s="9"/>
      <c r="D459" s="9"/>
      <c r="E459" s="9"/>
      <c r="F459" s="9"/>
      <c r="G459" s="14"/>
      <c r="H459" s="14"/>
      <c r="I459" s="14"/>
      <c r="J459" s="14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 spans="1:23" ht="19.5" customHeight="1" x14ac:dyDescent="0.25">
      <c r="A460" s="9"/>
      <c r="B460" s="9"/>
      <c r="C460" s="9"/>
      <c r="D460" s="9"/>
      <c r="E460" s="9"/>
      <c r="F460" s="9"/>
      <c r="G460" s="14"/>
      <c r="H460" s="14"/>
      <c r="I460" s="14"/>
      <c r="J460" s="14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 spans="1:23" ht="19.5" customHeight="1" x14ac:dyDescent="0.25">
      <c r="A461" s="9"/>
      <c r="B461" s="9"/>
      <c r="C461" s="9"/>
      <c r="D461" s="9"/>
      <c r="E461" s="9"/>
      <c r="F461" s="9"/>
      <c r="G461" s="14"/>
      <c r="H461" s="14"/>
      <c r="I461" s="14"/>
      <c r="J461" s="14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 spans="1:23" ht="19.5" customHeight="1" x14ac:dyDescent="0.25">
      <c r="A462" s="9"/>
      <c r="B462" s="9"/>
      <c r="C462" s="9"/>
      <c r="D462" s="9"/>
      <c r="E462" s="9"/>
      <c r="F462" s="9"/>
      <c r="G462" s="14"/>
      <c r="H462" s="14"/>
      <c r="I462" s="14"/>
      <c r="J462" s="14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 spans="1:23" ht="19.5" customHeight="1" x14ac:dyDescent="0.25">
      <c r="A463" s="9"/>
      <c r="B463" s="9"/>
      <c r="C463" s="9"/>
      <c r="D463" s="9"/>
      <c r="E463" s="9"/>
      <c r="F463" s="9"/>
      <c r="G463" s="14"/>
      <c r="H463" s="14"/>
      <c r="I463" s="14"/>
      <c r="J463" s="14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 spans="1:23" ht="19.5" customHeight="1" x14ac:dyDescent="0.25">
      <c r="A464" s="9"/>
      <c r="B464" s="9"/>
      <c r="C464" s="9"/>
      <c r="D464" s="9"/>
      <c r="E464" s="9"/>
      <c r="F464" s="9"/>
      <c r="G464" s="14"/>
      <c r="H464" s="14"/>
      <c r="I464" s="14"/>
      <c r="J464" s="14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 spans="1:23" ht="19.5" customHeight="1" x14ac:dyDescent="0.25">
      <c r="A465" s="9"/>
      <c r="B465" s="9"/>
      <c r="C465" s="9"/>
      <c r="D465" s="9"/>
      <c r="E465" s="9"/>
      <c r="F465" s="9"/>
      <c r="G465" s="14"/>
      <c r="H465" s="14"/>
      <c r="I465" s="14"/>
      <c r="J465" s="14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 spans="1:23" ht="19.5" customHeight="1" x14ac:dyDescent="0.25">
      <c r="A466" s="9"/>
      <c r="B466" s="9"/>
      <c r="C466" s="9"/>
      <c r="D466" s="9"/>
      <c r="E466" s="9"/>
      <c r="F466" s="9"/>
      <c r="G466" s="14"/>
      <c r="H466" s="14"/>
      <c r="I466" s="14"/>
      <c r="J466" s="14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 spans="1:23" ht="19.5" customHeight="1" x14ac:dyDescent="0.25">
      <c r="A467" s="9"/>
      <c r="B467" s="9"/>
      <c r="C467" s="9"/>
      <c r="D467" s="9"/>
      <c r="E467" s="9"/>
      <c r="F467" s="9"/>
      <c r="G467" s="14"/>
      <c r="H467" s="14"/>
      <c r="I467" s="14"/>
      <c r="J467" s="14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 spans="1:23" ht="19.5" customHeight="1" x14ac:dyDescent="0.25">
      <c r="A468" s="9"/>
      <c r="B468" s="9"/>
      <c r="C468" s="9"/>
      <c r="D468" s="9"/>
      <c r="E468" s="9"/>
      <c r="F468" s="9"/>
      <c r="G468" s="14"/>
      <c r="H468" s="14"/>
      <c r="I468" s="14"/>
      <c r="J468" s="14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 spans="1:23" ht="19.5" customHeight="1" x14ac:dyDescent="0.25">
      <c r="A469" s="9"/>
      <c r="B469" s="9"/>
      <c r="C469" s="9"/>
      <c r="D469" s="9"/>
      <c r="E469" s="9"/>
      <c r="F469" s="9"/>
      <c r="G469" s="14"/>
      <c r="H469" s="14"/>
      <c r="I469" s="14"/>
      <c r="J469" s="14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 spans="1:23" ht="19.5" customHeight="1" x14ac:dyDescent="0.25">
      <c r="A470" s="9"/>
      <c r="B470" s="9"/>
      <c r="C470" s="9"/>
      <c r="D470" s="9"/>
      <c r="E470" s="9"/>
      <c r="F470" s="9"/>
      <c r="G470" s="14"/>
      <c r="H470" s="14"/>
      <c r="I470" s="14"/>
      <c r="J470" s="14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 spans="1:23" ht="19.5" customHeight="1" x14ac:dyDescent="0.25">
      <c r="A471" s="9"/>
      <c r="B471" s="9"/>
      <c r="C471" s="9"/>
      <c r="D471" s="9"/>
      <c r="E471" s="9"/>
      <c r="F471" s="9"/>
      <c r="G471" s="14"/>
      <c r="H471" s="14"/>
      <c r="I471" s="14"/>
      <c r="J471" s="14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 spans="1:23" ht="19.5" customHeight="1" x14ac:dyDescent="0.25">
      <c r="A472" s="9"/>
      <c r="B472" s="9"/>
      <c r="C472" s="9"/>
      <c r="D472" s="9"/>
      <c r="E472" s="9"/>
      <c r="F472" s="9"/>
      <c r="G472" s="14"/>
      <c r="H472" s="14"/>
      <c r="I472" s="14"/>
      <c r="J472" s="14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 spans="1:23" ht="19.5" customHeight="1" x14ac:dyDescent="0.25">
      <c r="A473" s="9"/>
      <c r="B473" s="9"/>
      <c r="C473" s="9"/>
      <c r="D473" s="9"/>
      <c r="E473" s="9"/>
      <c r="F473" s="9"/>
      <c r="G473" s="14"/>
      <c r="H473" s="14"/>
      <c r="I473" s="14"/>
      <c r="J473" s="14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 spans="1:23" ht="19.5" customHeight="1" x14ac:dyDescent="0.25">
      <c r="A474" s="9"/>
      <c r="B474" s="9"/>
      <c r="C474" s="9"/>
      <c r="D474" s="9"/>
      <c r="E474" s="9"/>
      <c r="F474" s="9"/>
      <c r="G474" s="14"/>
      <c r="H474" s="14"/>
      <c r="I474" s="14"/>
      <c r="J474" s="14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 spans="1:23" ht="19.5" customHeight="1" x14ac:dyDescent="0.25">
      <c r="A475" s="9"/>
      <c r="B475" s="9"/>
      <c r="C475" s="9"/>
      <c r="D475" s="9"/>
      <c r="E475" s="9"/>
      <c r="F475" s="9"/>
      <c r="G475" s="14"/>
      <c r="H475" s="14"/>
      <c r="I475" s="14"/>
      <c r="J475" s="14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 spans="1:23" ht="19.5" customHeight="1" x14ac:dyDescent="0.25">
      <c r="A476" s="9"/>
      <c r="B476" s="9"/>
      <c r="C476" s="9"/>
      <c r="D476" s="9"/>
      <c r="E476" s="9"/>
      <c r="F476" s="9"/>
      <c r="G476" s="14"/>
      <c r="H476" s="14"/>
      <c r="I476" s="14"/>
      <c r="J476" s="14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 spans="1:23" ht="19.5" customHeight="1" x14ac:dyDescent="0.25">
      <c r="A477" s="9"/>
      <c r="B477" s="9"/>
      <c r="C477" s="9"/>
      <c r="D477" s="9"/>
      <c r="E477" s="9"/>
      <c r="F477" s="9"/>
      <c r="G477" s="14"/>
      <c r="H477" s="14"/>
      <c r="I477" s="14"/>
      <c r="J477" s="14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 spans="1:23" ht="19.5" customHeight="1" x14ac:dyDescent="0.25">
      <c r="A478" s="9"/>
      <c r="B478" s="9"/>
      <c r="C478" s="9"/>
      <c r="D478" s="9"/>
      <c r="E478" s="9"/>
      <c r="F478" s="9"/>
      <c r="G478" s="14"/>
      <c r="H478" s="14"/>
      <c r="I478" s="14"/>
      <c r="J478" s="14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 spans="1:23" ht="19.5" customHeight="1" x14ac:dyDescent="0.25">
      <c r="A479" s="9"/>
      <c r="B479" s="9"/>
      <c r="C479" s="9"/>
      <c r="D479" s="9"/>
      <c r="E479" s="9"/>
      <c r="F479" s="9"/>
      <c r="G479" s="14"/>
      <c r="H479" s="14"/>
      <c r="I479" s="14"/>
      <c r="J479" s="14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 spans="1:23" ht="19.5" customHeight="1" x14ac:dyDescent="0.25">
      <c r="A480" s="9"/>
      <c r="B480" s="9"/>
      <c r="C480" s="9"/>
      <c r="D480" s="9"/>
      <c r="E480" s="9"/>
      <c r="F480" s="9"/>
      <c r="G480" s="14"/>
      <c r="H480" s="14"/>
      <c r="I480" s="14"/>
      <c r="J480" s="14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 spans="1:23" ht="19.5" customHeight="1" x14ac:dyDescent="0.25">
      <c r="A481" s="9"/>
      <c r="B481" s="9"/>
      <c r="C481" s="9"/>
      <c r="D481" s="9"/>
      <c r="E481" s="9"/>
      <c r="F481" s="9"/>
      <c r="G481" s="14"/>
      <c r="H481" s="14"/>
      <c r="I481" s="14"/>
      <c r="J481" s="14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 spans="1:23" ht="19.5" customHeight="1" x14ac:dyDescent="0.25">
      <c r="A482" s="9"/>
      <c r="B482" s="9"/>
      <c r="C482" s="9"/>
      <c r="D482" s="9"/>
      <c r="E482" s="9"/>
      <c r="F482" s="9"/>
      <c r="G482" s="14"/>
      <c r="H482" s="14"/>
      <c r="I482" s="14"/>
      <c r="J482" s="14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 spans="1:23" ht="19.5" customHeight="1" x14ac:dyDescent="0.25">
      <c r="A483" s="9"/>
      <c r="B483" s="9"/>
      <c r="C483" s="9"/>
      <c r="D483" s="9"/>
      <c r="E483" s="9"/>
      <c r="F483" s="9"/>
      <c r="G483" s="14"/>
      <c r="H483" s="14"/>
      <c r="I483" s="14"/>
      <c r="J483" s="14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 spans="1:23" ht="19.5" customHeight="1" x14ac:dyDescent="0.25">
      <c r="A484" s="9"/>
      <c r="B484" s="9"/>
      <c r="C484" s="9"/>
      <c r="D484" s="9"/>
      <c r="E484" s="9"/>
      <c r="F484" s="9"/>
      <c r="G484" s="14"/>
      <c r="H484" s="14"/>
      <c r="I484" s="14"/>
      <c r="J484" s="14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 spans="1:23" ht="19.5" customHeight="1" x14ac:dyDescent="0.25">
      <c r="A485" s="9"/>
      <c r="B485" s="9"/>
      <c r="C485" s="9"/>
      <c r="D485" s="9"/>
      <c r="E485" s="9"/>
      <c r="F485" s="9"/>
      <c r="G485" s="14"/>
      <c r="H485" s="14"/>
      <c r="I485" s="14"/>
      <c r="J485" s="14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 spans="1:23" ht="19.5" customHeight="1" x14ac:dyDescent="0.25">
      <c r="A486" s="9"/>
      <c r="B486" s="9"/>
      <c r="C486" s="9"/>
      <c r="D486" s="9"/>
      <c r="E486" s="9"/>
      <c r="F486" s="9"/>
      <c r="G486" s="14"/>
      <c r="H486" s="14"/>
      <c r="I486" s="14"/>
      <c r="J486" s="14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 spans="1:23" ht="19.5" customHeight="1" x14ac:dyDescent="0.25">
      <c r="A487" s="9"/>
      <c r="B487" s="9"/>
      <c r="C487" s="9"/>
      <c r="D487" s="9"/>
      <c r="E487" s="9"/>
      <c r="F487" s="9"/>
      <c r="G487" s="14"/>
      <c r="H487" s="14"/>
      <c r="I487" s="14"/>
      <c r="J487" s="14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 spans="1:23" ht="19.5" customHeight="1" x14ac:dyDescent="0.25">
      <c r="A488" s="9"/>
      <c r="B488" s="9"/>
      <c r="C488" s="9"/>
      <c r="D488" s="9"/>
      <c r="E488" s="9"/>
      <c r="F488" s="9"/>
      <c r="G488" s="14"/>
      <c r="H488" s="14"/>
      <c r="I488" s="14"/>
      <c r="J488" s="14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 spans="1:23" ht="19.5" customHeight="1" x14ac:dyDescent="0.25">
      <c r="A489" s="9"/>
      <c r="B489" s="9"/>
      <c r="C489" s="9"/>
      <c r="D489" s="9"/>
      <c r="E489" s="9"/>
      <c r="F489" s="9"/>
      <c r="G489" s="14"/>
      <c r="H489" s="14"/>
      <c r="I489" s="14"/>
      <c r="J489" s="14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 spans="1:23" ht="19.5" customHeight="1" x14ac:dyDescent="0.25">
      <c r="A490" s="9"/>
      <c r="B490" s="9"/>
      <c r="C490" s="9"/>
      <c r="D490" s="9"/>
      <c r="E490" s="9"/>
      <c r="F490" s="9"/>
      <c r="G490" s="14"/>
      <c r="H490" s="14"/>
      <c r="I490" s="14"/>
      <c r="J490" s="14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 spans="1:23" ht="19.5" customHeight="1" x14ac:dyDescent="0.25">
      <c r="A491" s="9"/>
      <c r="B491" s="9"/>
      <c r="C491" s="9"/>
      <c r="D491" s="9"/>
      <c r="E491" s="9"/>
      <c r="F491" s="9"/>
      <c r="G491" s="14"/>
      <c r="H491" s="14"/>
      <c r="I491" s="14"/>
      <c r="J491" s="14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 spans="1:23" ht="19.5" customHeight="1" x14ac:dyDescent="0.25">
      <c r="A492" s="9"/>
      <c r="B492" s="9"/>
      <c r="C492" s="9"/>
      <c r="D492" s="9"/>
      <c r="E492" s="9"/>
      <c r="F492" s="9"/>
      <c r="G492" s="14"/>
      <c r="H492" s="14"/>
      <c r="I492" s="14"/>
      <c r="J492" s="14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 spans="1:23" ht="19.5" customHeight="1" x14ac:dyDescent="0.25">
      <c r="A493" s="9"/>
      <c r="B493" s="9"/>
      <c r="C493" s="9"/>
      <c r="D493" s="9"/>
      <c r="E493" s="9"/>
      <c r="F493" s="9"/>
      <c r="G493" s="14"/>
      <c r="H493" s="14"/>
      <c r="I493" s="14"/>
      <c r="J493" s="14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 spans="1:23" ht="19.5" customHeight="1" x14ac:dyDescent="0.25">
      <c r="A494" s="9"/>
      <c r="B494" s="9"/>
      <c r="C494" s="9"/>
      <c r="D494" s="9"/>
      <c r="E494" s="9"/>
      <c r="F494" s="9"/>
      <c r="G494" s="14"/>
      <c r="H494" s="14"/>
      <c r="I494" s="14"/>
      <c r="J494" s="14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 spans="1:23" ht="19.5" customHeight="1" x14ac:dyDescent="0.25">
      <c r="A495" s="9"/>
      <c r="B495" s="9"/>
      <c r="C495" s="9"/>
      <c r="D495" s="9"/>
      <c r="E495" s="9"/>
      <c r="F495" s="9"/>
      <c r="G495" s="14"/>
      <c r="H495" s="14"/>
      <c r="I495" s="14"/>
      <c r="J495" s="14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 spans="1:23" ht="19.5" customHeight="1" x14ac:dyDescent="0.25">
      <c r="A496" s="9"/>
      <c r="B496" s="9"/>
      <c r="C496" s="9"/>
      <c r="D496" s="9"/>
      <c r="E496" s="9"/>
      <c r="F496" s="9"/>
      <c r="G496" s="14"/>
      <c r="H496" s="14"/>
      <c r="I496" s="14"/>
      <c r="J496" s="14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 spans="1:23" ht="19.5" customHeight="1" x14ac:dyDescent="0.25">
      <c r="A497" s="9"/>
      <c r="B497" s="9"/>
      <c r="C497" s="9"/>
      <c r="D497" s="9"/>
      <c r="E497" s="9"/>
      <c r="F497" s="9"/>
      <c r="G497" s="14"/>
      <c r="H497" s="14"/>
      <c r="I497" s="14"/>
      <c r="J497" s="14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 spans="1:23" ht="19.5" customHeight="1" x14ac:dyDescent="0.25">
      <c r="A498" s="9"/>
      <c r="B498" s="9"/>
      <c r="C498" s="9"/>
      <c r="D498" s="9"/>
      <c r="E498" s="9"/>
      <c r="F498" s="9"/>
      <c r="G498" s="14"/>
      <c r="H498" s="14"/>
      <c r="I498" s="14"/>
      <c r="J498" s="14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 spans="1:23" ht="19.5" customHeight="1" x14ac:dyDescent="0.25">
      <c r="A499" s="9"/>
      <c r="B499" s="9"/>
      <c r="C499" s="9"/>
      <c r="D499" s="9"/>
      <c r="E499" s="9"/>
      <c r="F499" s="9"/>
      <c r="G499" s="14"/>
      <c r="H499" s="14"/>
      <c r="I499" s="14"/>
      <c r="J499" s="14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 spans="1:23" ht="19.5" customHeight="1" x14ac:dyDescent="0.25">
      <c r="A500" s="9"/>
      <c r="B500" s="9"/>
      <c r="C500" s="9"/>
      <c r="D500" s="9"/>
      <c r="E500" s="9"/>
      <c r="F500" s="9"/>
      <c r="G500" s="14"/>
      <c r="H500" s="14"/>
      <c r="I500" s="14"/>
      <c r="J500" s="14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 spans="1:23" ht="19.5" customHeight="1" x14ac:dyDescent="0.25">
      <c r="A501" s="9"/>
      <c r="B501" s="9"/>
      <c r="C501" s="9"/>
      <c r="D501" s="9"/>
      <c r="E501" s="9"/>
      <c r="F501" s="9"/>
      <c r="G501" s="14"/>
      <c r="H501" s="14"/>
      <c r="I501" s="14"/>
      <c r="J501" s="14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 spans="1:23" ht="19.5" customHeight="1" x14ac:dyDescent="0.25">
      <c r="A502" s="9"/>
      <c r="B502" s="9"/>
      <c r="C502" s="9"/>
      <c r="D502" s="9"/>
      <c r="E502" s="9"/>
      <c r="F502" s="9"/>
      <c r="G502" s="14"/>
      <c r="H502" s="14"/>
      <c r="I502" s="14"/>
      <c r="J502" s="14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 spans="1:23" ht="19.5" customHeight="1" x14ac:dyDescent="0.25">
      <c r="A503" s="9"/>
      <c r="B503" s="9"/>
      <c r="C503" s="9"/>
      <c r="D503" s="9"/>
      <c r="E503" s="9"/>
      <c r="F503" s="9"/>
      <c r="G503" s="14"/>
      <c r="H503" s="14"/>
      <c r="I503" s="14"/>
      <c r="J503" s="14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 spans="1:23" ht="19.5" customHeight="1" x14ac:dyDescent="0.25">
      <c r="A504" s="9"/>
      <c r="B504" s="9"/>
      <c r="C504" s="9"/>
      <c r="D504" s="9"/>
      <c r="E504" s="9"/>
      <c r="F504" s="9"/>
      <c r="G504" s="14"/>
      <c r="H504" s="14"/>
      <c r="I504" s="14"/>
      <c r="J504" s="14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 spans="1:23" ht="19.5" customHeight="1" x14ac:dyDescent="0.25">
      <c r="A505" s="9"/>
      <c r="B505" s="9"/>
      <c r="C505" s="9"/>
      <c r="D505" s="9"/>
      <c r="E505" s="9"/>
      <c r="F505" s="9"/>
      <c r="G505" s="14"/>
      <c r="H505" s="14"/>
      <c r="I505" s="14"/>
      <c r="J505" s="14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 spans="1:23" ht="19.5" customHeight="1" x14ac:dyDescent="0.25">
      <c r="A506" s="9"/>
      <c r="B506" s="9"/>
      <c r="C506" s="9"/>
      <c r="D506" s="9"/>
      <c r="E506" s="9"/>
      <c r="F506" s="9"/>
      <c r="G506" s="14"/>
      <c r="H506" s="14"/>
      <c r="I506" s="14"/>
      <c r="J506" s="14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 spans="1:23" ht="19.5" customHeight="1" x14ac:dyDescent="0.25">
      <c r="A507" s="9"/>
      <c r="B507" s="9"/>
      <c r="C507" s="9"/>
      <c r="D507" s="9"/>
      <c r="E507" s="9"/>
      <c r="F507" s="9"/>
      <c r="G507" s="14"/>
      <c r="H507" s="14"/>
      <c r="I507" s="14"/>
      <c r="J507" s="14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 spans="1:23" ht="19.5" customHeight="1" x14ac:dyDescent="0.25">
      <c r="A508" s="9"/>
      <c r="B508" s="9"/>
      <c r="C508" s="9"/>
      <c r="D508" s="9"/>
      <c r="E508" s="9"/>
      <c r="F508" s="9"/>
      <c r="G508" s="14"/>
      <c r="H508" s="14"/>
      <c r="I508" s="14"/>
      <c r="J508" s="14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 spans="1:23" ht="19.5" customHeight="1" x14ac:dyDescent="0.25">
      <c r="A509" s="9"/>
      <c r="B509" s="9"/>
      <c r="C509" s="9"/>
      <c r="D509" s="9"/>
      <c r="E509" s="9"/>
      <c r="F509" s="9"/>
      <c r="G509" s="14"/>
      <c r="H509" s="14"/>
      <c r="I509" s="14"/>
      <c r="J509" s="14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 spans="1:23" ht="19.5" customHeight="1" x14ac:dyDescent="0.25">
      <c r="A510" s="9"/>
      <c r="B510" s="9"/>
      <c r="C510" s="9"/>
      <c r="D510" s="9"/>
      <c r="E510" s="9"/>
      <c r="F510" s="9"/>
      <c r="G510" s="14"/>
      <c r="H510" s="14"/>
      <c r="I510" s="14"/>
      <c r="J510" s="14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 spans="1:23" ht="19.5" customHeight="1" x14ac:dyDescent="0.25">
      <c r="A511" s="9"/>
      <c r="B511" s="9"/>
      <c r="C511" s="9"/>
      <c r="D511" s="9"/>
      <c r="E511" s="9"/>
      <c r="F511" s="9"/>
      <c r="G511" s="14"/>
      <c r="H511" s="14"/>
      <c r="I511" s="14"/>
      <c r="J511" s="14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 spans="1:23" ht="19.5" customHeight="1" x14ac:dyDescent="0.25">
      <c r="A512" s="9"/>
      <c r="B512" s="9"/>
      <c r="C512" s="9"/>
      <c r="D512" s="9"/>
      <c r="E512" s="9"/>
      <c r="F512" s="9"/>
      <c r="G512" s="14"/>
      <c r="H512" s="14"/>
      <c r="I512" s="14"/>
      <c r="J512" s="14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 spans="1:23" ht="19.5" customHeight="1" x14ac:dyDescent="0.25">
      <c r="A513" s="9"/>
      <c r="B513" s="9"/>
      <c r="C513" s="9"/>
      <c r="D513" s="9"/>
      <c r="E513" s="9"/>
      <c r="F513" s="9"/>
      <c r="G513" s="14"/>
      <c r="H513" s="14"/>
      <c r="I513" s="14"/>
      <c r="J513" s="14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 spans="1:23" ht="19.5" customHeight="1" x14ac:dyDescent="0.25">
      <c r="A514" s="9"/>
      <c r="B514" s="9"/>
      <c r="C514" s="9"/>
      <c r="D514" s="9"/>
      <c r="E514" s="9"/>
      <c r="F514" s="9"/>
      <c r="G514" s="14"/>
      <c r="H514" s="14"/>
      <c r="I514" s="14"/>
      <c r="J514" s="14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 spans="1:23" ht="19.5" customHeight="1" x14ac:dyDescent="0.25">
      <c r="A515" s="9"/>
      <c r="B515" s="9"/>
      <c r="C515" s="9"/>
      <c r="D515" s="9"/>
      <c r="E515" s="9"/>
      <c r="F515" s="9"/>
      <c r="G515" s="14"/>
      <c r="H515" s="14"/>
      <c r="I515" s="14"/>
      <c r="J515" s="14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 spans="1:23" ht="19.5" customHeight="1" x14ac:dyDescent="0.25">
      <c r="A516" s="9"/>
      <c r="B516" s="9"/>
      <c r="C516" s="9"/>
      <c r="D516" s="9"/>
      <c r="E516" s="9"/>
      <c r="F516" s="9"/>
      <c r="G516" s="14"/>
      <c r="H516" s="14"/>
      <c r="I516" s="14"/>
      <c r="J516" s="14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 spans="1:23" ht="19.5" customHeight="1" x14ac:dyDescent="0.25">
      <c r="A517" s="9"/>
      <c r="B517" s="9"/>
      <c r="C517" s="9"/>
      <c r="D517" s="9"/>
      <c r="E517" s="9"/>
      <c r="F517" s="9"/>
      <c r="G517" s="14"/>
      <c r="H517" s="14"/>
      <c r="I517" s="14"/>
      <c r="J517" s="14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 spans="1:23" ht="19.5" customHeight="1" x14ac:dyDescent="0.25">
      <c r="A518" s="9"/>
      <c r="B518" s="9"/>
      <c r="C518" s="9"/>
      <c r="D518" s="9"/>
      <c r="E518" s="9"/>
      <c r="F518" s="9"/>
      <c r="G518" s="14"/>
      <c r="H518" s="14"/>
      <c r="I518" s="14"/>
      <c r="J518" s="14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 spans="1:23" ht="19.5" customHeight="1" x14ac:dyDescent="0.25">
      <c r="A519" s="9"/>
      <c r="B519" s="9"/>
      <c r="C519" s="9"/>
      <c r="D519" s="9"/>
      <c r="E519" s="9"/>
      <c r="F519" s="9"/>
      <c r="G519" s="14"/>
      <c r="H519" s="14"/>
      <c r="I519" s="14"/>
      <c r="J519" s="14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 spans="1:23" ht="19.5" customHeight="1" x14ac:dyDescent="0.25">
      <c r="A520" s="9"/>
      <c r="B520" s="9"/>
      <c r="C520" s="9"/>
      <c r="D520" s="9"/>
      <c r="E520" s="9"/>
      <c r="F520" s="9"/>
      <c r="G520" s="14"/>
      <c r="H520" s="14"/>
      <c r="I520" s="14"/>
      <c r="J520" s="14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 spans="1:23" ht="19.5" customHeight="1" x14ac:dyDescent="0.25">
      <c r="A521" s="9"/>
      <c r="B521" s="9"/>
      <c r="C521" s="9"/>
      <c r="D521" s="9"/>
      <c r="E521" s="9"/>
      <c r="F521" s="9"/>
      <c r="G521" s="14"/>
      <c r="H521" s="14"/>
      <c r="I521" s="14"/>
      <c r="J521" s="14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 spans="1:23" ht="19.5" customHeight="1" x14ac:dyDescent="0.25">
      <c r="A522" s="9"/>
      <c r="B522" s="9"/>
      <c r="C522" s="9"/>
      <c r="D522" s="9"/>
      <c r="E522" s="9"/>
      <c r="F522" s="9"/>
      <c r="G522" s="14"/>
      <c r="H522" s="14"/>
      <c r="I522" s="14"/>
      <c r="J522" s="14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 spans="1:23" ht="19.5" customHeight="1" x14ac:dyDescent="0.25">
      <c r="A523" s="9"/>
      <c r="B523" s="9"/>
      <c r="C523" s="9"/>
      <c r="D523" s="9"/>
      <c r="E523" s="9"/>
      <c r="F523" s="9"/>
      <c r="G523" s="14"/>
      <c r="H523" s="14"/>
      <c r="I523" s="14"/>
      <c r="J523" s="14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 spans="1:23" ht="19.5" customHeight="1" x14ac:dyDescent="0.25">
      <c r="A524" s="9"/>
      <c r="B524" s="9"/>
      <c r="C524" s="9"/>
      <c r="D524" s="9"/>
      <c r="E524" s="9"/>
      <c r="F524" s="9"/>
      <c r="G524" s="14"/>
      <c r="H524" s="14"/>
      <c r="I524" s="14"/>
      <c r="J524" s="14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 spans="1:23" ht="19.5" customHeight="1" x14ac:dyDescent="0.25">
      <c r="A525" s="9"/>
      <c r="B525" s="9"/>
      <c r="C525" s="9"/>
      <c r="D525" s="9"/>
      <c r="E525" s="9"/>
      <c r="F525" s="9"/>
      <c r="G525" s="14"/>
      <c r="H525" s="14"/>
      <c r="I525" s="14"/>
      <c r="J525" s="14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 spans="1:23" ht="19.5" customHeight="1" x14ac:dyDescent="0.25">
      <c r="A526" s="9"/>
      <c r="B526" s="9"/>
      <c r="C526" s="9"/>
      <c r="D526" s="9"/>
      <c r="E526" s="9"/>
      <c r="F526" s="9"/>
      <c r="G526" s="14"/>
      <c r="H526" s="14"/>
      <c r="I526" s="14"/>
      <c r="J526" s="14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 spans="1:23" ht="19.5" customHeight="1" x14ac:dyDescent="0.25">
      <c r="A527" s="9"/>
      <c r="B527" s="9"/>
      <c r="C527" s="9"/>
      <c r="D527" s="9"/>
      <c r="E527" s="9"/>
      <c r="F527" s="9"/>
      <c r="G527" s="14"/>
      <c r="H527" s="14"/>
      <c r="I527" s="14"/>
      <c r="J527" s="14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 spans="1:23" ht="19.5" customHeight="1" x14ac:dyDescent="0.25">
      <c r="A528" s="9"/>
      <c r="B528" s="9"/>
      <c r="C528" s="9"/>
      <c r="D528" s="9"/>
      <c r="E528" s="9"/>
      <c r="F528" s="9"/>
      <c r="G528" s="14"/>
      <c r="H528" s="14"/>
      <c r="I528" s="14"/>
      <c r="J528" s="14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 spans="1:23" ht="19.5" customHeight="1" x14ac:dyDescent="0.25">
      <c r="A529" s="9"/>
      <c r="B529" s="9"/>
      <c r="C529" s="9"/>
      <c r="D529" s="9"/>
      <c r="E529" s="9"/>
      <c r="F529" s="9"/>
      <c r="G529" s="14"/>
      <c r="H529" s="14"/>
      <c r="I529" s="14"/>
      <c r="J529" s="14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 spans="1:23" ht="19.5" customHeight="1" x14ac:dyDescent="0.25">
      <c r="A530" s="9"/>
      <c r="B530" s="9"/>
      <c r="C530" s="9"/>
      <c r="D530" s="9"/>
      <c r="E530" s="9"/>
      <c r="F530" s="9"/>
      <c r="G530" s="14"/>
      <c r="H530" s="14"/>
      <c r="I530" s="14"/>
      <c r="J530" s="14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 spans="1:23" ht="19.5" customHeight="1" x14ac:dyDescent="0.25">
      <c r="A531" s="9"/>
      <c r="B531" s="9"/>
      <c r="C531" s="9"/>
      <c r="D531" s="9"/>
      <c r="E531" s="9"/>
      <c r="F531" s="9"/>
      <c r="G531" s="14"/>
      <c r="H531" s="14"/>
      <c r="I531" s="14"/>
      <c r="J531" s="14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 spans="1:23" ht="19.5" customHeight="1" x14ac:dyDescent="0.25">
      <c r="A532" s="9"/>
      <c r="B532" s="9"/>
      <c r="C532" s="9"/>
      <c r="D532" s="9"/>
      <c r="E532" s="9"/>
      <c r="F532" s="9"/>
      <c r="G532" s="14"/>
      <c r="H532" s="14"/>
      <c r="I532" s="14"/>
      <c r="J532" s="14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 spans="1:23" ht="19.5" customHeight="1" x14ac:dyDescent="0.25">
      <c r="A533" s="9"/>
      <c r="B533" s="9"/>
      <c r="C533" s="9"/>
      <c r="D533" s="9"/>
      <c r="E533" s="9"/>
      <c r="F533" s="9"/>
      <c r="G533" s="14"/>
      <c r="H533" s="14"/>
      <c r="I533" s="14"/>
      <c r="J533" s="14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 spans="1:23" ht="19.5" customHeight="1" x14ac:dyDescent="0.25">
      <c r="A534" s="9"/>
      <c r="B534" s="9"/>
      <c r="C534" s="9"/>
      <c r="D534" s="9"/>
      <c r="E534" s="9"/>
      <c r="F534" s="9"/>
      <c r="G534" s="14"/>
      <c r="H534" s="14"/>
      <c r="I534" s="14"/>
      <c r="J534" s="14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 spans="1:23" ht="19.5" customHeight="1" x14ac:dyDescent="0.25">
      <c r="A535" s="9"/>
      <c r="B535" s="9"/>
      <c r="C535" s="9"/>
      <c r="D535" s="9"/>
      <c r="E535" s="9"/>
      <c r="F535" s="9"/>
      <c r="G535" s="14"/>
      <c r="H535" s="14"/>
      <c r="I535" s="14"/>
      <c r="J535" s="14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 spans="1:23" ht="19.5" customHeight="1" x14ac:dyDescent="0.25">
      <c r="A536" s="9"/>
      <c r="B536" s="9"/>
      <c r="C536" s="9"/>
      <c r="D536" s="9"/>
      <c r="E536" s="9"/>
      <c r="F536" s="9"/>
      <c r="G536" s="14"/>
      <c r="H536" s="14"/>
      <c r="I536" s="14"/>
      <c r="J536" s="14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 spans="1:23" ht="19.5" customHeight="1" x14ac:dyDescent="0.25">
      <c r="A537" s="9"/>
      <c r="B537" s="9"/>
      <c r="C537" s="9"/>
      <c r="D537" s="9"/>
      <c r="E537" s="9"/>
      <c r="F537" s="9"/>
      <c r="G537" s="14"/>
      <c r="H537" s="14"/>
      <c r="I537" s="14"/>
      <c r="J537" s="14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 spans="1:23" ht="19.5" customHeight="1" x14ac:dyDescent="0.25">
      <c r="A538" s="9"/>
      <c r="B538" s="9"/>
      <c r="C538" s="9"/>
      <c r="D538" s="9"/>
      <c r="E538" s="9"/>
      <c r="F538" s="9"/>
      <c r="G538" s="14"/>
      <c r="H538" s="14"/>
      <c r="I538" s="14"/>
      <c r="J538" s="14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 spans="1:23" ht="19.5" customHeight="1" x14ac:dyDescent="0.25">
      <c r="A539" s="9"/>
      <c r="B539" s="9"/>
      <c r="C539" s="9"/>
      <c r="D539" s="9"/>
      <c r="E539" s="9"/>
      <c r="F539" s="9"/>
      <c r="G539" s="14"/>
      <c r="H539" s="14"/>
      <c r="I539" s="14"/>
      <c r="J539" s="14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 spans="1:23" ht="19.5" customHeight="1" x14ac:dyDescent="0.25">
      <c r="A540" s="9"/>
      <c r="B540" s="9"/>
      <c r="C540" s="9"/>
      <c r="D540" s="9"/>
      <c r="E540" s="9"/>
      <c r="F540" s="9"/>
      <c r="G540" s="14"/>
      <c r="H540" s="14"/>
      <c r="I540" s="14"/>
      <c r="J540" s="14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 spans="1:23" ht="19.5" customHeight="1" x14ac:dyDescent="0.25">
      <c r="A541" s="9"/>
      <c r="B541" s="9"/>
      <c r="C541" s="9"/>
      <c r="D541" s="9"/>
      <c r="E541" s="9"/>
      <c r="F541" s="9"/>
      <c r="G541" s="14"/>
      <c r="H541" s="14"/>
      <c r="I541" s="14"/>
      <c r="J541" s="14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 spans="1:23" ht="19.5" customHeight="1" x14ac:dyDescent="0.25">
      <c r="A542" s="9"/>
      <c r="B542" s="9"/>
      <c r="C542" s="9"/>
      <c r="D542" s="9"/>
      <c r="E542" s="9"/>
      <c r="F542" s="9"/>
      <c r="G542" s="14"/>
      <c r="H542" s="14"/>
      <c r="I542" s="14"/>
      <c r="J542" s="14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 spans="1:23" ht="19.5" customHeight="1" x14ac:dyDescent="0.25">
      <c r="A543" s="9"/>
      <c r="B543" s="9"/>
      <c r="C543" s="9"/>
      <c r="D543" s="9"/>
      <c r="E543" s="9"/>
      <c r="F543" s="9"/>
      <c r="G543" s="14"/>
      <c r="H543" s="14"/>
      <c r="I543" s="14"/>
      <c r="J543" s="14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 spans="1:23" ht="19.5" customHeight="1" x14ac:dyDescent="0.25">
      <c r="A544" s="9"/>
      <c r="B544" s="9"/>
      <c r="C544" s="9"/>
      <c r="D544" s="9"/>
      <c r="E544" s="9"/>
      <c r="F544" s="9"/>
      <c r="G544" s="14"/>
      <c r="H544" s="14"/>
      <c r="I544" s="14"/>
      <c r="J544" s="14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 spans="1:23" ht="19.5" customHeight="1" x14ac:dyDescent="0.25">
      <c r="A545" s="9"/>
      <c r="B545" s="9"/>
      <c r="C545" s="9"/>
      <c r="D545" s="9"/>
      <c r="E545" s="9"/>
      <c r="F545" s="9"/>
      <c r="G545" s="14"/>
      <c r="H545" s="14"/>
      <c r="I545" s="14"/>
      <c r="J545" s="14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 spans="1:23" ht="19.5" customHeight="1" x14ac:dyDescent="0.25">
      <c r="A546" s="9"/>
      <c r="B546" s="9"/>
      <c r="C546" s="9"/>
      <c r="D546" s="9"/>
      <c r="E546" s="9"/>
      <c r="F546" s="9"/>
      <c r="G546" s="14"/>
      <c r="H546" s="14"/>
      <c r="I546" s="14"/>
      <c r="J546" s="14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 spans="1:23" ht="19.5" customHeight="1" x14ac:dyDescent="0.25">
      <c r="A547" s="9"/>
      <c r="B547" s="9"/>
      <c r="C547" s="9"/>
      <c r="D547" s="9"/>
      <c r="E547" s="9"/>
      <c r="F547" s="9"/>
      <c r="G547" s="14"/>
      <c r="H547" s="14"/>
      <c r="I547" s="14"/>
      <c r="J547" s="14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 spans="1:23" ht="19.5" customHeight="1" x14ac:dyDescent="0.25">
      <c r="A548" s="9"/>
      <c r="B548" s="9"/>
      <c r="C548" s="9"/>
      <c r="D548" s="9"/>
      <c r="E548" s="9"/>
      <c r="F548" s="9"/>
      <c r="G548" s="14"/>
      <c r="H548" s="14"/>
      <c r="I548" s="14"/>
      <c r="J548" s="14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 spans="1:23" ht="19.5" customHeight="1" x14ac:dyDescent="0.25">
      <c r="A549" s="9"/>
      <c r="B549" s="9"/>
      <c r="C549" s="9"/>
      <c r="D549" s="9"/>
      <c r="E549" s="9"/>
      <c r="F549" s="9"/>
      <c r="G549" s="14"/>
      <c r="H549" s="14"/>
      <c r="I549" s="14"/>
      <c r="J549" s="14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 spans="1:23" ht="19.5" customHeight="1" x14ac:dyDescent="0.25">
      <c r="A550" s="9"/>
      <c r="B550" s="9"/>
      <c r="C550" s="9"/>
      <c r="D550" s="9"/>
      <c r="E550" s="9"/>
      <c r="F550" s="9"/>
      <c r="G550" s="14"/>
      <c r="H550" s="14"/>
      <c r="I550" s="14"/>
      <c r="J550" s="14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 spans="1:23" ht="19.5" customHeight="1" x14ac:dyDescent="0.25">
      <c r="A551" s="9"/>
      <c r="B551" s="9"/>
      <c r="C551" s="9"/>
      <c r="D551" s="9"/>
      <c r="E551" s="9"/>
      <c r="F551" s="9"/>
      <c r="G551" s="14"/>
      <c r="H551" s="14"/>
      <c r="I551" s="14"/>
      <c r="J551" s="14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 spans="1:23" ht="19.5" customHeight="1" x14ac:dyDescent="0.25">
      <c r="A552" s="9"/>
      <c r="B552" s="9"/>
      <c r="C552" s="9"/>
      <c r="D552" s="9"/>
      <c r="E552" s="9"/>
      <c r="F552" s="9"/>
      <c r="G552" s="14"/>
      <c r="H552" s="14"/>
      <c r="I552" s="14"/>
      <c r="J552" s="14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 spans="1:23" ht="19.5" customHeight="1" x14ac:dyDescent="0.25">
      <c r="A553" s="9"/>
      <c r="B553" s="9"/>
      <c r="C553" s="9"/>
      <c r="D553" s="9"/>
      <c r="E553" s="9"/>
      <c r="F553" s="9"/>
      <c r="G553" s="14"/>
      <c r="H553" s="14"/>
      <c r="I553" s="14"/>
      <c r="J553" s="14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 spans="1:23" ht="19.5" customHeight="1" x14ac:dyDescent="0.25">
      <c r="A554" s="9"/>
      <c r="B554" s="9"/>
      <c r="C554" s="9"/>
      <c r="D554" s="9"/>
      <c r="E554" s="9"/>
      <c r="F554" s="9"/>
      <c r="G554" s="14"/>
      <c r="H554" s="14"/>
      <c r="I554" s="14"/>
      <c r="J554" s="14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 spans="1:23" ht="19.5" customHeight="1" x14ac:dyDescent="0.25">
      <c r="A555" s="9"/>
      <c r="B555" s="9"/>
      <c r="C555" s="9"/>
      <c r="D555" s="9"/>
      <c r="E555" s="9"/>
      <c r="F555" s="9"/>
      <c r="G555" s="14"/>
      <c r="H555" s="14"/>
      <c r="I555" s="14"/>
      <c r="J555" s="14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 spans="1:23" ht="19.5" customHeight="1" x14ac:dyDescent="0.25">
      <c r="A556" s="9"/>
      <c r="B556" s="9"/>
      <c r="C556" s="9"/>
      <c r="D556" s="9"/>
      <c r="E556" s="9"/>
      <c r="F556" s="9"/>
      <c r="G556" s="14"/>
      <c r="H556" s="14"/>
      <c r="I556" s="14"/>
      <c r="J556" s="14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 spans="1:23" ht="19.5" customHeight="1" x14ac:dyDescent="0.25">
      <c r="A557" s="9"/>
      <c r="B557" s="9"/>
      <c r="C557" s="9"/>
      <c r="D557" s="9"/>
      <c r="E557" s="9"/>
      <c r="F557" s="9"/>
      <c r="G557" s="14"/>
      <c r="H557" s="14"/>
      <c r="I557" s="14"/>
      <c r="J557" s="14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 spans="1:23" ht="19.5" customHeight="1" x14ac:dyDescent="0.25">
      <c r="A558" s="9"/>
      <c r="B558" s="9"/>
      <c r="C558" s="9"/>
      <c r="D558" s="9"/>
      <c r="E558" s="9"/>
      <c r="F558" s="9"/>
      <c r="G558" s="14"/>
      <c r="H558" s="14"/>
      <c r="I558" s="14"/>
      <c r="J558" s="14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 spans="1:23" ht="19.5" customHeight="1" x14ac:dyDescent="0.25">
      <c r="A559" s="9"/>
      <c r="B559" s="9"/>
      <c r="C559" s="9"/>
      <c r="D559" s="9"/>
      <c r="E559" s="9"/>
      <c r="F559" s="9"/>
      <c r="G559" s="14"/>
      <c r="H559" s="14"/>
      <c r="I559" s="14"/>
      <c r="J559" s="14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 spans="1:23" ht="19.5" customHeight="1" x14ac:dyDescent="0.25">
      <c r="A560" s="9"/>
      <c r="B560" s="9"/>
      <c r="C560" s="9"/>
      <c r="D560" s="9"/>
      <c r="E560" s="9"/>
      <c r="F560" s="9"/>
      <c r="G560" s="14"/>
      <c r="H560" s="14"/>
      <c r="I560" s="14"/>
      <c r="J560" s="14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 spans="1:23" ht="19.5" customHeight="1" x14ac:dyDescent="0.25">
      <c r="A561" s="9"/>
      <c r="B561" s="9"/>
      <c r="C561" s="9"/>
      <c r="D561" s="9"/>
      <c r="E561" s="9"/>
      <c r="F561" s="9"/>
      <c r="G561" s="14"/>
      <c r="H561" s="14"/>
      <c r="I561" s="14"/>
      <c r="J561" s="14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 spans="1:23" ht="19.5" customHeight="1" x14ac:dyDescent="0.25">
      <c r="A562" s="9"/>
      <c r="B562" s="9"/>
      <c r="C562" s="9"/>
      <c r="D562" s="9"/>
      <c r="E562" s="9"/>
      <c r="F562" s="9"/>
      <c r="G562" s="14"/>
      <c r="H562" s="14"/>
      <c r="I562" s="14"/>
      <c r="J562" s="14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 spans="1:23" ht="19.5" customHeight="1" x14ac:dyDescent="0.25">
      <c r="A563" s="9"/>
      <c r="B563" s="9"/>
      <c r="C563" s="9"/>
      <c r="D563" s="9"/>
      <c r="E563" s="9"/>
      <c r="F563" s="9"/>
      <c r="G563" s="14"/>
      <c r="H563" s="14"/>
      <c r="I563" s="14"/>
      <c r="J563" s="14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 spans="1:23" ht="19.5" customHeight="1" x14ac:dyDescent="0.25">
      <c r="A564" s="9"/>
      <c r="B564" s="9"/>
      <c r="C564" s="9"/>
      <c r="D564" s="9"/>
      <c r="E564" s="9"/>
      <c r="F564" s="9"/>
      <c r="G564" s="14"/>
      <c r="H564" s="14"/>
      <c r="I564" s="14"/>
      <c r="J564" s="14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 spans="1:23" ht="19.5" customHeight="1" x14ac:dyDescent="0.25">
      <c r="A565" s="9"/>
      <c r="B565" s="9"/>
      <c r="C565" s="9"/>
      <c r="D565" s="9"/>
      <c r="E565" s="9"/>
      <c r="F565" s="9"/>
      <c r="G565" s="14"/>
      <c r="H565" s="14"/>
      <c r="I565" s="14"/>
      <c r="J565" s="14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 spans="1:23" ht="19.5" customHeight="1" x14ac:dyDescent="0.25">
      <c r="A566" s="9"/>
      <c r="B566" s="9"/>
      <c r="C566" s="9"/>
      <c r="D566" s="9"/>
      <c r="E566" s="9"/>
      <c r="F566" s="9"/>
      <c r="G566" s="14"/>
      <c r="H566" s="14"/>
      <c r="I566" s="14"/>
      <c r="J566" s="14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 spans="1:23" ht="19.5" customHeight="1" x14ac:dyDescent="0.25">
      <c r="A567" s="9"/>
      <c r="B567" s="9"/>
      <c r="C567" s="9"/>
      <c r="D567" s="9"/>
      <c r="E567" s="9"/>
      <c r="F567" s="9"/>
      <c r="G567" s="14"/>
      <c r="H567" s="14"/>
      <c r="I567" s="14"/>
      <c r="J567" s="14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 spans="1:23" ht="19.5" customHeight="1" x14ac:dyDescent="0.25">
      <c r="A568" s="9"/>
      <c r="B568" s="9"/>
      <c r="C568" s="9"/>
      <c r="D568" s="9"/>
      <c r="E568" s="9"/>
      <c r="F568" s="9"/>
      <c r="G568" s="14"/>
      <c r="H568" s="14"/>
      <c r="I568" s="14"/>
      <c r="J568" s="14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 spans="1:23" ht="19.5" customHeight="1" x14ac:dyDescent="0.25">
      <c r="A569" s="9"/>
      <c r="B569" s="9"/>
      <c r="C569" s="9"/>
      <c r="D569" s="9"/>
      <c r="E569" s="9"/>
      <c r="F569" s="9"/>
      <c r="G569" s="14"/>
      <c r="H569" s="14"/>
      <c r="I569" s="14"/>
      <c r="J569" s="14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 spans="1:23" ht="19.5" customHeight="1" x14ac:dyDescent="0.25">
      <c r="A570" s="9"/>
      <c r="B570" s="9"/>
      <c r="C570" s="9"/>
      <c r="D570" s="9"/>
      <c r="E570" s="9"/>
      <c r="F570" s="9"/>
      <c r="G570" s="14"/>
      <c r="H570" s="14"/>
      <c r="I570" s="14"/>
      <c r="J570" s="14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 spans="1:23" ht="19.5" customHeight="1" x14ac:dyDescent="0.25">
      <c r="A571" s="9"/>
      <c r="B571" s="9"/>
      <c r="C571" s="9"/>
      <c r="D571" s="9"/>
      <c r="E571" s="9"/>
      <c r="F571" s="9"/>
      <c r="G571" s="14"/>
      <c r="H571" s="14"/>
      <c r="I571" s="14"/>
      <c r="J571" s="14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 spans="1:23" ht="19.5" customHeight="1" x14ac:dyDescent="0.25">
      <c r="A572" s="9"/>
      <c r="B572" s="9"/>
      <c r="C572" s="9"/>
      <c r="D572" s="9"/>
      <c r="E572" s="9"/>
      <c r="F572" s="9"/>
      <c r="G572" s="14"/>
      <c r="H572" s="14"/>
      <c r="I572" s="14"/>
      <c r="J572" s="14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 spans="1:23" ht="19.5" customHeight="1" x14ac:dyDescent="0.25">
      <c r="A573" s="9"/>
      <c r="B573" s="9"/>
      <c r="C573" s="9"/>
      <c r="D573" s="9"/>
      <c r="E573" s="9"/>
      <c r="F573" s="9"/>
      <c r="G573" s="14"/>
      <c r="H573" s="14"/>
      <c r="I573" s="14"/>
      <c r="J573" s="14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 spans="1:23" ht="19.5" customHeight="1" x14ac:dyDescent="0.25">
      <c r="A574" s="9"/>
      <c r="B574" s="9"/>
      <c r="C574" s="9"/>
      <c r="D574" s="9"/>
      <c r="E574" s="9"/>
      <c r="F574" s="9"/>
      <c r="G574" s="14"/>
      <c r="H574" s="14"/>
      <c r="I574" s="14"/>
      <c r="J574" s="14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 spans="1:23" ht="19.5" customHeight="1" x14ac:dyDescent="0.25">
      <c r="A575" s="9"/>
      <c r="B575" s="9"/>
      <c r="C575" s="9"/>
      <c r="D575" s="9"/>
      <c r="E575" s="9"/>
      <c r="F575" s="9"/>
      <c r="G575" s="14"/>
      <c r="H575" s="14"/>
      <c r="I575" s="14"/>
      <c r="J575" s="14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 spans="1:23" ht="19.5" customHeight="1" x14ac:dyDescent="0.25">
      <c r="A576" s="9"/>
      <c r="B576" s="9"/>
      <c r="C576" s="9"/>
      <c r="D576" s="9"/>
      <c r="E576" s="9"/>
      <c r="F576" s="9"/>
      <c r="G576" s="14"/>
      <c r="H576" s="14"/>
      <c r="I576" s="14"/>
      <c r="J576" s="14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 spans="1:23" ht="19.5" customHeight="1" x14ac:dyDescent="0.25">
      <c r="A577" s="9"/>
      <c r="B577" s="9"/>
      <c r="C577" s="9"/>
      <c r="D577" s="9"/>
      <c r="E577" s="9"/>
      <c r="F577" s="9"/>
      <c r="G577" s="14"/>
      <c r="H577" s="14"/>
      <c r="I577" s="14"/>
      <c r="J577" s="14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 spans="1:23" ht="19.5" customHeight="1" x14ac:dyDescent="0.25">
      <c r="A578" s="9"/>
      <c r="B578" s="9"/>
      <c r="C578" s="9"/>
      <c r="D578" s="9"/>
      <c r="E578" s="9"/>
      <c r="F578" s="9"/>
      <c r="G578" s="14"/>
      <c r="H578" s="14"/>
      <c r="I578" s="14"/>
      <c r="J578" s="14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 spans="1:23" ht="19.5" customHeight="1" x14ac:dyDescent="0.25">
      <c r="A579" s="9"/>
      <c r="B579" s="9"/>
      <c r="C579" s="9"/>
      <c r="D579" s="9"/>
      <c r="E579" s="9"/>
      <c r="F579" s="9"/>
      <c r="G579" s="14"/>
      <c r="H579" s="14"/>
      <c r="I579" s="14"/>
      <c r="J579" s="14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 spans="1:23" ht="19.5" customHeight="1" x14ac:dyDescent="0.25">
      <c r="A580" s="9"/>
      <c r="B580" s="9"/>
      <c r="C580" s="9"/>
      <c r="D580" s="9"/>
      <c r="E580" s="9"/>
      <c r="F580" s="9"/>
      <c r="G580" s="14"/>
      <c r="H580" s="14"/>
      <c r="I580" s="14"/>
      <c r="J580" s="14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 spans="1:23" ht="19.5" customHeight="1" x14ac:dyDescent="0.25">
      <c r="A581" s="9"/>
      <c r="B581" s="9"/>
      <c r="C581" s="9"/>
      <c r="D581" s="9"/>
      <c r="E581" s="9"/>
      <c r="F581" s="9"/>
      <c r="G581" s="14"/>
      <c r="H581" s="14"/>
      <c r="I581" s="14"/>
      <c r="J581" s="14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 spans="1:23" ht="19.5" customHeight="1" x14ac:dyDescent="0.25">
      <c r="A582" s="9"/>
      <c r="B582" s="9"/>
      <c r="C582" s="9"/>
      <c r="D582" s="9"/>
      <c r="E582" s="9"/>
      <c r="F582" s="9"/>
      <c r="G582" s="14"/>
      <c r="H582" s="14"/>
      <c r="I582" s="14"/>
      <c r="J582" s="14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 spans="1:23" ht="19.5" customHeight="1" x14ac:dyDescent="0.25">
      <c r="A583" s="9"/>
      <c r="B583" s="9"/>
      <c r="C583" s="9"/>
      <c r="D583" s="9"/>
      <c r="E583" s="9"/>
      <c r="F583" s="9"/>
      <c r="G583" s="14"/>
      <c r="H583" s="14"/>
      <c r="I583" s="14"/>
      <c r="J583" s="14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 spans="1:23" ht="19.5" customHeight="1" x14ac:dyDescent="0.25">
      <c r="A584" s="9"/>
      <c r="B584" s="9"/>
      <c r="C584" s="9"/>
      <c r="D584" s="9"/>
      <c r="E584" s="9"/>
      <c r="F584" s="9"/>
      <c r="G584" s="14"/>
      <c r="H584" s="14"/>
      <c r="I584" s="14"/>
      <c r="J584" s="14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 spans="1:23" ht="19.5" customHeight="1" x14ac:dyDescent="0.25">
      <c r="A585" s="9"/>
      <c r="B585" s="9"/>
      <c r="C585" s="9"/>
      <c r="D585" s="9"/>
      <c r="E585" s="9"/>
      <c r="F585" s="9"/>
      <c r="G585" s="14"/>
      <c r="H585" s="14"/>
      <c r="I585" s="14"/>
      <c r="J585" s="14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 spans="1:23" ht="19.5" customHeight="1" x14ac:dyDescent="0.25">
      <c r="A586" s="9"/>
      <c r="B586" s="9"/>
      <c r="C586" s="9"/>
      <c r="D586" s="9"/>
      <c r="E586" s="9"/>
      <c r="F586" s="9"/>
      <c r="G586" s="14"/>
      <c r="H586" s="14"/>
      <c r="I586" s="14"/>
      <c r="J586" s="14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 spans="1:23" ht="19.5" customHeight="1" x14ac:dyDescent="0.25">
      <c r="A587" s="9"/>
      <c r="B587" s="9"/>
      <c r="C587" s="9"/>
      <c r="D587" s="9"/>
      <c r="E587" s="9"/>
      <c r="F587" s="9"/>
      <c r="G587" s="14"/>
      <c r="H587" s="14"/>
      <c r="I587" s="14"/>
      <c r="J587" s="14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 spans="1:23" ht="19.5" customHeight="1" x14ac:dyDescent="0.25">
      <c r="A588" s="9"/>
      <c r="B588" s="9"/>
      <c r="C588" s="9"/>
      <c r="D588" s="9"/>
      <c r="E588" s="9"/>
      <c r="F588" s="9"/>
      <c r="G588" s="14"/>
      <c r="H588" s="14"/>
      <c r="I588" s="14"/>
      <c r="J588" s="14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 spans="1:23" ht="19.5" customHeight="1" x14ac:dyDescent="0.25">
      <c r="A589" s="9"/>
      <c r="B589" s="9"/>
      <c r="C589" s="9"/>
      <c r="D589" s="9"/>
      <c r="E589" s="9"/>
      <c r="F589" s="9"/>
      <c r="G589" s="14"/>
      <c r="H589" s="14"/>
      <c r="I589" s="14"/>
      <c r="J589" s="14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 spans="1:23" ht="19.5" customHeight="1" x14ac:dyDescent="0.25">
      <c r="A590" s="9"/>
      <c r="B590" s="9"/>
      <c r="C590" s="9"/>
      <c r="D590" s="9"/>
      <c r="E590" s="9"/>
      <c r="F590" s="9"/>
      <c r="G590" s="14"/>
      <c r="H590" s="14"/>
      <c r="I590" s="14"/>
      <c r="J590" s="14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 spans="1:23" ht="19.5" customHeight="1" x14ac:dyDescent="0.25">
      <c r="A591" s="9"/>
      <c r="B591" s="9"/>
      <c r="C591" s="9"/>
      <c r="D591" s="9"/>
      <c r="E591" s="9"/>
      <c r="F591" s="9"/>
      <c r="G591" s="14"/>
      <c r="H591" s="14"/>
      <c r="I591" s="14"/>
      <c r="J591" s="14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 spans="1:23" ht="19.5" customHeight="1" x14ac:dyDescent="0.25">
      <c r="A592" s="9"/>
      <c r="B592" s="9"/>
      <c r="C592" s="9"/>
      <c r="D592" s="9"/>
      <c r="E592" s="9"/>
      <c r="F592" s="9"/>
      <c r="G592" s="14"/>
      <c r="H592" s="14"/>
      <c r="I592" s="14"/>
      <c r="J592" s="14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 spans="1:23" ht="19.5" customHeight="1" x14ac:dyDescent="0.25">
      <c r="A593" s="9"/>
      <c r="B593" s="9"/>
      <c r="C593" s="9"/>
      <c r="D593" s="9"/>
      <c r="E593" s="9"/>
      <c r="F593" s="9"/>
      <c r="G593" s="14"/>
      <c r="H593" s="14"/>
      <c r="I593" s="14"/>
      <c r="J593" s="14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 spans="1:23" ht="19.5" customHeight="1" x14ac:dyDescent="0.25">
      <c r="A594" s="9"/>
      <c r="B594" s="9"/>
      <c r="C594" s="9"/>
      <c r="D594" s="9"/>
      <c r="E594" s="9"/>
      <c r="F594" s="9"/>
      <c r="G594" s="14"/>
      <c r="H594" s="14"/>
      <c r="I594" s="14"/>
      <c r="J594" s="14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 spans="1:23" ht="19.5" customHeight="1" x14ac:dyDescent="0.25">
      <c r="A595" s="9"/>
      <c r="B595" s="9"/>
      <c r="C595" s="9"/>
      <c r="D595" s="9"/>
      <c r="E595" s="9"/>
      <c r="F595" s="9"/>
      <c r="G595" s="14"/>
      <c r="H595" s="14"/>
      <c r="I595" s="14"/>
      <c r="J595" s="14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 spans="1:23" ht="19.5" customHeight="1" x14ac:dyDescent="0.25">
      <c r="A596" s="9"/>
      <c r="B596" s="9"/>
      <c r="C596" s="9"/>
      <c r="D596" s="9"/>
      <c r="E596" s="9"/>
      <c r="F596" s="9"/>
      <c r="G596" s="14"/>
      <c r="H596" s="14"/>
      <c r="I596" s="14"/>
      <c r="J596" s="14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 spans="1:23" ht="19.5" customHeight="1" x14ac:dyDescent="0.25">
      <c r="A597" s="9"/>
      <c r="B597" s="9"/>
      <c r="C597" s="9"/>
      <c r="D597" s="9"/>
      <c r="E597" s="9"/>
      <c r="F597" s="9"/>
      <c r="G597" s="14"/>
      <c r="H597" s="14"/>
      <c r="I597" s="14"/>
      <c r="J597" s="14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 spans="1:23" ht="19.5" customHeight="1" x14ac:dyDescent="0.25">
      <c r="A598" s="9"/>
      <c r="B598" s="9"/>
      <c r="C598" s="9"/>
      <c r="D598" s="9"/>
      <c r="E598" s="9"/>
      <c r="F598" s="9"/>
      <c r="G598" s="14"/>
      <c r="H598" s="14"/>
      <c r="I598" s="14"/>
      <c r="J598" s="14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 spans="1:23" ht="19.5" customHeight="1" x14ac:dyDescent="0.25">
      <c r="A599" s="9"/>
      <c r="B599" s="9"/>
      <c r="C599" s="9"/>
      <c r="D599" s="9"/>
      <c r="E599" s="9"/>
      <c r="F599" s="9"/>
      <c r="G599" s="14"/>
      <c r="H599" s="14"/>
      <c r="I599" s="14"/>
      <c r="J599" s="14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 spans="1:23" ht="19.5" customHeight="1" x14ac:dyDescent="0.25">
      <c r="A600" s="9"/>
      <c r="B600" s="9"/>
      <c r="C600" s="9"/>
      <c r="D600" s="9"/>
      <c r="E600" s="9"/>
      <c r="F600" s="9"/>
      <c r="G600" s="14"/>
      <c r="H600" s="14"/>
      <c r="I600" s="14"/>
      <c r="J600" s="14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 spans="1:23" ht="19.5" customHeight="1" x14ac:dyDescent="0.25">
      <c r="A601" s="9"/>
      <c r="B601" s="9"/>
      <c r="C601" s="9"/>
      <c r="D601" s="9"/>
      <c r="E601" s="9"/>
      <c r="F601" s="9"/>
      <c r="G601" s="14"/>
      <c r="H601" s="14"/>
      <c r="I601" s="14"/>
      <c r="J601" s="14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 spans="1:23" ht="19.5" customHeight="1" x14ac:dyDescent="0.25">
      <c r="A602" s="9"/>
      <c r="B602" s="9"/>
      <c r="C602" s="9"/>
      <c r="D602" s="9"/>
      <c r="E602" s="9"/>
      <c r="F602" s="9"/>
      <c r="G602" s="14"/>
      <c r="H602" s="14"/>
      <c r="I602" s="14"/>
      <c r="J602" s="14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 spans="1:23" ht="19.5" customHeight="1" x14ac:dyDescent="0.25">
      <c r="A603" s="9"/>
      <c r="B603" s="9"/>
      <c r="C603" s="9"/>
      <c r="D603" s="9"/>
      <c r="E603" s="9"/>
      <c r="F603" s="9"/>
      <c r="G603" s="14"/>
      <c r="H603" s="14"/>
      <c r="I603" s="14"/>
      <c r="J603" s="14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 spans="1:23" ht="19.5" customHeight="1" x14ac:dyDescent="0.25">
      <c r="A604" s="9"/>
      <c r="B604" s="9"/>
      <c r="C604" s="9"/>
      <c r="D604" s="9"/>
      <c r="E604" s="9"/>
      <c r="F604" s="9"/>
      <c r="G604" s="14"/>
      <c r="H604" s="14"/>
      <c r="I604" s="14"/>
      <c r="J604" s="14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 spans="1:23" ht="19.5" customHeight="1" x14ac:dyDescent="0.25">
      <c r="A605" s="9"/>
      <c r="B605" s="9"/>
      <c r="C605" s="9"/>
      <c r="D605" s="9"/>
      <c r="E605" s="9"/>
      <c r="F605" s="9"/>
      <c r="G605" s="14"/>
      <c r="H605" s="14"/>
      <c r="I605" s="14"/>
      <c r="J605" s="14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 spans="1:23" ht="19.5" customHeight="1" x14ac:dyDescent="0.25">
      <c r="A606" s="9"/>
      <c r="B606" s="9"/>
      <c r="C606" s="9"/>
      <c r="D606" s="9"/>
      <c r="E606" s="9"/>
      <c r="F606" s="9"/>
      <c r="G606" s="14"/>
      <c r="H606" s="14"/>
      <c r="I606" s="14"/>
      <c r="J606" s="14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 spans="1:23" ht="19.5" customHeight="1" x14ac:dyDescent="0.25">
      <c r="A607" s="9"/>
      <c r="B607" s="9"/>
      <c r="C607" s="9"/>
      <c r="D607" s="9"/>
      <c r="E607" s="9"/>
      <c r="F607" s="9"/>
      <c r="G607" s="14"/>
      <c r="H607" s="14"/>
      <c r="I607" s="14"/>
      <c r="J607" s="14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 spans="1:23" ht="19.5" customHeight="1" x14ac:dyDescent="0.25">
      <c r="A608" s="9"/>
      <c r="B608" s="9"/>
      <c r="C608" s="9"/>
      <c r="D608" s="9"/>
      <c r="E608" s="9"/>
      <c r="F608" s="9"/>
      <c r="G608" s="14"/>
      <c r="H608" s="14"/>
      <c r="I608" s="14"/>
      <c r="J608" s="14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 spans="1:23" ht="19.5" customHeight="1" x14ac:dyDescent="0.25">
      <c r="A609" s="9"/>
      <c r="B609" s="9"/>
      <c r="C609" s="9"/>
      <c r="D609" s="9"/>
      <c r="E609" s="9"/>
      <c r="F609" s="9"/>
      <c r="G609" s="14"/>
      <c r="H609" s="14"/>
      <c r="I609" s="14"/>
      <c r="J609" s="14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 spans="1:23" ht="19.5" customHeight="1" x14ac:dyDescent="0.25">
      <c r="A610" s="9"/>
      <c r="B610" s="9"/>
      <c r="C610" s="9"/>
      <c r="D610" s="9"/>
      <c r="E610" s="9"/>
      <c r="F610" s="9"/>
      <c r="G610" s="14"/>
      <c r="H610" s="14"/>
      <c r="I610" s="14"/>
      <c r="J610" s="14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 spans="1:23" ht="19.5" customHeight="1" x14ac:dyDescent="0.25">
      <c r="A611" s="9"/>
      <c r="B611" s="9"/>
      <c r="C611" s="9"/>
      <c r="D611" s="9"/>
      <c r="E611" s="9"/>
      <c r="F611" s="9"/>
      <c r="G611" s="14"/>
      <c r="H611" s="14"/>
      <c r="I611" s="14"/>
      <c r="J611" s="14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 spans="1:23" ht="19.5" customHeight="1" x14ac:dyDescent="0.25">
      <c r="A612" s="9"/>
      <c r="B612" s="9"/>
      <c r="C612" s="9"/>
      <c r="D612" s="9"/>
      <c r="E612" s="9"/>
      <c r="F612" s="9"/>
      <c r="G612" s="14"/>
      <c r="H612" s="14"/>
      <c r="I612" s="14"/>
      <c r="J612" s="14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 spans="1:23" ht="19.5" customHeight="1" x14ac:dyDescent="0.25">
      <c r="A613" s="9"/>
      <c r="B613" s="9"/>
      <c r="C613" s="9"/>
      <c r="D613" s="9"/>
      <c r="E613" s="9"/>
      <c r="F613" s="9"/>
      <c r="G613" s="14"/>
      <c r="H613" s="14"/>
      <c r="I613" s="14"/>
      <c r="J613" s="14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 spans="1:23" ht="19.5" customHeight="1" x14ac:dyDescent="0.25">
      <c r="A614" s="9"/>
      <c r="B614" s="9"/>
      <c r="C614" s="9"/>
      <c r="D614" s="9"/>
      <c r="E614" s="9"/>
      <c r="F614" s="9"/>
      <c r="G614" s="14"/>
      <c r="H614" s="14"/>
      <c r="I614" s="14"/>
      <c r="J614" s="14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 spans="1:23" ht="19.5" customHeight="1" x14ac:dyDescent="0.25">
      <c r="A615" s="9"/>
      <c r="B615" s="9"/>
      <c r="C615" s="9"/>
      <c r="D615" s="9"/>
      <c r="E615" s="9"/>
      <c r="F615" s="9"/>
      <c r="G615" s="14"/>
      <c r="H615" s="14"/>
      <c r="I615" s="14"/>
      <c r="J615" s="14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 spans="1:23" ht="19.5" customHeight="1" x14ac:dyDescent="0.25">
      <c r="A616" s="9"/>
      <c r="B616" s="9"/>
      <c r="C616" s="9"/>
      <c r="D616" s="9"/>
      <c r="E616" s="9"/>
      <c r="F616" s="9"/>
      <c r="G616" s="14"/>
      <c r="H616" s="14"/>
      <c r="I616" s="14"/>
      <c r="J616" s="14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 spans="1:23" ht="19.5" customHeight="1" x14ac:dyDescent="0.25">
      <c r="A617" s="9"/>
      <c r="B617" s="9"/>
      <c r="C617" s="9"/>
      <c r="D617" s="9"/>
      <c r="E617" s="9"/>
      <c r="F617" s="9"/>
      <c r="G617" s="14"/>
      <c r="H617" s="14"/>
      <c r="I617" s="14"/>
      <c r="J617" s="14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 spans="1:23" ht="19.5" customHeight="1" x14ac:dyDescent="0.25">
      <c r="A618" s="9"/>
      <c r="B618" s="9"/>
      <c r="C618" s="9"/>
      <c r="D618" s="9"/>
      <c r="E618" s="9"/>
      <c r="F618" s="9"/>
      <c r="G618" s="14"/>
      <c r="H618" s="14"/>
      <c r="I618" s="14"/>
      <c r="J618" s="14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 spans="1:23" ht="19.5" customHeight="1" x14ac:dyDescent="0.25">
      <c r="A619" s="9"/>
      <c r="B619" s="9"/>
      <c r="C619" s="9"/>
      <c r="D619" s="9"/>
      <c r="E619" s="9"/>
      <c r="F619" s="9"/>
      <c r="G619" s="14"/>
      <c r="H619" s="14"/>
      <c r="I619" s="14"/>
      <c r="J619" s="14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 spans="1:23" ht="19.5" customHeight="1" x14ac:dyDescent="0.25">
      <c r="A620" s="9"/>
      <c r="B620" s="9"/>
      <c r="C620" s="9"/>
      <c r="D620" s="9"/>
      <c r="E620" s="9"/>
      <c r="F620" s="9"/>
      <c r="G620" s="14"/>
      <c r="H620" s="14"/>
      <c r="I620" s="14"/>
      <c r="J620" s="14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 spans="1:23" ht="19.5" customHeight="1" x14ac:dyDescent="0.25">
      <c r="A621" s="9"/>
      <c r="B621" s="9"/>
      <c r="C621" s="9"/>
      <c r="D621" s="9"/>
      <c r="E621" s="9"/>
      <c r="F621" s="9"/>
      <c r="G621" s="14"/>
      <c r="H621" s="14"/>
      <c r="I621" s="14"/>
      <c r="J621" s="14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 spans="1:23" ht="19.5" customHeight="1" x14ac:dyDescent="0.25">
      <c r="A622" s="9"/>
      <c r="B622" s="9"/>
      <c r="C622" s="9"/>
      <c r="D622" s="9"/>
      <c r="E622" s="9"/>
      <c r="F622" s="9"/>
      <c r="G622" s="14"/>
      <c r="H622" s="14"/>
      <c r="I622" s="14"/>
      <c r="J622" s="14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 spans="1:23" ht="19.5" customHeight="1" x14ac:dyDescent="0.25">
      <c r="A623" s="9"/>
      <c r="B623" s="9"/>
      <c r="C623" s="9"/>
      <c r="D623" s="9"/>
      <c r="E623" s="9"/>
      <c r="F623" s="9"/>
      <c r="G623" s="14"/>
      <c r="H623" s="14"/>
      <c r="I623" s="14"/>
      <c r="J623" s="14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 spans="1:23" ht="19.5" customHeight="1" x14ac:dyDescent="0.25">
      <c r="A624" s="9"/>
      <c r="B624" s="9"/>
      <c r="C624" s="9"/>
      <c r="D624" s="9"/>
      <c r="E624" s="9"/>
      <c r="F624" s="9"/>
      <c r="G624" s="14"/>
      <c r="H624" s="14"/>
      <c r="I624" s="14"/>
      <c r="J624" s="14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 spans="1:23" ht="19.5" customHeight="1" x14ac:dyDescent="0.25">
      <c r="A625" s="9"/>
      <c r="B625" s="9"/>
      <c r="C625" s="9"/>
      <c r="D625" s="9"/>
      <c r="E625" s="9"/>
      <c r="F625" s="9"/>
      <c r="G625" s="14"/>
      <c r="H625" s="14"/>
      <c r="I625" s="14"/>
      <c r="J625" s="14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 spans="1:23" ht="19.5" customHeight="1" x14ac:dyDescent="0.25">
      <c r="A626" s="9"/>
      <c r="B626" s="9"/>
      <c r="C626" s="9"/>
      <c r="D626" s="9"/>
      <c r="E626" s="9"/>
      <c r="F626" s="9"/>
      <c r="G626" s="14"/>
      <c r="H626" s="14"/>
      <c r="I626" s="14"/>
      <c r="J626" s="14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 spans="1:23" ht="19.5" customHeight="1" x14ac:dyDescent="0.25">
      <c r="A627" s="9"/>
      <c r="B627" s="9"/>
      <c r="C627" s="9"/>
      <c r="D627" s="9"/>
      <c r="E627" s="9"/>
      <c r="F627" s="9"/>
      <c r="G627" s="14"/>
      <c r="H627" s="14"/>
      <c r="I627" s="14"/>
      <c r="J627" s="14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 spans="1:23" ht="19.5" customHeight="1" x14ac:dyDescent="0.25">
      <c r="A628" s="9"/>
      <c r="B628" s="9"/>
      <c r="C628" s="9"/>
      <c r="D628" s="9"/>
      <c r="E628" s="9"/>
      <c r="F628" s="9"/>
      <c r="G628" s="14"/>
      <c r="H628" s="14"/>
      <c r="I628" s="14"/>
      <c r="J628" s="14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 spans="1:23" ht="19.5" customHeight="1" x14ac:dyDescent="0.25">
      <c r="A629" s="9"/>
      <c r="B629" s="9"/>
      <c r="C629" s="9"/>
      <c r="D629" s="9"/>
      <c r="E629" s="9"/>
      <c r="F629" s="9"/>
      <c r="G629" s="14"/>
      <c r="H629" s="14"/>
      <c r="I629" s="14"/>
      <c r="J629" s="14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 spans="1:23" ht="19.5" customHeight="1" x14ac:dyDescent="0.25">
      <c r="A630" s="9"/>
      <c r="B630" s="9"/>
      <c r="C630" s="9"/>
      <c r="D630" s="9"/>
      <c r="E630" s="9"/>
      <c r="F630" s="9"/>
      <c r="G630" s="14"/>
      <c r="H630" s="14"/>
      <c r="I630" s="14"/>
      <c r="J630" s="14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 spans="1:23" ht="19.5" customHeight="1" x14ac:dyDescent="0.25">
      <c r="A631" s="9"/>
      <c r="B631" s="9"/>
      <c r="C631" s="9"/>
      <c r="D631" s="9"/>
      <c r="E631" s="9"/>
      <c r="F631" s="9"/>
      <c r="G631" s="14"/>
      <c r="H631" s="14"/>
      <c r="I631" s="14"/>
      <c r="J631" s="14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 spans="1:23" ht="19.5" customHeight="1" x14ac:dyDescent="0.25">
      <c r="A632" s="9"/>
      <c r="B632" s="9"/>
      <c r="C632" s="9"/>
      <c r="D632" s="9"/>
      <c r="E632" s="9"/>
      <c r="F632" s="9"/>
      <c r="G632" s="14"/>
      <c r="H632" s="14"/>
      <c r="I632" s="14"/>
      <c r="J632" s="14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 spans="1:23" ht="19.5" customHeight="1" x14ac:dyDescent="0.25">
      <c r="A633" s="9"/>
      <c r="B633" s="9"/>
      <c r="C633" s="9"/>
      <c r="D633" s="9"/>
      <c r="E633" s="9"/>
      <c r="F633" s="9"/>
      <c r="G633" s="14"/>
      <c r="H633" s="14"/>
      <c r="I633" s="14"/>
      <c r="J633" s="14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 spans="1:23" ht="19.5" customHeight="1" x14ac:dyDescent="0.25">
      <c r="A634" s="9"/>
      <c r="B634" s="9"/>
      <c r="C634" s="9"/>
      <c r="D634" s="9"/>
      <c r="E634" s="9"/>
      <c r="F634" s="9"/>
      <c r="G634" s="14"/>
      <c r="H634" s="14"/>
      <c r="I634" s="14"/>
      <c r="J634" s="14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 spans="1:23" ht="19.5" customHeight="1" x14ac:dyDescent="0.25">
      <c r="A635" s="9"/>
      <c r="B635" s="9"/>
      <c r="C635" s="9"/>
      <c r="D635" s="9"/>
      <c r="E635" s="9"/>
      <c r="F635" s="9"/>
      <c r="G635" s="14"/>
      <c r="H635" s="14"/>
      <c r="I635" s="14"/>
      <c r="J635" s="14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 spans="1:23" ht="19.5" customHeight="1" x14ac:dyDescent="0.25">
      <c r="A636" s="9"/>
      <c r="B636" s="9"/>
      <c r="C636" s="9"/>
      <c r="D636" s="9"/>
      <c r="E636" s="9"/>
      <c r="F636" s="9"/>
      <c r="G636" s="14"/>
      <c r="H636" s="14"/>
      <c r="I636" s="14"/>
      <c r="J636" s="14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 spans="1:23" ht="19.5" customHeight="1" x14ac:dyDescent="0.25">
      <c r="A637" s="9"/>
      <c r="B637" s="9"/>
      <c r="C637" s="9"/>
      <c r="D637" s="9"/>
      <c r="E637" s="9"/>
      <c r="F637" s="9"/>
      <c r="G637" s="14"/>
      <c r="H637" s="14"/>
      <c r="I637" s="14"/>
      <c r="J637" s="14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 spans="1:23" ht="19.5" customHeight="1" x14ac:dyDescent="0.25">
      <c r="A638" s="9"/>
      <c r="B638" s="9"/>
      <c r="C638" s="9"/>
      <c r="D638" s="9"/>
      <c r="E638" s="9"/>
      <c r="F638" s="9"/>
      <c r="G638" s="14"/>
      <c r="H638" s="14"/>
      <c r="I638" s="14"/>
      <c r="J638" s="14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 spans="1:23" ht="19.5" customHeight="1" x14ac:dyDescent="0.25">
      <c r="A639" s="9"/>
      <c r="B639" s="9"/>
      <c r="C639" s="9"/>
      <c r="D639" s="9"/>
      <c r="E639" s="9"/>
      <c r="F639" s="9"/>
      <c r="G639" s="14"/>
      <c r="H639" s="14"/>
      <c r="I639" s="14"/>
      <c r="J639" s="14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 spans="1:23" ht="19.5" customHeight="1" x14ac:dyDescent="0.25">
      <c r="A640" s="9"/>
      <c r="B640" s="9"/>
      <c r="C640" s="9"/>
      <c r="D640" s="9"/>
      <c r="E640" s="9"/>
      <c r="F640" s="9"/>
      <c r="G640" s="14"/>
      <c r="H640" s="14"/>
      <c r="I640" s="14"/>
      <c r="J640" s="14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 spans="1:23" ht="19.5" customHeight="1" x14ac:dyDescent="0.25">
      <c r="A641" s="9"/>
      <c r="B641" s="9"/>
      <c r="C641" s="9"/>
      <c r="D641" s="9"/>
      <c r="E641" s="9"/>
      <c r="F641" s="9"/>
      <c r="G641" s="14"/>
      <c r="H641" s="14"/>
      <c r="I641" s="14"/>
      <c r="J641" s="14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 spans="1:23" ht="19.5" customHeight="1" x14ac:dyDescent="0.25">
      <c r="A642" s="9"/>
      <c r="B642" s="9"/>
      <c r="C642" s="9"/>
      <c r="D642" s="9"/>
      <c r="E642" s="9"/>
      <c r="F642" s="9"/>
      <c r="G642" s="14"/>
      <c r="H642" s="14"/>
      <c r="I642" s="14"/>
      <c r="J642" s="14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 spans="1:23" ht="19.5" customHeight="1" x14ac:dyDescent="0.25">
      <c r="A643" s="9"/>
      <c r="B643" s="9"/>
      <c r="C643" s="9"/>
      <c r="D643" s="9"/>
      <c r="E643" s="9"/>
      <c r="F643" s="9"/>
      <c r="G643" s="14"/>
      <c r="H643" s="14"/>
      <c r="I643" s="14"/>
      <c r="J643" s="14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 spans="1:23" ht="19.5" customHeight="1" x14ac:dyDescent="0.25">
      <c r="A644" s="9"/>
      <c r="B644" s="9"/>
      <c r="C644" s="9"/>
      <c r="D644" s="9"/>
      <c r="E644" s="9"/>
      <c r="F644" s="9"/>
      <c r="G644" s="14"/>
      <c r="H644" s="14"/>
      <c r="I644" s="14"/>
      <c r="J644" s="14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 spans="1:23" ht="19.5" customHeight="1" x14ac:dyDescent="0.25">
      <c r="A645" s="9"/>
      <c r="B645" s="9"/>
      <c r="C645" s="9"/>
      <c r="D645" s="9"/>
      <c r="E645" s="9"/>
      <c r="F645" s="9"/>
      <c r="G645" s="14"/>
      <c r="H645" s="14"/>
      <c r="I645" s="14"/>
      <c r="J645" s="14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 spans="1:23" ht="19.5" customHeight="1" x14ac:dyDescent="0.25">
      <c r="A646" s="9"/>
      <c r="B646" s="9"/>
      <c r="C646" s="9"/>
      <c r="D646" s="9"/>
      <c r="E646" s="9"/>
      <c r="F646" s="9"/>
      <c r="G646" s="14"/>
      <c r="H646" s="14"/>
      <c r="I646" s="14"/>
      <c r="J646" s="14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 spans="1:23" ht="19.5" customHeight="1" x14ac:dyDescent="0.25">
      <c r="A647" s="9"/>
      <c r="B647" s="9"/>
      <c r="C647" s="9"/>
      <c r="D647" s="9"/>
      <c r="E647" s="9"/>
      <c r="F647" s="9"/>
      <c r="G647" s="14"/>
      <c r="H647" s="14"/>
      <c r="I647" s="14"/>
      <c r="J647" s="14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 spans="1:23" ht="19.5" customHeight="1" x14ac:dyDescent="0.25">
      <c r="A648" s="9"/>
      <c r="B648" s="9"/>
      <c r="C648" s="9"/>
      <c r="D648" s="9"/>
      <c r="E648" s="9"/>
      <c r="F648" s="9"/>
      <c r="G648" s="14"/>
      <c r="H648" s="14"/>
      <c r="I648" s="14"/>
      <c r="J648" s="14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 spans="1:23" ht="19.5" customHeight="1" x14ac:dyDescent="0.25">
      <c r="A649" s="9"/>
      <c r="B649" s="9"/>
      <c r="C649" s="9"/>
      <c r="D649" s="9"/>
      <c r="E649" s="9"/>
      <c r="F649" s="9"/>
      <c r="G649" s="14"/>
      <c r="H649" s="14"/>
      <c r="I649" s="14"/>
      <c r="J649" s="14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 spans="1:23" ht="19.5" customHeight="1" x14ac:dyDescent="0.25">
      <c r="A650" s="9"/>
      <c r="B650" s="9"/>
      <c r="C650" s="9"/>
      <c r="D650" s="9"/>
      <c r="E650" s="9"/>
      <c r="F650" s="9"/>
      <c r="G650" s="14"/>
      <c r="H650" s="14"/>
      <c r="I650" s="14"/>
      <c r="J650" s="14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 spans="1:23" ht="19.5" customHeight="1" x14ac:dyDescent="0.25">
      <c r="A651" s="9"/>
      <c r="B651" s="9"/>
      <c r="C651" s="9"/>
      <c r="D651" s="9"/>
      <c r="E651" s="9"/>
      <c r="F651" s="9"/>
      <c r="G651" s="14"/>
      <c r="H651" s="14"/>
      <c r="I651" s="14"/>
      <c r="J651" s="14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 spans="1:23" ht="19.5" customHeight="1" x14ac:dyDescent="0.25">
      <c r="A652" s="9"/>
      <c r="B652" s="9"/>
      <c r="C652" s="9"/>
      <c r="D652" s="9"/>
      <c r="E652" s="9"/>
      <c r="F652" s="9"/>
      <c r="G652" s="14"/>
      <c r="H652" s="14"/>
      <c r="I652" s="14"/>
      <c r="J652" s="14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 spans="1:23" ht="19.5" customHeight="1" x14ac:dyDescent="0.25">
      <c r="A653" s="9"/>
      <c r="B653" s="9"/>
      <c r="C653" s="9"/>
      <c r="D653" s="9"/>
      <c r="E653" s="9"/>
      <c r="F653" s="9"/>
      <c r="G653" s="14"/>
      <c r="H653" s="14"/>
      <c r="I653" s="14"/>
      <c r="J653" s="14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 spans="1:23" ht="19.5" customHeight="1" x14ac:dyDescent="0.25">
      <c r="A654" s="9"/>
      <c r="B654" s="9"/>
      <c r="C654" s="9"/>
      <c r="D654" s="9"/>
      <c r="E654" s="9"/>
      <c r="F654" s="9"/>
      <c r="G654" s="14"/>
      <c r="H654" s="14"/>
      <c r="I654" s="14"/>
      <c r="J654" s="14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 spans="1:23" ht="19.5" customHeight="1" x14ac:dyDescent="0.25">
      <c r="A655" s="9"/>
      <c r="B655" s="9"/>
      <c r="C655" s="9"/>
      <c r="D655" s="9"/>
      <c r="E655" s="9"/>
      <c r="F655" s="9"/>
      <c r="G655" s="14"/>
      <c r="H655" s="14"/>
      <c r="I655" s="14"/>
      <c r="J655" s="14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 spans="1:23" ht="19.5" customHeight="1" x14ac:dyDescent="0.25">
      <c r="A656" s="9"/>
      <c r="B656" s="9"/>
      <c r="C656" s="9"/>
      <c r="D656" s="9"/>
      <c r="E656" s="9"/>
      <c r="F656" s="9"/>
      <c r="G656" s="14"/>
      <c r="H656" s="14"/>
      <c r="I656" s="14"/>
      <c r="J656" s="14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 spans="1:23" ht="19.5" customHeight="1" x14ac:dyDescent="0.25">
      <c r="A657" s="9"/>
      <c r="B657" s="9"/>
      <c r="C657" s="9"/>
      <c r="D657" s="9"/>
      <c r="E657" s="9"/>
      <c r="F657" s="9"/>
      <c r="G657" s="14"/>
      <c r="H657" s="14"/>
      <c r="I657" s="14"/>
      <c r="J657" s="14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 spans="1:23" ht="19.5" customHeight="1" x14ac:dyDescent="0.25">
      <c r="A658" s="9"/>
      <c r="B658" s="9"/>
      <c r="C658" s="9"/>
      <c r="D658" s="9"/>
      <c r="E658" s="9"/>
      <c r="F658" s="9"/>
      <c r="G658" s="14"/>
      <c r="H658" s="14"/>
      <c r="I658" s="14"/>
      <c r="J658" s="14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 spans="1:23" ht="19.5" customHeight="1" x14ac:dyDescent="0.25">
      <c r="A659" s="9"/>
      <c r="B659" s="9"/>
      <c r="C659" s="9"/>
      <c r="D659" s="9"/>
      <c r="E659" s="9"/>
      <c r="F659" s="9"/>
      <c r="G659" s="14"/>
      <c r="H659" s="14"/>
      <c r="I659" s="14"/>
      <c r="J659" s="14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 spans="1:23" ht="19.5" customHeight="1" x14ac:dyDescent="0.25">
      <c r="A660" s="9"/>
      <c r="B660" s="9"/>
      <c r="C660" s="9"/>
      <c r="D660" s="9"/>
      <c r="E660" s="9"/>
      <c r="F660" s="9"/>
      <c r="G660" s="14"/>
      <c r="H660" s="14"/>
      <c r="I660" s="14"/>
      <c r="J660" s="14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 spans="1:23" ht="19.5" customHeight="1" x14ac:dyDescent="0.25">
      <c r="A661" s="9"/>
      <c r="B661" s="9"/>
      <c r="C661" s="9"/>
      <c r="D661" s="9"/>
      <c r="E661" s="9"/>
      <c r="F661" s="9"/>
      <c r="G661" s="14"/>
      <c r="H661" s="14"/>
      <c r="I661" s="14"/>
      <c r="J661" s="14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 spans="1:23" ht="19.5" customHeight="1" x14ac:dyDescent="0.25">
      <c r="A662" s="9"/>
      <c r="B662" s="9"/>
      <c r="C662" s="9"/>
      <c r="D662" s="9"/>
      <c r="E662" s="9"/>
      <c r="F662" s="9"/>
      <c r="G662" s="14"/>
      <c r="H662" s="14"/>
      <c r="I662" s="14"/>
      <c r="J662" s="14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 spans="1:23" ht="19.5" customHeight="1" x14ac:dyDescent="0.25">
      <c r="A663" s="9"/>
      <c r="B663" s="9"/>
      <c r="C663" s="9"/>
      <c r="D663" s="9"/>
      <c r="E663" s="9"/>
      <c r="F663" s="9"/>
      <c r="G663" s="14"/>
      <c r="H663" s="14"/>
      <c r="I663" s="14"/>
      <c r="J663" s="14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 spans="1:23" ht="19.5" customHeight="1" x14ac:dyDescent="0.25">
      <c r="A664" s="9"/>
      <c r="B664" s="9"/>
      <c r="C664" s="9"/>
      <c r="D664" s="9"/>
      <c r="E664" s="9"/>
      <c r="F664" s="9"/>
      <c r="G664" s="14"/>
      <c r="H664" s="14"/>
      <c r="I664" s="14"/>
      <c r="J664" s="14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 spans="1:23" ht="19.5" customHeight="1" x14ac:dyDescent="0.25">
      <c r="A665" s="9"/>
      <c r="B665" s="9"/>
      <c r="C665" s="9"/>
      <c r="D665" s="9"/>
      <c r="E665" s="9"/>
      <c r="F665" s="9"/>
      <c r="G665" s="14"/>
      <c r="H665" s="14"/>
      <c r="I665" s="14"/>
      <c r="J665" s="14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 spans="1:23" ht="19.5" customHeight="1" x14ac:dyDescent="0.25">
      <c r="A666" s="9"/>
      <c r="B666" s="9"/>
      <c r="C666" s="9"/>
      <c r="D666" s="9"/>
      <c r="E666" s="9"/>
      <c r="F666" s="9"/>
      <c r="G666" s="14"/>
      <c r="H666" s="14"/>
      <c r="I666" s="14"/>
      <c r="J666" s="14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 spans="1:23" ht="19.5" customHeight="1" x14ac:dyDescent="0.25">
      <c r="A667" s="9"/>
      <c r="B667" s="9"/>
      <c r="C667" s="9"/>
      <c r="D667" s="9"/>
      <c r="E667" s="9"/>
      <c r="F667" s="9"/>
      <c r="G667" s="14"/>
      <c r="H667" s="14"/>
      <c r="I667" s="14"/>
      <c r="J667" s="14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 spans="1:23" ht="19.5" customHeight="1" x14ac:dyDescent="0.25">
      <c r="A668" s="9"/>
      <c r="B668" s="9"/>
      <c r="C668" s="9"/>
      <c r="D668" s="9"/>
      <c r="E668" s="9"/>
      <c r="F668" s="9"/>
      <c r="G668" s="14"/>
      <c r="H668" s="14"/>
      <c r="I668" s="14"/>
      <c r="J668" s="14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 spans="1:23" ht="19.5" customHeight="1" x14ac:dyDescent="0.25">
      <c r="A669" s="9"/>
      <c r="B669" s="9"/>
      <c r="C669" s="9"/>
      <c r="D669" s="9"/>
      <c r="E669" s="9"/>
      <c r="F669" s="9"/>
      <c r="G669" s="14"/>
      <c r="H669" s="14"/>
      <c r="I669" s="14"/>
      <c r="J669" s="14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 spans="1:23" ht="19.5" customHeight="1" x14ac:dyDescent="0.25">
      <c r="A670" s="9"/>
      <c r="B670" s="9"/>
      <c r="C670" s="9"/>
      <c r="D670" s="9"/>
      <c r="E670" s="9"/>
      <c r="F670" s="9"/>
      <c r="G670" s="14"/>
      <c r="H670" s="14"/>
      <c r="I670" s="14"/>
      <c r="J670" s="14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 spans="1:23" ht="19.5" customHeight="1" x14ac:dyDescent="0.25">
      <c r="A671" s="9"/>
      <c r="B671" s="9"/>
      <c r="C671" s="9"/>
      <c r="D671" s="9"/>
      <c r="E671" s="9"/>
      <c r="F671" s="9"/>
      <c r="G671" s="14"/>
      <c r="H671" s="14"/>
      <c r="I671" s="14"/>
      <c r="J671" s="14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 spans="1:23" ht="19.5" customHeight="1" x14ac:dyDescent="0.25">
      <c r="A672" s="9"/>
      <c r="B672" s="9"/>
      <c r="C672" s="9"/>
      <c r="D672" s="9"/>
      <c r="E672" s="9"/>
      <c r="F672" s="9"/>
      <c r="G672" s="14"/>
      <c r="H672" s="14"/>
      <c r="I672" s="14"/>
      <c r="J672" s="14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 spans="1:23" ht="19.5" customHeight="1" x14ac:dyDescent="0.25">
      <c r="A673" s="9"/>
      <c r="B673" s="9"/>
      <c r="C673" s="9"/>
      <c r="D673" s="9"/>
      <c r="E673" s="9"/>
      <c r="F673" s="9"/>
      <c r="G673" s="14"/>
      <c r="H673" s="14"/>
      <c r="I673" s="14"/>
      <c r="J673" s="14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 spans="1:23" ht="19.5" customHeight="1" x14ac:dyDescent="0.25">
      <c r="A674" s="9"/>
      <c r="B674" s="9"/>
      <c r="C674" s="9"/>
      <c r="D674" s="9"/>
      <c r="E674" s="9"/>
      <c r="F674" s="9"/>
      <c r="G674" s="14"/>
      <c r="H674" s="14"/>
      <c r="I674" s="14"/>
      <c r="J674" s="14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 spans="1:23" ht="19.5" customHeight="1" x14ac:dyDescent="0.25">
      <c r="A675" s="9"/>
      <c r="B675" s="9"/>
      <c r="C675" s="9"/>
      <c r="D675" s="9"/>
      <c r="E675" s="9"/>
      <c r="F675" s="9"/>
      <c r="G675" s="14"/>
      <c r="H675" s="14"/>
      <c r="I675" s="14"/>
      <c r="J675" s="14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 spans="1:23" ht="19.5" customHeight="1" x14ac:dyDescent="0.25">
      <c r="A676" s="9"/>
      <c r="B676" s="9"/>
      <c r="C676" s="9"/>
      <c r="D676" s="9"/>
      <c r="E676" s="9"/>
      <c r="F676" s="9"/>
      <c r="G676" s="14"/>
      <c r="H676" s="14"/>
      <c r="I676" s="14"/>
      <c r="J676" s="14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 spans="1:23" ht="19.5" customHeight="1" x14ac:dyDescent="0.25">
      <c r="A677" s="9"/>
      <c r="B677" s="9"/>
      <c r="C677" s="9"/>
      <c r="D677" s="9"/>
      <c r="E677" s="9"/>
      <c r="F677" s="9"/>
      <c r="G677" s="14"/>
      <c r="H677" s="14"/>
      <c r="I677" s="14"/>
      <c r="J677" s="14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 spans="1:23" ht="19.5" customHeight="1" x14ac:dyDescent="0.25">
      <c r="A678" s="9"/>
      <c r="B678" s="9"/>
      <c r="C678" s="9"/>
      <c r="D678" s="9"/>
      <c r="E678" s="9"/>
      <c r="F678" s="9"/>
      <c r="G678" s="14"/>
      <c r="H678" s="14"/>
      <c r="I678" s="14"/>
      <c r="J678" s="14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 spans="1:23" ht="19.5" customHeight="1" x14ac:dyDescent="0.25">
      <c r="A679" s="9"/>
      <c r="B679" s="9"/>
      <c r="C679" s="9"/>
      <c r="D679" s="9"/>
      <c r="E679" s="9"/>
      <c r="F679" s="9"/>
      <c r="G679" s="14"/>
      <c r="H679" s="14"/>
      <c r="I679" s="14"/>
      <c r="J679" s="14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 spans="1:23" ht="19.5" customHeight="1" x14ac:dyDescent="0.25">
      <c r="A680" s="9"/>
      <c r="B680" s="9"/>
      <c r="C680" s="9"/>
      <c r="D680" s="9"/>
      <c r="E680" s="9"/>
      <c r="F680" s="9"/>
      <c r="G680" s="14"/>
      <c r="H680" s="14"/>
      <c r="I680" s="14"/>
      <c r="J680" s="14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 spans="1:23" ht="19.5" customHeight="1" x14ac:dyDescent="0.25">
      <c r="A681" s="9"/>
      <c r="B681" s="9"/>
      <c r="C681" s="9"/>
      <c r="D681" s="9"/>
      <c r="E681" s="9"/>
      <c r="F681" s="9"/>
      <c r="G681" s="14"/>
      <c r="H681" s="14"/>
      <c r="I681" s="14"/>
      <c r="J681" s="14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 spans="1:23" ht="19.5" customHeight="1" x14ac:dyDescent="0.25">
      <c r="A682" s="9"/>
      <c r="B682" s="9"/>
      <c r="C682" s="9"/>
      <c r="D682" s="9"/>
      <c r="E682" s="9"/>
      <c r="F682" s="9"/>
      <c r="G682" s="14"/>
      <c r="H682" s="14"/>
      <c r="I682" s="14"/>
      <c r="J682" s="14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 spans="1:23" ht="19.5" customHeight="1" x14ac:dyDescent="0.25">
      <c r="A683" s="9"/>
      <c r="B683" s="9"/>
      <c r="C683" s="9"/>
      <c r="D683" s="9"/>
      <c r="E683" s="9"/>
      <c r="F683" s="9"/>
      <c r="G683" s="14"/>
      <c r="H683" s="14"/>
      <c r="I683" s="14"/>
      <c r="J683" s="14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 spans="1:23" ht="19.5" customHeight="1" x14ac:dyDescent="0.25">
      <c r="A684" s="9"/>
      <c r="B684" s="9"/>
      <c r="C684" s="9"/>
      <c r="D684" s="9"/>
      <c r="E684" s="9"/>
      <c r="F684" s="9"/>
      <c r="G684" s="14"/>
      <c r="H684" s="14"/>
      <c r="I684" s="14"/>
      <c r="J684" s="14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 spans="1:23" ht="19.5" customHeight="1" x14ac:dyDescent="0.25">
      <c r="A685" s="9"/>
      <c r="B685" s="9"/>
      <c r="C685" s="9"/>
      <c r="D685" s="9"/>
      <c r="E685" s="9"/>
      <c r="F685" s="9"/>
      <c r="G685" s="14"/>
      <c r="H685" s="14"/>
      <c r="I685" s="14"/>
      <c r="J685" s="14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 spans="1:23" ht="19.5" customHeight="1" x14ac:dyDescent="0.25">
      <c r="A686" s="9"/>
      <c r="B686" s="9"/>
      <c r="C686" s="9"/>
      <c r="D686" s="9"/>
      <c r="E686" s="9"/>
      <c r="F686" s="9"/>
      <c r="G686" s="14"/>
      <c r="H686" s="14"/>
      <c r="I686" s="14"/>
      <c r="J686" s="14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 spans="1:23" ht="19.5" customHeight="1" x14ac:dyDescent="0.25">
      <c r="A687" s="9"/>
      <c r="B687" s="9"/>
      <c r="C687" s="9"/>
      <c r="D687" s="9"/>
      <c r="E687" s="9"/>
      <c r="F687" s="9"/>
      <c r="G687" s="14"/>
      <c r="H687" s="14"/>
      <c r="I687" s="14"/>
      <c r="J687" s="14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 spans="1:23" ht="19.5" customHeight="1" x14ac:dyDescent="0.25">
      <c r="A688" s="9"/>
      <c r="B688" s="9"/>
      <c r="C688" s="9"/>
      <c r="D688" s="9"/>
      <c r="E688" s="9"/>
      <c r="F688" s="9"/>
      <c r="G688" s="14"/>
      <c r="H688" s="14"/>
      <c r="I688" s="14"/>
      <c r="J688" s="14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 spans="1:23" ht="19.5" customHeight="1" x14ac:dyDescent="0.25">
      <c r="A689" s="9"/>
      <c r="B689" s="9"/>
      <c r="C689" s="9"/>
      <c r="D689" s="9"/>
      <c r="E689" s="9"/>
      <c r="F689" s="9"/>
      <c r="G689" s="14"/>
      <c r="H689" s="14"/>
      <c r="I689" s="14"/>
      <c r="J689" s="14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 spans="1:23" ht="19.5" customHeight="1" x14ac:dyDescent="0.25">
      <c r="A690" s="9"/>
      <c r="B690" s="9"/>
      <c r="C690" s="9"/>
      <c r="D690" s="9"/>
      <c r="E690" s="9"/>
      <c r="F690" s="9"/>
      <c r="G690" s="14"/>
      <c r="H690" s="14"/>
      <c r="I690" s="14"/>
      <c r="J690" s="14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 spans="1:23" ht="19.5" customHeight="1" x14ac:dyDescent="0.25">
      <c r="A691" s="9"/>
      <c r="B691" s="9"/>
      <c r="C691" s="9"/>
      <c r="D691" s="9"/>
      <c r="E691" s="9"/>
      <c r="F691" s="9"/>
      <c r="G691" s="14"/>
      <c r="H691" s="14"/>
      <c r="I691" s="14"/>
      <c r="J691" s="14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 spans="1:23" ht="19.5" customHeight="1" x14ac:dyDescent="0.25">
      <c r="A692" s="9"/>
      <c r="B692" s="9"/>
      <c r="C692" s="9"/>
      <c r="D692" s="9"/>
      <c r="E692" s="9"/>
      <c r="F692" s="9"/>
      <c r="G692" s="14"/>
      <c r="H692" s="14"/>
      <c r="I692" s="14"/>
      <c r="J692" s="14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 spans="1:23" ht="19.5" customHeight="1" x14ac:dyDescent="0.25">
      <c r="A693" s="9"/>
      <c r="B693" s="9"/>
      <c r="C693" s="9"/>
      <c r="D693" s="9"/>
      <c r="E693" s="9"/>
      <c r="F693" s="9"/>
      <c r="G693" s="14"/>
      <c r="H693" s="14"/>
      <c r="I693" s="14"/>
      <c r="J693" s="14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 spans="1:23" ht="19.5" customHeight="1" x14ac:dyDescent="0.25">
      <c r="A694" s="9"/>
      <c r="B694" s="9"/>
      <c r="C694" s="9"/>
      <c r="D694" s="9"/>
      <c r="E694" s="9"/>
      <c r="F694" s="9"/>
      <c r="G694" s="14"/>
      <c r="H694" s="14"/>
      <c r="I694" s="14"/>
      <c r="J694" s="14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 spans="1:23" ht="19.5" customHeight="1" x14ac:dyDescent="0.25">
      <c r="A695" s="9"/>
      <c r="B695" s="9"/>
      <c r="C695" s="9"/>
      <c r="D695" s="9"/>
      <c r="E695" s="9"/>
      <c r="F695" s="9"/>
      <c r="G695" s="14"/>
      <c r="H695" s="14"/>
      <c r="I695" s="14"/>
      <c r="J695" s="14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 spans="1:23" ht="19.5" customHeight="1" x14ac:dyDescent="0.25">
      <c r="A696" s="9"/>
      <c r="B696" s="9"/>
      <c r="C696" s="9"/>
      <c r="D696" s="9"/>
      <c r="E696" s="9"/>
      <c r="F696" s="9"/>
      <c r="G696" s="14"/>
      <c r="H696" s="14"/>
      <c r="I696" s="14"/>
      <c r="J696" s="14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 spans="1:23" ht="19.5" customHeight="1" x14ac:dyDescent="0.25">
      <c r="A697" s="9"/>
      <c r="B697" s="9"/>
      <c r="C697" s="9"/>
      <c r="D697" s="9"/>
      <c r="E697" s="9"/>
      <c r="F697" s="9"/>
      <c r="G697" s="14"/>
      <c r="H697" s="14"/>
      <c r="I697" s="14"/>
      <c r="J697" s="14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 spans="1:23" ht="19.5" customHeight="1" x14ac:dyDescent="0.25">
      <c r="A698" s="9"/>
      <c r="B698" s="9"/>
      <c r="C698" s="9"/>
      <c r="D698" s="9"/>
      <c r="E698" s="9"/>
      <c r="F698" s="9"/>
      <c r="G698" s="14"/>
      <c r="H698" s="14"/>
      <c r="I698" s="14"/>
      <c r="J698" s="14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 spans="1:23" ht="19.5" customHeight="1" x14ac:dyDescent="0.25">
      <c r="A699" s="9"/>
      <c r="B699" s="9"/>
      <c r="C699" s="9"/>
      <c r="D699" s="9"/>
      <c r="E699" s="9"/>
      <c r="F699" s="9"/>
      <c r="G699" s="14"/>
      <c r="H699" s="14"/>
      <c r="I699" s="14"/>
      <c r="J699" s="14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 spans="1:23" ht="19.5" customHeight="1" x14ac:dyDescent="0.25">
      <c r="A700" s="9"/>
      <c r="B700" s="9"/>
      <c r="C700" s="9"/>
      <c r="D700" s="9"/>
      <c r="E700" s="9"/>
      <c r="F700" s="9"/>
      <c r="G700" s="14"/>
      <c r="H700" s="14"/>
      <c r="I700" s="14"/>
      <c r="J700" s="14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 spans="1:23" ht="19.5" customHeight="1" x14ac:dyDescent="0.25">
      <c r="A701" s="9"/>
      <c r="B701" s="9"/>
      <c r="C701" s="9"/>
      <c r="D701" s="9"/>
      <c r="E701" s="9"/>
      <c r="F701" s="9"/>
      <c r="G701" s="14"/>
      <c r="H701" s="14"/>
      <c r="I701" s="14"/>
      <c r="J701" s="14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 spans="1:23" ht="19.5" customHeight="1" x14ac:dyDescent="0.25">
      <c r="A702" s="9"/>
      <c r="B702" s="9"/>
      <c r="C702" s="9"/>
      <c r="D702" s="9"/>
      <c r="E702" s="9"/>
      <c r="F702" s="9"/>
      <c r="G702" s="14"/>
      <c r="H702" s="14"/>
      <c r="I702" s="14"/>
      <c r="J702" s="14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 spans="1:23" ht="19.5" customHeight="1" x14ac:dyDescent="0.25">
      <c r="A703" s="9"/>
      <c r="B703" s="9"/>
      <c r="C703" s="9"/>
      <c r="D703" s="9"/>
      <c r="E703" s="9"/>
      <c r="F703" s="9"/>
      <c r="G703" s="14"/>
      <c r="H703" s="14"/>
      <c r="I703" s="14"/>
      <c r="J703" s="14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 spans="1:23" ht="19.5" customHeight="1" x14ac:dyDescent="0.25">
      <c r="A704" s="9"/>
      <c r="B704" s="9"/>
      <c r="C704" s="9"/>
      <c r="D704" s="9"/>
      <c r="E704" s="9"/>
      <c r="F704" s="9"/>
      <c r="G704" s="14"/>
      <c r="H704" s="14"/>
      <c r="I704" s="14"/>
      <c r="J704" s="14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 spans="1:23" ht="19.5" customHeight="1" x14ac:dyDescent="0.25">
      <c r="A705" s="9"/>
      <c r="B705" s="9"/>
      <c r="C705" s="9"/>
      <c r="D705" s="9"/>
      <c r="E705" s="9"/>
      <c r="F705" s="9"/>
      <c r="G705" s="14"/>
      <c r="H705" s="14"/>
      <c r="I705" s="14"/>
      <c r="J705" s="14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 spans="1:23" ht="19.5" customHeight="1" x14ac:dyDescent="0.25">
      <c r="A706" s="9"/>
      <c r="B706" s="9"/>
      <c r="C706" s="9"/>
      <c r="D706" s="9"/>
      <c r="E706" s="9"/>
      <c r="F706" s="9"/>
      <c r="G706" s="14"/>
      <c r="H706" s="14"/>
      <c r="I706" s="14"/>
      <c r="J706" s="14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 spans="1:23" ht="19.5" customHeight="1" x14ac:dyDescent="0.25">
      <c r="A707" s="9"/>
      <c r="B707" s="9"/>
      <c r="C707" s="9"/>
      <c r="D707" s="9"/>
      <c r="E707" s="9"/>
      <c r="F707" s="9"/>
      <c r="G707" s="14"/>
      <c r="H707" s="14"/>
      <c r="I707" s="14"/>
      <c r="J707" s="14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 spans="1:23" ht="19.5" customHeight="1" x14ac:dyDescent="0.25">
      <c r="A708" s="9"/>
      <c r="B708" s="9"/>
      <c r="C708" s="9"/>
      <c r="D708" s="9"/>
      <c r="E708" s="9"/>
      <c r="F708" s="9"/>
      <c r="G708" s="14"/>
      <c r="H708" s="14"/>
      <c r="I708" s="14"/>
      <c r="J708" s="14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 spans="1:23" ht="19.5" customHeight="1" x14ac:dyDescent="0.25">
      <c r="A709" s="9"/>
      <c r="B709" s="9"/>
      <c r="C709" s="9"/>
      <c r="D709" s="9"/>
      <c r="E709" s="9"/>
      <c r="F709" s="9"/>
      <c r="G709" s="14"/>
      <c r="H709" s="14"/>
      <c r="I709" s="14"/>
      <c r="J709" s="14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 spans="1:23" ht="19.5" customHeight="1" x14ac:dyDescent="0.25">
      <c r="A710" s="9"/>
      <c r="B710" s="9"/>
      <c r="C710" s="9"/>
      <c r="D710" s="9"/>
      <c r="E710" s="9"/>
      <c r="F710" s="9"/>
      <c r="G710" s="14"/>
      <c r="H710" s="14"/>
      <c r="I710" s="14"/>
      <c r="J710" s="14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 spans="1:23" ht="19.5" customHeight="1" x14ac:dyDescent="0.25">
      <c r="A711" s="9"/>
      <c r="B711" s="9"/>
      <c r="C711" s="9"/>
      <c r="D711" s="9"/>
      <c r="E711" s="9"/>
      <c r="F711" s="9"/>
      <c r="G711" s="14"/>
      <c r="H711" s="14"/>
      <c r="I711" s="14"/>
      <c r="J711" s="14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 spans="1:23" ht="19.5" customHeight="1" x14ac:dyDescent="0.25">
      <c r="A712" s="9"/>
      <c r="B712" s="9"/>
      <c r="C712" s="9"/>
      <c r="D712" s="9"/>
      <c r="E712" s="9"/>
      <c r="F712" s="9"/>
      <c r="G712" s="14"/>
      <c r="H712" s="14"/>
      <c r="I712" s="14"/>
      <c r="J712" s="14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 spans="1:23" ht="19.5" customHeight="1" x14ac:dyDescent="0.25">
      <c r="A713" s="9"/>
      <c r="B713" s="9"/>
      <c r="C713" s="9"/>
      <c r="D713" s="9"/>
      <c r="E713" s="9"/>
      <c r="F713" s="9"/>
      <c r="G713" s="14"/>
      <c r="H713" s="14"/>
      <c r="I713" s="14"/>
      <c r="J713" s="14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 spans="1:23" ht="19.5" customHeight="1" x14ac:dyDescent="0.25">
      <c r="A714" s="9"/>
      <c r="B714" s="9"/>
      <c r="C714" s="9"/>
      <c r="D714" s="9"/>
      <c r="E714" s="9"/>
      <c r="F714" s="9"/>
      <c r="G714" s="14"/>
      <c r="H714" s="14"/>
      <c r="I714" s="14"/>
      <c r="J714" s="14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 spans="1:23" ht="19.5" customHeight="1" x14ac:dyDescent="0.25">
      <c r="A715" s="9"/>
      <c r="B715" s="9"/>
      <c r="C715" s="9"/>
      <c r="D715" s="9"/>
      <c r="E715" s="9"/>
      <c r="F715" s="9"/>
      <c r="G715" s="14"/>
      <c r="H715" s="14"/>
      <c r="I715" s="14"/>
      <c r="J715" s="14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 spans="1:23" ht="19.5" customHeight="1" x14ac:dyDescent="0.25">
      <c r="A716" s="9"/>
      <c r="B716" s="9"/>
      <c r="C716" s="9"/>
      <c r="D716" s="9"/>
      <c r="E716" s="9"/>
      <c r="F716" s="9"/>
      <c r="G716" s="14"/>
      <c r="H716" s="14"/>
      <c r="I716" s="14"/>
      <c r="J716" s="14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 spans="1:23" ht="19.5" customHeight="1" x14ac:dyDescent="0.25">
      <c r="A717" s="9"/>
      <c r="B717" s="9"/>
      <c r="C717" s="9"/>
      <c r="D717" s="9"/>
      <c r="E717" s="9"/>
      <c r="F717" s="9"/>
      <c r="G717" s="14"/>
      <c r="H717" s="14"/>
      <c r="I717" s="14"/>
      <c r="J717" s="14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 spans="1:23" ht="19.5" customHeight="1" x14ac:dyDescent="0.25">
      <c r="A718" s="9"/>
      <c r="B718" s="9"/>
      <c r="C718" s="9"/>
      <c r="D718" s="9"/>
      <c r="E718" s="9"/>
      <c r="F718" s="9"/>
      <c r="G718" s="14"/>
      <c r="H718" s="14"/>
      <c r="I718" s="14"/>
      <c r="J718" s="14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 spans="1:23" ht="19.5" customHeight="1" x14ac:dyDescent="0.25">
      <c r="A719" s="9"/>
      <c r="B719" s="9"/>
      <c r="C719" s="9"/>
      <c r="D719" s="9"/>
      <c r="E719" s="9"/>
      <c r="F719" s="9"/>
      <c r="G719" s="14"/>
      <c r="H719" s="14"/>
      <c r="I719" s="14"/>
      <c r="J719" s="14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 spans="1:23" ht="19.5" customHeight="1" x14ac:dyDescent="0.25">
      <c r="A720" s="9"/>
      <c r="B720" s="9"/>
      <c r="C720" s="9"/>
      <c r="D720" s="9"/>
      <c r="E720" s="9"/>
      <c r="F720" s="9"/>
      <c r="G720" s="14"/>
      <c r="H720" s="14"/>
      <c r="I720" s="14"/>
      <c r="J720" s="14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 spans="1:23" ht="19.5" customHeight="1" x14ac:dyDescent="0.25">
      <c r="A721" s="9"/>
      <c r="B721" s="9"/>
      <c r="C721" s="9"/>
      <c r="D721" s="9"/>
      <c r="E721" s="9"/>
      <c r="F721" s="9"/>
      <c r="G721" s="14"/>
      <c r="H721" s="14"/>
      <c r="I721" s="14"/>
      <c r="J721" s="14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 spans="1:23" ht="19.5" customHeight="1" x14ac:dyDescent="0.25">
      <c r="A722" s="9"/>
      <c r="B722" s="9"/>
      <c r="C722" s="9"/>
      <c r="D722" s="9"/>
      <c r="E722" s="9"/>
      <c r="F722" s="9"/>
      <c r="G722" s="14"/>
      <c r="H722" s="14"/>
      <c r="I722" s="14"/>
      <c r="J722" s="14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 spans="1:23" ht="19.5" customHeight="1" x14ac:dyDescent="0.25">
      <c r="A723" s="9"/>
      <c r="B723" s="9"/>
      <c r="C723" s="9"/>
      <c r="D723" s="9"/>
      <c r="E723" s="9"/>
      <c r="F723" s="9"/>
      <c r="G723" s="14"/>
      <c r="H723" s="14"/>
      <c r="I723" s="14"/>
      <c r="J723" s="14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 spans="1:23" ht="19.5" customHeight="1" x14ac:dyDescent="0.25">
      <c r="A724" s="9"/>
      <c r="B724" s="9"/>
      <c r="C724" s="9"/>
      <c r="D724" s="9"/>
      <c r="E724" s="9"/>
      <c r="F724" s="9"/>
      <c r="G724" s="14"/>
      <c r="H724" s="14"/>
      <c r="I724" s="14"/>
      <c r="J724" s="14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 spans="1:23" ht="19.5" customHeight="1" x14ac:dyDescent="0.25">
      <c r="A725" s="9"/>
      <c r="B725" s="9"/>
      <c r="C725" s="9"/>
      <c r="D725" s="9"/>
      <c r="E725" s="9"/>
      <c r="F725" s="9"/>
      <c r="G725" s="14"/>
      <c r="H725" s="14"/>
      <c r="I725" s="14"/>
      <c r="J725" s="14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 spans="1:23" ht="19.5" customHeight="1" x14ac:dyDescent="0.25">
      <c r="A726" s="9"/>
      <c r="B726" s="9"/>
      <c r="C726" s="9"/>
      <c r="D726" s="9"/>
      <c r="E726" s="9"/>
      <c r="F726" s="9"/>
      <c r="G726" s="14"/>
      <c r="H726" s="14"/>
      <c r="I726" s="14"/>
      <c r="J726" s="14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 spans="1:23" ht="19.5" customHeight="1" x14ac:dyDescent="0.25">
      <c r="A727" s="9"/>
      <c r="B727" s="9"/>
      <c r="C727" s="9"/>
      <c r="D727" s="9"/>
      <c r="E727" s="9"/>
      <c r="F727" s="9"/>
      <c r="G727" s="14"/>
      <c r="H727" s="14"/>
      <c r="I727" s="14"/>
      <c r="J727" s="14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 spans="1:23" ht="19.5" customHeight="1" x14ac:dyDescent="0.25">
      <c r="A728" s="9"/>
      <c r="B728" s="9"/>
      <c r="C728" s="9"/>
      <c r="D728" s="9"/>
      <c r="E728" s="9"/>
      <c r="F728" s="9"/>
      <c r="G728" s="14"/>
      <c r="H728" s="14"/>
      <c r="I728" s="14"/>
      <c r="J728" s="14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 spans="1:23" ht="19.5" customHeight="1" x14ac:dyDescent="0.25">
      <c r="A729" s="9"/>
      <c r="B729" s="9"/>
      <c r="C729" s="9"/>
      <c r="D729" s="9"/>
      <c r="E729" s="9"/>
      <c r="F729" s="9"/>
      <c r="G729" s="14"/>
      <c r="H729" s="14"/>
      <c r="I729" s="14"/>
      <c r="J729" s="14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 spans="1:23" ht="19.5" customHeight="1" x14ac:dyDescent="0.25">
      <c r="A730" s="9"/>
      <c r="B730" s="9"/>
      <c r="C730" s="9"/>
      <c r="D730" s="9"/>
      <c r="E730" s="9"/>
      <c r="F730" s="9"/>
      <c r="G730" s="14"/>
      <c r="H730" s="14"/>
      <c r="I730" s="14"/>
      <c r="J730" s="14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 spans="1:23" ht="19.5" customHeight="1" x14ac:dyDescent="0.25">
      <c r="A731" s="9"/>
      <c r="B731" s="9"/>
      <c r="C731" s="9"/>
      <c r="D731" s="9"/>
      <c r="E731" s="9"/>
      <c r="F731" s="9"/>
      <c r="G731" s="14"/>
      <c r="H731" s="14"/>
      <c r="I731" s="14"/>
      <c r="J731" s="14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 spans="1:23" ht="19.5" customHeight="1" x14ac:dyDescent="0.25">
      <c r="A732" s="9"/>
      <c r="B732" s="9"/>
      <c r="C732" s="9"/>
      <c r="D732" s="9"/>
      <c r="E732" s="9"/>
      <c r="F732" s="9"/>
      <c r="G732" s="14"/>
      <c r="H732" s="14"/>
      <c r="I732" s="14"/>
      <c r="J732" s="14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 spans="1:23" ht="19.5" customHeight="1" x14ac:dyDescent="0.25">
      <c r="A733" s="9"/>
      <c r="B733" s="9"/>
      <c r="C733" s="9"/>
      <c r="D733" s="9"/>
      <c r="E733" s="9"/>
      <c r="F733" s="9"/>
      <c r="G733" s="14"/>
      <c r="H733" s="14"/>
      <c r="I733" s="14"/>
      <c r="J733" s="14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 spans="1:23" ht="19.5" customHeight="1" x14ac:dyDescent="0.25">
      <c r="A734" s="9"/>
      <c r="B734" s="9"/>
      <c r="C734" s="9"/>
      <c r="D734" s="9"/>
      <c r="E734" s="9"/>
      <c r="F734" s="9"/>
      <c r="G734" s="14"/>
      <c r="H734" s="14"/>
      <c r="I734" s="14"/>
      <c r="J734" s="14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 spans="1:23" ht="19.5" customHeight="1" x14ac:dyDescent="0.25">
      <c r="A735" s="9"/>
      <c r="B735" s="9"/>
      <c r="C735" s="9"/>
      <c r="D735" s="9"/>
      <c r="E735" s="9"/>
      <c r="F735" s="9"/>
      <c r="G735" s="14"/>
      <c r="H735" s="14"/>
      <c r="I735" s="14"/>
      <c r="J735" s="14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 spans="1:23" ht="19.5" customHeight="1" x14ac:dyDescent="0.25">
      <c r="A736" s="9"/>
      <c r="B736" s="9"/>
      <c r="C736" s="9"/>
      <c r="D736" s="9"/>
      <c r="E736" s="9"/>
      <c r="F736" s="9"/>
      <c r="G736" s="14"/>
      <c r="H736" s="14"/>
      <c r="I736" s="14"/>
      <c r="J736" s="14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 spans="1:23" ht="19.5" customHeight="1" x14ac:dyDescent="0.25">
      <c r="A737" s="9"/>
      <c r="B737" s="9"/>
      <c r="C737" s="9"/>
      <c r="D737" s="9"/>
      <c r="E737" s="9"/>
      <c r="F737" s="9"/>
      <c r="G737" s="14"/>
      <c r="H737" s="14"/>
      <c r="I737" s="14"/>
      <c r="J737" s="14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 spans="1:23" ht="19.5" customHeight="1" x14ac:dyDescent="0.25">
      <c r="A738" s="9"/>
      <c r="B738" s="9"/>
      <c r="C738" s="9"/>
      <c r="D738" s="9"/>
      <c r="E738" s="9"/>
      <c r="F738" s="9"/>
      <c r="G738" s="14"/>
      <c r="H738" s="14"/>
      <c r="I738" s="14"/>
      <c r="J738" s="14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 spans="1:23" ht="19.5" customHeight="1" x14ac:dyDescent="0.25">
      <c r="A739" s="9"/>
      <c r="B739" s="9"/>
      <c r="C739" s="9"/>
      <c r="D739" s="9"/>
      <c r="E739" s="9"/>
      <c r="F739" s="9"/>
      <c r="G739" s="14"/>
      <c r="H739" s="14"/>
      <c r="I739" s="14"/>
      <c r="J739" s="14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 spans="1:23" ht="19.5" customHeight="1" x14ac:dyDescent="0.25">
      <c r="A740" s="9"/>
      <c r="B740" s="9"/>
      <c r="C740" s="9"/>
      <c r="D740" s="9"/>
      <c r="E740" s="9"/>
      <c r="F740" s="9"/>
      <c r="G740" s="14"/>
      <c r="H740" s="14"/>
      <c r="I740" s="14"/>
      <c r="J740" s="14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 spans="1:23" ht="19.5" customHeight="1" x14ac:dyDescent="0.25">
      <c r="A741" s="9"/>
      <c r="B741" s="9"/>
      <c r="C741" s="9"/>
      <c r="D741" s="9"/>
      <c r="E741" s="9"/>
      <c r="F741" s="9"/>
      <c r="G741" s="14"/>
      <c r="H741" s="14"/>
      <c r="I741" s="14"/>
      <c r="J741" s="14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 spans="1:23" ht="19.5" customHeight="1" x14ac:dyDescent="0.25">
      <c r="A742" s="9"/>
      <c r="B742" s="9"/>
      <c r="C742" s="9"/>
      <c r="D742" s="9"/>
      <c r="E742" s="9"/>
      <c r="F742" s="9"/>
      <c r="G742" s="14"/>
      <c r="H742" s="14"/>
      <c r="I742" s="14"/>
      <c r="J742" s="14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 spans="1:23" ht="19.5" customHeight="1" x14ac:dyDescent="0.25">
      <c r="A743" s="9"/>
      <c r="B743" s="9"/>
      <c r="C743" s="9"/>
      <c r="D743" s="9"/>
      <c r="E743" s="9"/>
      <c r="F743" s="9"/>
      <c r="G743" s="14"/>
      <c r="H743" s="14"/>
      <c r="I743" s="14"/>
      <c r="J743" s="14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 spans="1:23" ht="19.5" customHeight="1" x14ac:dyDescent="0.25">
      <c r="A744" s="9"/>
      <c r="B744" s="9"/>
      <c r="C744" s="9"/>
      <c r="D744" s="9"/>
      <c r="E744" s="9"/>
      <c r="F744" s="9"/>
      <c r="G744" s="14"/>
      <c r="H744" s="14"/>
      <c r="I744" s="14"/>
      <c r="J744" s="14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 spans="1:23" ht="19.5" customHeight="1" x14ac:dyDescent="0.25">
      <c r="A745" s="9"/>
      <c r="B745" s="9"/>
      <c r="C745" s="9"/>
      <c r="D745" s="9"/>
      <c r="E745" s="9"/>
      <c r="F745" s="9"/>
      <c r="G745" s="14"/>
      <c r="H745" s="14"/>
      <c r="I745" s="14"/>
      <c r="J745" s="14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 spans="1:23" ht="19.5" customHeight="1" x14ac:dyDescent="0.25">
      <c r="A746" s="9"/>
      <c r="B746" s="9"/>
      <c r="C746" s="9"/>
      <c r="D746" s="9"/>
      <c r="E746" s="9"/>
      <c r="F746" s="9"/>
      <c r="G746" s="14"/>
      <c r="H746" s="14"/>
      <c r="I746" s="14"/>
      <c r="J746" s="14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 spans="1:23" ht="19.5" customHeight="1" x14ac:dyDescent="0.25">
      <c r="A747" s="9"/>
      <c r="B747" s="9"/>
      <c r="C747" s="9"/>
      <c r="D747" s="9"/>
      <c r="E747" s="9"/>
      <c r="F747" s="9"/>
      <c r="G747" s="14"/>
      <c r="H747" s="14"/>
      <c r="I747" s="14"/>
      <c r="J747" s="14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 spans="1:23" ht="19.5" customHeight="1" x14ac:dyDescent="0.25">
      <c r="A748" s="9"/>
      <c r="B748" s="9"/>
      <c r="C748" s="9"/>
      <c r="D748" s="9"/>
      <c r="E748" s="9"/>
      <c r="F748" s="9"/>
      <c r="G748" s="14"/>
      <c r="H748" s="14"/>
      <c r="I748" s="14"/>
      <c r="J748" s="14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 spans="1:23" ht="19.5" customHeight="1" x14ac:dyDescent="0.25">
      <c r="A749" s="9"/>
      <c r="B749" s="9"/>
      <c r="C749" s="9"/>
      <c r="D749" s="9"/>
      <c r="E749" s="9"/>
      <c r="F749" s="9"/>
      <c r="G749" s="14"/>
      <c r="H749" s="14"/>
      <c r="I749" s="14"/>
      <c r="J749" s="14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 spans="1:23" ht="19.5" customHeight="1" x14ac:dyDescent="0.25">
      <c r="A750" s="9"/>
      <c r="B750" s="9"/>
      <c r="C750" s="9"/>
      <c r="D750" s="9"/>
      <c r="E750" s="9"/>
      <c r="F750" s="9"/>
      <c r="G750" s="14"/>
      <c r="H750" s="14"/>
      <c r="I750" s="14"/>
      <c r="J750" s="14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 spans="1:23" ht="19.5" customHeight="1" x14ac:dyDescent="0.25">
      <c r="A751" s="9"/>
      <c r="B751" s="9"/>
      <c r="C751" s="9"/>
      <c r="D751" s="9"/>
      <c r="E751" s="9"/>
      <c r="F751" s="9"/>
      <c r="G751" s="14"/>
      <c r="H751" s="14"/>
      <c r="I751" s="14"/>
      <c r="J751" s="14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 spans="1:23" ht="19.5" customHeight="1" x14ac:dyDescent="0.25">
      <c r="A752" s="9"/>
      <c r="B752" s="9"/>
      <c r="C752" s="9"/>
      <c r="D752" s="9"/>
      <c r="E752" s="9"/>
      <c r="F752" s="9"/>
      <c r="G752" s="14"/>
      <c r="H752" s="14"/>
      <c r="I752" s="14"/>
      <c r="J752" s="14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 spans="1:23" ht="19.5" customHeight="1" x14ac:dyDescent="0.25">
      <c r="A753" s="9"/>
      <c r="B753" s="9"/>
      <c r="C753" s="9"/>
      <c r="D753" s="9"/>
      <c r="E753" s="9"/>
      <c r="F753" s="9"/>
      <c r="G753" s="14"/>
      <c r="H753" s="14"/>
      <c r="I753" s="14"/>
      <c r="J753" s="14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 spans="1:23" ht="19.5" customHeight="1" x14ac:dyDescent="0.25">
      <c r="A754" s="9"/>
      <c r="B754" s="9"/>
      <c r="C754" s="9"/>
      <c r="D754" s="9"/>
      <c r="E754" s="9"/>
      <c r="F754" s="9"/>
      <c r="G754" s="14"/>
      <c r="H754" s="14"/>
      <c r="I754" s="14"/>
      <c r="J754" s="14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 spans="1:23" ht="19.5" customHeight="1" x14ac:dyDescent="0.25">
      <c r="A755" s="9"/>
      <c r="B755" s="9"/>
      <c r="C755" s="9"/>
      <c r="D755" s="9"/>
      <c r="E755" s="9"/>
      <c r="F755" s="9"/>
      <c r="G755" s="14"/>
      <c r="H755" s="14"/>
      <c r="I755" s="14"/>
      <c r="J755" s="14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 spans="1:23" ht="19.5" customHeight="1" x14ac:dyDescent="0.25">
      <c r="A756" s="9"/>
      <c r="B756" s="9"/>
      <c r="C756" s="9"/>
      <c r="D756" s="9"/>
      <c r="E756" s="9"/>
      <c r="F756" s="9"/>
      <c r="G756" s="14"/>
      <c r="H756" s="14"/>
      <c r="I756" s="14"/>
      <c r="J756" s="14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 spans="1:23" ht="19.5" customHeight="1" x14ac:dyDescent="0.25">
      <c r="A757" s="9"/>
      <c r="B757" s="9"/>
      <c r="C757" s="9"/>
      <c r="D757" s="9"/>
      <c r="E757" s="9"/>
      <c r="F757" s="9"/>
      <c r="G757" s="14"/>
      <c r="H757" s="14"/>
      <c r="I757" s="14"/>
      <c r="J757" s="14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 spans="1:23" ht="19.5" customHeight="1" x14ac:dyDescent="0.25">
      <c r="A758" s="9"/>
      <c r="B758" s="9"/>
      <c r="C758" s="9"/>
      <c r="D758" s="9"/>
      <c r="E758" s="9"/>
      <c r="F758" s="9"/>
      <c r="G758" s="14"/>
      <c r="H758" s="14"/>
      <c r="I758" s="14"/>
      <c r="J758" s="14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 spans="1:23" ht="19.5" customHeight="1" x14ac:dyDescent="0.25">
      <c r="A759" s="9"/>
      <c r="B759" s="9"/>
      <c r="C759" s="9"/>
      <c r="D759" s="9"/>
      <c r="E759" s="9"/>
      <c r="F759" s="9"/>
      <c r="G759" s="14"/>
      <c r="H759" s="14"/>
      <c r="I759" s="14"/>
      <c r="J759" s="14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 spans="1:23" ht="19.5" customHeight="1" x14ac:dyDescent="0.25">
      <c r="A760" s="9"/>
      <c r="B760" s="9"/>
      <c r="C760" s="9"/>
      <c r="D760" s="9"/>
      <c r="E760" s="9"/>
      <c r="F760" s="9"/>
      <c r="G760" s="14"/>
      <c r="H760" s="14"/>
      <c r="I760" s="14"/>
      <c r="J760" s="14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 spans="1:23" ht="19.5" customHeight="1" x14ac:dyDescent="0.25">
      <c r="A761" s="9"/>
      <c r="B761" s="9"/>
      <c r="C761" s="9"/>
      <c r="D761" s="9"/>
      <c r="E761" s="9"/>
      <c r="F761" s="9"/>
      <c r="G761" s="14"/>
      <c r="H761" s="14"/>
      <c r="I761" s="14"/>
      <c r="J761" s="14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 spans="1:23" ht="19.5" customHeight="1" x14ac:dyDescent="0.25">
      <c r="A762" s="9"/>
      <c r="B762" s="9"/>
      <c r="C762" s="9"/>
      <c r="D762" s="9"/>
      <c r="E762" s="9"/>
      <c r="F762" s="9"/>
      <c r="G762" s="14"/>
      <c r="H762" s="14"/>
      <c r="I762" s="14"/>
      <c r="J762" s="14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 spans="1:23" ht="19.5" customHeight="1" x14ac:dyDescent="0.25">
      <c r="A763" s="9"/>
      <c r="B763" s="9"/>
      <c r="C763" s="9"/>
      <c r="D763" s="9"/>
      <c r="E763" s="9"/>
      <c r="F763" s="9"/>
      <c r="G763" s="14"/>
      <c r="H763" s="14"/>
      <c r="I763" s="14"/>
      <c r="J763" s="14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 spans="1:23" ht="19.5" customHeight="1" x14ac:dyDescent="0.25">
      <c r="A764" s="9"/>
      <c r="B764" s="9"/>
      <c r="C764" s="9"/>
      <c r="D764" s="9"/>
      <c r="E764" s="9"/>
      <c r="F764" s="9"/>
      <c r="G764" s="14"/>
      <c r="H764" s="14"/>
      <c r="I764" s="14"/>
      <c r="J764" s="14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 spans="1:23" ht="19.5" customHeight="1" x14ac:dyDescent="0.25">
      <c r="A765" s="9"/>
      <c r="B765" s="9"/>
      <c r="C765" s="9"/>
      <c r="D765" s="9"/>
      <c r="E765" s="9"/>
      <c r="F765" s="9"/>
      <c r="G765" s="14"/>
      <c r="H765" s="14"/>
      <c r="I765" s="14"/>
      <c r="J765" s="14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 spans="1:23" ht="19.5" customHeight="1" x14ac:dyDescent="0.25">
      <c r="A766" s="9"/>
      <c r="B766" s="9"/>
      <c r="C766" s="9"/>
      <c r="D766" s="9"/>
      <c r="E766" s="9"/>
      <c r="F766" s="9"/>
      <c r="G766" s="14"/>
      <c r="H766" s="14"/>
      <c r="I766" s="14"/>
      <c r="J766" s="14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 spans="1:23" ht="19.5" customHeight="1" x14ac:dyDescent="0.25">
      <c r="A767" s="9"/>
      <c r="B767" s="9"/>
      <c r="C767" s="9"/>
      <c r="D767" s="9"/>
      <c r="E767" s="9"/>
      <c r="F767" s="9"/>
      <c r="G767" s="14"/>
      <c r="H767" s="14"/>
      <c r="I767" s="14"/>
      <c r="J767" s="14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 spans="1:23" ht="19.5" customHeight="1" x14ac:dyDescent="0.25">
      <c r="A768" s="9"/>
      <c r="B768" s="9"/>
      <c r="C768" s="9"/>
      <c r="D768" s="9"/>
      <c r="E768" s="9"/>
      <c r="F768" s="9"/>
      <c r="G768" s="14"/>
      <c r="H768" s="14"/>
      <c r="I768" s="14"/>
      <c r="J768" s="14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 spans="1:23" ht="19.5" customHeight="1" x14ac:dyDescent="0.25">
      <c r="A769" s="9"/>
      <c r="B769" s="9"/>
      <c r="C769" s="9"/>
      <c r="D769" s="9"/>
      <c r="E769" s="9"/>
      <c r="F769" s="9"/>
      <c r="G769" s="14"/>
      <c r="H769" s="14"/>
      <c r="I769" s="14"/>
      <c r="J769" s="14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 spans="1:23" ht="19.5" customHeight="1" x14ac:dyDescent="0.25">
      <c r="A770" s="9"/>
      <c r="B770" s="9"/>
      <c r="C770" s="9"/>
      <c r="D770" s="9"/>
      <c r="E770" s="9"/>
      <c r="F770" s="9"/>
      <c r="G770" s="14"/>
      <c r="H770" s="14"/>
      <c r="I770" s="14"/>
      <c r="J770" s="14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 spans="1:23" ht="19.5" customHeight="1" x14ac:dyDescent="0.25">
      <c r="A771" s="9"/>
      <c r="B771" s="9"/>
      <c r="C771" s="9"/>
      <c r="D771" s="9"/>
      <c r="E771" s="9"/>
      <c r="F771" s="9"/>
      <c r="G771" s="14"/>
      <c r="H771" s="14"/>
      <c r="I771" s="14"/>
      <c r="J771" s="14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 spans="1:23" ht="19.5" customHeight="1" x14ac:dyDescent="0.25">
      <c r="A772" s="9"/>
      <c r="B772" s="9"/>
      <c r="C772" s="9"/>
      <c r="D772" s="9"/>
      <c r="E772" s="9"/>
      <c r="F772" s="9"/>
      <c r="G772" s="14"/>
      <c r="H772" s="14"/>
      <c r="I772" s="14"/>
      <c r="J772" s="14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 spans="1:23" ht="19.5" customHeight="1" x14ac:dyDescent="0.25">
      <c r="A773" s="9"/>
      <c r="B773" s="9"/>
      <c r="C773" s="9"/>
      <c r="D773" s="9"/>
      <c r="E773" s="9"/>
      <c r="F773" s="9"/>
      <c r="G773" s="14"/>
      <c r="H773" s="14"/>
      <c r="I773" s="14"/>
      <c r="J773" s="14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 spans="1:23" ht="19.5" customHeight="1" x14ac:dyDescent="0.25">
      <c r="A774" s="9"/>
      <c r="B774" s="9"/>
      <c r="C774" s="9"/>
      <c r="D774" s="9"/>
      <c r="E774" s="9"/>
      <c r="F774" s="9"/>
      <c r="G774" s="14"/>
      <c r="H774" s="14"/>
      <c r="I774" s="14"/>
      <c r="J774" s="14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 spans="1:23" ht="19.5" customHeight="1" x14ac:dyDescent="0.25">
      <c r="A775" s="9"/>
      <c r="B775" s="9"/>
      <c r="C775" s="9"/>
      <c r="D775" s="9"/>
      <c r="E775" s="9"/>
      <c r="F775" s="9"/>
      <c r="G775" s="14"/>
      <c r="H775" s="14"/>
      <c r="I775" s="14"/>
      <c r="J775" s="14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 spans="1:23" ht="19.5" customHeight="1" x14ac:dyDescent="0.25">
      <c r="A776" s="9"/>
      <c r="B776" s="9"/>
      <c r="C776" s="9"/>
      <c r="D776" s="9"/>
      <c r="E776" s="9"/>
      <c r="F776" s="9"/>
      <c r="G776" s="14"/>
      <c r="H776" s="14"/>
      <c r="I776" s="14"/>
      <c r="J776" s="14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 spans="1:23" ht="19.5" customHeight="1" x14ac:dyDescent="0.25">
      <c r="A777" s="9"/>
      <c r="B777" s="9"/>
      <c r="C777" s="9"/>
      <c r="D777" s="9"/>
      <c r="E777" s="9"/>
      <c r="F777" s="9"/>
      <c r="G777" s="14"/>
      <c r="H777" s="14"/>
      <c r="I777" s="14"/>
      <c r="J777" s="14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 spans="1:23" ht="19.5" customHeight="1" x14ac:dyDescent="0.25">
      <c r="A778" s="9"/>
      <c r="B778" s="9"/>
      <c r="C778" s="9"/>
      <c r="D778" s="9"/>
      <c r="E778" s="9"/>
      <c r="F778" s="9"/>
      <c r="G778" s="14"/>
      <c r="H778" s="14"/>
      <c r="I778" s="14"/>
      <c r="J778" s="14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 spans="1:23" ht="19.5" customHeight="1" x14ac:dyDescent="0.25">
      <c r="A779" s="9"/>
      <c r="B779" s="9"/>
      <c r="C779" s="9"/>
      <c r="D779" s="9"/>
      <c r="E779" s="9"/>
      <c r="F779" s="9"/>
      <c r="G779" s="14"/>
      <c r="H779" s="14"/>
      <c r="I779" s="14"/>
      <c r="J779" s="14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 spans="1:23" ht="19.5" customHeight="1" x14ac:dyDescent="0.25">
      <c r="A780" s="9"/>
      <c r="B780" s="9"/>
      <c r="C780" s="9"/>
      <c r="D780" s="9"/>
      <c r="E780" s="9"/>
      <c r="F780" s="9"/>
      <c r="G780" s="14"/>
      <c r="H780" s="14"/>
      <c r="I780" s="14"/>
      <c r="J780" s="14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 spans="1:23" ht="19.5" customHeight="1" x14ac:dyDescent="0.25">
      <c r="A781" s="9"/>
      <c r="B781" s="9"/>
      <c r="C781" s="9"/>
      <c r="D781" s="9"/>
      <c r="E781" s="9"/>
      <c r="F781" s="9"/>
      <c r="G781" s="14"/>
      <c r="H781" s="14"/>
      <c r="I781" s="14"/>
      <c r="J781" s="14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 spans="1:23" ht="19.5" customHeight="1" x14ac:dyDescent="0.25">
      <c r="A782" s="9"/>
      <c r="B782" s="9"/>
      <c r="C782" s="9"/>
      <c r="D782" s="9"/>
      <c r="E782" s="9"/>
      <c r="F782" s="9"/>
      <c r="G782" s="14"/>
      <c r="H782" s="14"/>
      <c r="I782" s="14"/>
      <c r="J782" s="14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 spans="1:23" ht="19.5" customHeight="1" x14ac:dyDescent="0.25">
      <c r="A783" s="9"/>
      <c r="B783" s="9"/>
      <c r="C783" s="9"/>
      <c r="D783" s="9"/>
      <c r="E783" s="9"/>
      <c r="F783" s="9"/>
      <c r="G783" s="14"/>
      <c r="H783" s="14"/>
      <c r="I783" s="14"/>
      <c r="J783" s="14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 spans="1:23" ht="19.5" customHeight="1" x14ac:dyDescent="0.25">
      <c r="A784" s="9"/>
      <c r="B784" s="9"/>
      <c r="C784" s="9"/>
      <c r="D784" s="9"/>
      <c r="E784" s="9"/>
      <c r="F784" s="9"/>
      <c r="G784" s="14"/>
      <c r="H784" s="14"/>
      <c r="I784" s="14"/>
      <c r="J784" s="14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 spans="1:23" ht="19.5" customHeight="1" x14ac:dyDescent="0.25">
      <c r="A785" s="9"/>
      <c r="B785" s="9"/>
      <c r="C785" s="9"/>
      <c r="D785" s="9"/>
      <c r="E785" s="9"/>
      <c r="F785" s="9"/>
      <c r="G785" s="14"/>
      <c r="H785" s="14"/>
      <c r="I785" s="14"/>
      <c r="J785" s="14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 spans="1:23" ht="19.5" customHeight="1" x14ac:dyDescent="0.25">
      <c r="A786" s="9"/>
      <c r="B786" s="9"/>
      <c r="C786" s="9"/>
      <c r="D786" s="9"/>
      <c r="E786" s="9"/>
      <c r="F786" s="9"/>
      <c r="G786" s="14"/>
      <c r="H786" s="14"/>
      <c r="I786" s="14"/>
      <c r="J786" s="14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 spans="1:23" ht="19.5" customHeight="1" x14ac:dyDescent="0.25">
      <c r="A787" s="9"/>
      <c r="B787" s="9"/>
      <c r="C787" s="9"/>
      <c r="D787" s="9"/>
      <c r="E787" s="9"/>
      <c r="F787" s="9"/>
      <c r="G787" s="14"/>
      <c r="H787" s="14"/>
      <c r="I787" s="14"/>
      <c r="J787" s="14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 spans="1:23" ht="19.5" customHeight="1" x14ac:dyDescent="0.25">
      <c r="A788" s="9"/>
      <c r="B788" s="9"/>
      <c r="C788" s="9"/>
      <c r="D788" s="9"/>
      <c r="E788" s="9"/>
      <c r="F788" s="9"/>
      <c r="G788" s="14"/>
      <c r="H788" s="14"/>
      <c r="I788" s="14"/>
      <c r="J788" s="14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 spans="1:23" ht="19.5" customHeight="1" x14ac:dyDescent="0.25">
      <c r="A789" s="9"/>
      <c r="B789" s="9"/>
      <c r="C789" s="9"/>
      <c r="D789" s="9"/>
      <c r="E789" s="9"/>
      <c r="F789" s="9"/>
      <c r="G789" s="14"/>
      <c r="H789" s="14"/>
      <c r="I789" s="14"/>
      <c r="J789" s="14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 spans="1:23" ht="19.5" customHeight="1" x14ac:dyDescent="0.25">
      <c r="A790" s="9"/>
      <c r="B790" s="9"/>
      <c r="C790" s="9"/>
      <c r="D790" s="9"/>
      <c r="E790" s="9"/>
      <c r="F790" s="9"/>
      <c r="G790" s="14"/>
      <c r="H790" s="14"/>
      <c r="I790" s="14"/>
      <c r="J790" s="14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 spans="1:23" ht="19.5" customHeight="1" x14ac:dyDescent="0.25">
      <c r="A791" s="9"/>
      <c r="B791" s="9"/>
      <c r="C791" s="9"/>
      <c r="D791" s="9"/>
      <c r="E791" s="9"/>
      <c r="F791" s="9"/>
      <c r="G791" s="14"/>
      <c r="H791" s="14"/>
      <c r="I791" s="14"/>
      <c r="J791" s="14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 spans="1:23" ht="19.5" customHeight="1" x14ac:dyDescent="0.25">
      <c r="A792" s="9"/>
      <c r="B792" s="9"/>
      <c r="C792" s="9"/>
      <c r="D792" s="9"/>
      <c r="E792" s="9"/>
      <c r="F792" s="9"/>
      <c r="G792" s="14"/>
      <c r="H792" s="14"/>
      <c r="I792" s="14"/>
      <c r="J792" s="14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 spans="1:23" ht="19.5" customHeight="1" x14ac:dyDescent="0.25">
      <c r="A793" s="9"/>
      <c r="B793" s="9"/>
      <c r="C793" s="9"/>
      <c r="D793" s="9"/>
      <c r="E793" s="9"/>
      <c r="F793" s="9"/>
      <c r="G793" s="14"/>
      <c r="H793" s="14"/>
      <c r="I793" s="14"/>
      <c r="J793" s="14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 spans="1:23" ht="19.5" customHeight="1" x14ac:dyDescent="0.25">
      <c r="A794" s="9"/>
      <c r="B794" s="9"/>
      <c r="C794" s="9"/>
      <c r="D794" s="9"/>
      <c r="E794" s="9"/>
      <c r="F794" s="9"/>
      <c r="G794" s="14"/>
      <c r="H794" s="14"/>
      <c r="I794" s="14"/>
      <c r="J794" s="14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 spans="1:23" ht="19.5" customHeight="1" x14ac:dyDescent="0.25">
      <c r="A795" s="9"/>
      <c r="B795" s="9"/>
      <c r="C795" s="9"/>
      <c r="D795" s="9"/>
      <c r="E795" s="9"/>
      <c r="F795" s="9"/>
      <c r="G795" s="14"/>
      <c r="H795" s="14"/>
      <c r="I795" s="14"/>
      <c r="J795" s="14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 spans="1:23" ht="19.5" customHeight="1" x14ac:dyDescent="0.25">
      <c r="A796" s="9"/>
      <c r="B796" s="9"/>
      <c r="C796" s="9"/>
      <c r="D796" s="9"/>
      <c r="E796" s="9"/>
      <c r="F796" s="9"/>
      <c r="G796" s="14"/>
      <c r="H796" s="14"/>
      <c r="I796" s="14"/>
      <c r="J796" s="14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 spans="1:23" ht="19.5" customHeight="1" x14ac:dyDescent="0.25">
      <c r="A797" s="9"/>
      <c r="B797" s="9"/>
      <c r="C797" s="9"/>
      <c r="D797" s="9"/>
      <c r="E797" s="9"/>
      <c r="F797" s="9"/>
      <c r="G797" s="14"/>
      <c r="H797" s="14"/>
      <c r="I797" s="14"/>
      <c r="J797" s="14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 spans="1:23" ht="19.5" customHeight="1" x14ac:dyDescent="0.25">
      <c r="A798" s="9"/>
      <c r="B798" s="9"/>
      <c r="C798" s="9"/>
      <c r="D798" s="9"/>
      <c r="E798" s="9"/>
      <c r="F798" s="9"/>
      <c r="G798" s="14"/>
      <c r="H798" s="14"/>
      <c r="I798" s="14"/>
      <c r="J798" s="14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 spans="1:23" ht="19.5" customHeight="1" x14ac:dyDescent="0.25">
      <c r="A799" s="9"/>
      <c r="B799" s="9"/>
      <c r="C799" s="9"/>
      <c r="D799" s="9"/>
      <c r="E799" s="9"/>
      <c r="F799" s="9"/>
      <c r="G799" s="14"/>
      <c r="H799" s="14"/>
      <c r="I799" s="14"/>
      <c r="J799" s="14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 spans="1:23" ht="19.5" customHeight="1" x14ac:dyDescent="0.25">
      <c r="A800" s="9"/>
      <c r="B800" s="9"/>
      <c r="C800" s="9"/>
      <c r="D800" s="9"/>
      <c r="E800" s="9"/>
      <c r="F800" s="9"/>
      <c r="G800" s="14"/>
      <c r="H800" s="14"/>
      <c r="I800" s="14"/>
      <c r="J800" s="14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 spans="1:23" ht="19.5" customHeight="1" x14ac:dyDescent="0.25">
      <c r="A801" s="9"/>
      <c r="B801" s="9"/>
      <c r="C801" s="9"/>
      <c r="D801" s="9"/>
      <c r="E801" s="9"/>
      <c r="F801" s="9"/>
      <c r="G801" s="14"/>
      <c r="H801" s="14"/>
      <c r="I801" s="14"/>
      <c r="J801" s="14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 spans="1:23" ht="19.5" customHeight="1" x14ac:dyDescent="0.25">
      <c r="A802" s="9"/>
      <c r="B802" s="9"/>
      <c r="C802" s="9"/>
      <c r="D802" s="9"/>
      <c r="E802" s="9"/>
      <c r="F802" s="9"/>
      <c r="G802" s="14"/>
      <c r="H802" s="14"/>
      <c r="I802" s="14"/>
      <c r="J802" s="14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 spans="1:23" ht="19.5" customHeight="1" x14ac:dyDescent="0.25">
      <c r="A803" s="9"/>
      <c r="B803" s="9"/>
      <c r="C803" s="9"/>
      <c r="D803" s="9"/>
      <c r="E803" s="9"/>
      <c r="F803" s="9"/>
      <c r="G803" s="14"/>
      <c r="H803" s="14"/>
      <c r="I803" s="14"/>
      <c r="J803" s="14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 spans="1:23" ht="19.5" customHeight="1" x14ac:dyDescent="0.25">
      <c r="A804" s="9"/>
      <c r="B804" s="9"/>
      <c r="C804" s="9"/>
      <c r="D804" s="9"/>
      <c r="E804" s="9"/>
      <c r="F804" s="9"/>
      <c r="G804" s="14"/>
      <c r="H804" s="14"/>
      <c r="I804" s="14"/>
      <c r="J804" s="14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 spans="1:23" ht="19.5" customHeight="1" x14ac:dyDescent="0.25">
      <c r="A805" s="9"/>
      <c r="B805" s="9"/>
      <c r="C805" s="9"/>
      <c r="D805" s="9"/>
      <c r="E805" s="9"/>
      <c r="F805" s="9"/>
      <c r="G805" s="14"/>
      <c r="H805" s="14"/>
      <c r="I805" s="14"/>
      <c r="J805" s="14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 spans="1:23" ht="19.5" customHeight="1" x14ac:dyDescent="0.25">
      <c r="A806" s="9"/>
      <c r="B806" s="9"/>
      <c r="C806" s="9"/>
      <c r="D806" s="9"/>
      <c r="E806" s="9"/>
      <c r="F806" s="9"/>
      <c r="G806" s="14"/>
      <c r="H806" s="14"/>
      <c r="I806" s="14"/>
      <c r="J806" s="14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 spans="1:23" ht="19.5" customHeight="1" x14ac:dyDescent="0.25">
      <c r="A807" s="9"/>
      <c r="B807" s="9"/>
      <c r="C807" s="9"/>
      <c r="D807" s="9"/>
      <c r="E807" s="9"/>
      <c r="F807" s="9"/>
      <c r="G807" s="14"/>
      <c r="H807" s="14"/>
      <c r="I807" s="14"/>
      <c r="J807" s="14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 spans="1:23" ht="19.5" customHeight="1" x14ac:dyDescent="0.25">
      <c r="A808" s="9"/>
      <c r="B808" s="9"/>
      <c r="C808" s="9"/>
      <c r="D808" s="9"/>
      <c r="E808" s="9"/>
      <c r="F808" s="9"/>
      <c r="G808" s="14"/>
      <c r="H808" s="14"/>
      <c r="I808" s="14"/>
      <c r="J808" s="14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 spans="1:23" ht="19.5" customHeight="1" x14ac:dyDescent="0.25">
      <c r="A809" s="9"/>
      <c r="B809" s="9"/>
      <c r="C809" s="9"/>
      <c r="D809" s="9"/>
      <c r="E809" s="9"/>
      <c r="F809" s="9"/>
      <c r="G809" s="14"/>
      <c r="H809" s="14"/>
      <c r="I809" s="14"/>
      <c r="J809" s="14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 spans="1:23" ht="19.5" customHeight="1" x14ac:dyDescent="0.25">
      <c r="A810" s="9"/>
      <c r="B810" s="9"/>
      <c r="C810" s="9"/>
      <c r="D810" s="9"/>
      <c r="E810" s="9"/>
      <c r="F810" s="9"/>
      <c r="G810" s="14"/>
      <c r="H810" s="14"/>
      <c r="I810" s="14"/>
      <c r="J810" s="14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 spans="1:23" ht="19.5" customHeight="1" x14ac:dyDescent="0.25">
      <c r="A811" s="9"/>
      <c r="B811" s="9"/>
      <c r="C811" s="9"/>
      <c r="D811" s="9"/>
      <c r="E811" s="9"/>
      <c r="F811" s="9"/>
      <c r="G811" s="14"/>
      <c r="H811" s="14"/>
      <c r="I811" s="14"/>
      <c r="J811" s="14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 spans="1:23" ht="19.5" customHeight="1" x14ac:dyDescent="0.25">
      <c r="A812" s="9"/>
      <c r="B812" s="9"/>
      <c r="C812" s="9"/>
      <c r="D812" s="9"/>
      <c r="E812" s="9"/>
      <c r="F812" s="9"/>
      <c r="G812" s="14"/>
      <c r="H812" s="14"/>
      <c r="I812" s="14"/>
      <c r="J812" s="14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 spans="1:23" ht="19.5" customHeight="1" x14ac:dyDescent="0.25">
      <c r="A813" s="9"/>
      <c r="B813" s="9"/>
      <c r="C813" s="9"/>
      <c r="D813" s="9"/>
      <c r="E813" s="9"/>
      <c r="F813" s="9"/>
      <c r="G813" s="14"/>
      <c r="H813" s="14"/>
      <c r="I813" s="14"/>
      <c r="J813" s="14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 spans="1:23" ht="19.5" customHeight="1" x14ac:dyDescent="0.25">
      <c r="A814" s="9"/>
      <c r="B814" s="9"/>
      <c r="C814" s="9"/>
      <c r="D814" s="9"/>
      <c r="E814" s="9"/>
      <c r="F814" s="9"/>
      <c r="G814" s="14"/>
      <c r="H814" s="14"/>
      <c r="I814" s="14"/>
      <c r="J814" s="14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 spans="1:23" ht="19.5" customHeight="1" x14ac:dyDescent="0.25">
      <c r="A815" s="9"/>
      <c r="B815" s="9"/>
      <c r="C815" s="9"/>
      <c r="D815" s="9"/>
      <c r="E815" s="9"/>
      <c r="F815" s="9"/>
      <c r="G815" s="14"/>
      <c r="H815" s="14"/>
      <c r="I815" s="14"/>
      <c r="J815" s="14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 spans="1:23" ht="19.5" customHeight="1" x14ac:dyDescent="0.25">
      <c r="A816" s="9"/>
      <c r="B816" s="9"/>
      <c r="C816" s="9"/>
      <c r="D816" s="9"/>
      <c r="E816" s="9"/>
      <c r="F816" s="9"/>
      <c r="G816" s="14"/>
      <c r="H816" s="14"/>
      <c r="I816" s="14"/>
      <c r="J816" s="14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 spans="1:23" ht="19.5" customHeight="1" x14ac:dyDescent="0.25">
      <c r="A817" s="9"/>
      <c r="B817" s="9"/>
      <c r="C817" s="9"/>
      <c r="D817" s="9"/>
      <c r="E817" s="9"/>
      <c r="F817" s="9"/>
      <c r="G817" s="14"/>
      <c r="H817" s="14"/>
      <c r="I817" s="14"/>
      <c r="J817" s="14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 spans="1:23" ht="19.5" customHeight="1" x14ac:dyDescent="0.25">
      <c r="A818" s="9"/>
      <c r="B818" s="9"/>
      <c r="C818" s="9"/>
      <c r="D818" s="9"/>
      <c r="E818" s="9"/>
      <c r="F818" s="9"/>
      <c r="G818" s="14"/>
      <c r="H818" s="14"/>
      <c r="I818" s="14"/>
      <c r="J818" s="14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 spans="1:23" ht="19.5" customHeight="1" x14ac:dyDescent="0.25">
      <c r="A819" s="9"/>
      <c r="B819" s="9"/>
      <c r="C819" s="9"/>
      <c r="D819" s="9"/>
      <c r="E819" s="9"/>
      <c r="F819" s="9"/>
      <c r="G819" s="14"/>
      <c r="H819" s="14"/>
      <c r="I819" s="14"/>
      <c r="J819" s="14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 spans="1:23" ht="19.5" customHeight="1" x14ac:dyDescent="0.25">
      <c r="A820" s="9"/>
      <c r="B820" s="9"/>
      <c r="C820" s="9"/>
      <c r="D820" s="9"/>
      <c r="E820" s="9"/>
      <c r="F820" s="9"/>
      <c r="G820" s="14"/>
      <c r="H820" s="14"/>
      <c r="I820" s="14"/>
      <c r="J820" s="14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 spans="1:23" ht="19.5" customHeight="1" x14ac:dyDescent="0.25">
      <c r="A821" s="9"/>
      <c r="B821" s="9"/>
      <c r="C821" s="9"/>
      <c r="D821" s="9"/>
      <c r="E821" s="9"/>
      <c r="F821" s="9"/>
      <c r="G821" s="14"/>
      <c r="H821" s="14"/>
      <c r="I821" s="14"/>
      <c r="J821" s="14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 spans="1:23" ht="19.5" customHeight="1" x14ac:dyDescent="0.25">
      <c r="A822" s="9"/>
      <c r="B822" s="9"/>
      <c r="C822" s="9"/>
      <c r="D822" s="9"/>
      <c r="E822" s="9"/>
      <c r="F822" s="9"/>
      <c r="G822" s="14"/>
      <c r="H822" s="14"/>
      <c r="I822" s="14"/>
      <c r="J822" s="14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 spans="1:23" ht="19.5" customHeight="1" x14ac:dyDescent="0.25">
      <c r="A823" s="9"/>
      <c r="B823" s="9"/>
      <c r="C823" s="9"/>
      <c r="D823" s="9"/>
      <c r="E823" s="9"/>
      <c r="F823" s="9"/>
      <c r="G823" s="14"/>
      <c r="H823" s="14"/>
      <c r="I823" s="14"/>
      <c r="J823" s="14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 spans="1:23" ht="19.5" customHeight="1" x14ac:dyDescent="0.25">
      <c r="A824" s="9"/>
      <c r="B824" s="9"/>
      <c r="C824" s="9"/>
      <c r="D824" s="9"/>
      <c r="E824" s="9"/>
      <c r="F824" s="9"/>
      <c r="G824" s="14"/>
      <c r="H824" s="14"/>
      <c r="I824" s="14"/>
      <c r="J824" s="14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 spans="1:23" ht="19.5" customHeight="1" x14ac:dyDescent="0.25">
      <c r="A825" s="9"/>
      <c r="B825" s="9"/>
      <c r="C825" s="9"/>
      <c r="D825" s="9"/>
      <c r="E825" s="9"/>
      <c r="F825" s="9"/>
      <c r="G825" s="14"/>
      <c r="H825" s="14"/>
      <c r="I825" s="14"/>
      <c r="J825" s="14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 spans="1:23" ht="19.5" customHeight="1" x14ac:dyDescent="0.25">
      <c r="A826" s="9"/>
      <c r="B826" s="9"/>
      <c r="C826" s="9"/>
      <c r="D826" s="9"/>
      <c r="E826" s="9"/>
      <c r="F826" s="9"/>
      <c r="G826" s="14"/>
      <c r="H826" s="14"/>
      <c r="I826" s="14"/>
      <c r="J826" s="14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 spans="1:23" ht="19.5" customHeight="1" x14ac:dyDescent="0.25">
      <c r="A827" s="9"/>
      <c r="B827" s="9"/>
      <c r="C827" s="9"/>
      <c r="D827" s="9"/>
      <c r="E827" s="9"/>
      <c r="F827" s="9"/>
      <c r="G827" s="14"/>
      <c r="H827" s="14"/>
      <c r="I827" s="14"/>
      <c r="J827" s="14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 spans="1:23" ht="19.5" customHeight="1" x14ac:dyDescent="0.25">
      <c r="A828" s="9"/>
      <c r="B828" s="9"/>
      <c r="C828" s="9"/>
      <c r="D828" s="9"/>
      <c r="E828" s="9"/>
      <c r="F828" s="9"/>
      <c r="G828" s="14"/>
      <c r="H828" s="14"/>
      <c r="I828" s="14"/>
      <c r="J828" s="14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 spans="1:23" ht="19.5" customHeight="1" x14ac:dyDescent="0.25">
      <c r="A829" s="9"/>
      <c r="B829" s="9"/>
      <c r="C829" s="9"/>
      <c r="D829" s="9"/>
      <c r="E829" s="9"/>
      <c r="F829" s="9"/>
      <c r="G829" s="14"/>
      <c r="H829" s="14"/>
      <c r="I829" s="14"/>
      <c r="J829" s="14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 spans="1:23" ht="19.5" customHeight="1" x14ac:dyDescent="0.25">
      <c r="A830" s="9"/>
      <c r="B830" s="9"/>
      <c r="C830" s="9"/>
      <c r="D830" s="9"/>
      <c r="E830" s="9"/>
      <c r="F830" s="9"/>
      <c r="G830" s="14"/>
      <c r="H830" s="14"/>
      <c r="I830" s="14"/>
      <c r="J830" s="14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 spans="1:23" ht="19.5" customHeight="1" x14ac:dyDescent="0.25">
      <c r="A831" s="9"/>
      <c r="B831" s="9"/>
      <c r="C831" s="9"/>
      <c r="D831" s="9"/>
      <c r="E831" s="9"/>
      <c r="F831" s="9"/>
      <c r="G831" s="14"/>
      <c r="H831" s="14"/>
      <c r="I831" s="14"/>
      <c r="J831" s="14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 spans="1:23" ht="19.5" customHeight="1" x14ac:dyDescent="0.25">
      <c r="A832" s="9"/>
      <c r="B832" s="9"/>
      <c r="C832" s="9"/>
      <c r="D832" s="9"/>
      <c r="E832" s="9"/>
      <c r="F832" s="9"/>
      <c r="G832" s="14"/>
      <c r="H832" s="14"/>
      <c r="I832" s="14"/>
      <c r="J832" s="14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 spans="1:23" ht="19.5" customHeight="1" x14ac:dyDescent="0.25">
      <c r="A833" s="9"/>
      <c r="B833" s="9"/>
      <c r="C833" s="9"/>
      <c r="D833" s="9"/>
      <c r="E833" s="9"/>
      <c r="F833" s="9"/>
      <c r="G833" s="14"/>
      <c r="H833" s="14"/>
      <c r="I833" s="14"/>
      <c r="J833" s="14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 spans="1:23" ht="19.5" customHeight="1" x14ac:dyDescent="0.25">
      <c r="A834" s="9"/>
      <c r="B834" s="9"/>
      <c r="C834" s="9"/>
      <c r="D834" s="9"/>
      <c r="E834" s="9"/>
      <c r="F834" s="9"/>
      <c r="G834" s="14"/>
      <c r="H834" s="14"/>
      <c r="I834" s="14"/>
      <c r="J834" s="14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 spans="1:23" ht="19.5" customHeight="1" x14ac:dyDescent="0.25">
      <c r="A835" s="9"/>
      <c r="B835" s="9"/>
      <c r="C835" s="9"/>
      <c r="D835" s="9"/>
      <c r="E835" s="9"/>
      <c r="F835" s="9"/>
      <c r="G835" s="14"/>
      <c r="H835" s="14"/>
      <c r="I835" s="14"/>
      <c r="J835" s="14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 spans="1:23" ht="19.5" customHeight="1" x14ac:dyDescent="0.25">
      <c r="A836" s="9"/>
      <c r="B836" s="9"/>
      <c r="C836" s="9"/>
      <c r="D836" s="9"/>
      <c r="E836" s="9"/>
      <c r="F836" s="9"/>
      <c r="G836" s="14"/>
      <c r="H836" s="14"/>
      <c r="I836" s="14"/>
      <c r="J836" s="14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 spans="1:23" ht="19.5" customHeight="1" x14ac:dyDescent="0.25">
      <c r="A837" s="9"/>
      <c r="B837" s="9"/>
      <c r="C837" s="9"/>
      <c r="D837" s="9"/>
      <c r="E837" s="9"/>
      <c r="F837" s="9"/>
      <c r="G837" s="14"/>
      <c r="H837" s="14"/>
      <c r="I837" s="14"/>
      <c r="J837" s="14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 spans="1:23" ht="19.5" customHeight="1" x14ac:dyDescent="0.25">
      <c r="A838" s="9"/>
      <c r="B838" s="9"/>
      <c r="C838" s="9"/>
      <c r="D838" s="9"/>
      <c r="E838" s="9"/>
      <c r="F838" s="9"/>
      <c r="G838" s="14"/>
      <c r="H838" s="14"/>
      <c r="I838" s="14"/>
      <c r="J838" s="14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 spans="1:23" ht="19.5" customHeight="1" x14ac:dyDescent="0.25">
      <c r="A839" s="9"/>
      <c r="B839" s="9"/>
      <c r="C839" s="9"/>
      <c r="D839" s="9"/>
      <c r="E839" s="9"/>
      <c r="F839" s="9"/>
      <c r="G839" s="14"/>
      <c r="H839" s="14"/>
      <c r="I839" s="14"/>
      <c r="J839" s="14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 spans="1:23" ht="19.5" customHeight="1" x14ac:dyDescent="0.25">
      <c r="A840" s="9"/>
      <c r="B840" s="9"/>
      <c r="C840" s="9"/>
      <c r="D840" s="9"/>
      <c r="E840" s="9"/>
      <c r="F840" s="9"/>
      <c r="G840" s="14"/>
      <c r="H840" s="14"/>
      <c r="I840" s="14"/>
      <c r="J840" s="14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 spans="1:23" ht="19.5" customHeight="1" x14ac:dyDescent="0.25">
      <c r="A841" s="9"/>
      <c r="B841" s="9"/>
      <c r="C841" s="9"/>
      <c r="D841" s="9"/>
      <c r="E841" s="9"/>
      <c r="F841" s="9"/>
      <c r="G841" s="14"/>
      <c r="H841" s="14"/>
      <c r="I841" s="14"/>
      <c r="J841" s="14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 spans="1:23" ht="19.5" customHeight="1" x14ac:dyDescent="0.25">
      <c r="A842" s="9"/>
      <c r="B842" s="9"/>
      <c r="C842" s="9"/>
      <c r="D842" s="9"/>
      <c r="E842" s="9"/>
      <c r="F842" s="9"/>
      <c r="G842" s="14"/>
      <c r="H842" s="14"/>
      <c r="I842" s="14"/>
      <c r="J842" s="14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 spans="1:23" ht="19.5" customHeight="1" x14ac:dyDescent="0.25">
      <c r="A843" s="9"/>
      <c r="B843" s="9"/>
      <c r="C843" s="9"/>
      <c r="D843" s="9"/>
      <c r="E843" s="9"/>
      <c r="F843" s="9"/>
      <c r="G843" s="14"/>
      <c r="H843" s="14"/>
      <c r="I843" s="14"/>
      <c r="J843" s="14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 spans="1:23" ht="19.5" customHeight="1" x14ac:dyDescent="0.25">
      <c r="A844" s="9"/>
      <c r="B844" s="9"/>
      <c r="C844" s="9"/>
      <c r="D844" s="9"/>
      <c r="E844" s="9"/>
      <c r="F844" s="9"/>
      <c r="G844" s="14"/>
      <c r="H844" s="14"/>
      <c r="I844" s="14"/>
      <c r="J844" s="14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 spans="1:23" ht="19.5" customHeight="1" x14ac:dyDescent="0.25">
      <c r="A845" s="9"/>
      <c r="B845" s="9"/>
      <c r="C845" s="9"/>
      <c r="D845" s="9"/>
      <c r="E845" s="9"/>
      <c r="F845" s="9"/>
      <c r="G845" s="14"/>
      <c r="H845" s="14"/>
      <c r="I845" s="14"/>
      <c r="J845" s="14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 spans="1:23" ht="19.5" customHeight="1" x14ac:dyDescent="0.25">
      <c r="A846" s="9"/>
      <c r="B846" s="9"/>
      <c r="C846" s="9"/>
      <c r="D846" s="9"/>
      <c r="E846" s="9"/>
      <c r="F846" s="9"/>
      <c r="G846" s="14"/>
      <c r="H846" s="14"/>
      <c r="I846" s="14"/>
      <c r="J846" s="14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 spans="1:23" ht="19.5" customHeight="1" x14ac:dyDescent="0.25">
      <c r="A847" s="9"/>
      <c r="B847" s="9"/>
      <c r="C847" s="9"/>
      <c r="D847" s="9"/>
      <c r="E847" s="9"/>
      <c r="F847" s="9"/>
      <c r="G847" s="14"/>
      <c r="H847" s="14"/>
      <c r="I847" s="14"/>
      <c r="J847" s="14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 spans="1:23" ht="19.5" customHeight="1" x14ac:dyDescent="0.25">
      <c r="A848" s="9"/>
      <c r="B848" s="9"/>
      <c r="C848" s="9"/>
      <c r="D848" s="9"/>
      <c r="E848" s="9"/>
      <c r="F848" s="9"/>
      <c r="G848" s="14"/>
      <c r="H848" s="14"/>
      <c r="I848" s="14"/>
      <c r="J848" s="14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 spans="1:23" ht="19.5" customHeight="1" x14ac:dyDescent="0.25">
      <c r="A849" s="9"/>
      <c r="B849" s="9"/>
      <c r="C849" s="9"/>
      <c r="D849" s="9"/>
      <c r="E849" s="9"/>
      <c r="F849" s="9"/>
      <c r="G849" s="14"/>
      <c r="H849" s="14"/>
      <c r="I849" s="14"/>
      <c r="J849" s="14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 spans="1:23" ht="19.5" customHeight="1" x14ac:dyDescent="0.25">
      <c r="A850" s="9"/>
      <c r="B850" s="9"/>
      <c r="C850" s="9"/>
      <c r="D850" s="9"/>
      <c r="E850" s="9"/>
      <c r="F850" s="9"/>
      <c r="G850" s="14"/>
      <c r="H850" s="14"/>
      <c r="I850" s="14"/>
      <c r="J850" s="14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 spans="1:23" ht="19.5" customHeight="1" x14ac:dyDescent="0.25">
      <c r="A851" s="9"/>
      <c r="B851" s="9"/>
      <c r="C851" s="9"/>
      <c r="D851" s="9"/>
      <c r="E851" s="9"/>
      <c r="F851" s="9"/>
      <c r="G851" s="14"/>
      <c r="H851" s="14"/>
      <c r="I851" s="14"/>
      <c r="J851" s="14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 spans="1:23" ht="19.5" customHeight="1" x14ac:dyDescent="0.25">
      <c r="A852" s="9"/>
      <c r="B852" s="9"/>
      <c r="C852" s="9"/>
      <c r="D852" s="9"/>
      <c r="E852" s="9"/>
      <c r="F852" s="9"/>
      <c r="G852" s="14"/>
      <c r="H852" s="14"/>
      <c r="I852" s="14"/>
      <c r="J852" s="14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 spans="1:23" ht="19.5" customHeight="1" x14ac:dyDescent="0.25">
      <c r="A853" s="9"/>
      <c r="B853" s="9"/>
      <c r="C853" s="9"/>
      <c r="D853" s="9"/>
      <c r="E853" s="9"/>
      <c r="F853" s="9"/>
      <c r="G853" s="14"/>
      <c r="H853" s="14"/>
      <c r="I853" s="14"/>
      <c r="J853" s="14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 spans="1:23" ht="19.5" customHeight="1" x14ac:dyDescent="0.25">
      <c r="A854" s="9"/>
      <c r="B854" s="9"/>
      <c r="C854" s="9"/>
      <c r="D854" s="9"/>
      <c r="E854" s="9"/>
      <c r="F854" s="9"/>
      <c r="G854" s="14"/>
      <c r="H854" s="14"/>
      <c r="I854" s="14"/>
      <c r="J854" s="14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 spans="1:23" ht="19.5" customHeight="1" x14ac:dyDescent="0.25">
      <c r="A855" s="9"/>
      <c r="B855" s="9"/>
      <c r="C855" s="9"/>
      <c r="D855" s="9"/>
      <c r="E855" s="9"/>
      <c r="F855" s="9"/>
      <c r="G855" s="14"/>
      <c r="H855" s="14"/>
      <c r="I855" s="14"/>
      <c r="J855" s="14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 spans="1:23" ht="19.5" customHeight="1" x14ac:dyDescent="0.25">
      <c r="A856" s="9"/>
      <c r="B856" s="9"/>
      <c r="C856" s="9"/>
      <c r="D856" s="9"/>
      <c r="E856" s="9"/>
      <c r="F856" s="9"/>
      <c r="G856" s="14"/>
      <c r="H856" s="14"/>
      <c r="I856" s="14"/>
      <c r="J856" s="14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 spans="1:23" ht="19.5" customHeight="1" x14ac:dyDescent="0.25">
      <c r="A857" s="9"/>
      <c r="B857" s="9"/>
      <c r="C857" s="9"/>
      <c r="D857" s="9"/>
      <c r="E857" s="9"/>
      <c r="F857" s="9"/>
      <c r="G857" s="14"/>
      <c r="H857" s="14"/>
      <c r="I857" s="14"/>
      <c r="J857" s="14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 spans="1:23" ht="19.5" customHeight="1" x14ac:dyDescent="0.25">
      <c r="A858" s="9"/>
      <c r="B858" s="9"/>
      <c r="C858" s="9"/>
      <c r="D858" s="9"/>
      <c r="E858" s="9"/>
      <c r="F858" s="9"/>
      <c r="G858" s="14"/>
      <c r="H858" s="14"/>
      <c r="I858" s="14"/>
      <c r="J858" s="14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 spans="1:23" ht="19.5" customHeight="1" x14ac:dyDescent="0.25">
      <c r="A859" s="9"/>
      <c r="B859" s="9"/>
      <c r="C859" s="9"/>
      <c r="D859" s="9"/>
      <c r="E859" s="9"/>
      <c r="F859" s="9"/>
      <c r="G859" s="14"/>
      <c r="H859" s="14"/>
      <c r="I859" s="14"/>
      <c r="J859" s="14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 spans="1:23" ht="19.5" customHeight="1" x14ac:dyDescent="0.25">
      <c r="A860" s="9"/>
      <c r="B860" s="9"/>
      <c r="C860" s="9"/>
      <c r="D860" s="9"/>
      <c r="E860" s="9"/>
      <c r="F860" s="9"/>
      <c r="G860" s="14"/>
      <c r="H860" s="14"/>
      <c r="I860" s="14"/>
      <c r="J860" s="14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 spans="1:23" ht="19.5" customHeight="1" x14ac:dyDescent="0.25">
      <c r="A861" s="9"/>
      <c r="B861" s="9"/>
      <c r="C861" s="9"/>
      <c r="D861" s="9"/>
      <c r="E861" s="9"/>
      <c r="F861" s="9"/>
      <c r="G861" s="14"/>
      <c r="H861" s="14"/>
      <c r="I861" s="14"/>
      <c r="J861" s="14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 spans="1:23" ht="19.5" customHeight="1" x14ac:dyDescent="0.25">
      <c r="A862" s="9"/>
      <c r="B862" s="9"/>
      <c r="C862" s="9"/>
      <c r="D862" s="9"/>
      <c r="E862" s="9"/>
      <c r="F862" s="9"/>
      <c r="G862" s="14"/>
      <c r="H862" s="14"/>
      <c r="I862" s="14"/>
      <c r="J862" s="14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 spans="1:23" ht="19.5" customHeight="1" x14ac:dyDescent="0.25">
      <c r="A863" s="9"/>
      <c r="B863" s="9"/>
      <c r="C863" s="9"/>
      <c r="D863" s="9"/>
      <c r="E863" s="9"/>
      <c r="F863" s="9"/>
      <c r="G863" s="14"/>
      <c r="H863" s="14"/>
      <c r="I863" s="14"/>
      <c r="J863" s="14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 spans="1:23" ht="19.5" customHeight="1" x14ac:dyDescent="0.25">
      <c r="A864" s="9"/>
      <c r="B864" s="9"/>
      <c r="C864" s="9"/>
      <c r="D864" s="9"/>
      <c r="E864" s="9"/>
      <c r="F864" s="9"/>
      <c r="G864" s="14"/>
      <c r="H864" s="14"/>
      <c r="I864" s="14"/>
      <c r="J864" s="14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 spans="1:23" ht="19.5" customHeight="1" x14ac:dyDescent="0.25">
      <c r="A865" s="9"/>
      <c r="B865" s="9"/>
      <c r="C865" s="9"/>
      <c r="D865" s="9"/>
      <c r="E865" s="9"/>
      <c r="F865" s="9"/>
      <c r="G865" s="14"/>
      <c r="H865" s="14"/>
      <c r="I865" s="14"/>
      <c r="J865" s="14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 spans="1:23" ht="19.5" customHeight="1" x14ac:dyDescent="0.25">
      <c r="A866" s="9"/>
      <c r="B866" s="9"/>
      <c r="C866" s="9"/>
      <c r="D866" s="9"/>
      <c r="E866" s="9"/>
      <c r="F866" s="9"/>
      <c r="G866" s="14"/>
      <c r="H866" s="14"/>
      <c r="I866" s="14"/>
      <c r="J866" s="14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 spans="1:23" ht="19.5" customHeight="1" x14ac:dyDescent="0.25">
      <c r="A867" s="9"/>
      <c r="B867" s="9"/>
      <c r="C867" s="9"/>
      <c r="D867" s="9"/>
      <c r="E867" s="9"/>
      <c r="F867" s="9"/>
      <c r="G867" s="14"/>
      <c r="H867" s="14"/>
      <c r="I867" s="14"/>
      <c r="J867" s="14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 spans="1:23" ht="19.5" customHeight="1" x14ac:dyDescent="0.25">
      <c r="A868" s="9"/>
      <c r="B868" s="9"/>
      <c r="C868" s="9"/>
      <c r="D868" s="9"/>
      <c r="E868" s="9"/>
      <c r="F868" s="9"/>
      <c r="G868" s="14"/>
      <c r="H868" s="14"/>
      <c r="I868" s="14"/>
      <c r="J868" s="14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 spans="1:23" ht="19.5" customHeight="1" x14ac:dyDescent="0.25">
      <c r="A869" s="9"/>
      <c r="B869" s="9"/>
      <c r="C869" s="9"/>
      <c r="D869" s="9"/>
      <c r="E869" s="9"/>
      <c r="F869" s="9"/>
      <c r="G869" s="14"/>
      <c r="H869" s="14"/>
      <c r="I869" s="14"/>
      <c r="J869" s="14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 spans="1:23" ht="19.5" customHeight="1" x14ac:dyDescent="0.25">
      <c r="A870" s="9"/>
      <c r="B870" s="9"/>
      <c r="C870" s="9"/>
      <c r="D870" s="9"/>
      <c r="E870" s="9"/>
      <c r="F870" s="9"/>
      <c r="G870" s="14"/>
      <c r="H870" s="14"/>
      <c r="I870" s="14"/>
      <c r="J870" s="14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 spans="1:23" ht="19.5" customHeight="1" x14ac:dyDescent="0.25">
      <c r="A871" s="9"/>
      <c r="B871" s="9"/>
      <c r="C871" s="9"/>
      <c r="D871" s="9"/>
      <c r="E871" s="9"/>
      <c r="F871" s="9"/>
      <c r="G871" s="14"/>
      <c r="H871" s="14"/>
      <c r="I871" s="14"/>
      <c r="J871" s="14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 spans="1:23" ht="19.5" customHeight="1" x14ac:dyDescent="0.25">
      <c r="A872" s="9"/>
      <c r="B872" s="9"/>
      <c r="C872" s="9"/>
      <c r="D872" s="9"/>
      <c r="E872" s="9"/>
      <c r="F872" s="9"/>
      <c r="G872" s="14"/>
      <c r="H872" s="14"/>
      <c r="I872" s="14"/>
      <c r="J872" s="14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 spans="1:23" ht="19.5" customHeight="1" x14ac:dyDescent="0.25">
      <c r="A873" s="9"/>
      <c r="B873" s="9"/>
      <c r="C873" s="9"/>
      <c r="D873" s="9"/>
      <c r="E873" s="9"/>
      <c r="F873" s="9"/>
      <c r="G873" s="14"/>
      <c r="H873" s="14"/>
      <c r="I873" s="14"/>
      <c r="J873" s="14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 spans="1:23" ht="19.5" customHeight="1" x14ac:dyDescent="0.25">
      <c r="A874" s="9"/>
      <c r="B874" s="9"/>
      <c r="C874" s="9"/>
      <c r="D874" s="9"/>
      <c r="E874" s="9"/>
      <c r="F874" s="9"/>
      <c r="G874" s="14"/>
      <c r="H874" s="14"/>
      <c r="I874" s="14"/>
      <c r="J874" s="14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 spans="1:23" ht="19.5" customHeight="1" x14ac:dyDescent="0.25">
      <c r="A875" s="9"/>
      <c r="B875" s="9"/>
      <c r="C875" s="9"/>
      <c r="D875" s="9"/>
      <c r="E875" s="9"/>
      <c r="F875" s="9"/>
      <c r="G875" s="14"/>
      <c r="H875" s="14"/>
      <c r="I875" s="14"/>
      <c r="J875" s="14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 spans="1:23" ht="19.5" customHeight="1" x14ac:dyDescent="0.25">
      <c r="A876" s="9"/>
      <c r="B876" s="9"/>
      <c r="C876" s="9"/>
      <c r="D876" s="9"/>
      <c r="E876" s="9"/>
      <c r="F876" s="9"/>
      <c r="G876" s="14"/>
      <c r="H876" s="14"/>
      <c r="I876" s="14"/>
      <c r="J876" s="14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 spans="1:23" ht="19.5" customHeight="1" x14ac:dyDescent="0.25">
      <c r="A877" s="9"/>
      <c r="B877" s="9"/>
      <c r="C877" s="9"/>
      <c r="D877" s="9"/>
      <c r="E877" s="9"/>
      <c r="F877" s="9"/>
      <c r="G877" s="14"/>
      <c r="H877" s="14"/>
      <c r="I877" s="14"/>
      <c r="J877" s="14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 spans="1:23" ht="19.5" customHeight="1" x14ac:dyDescent="0.25">
      <c r="A878" s="9"/>
      <c r="B878" s="9"/>
      <c r="C878" s="9"/>
      <c r="D878" s="9"/>
      <c r="E878" s="9"/>
      <c r="F878" s="9"/>
      <c r="G878" s="14"/>
      <c r="H878" s="14"/>
      <c r="I878" s="14"/>
      <c r="J878" s="14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 spans="1:23" ht="19.5" customHeight="1" x14ac:dyDescent="0.25">
      <c r="A879" s="9"/>
      <c r="B879" s="9"/>
      <c r="C879" s="9"/>
      <c r="D879" s="9"/>
      <c r="E879" s="9"/>
      <c r="F879" s="9"/>
      <c r="G879" s="14"/>
      <c r="H879" s="14"/>
      <c r="I879" s="14"/>
      <c r="J879" s="14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 spans="1:23" ht="19.5" customHeight="1" x14ac:dyDescent="0.25">
      <c r="A880" s="9"/>
      <c r="B880" s="9"/>
      <c r="C880" s="9"/>
      <c r="D880" s="9"/>
      <c r="E880" s="9"/>
      <c r="F880" s="9"/>
      <c r="G880" s="14"/>
      <c r="H880" s="14"/>
      <c r="I880" s="14"/>
      <c r="J880" s="14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 spans="1:23" ht="19.5" customHeight="1" x14ac:dyDescent="0.25">
      <c r="A881" s="9"/>
      <c r="B881" s="9"/>
      <c r="C881" s="9"/>
      <c r="D881" s="9"/>
      <c r="E881" s="9"/>
      <c r="F881" s="9"/>
      <c r="G881" s="14"/>
      <c r="H881" s="14"/>
      <c r="I881" s="14"/>
      <c r="J881" s="14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 spans="1:23" ht="19.5" customHeight="1" x14ac:dyDescent="0.25">
      <c r="A882" s="9"/>
      <c r="B882" s="9"/>
      <c r="C882" s="9"/>
      <c r="D882" s="9"/>
      <c r="E882" s="9"/>
      <c r="F882" s="9"/>
      <c r="G882" s="14"/>
      <c r="H882" s="14"/>
      <c r="I882" s="14"/>
      <c r="J882" s="14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 spans="1:23" ht="19.5" customHeight="1" x14ac:dyDescent="0.25">
      <c r="A883" s="9"/>
      <c r="B883" s="9"/>
      <c r="C883" s="9"/>
      <c r="D883" s="9"/>
      <c r="E883" s="9"/>
      <c r="F883" s="9"/>
      <c r="G883" s="14"/>
      <c r="H883" s="14"/>
      <c r="I883" s="14"/>
      <c r="J883" s="14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 spans="1:23" ht="19.5" customHeight="1" x14ac:dyDescent="0.25">
      <c r="A884" s="9"/>
      <c r="B884" s="9"/>
      <c r="C884" s="9"/>
      <c r="D884" s="9"/>
      <c r="E884" s="9"/>
      <c r="F884" s="9"/>
      <c r="G884" s="14"/>
      <c r="H884" s="14"/>
      <c r="I884" s="14"/>
      <c r="J884" s="14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 spans="1:23" ht="19.5" customHeight="1" x14ac:dyDescent="0.25">
      <c r="A885" s="9"/>
      <c r="B885" s="9"/>
      <c r="C885" s="9"/>
      <c r="D885" s="9"/>
      <c r="E885" s="9"/>
      <c r="F885" s="9"/>
      <c r="G885" s="14"/>
      <c r="H885" s="14"/>
      <c r="I885" s="14"/>
      <c r="J885" s="14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 spans="1:23" ht="19.5" customHeight="1" x14ac:dyDescent="0.25">
      <c r="A886" s="9"/>
      <c r="B886" s="9"/>
      <c r="C886" s="9"/>
      <c r="D886" s="9"/>
      <c r="E886" s="9"/>
      <c r="F886" s="9"/>
      <c r="G886" s="14"/>
      <c r="H886" s="14"/>
      <c r="I886" s="14"/>
      <c r="J886" s="14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 spans="1:23" ht="19.5" customHeight="1" x14ac:dyDescent="0.25">
      <c r="A887" s="9"/>
      <c r="B887" s="9"/>
      <c r="C887" s="9"/>
      <c r="D887" s="9"/>
      <c r="E887" s="9"/>
      <c r="F887" s="9"/>
      <c r="G887" s="14"/>
      <c r="H887" s="14"/>
      <c r="I887" s="14"/>
      <c r="J887" s="14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 spans="1:23" ht="19.5" customHeight="1" x14ac:dyDescent="0.25">
      <c r="A888" s="9"/>
      <c r="B888" s="9"/>
      <c r="C888" s="9"/>
      <c r="D888" s="9"/>
      <c r="E888" s="9"/>
      <c r="F888" s="9"/>
      <c r="G888" s="14"/>
      <c r="H888" s="14"/>
      <c r="I888" s="14"/>
      <c r="J888" s="14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 spans="1:23" ht="19.5" customHeight="1" x14ac:dyDescent="0.25">
      <c r="A889" s="9"/>
      <c r="B889" s="9"/>
      <c r="C889" s="9"/>
      <c r="D889" s="9"/>
      <c r="E889" s="9"/>
      <c r="F889" s="9"/>
      <c r="G889" s="14"/>
      <c r="H889" s="14"/>
      <c r="I889" s="14"/>
      <c r="J889" s="14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 spans="1:23" ht="19.5" customHeight="1" x14ac:dyDescent="0.25">
      <c r="A890" s="9"/>
      <c r="B890" s="9"/>
      <c r="C890" s="9"/>
      <c r="D890" s="9"/>
      <c r="E890" s="9"/>
      <c r="F890" s="9"/>
      <c r="G890" s="14"/>
      <c r="H890" s="14"/>
      <c r="I890" s="14"/>
      <c r="J890" s="14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 spans="1:23" ht="19.5" customHeight="1" x14ac:dyDescent="0.25">
      <c r="A891" s="9"/>
      <c r="B891" s="9"/>
      <c r="C891" s="9"/>
      <c r="D891" s="9"/>
      <c r="E891" s="9"/>
      <c r="F891" s="9"/>
      <c r="G891" s="14"/>
      <c r="H891" s="14"/>
      <c r="I891" s="14"/>
      <c r="J891" s="14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 spans="1:23" ht="19.5" customHeight="1" x14ac:dyDescent="0.25">
      <c r="A892" s="9"/>
      <c r="B892" s="9"/>
      <c r="C892" s="9"/>
      <c r="D892" s="9"/>
      <c r="E892" s="9"/>
      <c r="F892" s="9"/>
      <c r="G892" s="14"/>
      <c r="H892" s="14"/>
      <c r="I892" s="14"/>
      <c r="J892" s="14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 spans="1:23" ht="19.5" customHeight="1" x14ac:dyDescent="0.25">
      <c r="A893" s="9"/>
      <c r="B893" s="9"/>
      <c r="C893" s="9"/>
      <c r="D893" s="9"/>
      <c r="E893" s="9"/>
      <c r="F893" s="9"/>
      <c r="G893" s="14"/>
      <c r="H893" s="14"/>
      <c r="I893" s="14"/>
      <c r="J893" s="14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 spans="1:23" ht="19.5" customHeight="1" x14ac:dyDescent="0.25">
      <c r="A894" s="9"/>
      <c r="B894" s="9"/>
      <c r="C894" s="9"/>
      <c r="D894" s="9"/>
      <c r="E894" s="9"/>
      <c r="F894" s="9"/>
      <c r="G894" s="14"/>
      <c r="H894" s="14"/>
      <c r="I894" s="14"/>
      <c r="J894" s="14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 spans="1:23" ht="19.5" customHeight="1" x14ac:dyDescent="0.25">
      <c r="A895" s="9"/>
      <c r="B895" s="9"/>
      <c r="C895" s="9"/>
      <c r="D895" s="9"/>
      <c r="E895" s="9"/>
      <c r="F895" s="9"/>
      <c r="G895" s="14"/>
      <c r="H895" s="14"/>
      <c r="I895" s="14"/>
      <c r="J895" s="14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 spans="1:23" ht="19.5" customHeight="1" x14ac:dyDescent="0.25">
      <c r="A896" s="9"/>
      <c r="B896" s="9"/>
      <c r="C896" s="9"/>
      <c r="D896" s="9"/>
      <c r="E896" s="9"/>
      <c r="F896" s="9"/>
      <c r="G896" s="14"/>
      <c r="H896" s="14"/>
      <c r="I896" s="14"/>
      <c r="J896" s="14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 spans="1:23" ht="19.5" customHeight="1" x14ac:dyDescent="0.25">
      <c r="A897" s="9"/>
      <c r="B897" s="9"/>
      <c r="C897" s="9"/>
      <c r="D897" s="9"/>
      <c r="E897" s="9"/>
      <c r="F897" s="9"/>
      <c r="G897" s="14"/>
      <c r="H897" s="14"/>
      <c r="I897" s="14"/>
      <c r="J897" s="14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 spans="1:23" ht="19.5" customHeight="1" x14ac:dyDescent="0.25">
      <c r="A898" s="9"/>
      <c r="B898" s="9"/>
      <c r="C898" s="9"/>
      <c r="D898" s="9"/>
      <c r="E898" s="9"/>
      <c r="F898" s="9"/>
      <c r="G898" s="14"/>
      <c r="H898" s="14"/>
      <c r="I898" s="14"/>
      <c r="J898" s="14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 spans="1:23" ht="19.5" customHeight="1" x14ac:dyDescent="0.25">
      <c r="A899" s="9"/>
      <c r="B899" s="9"/>
      <c r="C899" s="9"/>
      <c r="D899" s="9"/>
      <c r="E899" s="9"/>
      <c r="F899" s="9"/>
      <c r="G899" s="14"/>
      <c r="H899" s="14"/>
      <c r="I899" s="14"/>
      <c r="J899" s="14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 spans="1:23" ht="19.5" customHeight="1" x14ac:dyDescent="0.25">
      <c r="A900" s="9"/>
      <c r="B900" s="9"/>
      <c r="C900" s="9"/>
      <c r="D900" s="9"/>
      <c r="E900" s="9"/>
      <c r="F900" s="9"/>
      <c r="G900" s="14"/>
      <c r="H900" s="14"/>
      <c r="I900" s="14"/>
      <c r="J900" s="14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 spans="1:23" ht="19.5" customHeight="1" x14ac:dyDescent="0.25">
      <c r="A901" s="9"/>
      <c r="B901" s="9"/>
      <c r="C901" s="9"/>
      <c r="D901" s="9"/>
      <c r="E901" s="9"/>
      <c r="F901" s="9"/>
      <c r="G901" s="14"/>
      <c r="H901" s="14"/>
      <c r="I901" s="14"/>
      <c r="J901" s="14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 spans="1:23" ht="19.5" customHeight="1" x14ac:dyDescent="0.25">
      <c r="A902" s="9"/>
      <c r="B902" s="9"/>
      <c r="C902" s="9"/>
      <c r="D902" s="9"/>
      <c r="E902" s="9"/>
      <c r="F902" s="9"/>
      <c r="G902" s="14"/>
      <c r="H902" s="14"/>
      <c r="I902" s="14"/>
      <c r="J902" s="14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 spans="1:23" ht="19.5" customHeight="1" x14ac:dyDescent="0.25">
      <c r="A903" s="9"/>
      <c r="B903" s="9"/>
      <c r="C903" s="9"/>
      <c r="D903" s="9"/>
      <c r="E903" s="9"/>
      <c r="F903" s="9"/>
      <c r="G903" s="14"/>
      <c r="H903" s="14"/>
      <c r="I903" s="14"/>
      <c r="J903" s="14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 spans="1:23" ht="19.5" customHeight="1" x14ac:dyDescent="0.25">
      <c r="A904" s="9"/>
      <c r="B904" s="9"/>
      <c r="C904" s="9"/>
      <c r="D904" s="9"/>
      <c r="E904" s="9"/>
      <c r="F904" s="9"/>
      <c r="G904" s="14"/>
      <c r="H904" s="14"/>
      <c r="I904" s="14"/>
      <c r="J904" s="14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 spans="1:23" ht="19.5" customHeight="1" x14ac:dyDescent="0.25">
      <c r="A905" s="9"/>
      <c r="B905" s="9"/>
      <c r="C905" s="9"/>
      <c r="D905" s="9"/>
      <c r="E905" s="9"/>
      <c r="F905" s="9"/>
      <c r="G905" s="14"/>
      <c r="H905" s="14"/>
      <c r="I905" s="14"/>
      <c r="J905" s="14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 spans="1:23" ht="19.5" customHeight="1" x14ac:dyDescent="0.25">
      <c r="A906" s="9"/>
      <c r="B906" s="9"/>
      <c r="C906" s="9"/>
      <c r="D906" s="9"/>
      <c r="E906" s="9"/>
      <c r="F906" s="9"/>
      <c r="G906" s="14"/>
      <c r="H906" s="14"/>
      <c r="I906" s="14"/>
      <c r="J906" s="14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 spans="1:23" ht="19.5" customHeight="1" x14ac:dyDescent="0.25">
      <c r="A907" s="9"/>
      <c r="B907" s="9"/>
      <c r="C907" s="9"/>
      <c r="D907" s="9"/>
      <c r="E907" s="9"/>
      <c r="F907" s="9"/>
      <c r="G907" s="14"/>
      <c r="H907" s="14"/>
      <c r="I907" s="14"/>
      <c r="J907" s="14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 spans="1:23" ht="19.5" customHeight="1" x14ac:dyDescent="0.25">
      <c r="A908" s="9"/>
      <c r="B908" s="9"/>
      <c r="C908" s="9"/>
      <c r="D908" s="9"/>
      <c r="E908" s="9"/>
      <c r="F908" s="9"/>
      <c r="G908" s="14"/>
      <c r="H908" s="14"/>
      <c r="I908" s="14"/>
      <c r="J908" s="14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 spans="1:23" ht="19.5" customHeight="1" x14ac:dyDescent="0.25">
      <c r="A909" s="9"/>
      <c r="B909" s="9"/>
      <c r="C909" s="9"/>
      <c r="D909" s="9"/>
      <c r="E909" s="9"/>
      <c r="F909" s="9"/>
      <c r="G909" s="14"/>
      <c r="H909" s="14"/>
      <c r="I909" s="14"/>
      <c r="J909" s="14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 spans="1:23" ht="19.5" customHeight="1" x14ac:dyDescent="0.25">
      <c r="A910" s="9"/>
      <c r="B910" s="9"/>
      <c r="C910" s="9"/>
      <c r="D910" s="9"/>
      <c r="E910" s="9"/>
      <c r="F910" s="9"/>
      <c r="G910" s="14"/>
      <c r="H910" s="14"/>
      <c r="I910" s="14"/>
      <c r="J910" s="14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 spans="1:23" ht="19.5" customHeight="1" x14ac:dyDescent="0.25">
      <c r="A911" s="9"/>
      <c r="B911" s="9"/>
      <c r="C911" s="9"/>
      <c r="D911" s="9"/>
      <c r="E911" s="9"/>
      <c r="F911" s="9"/>
      <c r="G911" s="14"/>
      <c r="H911" s="14"/>
      <c r="I911" s="14"/>
      <c r="J911" s="14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 spans="1:23" ht="19.5" customHeight="1" x14ac:dyDescent="0.25">
      <c r="A912" s="9"/>
      <c r="B912" s="9"/>
      <c r="C912" s="9"/>
      <c r="D912" s="9"/>
      <c r="E912" s="9"/>
      <c r="F912" s="9"/>
      <c r="G912" s="14"/>
      <c r="H912" s="14"/>
      <c r="I912" s="14"/>
      <c r="J912" s="14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 spans="1:23" ht="19.5" customHeight="1" x14ac:dyDescent="0.25">
      <c r="A913" s="9"/>
      <c r="B913" s="9"/>
      <c r="C913" s="9"/>
      <c r="D913" s="9"/>
      <c r="E913" s="9"/>
      <c r="F913" s="9"/>
      <c r="G913" s="14"/>
      <c r="H913" s="14"/>
      <c r="I913" s="14"/>
      <c r="J913" s="14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 spans="1:23" ht="19.5" customHeight="1" x14ac:dyDescent="0.25">
      <c r="A914" s="9"/>
      <c r="B914" s="9"/>
      <c r="C914" s="9"/>
      <c r="D914" s="9"/>
      <c r="E914" s="9"/>
      <c r="F914" s="9"/>
      <c r="G914" s="14"/>
      <c r="H914" s="14"/>
      <c r="I914" s="14"/>
      <c r="J914" s="14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 spans="1:23" ht="19.5" customHeight="1" x14ac:dyDescent="0.25">
      <c r="A915" s="9"/>
      <c r="B915" s="9"/>
      <c r="C915" s="9"/>
      <c r="D915" s="9"/>
      <c r="E915" s="9"/>
      <c r="F915" s="9"/>
      <c r="G915" s="14"/>
      <c r="H915" s="14"/>
      <c r="I915" s="14"/>
      <c r="J915" s="14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 spans="1:23" ht="19.5" customHeight="1" x14ac:dyDescent="0.25">
      <c r="A916" s="9"/>
      <c r="B916" s="9"/>
      <c r="C916" s="9"/>
      <c r="D916" s="9"/>
      <c r="E916" s="9"/>
      <c r="F916" s="9"/>
      <c r="G916" s="14"/>
      <c r="H916" s="14"/>
      <c r="I916" s="14"/>
      <c r="J916" s="14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 spans="1:23" ht="19.5" customHeight="1" x14ac:dyDescent="0.25">
      <c r="A917" s="9"/>
      <c r="B917" s="9"/>
      <c r="C917" s="9"/>
      <c r="D917" s="9"/>
      <c r="E917" s="9"/>
      <c r="F917" s="9"/>
      <c r="G917" s="14"/>
      <c r="H917" s="14"/>
      <c r="I917" s="14"/>
      <c r="J917" s="14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 spans="1:23" ht="19.5" customHeight="1" x14ac:dyDescent="0.25">
      <c r="A918" s="9"/>
      <c r="B918" s="9"/>
      <c r="C918" s="9"/>
      <c r="D918" s="9"/>
      <c r="E918" s="9"/>
      <c r="F918" s="9"/>
      <c r="G918" s="14"/>
      <c r="H918" s="14"/>
      <c r="I918" s="14"/>
      <c r="J918" s="14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 spans="1:23" ht="19.5" customHeight="1" x14ac:dyDescent="0.25">
      <c r="A919" s="9"/>
      <c r="B919" s="9"/>
      <c r="C919" s="9"/>
      <c r="D919" s="9"/>
      <c r="E919" s="9"/>
      <c r="F919" s="9"/>
      <c r="G919" s="14"/>
      <c r="H919" s="14"/>
      <c r="I919" s="14"/>
      <c r="J919" s="14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 spans="1:23" ht="19.5" customHeight="1" x14ac:dyDescent="0.25">
      <c r="A920" s="9"/>
      <c r="B920" s="9"/>
      <c r="C920" s="9"/>
      <c r="D920" s="9"/>
      <c r="E920" s="9"/>
      <c r="F920" s="9"/>
      <c r="G920" s="14"/>
      <c r="H920" s="14"/>
      <c r="I920" s="14"/>
      <c r="J920" s="14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 spans="1:23" ht="19.5" customHeight="1" x14ac:dyDescent="0.25">
      <c r="A921" s="9"/>
      <c r="B921" s="9"/>
      <c r="C921" s="9"/>
      <c r="D921" s="9"/>
      <c r="E921" s="9"/>
      <c r="F921" s="9"/>
      <c r="G921" s="14"/>
      <c r="H921" s="14"/>
      <c r="I921" s="14"/>
      <c r="J921" s="14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 spans="1:23" ht="19.5" customHeight="1" x14ac:dyDescent="0.25">
      <c r="A922" s="9"/>
      <c r="B922" s="9"/>
      <c r="C922" s="9"/>
      <c r="D922" s="9"/>
      <c r="E922" s="9"/>
      <c r="F922" s="9"/>
      <c r="G922" s="14"/>
      <c r="H922" s="14"/>
      <c r="I922" s="14"/>
      <c r="J922" s="14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 spans="1:23" ht="19.5" customHeight="1" x14ac:dyDescent="0.25">
      <c r="A923" s="9"/>
      <c r="B923" s="9"/>
      <c r="C923" s="9"/>
      <c r="D923" s="9"/>
      <c r="E923" s="9"/>
      <c r="F923" s="9"/>
      <c r="G923" s="14"/>
      <c r="H923" s="14"/>
      <c r="I923" s="14"/>
      <c r="J923" s="14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 spans="1:23" ht="19.5" customHeight="1" x14ac:dyDescent="0.25">
      <c r="A924" s="9"/>
      <c r="B924" s="9"/>
      <c r="C924" s="9"/>
      <c r="D924" s="9"/>
      <c r="E924" s="9"/>
      <c r="F924" s="9"/>
      <c r="G924" s="14"/>
      <c r="H924" s="14"/>
      <c r="I924" s="14"/>
      <c r="J924" s="14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 spans="1:23" ht="19.5" customHeight="1" x14ac:dyDescent="0.25">
      <c r="A925" s="9"/>
      <c r="B925" s="9"/>
      <c r="C925" s="9"/>
      <c r="D925" s="9"/>
      <c r="E925" s="9"/>
      <c r="F925" s="9"/>
      <c r="G925" s="14"/>
      <c r="H925" s="14"/>
      <c r="I925" s="14"/>
      <c r="J925" s="14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 spans="1:23" ht="19.5" customHeight="1" x14ac:dyDescent="0.25">
      <c r="A926" s="9"/>
      <c r="B926" s="9"/>
      <c r="C926" s="9"/>
      <c r="D926" s="9"/>
      <c r="E926" s="9"/>
      <c r="F926" s="9"/>
      <c r="G926" s="14"/>
      <c r="H926" s="14"/>
      <c r="I926" s="14"/>
      <c r="J926" s="14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 spans="1:23" ht="19.5" customHeight="1" x14ac:dyDescent="0.25">
      <c r="A927" s="9"/>
      <c r="B927" s="9"/>
      <c r="C927" s="9"/>
      <c r="D927" s="9"/>
      <c r="E927" s="9"/>
      <c r="F927" s="9"/>
      <c r="G927" s="14"/>
      <c r="H927" s="14"/>
      <c r="I927" s="14"/>
      <c r="J927" s="14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 spans="1:23" ht="19.5" customHeight="1" x14ac:dyDescent="0.25">
      <c r="A928" s="9"/>
      <c r="B928" s="9"/>
      <c r="C928" s="9"/>
      <c r="D928" s="9"/>
      <c r="E928" s="9"/>
      <c r="F928" s="9"/>
      <c r="G928" s="14"/>
      <c r="H928" s="14"/>
      <c r="I928" s="14"/>
      <c r="J928" s="14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 spans="1:23" ht="19.5" customHeight="1" x14ac:dyDescent="0.25">
      <c r="A929" s="9"/>
      <c r="B929" s="9"/>
      <c r="C929" s="9"/>
      <c r="D929" s="9"/>
      <c r="E929" s="9"/>
      <c r="F929" s="9"/>
      <c r="G929" s="14"/>
      <c r="H929" s="14"/>
      <c r="I929" s="14"/>
      <c r="J929" s="14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 spans="1:23" ht="19.5" customHeight="1" x14ac:dyDescent="0.25">
      <c r="A930" s="9"/>
      <c r="B930" s="9"/>
      <c r="C930" s="9"/>
      <c r="D930" s="9"/>
      <c r="E930" s="9"/>
      <c r="F930" s="9"/>
      <c r="G930" s="14"/>
      <c r="H930" s="14"/>
      <c r="I930" s="14"/>
      <c r="J930" s="14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 spans="1:23" ht="19.5" customHeight="1" x14ac:dyDescent="0.25">
      <c r="A931" s="9"/>
      <c r="B931" s="9"/>
      <c r="C931" s="9"/>
      <c r="D931" s="9"/>
      <c r="E931" s="9"/>
      <c r="F931" s="9"/>
      <c r="G931" s="14"/>
      <c r="H931" s="14"/>
      <c r="I931" s="14"/>
      <c r="J931" s="14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 spans="1:23" ht="19.5" customHeight="1" x14ac:dyDescent="0.25">
      <c r="A932" s="9"/>
      <c r="B932" s="9"/>
      <c r="C932" s="9"/>
      <c r="D932" s="9"/>
      <c r="E932" s="9"/>
      <c r="F932" s="9"/>
      <c r="G932" s="14"/>
      <c r="H932" s="14"/>
      <c r="I932" s="14"/>
      <c r="J932" s="14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 spans="1:23" ht="19.5" customHeight="1" x14ac:dyDescent="0.25">
      <c r="A933" s="9"/>
      <c r="B933" s="9"/>
      <c r="C933" s="9"/>
      <c r="D933" s="9"/>
      <c r="E933" s="9"/>
      <c r="F933" s="9"/>
      <c r="G933" s="14"/>
      <c r="H933" s="14"/>
      <c r="I933" s="14"/>
      <c r="J933" s="14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 spans="1:23" ht="19.5" customHeight="1" x14ac:dyDescent="0.25">
      <c r="A934" s="9"/>
      <c r="B934" s="9"/>
      <c r="C934" s="9"/>
      <c r="D934" s="9"/>
      <c r="E934" s="9"/>
      <c r="F934" s="9"/>
      <c r="G934" s="14"/>
      <c r="H934" s="14"/>
      <c r="I934" s="14"/>
      <c r="J934" s="14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 spans="1:23" ht="19.5" customHeight="1" x14ac:dyDescent="0.25">
      <c r="A935" s="9"/>
      <c r="B935" s="9"/>
      <c r="C935" s="9"/>
      <c r="D935" s="9"/>
      <c r="E935" s="9"/>
      <c r="F935" s="9"/>
      <c r="G935" s="14"/>
      <c r="H935" s="14"/>
      <c r="I935" s="14"/>
      <c r="J935" s="14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 spans="1:23" ht="19.5" customHeight="1" x14ac:dyDescent="0.25">
      <c r="A936" s="9"/>
      <c r="B936" s="9"/>
      <c r="C936" s="9"/>
      <c r="D936" s="9"/>
      <c r="E936" s="9"/>
      <c r="F936" s="9"/>
      <c r="G936" s="14"/>
      <c r="H936" s="14"/>
      <c r="I936" s="14"/>
      <c r="J936" s="14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 spans="1:23" ht="19.5" customHeight="1" x14ac:dyDescent="0.25">
      <c r="A937" s="9"/>
      <c r="B937" s="9"/>
      <c r="C937" s="9"/>
      <c r="D937" s="9"/>
      <c r="E937" s="9"/>
      <c r="F937" s="9"/>
      <c r="G937" s="14"/>
      <c r="H937" s="14"/>
      <c r="I937" s="14"/>
      <c r="J937" s="14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 spans="1:23" ht="19.5" customHeight="1" x14ac:dyDescent="0.25">
      <c r="A938" s="9"/>
      <c r="B938" s="9"/>
      <c r="C938" s="9"/>
      <c r="D938" s="9"/>
      <c r="E938" s="9"/>
      <c r="F938" s="9"/>
      <c r="G938" s="14"/>
      <c r="H938" s="14"/>
      <c r="I938" s="14"/>
      <c r="J938" s="14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 spans="1:23" ht="19.5" customHeight="1" x14ac:dyDescent="0.25">
      <c r="A939" s="9"/>
      <c r="B939" s="9"/>
      <c r="C939" s="9"/>
      <c r="D939" s="9"/>
      <c r="E939" s="9"/>
      <c r="F939" s="9"/>
      <c r="G939" s="14"/>
      <c r="H939" s="14"/>
      <c r="I939" s="14"/>
      <c r="J939" s="14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 spans="1:23" ht="19.5" customHeight="1" x14ac:dyDescent="0.25">
      <c r="A940" s="9"/>
      <c r="B940" s="9"/>
      <c r="C940" s="9"/>
      <c r="D940" s="9"/>
      <c r="E940" s="9"/>
      <c r="F940" s="9"/>
      <c r="G940" s="14"/>
      <c r="H940" s="14"/>
      <c r="I940" s="14"/>
      <c r="J940" s="14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 spans="1:23" ht="19.5" customHeight="1" x14ac:dyDescent="0.25">
      <c r="A941" s="9"/>
      <c r="B941" s="9"/>
      <c r="C941" s="9"/>
      <c r="D941" s="9"/>
      <c r="E941" s="9"/>
      <c r="F941" s="9"/>
      <c r="G941" s="14"/>
      <c r="H941" s="14"/>
      <c r="I941" s="14"/>
      <c r="J941" s="14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 spans="1:23" ht="19.5" customHeight="1" x14ac:dyDescent="0.25">
      <c r="A942" s="9"/>
      <c r="B942" s="9"/>
      <c r="C942" s="9"/>
      <c r="D942" s="9"/>
      <c r="E942" s="9"/>
      <c r="F942" s="9"/>
      <c r="G942" s="14"/>
      <c r="H942" s="14"/>
      <c r="I942" s="14"/>
      <c r="J942" s="14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 spans="1:23" ht="19.5" customHeight="1" x14ac:dyDescent="0.25">
      <c r="A943" s="9"/>
      <c r="B943" s="9"/>
      <c r="C943" s="9"/>
      <c r="D943" s="9"/>
      <c r="E943" s="9"/>
      <c r="F943" s="9"/>
      <c r="G943" s="14"/>
      <c r="H943" s="14"/>
      <c r="I943" s="14"/>
      <c r="J943" s="14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 spans="1:23" ht="19.5" customHeight="1" x14ac:dyDescent="0.25">
      <c r="A944" s="9"/>
      <c r="B944" s="9"/>
      <c r="C944" s="9"/>
      <c r="D944" s="9"/>
      <c r="E944" s="9"/>
      <c r="F944" s="9"/>
      <c r="G944" s="14"/>
      <c r="H944" s="14"/>
      <c r="I944" s="14"/>
      <c r="J944" s="14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 spans="1:23" ht="19.5" customHeight="1" x14ac:dyDescent="0.25">
      <c r="A945" s="9"/>
      <c r="B945" s="9"/>
      <c r="C945" s="9"/>
      <c r="D945" s="9"/>
      <c r="E945" s="9"/>
      <c r="F945" s="9"/>
      <c r="G945" s="14"/>
      <c r="H945" s="14"/>
      <c r="I945" s="14"/>
      <c r="J945" s="14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 spans="1:23" ht="19.5" customHeight="1" x14ac:dyDescent="0.25">
      <c r="A946" s="9"/>
      <c r="B946" s="9"/>
      <c r="C946" s="9"/>
      <c r="D946" s="9"/>
      <c r="E946" s="9"/>
      <c r="F946" s="9"/>
      <c r="G946" s="14"/>
      <c r="H946" s="14"/>
      <c r="I946" s="14"/>
      <c r="J946" s="14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 spans="1:23" ht="19.5" customHeight="1" x14ac:dyDescent="0.25">
      <c r="A947" s="9"/>
      <c r="B947" s="9"/>
      <c r="C947" s="9"/>
      <c r="D947" s="9"/>
      <c r="E947" s="9"/>
      <c r="F947" s="9"/>
      <c r="G947" s="14"/>
      <c r="H947" s="14"/>
      <c r="I947" s="14"/>
      <c r="J947" s="14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 spans="1:23" ht="19.5" customHeight="1" x14ac:dyDescent="0.25">
      <c r="A948" s="9"/>
      <c r="B948" s="9"/>
      <c r="C948" s="9"/>
      <c r="D948" s="9"/>
      <c r="E948" s="9"/>
      <c r="F948" s="9"/>
      <c r="G948" s="14"/>
      <c r="H948" s="14"/>
      <c r="I948" s="14"/>
      <c r="J948" s="14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 spans="1:23" ht="19.5" customHeight="1" x14ac:dyDescent="0.25">
      <c r="A949" s="9"/>
      <c r="B949" s="9"/>
      <c r="C949" s="9"/>
      <c r="D949" s="9"/>
      <c r="E949" s="9"/>
      <c r="F949" s="9"/>
      <c r="G949" s="14"/>
      <c r="H949" s="14"/>
      <c r="I949" s="14"/>
      <c r="J949" s="14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 spans="1:23" ht="19.5" customHeight="1" x14ac:dyDescent="0.25">
      <c r="A950" s="9"/>
      <c r="B950" s="9"/>
      <c r="C950" s="9"/>
      <c r="D950" s="9"/>
      <c r="E950" s="9"/>
      <c r="F950" s="9"/>
      <c r="G950" s="14"/>
      <c r="H950" s="14"/>
      <c r="I950" s="14"/>
      <c r="J950" s="14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 spans="1:23" ht="19.5" customHeight="1" x14ac:dyDescent="0.25">
      <c r="A951" s="9"/>
      <c r="B951" s="9"/>
      <c r="C951" s="9"/>
      <c r="D951" s="9"/>
      <c r="E951" s="9"/>
      <c r="F951" s="9"/>
      <c r="G951" s="14"/>
      <c r="H951" s="14"/>
      <c r="I951" s="14"/>
      <c r="J951" s="14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 spans="1:23" ht="19.5" customHeight="1" x14ac:dyDescent="0.25">
      <c r="A952" s="9"/>
      <c r="B952" s="9"/>
      <c r="C952" s="9"/>
      <c r="D952" s="9"/>
      <c r="E952" s="9"/>
      <c r="F952" s="9"/>
      <c r="G952" s="14"/>
      <c r="H952" s="14"/>
      <c r="I952" s="14"/>
      <c r="J952" s="14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 spans="1:23" ht="19.5" customHeight="1" x14ac:dyDescent="0.25">
      <c r="A953" s="9"/>
      <c r="B953" s="9"/>
      <c r="C953" s="9"/>
      <c r="D953" s="9"/>
      <c r="E953" s="9"/>
      <c r="F953" s="9"/>
      <c r="G953" s="14"/>
      <c r="H953" s="14"/>
      <c r="I953" s="14"/>
      <c r="J953" s="14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 spans="1:23" ht="19.5" customHeight="1" x14ac:dyDescent="0.25">
      <c r="A954" s="9"/>
      <c r="B954" s="9"/>
      <c r="C954" s="9"/>
      <c r="D954" s="9"/>
      <c r="E954" s="9"/>
      <c r="F954" s="9"/>
      <c r="G954" s="14"/>
      <c r="H954" s="14"/>
      <c r="I954" s="14"/>
      <c r="J954" s="14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 spans="1:23" ht="19.5" customHeight="1" x14ac:dyDescent="0.25">
      <c r="A955" s="9"/>
      <c r="B955" s="9"/>
      <c r="C955" s="9"/>
      <c r="D955" s="9"/>
      <c r="E955" s="9"/>
      <c r="F955" s="9"/>
      <c r="G955" s="14"/>
      <c r="H955" s="14"/>
      <c r="I955" s="14"/>
      <c r="J955" s="14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 spans="1:23" ht="19.5" customHeight="1" x14ac:dyDescent="0.25">
      <c r="A956" s="9"/>
      <c r="B956" s="9"/>
      <c r="C956" s="9"/>
      <c r="D956" s="9"/>
      <c r="E956" s="9"/>
      <c r="F956" s="9"/>
      <c r="G956" s="14"/>
      <c r="H956" s="14"/>
      <c r="I956" s="14"/>
      <c r="J956" s="14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 spans="1:23" ht="19.5" customHeight="1" x14ac:dyDescent="0.25">
      <c r="A957" s="9"/>
      <c r="B957" s="9"/>
      <c r="C957" s="9"/>
      <c r="D957" s="9"/>
      <c r="E957" s="9"/>
      <c r="F957" s="9"/>
      <c r="G957" s="14"/>
      <c r="H957" s="14"/>
      <c r="I957" s="14"/>
      <c r="J957" s="14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 spans="1:23" ht="19.5" customHeight="1" x14ac:dyDescent="0.25">
      <c r="A958" s="9"/>
      <c r="B958" s="9"/>
      <c r="C958" s="9"/>
      <c r="D958" s="9"/>
      <c r="E958" s="9"/>
      <c r="F958" s="9"/>
      <c r="G958" s="14"/>
      <c r="H958" s="14"/>
      <c r="I958" s="14"/>
      <c r="J958" s="14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 spans="1:23" ht="19.5" customHeight="1" x14ac:dyDescent="0.25">
      <c r="A959" s="9"/>
      <c r="B959" s="9"/>
      <c r="C959" s="9"/>
      <c r="D959" s="9"/>
      <c r="E959" s="9"/>
      <c r="F959" s="9"/>
      <c r="G959" s="14"/>
      <c r="H959" s="14"/>
      <c r="I959" s="14"/>
      <c r="J959" s="14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 spans="1:23" ht="19.5" customHeight="1" x14ac:dyDescent="0.25">
      <c r="A960" s="9"/>
      <c r="B960" s="9"/>
      <c r="C960" s="9"/>
      <c r="D960" s="9"/>
      <c r="E960" s="9"/>
      <c r="F960" s="9"/>
      <c r="G960" s="14"/>
      <c r="H960" s="14"/>
      <c r="I960" s="14"/>
      <c r="J960" s="14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 spans="1:23" ht="19.5" customHeight="1" x14ac:dyDescent="0.25">
      <c r="A961" s="9"/>
      <c r="B961" s="9"/>
      <c r="C961" s="9"/>
      <c r="D961" s="9"/>
      <c r="E961" s="9"/>
      <c r="F961" s="9"/>
      <c r="G961" s="14"/>
      <c r="H961" s="14"/>
      <c r="I961" s="14"/>
      <c r="J961" s="14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 spans="1:23" ht="19.5" customHeight="1" x14ac:dyDescent="0.25">
      <c r="A962" s="9"/>
      <c r="B962" s="9"/>
      <c r="C962" s="9"/>
      <c r="D962" s="9"/>
      <c r="E962" s="9"/>
      <c r="F962" s="9"/>
      <c r="G962" s="14"/>
      <c r="H962" s="14"/>
      <c r="I962" s="14"/>
      <c r="J962" s="14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 spans="1:23" ht="19.5" customHeight="1" x14ac:dyDescent="0.25">
      <c r="A963" s="9"/>
      <c r="B963" s="9"/>
      <c r="C963" s="9"/>
      <c r="D963" s="9"/>
      <c r="E963" s="9"/>
      <c r="F963" s="9"/>
      <c r="G963" s="14"/>
      <c r="H963" s="14"/>
      <c r="I963" s="14"/>
      <c r="J963" s="14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 spans="1:23" ht="19.5" customHeight="1" x14ac:dyDescent="0.25">
      <c r="A964" s="9"/>
      <c r="B964" s="9"/>
      <c r="C964" s="9"/>
      <c r="D964" s="9"/>
      <c r="E964" s="9"/>
      <c r="F964" s="9"/>
      <c r="G964" s="14"/>
      <c r="H964" s="14"/>
      <c r="I964" s="14"/>
      <c r="J964" s="14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 spans="1:23" ht="19.5" customHeight="1" x14ac:dyDescent="0.25">
      <c r="A965" s="9"/>
      <c r="B965" s="9"/>
      <c r="C965" s="9"/>
      <c r="D965" s="9"/>
      <c r="E965" s="9"/>
      <c r="F965" s="9"/>
      <c r="G965" s="14"/>
      <c r="H965" s="14"/>
      <c r="I965" s="14"/>
      <c r="J965" s="14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 spans="1:23" ht="19.5" customHeight="1" x14ac:dyDescent="0.25">
      <c r="A966" s="9"/>
      <c r="B966" s="9"/>
      <c r="C966" s="9"/>
      <c r="D966" s="9"/>
      <c r="E966" s="9"/>
      <c r="F966" s="9"/>
      <c r="G966" s="14"/>
      <c r="H966" s="14"/>
      <c r="I966" s="14"/>
      <c r="J966" s="14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 spans="1:23" ht="19.5" customHeight="1" x14ac:dyDescent="0.25">
      <c r="A967" s="9"/>
      <c r="B967" s="9"/>
      <c r="C967" s="9"/>
      <c r="D967" s="9"/>
      <c r="E967" s="9"/>
      <c r="F967" s="9"/>
      <c r="G967" s="14"/>
      <c r="H967" s="14"/>
      <c r="I967" s="14"/>
      <c r="J967" s="14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 spans="1:23" ht="19.5" customHeight="1" x14ac:dyDescent="0.25">
      <c r="A968" s="9"/>
      <c r="B968" s="9"/>
      <c r="C968" s="9"/>
      <c r="D968" s="9"/>
      <c r="E968" s="9"/>
      <c r="F968" s="9"/>
      <c r="G968" s="14"/>
      <c r="H968" s="14"/>
      <c r="I968" s="14"/>
      <c r="J968" s="14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 spans="1:23" ht="19.5" customHeight="1" x14ac:dyDescent="0.25">
      <c r="A969" s="9"/>
      <c r="B969" s="9"/>
      <c r="C969" s="9"/>
      <c r="D969" s="9"/>
      <c r="E969" s="9"/>
      <c r="F969" s="9"/>
      <c r="G969" s="14"/>
      <c r="H969" s="14"/>
      <c r="I969" s="14"/>
      <c r="J969" s="14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 spans="1:23" ht="19.5" customHeight="1" x14ac:dyDescent="0.25">
      <c r="A970" s="9"/>
      <c r="B970" s="9"/>
      <c r="C970" s="9"/>
      <c r="D970" s="9"/>
      <c r="E970" s="9"/>
      <c r="F970" s="9"/>
      <c r="G970" s="14"/>
      <c r="H970" s="14"/>
      <c r="I970" s="14"/>
      <c r="J970" s="14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 spans="1:23" ht="19.5" customHeight="1" x14ac:dyDescent="0.25">
      <c r="A971" s="9"/>
      <c r="B971" s="9"/>
      <c r="C971" s="9"/>
      <c r="D971" s="9"/>
      <c r="E971" s="9"/>
      <c r="F971" s="9"/>
      <c r="G971" s="14"/>
      <c r="H971" s="14"/>
      <c r="I971" s="14"/>
      <c r="J971" s="14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 spans="1:23" ht="19.5" customHeight="1" x14ac:dyDescent="0.25">
      <c r="A972" s="9"/>
      <c r="B972" s="9"/>
      <c r="C972" s="9"/>
      <c r="D972" s="9"/>
      <c r="E972" s="9"/>
      <c r="F972" s="9"/>
      <c r="G972" s="14"/>
      <c r="H972" s="14"/>
      <c r="I972" s="14"/>
      <c r="J972" s="14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 spans="1:23" ht="19.5" customHeight="1" x14ac:dyDescent="0.25">
      <c r="A973" s="9"/>
      <c r="B973" s="9"/>
      <c r="C973" s="9"/>
      <c r="D973" s="9"/>
      <c r="E973" s="9"/>
      <c r="F973" s="9"/>
      <c r="G973" s="14"/>
      <c r="H973" s="14"/>
      <c r="I973" s="14"/>
      <c r="J973" s="14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 spans="1:23" ht="19.5" customHeight="1" x14ac:dyDescent="0.25">
      <c r="A974" s="9"/>
      <c r="B974" s="9"/>
      <c r="C974" s="9"/>
      <c r="D974" s="9"/>
      <c r="E974" s="9"/>
      <c r="F974" s="9"/>
      <c r="G974" s="14"/>
      <c r="H974" s="14"/>
      <c r="I974" s="14"/>
      <c r="J974" s="14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 spans="1:23" ht="19.5" customHeight="1" x14ac:dyDescent="0.25">
      <c r="A975" s="9"/>
      <c r="B975" s="9"/>
      <c r="C975" s="9"/>
      <c r="D975" s="9"/>
      <c r="E975" s="9"/>
      <c r="F975" s="9"/>
      <c r="G975" s="14"/>
      <c r="H975" s="14"/>
      <c r="I975" s="14"/>
      <c r="J975" s="14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 spans="1:23" ht="19.5" customHeight="1" x14ac:dyDescent="0.25">
      <c r="A976" s="9"/>
      <c r="B976" s="9"/>
      <c r="C976" s="9"/>
      <c r="D976" s="9"/>
      <c r="E976" s="9"/>
      <c r="F976" s="9"/>
      <c r="G976" s="14"/>
      <c r="H976" s="14"/>
      <c r="I976" s="14"/>
      <c r="J976" s="14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 spans="1:23" ht="19.5" customHeight="1" x14ac:dyDescent="0.25">
      <c r="A977" s="9"/>
      <c r="B977" s="9"/>
      <c r="C977" s="9"/>
      <c r="D977" s="9"/>
      <c r="E977" s="9"/>
      <c r="F977" s="9"/>
      <c r="G977" s="14"/>
      <c r="H977" s="14"/>
      <c r="I977" s="14"/>
      <c r="J977" s="14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 spans="1:23" ht="19.5" customHeight="1" x14ac:dyDescent="0.25">
      <c r="A978" s="9"/>
      <c r="B978" s="9"/>
      <c r="C978" s="9"/>
      <c r="D978" s="9"/>
      <c r="E978" s="9"/>
      <c r="F978" s="9"/>
      <c r="G978" s="14"/>
      <c r="H978" s="14"/>
      <c r="I978" s="14"/>
      <c r="J978" s="14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 spans="1:23" ht="19.5" customHeight="1" x14ac:dyDescent="0.25">
      <c r="A979" s="9"/>
      <c r="B979" s="9"/>
      <c r="C979" s="9"/>
      <c r="D979" s="9"/>
      <c r="E979" s="9"/>
      <c r="F979" s="9"/>
      <c r="G979" s="14"/>
      <c r="H979" s="14"/>
      <c r="I979" s="14"/>
      <c r="J979" s="14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 spans="1:23" ht="19.5" customHeight="1" x14ac:dyDescent="0.25">
      <c r="A980" s="9"/>
      <c r="B980" s="9"/>
      <c r="C980" s="9"/>
      <c r="D980" s="9"/>
      <c r="E980" s="9"/>
      <c r="F980" s="9"/>
      <c r="G980" s="14"/>
      <c r="H980" s="14"/>
      <c r="I980" s="14"/>
      <c r="J980" s="14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 spans="1:23" ht="19.5" customHeight="1" x14ac:dyDescent="0.25">
      <c r="A981" s="9"/>
      <c r="B981" s="9"/>
      <c r="C981" s="9"/>
      <c r="D981" s="9"/>
      <c r="E981" s="9"/>
      <c r="F981" s="9"/>
      <c r="G981" s="14"/>
      <c r="H981" s="14"/>
      <c r="I981" s="14"/>
      <c r="J981" s="14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 spans="1:23" ht="19.5" customHeight="1" x14ac:dyDescent="0.25">
      <c r="A982" s="9"/>
      <c r="B982" s="9"/>
      <c r="C982" s="9"/>
      <c r="D982" s="9"/>
      <c r="E982" s="9"/>
      <c r="F982" s="9"/>
      <c r="G982" s="14"/>
      <c r="H982" s="14"/>
      <c r="I982" s="14"/>
      <c r="J982" s="14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</sheetData>
  <mergeCells count="6">
    <mergeCell ref="A1:A2"/>
    <mergeCell ref="B1:D1"/>
    <mergeCell ref="E1:H1"/>
    <mergeCell ref="I1:J1"/>
    <mergeCell ref="I21:J21"/>
    <mergeCell ref="E21:G21"/>
  </mergeCells>
  <pageMargins left="0.511811024" right="0.511811024" top="0.78740157499999996" bottom="0.78740157499999996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4795-2748-4EB3-A571-5F6969EF3027}">
  <dimension ref="A1:V982"/>
  <sheetViews>
    <sheetView showGridLines="0" zoomScale="70" zoomScaleNormal="70" workbookViewId="0">
      <selection activeCell="J19" sqref="J19"/>
    </sheetView>
  </sheetViews>
  <sheetFormatPr defaultColWidth="14.42578125" defaultRowHeight="15" customHeight="1" x14ac:dyDescent="0.25"/>
  <cols>
    <col min="1" max="1" width="55" bestFit="1" customWidth="1"/>
    <col min="2" max="2" width="25" bestFit="1" customWidth="1"/>
    <col min="3" max="3" width="12.140625" customWidth="1"/>
    <col min="4" max="4" width="18.28515625" bestFit="1" customWidth="1"/>
    <col min="5" max="5" width="25" bestFit="1" customWidth="1"/>
    <col min="6" max="6" width="10" style="29" bestFit="1" customWidth="1"/>
    <col min="7" max="7" width="17.85546875" style="29" bestFit="1" customWidth="1"/>
    <col min="8" max="8" width="24.28515625" style="29" bestFit="1" customWidth="1"/>
    <col min="9" max="9" width="17.7109375" style="29" customWidth="1"/>
    <col min="10" max="10" width="83.7109375" customWidth="1"/>
    <col min="11" max="11" width="39.85546875" customWidth="1"/>
    <col min="12" max="12" width="14.28515625" customWidth="1"/>
    <col min="13" max="22" width="9.140625" customWidth="1"/>
  </cols>
  <sheetData>
    <row r="1" spans="1:22" ht="20.45" customHeight="1" x14ac:dyDescent="0.25">
      <c r="A1" s="212" t="s">
        <v>0</v>
      </c>
      <c r="B1" s="214" t="s">
        <v>90</v>
      </c>
      <c r="C1" s="215"/>
      <c r="D1" s="215"/>
      <c r="E1" s="216">
        <v>365</v>
      </c>
      <c r="F1" s="217"/>
      <c r="G1" s="218"/>
      <c r="H1" s="219" t="s">
        <v>71</v>
      </c>
      <c r="I1" s="219"/>
    </row>
    <row r="2" spans="1:22" ht="22.5" customHeight="1" thickBot="1" x14ac:dyDescent="0.3">
      <c r="A2" s="213"/>
      <c r="B2" s="62" t="s">
        <v>33</v>
      </c>
      <c r="C2" s="62" t="s">
        <v>34</v>
      </c>
      <c r="D2" s="62" t="s">
        <v>3</v>
      </c>
      <c r="E2" s="62" t="s">
        <v>82</v>
      </c>
      <c r="F2" s="62" t="s">
        <v>34</v>
      </c>
      <c r="G2" s="62" t="s">
        <v>3</v>
      </c>
      <c r="H2" s="62" t="s">
        <v>33</v>
      </c>
      <c r="I2" s="62" t="s">
        <v>3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22.5" customHeight="1" thickBot="1" x14ac:dyDescent="0.3">
      <c r="A3" s="107" t="s">
        <v>35</v>
      </c>
      <c r="B3" s="110">
        <f>ORÇAMENTO_EXECUTIVO!B2</f>
        <v>3894011.7347123325</v>
      </c>
      <c r="C3" s="10" t="e">
        <f t="shared" ref="C3:C19" si="0">B3/B$20</f>
        <v>#REF!</v>
      </c>
      <c r="D3" s="111">
        <f>B3/CONSTRUTORA!L$4</f>
        <v>222.44428254293678</v>
      </c>
      <c r="E3" s="110">
        <v>3504714.1301355851</v>
      </c>
      <c r="F3" s="10">
        <f t="shared" ref="F3:F19" si="1">E3/E$20</f>
        <v>5.9573914154668117E-2</v>
      </c>
      <c r="G3" s="111">
        <f>E3/CONSTRUTORA!L$3</f>
        <v>200.57792502155229</v>
      </c>
      <c r="H3" s="110">
        <f t="shared" ref="H3:H19" si="2">B3-E3</f>
        <v>389297.6045767474</v>
      </c>
      <c r="I3" s="111">
        <f t="shared" ref="I3:I19" si="3">D3-G3</f>
        <v>21.866357521384487</v>
      </c>
      <c r="J3" s="9" t="s">
        <v>115</v>
      </c>
      <c r="K3" s="32" t="s">
        <v>111</v>
      </c>
      <c r="L3" s="82">
        <v>17473.080000000002</v>
      </c>
      <c r="M3" s="33" t="s">
        <v>44</v>
      </c>
      <c r="N3" s="9"/>
      <c r="O3" s="9"/>
      <c r="P3" s="9"/>
      <c r="Q3" s="9"/>
      <c r="R3" s="9"/>
      <c r="S3" s="9"/>
      <c r="T3" s="9"/>
      <c r="U3" s="9"/>
      <c r="V3" s="9"/>
    </row>
    <row r="4" spans="1:22" ht="19.5" customHeight="1" thickBot="1" x14ac:dyDescent="0.3">
      <c r="A4" s="106" t="s">
        <v>4</v>
      </c>
      <c r="B4" s="108">
        <f>ORÇAMENTO_EXECUTIVO!B3</f>
        <v>1400464.8625340608</v>
      </c>
      <c r="C4" s="11" t="e">
        <f t="shared" si="0"/>
        <v>#REF!</v>
      </c>
      <c r="D4" s="109">
        <f>B4/CONSTRUTORA!L$4</f>
        <v>80.001146066396089</v>
      </c>
      <c r="E4" s="108">
        <v>1364651.1220984331</v>
      </c>
      <c r="F4" s="11">
        <f t="shared" si="1"/>
        <v>2.3196644799049117E-2</v>
      </c>
      <c r="G4" s="109">
        <f>E4/CONSTRUTORA!L$3</f>
        <v>78.100204548850741</v>
      </c>
      <c r="H4" s="108">
        <f t="shared" si="2"/>
        <v>35813.740435627755</v>
      </c>
      <c r="I4" s="109">
        <f t="shared" si="3"/>
        <v>1.9009415175453483</v>
      </c>
      <c r="J4" s="9" t="s">
        <v>112</v>
      </c>
      <c r="K4" s="32" t="s">
        <v>110</v>
      </c>
      <c r="L4" s="82">
        <f>ORÇAMENTO_EXECUTIVO!G2</f>
        <v>17505.560000000001</v>
      </c>
      <c r="M4" s="33" t="s">
        <v>44</v>
      </c>
      <c r="N4" s="9"/>
      <c r="O4" s="9"/>
      <c r="P4" s="9"/>
      <c r="Q4" s="9"/>
      <c r="R4" s="9"/>
      <c r="S4" s="9"/>
      <c r="T4" s="9"/>
      <c r="U4" s="9"/>
      <c r="V4" s="9"/>
    </row>
    <row r="5" spans="1:22" ht="19.5" customHeight="1" x14ac:dyDescent="0.25">
      <c r="A5" s="107" t="s">
        <v>81</v>
      </c>
      <c r="B5" s="110">
        <f>ORÇAMENTO_EXECUTIVO!B4+ORÇAMENTO_EXECUTIVO!B5</f>
        <v>5478291.13899046</v>
      </c>
      <c r="C5" s="10" t="e">
        <f t="shared" si="0"/>
        <v>#REF!</v>
      </c>
      <c r="D5" s="111">
        <f>B5/CONSTRUTORA!L$4</f>
        <v>312.94578059716224</v>
      </c>
      <c r="E5" s="110">
        <v>6317421.6594793368</v>
      </c>
      <c r="F5" s="10">
        <f t="shared" si="1"/>
        <v>0.10738494543236918</v>
      </c>
      <c r="G5" s="111">
        <f>E5/CONSTRUTORA!L$3</f>
        <v>361.55169320344987</v>
      </c>
      <c r="H5" s="110">
        <f t="shared" si="2"/>
        <v>-839130.52048887685</v>
      </c>
      <c r="I5" s="111">
        <f t="shared" si="3"/>
        <v>-48.605912606287632</v>
      </c>
      <c r="J5" s="9" t="s">
        <v>116</v>
      </c>
      <c r="K5" s="12">
        <v>1.0441450001650898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ht="19.5" customHeight="1" x14ac:dyDescent="0.25">
      <c r="A6" s="106" t="s">
        <v>6</v>
      </c>
      <c r="B6" s="108">
        <f>ORÇAMENTO_EXECUTIVO!B6</f>
        <v>11888495.22749904</v>
      </c>
      <c r="C6" s="11" t="e">
        <f t="shared" si="0"/>
        <v>#REF!</v>
      </c>
      <c r="D6" s="109">
        <f>B6/CONSTRUTORA!L$4</f>
        <v>679.12681613721804</v>
      </c>
      <c r="E6" s="108">
        <v>10402967.662989922</v>
      </c>
      <c r="F6" s="11">
        <f t="shared" si="1"/>
        <v>0.17683196959769562</v>
      </c>
      <c r="G6" s="109">
        <f>E6/CONSTRUTORA!L$3</f>
        <v>595.37114595651826</v>
      </c>
      <c r="H6" s="108">
        <f t="shared" si="2"/>
        <v>1485527.564509118</v>
      </c>
      <c r="I6" s="109">
        <f t="shared" si="3"/>
        <v>83.755670180699781</v>
      </c>
      <c r="J6" s="9" t="s">
        <v>117</v>
      </c>
      <c r="K6" s="12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ht="19.5" customHeight="1" x14ac:dyDescent="0.25">
      <c r="A7" s="107" t="s">
        <v>7</v>
      </c>
      <c r="B7" s="110">
        <f>ORÇAMENTO_EXECUTIVO!B7</f>
        <v>2669932.4038596</v>
      </c>
      <c r="C7" s="10" t="e">
        <f t="shared" si="0"/>
        <v>#REF!</v>
      </c>
      <c r="D7" s="111">
        <f>B7/CONSTRUTORA!L$4</f>
        <v>152.51910843523999</v>
      </c>
      <c r="E7" s="110">
        <v>2649104.4202035205</v>
      </c>
      <c r="F7" s="10">
        <f t="shared" si="1"/>
        <v>4.5030069060112178E-2</v>
      </c>
      <c r="G7" s="111">
        <f>E7/CONSTRUTORA!L$3</f>
        <v>151.61061588475073</v>
      </c>
      <c r="H7" s="110">
        <f t="shared" si="2"/>
        <v>20827.983656079508</v>
      </c>
      <c r="I7" s="111">
        <f t="shared" si="3"/>
        <v>0.9084925504892567</v>
      </c>
      <c r="J7" s="9" t="s">
        <v>118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ht="19.5" customHeight="1" x14ac:dyDescent="0.25">
      <c r="A8" s="106" t="s">
        <v>8</v>
      </c>
      <c r="B8" s="108">
        <f>ORÇAMENTO_EXECUTIVO!B8</f>
        <v>6824216.4661030415</v>
      </c>
      <c r="C8" s="11" t="e">
        <f t="shared" si="0"/>
        <v>#REF!</v>
      </c>
      <c r="D8" s="109">
        <f>B8/CONSTRUTORA!L$4</f>
        <v>389.8313716386703</v>
      </c>
      <c r="E8" s="108">
        <v>6444580.4405203201</v>
      </c>
      <c r="F8" s="11">
        <f t="shared" si="1"/>
        <v>0.10954641881492283</v>
      </c>
      <c r="G8" s="109">
        <f>E8/CONSTRUTORA!L$3</f>
        <v>368.82910399999997</v>
      </c>
      <c r="H8" s="108">
        <f t="shared" si="2"/>
        <v>379636.02558272146</v>
      </c>
      <c r="I8" s="109">
        <f t="shared" si="3"/>
        <v>21.002267638670332</v>
      </c>
      <c r="J8" s="9" t="s">
        <v>75</v>
      </c>
      <c r="K8" s="14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ht="19.5" customHeight="1" x14ac:dyDescent="0.25">
      <c r="A9" s="107" t="s">
        <v>40</v>
      </c>
      <c r="B9" s="110">
        <f>ORÇAMENTO_EXECUTIVO!B9</f>
        <v>3389279.8719215216</v>
      </c>
      <c r="C9" s="10" t="e">
        <f t="shared" si="0"/>
        <v>#REF!</v>
      </c>
      <c r="D9" s="111">
        <f>B9/CONSTRUTORA!L$4</f>
        <v>193.61162236006854</v>
      </c>
      <c r="E9" s="110">
        <v>3372799.0120000006</v>
      </c>
      <c r="F9" s="10">
        <f t="shared" si="1"/>
        <v>5.7331591491048134E-2</v>
      </c>
      <c r="G9" s="111">
        <f>E9/CONSTRUTORA!L$3</f>
        <v>193.02830479800929</v>
      </c>
      <c r="H9" s="110">
        <f t="shared" si="2"/>
        <v>16480.859921521042</v>
      </c>
      <c r="I9" s="111">
        <f t="shared" si="3"/>
        <v>0.58331756205924989</v>
      </c>
      <c r="J9" s="9" t="s">
        <v>75</v>
      </c>
      <c r="K9" s="15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ht="19.5" customHeight="1" x14ac:dyDescent="0.25">
      <c r="A10" s="106" t="s">
        <v>9</v>
      </c>
      <c r="B10" s="108">
        <f>ORÇAMENTO_EXECUTIVO!B10</f>
        <v>963633.78227384016</v>
      </c>
      <c r="C10" s="11" t="e">
        <f t="shared" si="0"/>
        <v>#REF!</v>
      </c>
      <c r="D10" s="109">
        <f>B10/CONSTRUTORA!L$4</f>
        <v>55.047298245462592</v>
      </c>
      <c r="E10" s="108">
        <v>646679.99722168013</v>
      </c>
      <c r="F10" s="11">
        <f t="shared" si="1"/>
        <v>1.0992411138118982E-2</v>
      </c>
      <c r="G10" s="109">
        <f>E10/CONSTRUTORA!L$3</f>
        <v>37.010074767681488</v>
      </c>
      <c r="H10" s="108">
        <f t="shared" si="2"/>
        <v>316953.78505216003</v>
      </c>
      <c r="I10" s="109">
        <f t="shared" si="3"/>
        <v>18.037223477781104</v>
      </c>
      <c r="J10" s="9" t="s">
        <v>91</v>
      </c>
      <c r="K10" s="14"/>
      <c r="L10" s="30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 ht="19.5" customHeight="1" x14ac:dyDescent="0.25">
      <c r="A11" s="107" t="s">
        <v>36</v>
      </c>
      <c r="B11" s="110">
        <f>ORÇAMENTO_EXECUTIVO!B11</f>
        <v>3955585.0851409007</v>
      </c>
      <c r="C11" s="10" t="e">
        <f t="shared" si="0"/>
        <v>#REF!</v>
      </c>
      <c r="D11" s="111">
        <f>B11/CONSTRUTORA!L$4</f>
        <v>225.96164219487412</v>
      </c>
      <c r="E11" s="110">
        <v>3911886.3832203196</v>
      </c>
      <c r="F11" s="10">
        <f t="shared" si="1"/>
        <v>6.6495119123386737E-2</v>
      </c>
      <c r="G11" s="111">
        <f>E11/CONSTRUTORA!L$3</f>
        <v>223.8807573261451</v>
      </c>
      <c r="H11" s="110">
        <f t="shared" si="2"/>
        <v>43698.70192058105</v>
      </c>
      <c r="I11" s="111">
        <f t="shared" si="3"/>
        <v>2.0808848687290151</v>
      </c>
      <c r="J11" s="9" t="s">
        <v>118</v>
      </c>
      <c r="K11" s="13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 ht="19.5" customHeight="1" x14ac:dyDescent="0.25">
      <c r="A12" s="106" t="s">
        <v>37</v>
      </c>
      <c r="B12" s="108">
        <f>ORÇAMENTO_EXECUTIVO!B12</f>
        <v>1140245.0577967202</v>
      </c>
      <c r="C12" s="11" t="e">
        <f t="shared" si="0"/>
        <v>#REF!</v>
      </c>
      <c r="D12" s="109">
        <f>B12/CONSTRUTORA!L$4</f>
        <v>65.136165755149804</v>
      </c>
      <c r="E12" s="108">
        <v>1954740.9272817601</v>
      </c>
      <c r="F12" s="11">
        <f t="shared" si="1"/>
        <v>3.3227123203910164E-2</v>
      </c>
      <c r="G12" s="109">
        <f>E12/CONSTRUTORA!L$3</f>
        <v>111.871572</v>
      </c>
      <c r="H12" s="108">
        <f t="shared" si="2"/>
        <v>-814495.86948503996</v>
      </c>
      <c r="I12" s="109">
        <f t="shared" si="3"/>
        <v>-46.735406244850196</v>
      </c>
      <c r="J12" s="9" t="s">
        <v>119</v>
      </c>
      <c r="K12" s="9"/>
      <c r="L12" s="31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ht="19.5" customHeight="1" x14ac:dyDescent="0.25">
      <c r="A13" s="107" t="s">
        <v>10</v>
      </c>
      <c r="B13" s="110">
        <f>ORÇAMENTO_EXECUTIVO!B13</f>
        <v>4304402.0710772807</v>
      </c>
      <c r="C13" s="10" t="e">
        <f t="shared" si="0"/>
        <v>#REF!</v>
      </c>
      <c r="D13" s="111">
        <f>B13/CONSTRUTORA!L$4</f>
        <v>245.88771059464995</v>
      </c>
      <c r="E13" s="110">
        <v>3486357.6104902402</v>
      </c>
      <c r="F13" s="10">
        <f t="shared" si="1"/>
        <v>5.9261885930703397E-2</v>
      </c>
      <c r="G13" s="111">
        <f>E13/CONSTRUTORA!L$3</f>
        <v>199.52736498031484</v>
      </c>
      <c r="H13" s="110">
        <f t="shared" si="2"/>
        <v>818044.46058704052</v>
      </c>
      <c r="I13" s="111">
        <f t="shared" si="3"/>
        <v>46.360345614335102</v>
      </c>
      <c r="J13" s="9" t="s">
        <v>120</v>
      </c>
      <c r="K13" s="9"/>
      <c r="L13" s="13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 ht="19.5" customHeight="1" x14ac:dyDescent="0.25">
      <c r="A14" s="106" t="s">
        <v>11</v>
      </c>
      <c r="B14" s="108">
        <f>ORÇAMENTO_EXECUTIVO!B14</f>
        <v>2594671.0421358002</v>
      </c>
      <c r="C14" s="11" t="e">
        <f t="shared" si="0"/>
        <v>#REF!</v>
      </c>
      <c r="D14" s="109">
        <f>B14/CONSTRUTORA!L$4</f>
        <v>148.21982513760199</v>
      </c>
      <c r="E14" s="108">
        <v>2122696.7540171999</v>
      </c>
      <c r="F14" s="11">
        <f t="shared" si="1"/>
        <v>3.6082073888098011E-2</v>
      </c>
      <c r="G14" s="109">
        <f>E14/CONSTRUTORA!L$3</f>
        <v>121.48383421910731</v>
      </c>
      <c r="H14" s="108">
        <f t="shared" si="2"/>
        <v>471974.28811860038</v>
      </c>
      <c r="I14" s="109">
        <f t="shared" si="3"/>
        <v>26.735990918494679</v>
      </c>
      <c r="J14" s="9" t="s">
        <v>117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 ht="19.5" customHeight="1" x14ac:dyDescent="0.25">
      <c r="A15" s="107" t="s">
        <v>12</v>
      </c>
      <c r="B15" s="110">
        <f>ORÇAMENTO_EXECUTIVO!B15</f>
        <v>5911420.3508506799</v>
      </c>
      <c r="C15" s="10" t="e">
        <f t="shared" si="0"/>
        <v>#REF!</v>
      </c>
      <c r="D15" s="111">
        <f>B15/CONSTRUTORA!L$4</f>
        <v>337.68816026740529</v>
      </c>
      <c r="E15" s="110">
        <v>5968623.1723734401</v>
      </c>
      <c r="F15" s="10">
        <f t="shared" si="1"/>
        <v>0.10145599078541173</v>
      </c>
      <c r="G15" s="111">
        <f>E15/CONSTRUTORA!L$3</f>
        <v>341.58964374760717</v>
      </c>
      <c r="H15" s="110">
        <f t="shared" si="2"/>
        <v>-57202.821522760205</v>
      </c>
      <c r="I15" s="111">
        <f t="shared" si="3"/>
        <v>-3.9014834802018754</v>
      </c>
      <c r="J15" s="9" t="s">
        <v>121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ht="19.5" customHeight="1" x14ac:dyDescent="0.25">
      <c r="A16" s="106" t="s">
        <v>39</v>
      </c>
      <c r="B16" s="108" t="e">
        <f>ORÇAMENTO_EXECUTIVO!#REF!</f>
        <v>#REF!</v>
      </c>
      <c r="C16" s="11" t="e">
        <f t="shared" si="0"/>
        <v>#REF!</v>
      </c>
      <c r="D16" s="109" t="e">
        <f>B16/CONSTRUTORA!L$4</f>
        <v>#REF!</v>
      </c>
      <c r="E16" s="108">
        <v>389789.62706503994</v>
      </c>
      <c r="F16" s="11">
        <f t="shared" si="1"/>
        <v>6.6257312062865566E-3</v>
      </c>
      <c r="G16" s="109">
        <f>E16/CONSTRUTORA!L$3</f>
        <v>22.308009066806761</v>
      </c>
      <c r="H16" s="108" t="e">
        <f t="shared" si="2"/>
        <v>#REF!</v>
      </c>
      <c r="I16" s="109" t="e">
        <f t="shared" si="3"/>
        <v>#REF!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ht="19.5" customHeight="1" x14ac:dyDescent="0.25">
      <c r="A17" s="107" t="s">
        <v>13</v>
      </c>
      <c r="B17" s="110">
        <f>ORÇAMENTO_EXECUTIVO!B16</f>
        <v>2143436.7271750201</v>
      </c>
      <c r="C17" s="10" t="e">
        <f t="shared" si="0"/>
        <v>#REF!</v>
      </c>
      <c r="D17" s="111">
        <f>B17/CONSTRUTORA!L$4</f>
        <v>122.44319674292167</v>
      </c>
      <c r="E17" s="110">
        <v>1910131.0763035202</v>
      </c>
      <c r="F17" s="10">
        <f t="shared" si="1"/>
        <v>3.2468834985827345E-2</v>
      </c>
      <c r="G17" s="111">
        <f>E17/CONSTRUTORA!L$3</f>
        <v>109.31851032007637</v>
      </c>
      <c r="H17" s="110">
        <f t="shared" si="2"/>
        <v>233305.65087149991</v>
      </c>
      <c r="I17" s="111">
        <f t="shared" si="3"/>
        <v>13.124686422845301</v>
      </c>
      <c r="J17" s="9" t="s">
        <v>122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 ht="19.5" customHeight="1" x14ac:dyDescent="0.25">
      <c r="A18" s="106" t="s">
        <v>14</v>
      </c>
      <c r="B18" s="108">
        <f>ORÇAMENTO_EXECUTIVO!B17</f>
        <v>2620073.8056657603</v>
      </c>
      <c r="C18" s="11" t="e">
        <f t="shared" si="0"/>
        <v>#REF!</v>
      </c>
      <c r="D18" s="109">
        <f>B18/CONSTRUTORA!L$4</f>
        <v>149.67095058174431</v>
      </c>
      <c r="E18" s="108">
        <v>2243441.2900867201</v>
      </c>
      <c r="F18" s="11">
        <f t="shared" si="1"/>
        <v>3.813451650092034E-2</v>
      </c>
      <c r="G18" s="109">
        <f>E18/CONSTRUTORA!L$3</f>
        <v>128.39415203768996</v>
      </c>
      <c r="H18" s="108">
        <f t="shared" si="2"/>
        <v>376632.51557904016</v>
      </c>
      <c r="I18" s="109">
        <f t="shared" si="3"/>
        <v>21.276798544054344</v>
      </c>
      <c r="J18" s="9" t="s">
        <v>123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ht="19.5" customHeight="1" x14ac:dyDescent="0.25">
      <c r="A19" s="107" t="s">
        <v>38</v>
      </c>
      <c r="B19" s="110">
        <f>ORÇAMENTO_EXECUTIVO!B18</f>
        <v>1810898.4309272654</v>
      </c>
      <c r="C19" s="10" t="e">
        <f t="shared" si="0"/>
        <v>#REF!</v>
      </c>
      <c r="D19" s="111">
        <f>B19/CONSTRUTORA!L$4</f>
        <v>103.44704373509133</v>
      </c>
      <c r="E19" s="110">
        <v>2139091.761357835</v>
      </c>
      <c r="F19" s="10">
        <f t="shared" si="1"/>
        <v>3.6360759887471762E-2</v>
      </c>
      <c r="G19" s="111">
        <f>E19/CONSTRUTORA!L$3</f>
        <v>122.4221351563568</v>
      </c>
      <c r="H19" s="110">
        <f t="shared" si="2"/>
        <v>-328193.33043056959</v>
      </c>
      <c r="I19" s="111">
        <f t="shared" si="3"/>
        <v>-18.975091421265475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ht="19.5" customHeight="1" x14ac:dyDescent="0.25">
      <c r="A20" s="61" t="s">
        <v>15</v>
      </c>
      <c r="B20" s="98" t="e">
        <f t="shared" ref="B20:I20" si="4">SUM(B3:B19)</f>
        <v>#REF!</v>
      </c>
      <c r="C20" s="64" t="e">
        <f t="shared" si="4"/>
        <v>#REF!</v>
      </c>
      <c r="D20" s="101" t="e">
        <f t="shared" si="4"/>
        <v>#REF!</v>
      </c>
      <c r="E20" s="98">
        <f t="shared" si="4"/>
        <v>58829677.046844862</v>
      </c>
      <c r="F20" s="64">
        <f t="shared" si="4"/>
        <v>1.0000000000000002</v>
      </c>
      <c r="G20" s="101">
        <f t="shared" si="4"/>
        <v>3366.8750470349169</v>
      </c>
      <c r="H20" s="101" t="e">
        <f t="shared" si="4"/>
        <v>#REF!</v>
      </c>
      <c r="I20" s="101" t="e">
        <f t="shared" si="4"/>
        <v>#REF!</v>
      </c>
      <c r="J20" s="13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 ht="19.5" customHeight="1" x14ac:dyDescent="0.25">
      <c r="A21" s="61" t="s">
        <v>54</v>
      </c>
      <c r="B21" s="63">
        <v>2846.12</v>
      </c>
      <c r="C21" s="66">
        <v>45566</v>
      </c>
      <c r="D21" s="65" t="e">
        <f>D20/B21</f>
        <v>#REF!</v>
      </c>
      <c r="E21" s="217"/>
      <c r="F21" s="218"/>
      <c r="G21" s="65">
        <f>+G20/B21</f>
        <v>1.1829701653601805</v>
      </c>
      <c r="H21" s="220" t="e">
        <f>I20/D20</f>
        <v>#REF!</v>
      </c>
      <c r="I21" s="221"/>
      <c r="J21" s="13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 ht="22.5" customHeight="1" x14ac:dyDescent="0.25">
      <c r="A22" s="9"/>
      <c r="B22" s="9"/>
      <c r="C22" s="9"/>
      <c r="D22" s="9"/>
      <c r="E22" s="9"/>
      <c r="F22" s="14"/>
      <c r="G22" s="14"/>
      <c r="H22" s="14"/>
      <c r="I22" s="14"/>
      <c r="J22" s="9"/>
      <c r="K22" s="13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ht="22.5" customHeight="1" x14ac:dyDescent="0.25">
      <c r="A23" s="9"/>
      <c r="B23" s="9"/>
      <c r="C23" s="9"/>
      <c r="D23" s="9"/>
      <c r="E23" s="13"/>
      <c r="F23" s="14"/>
      <c r="G23" s="14"/>
      <c r="H23" s="14"/>
      <c r="I23" s="14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ht="19.5" customHeight="1" x14ac:dyDescent="0.25">
      <c r="A24" s="9"/>
      <c r="B24" s="9"/>
      <c r="C24" s="9"/>
      <c r="D24" s="9"/>
      <c r="E24" s="9"/>
      <c r="F24" s="14"/>
      <c r="G24" s="14"/>
      <c r="H24" s="14"/>
      <c r="I24" s="14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 ht="19.5" customHeight="1" x14ac:dyDescent="0.25">
      <c r="A25" s="9"/>
      <c r="B25" s="9"/>
      <c r="C25" s="9"/>
      <c r="D25" s="9"/>
      <c r="E25" s="9"/>
      <c r="F25" s="14"/>
      <c r="G25" s="14"/>
      <c r="H25" s="14"/>
      <c r="I25" s="14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 ht="19.5" customHeight="1" x14ac:dyDescent="0.25">
      <c r="A26" s="9"/>
      <c r="B26" s="9"/>
      <c r="C26" s="9"/>
      <c r="D26" s="9"/>
      <c r="E26" s="9"/>
      <c r="F26" s="14"/>
      <c r="G26" s="14"/>
      <c r="H26" s="14"/>
      <c r="I26" s="14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 ht="19.5" customHeight="1" x14ac:dyDescent="0.25">
      <c r="A27" s="9"/>
      <c r="B27" s="9"/>
      <c r="C27" s="9"/>
      <c r="D27" s="9"/>
      <c r="E27" s="9"/>
      <c r="F27" s="14"/>
      <c r="G27" s="14"/>
      <c r="H27" s="14"/>
      <c r="I27" s="14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 ht="19.5" customHeight="1" x14ac:dyDescent="0.25">
      <c r="A28" s="9"/>
      <c r="B28" s="9"/>
      <c r="C28" s="9"/>
      <c r="D28" s="9"/>
      <c r="E28" s="9"/>
      <c r="F28" s="14"/>
      <c r="G28" s="14"/>
      <c r="H28" s="14"/>
      <c r="I28" s="14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 ht="19.5" customHeight="1" x14ac:dyDescent="0.25">
      <c r="A29" s="9"/>
      <c r="B29" s="9"/>
      <c r="C29" s="9"/>
      <c r="D29" s="9"/>
      <c r="E29" s="9"/>
      <c r="F29" s="14"/>
      <c r="G29" s="14"/>
      <c r="H29" s="14"/>
      <c r="I29" s="14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ht="19.5" customHeight="1" x14ac:dyDescent="0.25">
      <c r="A30" s="9"/>
      <c r="B30" s="9"/>
      <c r="C30" s="9"/>
      <c r="D30" s="9"/>
      <c r="E30" s="9"/>
      <c r="F30" s="14"/>
      <c r="G30" s="14"/>
      <c r="H30" s="14"/>
      <c r="I30" s="14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 ht="19.5" customHeight="1" x14ac:dyDescent="0.25">
      <c r="A31" s="9"/>
      <c r="B31" s="9"/>
      <c r="C31" s="9"/>
      <c r="D31" s="9"/>
      <c r="E31" s="9"/>
      <c r="F31" s="14"/>
      <c r="G31" s="14"/>
      <c r="H31" s="14"/>
      <c r="I31" s="14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 ht="19.5" customHeight="1" x14ac:dyDescent="0.25">
      <c r="A32" s="9"/>
      <c r="B32" s="9"/>
      <c r="C32" s="9"/>
      <c r="D32" s="9"/>
      <c r="E32" s="9"/>
      <c r="F32" s="14"/>
      <c r="G32" s="14"/>
      <c r="H32" s="14"/>
      <c r="I32" s="14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 ht="19.5" customHeight="1" x14ac:dyDescent="0.25">
      <c r="A33" s="9"/>
      <c r="B33" s="9"/>
      <c r="C33" s="9"/>
      <c r="D33" s="9"/>
      <c r="E33" s="9"/>
      <c r="F33" s="14"/>
      <c r="G33" s="14"/>
      <c r="H33" s="14"/>
      <c r="I33" s="14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 ht="19.5" customHeight="1" x14ac:dyDescent="0.25">
      <c r="A34" s="9"/>
      <c r="B34" s="9"/>
      <c r="C34" s="9"/>
      <c r="D34" s="9"/>
      <c r="E34" s="9"/>
      <c r="F34" s="14"/>
      <c r="G34" s="14"/>
      <c r="H34" s="14"/>
      <c r="I34" s="14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 ht="19.5" customHeight="1" x14ac:dyDescent="0.25">
      <c r="A35" s="9"/>
      <c r="B35" s="9"/>
      <c r="C35" s="9"/>
      <c r="D35" s="9"/>
      <c r="E35" s="9"/>
      <c r="F35" s="14"/>
      <c r="G35" s="14"/>
      <c r="H35" s="14"/>
      <c r="I35" s="14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 ht="19.5" customHeight="1" x14ac:dyDescent="0.25">
      <c r="A36" s="9"/>
      <c r="B36" s="9"/>
      <c r="C36" s="9"/>
      <c r="D36" s="9"/>
      <c r="E36" s="9"/>
      <c r="F36" s="14"/>
      <c r="G36" s="14"/>
      <c r="H36" s="14"/>
      <c r="I36" s="14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 ht="19.5" customHeight="1" x14ac:dyDescent="0.25">
      <c r="A37" s="9"/>
      <c r="B37" s="9"/>
      <c r="C37" s="9"/>
      <c r="D37" s="9"/>
      <c r="E37" s="9"/>
      <c r="F37" s="14"/>
      <c r="G37" s="14"/>
      <c r="H37" s="14"/>
      <c r="I37" s="14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 ht="19.5" customHeight="1" x14ac:dyDescent="0.25">
      <c r="A38" s="9"/>
      <c r="B38" s="9"/>
      <c r="C38" s="9"/>
      <c r="D38" s="9"/>
      <c r="E38" s="9"/>
      <c r="F38" s="14"/>
      <c r="G38" s="14"/>
      <c r="H38" s="14"/>
      <c r="I38" s="14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 ht="19.5" customHeight="1" x14ac:dyDescent="0.25">
      <c r="A39" s="9"/>
      <c r="B39" s="9"/>
      <c r="C39" s="9"/>
      <c r="D39" s="9"/>
      <c r="E39" s="9"/>
      <c r="F39" s="14"/>
      <c r="G39" s="14"/>
      <c r="H39" s="14"/>
      <c r="I39" s="14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 ht="19.5" customHeight="1" x14ac:dyDescent="0.25">
      <c r="A40" s="9"/>
      <c r="B40" s="9"/>
      <c r="C40" s="9"/>
      <c r="D40" s="9"/>
      <c r="E40" s="9"/>
      <c r="F40" s="14"/>
      <c r="G40" s="14"/>
      <c r="H40" s="14"/>
      <c r="I40" s="14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 ht="19.5" customHeight="1" x14ac:dyDescent="0.25">
      <c r="A41" s="9"/>
      <c r="B41" s="9"/>
      <c r="C41" s="9"/>
      <c r="D41" s="9"/>
      <c r="E41" s="9"/>
      <c r="F41" s="14"/>
      <c r="G41" s="14"/>
      <c r="H41" s="14"/>
      <c r="I41" s="14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 ht="19.5" customHeight="1" x14ac:dyDescent="0.25">
      <c r="A42" s="9"/>
      <c r="B42" s="9"/>
      <c r="C42" s="9"/>
      <c r="D42" s="9"/>
      <c r="E42" s="9"/>
      <c r="F42" s="14"/>
      <c r="G42" s="14"/>
      <c r="H42" s="14"/>
      <c r="I42" s="14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 ht="19.5" customHeight="1" x14ac:dyDescent="0.25">
      <c r="A43" s="9"/>
      <c r="B43" s="9"/>
      <c r="C43" s="9"/>
      <c r="D43" s="9"/>
      <c r="E43" s="9"/>
      <c r="F43" s="14"/>
      <c r="G43" s="14"/>
      <c r="H43" s="14"/>
      <c r="I43" s="14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 ht="19.5" customHeight="1" x14ac:dyDescent="0.25">
      <c r="A44" s="9"/>
      <c r="B44" s="9"/>
      <c r="C44" s="9"/>
      <c r="D44" s="9"/>
      <c r="E44" s="9"/>
      <c r="F44" s="14"/>
      <c r="G44" s="14"/>
      <c r="H44" s="14"/>
      <c r="I44" s="14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1:22" ht="19.5" customHeight="1" x14ac:dyDescent="0.25">
      <c r="A45" s="9"/>
      <c r="B45" s="9"/>
      <c r="C45" s="9"/>
      <c r="D45" s="9"/>
      <c r="E45" s="9"/>
      <c r="F45" s="14"/>
      <c r="G45" s="14"/>
      <c r="H45" s="14"/>
      <c r="I45" s="14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1:22" ht="19.5" customHeight="1" x14ac:dyDescent="0.25">
      <c r="A46" s="9"/>
      <c r="B46" s="9"/>
      <c r="C46" s="9"/>
      <c r="D46" s="9"/>
      <c r="E46" s="9"/>
      <c r="F46" s="14"/>
      <c r="G46" s="14"/>
      <c r="H46" s="14"/>
      <c r="I46" s="14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1:22" ht="19.5" customHeight="1" x14ac:dyDescent="0.25">
      <c r="A47" s="9"/>
      <c r="B47" s="9"/>
      <c r="C47" s="9"/>
      <c r="D47" s="9"/>
      <c r="E47" s="9"/>
      <c r="F47" s="14"/>
      <c r="G47" s="14"/>
      <c r="H47" s="14"/>
      <c r="I47" s="14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1:22" ht="19.5" customHeight="1" x14ac:dyDescent="0.25">
      <c r="A48" s="9"/>
      <c r="B48" s="9"/>
      <c r="C48" s="9"/>
      <c r="D48" s="9"/>
      <c r="E48" s="9"/>
      <c r="F48" s="14"/>
      <c r="G48" s="14"/>
      <c r="H48" s="14"/>
      <c r="I48" s="14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:22" ht="19.5" customHeight="1" x14ac:dyDescent="0.25">
      <c r="A49" s="9"/>
      <c r="B49" s="9"/>
      <c r="C49" s="9"/>
      <c r="D49" s="9"/>
      <c r="E49" s="9"/>
      <c r="F49" s="14"/>
      <c r="G49" s="14"/>
      <c r="H49" s="14"/>
      <c r="I49" s="14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1:22" ht="19.5" customHeight="1" x14ac:dyDescent="0.25">
      <c r="A50" s="9"/>
      <c r="B50" s="9"/>
      <c r="C50" s="9"/>
      <c r="D50" s="9"/>
      <c r="E50" s="9"/>
      <c r="F50" s="14"/>
      <c r="G50" s="14"/>
      <c r="H50" s="14"/>
      <c r="I50" s="14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1:22" ht="19.5" customHeight="1" x14ac:dyDescent="0.25">
      <c r="A51" s="9"/>
      <c r="B51" s="9"/>
      <c r="C51" s="9"/>
      <c r="D51" s="9"/>
      <c r="E51" s="9"/>
      <c r="F51" s="14"/>
      <c r="G51" s="14"/>
      <c r="H51" s="14"/>
      <c r="I51" s="14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1:22" ht="19.5" customHeight="1" x14ac:dyDescent="0.25">
      <c r="A52" s="9"/>
      <c r="B52" s="9"/>
      <c r="C52" s="9"/>
      <c r="D52" s="9"/>
      <c r="E52" s="9"/>
      <c r="F52" s="14"/>
      <c r="G52" s="14"/>
      <c r="H52" s="14"/>
      <c r="I52" s="14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1:22" ht="19.5" customHeight="1" x14ac:dyDescent="0.25">
      <c r="A53" s="9"/>
      <c r="B53" s="9"/>
      <c r="C53" s="9"/>
      <c r="D53" s="9"/>
      <c r="E53" s="9"/>
      <c r="F53" s="14"/>
      <c r="G53" s="14"/>
      <c r="H53" s="14"/>
      <c r="I53" s="14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1:22" ht="19.5" customHeight="1" x14ac:dyDescent="0.25">
      <c r="A54" s="9"/>
      <c r="B54" s="9"/>
      <c r="C54" s="9"/>
      <c r="D54" s="9"/>
      <c r="E54" s="9"/>
      <c r="F54" s="14"/>
      <c r="G54" s="14"/>
      <c r="H54" s="14"/>
      <c r="I54" s="14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spans="1:22" ht="19.5" customHeight="1" x14ac:dyDescent="0.25">
      <c r="A55" s="9"/>
      <c r="B55" s="9"/>
      <c r="C55" s="9"/>
      <c r="D55" s="9"/>
      <c r="E55" s="9"/>
      <c r="F55" s="14"/>
      <c r="G55" s="14"/>
      <c r="H55" s="14"/>
      <c r="I55" s="14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1:22" ht="19.5" customHeight="1" x14ac:dyDescent="0.25">
      <c r="A56" s="9"/>
      <c r="B56" s="9"/>
      <c r="C56" s="9"/>
      <c r="D56" s="9"/>
      <c r="E56" s="9"/>
      <c r="F56" s="14"/>
      <c r="G56" s="14"/>
      <c r="H56" s="14"/>
      <c r="I56" s="14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spans="1:22" ht="19.5" customHeight="1" x14ac:dyDescent="0.25">
      <c r="A57" s="9"/>
      <c r="B57" s="9"/>
      <c r="C57" s="9"/>
      <c r="D57" s="9"/>
      <c r="E57" s="9"/>
      <c r="F57" s="14"/>
      <c r="G57" s="14"/>
      <c r="H57" s="14"/>
      <c r="I57" s="14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spans="1:22" ht="19.5" customHeight="1" x14ac:dyDescent="0.25">
      <c r="A58" s="9"/>
      <c r="B58" s="9"/>
      <c r="C58" s="9"/>
      <c r="D58" s="9"/>
      <c r="E58" s="9"/>
      <c r="F58" s="14"/>
      <c r="G58" s="14"/>
      <c r="H58" s="14"/>
      <c r="I58" s="14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spans="1:22" ht="19.5" customHeight="1" x14ac:dyDescent="0.25">
      <c r="A59" s="9"/>
      <c r="B59" s="9"/>
      <c r="C59" s="9"/>
      <c r="D59" s="9"/>
      <c r="E59" s="9"/>
      <c r="F59" s="14"/>
      <c r="G59" s="14"/>
      <c r="H59" s="14"/>
      <c r="I59" s="14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spans="1:22" ht="19.5" customHeight="1" x14ac:dyDescent="0.25">
      <c r="A60" s="9"/>
      <c r="B60" s="9"/>
      <c r="C60" s="9"/>
      <c r="D60" s="9"/>
      <c r="E60" s="9"/>
      <c r="F60" s="14"/>
      <c r="G60" s="14"/>
      <c r="H60" s="14"/>
      <c r="I60" s="14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spans="1:22" ht="19.5" customHeight="1" x14ac:dyDescent="0.25">
      <c r="A61" s="9"/>
      <c r="B61" s="9"/>
      <c r="C61" s="9"/>
      <c r="D61" s="9"/>
      <c r="E61" s="9"/>
      <c r="F61" s="14"/>
      <c r="G61" s="14"/>
      <c r="H61" s="14"/>
      <c r="I61" s="14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spans="1:22" ht="19.5" customHeight="1" x14ac:dyDescent="0.25">
      <c r="A62" s="9"/>
      <c r="B62" s="9"/>
      <c r="C62" s="9"/>
      <c r="D62" s="9"/>
      <c r="E62" s="9"/>
      <c r="F62" s="14"/>
      <c r="G62" s="14"/>
      <c r="H62" s="14"/>
      <c r="I62" s="14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spans="1:22" ht="19.5" customHeight="1" x14ac:dyDescent="0.25">
      <c r="A63" s="9"/>
      <c r="B63" s="9"/>
      <c r="C63" s="9"/>
      <c r="D63" s="9"/>
      <c r="E63" s="9"/>
      <c r="F63" s="14"/>
      <c r="G63" s="14"/>
      <c r="H63" s="14"/>
      <c r="I63" s="14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pans="1:22" ht="19.5" customHeight="1" x14ac:dyDescent="0.25">
      <c r="A64" s="9"/>
      <c r="B64" s="9"/>
      <c r="C64" s="9"/>
      <c r="D64" s="9"/>
      <c r="E64" s="9"/>
      <c r="F64" s="14"/>
      <c r="G64" s="14"/>
      <c r="H64" s="14"/>
      <c r="I64" s="14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spans="1:22" ht="19.5" customHeight="1" x14ac:dyDescent="0.25">
      <c r="A65" s="9"/>
      <c r="B65" s="9"/>
      <c r="C65" s="9"/>
      <c r="D65" s="9"/>
      <c r="E65" s="9"/>
      <c r="F65" s="14"/>
      <c r="G65" s="14"/>
      <c r="H65" s="14"/>
      <c r="I65" s="14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pans="1:22" ht="19.5" customHeight="1" x14ac:dyDescent="0.25">
      <c r="A66" s="9"/>
      <c r="B66" s="9"/>
      <c r="C66" s="9"/>
      <c r="D66" s="9"/>
      <c r="E66" s="9"/>
      <c r="F66" s="14"/>
      <c r="G66" s="14"/>
      <c r="H66" s="14"/>
      <c r="I66" s="14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spans="1:22" ht="19.5" customHeight="1" x14ac:dyDescent="0.25">
      <c r="A67" s="9"/>
      <c r="B67" s="9"/>
      <c r="C67" s="9"/>
      <c r="D67" s="9"/>
      <c r="E67" s="9"/>
      <c r="F67" s="14"/>
      <c r="G67" s="14"/>
      <c r="H67" s="14"/>
      <c r="I67" s="14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spans="1:22" ht="19.5" customHeight="1" x14ac:dyDescent="0.25">
      <c r="A68" s="9"/>
      <c r="B68" s="9"/>
      <c r="C68" s="9"/>
      <c r="D68" s="9"/>
      <c r="E68" s="9"/>
      <c r="F68" s="14"/>
      <c r="G68" s="14"/>
      <c r="H68" s="14"/>
      <c r="I68" s="14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spans="1:22" ht="19.5" customHeight="1" x14ac:dyDescent="0.25">
      <c r="A69" s="9"/>
      <c r="B69" s="9"/>
      <c r="C69" s="9"/>
      <c r="D69" s="9"/>
      <c r="E69" s="9"/>
      <c r="F69" s="14"/>
      <c r="G69" s="14"/>
      <c r="H69" s="14"/>
      <c r="I69" s="14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spans="1:22" ht="19.5" customHeight="1" x14ac:dyDescent="0.25">
      <c r="A70" s="9"/>
      <c r="B70" s="9"/>
      <c r="C70" s="9"/>
      <c r="D70" s="9"/>
      <c r="E70" s="9"/>
      <c r="F70" s="14"/>
      <c r="G70" s="14"/>
      <c r="H70" s="14"/>
      <c r="I70" s="14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spans="1:22" ht="19.5" customHeight="1" x14ac:dyDescent="0.25">
      <c r="A71" s="9"/>
      <c r="B71" s="9"/>
      <c r="C71" s="9"/>
      <c r="D71" s="9"/>
      <c r="E71" s="9"/>
      <c r="F71" s="14"/>
      <c r="G71" s="14"/>
      <c r="H71" s="14"/>
      <c r="I71" s="14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spans="1:22" ht="19.5" customHeight="1" x14ac:dyDescent="0.25">
      <c r="A72" s="9"/>
      <c r="B72" s="9"/>
      <c r="C72" s="9"/>
      <c r="D72" s="9"/>
      <c r="E72" s="9"/>
      <c r="F72" s="14"/>
      <c r="G72" s="14"/>
      <c r="H72" s="14"/>
      <c r="I72" s="14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spans="1:22" ht="19.5" customHeight="1" x14ac:dyDescent="0.25">
      <c r="A73" s="9"/>
      <c r="B73" s="9"/>
      <c r="C73" s="9"/>
      <c r="D73" s="9"/>
      <c r="E73" s="9"/>
      <c r="F73" s="14"/>
      <c r="G73" s="14"/>
      <c r="H73" s="14"/>
      <c r="I73" s="14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spans="1:22" ht="19.5" customHeight="1" x14ac:dyDescent="0.25">
      <c r="A74" s="9"/>
      <c r="B74" s="9"/>
      <c r="C74" s="9"/>
      <c r="D74" s="9"/>
      <c r="E74" s="9"/>
      <c r="F74" s="14"/>
      <c r="G74" s="14"/>
      <c r="H74" s="14"/>
      <c r="I74" s="14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spans="1:22" ht="19.5" customHeight="1" x14ac:dyDescent="0.25">
      <c r="A75" s="9"/>
      <c r="B75" s="9"/>
      <c r="C75" s="9"/>
      <c r="D75" s="9"/>
      <c r="E75" s="9"/>
      <c r="F75" s="14"/>
      <c r="G75" s="14"/>
      <c r="H75" s="14"/>
      <c r="I75" s="14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spans="1:22" ht="19.5" customHeight="1" x14ac:dyDescent="0.25">
      <c r="A76" s="9"/>
      <c r="B76" s="9"/>
      <c r="C76" s="9"/>
      <c r="D76" s="9"/>
      <c r="E76" s="9"/>
      <c r="F76" s="14"/>
      <c r="G76" s="14"/>
      <c r="H76" s="14"/>
      <c r="I76" s="14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spans="1:22" ht="19.5" customHeight="1" x14ac:dyDescent="0.25">
      <c r="A77" s="9"/>
      <c r="B77" s="9"/>
      <c r="C77" s="9"/>
      <c r="D77" s="9"/>
      <c r="E77" s="9"/>
      <c r="F77" s="14"/>
      <c r="G77" s="14"/>
      <c r="H77" s="14"/>
      <c r="I77" s="14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spans="1:22" ht="19.5" customHeight="1" x14ac:dyDescent="0.25">
      <c r="A78" s="9"/>
      <c r="B78" s="9"/>
      <c r="C78" s="9"/>
      <c r="D78" s="9"/>
      <c r="E78" s="9"/>
      <c r="F78" s="14"/>
      <c r="G78" s="14"/>
      <c r="H78" s="14"/>
      <c r="I78" s="14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spans="1:22" ht="19.5" customHeight="1" x14ac:dyDescent="0.25">
      <c r="A79" s="9"/>
      <c r="B79" s="9"/>
      <c r="C79" s="9"/>
      <c r="D79" s="9"/>
      <c r="E79" s="9"/>
      <c r="F79" s="14"/>
      <c r="G79" s="14"/>
      <c r="H79" s="14"/>
      <c r="I79" s="14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spans="1:22" ht="19.5" customHeight="1" x14ac:dyDescent="0.25">
      <c r="A80" s="9"/>
      <c r="B80" s="9"/>
      <c r="C80" s="9"/>
      <c r="D80" s="9"/>
      <c r="E80" s="9"/>
      <c r="F80" s="14"/>
      <c r="G80" s="14"/>
      <c r="H80" s="14"/>
      <c r="I80" s="14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spans="1:22" ht="19.5" customHeight="1" x14ac:dyDescent="0.25">
      <c r="A81" s="9"/>
      <c r="B81" s="9"/>
      <c r="C81" s="9"/>
      <c r="D81" s="9"/>
      <c r="E81" s="9"/>
      <c r="F81" s="14"/>
      <c r="G81" s="14"/>
      <c r="H81" s="14"/>
      <c r="I81" s="14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spans="1:22" ht="19.5" customHeight="1" x14ac:dyDescent="0.25">
      <c r="A82" s="9"/>
      <c r="B82" s="9"/>
      <c r="C82" s="9"/>
      <c r="D82" s="9"/>
      <c r="E82" s="9"/>
      <c r="F82" s="14"/>
      <c r="G82" s="14"/>
      <c r="H82" s="14"/>
      <c r="I82" s="14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spans="1:22" ht="19.5" customHeight="1" x14ac:dyDescent="0.25">
      <c r="A83" s="9"/>
      <c r="B83" s="9"/>
      <c r="C83" s="9"/>
      <c r="D83" s="9"/>
      <c r="E83" s="9"/>
      <c r="F83" s="14"/>
      <c r="G83" s="14"/>
      <c r="H83" s="14"/>
      <c r="I83" s="14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spans="1:22" ht="19.5" customHeight="1" x14ac:dyDescent="0.25">
      <c r="A84" s="9"/>
      <c r="B84" s="9"/>
      <c r="C84" s="9"/>
      <c r="D84" s="9"/>
      <c r="E84" s="9"/>
      <c r="F84" s="14"/>
      <c r="G84" s="14"/>
      <c r="H84" s="14"/>
      <c r="I84" s="14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spans="1:22" ht="19.5" customHeight="1" x14ac:dyDescent="0.25">
      <c r="A85" s="9"/>
      <c r="B85" s="9"/>
      <c r="C85" s="9"/>
      <c r="D85" s="9"/>
      <c r="E85" s="9"/>
      <c r="F85" s="14"/>
      <c r="G85" s="14"/>
      <c r="H85" s="14"/>
      <c r="I85" s="14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spans="1:22" ht="19.5" customHeight="1" x14ac:dyDescent="0.25">
      <c r="A86" s="9"/>
      <c r="B86" s="9"/>
      <c r="C86" s="9"/>
      <c r="D86" s="9"/>
      <c r="E86" s="9"/>
      <c r="F86" s="14"/>
      <c r="G86" s="14"/>
      <c r="H86" s="14"/>
      <c r="I86" s="14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spans="1:22" ht="19.5" customHeight="1" x14ac:dyDescent="0.25">
      <c r="A87" s="9"/>
      <c r="B87" s="9"/>
      <c r="C87" s="9"/>
      <c r="D87" s="9"/>
      <c r="E87" s="9"/>
      <c r="F87" s="14"/>
      <c r="G87" s="14"/>
      <c r="H87" s="14"/>
      <c r="I87" s="14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spans="1:22" ht="19.5" customHeight="1" x14ac:dyDescent="0.25">
      <c r="A88" s="9"/>
      <c r="B88" s="9"/>
      <c r="C88" s="9"/>
      <c r="D88" s="9"/>
      <c r="E88" s="9"/>
      <c r="F88" s="14"/>
      <c r="G88" s="14"/>
      <c r="H88" s="14"/>
      <c r="I88" s="14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spans="1:22" ht="19.5" customHeight="1" x14ac:dyDescent="0.25">
      <c r="A89" s="9"/>
      <c r="B89" s="9"/>
      <c r="C89" s="9"/>
      <c r="D89" s="9"/>
      <c r="E89" s="9"/>
      <c r="F89" s="14"/>
      <c r="G89" s="14"/>
      <c r="H89" s="14"/>
      <c r="I89" s="14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spans="1:22" ht="19.5" customHeight="1" x14ac:dyDescent="0.25">
      <c r="A90" s="9"/>
      <c r="B90" s="9"/>
      <c r="C90" s="9"/>
      <c r="D90" s="9"/>
      <c r="E90" s="9"/>
      <c r="F90" s="14"/>
      <c r="G90" s="14"/>
      <c r="H90" s="14"/>
      <c r="I90" s="14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spans="1:22" ht="19.5" customHeight="1" x14ac:dyDescent="0.25">
      <c r="A91" s="9"/>
      <c r="B91" s="9"/>
      <c r="C91" s="9"/>
      <c r="D91" s="9"/>
      <c r="E91" s="9"/>
      <c r="F91" s="14"/>
      <c r="G91" s="14"/>
      <c r="H91" s="14"/>
      <c r="I91" s="14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spans="1:22" ht="19.5" customHeight="1" x14ac:dyDescent="0.25">
      <c r="A92" s="9"/>
      <c r="B92" s="9"/>
      <c r="C92" s="9"/>
      <c r="D92" s="9"/>
      <c r="E92" s="9"/>
      <c r="F92" s="14"/>
      <c r="G92" s="14"/>
      <c r="H92" s="14"/>
      <c r="I92" s="14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1:22" ht="19.5" customHeight="1" x14ac:dyDescent="0.25">
      <c r="A93" s="9"/>
      <c r="B93" s="9"/>
      <c r="C93" s="9"/>
      <c r="D93" s="9"/>
      <c r="E93" s="9"/>
      <c r="F93" s="14"/>
      <c r="G93" s="14"/>
      <c r="H93" s="14"/>
      <c r="I93" s="14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1:22" ht="19.5" customHeight="1" x14ac:dyDescent="0.25">
      <c r="A94" s="9"/>
      <c r="B94" s="9"/>
      <c r="C94" s="9"/>
      <c r="D94" s="9"/>
      <c r="E94" s="9"/>
      <c r="F94" s="14"/>
      <c r="G94" s="14"/>
      <c r="H94" s="14"/>
      <c r="I94" s="14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spans="1:22" ht="19.5" customHeight="1" x14ac:dyDescent="0.25">
      <c r="A95" s="9"/>
      <c r="B95" s="9"/>
      <c r="C95" s="9"/>
      <c r="D95" s="9"/>
      <c r="E95" s="9"/>
      <c r="F95" s="14"/>
      <c r="G95" s="14"/>
      <c r="H95" s="14"/>
      <c r="I95" s="14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spans="1:22" ht="19.5" customHeight="1" x14ac:dyDescent="0.25">
      <c r="A96" s="9"/>
      <c r="B96" s="9"/>
      <c r="C96" s="9"/>
      <c r="D96" s="9"/>
      <c r="E96" s="9"/>
      <c r="F96" s="14"/>
      <c r="G96" s="14"/>
      <c r="H96" s="14"/>
      <c r="I96" s="14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spans="1:22" ht="19.5" customHeight="1" x14ac:dyDescent="0.25">
      <c r="A97" s="9"/>
      <c r="B97" s="9"/>
      <c r="C97" s="9"/>
      <c r="D97" s="9"/>
      <c r="E97" s="9"/>
      <c r="F97" s="14"/>
      <c r="G97" s="14"/>
      <c r="H97" s="14"/>
      <c r="I97" s="14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spans="1:22" ht="19.5" customHeight="1" x14ac:dyDescent="0.25">
      <c r="A98" s="9"/>
      <c r="B98" s="9"/>
      <c r="C98" s="9"/>
      <c r="D98" s="9"/>
      <c r="E98" s="9"/>
      <c r="F98" s="14"/>
      <c r="G98" s="14"/>
      <c r="H98" s="14"/>
      <c r="I98" s="14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1:22" ht="19.5" customHeight="1" x14ac:dyDescent="0.25">
      <c r="A99" s="9"/>
      <c r="B99" s="9"/>
      <c r="C99" s="9"/>
      <c r="D99" s="9"/>
      <c r="E99" s="9"/>
      <c r="F99" s="14"/>
      <c r="G99" s="14"/>
      <c r="H99" s="14"/>
      <c r="I99" s="14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spans="1:22" ht="19.5" customHeight="1" x14ac:dyDescent="0.25">
      <c r="A100" s="9"/>
      <c r="B100" s="9"/>
      <c r="C100" s="9"/>
      <c r="D100" s="9"/>
      <c r="E100" s="9"/>
      <c r="F100" s="14"/>
      <c r="G100" s="14"/>
      <c r="H100" s="14"/>
      <c r="I100" s="14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spans="1:22" ht="19.5" customHeight="1" x14ac:dyDescent="0.25">
      <c r="A101" s="9"/>
      <c r="B101" s="9"/>
      <c r="C101" s="9"/>
      <c r="D101" s="9"/>
      <c r="E101" s="9"/>
      <c r="F101" s="14"/>
      <c r="G101" s="14"/>
      <c r="H101" s="14"/>
      <c r="I101" s="14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spans="1:22" ht="19.5" customHeight="1" x14ac:dyDescent="0.25">
      <c r="A102" s="9"/>
      <c r="B102" s="9"/>
      <c r="C102" s="9"/>
      <c r="D102" s="9"/>
      <c r="E102" s="9"/>
      <c r="F102" s="14"/>
      <c r="G102" s="14"/>
      <c r="H102" s="14"/>
      <c r="I102" s="14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spans="1:22" ht="19.5" customHeight="1" x14ac:dyDescent="0.25">
      <c r="A103" s="9"/>
      <c r="B103" s="9"/>
      <c r="C103" s="9"/>
      <c r="D103" s="9"/>
      <c r="E103" s="9"/>
      <c r="F103" s="14"/>
      <c r="G103" s="14"/>
      <c r="H103" s="14"/>
      <c r="I103" s="14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spans="1:22" ht="19.5" customHeight="1" x14ac:dyDescent="0.25">
      <c r="A104" s="9"/>
      <c r="B104" s="9"/>
      <c r="C104" s="9"/>
      <c r="D104" s="9"/>
      <c r="E104" s="9"/>
      <c r="F104" s="14"/>
      <c r="G104" s="14"/>
      <c r="H104" s="14"/>
      <c r="I104" s="14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spans="1:22" ht="19.5" customHeight="1" x14ac:dyDescent="0.25">
      <c r="A105" s="9"/>
      <c r="B105" s="9"/>
      <c r="C105" s="9"/>
      <c r="D105" s="9"/>
      <c r="E105" s="9"/>
      <c r="F105" s="14"/>
      <c r="G105" s="14"/>
      <c r="H105" s="14"/>
      <c r="I105" s="14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spans="1:22" ht="19.5" customHeight="1" x14ac:dyDescent="0.25">
      <c r="A106" s="9"/>
      <c r="B106" s="9"/>
      <c r="C106" s="9"/>
      <c r="D106" s="9"/>
      <c r="E106" s="9"/>
      <c r="F106" s="14"/>
      <c r="G106" s="14"/>
      <c r="H106" s="14"/>
      <c r="I106" s="14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spans="1:22" ht="19.5" customHeight="1" x14ac:dyDescent="0.25">
      <c r="A107" s="9"/>
      <c r="B107" s="9"/>
      <c r="C107" s="9"/>
      <c r="D107" s="9"/>
      <c r="E107" s="9"/>
      <c r="F107" s="14"/>
      <c r="G107" s="14"/>
      <c r="H107" s="14"/>
      <c r="I107" s="14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spans="1:22" ht="19.5" customHeight="1" x14ac:dyDescent="0.25">
      <c r="A108" s="9"/>
      <c r="B108" s="9"/>
      <c r="C108" s="9"/>
      <c r="D108" s="9"/>
      <c r="E108" s="9"/>
      <c r="F108" s="14"/>
      <c r="G108" s="14"/>
      <c r="H108" s="14"/>
      <c r="I108" s="14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spans="1:22" ht="19.5" customHeight="1" x14ac:dyDescent="0.25">
      <c r="A109" s="9"/>
      <c r="B109" s="9"/>
      <c r="C109" s="9"/>
      <c r="D109" s="9"/>
      <c r="E109" s="9"/>
      <c r="F109" s="14"/>
      <c r="G109" s="14"/>
      <c r="H109" s="14"/>
      <c r="I109" s="14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spans="1:22" ht="19.5" customHeight="1" x14ac:dyDescent="0.25">
      <c r="A110" s="9"/>
      <c r="B110" s="9"/>
      <c r="C110" s="9"/>
      <c r="D110" s="9"/>
      <c r="E110" s="9"/>
      <c r="F110" s="14"/>
      <c r="G110" s="14"/>
      <c r="H110" s="14"/>
      <c r="I110" s="14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spans="1:22" ht="19.5" customHeight="1" x14ac:dyDescent="0.25">
      <c r="A111" s="9"/>
      <c r="B111" s="9"/>
      <c r="C111" s="9"/>
      <c r="D111" s="9"/>
      <c r="E111" s="9"/>
      <c r="F111" s="14"/>
      <c r="G111" s="14"/>
      <c r="H111" s="14"/>
      <c r="I111" s="14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spans="1:22" ht="19.5" customHeight="1" x14ac:dyDescent="0.25">
      <c r="A112" s="9"/>
      <c r="B112" s="9"/>
      <c r="C112" s="9"/>
      <c r="D112" s="9"/>
      <c r="E112" s="9"/>
      <c r="F112" s="14"/>
      <c r="G112" s="14"/>
      <c r="H112" s="14"/>
      <c r="I112" s="14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spans="1:22" ht="19.5" customHeight="1" x14ac:dyDescent="0.25">
      <c r="A113" s="9"/>
      <c r="B113" s="9"/>
      <c r="C113" s="9"/>
      <c r="D113" s="9"/>
      <c r="E113" s="9"/>
      <c r="F113" s="14"/>
      <c r="G113" s="14"/>
      <c r="H113" s="14"/>
      <c r="I113" s="14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spans="1:22" ht="19.5" customHeight="1" x14ac:dyDescent="0.25">
      <c r="A114" s="9"/>
      <c r="B114" s="9"/>
      <c r="C114" s="9"/>
      <c r="D114" s="9"/>
      <c r="E114" s="9"/>
      <c r="F114" s="14"/>
      <c r="G114" s="14"/>
      <c r="H114" s="14"/>
      <c r="I114" s="14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spans="1:22" ht="19.5" customHeight="1" x14ac:dyDescent="0.25">
      <c r="A115" s="9"/>
      <c r="B115" s="9"/>
      <c r="C115" s="9"/>
      <c r="D115" s="9"/>
      <c r="E115" s="9"/>
      <c r="F115" s="14"/>
      <c r="G115" s="14"/>
      <c r="H115" s="14"/>
      <c r="I115" s="14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spans="1:22" ht="19.5" customHeight="1" x14ac:dyDescent="0.25">
      <c r="A116" s="9"/>
      <c r="B116" s="9"/>
      <c r="C116" s="9"/>
      <c r="D116" s="9"/>
      <c r="E116" s="9"/>
      <c r="F116" s="14"/>
      <c r="G116" s="14"/>
      <c r="H116" s="14"/>
      <c r="I116" s="14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spans="1:22" ht="19.5" customHeight="1" x14ac:dyDescent="0.25">
      <c r="A117" s="9"/>
      <c r="B117" s="9"/>
      <c r="C117" s="9"/>
      <c r="D117" s="9"/>
      <c r="E117" s="9"/>
      <c r="F117" s="14"/>
      <c r="G117" s="14"/>
      <c r="H117" s="14"/>
      <c r="I117" s="14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spans="1:22" ht="19.5" customHeight="1" x14ac:dyDescent="0.25">
      <c r="A118" s="9"/>
      <c r="B118" s="9"/>
      <c r="C118" s="9"/>
      <c r="D118" s="9"/>
      <c r="E118" s="9"/>
      <c r="F118" s="14"/>
      <c r="G118" s="14"/>
      <c r="H118" s="14"/>
      <c r="I118" s="14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spans="1:22" ht="19.5" customHeight="1" x14ac:dyDescent="0.25">
      <c r="A119" s="9"/>
      <c r="B119" s="9"/>
      <c r="C119" s="9"/>
      <c r="D119" s="9"/>
      <c r="E119" s="9"/>
      <c r="F119" s="14"/>
      <c r="G119" s="14"/>
      <c r="H119" s="14"/>
      <c r="I119" s="14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spans="1:22" ht="19.5" customHeight="1" x14ac:dyDescent="0.25">
      <c r="A120" s="9"/>
      <c r="B120" s="9"/>
      <c r="C120" s="9"/>
      <c r="D120" s="9"/>
      <c r="E120" s="9"/>
      <c r="F120" s="14"/>
      <c r="G120" s="14"/>
      <c r="H120" s="14"/>
      <c r="I120" s="14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spans="1:22" ht="19.5" customHeight="1" x14ac:dyDescent="0.25">
      <c r="A121" s="9"/>
      <c r="B121" s="9"/>
      <c r="C121" s="9"/>
      <c r="D121" s="9"/>
      <c r="E121" s="9"/>
      <c r="F121" s="14"/>
      <c r="G121" s="14"/>
      <c r="H121" s="14"/>
      <c r="I121" s="14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spans="1:22" ht="19.5" customHeight="1" x14ac:dyDescent="0.25">
      <c r="A122" s="9"/>
      <c r="B122" s="9"/>
      <c r="C122" s="9"/>
      <c r="D122" s="9"/>
      <c r="E122" s="9"/>
      <c r="F122" s="14"/>
      <c r="G122" s="14"/>
      <c r="H122" s="14"/>
      <c r="I122" s="14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spans="1:22" ht="19.5" customHeight="1" x14ac:dyDescent="0.25">
      <c r="A123" s="9"/>
      <c r="B123" s="9"/>
      <c r="C123" s="9"/>
      <c r="D123" s="9"/>
      <c r="E123" s="9"/>
      <c r="F123" s="14"/>
      <c r="G123" s="14"/>
      <c r="H123" s="14"/>
      <c r="I123" s="14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spans="1:22" ht="19.5" customHeight="1" x14ac:dyDescent="0.25">
      <c r="A124" s="9"/>
      <c r="B124" s="9"/>
      <c r="C124" s="9"/>
      <c r="D124" s="9"/>
      <c r="E124" s="9"/>
      <c r="F124" s="14"/>
      <c r="G124" s="14"/>
      <c r="H124" s="14"/>
      <c r="I124" s="14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spans="1:22" ht="19.5" customHeight="1" x14ac:dyDescent="0.25">
      <c r="A125" s="9"/>
      <c r="B125" s="9"/>
      <c r="C125" s="9"/>
      <c r="D125" s="9"/>
      <c r="E125" s="9"/>
      <c r="F125" s="14"/>
      <c r="G125" s="14"/>
      <c r="H125" s="14"/>
      <c r="I125" s="14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spans="1:22" ht="19.5" customHeight="1" x14ac:dyDescent="0.25">
      <c r="A126" s="9"/>
      <c r="B126" s="9"/>
      <c r="C126" s="9"/>
      <c r="D126" s="9"/>
      <c r="E126" s="9"/>
      <c r="F126" s="14"/>
      <c r="G126" s="14"/>
      <c r="H126" s="14"/>
      <c r="I126" s="14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spans="1:22" ht="19.5" customHeight="1" x14ac:dyDescent="0.25">
      <c r="A127" s="9"/>
      <c r="B127" s="9"/>
      <c r="C127" s="9"/>
      <c r="D127" s="9"/>
      <c r="E127" s="9"/>
      <c r="F127" s="14"/>
      <c r="G127" s="14"/>
      <c r="H127" s="14"/>
      <c r="I127" s="14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spans="1:22" ht="19.5" customHeight="1" x14ac:dyDescent="0.25">
      <c r="A128" s="9"/>
      <c r="B128" s="9"/>
      <c r="C128" s="9"/>
      <c r="D128" s="9"/>
      <c r="E128" s="9"/>
      <c r="F128" s="14"/>
      <c r="G128" s="14"/>
      <c r="H128" s="14"/>
      <c r="I128" s="14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spans="1:22" ht="19.5" customHeight="1" x14ac:dyDescent="0.25">
      <c r="A129" s="9"/>
      <c r="B129" s="9"/>
      <c r="C129" s="9"/>
      <c r="D129" s="9"/>
      <c r="E129" s="9"/>
      <c r="F129" s="14"/>
      <c r="G129" s="14"/>
      <c r="H129" s="14"/>
      <c r="I129" s="14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spans="1:22" ht="19.5" customHeight="1" x14ac:dyDescent="0.25">
      <c r="A130" s="9"/>
      <c r="B130" s="9"/>
      <c r="C130" s="9"/>
      <c r="D130" s="9"/>
      <c r="E130" s="9"/>
      <c r="F130" s="14"/>
      <c r="G130" s="14"/>
      <c r="H130" s="14"/>
      <c r="I130" s="14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spans="1:22" ht="19.5" customHeight="1" x14ac:dyDescent="0.25">
      <c r="A131" s="9"/>
      <c r="B131" s="9"/>
      <c r="C131" s="9"/>
      <c r="D131" s="9"/>
      <c r="E131" s="9"/>
      <c r="F131" s="14"/>
      <c r="G131" s="14"/>
      <c r="H131" s="14"/>
      <c r="I131" s="14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spans="1:22" ht="19.5" customHeight="1" x14ac:dyDescent="0.25">
      <c r="A132" s="9"/>
      <c r="B132" s="9"/>
      <c r="C132" s="9"/>
      <c r="D132" s="9"/>
      <c r="E132" s="9"/>
      <c r="F132" s="14"/>
      <c r="G132" s="14"/>
      <c r="H132" s="14"/>
      <c r="I132" s="14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spans="1:22" ht="19.5" customHeight="1" x14ac:dyDescent="0.25">
      <c r="A133" s="9"/>
      <c r="B133" s="9"/>
      <c r="C133" s="9"/>
      <c r="D133" s="9"/>
      <c r="E133" s="9"/>
      <c r="F133" s="14"/>
      <c r="G133" s="14"/>
      <c r="H133" s="14"/>
      <c r="I133" s="14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spans="1:22" ht="19.5" customHeight="1" x14ac:dyDescent="0.25">
      <c r="A134" s="9"/>
      <c r="B134" s="9"/>
      <c r="C134" s="9"/>
      <c r="D134" s="9"/>
      <c r="E134" s="9"/>
      <c r="F134" s="14"/>
      <c r="G134" s="14"/>
      <c r="H134" s="14"/>
      <c r="I134" s="14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spans="1:22" ht="19.5" customHeight="1" x14ac:dyDescent="0.25">
      <c r="A135" s="9"/>
      <c r="B135" s="9"/>
      <c r="C135" s="9"/>
      <c r="D135" s="9"/>
      <c r="E135" s="9"/>
      <c r="F135" s="14"/>
      <c r="G135" s="14"/>
      <c r="H135" s="14"/>
      <c r="I135" s="14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spans="1:22" ht="19.5" customHeight="1" x14ac:dyDescent="0.25">
      <c r="A136" s="9"/>
      <c r="B136" s="9"/>
      <c r="C136" s="9"/>
      <c r="D136" s="9"/>
      <c r="E136" s="9"/>
      <c r="F136" s="14"/>
      <c r="G136" s="14"/>
      <c r="H136" s="14"/>
      <c r="I136" s="14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spans="1:22" ht="19.5" customHeight="1" x14ac:dyDescent="0.25">
      <c r="A137" s="9"/>
      <c r="B137" s="9"/>
      <c r="C137" s="9"/>
      <c r="D137" s="9"/>
      <c r="E137" s="9"/>
      <c r="F137" s="14"/>
      <c r="G137" s="14"/>
      <c r="H137" s="14"/>
      <c r="I137" s="14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spans="1:22" ht="19.5" customHeight="1" x14ac:dyDescent="0.25">
      <c r="A138" s="9"/>
      <c r="B138" s="9"/>
      <c r="C138" s="9"/>
      <c r="D138" s="9"/>
      <c r="E138" s="9"/>
      <c r="F138" s="14"/>
      <c r="G138" s="14"/>
      <c r="H138" s="14"/>
      <c r="I138" s="14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spans="1:22" ht="19.5" customHeight="1" x14ac:dyDescent="0.25">
      <c r="A139" s="9"/>
      <c r="B139" s="9"/>
      <c r="C139" s="9"/>
      <c r="D139" s="9"/>
      <c r="E139" s="9"/>
      <c r="F139" s="14"/>
      <c r="G139" s="14"/>
      <c r="H139" s="14"/>
      <c r="I139" s="14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spans="1:22" ht="19.5" customHeight="1" x14ac:dyDescent="0.25">
      <c r="A140" s="9"/>
      <c r="B140" s="9"/>
      <c r="C140" s="9"/>
      <c r="D140" s="9"/>
      <c r="E140" s="9"/>
      <c r="F140" s="14"/>
      <c r="G140" s="14"/>
      <c r="H140" s="14"/>
      <c r="I140" s="14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spans="1:22" ht="19.5" customHeight="1" x14ac:dyDescent="0.25">
      <c r="A141" s="9"/>
      <c r="B141" s="9"/>
      <c r="C141" s="9"/>
      <c r="D141" s="9"/>
      <c r="E141" s="9"/>
      <c r="F141" s="14"/>
      <c r="G141" s="14"/>
      <c r="H141" s="14"/>
      <c r="I141" s="14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spans="1:22" ht="19.5" customHeight="1" x14ac:dyDescent="0.25">
      <c r="A142" s="9"/>
      <c r="B142" s="9"/>
      <c r="C142" s="9"/>
      <c r="D142" s="9"/>
      <c r="E142" s="9"/>
      <c r="F142" s="14"/>
      <c r="G142" s="14"/>
      <c r="H142" s="14"/>
      <c r="I142" s="14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spans="1:22" ht="19.5" customHeight="1" x14ac:dyDescent="0.25">
      <c r="A143" s="9"/>
      <c r="B143" s="9"/>
      <c r="C143" s="9"/>
      <c r="D143" s="9"/>
      <c r="E143" s="9"/>
      <c r="F143" s="14"/>
      <c r="G143" s="14"/>
      <c r="H143" s="14"/>
      <c r="I143" s="14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spans="1:22" ht="19.5" customHeight="1" x14ac:dyDescent="0.25">
      <c r="A144" s="9"/>
      <c r="B144" s="9"/>
      <c r="C144" s="9"/>
      <c r="D144" s="9"/>
      <c r="E144" s="9"/>
      <c r="F144" s="14"/>
      <c r="G144" s="14"/>
      <c r="H144" s="14"/>
      <c r="I144" s="14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spans="1:22" ht="19.5" customHeight="1" x14ac:dyDescent="0.25">
      <c r="A145" s="9"/>
      <c r="B145" s="9"/>
      <c r="C145" s="9"/>
      <c r="D145" s="9"/>
      <c r="E145" s="9"/>
      <c r="F145" s="14"/>
      <c r="G145" s="14"/>
      <c r="H145" s="14"/>
      <c r="I145" s="14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spans="1:22" ht="19.5" customHeight="1" x14ac:dyDescent="0.25">
      <c r="A146" s="9"/>
      <c r="B146" s="9"/>
      <c r="C146" s="9"/>
      <c r="D146" s="9"/>
      <c r="E146" s="9"/>
      <c r="F146" s="14"/>
      <c r="G146" s="14"/>
      <c r="H146" s="14"/>
      <c r="I146" s="14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spans="1:22" ht="19.5" customHeight="1" x14ac:dyDescent="0.25">
      <c r="A147" s="9"/>
      <c r="B147" s="9"/>
      <c r="C147" s="9"/>
      <c r="D147" s="9"/>
      <c r="E147" s="9"/>
      <c r="F147" s="14"/>
      <c r="G147" s="14"/>
      <c r="H147" s="14"/>
      <c r="I147" s="14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spans="1:22" ht="19.5" customHeight="1" x14ac:dyDescent="0.25">
      <c r="A148" s="9"/>
      <c r="B148" s="9"/>
      <c r="C148" s="9"/>
      <c r="D148" s="9"/>
      <c r="E148" s="9"/>
      <c r="F148" s="14"/>
      <c r="G148" s="14"/>
      <c r="H148" s="14"/>
      <c r="I148" s="14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spans="1:22" ht="19.5" customHeight="1" x14ac:dyDescent="0.25">
      <c r="A149" s="9"/>
      <c r="B149" s="9"/>
      <c r="C149" s="9"/>
      <c r="D149" s="9"/>
      <c r="E149" s="9"/>
      <c r="F149" s="14"/>
      <c r="G149" s="14"/>
      <c r="H149" s="14"/>
      <c r="I149" s="14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spans="1:22" ht="19.5" customHeight="1" x14ac:dyDescent="0.25">
      <c r="A150" s="9"/>
      <c r="B150" s="9"/>
      <c r="C150" s="9"/>
      <c r="D150" s="9"/>
      <c r="E150" s="9"/>
      <c r="F150" s="14"/>
      <c r="G150" s="14"/>
      <c r="H150" s="14"/>
      <c r="I150" s="14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spans="1:22" ht="19.5" customHeight="1" x14ac:dyDescent="0.25">
      <c r="A151" s="9"/>
      <c r="B151" s="9"/>
      <c r="C151" s="9"/>
      <c r="D151" s="9"/>
      <c r="E151" s="9"/>
      <c r="F151" s="14"/>
      <c r="G151" s="14"/>
      <c r="H151" s="14"/>
      <c r="I151" s="14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spans="1:22" ht="19.5" customHeight="1" x14ac:dyDescent="0.25">
      <c r="A152" s="9"/>
      <c r="B152" s="9"/>
      <c r="C152" s="9"/>
      <c r="D152" s="9"/>
      <c r="E152" s="9"/>
      <c r="F152" s="14"/>
      <c r="G152" s="14"/>
      <c r="H152" s="14"/>
      <c r="I152" s="14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spans="1:22" ht="19.5" customHeight="1" x14ac:dyDescent="0.25">
      <c r="A153" s="9"/>
      <c r="B153" s="9"/>
      <c r="C153" s="9"/>
      <c r="D153" s="9"/>
      <c r="E153" s="9"/>
      <c r="F153" s="14"/>
      <c r="G153" s="14"/>
      <c r="H153" s="14"/>
      <c r="I153" s="14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spans="1:22" ht="19.5" customHeight="1" x14ac:dyDescent="0.25">
      <c r="A154" s="9"/>
      <c r="B154" s="9"/>
      <c r="C154" s="9"/>
      <c r="D154" s="9"/>
      <c r="E154" s="9"/>
      <c r="F154" s="14"/>
      <c r="G154" s="14"/>
      <c r="H154" s="14"/>
      <c r="I154" s="14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spans="1:22" ht="19.5" customHeight="1" x14ac:dyDescent="0.25">
      <c r="A155" s="9"/>
      <c r="B155" s="9"/>
      <c r="C155" s="9"/>
      <c r="D155" s="9"/>
      <c r="E155" s="9"/>
      <c r="F155" s="14"/>
      <c r="G155" s="14"/>
      <c r="H155" s="14"/>
      <c r="I155" s="14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spans="1:22" ht="19.5" customHeight="1" x14ac:dyDescent="0.25">
      <c r="A156" s="9"/>
      <c r="B156" s="9"/>
      <c r="C156" s="9"/>
      <c r="D156" s="9"/>
      <c r="E156" s="9"/>
      <c r="F156" s="14"/>
      <c r="G156" s="14"/>
      <c r="H156" s="14"/>
      <c r="I156" s="14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spans="1:22" ht="19.5" customHeight="1" x14ac:dyDescent="0.25">
      <c r="A157" s="9"/>
      <c r="B157" s="9"/>
      <c r="C157" s="9"/>
      <c r="D157" s="9"/>
      <c r="E157" s="9"/>
      <c r="F157" s="14"/>
      <c r="G157" s="14"/>
      <c r="H157" s="14"/>
      <c r="I157" s="14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spans="1:22" ht="19.5" customHeight="1" x14ac:dyDescent="0.25">
      <c r="A158" s="9"/>
      <c r="B158" s="9"/>
      <c r="C158" s="9"/>
      <c r="D158" s="9"/>
      <c r="E158" s="9"/>
      <c r="F158" s="14"/>
      <c r="G158" s="14"/>
      <c r="H158" s="14"/>
      <c r="I158" s="14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spans="1:22" ht="19.5" customHeight="1" x14ac:dyDescent="0.25">
      <c r="A159" s="9"/>
      <c r="B159" s="9"/>
      <c r="C159" s="9"/>
      <c r="D159" s="9"/>
      <c r="E159" s="9"/>
      <c r="F159" s="14"/>
      <c r="G159" s="14"/>
      <c r="H159" s="14"/>
      <c r="I159" s="14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spans="1:22" ht="19.5" customHeight="1" x14ac:dyDescent="0.25">
      <c r="A160" s="9"/>
      <c r="B160" s="9"/>
      <c r="C160" s="9"/>
      <c r="D160" s="9"/>
      <c r="E160" s="9"/>
      <c r="F160" s="14"/>
      <c r="G160" s="14"/>
      <c r="H160" s="14"/>
      <c r="I160" s="14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spans="1:22" ht="19.5" customHeight="1" x14ac:dyDescent="0.25">
      <c r="A161" s="9"/>
      <c r="B161" s="9"/>
      <c r="C161" s="9"/>
      <c r="D161" s="9"/>
      <c r="E161" s="9"/>
      <c r="F161" s="14"/>
      <c r="G161" s="14"/>
      <c r="H161" s="14"/>
      <c r="I161" s="14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spans="1:22" ht="19.5" customHeight="1" x14ac:dyDescent="0.25">
      <c r="A162" s="9"/>
      <c r="B162" s="9"/>
      <c r="C162" s="9"/>
      <c r="D162" s="9"/>
      <c r="E162" s="9"/>
      <c r="F162" s="14"/>
      <c r="G162" s="14"/>
      <c r="H162" s="14"/>
      <c r="I162" s="14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spans="1:22" ht="19.5" customHeight="1" x14ac:dyDescent="0.25">
      <c r="A163" s="9"/>
      <c r="B163" s="9"/>
      <c r="C163" s="9"/>
      <c r="D163" s="9"/>
      <c r="E163" s="9"/>
      <c r="F163" s="14"/>
      <c r="G163" s="14"/>
      <c r="H163" s="14"/>
      <c r="I163" s="14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spans="1:22" ht="19.5" customHeight="1" x14ac:dyDescent="0.25">
      <c r="A164" s="9"/>
      <c r="B164" s="9"/>
      <c r="C164" s="9"/>
      <c r="D164" s="9"/>
      <c r="E164" s="9"/>
      <c r="F164" s="14"/>
      <c r="G164" s="14"/>
      <c r="H164" s="14"/>
      <c r="I164" s="14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spans="1:22" ht="19.5" customHeight="1" x14ac:dyDescent="0.25">
      <c r="A165" s="9"/>
      <c r="B165" s="9"/>
      <c r="C165" s="9"/>
      <c r="D165" s="9"/>
      <c r="E165" s="9"/>
      <c r="F165" s="14"/>
      <c r="G165" s="14"/>
      <c r="H165" s="14"/>
      <c r="I165" s="14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spans="1:22" ht="19.5" customHeight="1" x14ac:dyDescent="0.25">
      <c r="A166" s="9"/>
      <c r="B166" s="9"/>
      <c r="C166" s="9"/>
      <c r="D166" s="9"/>
      <c r="E166" s="9"/>
      <c r="F166" s="14"/>
      <c r="G166" s="14"/>
      <c r="H166" s="14"/>
      <c r="I166" s="14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spans="1:22" ht="19.5" customHeight="1" x14ac:dyDescent="0.25">
      <c r="A167" s="9"/>
      <c r="B167" s="9"/>
      <c r="C167" s="9"/>
      <c r="D167" s="9"/>
      <c r="E167" s="9"/>
      <c r="F167" s="14"/>
      <c r="G167" s="14"/>
      <c r="H167" s="14"/>
      <c r="I167" s="14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spans="1:22" ht="19.5" customHeight="1" x14ac:dyDescent="0.25">
      <c r="A168" s="9"/>
      <c r="B168" s="9"/>
      <c r="C168" s="9"/>
      <c r="D168" s="9"/>
      <c r="E168" s="9"/>
      <c r="F168" s="14"/>
      <c r="G168" s="14"/>
      <c r="H168" s="14"/>
      <c r="I168" s="14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spans="1:22" ht="19.5" customHeight="1" x14ac:dyDescent="0.25">
      <c r="A169" s="9"/>
      <c r="B169" s="9"/>
      <c r="C169" s="9"/>
      <c r="D169" s="9"/>
      <c r="E169" s="9"/>
      <c r="F169" s="14"/>
      <c r="G169" s="14"/>
      <c r="H169" s="14"/>
      <c r="I169" s="14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spans="1:22" ht="19.5" customHeight="1" x14ac:dyDescent="0.25">
      <c r="A170" s="9"/>
      <c r="B170" s="9"/>
      <c r="C170" s="9"/>
      <c r="D170" s="9"/>
      <c r="E170" s="9"/>
      <c r="F170" s="14"/>
      <c r="G170" s="14"/>
      <c r="H170" s="14"/>
      <c r="I170" s="14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spans="1:22" ht="19.5" customHeight="1" x14ac:dyDescent="0.25">
      <c r="A171" s="9"/>
      <c r="B171" s="9"/>
      <c r="C171" s="9"/>
      <c r="D171" s="9"/>
      <c r="E171" s="9"/>
      <c r="F171" s="14"/>
      <c r="G171" s="14"/>
      <c r="H171" s="14"/>
      <c r="I171" s="14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spans="1:22" ht="19.5" customHeight="1" x14ac:dyDescent="0.25">
      <c r="A172" s="9"/>
      <c r="B172" s="9"/>
      <c r="C172" s="9"/>
      <c r="D172" s="9"/>
      <c r="E172" s="9"/>
      <c r="F172" s="14"/>
      <c r="G172" s="14"/>
      <c r="H172" s="14"/>
      <c r="I172" s="14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spans="1:22" ht="19.5" customHeight="1" x14ac:dyDescent="0.25">
      <c r="A173" s="9"/>
      <c r="B173" s="9"/>
      <c r="C173" s="9"/>
      <c r="D173" s="9"/>
      <c r="E173" s="9"/>
      <c r="F173" s="14"/>
      <c r="G173" s="14"/>
      <c r="H173" s="14"/>
      <c r="I173" s="14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spans="1:22" ht="19.5" customHeight="1" x14ac:dyDescent="0.25">
      <c r="A174" s="9"/>
      <c r="B174" s="9"/>
      <c r="C174" s="9"/>
      <c r="D174" s="9"/>
      <c r="E174" s="9"/>
      <c r="F174" s="14"/>
      <c r="G174" s="14"/>
      <c r="H174" s="14"/>
      <c r="I174" s="14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spans="1:22" ht="19.5" customHeight="1" x14ac:dyDescent="0.25">
      <c r="A175" s="9"/>
      <c r="B175" s="9"/>
      <c r="C175" s="9"/>
      <c r="D175" s="9"/>
      <c r="E175" s="9"/>
      <c r="F175" s="14"/>
      <c r="G175" s="14"/>
      <c r="H175" s="14"/>
      <c r="I175" s="14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spans="1:22" ht="19.5" customHeight="1" x14ac:dyDescent="0.25">
      <c r="A176" s="9"/>
      <c r="B176" s="9"/>
      <c r="C176" s="9"/>
      <c r="D176" s="9"/>
      <c r="E176" s="9"/>
      <c r="F176" s="14"/>
      <c r="G176" s="14"/>
      <c r="H176" s="14"/>
      <c r="I176" s="14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spans="1:22" ht="19.5" customHeight="1" x14ac:dyDescent="0.25">
      <c r="A177" s="9"/>
      <c r="B177" s="9"/>
      <c r="C177" s="9"/>
      <c r="D177" s="9"/>
      <c r="E177" s="9"/>
      <c r="F177" s="14"/>
      <c r="G177" s="14"/>
      <c r="H177" s="14"/>
      <c r="I177" s="14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spans="1:22" ht="19.5" customHeight="1" x14ac:dyDescent="0.25">
      <c r="A178" s="9"/>
      <c r="B178" s="9"/>
      <c r="C178" s="9"/>
      <c r="D178" s="9"/>
      <c r="E178" s="9"/>
      <c r="F178" s="14"/>
      <c r="G178" s="14"/>
      <c r="H178" s="14"/>
      <c r="I178" s="14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spans="1:22" ht="19.5" customHeight="1" x14ac:dyDescent="0.25">
      <c r="A179" s="9"/>
      <c r="B179" s="9"/>
      <c r="C179" s="9"/>
      <c r="D179" s="9"/>
      <c r="E179" s="9"/>
      <c r="F179" s="14"/>
      <c r="G179" s="14"/>
      <c r="H179" s="14"/>
      <c r="I179" s="14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spans="1:22" ht="19.5" customHeight="1" x14ac:dyDescent="0.25">
      <c r="A180" s="9"/>
      <c r="B180" s="9"/>
      <c r="C180" s="9"/>
      <c r="D180" s="9"/>
      <c r="E180" s="9"/>
      <c r="F180" s="14"/>
      <c r="G180" s="14"/>
      <c r="H180" s="14"/>
      <c r="I180" s="14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spans="1:22" ht="19.5" customHeight="1" x14ac:dyDescent="0.25">
      <c r="A181" s="9"/>
      <c r="B181" s="9"/>
      <c r="C181" s="9"/>
      <c r="D181" s="9"/>
      <c r="E181" s="9"/>
      <c r="F181" s="14"/>
      <c r="G181" s="14"/>
      <c r="H181" s="14"/>
      <c r="I181" s="14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spans="1:22" ht="19.5" customHeight="1" x14ac:dyDescent="0.25">
      <c r="A182" s="9"/>
      <c r="B182" s="9"/>
      <c r="C182" s="9"/>
      <c r="D182" s="9"/>
      <c r="E182" s="9"/>
      <c r="F182" s="14"/>
      <c r="G182" s="14"/>
      <c r="H182" s="14"/>
      <c r="I182" s="14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spans="1:22" ht="19.5" customHeight="1" x14ac:dyDescent="0.25">
      <c r="A183" s="9"/>
      <c r="B183" s="9"/>
      <c r="C183" s="9"/>
      <c r="D183" s="9"/>
      <c r="E183" s="9"/>
      <c r="F183" s="14"/>
      <c r="G183" s="14"/>
      <c r="H183" s="14"/>
      <c r="I183" s="14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spans="1:22" ht="19.5" customHeight="1" x14ac:dyDescent="0.25">
      <c r="A184" s="9"/>
      <c r="B184" s="9"/>
      <c r="C184" s="9"/>
      <c r="D184" s="9"/>
      <c r="E184" s="9"/>
      <c r="F184" s="14"/>
      <c r="G184" s="14"/>
      <c r="H184" s="14"/>
      <c r="I184" s="14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spans="1:22" ht="19.5" customHeight="1" x14ac:dyDescent="0.25">
      <c r="A185" s="9"/>
      <c r="B185" s="9"/>
      <c r="C185" s="9"/>
      <c r="D185" s="9"/>
      <c r="E185" s="9"/>
      <c r="F185" s="14"/>
      <c r="G185" s="14"/>
      <c r="H185" s="14"/>
      <c r="I185" s="14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spans="1:22" ht="19.5" customHeight="1" x14ac:dyDescent="0.25">
      <c r="A186" s="9"/>
      <c r="B186" s="9"/>
      <c r="C186" s="9"/>
      <c r="D186" s="9"/>
      <c r="E186" s="9"/>
      <c r="F186" s="14"/>
      <c r="G186" s="14"/>
      <c r="H186" s="14"/>
      <c r="I186" s="14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spans="1:22" ht="19.5" customHeight="1" x14ac:dyDescent="0.25">
      <c r="A187" s="9"/>
      <c r="B187" s="9"/>
      <c r="C187" s="9"/>
      <c r="D187" s="9"/>
      <c r="E187" s="9"/>
      <c r="F187" s="14"/>
      <c r="G187" s="14"/>
      <c r="H187" s="14"/>
      <c r="I187" s="14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spans="1:22" ht="19.5" customHeight="1" x14ac:dyDescent="0.25">
      <c r="A188" s="9"/>
      <c r="B188" s="9"/>
      <c r="C188" s="9"/>
      <c r="D188" s="9"/>
      <c r="E188" s="9"/>
      <c r="F188" s="14"/>
      <c r="G188" s="14"/>
      <c r="H188" s="14"/>
      <c r="I188" s="14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spans="1:22" ht="19.5" customHeight="1" x14ac:dyDescent="0.25">
      <c r="A189" s="9"/>
      <c r="B189" s="9"/>
      <c r="C189" s="9"/>
      <c r="D189" s="9"/>
      <c r="E189" s="9"/>
      <c r="F189" s="14"/>
      <c r="G189" s="14"/>
      <c r="H189" s="14"/>
      <c r="I189" s="14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spans="1:22" ht="19.5" customHeight="1" x14ac:dyDescent="0.25">
      <c r="A190" s="9"/>
      <c r="B190" s="9"/>
      <c r="C190" s="9"/>
      <c r="D190" s="9"/>
      <c r="E190" s="9"/>
      <c r="F190" s="14"/>
      <c r="G190" s="14"/>
      <c r="H190" s="14"/>
      <c r="I190" s="14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spans="1:22" ht="19.5" customHeight="1" x14ac:dyDescent="0.25">
      <c r="A191" s="9"/>
      <c r="B191" s="9"/>
      <c r="C191" s="9"/>
      <c r="D191" s="9"/>
      <c r="E191" s="9"/>
      <c r="F191" s="14"/>
      <c r="G191" s="14"/>
      <c r="H191" s="14"/>
      <c r="I191" s="14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spans="1:22" ht="19.5" customHeight="1" x14ac:dyDescent="0.25">
      <c r="A192" s="9"/>
      <c r="B192" s="9"/>
      <c r="C192" s="9"/>
      <c r="D192" s="9"/>
      <c r="E192" s="9"/>
      <c r="F192" s="14"/>
      <c r="G192" s="14"/>
      <c r="H192" s="14"/>
      <c r="I192" s="14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spans="1:22" ht="19.5" customHeight="1" x14ac:dyDescent="0.25">
      <c r="A193" s="9"/>
      <c r="B193" s="9"/>
      <c r="C193" s="9"/>
      <c r="D193" s="9"/>
      <c r="E193" s="9"/>
      <c r="F193" s="14"/>
      <c r="G193" s="14"/>
      <c r="H193" s="14"/>
      <c r="I193" s="14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spans="1:22" ht="19.5" customHeight="1" x14ac:dyDescent="0.25">
      <c r="A194" s="9"/>
      <c r="B194" s="9"/>
      <c r="C194" s="9"/>
      <c r="D194" s="9"/>
      <c r="E194" s="9"/>
      <c r="F194" s="14"/>
      <c r="G194" s="14"/>
      <c r="H194" s="14"/>
      <c r="I194" s="14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spans="1:22" ht="19.5" customHeight="1" x14ac:dyDescent="0.25">
      <c r="A195" s="9"/>
      <c r="B195" s="9"/>
      <c r="C195" s="9"/>
      <c r="D195" s="9"/>
      <c r="E195" s="9"/>
      <c r="F195" s="14"/>
      <c r="G195" s="14"/>
      <c r="H195" s="14"/>
      <c r="I195" s="14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spans="1:22" ht="19.5" customHeight="1" x14ac:dyDescent="0.25">
      <c r="A196" s="9"/>
      <c r="B196" s="9"/>
      <c r="C196" s="9"/>
      <c r="D196" s="9"/>
      <c r="E196" s="9"/>
      <c r="F196" s="14"/>
      <c r="G196" s="14"/>
      <c r="H196" s="14"/>
      <c r="I196" s="14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spans="1:22" ht="19.5" customHeight="1" x14ac:dyDescent="0.25">
      <c r="A197" s="9"/>
      <c r="B197" s="9"/>
      <c r="C197" s="9"/>
      <c r="D197" s="9"/>
      <c r="E197" s="9"/>
      <c r="F197" s="14"/>
      <c r="G197" s="14"/>
      <c r="H197" s="14"/>
      <c r="I197" s="14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spans="1:22" ht="19.5" customHeight="1" x14ac:dyDescent="0.25">
      <c r="A198" s="9"/>
      <c r="B198" s="9"/>
      <c r="C198" s="9"/>
      <c r="D198" s="9"/>
      <c r="E198" s="9"/>
      <c r="F198" s="14"/>
      <c r="G198" s="14"/>
      <c r="H198" s="14"/>
      <c r="I198" s="14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spans="1:22" ht="19.5" customHeight="1" x14ac:dyDescent="0.25">
      <c r="A199" s="9"/>
      <c r="B199" s="9"/>
      <c r="C199" s="9"/>
      <c r="D199" s="9"/>
      <c r="E199" s="9"/>
      <c r="F199" s="14"/>
      <c r="G199" s="14"/>
      <c r="H199" s="14"/>
      <c r="I199" s="14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spans="1:22" ht="19.5" customHeight="1" x14ac:dyDescent="0.25">
      <c r="A200" s="9"/>
      <c r="B200" s="9"/>
      <c r="C200" s="9"/>
      <c r="D200" s="9"/>
      <c r="E200" s="9"/>
      <c r="F200" s="14"/>
      <c r="G200" s="14"/>
      <c r="H200" s="14"/>
      <c r="I200" s="14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spans="1:22" ht="19.5" customHeight="1" x14ac:dyDescent="0.25">
      <c r="A201" s="9"/>
      <c r="B201" s="9"/>
      <c r="C201" s="9"/>
      <c r="D201" s="9"/>
      <c r="E201" s="9"/>
      <c r="F201" s="14"/>
      <c r="G201" s="14"/>
      <c r="H201" s="14"/>
      <c r="I201" s="14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spans="1:22" ht="19.5" customHeight="1" x14ac:dyDescent="0.25">
      <c r="A202" s="9"/>
      <c r="B202" s="9"/>
      <c r="C202" s="9"/>
      <c r="D202" s="9"/>
      <c r="E202" s="9"/>
      <c r="F202" s="14"/>
      <c r="G202" s="14"/>
      <c r="H202" s="14"/>
      <c r="I202" s="14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spans="1:22" ht="19.5" customHeight="1" x14ac:dyDescent="0.25">
      <c r="A203" s="9"/>
      <c r="B203" s="9"/>
      <c r="C203" s="9"/>
      <c r="D203" s="9"/>
      <c r="E203" s="9"/>
      <c r="F203" s="14"/>
      <c r="G203" s="14"/>
      <c r="H203" s="14"/>
      <c r="I203" s="14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spans="1:22" ht="19.5" customHeight="1" x14ac:dyDescent="0.25">
      <c r="A204" s="9"/>
      <c r="B204" s="9"/>
      <c r="C204" s="9"/>
      <c r="D204" s="9"/>
      <c r="E204" s="9"/>
      <c r="F204" s="14"/>
      <c r="G204" s="14"/>
      <c r="H204" s="14"/>
      <c r="I204" s="14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spans="1:22" ht="19.5" customHeight="1" x14ac:dyDescent="0.25">
      <c r="A205" s="9"/>
      <c r="B205" s="9"/>
      <c r="C205" s="9"/>
      <c r="D205" s="9"/>
      <c r="E205" s="9"/>
      <c r="F205" s="14"/>
      <c r="G205" s="14"/>
      <c r="H205" s="14"/>
      <c r="I205" s="14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spans="1:22" ht="19.5" customHeight="1" x14ac:dyDescent="0.25">
      <c r="A206" s="9"/>
      <c r="B206" s="9"/>
      <c r="C206" s="9"/>
      <c r="D206" s="9"/>
      <c r="E206" s="9"/>
      <c r="F206" s="14"/>
      <c r="G206" s="14"/>
      <c r="H206" s="14"/>
      <c r="I206" s="14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spans="1:22" ht="19.5" customHeight="1" x14ac:dyDescent="0.25">
      <c r="A207" s="9"/>
      <c r="B207" s="9"/>
      <c r="C207" s="9"/>
      <c r="D207" s="9"/>
      <c r="E207" s="9"/>
      <c r="F207" s="14"/>
      <c r="G207" s="14"/>
      <c r="H207" s="14"/>
      <c r="I207" s="14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spans="1:22" ht="19.5" customHeight="1" x14ac:dyDescent="0.25">
      <c r="A208" s="9"/>
      <c r="B208" s="9"/>
      <c r="C208" s="9"/>
      <c r="D208" s="9"/>
      <c r="E208" s="9"/>
      <c r="F208" s="14"/>
      <c r="G208" s="14"/>
      <c r="H208" s="14"/>
      <c r="I208" s="14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spans="1:22" ht="19.5" customHeight="1" x14ac:dyDescent="0.25">
      <c r="A209" s="9"/>
      <c r="B209" s="9"/>
      <c r="C209" s="9"/>
      <c r="D209" s="9"/>
      <c r="E209" s="9"/>
      <c r="F209" s="14"/>
      <c r="G209" s="14"/>
      <c r="H209" s="14"/>
      <c r="I209" s="14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spans="1:22" ht="19.5" customHeight="1" x14ac:dyDescent="0.25">
      <c r="A210" s="9"/>
      <c r="B210" s="9"/>
      <c r="C210" s="9"/>
      <c r="D210" s="9"/>
      <c r="E210" s="9"/>
      <c r="F210" s="14"/>
      <c r="G210" s="14"/>
      <c r="H210" s="14"/>
      <c r="I210" s="14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spans="1:22" ht="19.5" customHeight="1" x14ac:dyDescent="0.25">
      <c r="A211" s="9"/>
      <c r="B211" s="9"/>
      <c r="C211" s="9"/>
      <c r="D211" s="9"/>
      <c r="E211" s="9"/>
      <c r="F211" s="14"/>
      <c r="G211" s="14"/>
      <c r="H211" s="14"/>
      <c r="I211" s="14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spans="1:22" ht="19.5" customHeight="1" x14ac:dyDescent="0.25">
      <c r="A212" s="9"/>
      <c r="B212" s="9"/>
      <c r="C212" s="9"/>
      <c r="D212" s="9"/>
      <c r="E212" s="9"/>
      <c r="F212" s="14"/>
      <c r="G212" s="14"/>
      <c r="H212" s="14"/>
      <c r="I212" s="14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spans="1:22" ht="19.5" customHeight="1" x14ac:dyDescent="0.25">
      <c r="A213" s="9"/>
      <c r="B213" s="9"/>
      <c r="C213" s="9"/>
      <c r="D213" s="9"/>
      <c r="E213" s="9"/>
      <c r="F213" s="14"/>
      <c r="G213" s="14"/>
      <c r="H213" s="14"/>
      <c r="I213" s="14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spans="1:22" ht="19.5" customHeight="1" x14ac:dyDescent="0.25">
      <c r="A214" s="9"/>
      <c r="B214" s="9"/>
      <c r="C214" s="9"/>
      <c r="D214" s="9"/>
      <c r="E214" s="9"/>
      <c r="F214" s="14"/>
      <c r="G214" s="14"/>
      <c r="H214" s="14"/>
      <c r="I214" s="14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spans="1:22" ht="19.5" customHeight="1" x14ac:dyDescent="0.25">
      <c r="A215" s="9"/>
      <c r="B215" s="9"/>
      <c r="C215" s="9"/>
      <c r="D215" s="9"/>
      <c r="E215" s="9"/>
      <c r="F215" s="14"/>
      <c r="G215" s="14"/>
      <c r="H215" s="14"/>
      <c r="I215" s="14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spans="1:22" ht="19.5" customHeight="1" x14ac:dyDescent="0.25">
      <c r="A216" s="9"/>
      <c r="B216" s="9"/>
      <c r="C216" s="9"/>
      <c r="D216" s="9"/>
      <c r="E216" s="9"/>
      <c r="F216" s="14"/>
      <c r="G216" s="14"/>
      <c r="H216" s="14"/>
      <c r="I216" s="14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spans="1:22" ht="19.5" customHeight="1" x14ac:dyDescent="0.25">
      <c r="A217" s="9"/>
      <c r="B217" s="9"/>
      <c r="C217" s="9"/>
      <c r="D217" s="9"/>
      <c r="E217" s="9"/>
      <c r="F217" s="14"/>
      <c r="G217" s="14"/>
      <c r="H217" s="14"/>
      <c r="I217" s="14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spans="1:22" ht="19.5" customHeight="1" x14ac:dyDescent="0.25">
      <c r="A218" s="9"/>
      <c r="B218" s="9"/>
      <c r="C218" s="9"/>
      <c r="D218" s="9"/>
      <c r="E218" s="9"/>
      <c r="F218" s="14"/>
      <c r="G218" s="14"/>
      <c r="H218" s="14"/>
      <c r="I218" s="14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spans="1:22" ht="19.5" customHeight="1" x14ac:dyDescent="0.25">
      <c r="A219" s="9"/>
      <c r="B219" s="9"/>
      <c r="C219" s="9"/>
      <c r="D219" s="9"/>
      <c r="E219" s="9"/>
      <c r="F219" s="14"/>
      <c r="G219" s="14"/>
      <c r="H219" s="14"/>
      <c r="I219" s="14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spans="1:22" ht="19.5" customHeight="1" x14ac:dyDescent="0.25">
      <c r="A220" s="9"/>
      <c r="B220" s="9"/>
      <c r="C220" s="9"/>
      <c r="D220" s="9"/>
      <c r="E220" s="9"/>
      <c r="F220" s="14"/>
      <c r="G220" s="14"/>
      <c r="H220" s="14"/>
      <c r="I220" s="14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spans="1:22" ht="19.5" customHeight="1" x14ac:dyDescent="0.25">
      <c r="A221" s="9"/>
      <c r="B221" s="9"/>
      <c r="C221" s="9"/>
      <c r="D221" s="9"/>
      <c r="E221" s="9"/>
      <c r="F221" s="14"/>
      <c r="G221" s="14"/>
      <c r="H221" s="14"/>
      <c r="I221" s="14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spans="1:22" ht="19.5" customHeight="1" x14ac:dyDescent="0.25">
      <c r="A222" s="9"/>
      <c r="B222" s="9"/>
      <c r="C222" s="9"/>
      <c r="D222" s="9"/>
      <c r="E222" s="9"/>
      <c r="F222" s="14"/>
      <c r="G222" s="14"/>
      <c r="H222" s="14"/>
      <c r="I222" s="14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spans="1:22" ht="19.5" customHeight="1" x14ac:dyDescent="0.25">
      <c r="A223" s="9"/>
      <c r="B223" s="9"/>
      <c r="C223" s="9"/>
      <c r="D223" s="9"/>
      <c r="E223" s="9"/>
      <c r="F223" s="14"/>
      <c r="G223" s="14"/>
      <c r="H223" s="14"/>
      <c r="I223" s="14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spans="1:22" ht="19.5" customHeight="1" x14ac:dyDescent="0.25">
      <c r="A224" s="9"/>
      <c r="B224" s="9"/>
      <c r="C224" s="9"/>
      <c r="D224" s="9"/>
      <c r="E224" s="9"/>
      <c r="F224" s="14"/>
      <c r="G224" s="14"/>
      <c r="H224" s="14"/>
      <c r="I224" s="14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spans="1:22" ht="19.5" customHeight="1" x14ac:dyDescent="0.25">
      <c r="A225" s="9"/>
      <c r="B225" s="9"/>
      <c r="C225" s="9"/>
      <c r="D225" s="9"/>
      <c r="E225" s="9"/>
      <c r="F225" s="14"/>
      <c r="G225" s="14"/>
      <c r="H225" s="14"/>
      <c r="I225" s="14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spans="1:22" ht="19.5" customHeight="1" x14ac:dyDescent="0.25">
      <c r="A226" s="9"/>
      <c r="B226" s="9"/>
      <c r="C226" s="9"/>
      <c r="D226" s="9"/>
      <c r="E226" s="9"/>
      <c r="F226" s="14"/>
      <c r="G226" s="14"/>
      <c r="H226" s="14"/>
      <c r="I226" s="14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spans="1:22" ht="19.5" customHeight="1" x14ac:dyDescent="0.25">
      <c r="A227" s="9"/>
      <c r="B227" s="9"/>
      <c r="C227" s="9"/>
      <c r="D227" s="9"/>
      <c r="E227" s="9"/>
      <c r="F227" s="14"/>
      <c r="G227" s="14"/>
      <c r="H227" s="14"/>
      <c r="I227" s="14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spans="1:22" ht="19.5" customHeight="1" x14ac:dyDescent="0.25">
      <c r="A228" s="9"/>
      <c r="B228" s="9"/>
      <c r="C228" s="9"/>
      <c r="D228" s="9"/>
      <c r="E228" s="9"/>
      <c r="F228" s="14"/>
      <c r="G228" s="14"/>
      <c r="H228" s="14"/>
      <c r="I228" s="14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spans="1:22" ht="19.5" customHeight="1" x14ac:dyDescent="0.25">
      <c r="A229" s="9"/>
      <c r="B229" s="9"/>
      <c r="C229" s="9"/>
      <c r="D229" s="9"/>
      <c r="E229" s="9"/>
      <c r="F229" s="14"/>
      <c r="G229" s="14"/>
      <c r="H229" s="14"/>
      <c r="I229" s="14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spans="1:22" ht="19.5" customHeight="1" x14ac:dyDescent="0.25">
      <c r="A230" s="9"/>
      <c r="B230" s="9"/>
      <c r="C230" s="9"/>
      <c r="D230" s="9"/>
      <c r="E230" s="9"/>
      <c r="F230" s="14"/>
      <c r="G230" s="14"/>
      <c r="H230" s="14"/>
      <c r="I230" s="14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spans="1:22" ht="19.5" customHeight="1" x14ac:dyDescent="0.25">
      <c r="A231" s="9"/>
      <c r="B231" s="9"/>
      <c r="C231" s="9"/>
      <c r="D231" s="9"/>
      <c r="E231" s="9"/>
      <c r="F231" s="14"/>
      <c r="G231" s="14"/>
      <c r="H231" s="14"/>
      <c r="I231" s="14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spans="1:22" ht="19.5" customHeight="1" x14ac:dyDescent="0.25">
      <c r="A232" s="9"/>
      <c r="B232" s="9"/>
      <c r="C232" s="9"/>
      <c r="D232" s="9"/>
      <c r="E232" s="9"/>
      <c r="F232" s="14"/>
      <c r="G232" s="14"/>
      <c r="H232" s="14"/>
      <c r="I232" s="14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spans="1:22" ht="19.5" customHeight="1" x14ac:dyDescent="0.25">
      <c r="A233" s="9"/>
      <c r="B233" s="9"/>
      <c r="C233" s="9"/>
      <c r="D233" s="9"/>
      <c r="E233" s="9"/>
      <c r="F233" s="14"/>
      <c r="G233" s="14"/>
      <c r="H233" s="14"/>
      <c r="I233" s="14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spans="1:22" ht="19.5" customHeight="1" x14ac:dyDescent="0.25">
      <c r="A234" s="9"/>
      <c r="B234" s="9"/>
      <c r="C234" s="9"/>
      <c r="D234" s="9"/>
      <c r="E234" s="9"/>
      <c r="F234" s="14"/>
      <c r="G234" s="14"/>
      <c r="H234" s="14"/>
      <c r="I234" s="14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spans="1:22" ht="19.5" customHeight="1" x14ac:dyDescent="0.25">
      <c r="A235" s="9"/>
      <c r="B235" s="9"/>
      <c r="C235" s="9"/>
      <c r="D235" s="9"/>
      <c r="E235" s="9"/>
      <c r="F235" s="14"/>
      <c r="G235" s="14"/>
      <c r="H235" s="14"/>
      <c r="I235" s="14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spans="1:22" ht="19.5" customHeight="1" x14ac:dyDescent="0.25">
      <c r="A236" s="9"/>
      <c r="B236" s="9"/>
      <c r="C236" s="9"/>
      <c r="D236" s="9"/>
      <c r="E236" s="9"/>
      <c r="F236" s="14"/>
      <c r="G236" s="14"/>
      <c r="H236" s="14"/>
      <c r="I236" s="14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spans="1:22" ht="19.5" customHeight="1" x14ac:dyDescent="0.25">
      <c r="A237" s="9"/>
      <c r="B237" s="9"/>
      <c r="C237" s="9"/>
      <c r="D237" s="9"/>
      <c r="E237" s="9"/>
      <c r="F237" s="14"/>
      <c r="G237" s="14"/>
      <c r="H237" s="14"/>
      <c r="I237" s="14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spans="1:22" ht="19.5" customHeight="1" x14ac:dyDescent="0.25">
      <c r="A238" s="9"/>
      <c r="B238" s="9"/>
      <c r="C238" s="9"/>
      <c r="D238" s="9"/>
      <c r="E238" s="9"/>
      <c r="F238" s="14"/>
      <c r="G238" s="14"/>
      <c r="H238" s="14"/>
      <c r="I238" s="14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spans="1:22" ht="19.5" customHeight="1" x14ac:dyDescent="0.25">
      <c r="A239" s="9"/>
      <c r="B239" s="9"/>
      <c r="C239" s="9"/>
      <c r="D239" s="9"/>
      <c r="E239" s="9"/>
      <c r="F239" s="14"/>
      <c r="G239" s="14"/>
      <c r="H239" s="14"/>
      <c r="I239" s="14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spans="1:22" ht="19.5" customHeight="1" x14ac:dyDescent="0.25">
      <c r="A240" s="9"/>
      <c r="B240" s="9"/>
      <c r="C240" s="9"/>
      <c r="D240" s="9"/>
      <c r="E240" s="9"/>
      <c r="F240" s="14"/>
      <c r="G240" s="14"/>
      <c r="H240" s="14"/>
      <c r="I240" s="14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spans="1:22" ht="19.5" customHeight="1" x14ac:dyDescent="0.25">
      <c r="A241" s="9"/>
      <c r="B241" s="9"/>
      <c r="C241" s="9"/>
      <c r="D241" s="9"/>
      <c r="E241" s="9"/>
      <c r="F241" s="14"/>
      <c r="G241" s="14"/>
      <c r="H241" s="14"/>
      <c r="I241" s="14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spans="1:22" ht="19.5" customHeight="1" x14ac:dyDescent="0.25">
      <c r="A242" s="9"/>
      <c r="B242" s="9"/>
      <c r="C242" s="9"/>
      <c r="D242" s="9"/>
      <c r="E242" s="9"/>
      <c r="F242" s="14"/>
      <c r="G242" s="14"/>
      <c r="H242" s="14"/>
      <c r="I242" s="14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spans="1:22" ht="19.5" customHeight="1" x14ac:dyDescent="0.25">
      <c r="A243" s="9"/>
      <c r="B243" s="9"/>
      <c r="C243" s="9"/>
      <c r="D243" s="9"/>
      <c r="E243" s="9"/>
      <c r="F243" s="14"/>
      <c r="G243" s="14"/>
      <c r="H243" s="14"/>
      <c r="I243" s="14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spans="1:22" ht="19.5" customHeight="1" x14ac:dyDescent="0.25">
      <c r="A244" s="9"/>
      <c r="B244" s="9"/>
      <c r="C244" s="9"/>
      <c r="D244" s="9"/>
      <c r="E244" s="9"/>
      <c r="F244" s="14"/>
      <c r="G244" s="14"/>
      <c r="H244" s="14"/>
      <c r="I244" s="14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spans="1:22" ht="19.5" customHeight="1" x14ac:dyDescent="0.25">
      <c r="A245" s="9"/>
      <c r="B245" s="9"/>
      <c r="C245" s="9"/>
      <c r="D245" s="9"/>
      <c r="E245" s="9"/>
      <c r="F245" s="14"/>
      <c r="G245" s="14"/>
      <c r="H245" s="14"/>
      <c r="I245" s="14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spans="1:22" ht="19.5" customHeight="1" x14ac:dyDescent="0.25">
      <c r="A246" s="9"/>
      <c r="B246" s="9"/>
      <c r="C246" s="9"/>
      <c r="D246" s="9"/>
      <c r="E246" s="9"/>
      <c r="F246" s="14"/>
      <c r="G246" s="14"/>
      <c r="H246" s="14"/>
      <c r="I246" s="14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spans="1:22" ht="19.5" customHeight="1" x14ac:dyDescent="0.25">
      <c r="A247" s="9"/>
      <c r="B247" s="9"/>
      <c r="C247" s="9"/>
      <c r="D247" s="9"/>
      <c r="E247" s="9"/>
      <c r="F247" s="14"/>
      <c r="G247" s="14"/>
      <c r="H247" s="14"/>
      <c r="I247" s="14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spans="1:22" ht="19.5" customHeight="1" x14ac:dyDescent="0.25">
      <c r="A248" s="9"/>
      <c r="B248" s="9"/>
      <c r="C248" s="9"/>
      <c r="D248" s="9"/>
      <c r="E248" s="9"/>
      <c r="F248" s="14"/>
      <c r="G248" s="14"/>
      <c r="H248" s="14"/>
      <c r="I248" s="14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spans="1:22" ht="19.5" customHeight="1" x14ac:dyDescent="0.25">
      <c r="A249" s="9"/>
      <c r="B249" s="9"/>
      <c r="C249" s="9"/>
      <c r="D249" s="9"/>
      <c r="E249" s="9"/>
      <c r="F249" s="14"/>
      <c r="G249" s="14"/>
      <c r="H249" s="14"/>
      <c r="I249" s="14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spans="1:22" ht="19.5" customHeight="1" x14ac:dyDescent="0.25">
      <c r="A250" s="9"/>
      <c r="B250" s="9"/>
      <c r="C250" s="9"/>
      <c r="D250" s="9"/>
      <c r="E250" s="9"/>
      <c r="F250" s="14"/>
      <c r="G250" s="14"/>
      <c r="H250" s="14"/>
      <c r="I250" s="14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spans="1:22" ht="19.5" customHeight="1" x14ac:dyDescent="0.25">
      <c r="A251" s="9"/>
      <c r="B251" s="9"/>
      <c r="C251" s="9"/>
      <c r="D251" s="9"/>
      <c r="E251" s="9"/>
      <c r="F251" s="14"/>
      <c r="G251" s="14"/>
      <c r="H251" s="14"/>
      <c r="I251" s="14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spans="1:22" ht="19.5" customHeight="1" x14ac:dyDescent="0.25">
      <c r="A252" s="9"/>
      <c r="B252" s="9"/>
      <c r="C252" s="9"/>
      <c r="D252" s="9"/>
      <c r="E252" s="9"/>
      <c r="F252" s="14"/>
      <c r="G252" s="14"/>
      <c r="H252" s="14"/>
      <c r="I252" s="14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spans="1:22" ht="19.5" customHeight="1" x14ac:dyDescent="0.25">
      <c r="A253" s="9"/>
      <c r="B253" s="9"/>
      <c r="C253" s="9"/>
      <c r="D253" s="9"/>
      <c r="E253" s="9"/>
      <c r="F253" s="14"/>
      <c r="G253" s="14"/>
      <c r="H253" s="14"/>
      <c r="I253" s="14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spans="1:22" ht="19.5" customHeight="1" x14ac:dyDescent="0.25">
      <c r="A254" s="9"/>
      <c r="B254" s="9"/>
      <c r="C254" s="9"/>
      <c r="D254" s="9"/>
      <c r="E254" s="9"/>
      <c r="F254" s="14"/>
      <c r="G254" s="14"/>
      <c r="H254" s="14"/>
      <c r="I254" s="14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spans="1:22" ht="19.5" customHeight="1" x14ac:dyDescent="0.25">
      <c r="A255" s="9"/>
      <c r="B255" s="9"/>
      <c r="C255" s="9"/>
      <c r="D255" s="9"/>
      <c r="E255" s="9"/>
      <c r="F255" s="14"/>
      <c r="G255" s="14"/>
      <c r="H255" s="14"/>
      <c r="I255" s="14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spans="1:22" ht="19.5" customHeight="1" x14ac:dyDescent="0.25">
      <c r="A256" s="9"/>
      <c r="B256" s="9"/>
      <c r="C256" s="9"/>
      <c r="D256" s="9"/>
      <c r="E256" s="9"/>
      <c r="F256" s="14"/>
      <c r="G256" s="14"/>
      <c r="H256" s="14"/>
      <c r="I256" s="14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spans="1:22" ht="19.5" customHeight="1" x14ac:dyDescent="0.25">
      <c r="A257" s="9"/>
      <c r="B257" s="9"/>
      <c r="C257" s="9"/>
      <c r="D257" s="9"/>
      <c r="E257" s="9"/>
      <c r="F257" s="14"/>
      <c r="G257" s="14"/>
      <c r="H257" s="14"/>
      <c r="I257" s="14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spans="1:22" ht="19.5" customHeight="1" x14ac:dyDescent="0.25">
      <c r="A258" s="9"/>
      <c r="B258" s="9"/>
      <c r="C258" s="9"/>
      <c r="D258" s="9"/>
      <c r="E258" s="9"/>
      <c r="F258" s="14"/>
      <c r="G258" s="14"/>
      <c r="H258" s="14"/>
      <c r="I258" s="14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spans="1:22" ht="19.5" customHeight="1" x14ac:dyDescent="0.25">
      <c r="A259" s="9"/>
      <c r="B259" s="9"/>
      <c r="C259" s="9"/>
      <c r="D259" s="9"/>
      <c r="E259" s="9"/>
      <c r="F259" s="14"/>
      <c r="G259" s="14"/>
      <c r="H259" s="14"/>
      <c r="I259" s="14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spans="1:22" ht="19.5" customHeight="1" x14ac:dyDescent="0.25">
      <c r="A260" s="9"/>
      <c r="B260" s="9"/>
      <c r="C260" s="9"/>
      <c r="D260" s="9"/>
      <c r="E260" s="9"/>
      <c r="F260" s="14"/>
      <c r="G260" s="14"/>
      <c r="H260" s="14"/>
      <c r="I260" s="14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spans="1:22" ht="19.5" customHeight="1" x14ac:dyDescent="0.25">
      <c r="A261" s="9"/>
      <c r="B261" s="9"/>
      <c r="C261" s="9"/>
      <c r="D261" s="9"/>
      <c r="E261" s="9"/>
      <c r="F261" s="14"/>
      <c r="G261" s="14"/>
      <c r="H261" s="14"/>
      <c r="I261" s="14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spans="1:22" ht="19.5" customHeight="1" x14ac:dyDescent="0.25">
      <c r="A262" s="9"/>
      <c r="B262" s="9"/>
      <c r="C262" s="9"/>
      <c r="D262" s="9"/>
      <c r="E262" s="9"/>
      <c r="F262" s="14"/>
      <c r="G262" s="14"/>
      <c r="H262" s="14"/>
      <c r="I262" s="14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spans="1:22" ht="19.5" customHeight="1" x14ac:dyDescent="0.25">
      <c r="A263" s="9"/>
      <c r="B263" s="9"/>
      <c r="C263" s="9"/>
      <c r="D263" s="9"/>
      <c r="E263" s="9"/>
      <c r="F263" s="14"/>
      <c r="G263" s="14"/>
      <c r="H263" s="14"/>
      <c r="I263" s="14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spans="1:22" ht="19.5" customHeight="1" x14ac:dyDescent="0.25">
      <c r="A264" s="9"/>
      <c r="B264" s="9"/>
      <c r="C264" s="9"/>
      <c r="D264" s="9"/>
      <c r="E264" s="9"/>
      <c r="F264" s="14"/>
      <c r="G264" s="14"/>
      <c r="H264" s="14"/>
      <c r="I264" s="14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spans="1:22" ht="19.5" customHeight="1" x14ac:dyDescent="0.25">
      <c r="A265" s="9"/>
      <c r="B265" s="9"/>
      <c r="C265" s="9"/>
      <c r="D265" s="9"/>
      <c r="E265" s="9"/>
      <c r="F265" s="14"/>
      <c r="G265" s="14"/>
      <c r="H265" s="14"/>
      <c r="I265" s="14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spans="1:22" ht="19.5" customHeight="1" x14ac:dyDescent="0.25">
      <c r="A266" s="9"/>
      <c r="B266" s="9"/>
      <c r="C266" s="9"/>
      <c r="D266" s="9"/>
      <c r="E266" s="9"/>
      <c r="F266" s="14"/>
      <c r="G266" s="14"/>
      <c r="H266" s="14"/>
      <c r="I266" s="14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spans="1:22" ht="19.5" customHeight="1" x14ac:dyDescent="0.25">
      <c r="A267" s="9"/>
      <c r="B267" s="9"/>
      <c r="C267" s="9"/>
      <c r="D267" s="9"/>
      <c r="E267" s="9"/>
      <c r="F267" s="14"/>
      <c r="G267" s="14"/>
      <c r="H267" s="14"/>
      <c r="I267" s="14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spans="1:22" ht="19.5" customHeight="1" x14ac:dyDescent="0.25">
      <c r="A268" s="9"/>
      <c r="B268" s="9"/>
      <c r="C268" s="9"/>
      <c r="D268" s="9"/>
      <c r="E268" s="9"/>
      <c r="F268" s="14"/>
      <c r="G268" s="14"/>
      <c r="H268" s="14"/>
      <c r="I268" s="14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spans="1:22" ht="19.5" customHeight="1" x14ac:dyDescent="0.25">
      <c r="A269" s="9"/>
      <c r="B269" s="9"/>
      <c r="C269" s="9"/>
      <c r="D269" s="9"/>
      <c r="E269" s="9"/>
      <c r="F269" s="14"/>
      <c r="G269" s="14"/>
      <c r="H269" s="14"/>
      <c r="I269" s="14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spans="1:22" ht="19.5" customHeight="1" x14ac:dyDescent="0.25">
      <c r="A270" s="9"/>
      <c r="B270" s="9"/>
      <c r="C270" s="9"/>
      <c r="D270" s="9"/>
      <c r="E270" s="9"/>
      <c r="F270" s="14"/>
      <c r="G270" s="14"/>
      <c r="H270" s="14"/>
      <c r="I270" s="14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spans="1:22" ht="19.5" customHeight="1" x14ac:dyDescent="0.25">
      <c r="A271" s="9"/>
      <c r="B271" s="9"/>
      <c r="C271" s="9"/>
      <c r="D271" s="9"/>
      <c r="E271" s="9"/>
      <c r="F271" s="14"/>
      <c r="G271" s="14"/>
      <c r="H271" s="14"/>
      <c r="I271" s="14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spans="1:22" ht="19.5" customHeight="1" x14ac:dyDescent="0.25">
      <c r="A272" s="9"/>
      <c r="B272" s="9"/>
      <c r="C272" s="9"/>
      <c r="D272" s="9"/>
      <c r="E272" s="9"/>
      <c r="F272" s="14"/>
      <c r="G272" s="14"/>
      <c r="H272" s="14"/>
      <c r="I272" s="14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spans="1:22" ht="19.5" customHeight="1" x14ac:dyDescent="0.25">
      <c r="A273" s="9"/>
      <c r="B273" s="9"/>
      <c r="C273" s="9"/>
      <c r="D273" s="9"/>
      <c r="E273" s="9"/>
      <c r="F273" s="14"/>
      <c r="G273" s="14"/>
      <c r="H273" s="14"/>
      <c r="I273" s="14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spans="1:22" ht="19.5" customHeight="1" x14ac:dyDescent="0.25">
      <c r="A274" s="9"/>
      <c r="B274" s="9"/>
      <c r="C274" s="9"/>
      <c r="D274" s="9"/>
      <c r="E274" s="9"/>
      <c r="F274" s="14"/>
      <c r="G274" s="14"/>
      <c r="H274" s="14"/>
      <c r="I274" s="14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spans="1:22" ht="19.5" customHeight="1" x14ac:dyDescent="0.25">
      <c r="A275" s="9"/>
      <c r="B275" s="9"/>
      <c r="C275" s="9"/>
      <c r="D275" s="9"/>
      <c r="E275" s="9"/>
      <c r="F275" s="14"/>
      <c r="G275" s="14"/>
      <c r="H275" s="14"/>
      <c r="I275" s="14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spans="1:22" ht="19.5" customHeight="1" x14ac:dyDescent="0.25">
      <c r="A276" s="9"/>
      <c r="B276" s="9"/>
      <c r="C276" s="9"/>
      <c r="D276" s="9"/>
      <c r="E276" s="9"/>
      <c r="F276" s="14"/>
      <c r="G276" s="14"/>
      <c r="H276" s="14"/>
      <c r="I276" s="14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spans="1:22" ht="19.5" customHeight="1" x14ac:dyDescent="0.25">
      <c r="A277" s="9"/>
      <c r="B277" s="9"/>
      <c r="C277" s="9"/>
      <c r="D277" s="9"/>
      <c r="E277" s="9"/>
      <c r="F277" s="14"/>
      <c r="G277" s="14"/>
      <c r="H277" s="14"/>
      <c r="I277" s="14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spans="1:22" ht="19.5" customHeight="1" x14ac:dyDescent="0.25">
      <c r="A278" s="9"/>
      <c r="B278" s="9"/>
      <c r="C278" s="9"/>
      <c r="D278" s="9"/>
      <c r="E278" s="9"/>
      <c r="F278" s="14"/>
      <c r="G278" s="14"/>
      <c r="H278" s="14"/>
      <c r="I278" s="14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spans="1:22" ht="19.5" customHeight="1" x14ac:dyDescent="0.25">
      <c r="A279" s="9"/>
      <c r="B279" s="9"/>
      <c r="C279" s="9"/>
      <c r="D279" s="9"/>
      <c r="E279" s="9"/>
      <c r="F279" s="14"/>
      <c r="G279" s="14"/>
      <c r="H279" s="14"/>
      <c r="I279" s="14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spans="1:22" ht="19.5" customHeight="1" x14ac:dyDescent="0.25">
      <c r="A280" s="9"/>
      <c r="B280" s="9"/>
      <c r="C280" s="9"/>
      <c r="D280" s="9"/>
      <c r="E280" s="9"/>
      <c r="F280" s="14"/>
      <c r="G280" s="14"/>
      <c r="H280" s="14"/>
      <c r="I280" s="14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spans="1:22" ht="19.5" customHeight="1" x14ac:dyDescent="0.25">
      <c r="A281" s="9"/>
      <c r="B281" s="9"/>
      <c r="C281" s="9"/>
      <c r="D281" s="9"/>
      <c r="E281" s="9"/>
      <c r="F281" s="14"/>
      <c r="G281" s="14"/>
      <c r="H281" s="14"/>
      <c r="I281" s="14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spans="1:22" ht="19.5" customHeight="1" x14ac:dyDescent="0.25">
      <c r="A282" s="9"/>
      <c r="B282" s="9"/>
      <c r="C282" s="9"/>
      <c r="D282" s="9"/>
      <c r="E282" s="9"/>
      <c r="F282" s="14"/>
      <c r="G282" s="14"/>
      <c r="H282" s="14"/>
      <c r="I282" s="14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spans="1:22" ht="19.5" customHeight="1" x14ac:dyDescent="0.25">
      <c r="A283" s="9"/>
      <c r="B283" s="9"/>
      <c r="C283" s="9"/>
      <c r="D283" s="9"/>
      <c r="E283" s="9"/>
      <c r="F283" s="14"/>
      <c r="G283" s="14"/>
      <c r="H283" s="14"/>
      <c r="I283" s="14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spans="1:22" ht="19.5" customHeight="1" x14ac:dyDescent="0.25">
      <c r="A284" s="9"/>
      <c r="B284" s="9"/>
      <c r="C284" s="9"/>
      <c r="D284" s="9"/>
      <c r="E284" s="9"/>
      <c r="F284" s="14"/>
      <c r="G284" s="14"/>
      <c r="H284" s="14"/>
      <c r="I284" s="14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spans="1:22" ht="19.5" customHeight="1" x14ac:dyDescent="0.25">
      <c r="A285" s="9"/>
      <c r="B285" s="9"/>
      <c r="C285" s="9"/>
      <c r="D285" s="9"/>
      <c r="E285" s="9"/>
      <c r="F285" s="14"/>
      <c r="G285" s="14"/>
      <c r="H285" s="14"/>
      <c r="I285" s="14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spans="1:22" ht="19.5" customHeight="1" x14ac:dyDescent="0.25">
      <c r="A286" s="9"/>
      <c r="B286" s="9"/>
      <c r="C286" s="9"/>
      <c r="D286" s="9"/>
      <c r="E286" s="9"/>
      <c r="F286" s="14"/>
      <c r="G286" s="14"/>
      <c r="H286" s="14"/>
      <c r="I286" s="14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spans="1:22" ht="19.5" customHeight="1" x14ac:dyDescent="0.25">
      <c r="A287" s="9"/>
      <c r="B287" s="9"/>
      <c r="C287" s="9"/>
      <c r="D287" s="9"/>
      <c r="E287" s="9"/>
      <c r="F287" s="14"/>
      <c r="G287" s="14"/>
      <c r="H287" s="14"/>
      <c r="I287" s="14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spans="1:22" ht="19.5" customHeight="1" x14ac:dyDescent="0.25">
      <c r="A288" s="9"/>
      <c r="B288" s="9"/>
      <c r="C288" s="9"/>
      <c r="D288" s="9"/>
      <c r="E288" s="9"/>
      <c r="F288" s="14"/>
      <c r="G288" s="14"/>
      <c r="H288" s="14"/>
      <c r="I288" s="14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spans="1:22" ht="19.5" customHeight="1" x14ac:dyDescent="0.25">
      <c r="A289" s="9"/>
      <c r="B289" s="9"/>
      <c r="C289" s="9"/>
      <c r="D289" s="9"/>
      <c r="E289" s="9"/>
      <c r="F289" s="14"/>
      <c r="G289" s="14"/>
      <c r="H289" s="14"/>
      <c r="I289" s="14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spans="1:22" ht="19.5" customHeight="1" x14ac:dyDescent="0.25">
      <c r="A290" s="9"/>
      <c r="B290" s="9"/>
      <c r="C290" s="9"/>
      <c r="D290" s="9"/>
      <c r="E290" s="9"/>
      <c r="F290" s="14"/>
      <c r="G290" s="14"/>
      <c r="H290" s="14"/>
      <c r="I290" s="14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spans="1:22" ht="19.5" customHeight="1" x14ac:dyDescent="0.25">
      <c r="A291" s="9"/>
      <c r="B291" s="9"/>
      <c r="C291" s="9"/>
      <c r="D291" s="9"/>
      <c r="E291" s="9"/>
      <c r="F291" s="14"/>
      <c r="G291" s="14"/>
      <c r="H291" s="14"/>
      <c r="I291" s="14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spans="1:22" ht="19.5" customHeight="1" x14ac:dyDescent="0.25">
      <c r="A292" s="9"/>
      <c r="B292" s="9"/>
      <c r="C292" s="9"/>
      <c r="D292" s="9"/>
      <c r="E292" s="9"/>
      <c r="F292" s="14"/>
      <c r="G292" s="14"/>
      <c r="H292" s="14"/>
      <c r="I292" s="14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spans="1:22" ht="19.5" customHeight="1" x14ac:dyDescent="0.25">
      <c r="A293" s="9"/>
      <c r="B293" s="9"/>
      <c r="C293" s="9"/>
      <c r="D293" s="9"/>
      <c r="E293" s="9"/>
      <c r="F293" s="14"/>
      <c r="G293" s="14"/>
      <c r="H293" s="14"/>
      <c r="I293" s="14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spans="1:22" ht="19.5" customHeight="1" x14ac:dyDescent="0.25">
      <c r="A294" s="9"/>
      <c r="B294" s="9"/>
      <c r="C294" s="9"/>
      <c r="D294" s="9"/>
      <c r="E294" s="9"/>
      <c r="F294" s="14"/>
      <c r="G294" s="14"/>
      <c r="H294" s="14"/>
      <c r="I294" s="14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spans="1:22" ht="19.5" customHeight="1" x14ac:dyDescent="0.25">
      <c r="A295" s="9"/>
      <c r="B295" s="9"/>
      <c r="C295" s="9"/>
      <c r="D295" s="9"/>
      <c r="E295" s="9"/>
      <c r="F295" s="14"/>
      <c r="G295" s="14"/>
      <c r="H295" s="14"/>
      <c r="I295" s="14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spans="1:22" ht="19.5" customHeight="1" x14ac:dyDescent="0.25">
      <c r="A296" s="9"/>
      <c r="B296" s="9"/>
      <c r="C296" s="9"/>
      <c r="D296" s="9"/>
      <c r="E296" s="9"/>
      <c r="F296" s="14"/>
      <c r="G296" s="14"/>
      <c r="H296" s="14"/>
      <c r="I296" s="14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spans="1:22" ht="19.5" customHeight="1" x14ac:dyDescent="0.25">
      <c r="A297" s="9"/>
      <c r="B297" s="9"/>
      <c r="C297" s="9"/>
      <c r="D297" s="9"/>
      <c r="E297" s="9"/>
      <c r="F297" s="14"/>
      <c r="G297" s="14"/>
      <c r="H297" s="14"/>
      <c r="I297" s="14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spans="1:22" ht="19.5" customHeight="1" x14ac:dyDescent="0.25">
      <c r="A298" s="9"/>
      <c r="B298" s="9"/>
      <c r="C298" s="9"/>
      <c r="D298" s="9"/>
      <c r="E298" s="9"/>
      <c r="F298" s="14"/>
      <c r="G298" s="14"/>
      <c r="H298" s="14"/>
      <c r="I298" s="14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spans="1:22" ht="19.5" customHeight="1" x14ac:dyDescent="0.25">
      <c r="A299" s="9"/>
      <c r="B299" s="9"/>
      <c r="C299" s="9"/>
      <c r="D299" s="9"/>
      <c r="E299" s="9"/>
      <c r="F299" s="14"/>
      <c r="G299" s="14"/>
      <c r="H299" s="14"/>
      <c r="I299" s="14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 spans="1:22" ht="19.5" customHeight="1" x14ac:dyDescent="0.25">
      <c r="A300" s="9"/>
      <c r="B300" s="9"/>
      <c r="C300" s="9"/>
      <c r="D300" s="9"/>
      <c r="E300" s="9"/>
      <c r="F300" s="14"/>
      <c r="G300" s="14"/>
      <c r="H300" s="14"/>
      <c r="I300" s="14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 spans="1:22" ht="19.5" customHeight="1" x14ac:dyDescent="0.25">
      <c r="A301" s="9"/>
      <c r="B301" s="9"/>
      <c r="C301" s="9"/>
      <c r="D301" s="9"/>
      <c r="E301" s="9"/>
      <c r="F301" s="14"/>
      <c r="G301" s="14"/>
      <c r="H301" s="14"/>
      <c r="I301" s="14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 spans="1:22" ht="19.5" customHeight="1" x14ac:dyDescent="0.25">
      <c r="A302" s="9"/>
      <c r="B302" s="9"/>
      <c r="C302" s="9"/>
      <c r="D302" s="9"/>
      <c r="E302" s="9"/>
      <c r="F302" s="14"/>
      <c r="G302" s="14"/>
      <c r="H302" s="14"/>
      <c r="I302" s="14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 spans="1:22" ht="19.5" customHeight="1" x14ac:dyDescent="0.25">
      <c r="A303" s="9"/>
      <c r="B303" s="9"/>
      <c r="C303" s="9"/>
      <c r="D303" s="9"/>
      <c r="E303" s="9"/>
      <c r="F303" s="14"/>
      <c r="G303" s="14"/>
      <c r="H303" s="14"/>
      <c r="I303" s="14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 spans="1:22" ht="19.5" customHeight="1" x14ac:dyDescent="0.25">
      <c r="A304" s="9"/>
      <c r="B304" s="9"/>
      <c r="C304" s="9"/>
      <c r="D304" s="9"/>
      <c r="E304" s="9"/>
      <c r="F304" s="14"/>
      <c r="G304" s="14"/>
      <c r="H304" s="14"/>
      <c r="I304" s="14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spans="1:22" ht="19.5" customHeight="1" x14ac:dyDescent="0.25">
      <c r="A305" s="9"/>
      <c r="B305" s="9"/>
      <c r="C305" s="9"/>
      <c r="D305" s="9"/>
      <c r="E305" s="9"/>
      <c r="F305" s="14"/>
      <c r="G305" s="14"/>
      <c r="H305" s="14"/>
      <c r="I305" s="14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 spans="1:22" ht="19.5" customHeight="1" x14ac:dyDescent="0.25">
      <c r="A306" s="9"/>
      <c r="B306" s="9"/>
      <c r="C306" s="9"/>
      <c r="D306" s="9"/>
      <c r="E306" s="9"/>
      <c r="F306" s="14"/>
      <c r="G306" s="14"/>
      <c r="H306" s="14"/>
      <c r="I306" s="14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 spans="1:22" ht="19.5" customHeight="1" x14ac:dyDescent="0.25">
      <c r="A307" s="9"/>
      <c r="B307" s="9"/>
      <c r="C307" s="9"/>
      <c r="D307" s="9"/>
      <c r="E307" s="9"/>
      <c r="F307" s="14"/>
      <c r="G307" s="14"/>
      <c r="H307" s="14"/>
      <c r="I307" s="14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 spans="1:22" ht="19.5" customHeight="1" x14ac:dyDescent="0.25">
      <c r="A308" s="9"/>
      <c r="B308" s="9"/>
      <c r="C308" s="9"/>
      <c r="D308" s="9"/>
      <c r="E308" s="9"/>
      <c r="F308" s="14"/>
      <c r="G308" s="14"/>
      <c r="H308" s="14"/>
      <c r="I308" s="14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spans="1:22" ht="19.5" customHeight="1" x14ac:dyDescent="0.25">
      <c r="A309" s="9"/>
      <c r="B309" s="9"/>
      <c r="C309" s="9"/>
      <c r="D309" s="9"/>
      <c r="E309" s="9"/>
      <c r="F309" s="14"/>
      <c r="G309" s="14"/>
      <c r="H309" s="14"/>
      <c r="I309" s="14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 spans="1:22" ht="19.5" customHeight="1" x14ac:dyDescent="0.25">
      <c r="A310" s="9"/>
      <c r="B310" s="9"/>
      <c r="C310" s="9"/>
      <c r="D310" s="9"/>
      <c r="E310" s="9"/>
      <c r="F310" s="14"/>
      <c r="G310" s="14"/>
      <c r="H310" s="14"/>
      <c r="I310" s="14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 spans="1:22" ht="19.5" customHeight="1" x14ac:dyDescent="0.25">
      <c r="A311" s="9"/>
      <c r="B311" s="9"/>
      <c r="C311" s="9"/>
      <c r="D311" s="9"/>
      <c r="E311" s="9"/>
      <c r="F311" s="14"/>
      <c r="G311" s="14"/>
      <c r="H311" s="14"/>
      <c r="I311" s="14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 spans="1:22" ht="19.5" customHeight="1" x14ac:dyDescent="0.25">
      <c r="A312" s="9"/>
      <c r="B312" s="9"/>
      <c r="C312" s="9"/>
      <c r="D312" s="9"/>
      <c r="E312" s="9"/>
      <c r="F312" s="14"/>
      <c r="G312" s="14"/>
      <c r="H312" s="14"/>
      <c r="I312" s="14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 spans="1:22" ht="19.5" customHeight="1" x14ac:dyDescent="0.25">
      <c r="A313" s="9"/>
      <c r="B313" s="9"/>
      <c r="C313" s="9"/>
      <c r="D313" s="9"/>
      <c r="E313" s="9"/>
      <c r="F313" s="14"/>
      <c r="G313" s="14"/>
      <c r="H313" s="14"/>
      <c r="I313" s="14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spans="1:22" ht="19.5" customHeight="1" x14ac:dyDescent="0.25">
      <c r="A314" s="9"/>
      <c r="B314" s="9"/>
      <c r="C314" s="9"/>
      <c r="D314" s="9"/>
      <c r="E314" s="9"/>
      <c r="F314" s="14"/>
      <c r="G314" s="14"/>
      <c r="H314" s="14"/>
      <c r="I314" s="14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 spans="1:22" ht="19.5" customHeight="1" x14ac:dyDescent="0.25">
      <c r="A315" s="9"/>
      <c r="B315" s="9"/>
      <c r="C315" s="9"/>
      <c r="D315" s="9"/>
      <c r="E315" s="9"/>
      <c r="F315" s="14"/>
      <c r="G315" s="14"/>
      <c r="H315" s="14"/>
      <c r="I315" s="14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 spans="1:22" ht="19.5" customHeight="1" x14ac:dyDescent="0.25">
      <c r="A316" s="9"/>
      <c r="B316" s="9"/>
      <c r="C316" s="9"/>
      <c r="D316" s="9"/>
      <c r="E316" s="9"/>
      <c r="F316" s="14"/>
      <c r="G316" s="14"/>
      <c r="H316" s="14"/>
      <c r="I316" s="14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 spans="1:22" ht="19.5" customHeight="1" x14ac:dyDescent="0.25">
      <c r="A317" s="9"/>
      <c r="B317" s="9"/>
      <c r="C317" s="9"/>
      <c r="D317" s="9"/>
      <c r="E317" s="9"/>
      <c r="F317" s="14"/>
      <c r="G317" s="14"/>
      <c r="H317" s="14"/>
      <c r="I317" s="14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 spans="1:22" ht="19.5" customHeight="1" x14ac:dyDescent="0.25">
      <c r="A318" s="9"/>
      <c r="B318" s="9"/>
      <c r="C318" s="9"/>
      <c r="D318" s="9"/>
      <c r="E318" s="9"/>
      <c r="F318" s="14"/>
      <c r="G318" s="14"/>
      <c r="H318" s="14"/>
      <c r="I318" s="14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 spans="1:22" ht="19.5" customHeight="1" x14ac:dyDescent="0.25">
      <c r="A319" s="9"/>
      <c r="B319" s="9"/>
      <c r="C319" s="9"/>
      <c r="D319" s="9"/>
      <c r="E319" s="9"/>
      <c r="F319" s="14"/>
      <c r="G319" s="14"/>
      <c r="H319" s="14"/>
      <c r="I319" s="14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spans="1:22" ht="19.5" customHeight="1" x14ac:dyDescent="0.25">
      <c r="A320" s="9"/>
      <c r="B320" s="9"/>
      <c r="C320" s="9"/>
      <c r="D320" s="9"/>
      <c r="E320" s="9"/>
      <c r="F320" s="14"/>
      <c r="G320" s="14"/>
      <c r="H320" s="14"/>
      <c r="I320" s="14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 spans="1:22" ht="19.5" customHeight="1" x14ac:dyDescent="0.25">
      <c r="A321" s="9"/>
      <c r="B321" s="9"/>
      <c r="C321" s="9"/>
      <c r="D321" s="9"/>
      <c r="E321" s="9"/>
      <c r="F321" s="14"/>
      <c r="G321" s="14"/>
      <c r="H321" s="14"/>
      <c r="I321" s="14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 spans="1:22" ht="19.5" customHeight="1" x14ac:dyDescent="0.25">
      <c r="A322" s="9"/>
      <c r="B322" s="9"/>
      <c r="C322" s="9"/>
      <c r="D322" s="9"/>
      <c r="E322" s="9"/>
      <c r="F322" s="14"/>
      <c r="G322" s="14"/>
      <c r="H322" s="14"/>
      <c r="I322" s="14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 spans="1:22" ht="19.5" customHeight="1" x14ac:dyDescent="0.25">
      <c r="A323" s="9"/>
      <c r="B323" s="9"/>
      <c r="C323" s="9"/>
      <c r="D323" s="9"/>
      <c r="E323" s="9"/>
      <c r="F323" s="14"/>
      <c r="G323" s="14"/>
      <c r="H323" s="14"/>
      <c r="I323" s="14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spans="1:22" ht="19.5" customHeight="1" x14ac:dyDescent="0.25">
      <c r="A324" s="9"/>
      <c r="B324" s="9"/>
      <c r="C324" s="9"/>
      <c r="D324" s="9"/>
      <c r="E324" s="9"/>
      <c r="F324" s="14"/>
      <c r="G324" s="14"/>
      <c r="H324" s="14"/>
      <c r="I324" s="14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 spans="1:22" ht="19.5" customHeight="1" x14ac:dyDescent="0.25">
      <c r="A325" s="9"/>
      <c r="B325" s="9"/>
      <c r="C325" s="9"/>
      <c r="D325" s="9"/>
      <c r="E325" s="9"/>
      <c r="F325" s="14"/>
      <c r="G325" s="14"/>
      <c r="H325" s="14"/>
      <c r="I325" s="14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spans="1:22" ht="19.5" customHeight="1" x14ac:dyDescent="0.25">
      <c r="A326" s="9"/>
      <c r="B326" s="9"/>
      <c r="C326" s="9"/>
      <c r="D326" s="9"/>
      <c r="E326" s="9"/>
      <c r="F326" s="14"/>
      <c r="G326" s="14"/>
      <c r="H326" s="14"/>
      <c r="I326" s="14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spans="1:22" ht="19.5" customHeight="1" x14ac:dyDescent="0.25">
      <c r="A327" s="9"/>
      <c r="B327" s="9"/>
      <c r="C327" s="9"/>
      <c r="D327" s="9"/>
      <c r="E327" s="9"/>
      <c r="F327" s="14"/>
      <c r="G327" s="14"/>
      <c r="H327" s="14"/>
      <c r="I327" s="14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spans="1:22" ht="19.5" customHeight="1" x14ac:dyDescent="0.25">
      <c r="A328" s="9"/>
      <c r="B328" s="9"/>
      <c r="C328" s="9"/>
      <c r="D328" s="9"/>
      <c r="E328" s="9"/>
      <c r="F328" s="14"/>
      <c r="G328" s="14"/>
      <c r="H328" s="14"/>
      <c r="I328" s="14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 spans="1:22" ht="19.5" customHeight="1" x14ac:dyDescent="0.25">
      <c r="A329" s="9"/>
      <c r="B329" s="9"/>
      <c r="C329" s="9"/>
      <c r="D329" s="9"/>
      <c r="E329" s="9"/>
      <c r="F329" s="14"/>
      <c r="G329" s="14"/>
      <c r="H329" s="14"/>
      <c r="I329" s="14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 spans="1:22" ht="19.5" customHeight="1" x14ac:dyDescent="0.25">
      <c r="A330" s="9"/>
      <c r="B330" s="9"/>
      <c r="C330" s="9"/>
      <c r="D330" s="9"/>
      <c r="E330" s="9"/>
      <c r="F330" s="14"/>
      <c r="G330" s="14"/>
      <c r="H330" s="14"/>
      <c r="I330" s="14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 spans="1:22" ht="19.5" customHeight="1" x14ac:dyDescent="0.25">
      <c r="A331" s="9"/>
      <c r="B331" s="9"/>
      <c r="C331" s="9"/>
      <c r="D331" s="9"/>
      <c r="E331" s="9"/>
      <c r="F331" s="14"/>
      <c r="G331" s="14"/>
      <c r="H331" s="14"/>
      <c r="I331" s="14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spans="1:22" ht="19.5" customHeight="1" x14ac:dyDescent="0.25">
      <c r="A332" s="9"/>
      <c r="B332" s="9"/>
      <c r="C332" s="9"/>
      <c r="D332" s="9"/>
      <c r="E332" s="9"/>
      <c r="F332" s="14"/>
      <c r="G332" s="14"/>
      <c r="H332" s="14"/>
      <c r="I332" s="14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spans="1:22" ht="19.5" customHeight="1" x14ac:dyDescent="0.25">
      <c r="A333" s="9"/>
      <c r="B333" s="9"/>
      <c r="C333" s="9"/>
      <c r="D333" s="9"/>
      <c r="E333" s="9"/>
      <c r="F333" s="14"/>
      <c r="G333" s="14"/>
      <c r="H333" s="14"/>
      <c r="I333" s="14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spans="1:22" ht="19.5" customHeight="1" x14ac:dyDescent="0.25">
      <c r="A334" s="9"/>
      <c r="B334" s="9"/>
      <c r="C334" s="9"/>
      <c r="D334" s="9"/>
      <c r="E334" s="9"/>
      <c r="F334" s="14"/>
      <c r="G334" s="14"/>
      <c r="H334" s="14"/>
      <c r="I334" s="14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spans="1:22" ht="19.5" customHeight="1" x14ac:dyDescent="0.25">
      <c r="A335" s="9"/>
      <c r="B335" s="9"/>
      <c r="C335" s="9"/>
      <c r="D335" s="9"/>
      <c r="E335" s="9"/>
      <c r="F335" s="14"/>
      <c r="G335" s="14"/>
      <c r="H335" s="14"/>
      <c r="I335" s="14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spans="1:22" ht="19.5" customHeight="1" x14ac:dyDescent="0.25">
      <c r="A336" s="9"/>
      <c r="B336" s="9"/>
      <c r="C336" s="9"/>
      <c r="D336" s="9"/>
      <c r="E336" s="9"/>
      <c r="F336" s="14"/>
      <c r="G336" s="14"/>
      <c r="H336" s="14"/>
      <c r="I336" s="14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spans="1:22" ht="19.5" customHeight="1" x14ac:dyDescent="0.25">
      <c r="A337" s="9"/>
      <c r="B337" s="9"/>
      <c r="C337" s="9"/>
      <c r="D337" s="9"/>
      <c r="E337" s="9"/>
      <c r="F337" s="14"/>
      <c r="G337" s="14"/>
      <c r="H337" s="14"/>
      <c r="I337" s="14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spans="1:22" ht="19.5" customHeight="1" x14ac:dyDescent="0.25">
      <c r="A338" s="9"/>
      <c r="B338" s="9"/>
      <c r="C338" s="9"/>
      <c r="D338" s="9"/>
      <c r="E338" s="9"/>
      <c r="F338" s="14"/>
      <c r="G338" s="14"/>
      <c r="H338" s="14"/>
      <c r="I338" s="14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spans="1:22" ht="19.5" customHeight="1" x14ac:dyDescent="0.25">
      <c r="A339" s="9"/>
      <c r="B339" s="9"/>
      <c r="C339" s="9"/>
      <c r="D339" s="9"/>
      <c r="E339" s="9"/>
      <c r="F339" s="14"/>
      <c r="G339" s="14"/>
      <c r="H339" s="14"/>
      <c r="I339" s="14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spans="1:22" ht="19.5" customHeight="1" x14ac:dyDescent="0.25">
      <c r="A340" s="9"/>
      <c r="B340" s="9"/>
      <c r="C340" s="9"/>
      <c r="D340" s="9"/>
      <c r="E340" s="9"/>
      <c r="F340" s="14"/>
      <c r="G340" s="14"/>
      <c r="H340" s="14"/>
      <c r="I340" s="14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spans="1:22" ht="19.5" customHeight="1" x14ac:dyDescent="0.25">
      <c r="A341" s="9"/>
      <c r="B341" s="9"/>
      <c r="C341" s="9"/>
      <c r="D341" s="9"/>
      <c r="E341" s="9"/>
      <c r="F341" s="14"/>
      <c r="G341" s="14"/>
      <c r="H341" s="14"/>
      <c r="I341" s="14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spans="1:22" ht="19.5" customHeight="1" x14ac:dyDescent="0.25">
      <c r="A342" s="9"/>
      <c r="B342" s="9"/>
      <c r="C342" s="9"/>
      <c r="D342" s="9"/>
      <c r="E342" s="9"/>
      <c r="F342" s="14"/>
      <c r="G342" s="14"/>
      <c r="H342" s="14"/>
      <c r="I342" s="14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spans="1:22" ht="19.5" customHeight="1" x14ac:dyDescent="0.25">
      <c r="A343" s="9"/>
      <c r="B343" s="9"/>
      <c r="C343" s="9"/>
      <c r="D343" s="9"/>
      <c r="E343" s="9"/>
      <c r="F343" s="14"/>
      <c r="G343" s="14"/>
      <c r="H343" s="14"/>
      <c r="I343" s="14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 spans="1:22" ht="19.5" customHeight="1" x14ac:dyDescent="0.25">
      <c r="A344" s="9"/>
      <c r="B344" s="9"/>
      <c r="C344" s="9"/>
      <c r="D344" s="9"/>
      <c r="E344" s="9"/>
      <c r="F344" s="14"/>
      <c r="G344" s="14"/>
      <c r="H344" s="14"/>
      <c r="I344" s="14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 spans="1:22" ht="19.5" customHeight="1" x14ac:dyDescent="0.25">
      <c r="A345" s="9"/>
      <c r="B345" s="9"/>
      <c r="C345" s="9"/>
      <c r="D345" s="9"/>
      <c r="E345" s="9"/>
      <c r="F345" s="14"/>
      <c r="G345" s="14"/>
      <c r="H345" s="14"/>
      <c r="I345" s="14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 spans="1:22" ht="19.5" customHeight="1" x14ac:dyDescent="0.25">
      <c r="A346" s="9"/>
      <c r="B346" s="9"/>
      <c r="C346" s="9"/>
      <c r="D346" s="9"/>
      <c r="E346" s="9"/>
      <c r="F346" s="14"/>
      <c r="G346" s="14"/>
      <c r="H346" s="14"/>
      <c r="I346" s="14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 spans="1:22" ht="19.5" customHeight="1" x14ac:dyDescent="0.25">
      <c r="A347" s="9"/>
      <c r="B347" s="9"/>
      <c r="C347" s="9"/>
      <c r="D347" s="9"/>
      <c r="E347" s="9"/>
      <c r="F347" s="14"/>
      <c r="G347" s="14"/>
      <c r="H347" s="14"/>
      <c r="I347" s="14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 spans="1:22" ht="19.5" customHeight="1" x14ac:dyDescent="0.25">
      <c r="A348" s="9"/>
      <c r="B348" s="9"/>
      <c r="C348" s="9"/>
      <c r="D348" s="9"/>
      <c r="E348" s="9"/>
      <c r="F348" s="14"/>
      <c r="G348" s="14"/>
      <c r="H348" s="14"/>
      <c r="I348" s="14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 spans="1:22" ht="19.5" customHeight="1" x14ac:dyDescent="0.25">
      <c r="A349" s="9"/>
      <c r="B349" s="9"/>
      <c r="C349" s="9"/>
      <c r="D349" s="9"/>
      <c r="E349" s="9"/>
      <c r="F349" s="14"/>
      <c r="G349" s="14"/>
      <c r="H349" s="14"/>
      <c r="I349" s="14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spans="1:22" ht="19.5" customHeight="1" x14ac:dyDescent="0.25">
      <c r="A350" s="9"/>
      <c r="B350" s="9"/>
      <c r="C350" s="9"/>
      <c r="D350" s="9"/>
      <c r="E350" s="9"/>
      <c r="F350" s="14"/>
      <c r="G350" s="14"/>
      <c r="H350" s="14"/>
      <c r="I350" s="14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 spans="1:22" ht="19.5" customHeight="1" x14ac:dyDescent="0.25">
      <c r="A351" s="9"/>
      <c r="B351" s="9"/>
      <c r="C351" s="9"/>
      <c r="D351" s="9"/>
      <c r="E351" s="9"/>
      <c r="F351" s="14"/>
      <c r="G351" s="14"/>
      <c r="H351" s="14"/>
      <c r="I351" s="14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 spans="1:22" ht="19.5" customHeight="1" x14ac:dyDescent="0.25">
      <c r="A352" s="9"/>
      <c r="B352" s="9"/>
      <c r="C352" s="9"/>
      <c r="D352" s="9"/>
      <c r="E352" s="9"/>
      <c r="F352" s="14"/>
      <c r="G352" s="14"/>
      <c r="H352" s="14"/>
      <c r="I352" s="14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 spans="1:22" ht="19.5" customHeight="1" x14ac:dyDescent="0.25">
      <c r="A353" s="9"/>
      <c r="B353" s="9"/>
      <c r="C353" s="9"/>
      <c r="D353" s="9"/>
      <c r="E353" s="9"/>
      <c r="F353" s="14"/>
      <c r="G353" s="14"/>
      <c r="H353" s="14"/>
      <c r="I353" s="14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 spans="1:22" ht="19.5" customHeight="1" x14ac:dyDescent="0.25">
      <c r="A354" s="9"/>
      <c r="B354" s="9"/>
      <c r="C354" s="9"/>
      <c r="D354" s="9"/>
      <c r="E354" s="9"/>
      <c r="F354" s="14"/>
      <c r="G354" s="14"/>
      <c r="H354" s="14"/>
      <c r="I354" s="14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 spans="1:22" ht="19.5" customHeight="1" x14ac:dyDescent="0.25">
      <c r="A355" s="9"/>
      <c r="B355" s="9"/>
      <c r="C355" s="9"/>
      <c r="D355" s="9"/>
      <c r="E355" s="9"/>
      <c r="F355" s="14"/>
      <c r="G355" s="14"/>
      <c r="H355" s="14"/>
      <c r="I355" s="14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 spans="1:22" ht="19.5" customHeight="1" x14ac:dyDescent="0.25">
      <c r="A356" s="9"/>
      <c r="B356" s="9"/>
      <c r="C356" s="9"/>
      <c r="D356" s="9"/>
      <c r="E356" s="9"/>
      <c r="F356" s="14"/>
      <c r="G356" s="14"/>
      <c r="H356" s="14"/>
      <c r="I356" s="14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 spans="1:22" ht="19.5" customHeight="1" x14ac:dyDescent="0.25">
      <c r="A357" s="9"/>
      <c r="B357" s="9"/>
      <c r="C357" s="9"/>
      <c r="D357" s="9"/>
      <c r="E357" s="9"/>
      <c r="F357" s="14"/>
      <c r="G357" s="14"/>
      <c r="H357" s="14"/>
      <c r="I357" s="14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 spans="1:22" ht="19.5" customHeight="1" x14ac:dyDescent="0.25">
      <c r="A358" s="9"/>
      <c r="B358" s="9"/>
      <c r="C358" s="9"/>
      <c r="D358" s="9"/>
      <c r="E358" s="9"/>
      <c r="F358" s="14"/>
      <c r="G358" s="14"/>
      <c r="H358" s="14"/>
      <c r="I358" s="14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spans="1:22" ht="19.5" customHeight="1" x14ac:dyDescent="0.25">
      <c r="A359" s="9"/>
      <c r="B359" s="9"/>
      <c r="C359" s="9"/>
      <c r="D359" s="9"/>
      <c r="E359" s="9"/>
      <c r="F359" s="14"/>
      <c r="G359" s="14"/>
      <c r="H359" s="14"/>
      <c r="I359" s="14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 spans="1:22" ht="19.5" customHeight="1" x14ac:dyDescent="0.25">
      <c r="A360" s="9"/>
      <c r="B360" s="9"/>
      <c r="C360" s="9"/>
      <c r="D360" s="9"/>
      <c r="E360" s="9"/>
      <c r="F360" s="14"/>
      <c r="G360" s="14"/>
      <c r="H360" s="14"/>
      <c r="I360" s="14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spans="1:22" ht="19.5" customHeight="1" x14ac:dyDescent="0.25">
      <c r="A361" s="9"/>
      <c r="B361" s="9"/>
      <c r="C361" s="9"/>
      <c r="D361" s="9"/>
      <c r="E361" s="9"/>
      <c r="F361" s="14"/>
      <c r="G361" s="14"/>
      <c r="H361" s="14"/>
      <c r="I361" s="14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 spans="1:22" ht="19.5" customHeight="1" x14ac:dyDescent="0.25">
      <c r="A362" s="9"/>
      <c r="B362" s="9"/>
      <c r="C362" s="9"/>
      <c r="D362" s="9"/>
      <c r="E362" s="9"/>
      <c r="F362" s="14"/>
      <c r="G362" s="14"/>
      <c r="H362" s="14"/>
      <c r="I362" s="14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spans="1:22" ht="19.5" customHeight="1" x14ac:dyDescent="0.25">
      <c r="A363" s="9"/>
      <c r="B363" s="9"/>
      <c r="C363" s="9"/>
      <c r="D363" s="9"/>
      <c r="E363" s="9"/>
      <c r="F363" s="14"/>
      <c r="G363" s="14"/>
      <c r="H363" s="14"/>
      <c r="I363" s="14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 spans="1:22" ht="19.5" customHeight="1" x14ac:dyDescent="0.25">
      <c r="A364" s="9"/>
      <c r="B364" s="9"/>
      <c r="C364" s="9"/>
      <c r="D364" s="9"/>
      <c r="E364" s="9"/>
      <c r="F364" s="14"/>
      <c r="G364" s="14"/>
      <c r="H364" s="14"/>
      <c r="I364" s="14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 spans="1:22" ht="19.5" customHeight="1" x14ac:dyDescent="0.25">
      <c r="A365" s="9"/>
      <c r="B365" s="9"/>
      <c r="C365" s="9"/>
      <c r="D365" s="9"/>
      <c r="E365" s="9"/>
      <c r="F365" s="14"/>
      <c r="G365" s="14"/>
      <c r="H365" s="14"/>
      <c r="I365" s="14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 spans="1:22" ht="19.5" customHeight="1" x14ac:dyDescent="0.25">
      <c r="A366" s="9"/>
      <c r="B366" s="9"/>
      <c r="C366" s="9"/>
      <c r="D366" s="9"/>
      <c r="E366" s="9"/>
      <c r="F366" s="14"/>
      <c r="G366" s="14"/>
      <c r="H366" s="14"/>
      <c r="I366" s="14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 spans="1:22" ht="19.5" customHeight="1" x14ac:dyDescent="0.25">
      <c r="A367" s="9"/>
      <c r="B367" s="9"/>
      <c r="C367" s="9"/>
      <c r="D367" s="9"/>
      <c r="E367" s="9"/>
      <c r="F367" s="14"/>
      <c r="G367" s="14"/>
      <c r="H367" s="14"/>
      <c r="I367" s="14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 spans="1:22" ht="19.5" customHeight="1" x14ac:dyDescent="0.25">
      <c r="A368" s="9"/>
      <c r="B368" s="9"/>
      <c r="C368" s="9"/>
      <c r="D368" s="9"/>
      <c r="E368" s="9"/>
      <c r="F368" s="14"/>
      <c r="G368" s="14"/>
      <c r="H368" s="14"/>
      <c r="I368" s="14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 spans="1:22" ht="19.5" customHeight="1" x14ac:dyDescent="0.25">
      <c r="A369" s="9"/>
      <c r="B369" s="9"/>
      <c r="C369" s="9"/>
      <c r="D369" s="9"/>
      <c r="E369" s="9"/>
      <c r="F369" s="14"/>
      <c r="G369" s="14"/>
      <c r="H369" s="14"/>
      <c r="I369" s="14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 spans="1:22" ht="19.5" customHeight="1" x14ac:dyDescent="0.25">
      <c r="A370" s="9"/>
      <c r="B370" s="9"/>
      <c r="C370" s="9"/>
      <c r="D370" s="9"/>
      <c r="E370" s="9"/>
      <c r="F370" s="14"/>
      <c r="G370" s="14"/>
      <c r="H370" s="14"/>
      <c r="I370" s="14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spans="1:22" ht="19.5" customHeight="1" x14ac:dyDescent="0.25">
      <c r="A371" s="9"/>
      <c r="B371" s="9"/>
      <c r="C371" s="9"/>
      <c r="D371" s="9"/>
      <c r="E371" s="9"/>
      <c r="F371" s="14"/>
      <c r="G371" s="14"/>
      <c r="H371" s="14"/>
      <c r="I371" s="14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 spans="1:22" ht="19.5" customHeight="1" x14ac:dyDescent="0.25">
      <c r="A372" s="9"/>
      <c r="B372" s="9"/>
      <c r="C372" s="9"/>
      <c r="D372" s="9"/>
      <c r="E372" s="9"/>
      <c r="F372" s="14"/>
      <c r="G372" s="14"/>
      <c r="H372" s="14"/>
      <c r="I372" s="14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 spans="1:22" ht="19.5" customHeight="1" x14ac:dyDescent="0.25">
      <c r="A373" s="9"/>
      <c r="B373" s="9"/>
      <c r="C373" s="9"/>
      <c r="D373" s="9"/>
      <c r="E373" s="9"/>
      <c r="F373" s="14"/>
      <c r="G373" s="14"/>
      <c r="H373" s="14"/>
      <c r="I373" s="14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 spans="1:22" ht="19.5" customHeight="1" x14ac:dyDescent="0.25">
      <c r="A374" s="9"/>
      <c r="B374" s="9"/>
      <c r="C374" s="9"/>
      <c r="D374" s="9"/>
      <c r="E374" s="9"/>
      <c r="F374" s="14"/>
      <c r="G374" s="14"/>
      <c r="H374" s="14"/>
      <c r="I374" s="14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 spans="1:22" ht="19.5" customHeight="1" x14ac:dyDescent="0.25">
      <c r="A375" s="9"/>
      <c r="B375" s="9"/>
      <c r="C375" s="9"/>
      <c r="D375" s="9"/>
      <c r="E375" s="9"/>
      <c r="F375" s="14"/>
      <c r="G375" s="14"/>
      <c r="H375" s="14"/>
      <c r="I375" s="14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 spans="1:22" ht="19.5" customHeight="1" x14ac:dyDescent="0.25">
      <c r="A376" s="9"/>
      <c r="B376" s="9"/>
      <c r="C376" s="9"/>
      <c r="D376" s="9"/>
      <c r="E376" s="9"/>
      <c r="F376" s="14"/>
      <c r="G376" s="14"/>
      <c r="H376" s="14"/>
      <c r="I376" s="14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 spans="1:22" ht="19.5" customHeight="1" x14ac:dyDescent="0.25">
      <c r="A377" s="9"/>
      <c r="B377" s="9"/>
      <c r="C377" s="9"/>
      <c r="D377" s="9"/>
      <c r="E377" s="9"/>
      <c r="F377" s="14"/>
      <c r="G377" s="14"/>
      <c r="H377" s="14"/>
      <c r="I377" s="14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 spans="1:22" ht="19.5" customHeight="1" x14ac:dyDescent="0.25">
      <c r="A378" s="9"/>
      <c r="B378" s="9"/>
      <c r="C378" s="9"/>
      <c r="D378" s="9"/>
      <c r="E378" s="9"/>
      <c r="F378" s="14"/>
      <c r="G378" s="14"/>
      <c r="H378" s="14"/>
      <c r="I378" s="14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 spans="1:22" ht="19.5" customHeight="1" x14ac:dyDescent="0.25">
      <c r="A379" s="9"/>
      <c r="B379" s="9"/>
      <c r="C379" s="9"/>
      <c r="D379" s="9"/>
      <c r="E379" s="9"/>
      <c r="F379" s="14"/>
      <c r="G379" s="14"/>
      <c r="H379" s="14"/>
      <c r="I379" s="14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 spans="1:22" ht="19.5" customHeight="1" x14ac:dyDescent="0.25">
      <c r="A380" s="9"/>
      <c r="B380" s="9"/>
      <c r="C380" s="9"/>
      <c r="D380" s="9"/>
      <c r="E380" s="9"/>
      <c r="F380" s="14"/>
      <c r="G380" s="14"/>
      <c r="H380" s="14"/>
      <c r="I380" s="14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spans="1:22" ht="19.5" customHeight="1" x14ac:dyDescent="0.25">
      <c r="A381" s="9"/>
      <c r="B381" s="9"/>
      <c r="C381" s="9"/>
      <c r="D381" s="9"/>
      <c r="E381" s="9"/>
      <c r="F381" s="14"/>
      <c r="G381" s="14"/>
      <c r="H381" s="14"/>
      <c r="I381" s="14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spans="1:22" ht="19.5" customHeight="1" x14ac:dyDescent="0.25">
      <c r="A382" s="9"/>
      <c r="B382" s="9"/>
      <c r="C382" s="9"/>
      <c r="D382" s="9"/>
      <c r="E382" s="9"/>
      <c r="F382" s="14"/>
      <c r="G382" s="14"/>
      <c r="H382" s="14"/>
      <c r="I382" s="14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spans="1:22" ht="19.5" customHeight="1" x14ac:dyDescent="0.25">
      <c r="A383" s="9"/>
      <c r="B383" s="9"/>
      <c r="C383" s="9"/>
      <c r="D383" s="9"/>
      <c r="E383" s="9"/>
      <c r="F383" s="14"/>
      <c r="G383" s="14"/>
      <c r="H383" s="14"/>
      <c r="I383" s="14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 spans="1:22" ht="19.5" customHeight="1" x14ac:dyDescent="0.25">
      <c r="A384" s="9"/>
      <c r="B384" s="9"/>
      <c r="C384" s="9"/>
      <c r="D384" s="9"/>
      <c r="E384" s="9"/>
      <c r="F384" s="14"/>
      <c r="G384" s="14"/>
      <c r="H384" s="14"/>
      <c r="I384" s="14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 spans="1:22" ht="19.5" customHeight="1" x14ac:dyDescent="0.25">
      <c r="A385" s="9"/>
      <c r="B385" s="9"/>
      <c r="C385" s="9"/>
      <c r="D385" s="9"/>
      <c r="E385" s="9"/>
      <c r="F385" s="14"/>
      <c r="G385" s="14"/>
      <c r="H385" s="14"/>
      <c r="I385" s="14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 spans="1:22" ht="19.5" customHeight="1" x14ac:dyDescent="0.25">
      <c r="A386" s="9"/>
      <c r="B386" s="9"/>
      <c r="C386" s="9"/>
      <c r="D386" s="9"/>
      <c r="E386" s="9"/>
      <c r="F386" s="14"/>
      <c r="G386" s="14"/>
      <c r="H386" s="14"/>
      <c r="I386" s="14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 spans="1:22" ht="19.5" customHeight="1" x14ac:dyDescent="0.25">
      <c r="A387" s="9"/>
      <c r="B387" s="9"/>
      <c r="C387" s="9"/>
      <c r="D387" s="9"/>
      <c r="E387" s="9"/>
      <c r="F387" s="14"/>
      <c r="G387" s="14"/>
      <c r="H387" s="14"/>
      <c r="I387" s="14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 spans="1:22" ht="19.5" customHeight="1" x14ac:dyDescent="0.25">
      <c r="A388" s="9"/>
      <c r="B388" s="9"/>
      <c r="C388" s="9"/>
      <c r="D388" s="9"/>
      <c r="E388" s="9"/>
      <c r="F388" s="14"/>
      <c r="G388" s="14"/>
      <c r="H388" s="14"/>
      <c r="I388" s="14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 spans="1:22" ht="19.5" customHeight="1" x14ac:dyDescent="0.25">
      <c r="A389" s="9"/>
      <c r="B389" s="9"/>
      <c r="C389" s="9"/>
      <c r="D389" s="9"/>
      <c r="E389" s="9"/>
      <c r="F389" s="14"/>
      <c r="G389" s="14"/>
      <c r="H389" s="14"/>
      <c r="I389" s="14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 spans="1:22" ht="19.5" customHeight="1" x14ac:dyDescent="0.25">
      <c r="A390" s="9"/>
      <c r="B390" s="9"/>
      <c r="C390" s="9"/>
      <c r="D390" s="9"/>
      <c r="E390" s="9"/>
      <c r="F390" s="14"/>
      <c r="G390" s="14"/>
      <c r="H390" s="14"/>
      <c r="I390" s="14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 spans="1:22" ht="19.5" customHeight="1" x14ac:dyDescent="0.25">
      <c r="A391" s="9"/>
      <c r="B391" s="9"/>
      <c r="C391" s="9"/>
      <c r="D391" s="9"/>
      <c r="E391" s="9"/>
      <c r="F391" s="14"/>
      <c r="G391" s="14"/>
      <c r="H391" s="14"/>
      <c r="I391" s="14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spans="1:22" ht="19.5" customHeight="1" x14ac:dyDescent="0.25">
      <c r="A392" s="9"/>
      <c r="B392" s="9"/>
      <c r="C392" s="9"/>
      <c r="D392" s="9"/>
      <c r="E392" s="9"/>
      <c r="F392" s="14"/>
      <c r="G392" s="14"/>
      <c r="H392" s="14"/>
      <c r="I392" s="14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 spans="1:22" ht="19.5" customHeight="1" x14ac:dyDescent="0.25">
      <c r="A393" s="9"/>
      <c r="B393" s="9"/>
      <c r="C393" s="9"/>
      <c r="D393" s="9"/>
      <c r="E393" s="9"/>
      <c r="F393" s="14"/>
      <c r="G393" s="14"/>
      <c r="H393" s="14"/>
      <c r="I393" s="14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 spans="1:22" ht="19.5" customHeight="1" x14ac:dyDescent="0.25">
      <c r="A394" s="9"/>
      <c r="B394" s="9"/>
      <c r="C394" s="9"/>
      <c r="D394" s="9"/>
      <c r="E394" s="9"/>
      <c r="F394" s="14"/>
      <c r="G394" s="14"/>
      <c r="H394" s="14"/>
      <c r="I394" s="14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 spans="1:22" ht="19.5" customHeight="1" x14ac:dyDescent="0.25">
      <c r="A395" s="9"/>
      <c r="B395" s="9"/>
      <c r="C395" s="9"/>
      <c r="D395" s="9"/>
      <c r="E395" s="9"/>
      <c r="F395" s="14"/>
      <c r="G395" s="14"/>
      <c r="H395" s="14"/>
      <c r="I395" s="14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 spans="1:22" ht="19.5" customHeight="1" x14ac:dyDescent="0.25">
      <c r="A396" s="9"/>
      <c r="B396" s="9"/>
      <c r="C396" s="9"/>
      <c r="D396" s="9"/>
      <c r="E396" s="9"/>
      <c r="F396" s="14"/>
      <c r="G396" s="14"/>
      <c r="H396" s="14"/>
      <c r="I396" s="14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 spans="1:22" ht="19.5" customHeight="1" x14ac:dyDescent="0.25">
      <c r="A397" s="9"/>
      <c r="B397" s="9"/>
      <c r="C397" s="9"/>
      <c r="D397" s="9"/>
      <c r="E397" s="9"/>
      <c r="F397" s="14"/>
      <c r="G397" s="14"/>
      <c r="H397" s="14"/>
      <c r="I397" s="14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 spans="1:22" ht="19.5" customHeight="1" x14ac:dyDescent="0.25">
      <c r="A398" s="9"/>
      <c r="B398" s="9"/>
      <c r="C398" s="9"/>
      <c r="D398" s="9"/>
      <c r="E398" s="9"/>
      <c r="F398" s="14"/>
      <c r="G398" s="14"/>
      <c r="H398" s="14"/>
      <c r="I398" s="14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 spans="1:22" ht="19.5" customHeight="1" x14ac:dyDescent="0.25">
      <c r="A399" s="9"/>
      <c r="B399" s="9"/>
      <c r="C399" s="9"/>
      <c r="D399" s="9"/>
      <c r="E399" s="9"/>
      <c r="F399" s="14"/>
      <c r="G399" s="14"/>
      <c r="H399" s="14"/>
      <c r="I399" s="14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 spans="1:22" ht="19.5" customHeight="1" x14ac:dyDescent="0.25">
      <c r="A400" s="9"/>
      <c r="B400" s="9"/>
      <c r="C400" s="9"/>
      <c r="D400" s="9"/>
      <c r="E400" s="9"/>
      <c r="F400" s="14"/>
      <c r="G400" s="14"/>
      <c r="H400" s="14"/>
      <c r="I400" s="14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 spans="1:22" ht="19.5" customHeight="1" x14ac:dyDescent="0.25">
      <c r="A401" s="9"/>
      <c r="B401" s="9"/>
      <c r="C401" s="9"/>
      <c r="D401" s="9"/>
      <c r="E401" s="9"/>
      <c r="F401" s="14"/>
      <c r="G401" s="14"/>
      <c r="H401" s="14"/>
      <c r="I401" s="14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 spans="1:22" ht="19.5" customHeight="1" x14ac:dyDescent="0.25">
      <c r="A402" s="9"/>
      <c r="B402" s="9"/>
      <c r="C402" s="9"/>
      <c r="D402" s="9"/>
      <c r="E402" s="9"/>
      <c r="F402" s="14"/>
      <c r="G402" s="14"/>
      <c r="H402" s="14"/>
      <c r="I402" s="14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 spans="1:22" ht="19.5" customHeight="1" x14ac:dyDescent="0.25">
      <c r="A403" s="9"/>
      <c r="B403" s="9"/>
      <c r="C403" s="9"/>
      <c r="D403" s="9"/>
      <c r="E403" s="9"/>
      <c r="F403" s="14"/>
      <c r="G403" s="14"/>
      <c r="H403" s="14"/>
      <c r="I403" s="14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 spans="1:22" ht="19.5" customHeight="1" x14ac:dyDescent="0.25">
      <c r="A404" s="9"/>
      <c r="B404" s="9"/>
      <c r="C404" s="9"/>
      <c r="D404" s="9"/>
      <c r="E404" s="9"/>
      <c r="F404" s="14"/>
      <c r="G404" s="14"/>
      <c r="H404" s="14"/>
      <c r="I404" s="14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 spans="1:22" ht="19.5" customHeight="1" x14ac:dyDescent="0.25">
      <c r="A405" s="9"/>
      <c r="B405" s="9"/>
      <c r="C405" s="9"/>
      <c r="D405" s="9"/>
      <c r="E405" s="9"/>
      <c r="F405" s="14"/>
      <c r="G405" s="14"/>
      <c r="H405" s="14"/>
      <c r="I405" s="14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 spans="1:22" ht="19.5" customHeight="1" x14ac:dyDescent="0.25">
      <c r="A406" s="9"/>
      <c r="B406" s="9"/>
      <c r="C406" s="9"/>
      <c r="D406" s="9"/>
      <c r="E406" s="9"/>
      <c r="F406" s="14"/>
      <c r="G406" s="14"/>
      <c r="H406" s="14"/>
      <c r="I406" s="14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 spans="1:22" ht="19.5" customHeight="1" x14ac:dyDescent="0.25">
      <c r="A407" s="9"/>
      <c r="B407" s="9"/>
      <c r="C407" s="9"/>
      <c r="D407" s="9"/>
      <c r="E407" s="9"/>
      <c r="F407" s="14"/>
      <c r="G407" s="14"/>
      <c r="H407" s="14"/>
      <c r="I407" s="14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 spans="1:22" ht="19.5" customHeight="1" x14ac:dyDescent="0.25">
      <c r="A408" s="9"/>
      <c r="B408" s="9"/>
      <c r="C408" s="9"/>
      <c r="D408" s="9"/>
      <c r="E408" s="9"/>
      <c r="F408" s="14"/>
      <c r="G408" s="14"/>
      <c r="H408" s="14"/>
      <c r="I408" s="14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 spans="1:22" ht="19.5" customHeight="1" x14ac:dyDescent="0.25">
      <c r="A409" s="9"/>
      <c r="B409" s="9"/>
      <c r="C409" s="9"/>
      <c r="D409" s="9"/>
      <c r="E409" s="9"/>
      <c r="F409" s="14"/>
      <c r="G409" s="14"/>
      <c r="H409" s="14"/>
      <c r="I409" s="14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 spans="1:22" ht="19.5" customHeight="1" x14ac:dyDescent="0.25">
      <c r="A410" s="9"/>
      <c r="B410" s="9"/>
      <c r="C410" s="9"/>
      <c r="D410" s="9"/>
      <c r="E410" s="9"/>
      <c r="F410" s="14"/>
      <c r="G410" s="14"/>
      <c r="H410" s="14"/>
      <c r="I410" s="14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 spans="1:22" ht="19.5" customHeight="1" x14ac:dyDescent="0.25">
      <c r="A411" s="9"/>
      <c r="B411" s="9"/>
      <c r="C411" s="9"/>
      <c r="D411" s="9"/>
      <c r="E411" s="9"/>
      <c r="F411" s="14"/>
      <c r="G411" s="14"/>
      <c r="H411" s="14"/>
      <c r="I411" s="14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 spans="1:22" ht="19.5" customHeight="1" x14ac:dyDescent="0.25">
      <c r="A412" s="9"/>
      <c r="B412" s="9"/>
      <c r="C412" s="9"/>
      <c r="D412" s="9"/>
      <c r="E412" s="9"/>
      <c r="F412" s="14"/>
      <c r="G412" s="14"/>
      <c r="H412" s="14"/>
      <c r="I412" s="14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 spans="1:22" ht="19.5" customHeight="1" x14ac:dyDescent="0.25">
      <c r="A413" s="9"/>
      <c r="B413" s="9"/>
      <c r="C413" s="9"/>
      <c r="D413" s="9"/>
      <c r="E413" s="9"/>
      <c r="F413" s="14"/>
      <c r="G413" s="14"/>
      <c r="H413" s="14"/>
      <c r="I413" s="14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 spans="1:22" ht="19.5" customHeight="1" x14ac:dyDescent="0.25">
      <c r="A414" s="9"/>
      <c r="B414" s="9"/>
      <c r="C414" s="9"/>
      <c r="D414" s="9"/>
      <c r="E414" s="9"/>
      <c r="F414" s="14"/>
      <c r="G414" s="14"/>
      <c r="H414" s="14"/>
      <c r="I414" s="14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 spans="1:22" ht="19.5" customHeight="1" x14ac:dyDescent="0.25">
      <c r="A415" s="9"/>
      <c r="B415" s="9"/>
      <c r="C415" s="9"/>
      <c r="D415" s="9"/>
      <c r="E415" s="9"/>
      <c r="F415" s="14"/>
      <c r="G415" s="14"/>
      <c r="H415" s="14"/>
      <c r="I415" s="14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 spans="1:22" ht="19.5" customHeight="1" x14ac:dyDescent="0.25">
      <c r="A416" s="9"/>
      <c r="B416" s="9"/>
      <c r="C416" s="9"/>
      <c r="D416" s="9"/>
      <c r="E416" s="9"/>
      <c r="F416" s="14"/>
      <c r="G416" s="14"/>
      <c r="H416" s="14"/>
      <c r="I416" s="14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 spans="1:22" ht="19.5" customHeight="1" x14ac:dyDescent="0.25">
      <c r="A417" s="9"/>
      <c r="B417" s="9"/>
      <c r="C417" s="9"/>
      <c r="D417" s="9"/>
      <c r="E417" s="9"/>
      <c r="F417" s="14"/>
      <c r="G417" s="14"/>
      <c r="H417" s="14"/>
      <c r="I417" s="14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 spans="1:22" ht="19.5" customHeight="1" x14ac:dyDescent="0.25">
      <c r="A418" s="9"/>
      <c r="B418" s="9"/>
      <c r="C418" s="9"/>
      <c r="D418" s="9"/>
      <c r="E418" s="9"/>
      <c r="F418" s="14"/>
      <c r="G418" s="14"/>
      <c r="H418" s="14"/>
      <c r="I418" s="14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 spans="1:22" ht="19.5" customHeight="1" x14ac:dyDescent="0.25">
      <c r="A419" s="9"/>
      <c r="B419" s="9"/>
      <c r="C419" s="9"/>
      <c r="D419" s="9"/>
      <c r="E419" s="9"/>
      <c r="F419" s="14"/>
      <c r="G419" s="14"/>
      <c r="H419" s="14"/>
      <c r="I419" s="14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 spans="1:22" ht="19.5" customHeight="1" x14ac:dyDescent="0.25">
      <c r="A420" s="9"/>
      <c r="B420" s="9"/>
      <c r="C420" s="9"/>
      <c r="D420" s="9"/>
      <c r="E420" s="9"/>
      <c r="F420" s="14"/>
      <c r="G420" s="14"/>
      <c r="H420" s="14"/>
      <c r="I420" s="14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 spans="1:22" ht="19.5" customHeight="1" x14ac:dyDescent="0.25">
      <c r="A421" s="9"/>
      <c r="B421" s="9"/>
      <c r="C421" s="9"/>
      <c r="D421" s="9"/>
      <c r="E421" s="9"/>
      <c r="F421" s="14"/>
      <c r="G421" s="14"/>
      <c r="H421" s="14"/>
      <c r="I421" s="14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 spans="1:22" ht="19.5" customHeight="1" x14ac:dyDescent="0.25">
      <c r="A422" s="9"/>
      <c r="B422" s="9"/>
      <c r="C422" s="9"/>
      <c r="D422" s="9"/>
      <c r="E422" s="9"/>
      <c r="F422" s="14"/>
      <c r="G422" s="14"/>
      <c r="H422" s="14"/>
      <c r="I422" s="14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 spans="1:22" ht="19.5" customHeight="1" x14ac:dyDescent="0.25">
      <c r="A423" s="9"/>
      <c r="B423" s="9"/>
      <c r="C423" s="9"/>
      <c r="D423" s="9"/>
      <c r="E423" s="9"/>
      <c r="F423" s="14"/>
      <c r="G423" s="14"/>
      <c r="H423" s="14"/>
      <c r="I423" s="14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 spans="1:22" ht="19.5" customHeight="1" x14ac:dyDescent="0.25">
      <c r="A424" s="9"/>
      <c r="B424" s="9"/>
      <c r="C424" s="9"/>
      <c r="D424" s="9"/>
      <c r="E424" s="9"/>
      <c r="F424" s="14"/>
      <c r="G424" s="14"/>
      <c r="H424" s="14"/>
      <c r="I424" s="14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 spans="1:22" ht="19.5" customHeight="1" x14ac:dyDescent="0.25">
      <c r="A425" s="9"/>
      <c r="B425" s="9"/>
      <c r="C425" s="9"/>
      <c r="D425" s="9"/>
      <c r="E425" s="9"/>
      <c r="F425" s="14"/>
      <c r="G425" s="14"/>
      <c r="H425" s="14"/>
      <c r="I425" s="14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 spans="1:22" ht="19.5" customHeight="1" x14ac:dyDescent="0.25">
      <c r="A426" s="9"/>
      <c r="B426" s="9"/>
      <c r="C426" s="9"/>
      <c r="D426" s="9"/>
      <c r="E426" s="9"/>
      <c r="F426" s="14"/>
      <c r="G426" s="14"/>
      <c r="H426" s="14"/>
      <c r="I426" s="14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 spans="1:22" ht="19.5" customHeight="1" x14ac:dyDescent="0.25">
      <c r="A427" s="9"/>
      <c r="B427" s="9"/>
      <c r="C427" s="9"/>
      <c r="D427" s="9"/>
      <c r="E427" s="9"/>
      <c r="F427" s="14"/>
      <c r="G427" s="14"/>
      <c r="H427" s="14"/>
      <c r="I427" s="14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 spans="1:22" ht="19.5" customHeight="1" x14ac:dyDescent="0.25">
      <c r="A428" s="9"/>
      <c r="B428" s="9"/>
      <c r="C428" s="9"/>
      <c r="D428" s="9"/>
      <c r="E428" s="9"/>
      <c r="F428" s="14"/>
      <c r="G428" s="14"/>
      <c r="H428" s="14"/>
      <c r="I428" s="14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 spans="1:22" ht="19.5" customHeight="1" x14ac:dyDescent="0.25">
      <c r="A429" s="9"/>
      <c r="B429" s="9"/>
      <c r="C429" s="9"/>
      <c r="D429" s="9"/>
      <c r="E429" s="9"/>
      <c r="F429" s="14"/>
      <c r="G429" s="14"/>
      <c r="H429" s="14"/>
      <c r="I429" s="14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 spans="1:22" ht="19.5" customHeight="1" x14ac:dyDescent="0.25">
      <c r="A430" s="9"/>
      <c r="B430" s="9"/>
      <c r="C430" s="9"/>
      <c r="D430" s="9"/>
      <c r="E430" s="9"/>
      <c r="F430" s="14"/>
      <c r="G430" s="14"/>
      <c r="H430" s="14"/>
      <c r="I430" s="14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 spans="1:22" ht="19.5" customHeight="1" x14ac:dyDescent="0.25">
      <c r="A431" s="9"/>
      <c r="B431" s="9"/>
      <c r="C431" s="9"/>
      <c r="D431" s="9"/>
      <c r="E431" s="9"/>
      <c r="F431" s="14"/>
      <c r="G431" s="14"/>
      <c r="H431" s="14"/>
      <c r="I431" s="14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 spans="1:22" ht="19.5" customHeight="1" x14ac:dyDescent="0.25">
      <c r="A432" s="9"/>
      <c r="B432" s="9"/>
      <c r="C432" s="9"/>
      <c r="D432" s="9"/>
      <c r="E432" s="9"/>
      <c r="F432" s="14"/>
      <c r="G432" s="14"/>
      <c r="H432" s="14"/>
      <c r="I432" s="14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 spans="1:22" ht="19.5" customHeight="1" x14ac:dyDescent="0.25">
      <c r="A433" s="9"/>
      <c r="B433" s="9"/>
      <c r="C433" s="9"/>
      <c r="D433" s="9"/>
      <c r="E433" s="9"/>
      <c r="F433" s="14"/>
      <c r="G433" s="14"/>
      <c r="H433" s="14"/>
      <c r="I433" s="14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 spans="1:22" ht="19.5" customHeight="1" x14ac:dyDescent="0.25">
      <c r="A434" s="9"/>
      <c r="B434" s="9"/>
      <c r="C434" s="9"/>
      <c r="D434" s="9"/>
      <c r="E434" s="9"/>
      <c r="F434" s="14"/>
      <c r="G434" s="14"/>
      <c r="H434" s="14"/>
      <c r="I434" s="14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 spans="1:22" ht="19.5" customHeight="1" x14ac:dyDescent="0.25">
      <c r="A435" s="9"/>
      <c r="B435" s="9"/>
      <c r="C435" s="9"/>
      <c r="D435" s="9"/>
      <c r="E435" s="9"/>
      <c r="F435" s="14"/>
      <c r="G435" s="14"/>
      <c r="H435" s="14"/>
      <c r="I435" s="14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 spans="1:22" ht="19.5" customHeight="1" x14ac:dyDescent="0.25">
      <c r="A436" s="9"/>
      <c r="B436" s="9"/>
      <c r="C436" s="9"/>
      <c r="D436" s="9"/>
      <c r="E436" s="9"/>
      <c r="F436" s="14"/>
      <c r="G436" s="14"/>
      <c r="H436" s="14"/>
      <c r="I436" s="14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 spans="1:22" ht="19.5" customHeight="1" x14ac:dyDescent="0.25">
      <c r="A437" s="9"/>
      <c r="B437" s="9"/>
      <c r="C437" s="9"/>
      <c r="D437" s="9"/>
      <c r="E437" s="9"/>
      <c r="F437" s="14"/>
      <c r="G437" s="14"/>
      <c r="H437" s="14"/>
      <c r="I437" s="14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 spans="1:22" ht="19.5" customHeight="1" x14ac:dyDescent="0.25">
      <c r="A438" s="9"/>
      <c r="B438" s="9"/>
      <c r="C438" s="9"/>
      <c r="D438" s="9"/>
      <c r="E438" s="9"/>
      <c r="F438" s="14"/>
      <c r="G438" s="14"/>
      <c r="H438" s="14"/>
      <c r="I438" s="14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 spans="1:22" ht="19.5" customHeight="1" x14ac:dyDescent="0.25">
      <c r="A439" s="9"/>
      <c r="B439" s="9"/>
      <c r="C439" s="9"/>
      <c r="D439" s="9"/>
      <c r="E439" s="9"/>
      <c r="F439" s="14"/>
      <c r="G439" s="14"/>
      <c r="H439" s="14"/>
      <c r="I439" s="14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 spans="1:22" ht="19.5" customHeight="1" x14ac:dyDescent="0.25">
      <c r="A440" s="9"/>
      <c r="B440" s="9"/>
      <c r="C440" s="9"/>
      <c r="D440" s="9"/>
      <c r="E440" s="9"/>
      <c r="F440" s="14"/>
      <c r="G440" s="14"/>
      <c r="H440" s="14"/>
      <c r="I440" s="14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 spans="1:22" ht="19.5" customHeight="1" x14ac:dyDescent="0.25">
      <c r="A441" s="9"/>
      <c r="B441" s="9"/>
      <c r="C441" s="9"/>
      <c r="D441" s="9"/>
      <c r="E441" s="9"/>
      <c r="F441" s="14"/>
      <c r="G441" s="14"/>
      <c r="H441" s="14"/>
      <c r="I441" s="14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 spans="1:22" ht="19.5" customHeight="1" x14ac:dyDescent="0.25">
      <c r="A442" s="9"/>
      <c r="B442" s="9"/>
      <c r="C442" s="9"/>
      <c r="D442" s="9"/>
      <c r="E442" s="9"/>
      <c r="F442" s="14"/>
      <c r="G442" s="14"/>
      <c r="H442" s="14"/>
      <c r="I442" s="14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 spans="1:22" ht="19.5" customHeight="1" x14ac:dyDescent="0.25">
      <c r="A443" s="9"/>
      <c r="B443" s="9"/>
      <c r="C443" s="9"/>
      <c r="D443" s="9"/>
      <c r="E443" s="9"/>
      <c r="F443" s="14"/>
      <c r="G443" s="14"/>
      <c r="H443" s="14"/>
      <c r="I443" s="14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 spans="1:22" ht="19.5" customHeight="1" x14ac:dyDescent="0.25">
      <c r="A444" s="9"/>
      <c r="B444" s="9"/>
      <c r="C444" s="9"/>
      <c r="D444" s="9"/>
      <c r="E444" s="9"/>
      <c r="F444" s="14"/>
      <c r="G444" s="14"/>
      <c r="H444" s="14"/>
      <c r="I444" s="14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 spans="1:22" ht="19.5" customHeight="1" x14ac:dyDescent="0.25">
      <c r="A445" s="9"/>
      <c r="B445" s="9"/>
      <c r="C445" s="9"/>
      <c r="D445" s="9"/>
      <c r="E445" s="9"/>
      <c r="F445" s="14"/>
      <c r="G445" s="14"/>
      <c r="H445" s="14"/>
      <c r="I445" s="14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 spans="1:22" ht="19.5" customHeight="1" x14ac:dyDescent="0.25">
      <c r="A446" s="9"/>
      <c r="B446" s="9"/>
      <c r="C446" s="9"/>
      <c r="D446" s="9"/>
      <c r="E446" s="9"/>
      <c r="F446" s="14"/>
      <c r="G446" s="14"/>
      <c r="H446" s="14"/>
      <c r="I446" s="14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 spans="1:22" ht="19.5" customHeight="1" x14ac:dyDescent="0.25">
      <c r="A447" s="9"/>
      <c r="B447" s="9"/>
      <c r="C447" s="9"/>
      <c r="D447" s="9"/>
      <c r="E447" s="9"/>
      <c r="F447" s="14"/>
      <c r="G447" s="14"/>
      <c r="H447" s="14"/>
      <c r="I447" s="14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 spans="1:22" ht="19.5" customHeight="1" x14ac:dyDescent="0.25">
      <c r="A448" s="9"/>
      <c r="B448" s="9"/>
      <c r="C448" s="9"/>
      <c r="D448" s="9"/>
      <c r="E448" s="9"/>
      <c r="F448" s="14"/>
      <c r="G448" s="14"/>
      <c r="H448" s="14"/>
      <c r="I448" s="14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 spans="1:22" ht="19.5" customHeight="1" x14ac:dyDescent="0.25">
      <c r="A449" s="9"/>
      <c r="B449" s="9"/>
      <c r="C449" s="9"/>
      <c r="D449" s="9"/>
      <c r="E449" s="9"/>
      <c r="F449" s="14"/>
      <c r="G449" s="14"/>
      <c r="H449" s="14"/>
      <c r="I449" s="14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 spans="1:22" ht="19.5" customHeight="1" x14ac:dyDescent="0.25">
      <c r="A450" s="9"/>
      <c r="B450" s="9"/>
      <c r="C450" s="9"/>
      <c r="D450" s="9"/>
      <c r="E450" s="9"/>
      <c r="F450" s="14"/>
      <c r="G450" s="14"/>
      <c r="H450" s="14"/>
      <c r="I450" s="14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 spans="1:22" ht="19.5" customHeight="1" x14ac:dyDescent="0.25">
      <c r="A451" s="9"/>
      <c r="B451" s="9"/>
      <c r="C451" s="9"/>
      <c r="D451" s="9"/>
      <c r="E451" s="9"/>
      <c r="F451" s="14"/>
      <c r="G451" s="14"/>
      <c r="H451" s="14"/>
      <c r="I451" s="14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 spans="1:22" ht="19.5" customHeight="1" x14ac:dyDescent="0.25">
      <c r="A452" s="9"/>
      <c r="B452" s="9"/>
      <c r="C452" s="9"/>
      <c r="D452" s="9"/>
      <c r="E452" s="9"/>
      <c r="F452" s="14"/>
      <c r="G452" s="14"/>
      <c r="H452" s="14"/>
      <c r="I452" s="14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 spans="1:22" ht="19.5" customHeight="1" x14ac:dyDescent="0.25">
      <c r="A453" s="9"/>
      <c r="B453" s="9"/>
      <c r="C453" s="9"/>
      <c r="D453" s="9"/>
      <c r="E453" s="9"/>
      <c r="F453" s="14"/>
      <c r="G453" s="14"/>
      <c r="H453" s="14"/>
      <c r="I453" s="14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 spans="1:22" ht="19.5" customHeight="1" x14ac:dyDescent="0.25">
      <c r="A454" s="9"/>
      <c r="B454" s="9"/>
      <c r="C454" s="9"/>
      <c r="D454" s="9"/>
      <c r="E454" s="9"/>
      <c r="F454" s="14"/>
      <c r="G454" s="14"/>
      <c r="H454" s="14"/>
      <c r="I454" s="14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 spans="1:22" ht="19.5" customHeight="1" x14ac:dyDescent="0.25">
      <c r="A455" s="9"/>
      <c r="B455" s="9"/>
      <c r="C455" s="9"/>
      <c r="D455" s="9"/>
      <c r="E455" s="9"/>
      <c r="F455" s="14"/>
      <c r="G455" s="14"/>
      <c r="H455" s="14"/>
      <c r="I455" s="14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 spans="1:22" ht="19.5" customHeight="1" x14ac:dyDescent="0.25">
      <c r="A456" s="9"/>
      <c r="B456" s="9"/>
      <c r="C456" s="9"/>
      <c r="D456" s="9"/>
      <c r="E456" s="9"/>
      <c r="F456" s="14"/>
      <c r="G456" s="14"/>
      <c r="H456" s="14"/>
      <c r="I456" s="14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 spans="1:22" ht="19.5" customHeight="1" x14ac:dyDescent="0.25">
      <c r="A457" s="9"/>
      <c r="B457" s="9"/>
      <c r="C457" s="9"/>
      <c r="D457" s="9"/>
      <c r="E457" s="9"/>
      <c r="F457" s="14"/>
      <c r="G457" s="14"/>
      <c r="H457" s="14"/>
      <c r="I457" s="14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 spans="1:22" ht="19.5" customHeight="1" x14ac:dyDescent="0.25">
      <c r="A458" s="9"/>
      <c r="B458" s="9"/>
      <c r="C458" s="9"/>
      <c r="D458" s="9"/>
      <c r="E458" s="9"/>
      <c r="F458" s="14"/>
      <c r="G458" s="14"/>
      <c r="H458" s="14"/>
      <c r="I458" s="14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 spans="1:22" ht="19.5" customHeight="1" x14ac:dyDescent="0.25">
      <c r="A459" s="9"/>
      <c r="B459" s="9"/>
      <c r="C459" s="9"/>
      <c r="D459" s="9"/>
      <c r="E459" s="9"/>
      <c r="F459" s="14"/>
      <c r="G459" s="14"/>
      <c r="H459" s="14"/>
      <c r="I459" s="14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 spans="1:22" ht="19.5" customHeight="1" x14ac:dyDescent="0.25">
      <c r="A460" s="9"/>
      <c r="B460" s="9"/>
      <c r="C460" s="9"/>
      <c r="D460" s="9"/>
      <c r="E460" s="9"/>
      <c r="F460" s="14"/>
      <c r="G460" s="14"/>
      <c r="H460" s="14"/>
      <c r="I460" s="14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 spans="1:22" ht="19.5" customHeight="1" x14ac:dyDescent="0.25">
      <c r="A461" s="9"/>
      <c r="B461" s="9"/>
      <c r="C461" s="9"/>
      <c r="D461" s="9"/>
      <c r="E461" s="9"/>
      <c r="F461" s="14"/>
      <c r="G461" s="14"/>
      <c r="H461" s="14"/>
      <c r="I461" s="14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 spans="1:22" ht="19.5" customHeight="1" x14ac:dyDescent="0.25">
      <c r="A462" s="9"/>
      <c r="B462" s="9"/>
      <c r="C462" s="9"/>
      <c r="D462" s="9"/>
      <c r="E462" s="9"/>
      <c r="F462" s="14"/>
      <c r="G462" s="14"/>
      <c r="H462" s="14"/>
      <c r="I462" s="14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 spans="1:22" ht="19.5" customHeight="1" x14ac:dyDescent="0.25">
      <c r="A463" s="9"/>
      <c r="B463" s="9"/>
      <c r="C463" s="9"/>
      <c r="D463" s="9"/>
      <c r="E463" s="9"/>
      <c r="F463" s="14"/>
      <c r="G463" s="14"/>
      <c r="H463" s="14"/>
      <c r="I463" s="14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 spans="1:22" ht="19.5" customHeight="1" x14ac:dyDescent="0.25">
      <c r="A464" s="9"/>
      <c r="B464" s="9"/>
      <c r="C464" s="9"/>
      <c r="D464" s="9"/>
      <c r="E464" s="9"/>
      <c r="F464" s="14"/>
      <c r="G464" s="14"/>
      <c r="H464" s="14"/>
      <c r="I464" s="14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 spans="1:22" ht="19.5" customHeight="1" x14ac:dyDescent="0.25">
      <c r="A465" s="9"/>
      <c r="B465" s="9"/>
      <c r="C465" s="9"/>
      <c r="D465" s="9"/>
      <c r="E465" s="9"/>
      <c r="F465" s="14"/>
      <c r="G465" s="14"/>
      <c r="H465" s="14"/>
      <c r="I465" s="14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spans="1:22" ht="19.5" customHeight="1" x14ac:dyDescent="0.25">
      <c r="A466" s="9"/>
      <c r="B466" s="9"/>
      <c r="C466" s="9"/>
      <c r="D466" s="9"/>
      <c r="E466" s="9"/>
      <c r="F466" s="14"/>
      <c r="G466" s="14"/>
      <c r="H466" s="14"/>
      <c r="I466" s="14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 spans="1:22" ht="19.5" customHeight="1" x14ac:dyDescent="0.25">
      <c r="A467" s="9"/>
      <c r="B467" s="9"/>
      <c r="C467" s="9"/>
      <c r="D467" s="9"/>
      <c r="E467" s="9"/>
      <c r="F467" s="14"/>
      <c r="G467" s="14"/>
      <c r="H467" s="14"/>
      <c r="I467" s="14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 spans="1:22" ht="19.5" customHeight="1" x14ac:dyDescent="0.25">
      <c r="A468" s="9"/>
      <c r="B468" s="9"/>
      <c r="C468" s="9"/>
      <c r="D468" s="9"/>
      <c r="E468" s="9"/>
      <c r="F468" s="14"/>
      <c r="G468" s="14"/>
      <c r="H468" s="14"/>
      <c r="I468" s="14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 spans="1:22" ht="19.5" customHeight="1" x14ac:dyDescent="0.25">
      <c r="A469" s="9"/>
      <c r="B469" s="9"/>
      <c r="C469" s="9"/>
      <c r="D469" s="9"/>
      <c r="E469" s="9"/>
      <c r="F469" s="14"/>
      <c r="G469" s="14"/>
      <c r="H469" s="14"/>
      <c r="I469" s="14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 spans="1:22" ht="19.5" customHeight="1" x14ac:dyDescent="0.25">
      <c r="A470" s="9"/>
      <c r="B470" s="9"/>
      <c r="C470" s="9"/>
      <c r="D470" s="9"/>
      <c r="E470" s="9"/>
      <c r="F470" s="14"/>
      <c r="G470" s="14"/>
      <c r="H470" s="14"/>
      <c r="I470" s="14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 spans="1:22" ht="19.5" customHeight="1" x14ac:dyDescent="0.25">
      <c r="A471" s="9"/>
      <c r="B471" s="9"/>
      <c r="C471" s="9"/>
      <c r="D471" s="9"/>
      <c r="E471" s="9"/>
      <c r="F471" s="14"/>
      <c r="G471" s="14"/>
      <c r="H471" s="14"/>
      <c r="I471" s="14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 spans="1:22" ht="19.5" customHeight="1" x14ac:dyDescent="0.25">
      <c r="A472" s="9"/>
      <c r="B472" s="9"/>
      <c r="C472" s="9"/>
      <c r="D472" s="9"/>
      <c r="E472" s="9"/>
      <c r="F472" s="14"/>
      <c r="G472" s="14"/>
      <c r="H472" s="14"/>
      <c r="I472" s="14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 spans="1:22" ht="19.5" customHeight="1" x14ac:dyDescent="0.25">
      <c r="A473" s="9"/>
      <c r="B473" s="9"/>
      <c r="C473" s="9"/>
      <c r="D473" s="9"/>
      <c r="E473" s="9"/>
      <c r="F473" s="14"/>
      <c r="G473" s="14"/>
      <c r="H473" s="14"/>
      <c r="I473" s="14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 spans="1:22" ht="19.5" customHeight="1" x14ac:dyDescent="0.25">
      <c r="A474" s="9"/>
      <c r="B474" s="9"/>
      <c r="C474" s="9"/>
      <c r="D474" s="9"/>
      <c r="E474" s="9"/>
      <c r="F474" s="14"/>
      <c r="G474" s="14"/>
      <c r="H474" s="14"/>
      <c r="I474" s="14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 spans="1:22" ht="19.5" customHeight="1" x14ac:dyDescent="0.25">
      <c r="A475" s="9"/>
      <c r="B475" s="9"/>
      <c r="C475" s="9"/>
      <c r="D475" s="9"/>
      <c r="E475" s="9"/>
      <c r="F475" s="14"/>
      <c r="G475" s="14"/>
      <c r="H475" s="14"/>
      <c r="I475" s="14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 spans="1:22" ht="19.5" customHeight="1" x14ac:dyDescent="0.25">
      <c r="A476" s="9"/>
      <c r="B476" s="9"/>
      <c r="C476" s="9"/>
      <c r="D476" s="9"/>
      <c r="E476" s="9"/>
      <c r="F476" s="14"/>
      <c r="G476" s="14"/>
      <c r="H476" s="14"/>
      <c r="I476" s="14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 spans="1:22" ht="19.5" customHeight="1" x14ac:dyDescent="0.25">
      <c r="A477" s="9"/>
      <c r="B477" s="9"/>
      <c r="C477" s="9"/>
      <c r="D477" s="9"/>
      <c r="E477" s="9"/>
      <c r="F477" s="14"/>
      <c r="G477" s="14"/>
      <c r="H477" s="14"/>
      <c r="I477" s="14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 spans="1:22" ht="19.5" customHeight="1" x14ac:dyDescent="0.25">
      <c r="A478" s="9"/>
      <c r="B478" s="9"/>
      <c r="C478" s="9"/>
      <c r="D478" s="9"/>
      <c r="E478" s="9"/>
      <c r="F478" s="14"/>
      <c r="G478" s="14"/>
      <c r="H478" s="14"/>
      <c r="I478" s="14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 spans="1:22" ht="19.5" customHeight="1" x14ac:dyDescent="0.25">
      <c r="A479" s="9"/>
      <c r="B479" s="9"/>
      <c r="C479" s="9"/>
      <c r="D479" s="9"/>
      <c r="E479" s="9"/>
      <c r="F479" s="14"/>
      <c r="G479" s="14"/>
      <c r="H479" s="14"/>
      <c r="I479" s="14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 spans="1:22" ht="19.5" customHeight="1" x14ac:dyDescent="0.25">
      <c r="A480" s="9"/>
      <c r="B480" s="9"/>
      <c r="C480" s="9"/>
      <c r="D480" s="9"/>
      <c r="E480" s="9"/>
      <c r="F480" s="14"/>
      <c r="G480" s="14"/>
      <c r="H480" s="14"/>
      <c r="I480" s="14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 spans="1:22" ht="19.5" customHeight="1" x14ac:dyDescent="0.25">
      <c r="A481" s="9"/>
      <c r="B481" s="9"/>
      <c r="C481" s="9"/>
      <c r="D481" s="9"/>
      <c r="E481" s="9"/>
      <c r="F481" s="14"/>
      <c r="G481" s="14"/>
      <c r="H481" s="14"/>
      <c r="I481" s="14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 spans="1:22" ht="19.5" customHeight="1" x14ac:dyDescent="0.25">
      <c r="A482" s="9"/>
      <c r="B482" s="9"/>
      <c r="C482" s="9"/>
      <c r="D482" s="9"/>
      <c r="E482" s="9"/>
      <c r="F482" s="14"/>
      <c r="G482" s="14"/>
      <c r="H482" s="14"/>
      <c r="I482" s="14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 spans="1:22" ht="19.5" customHeight="1" x14ac:dyDescent="0.25">
      <c r="A483" s="9"/>
      <c r="B483" s="9"/>
      <c r="C483" s="9"/>
      <c r="D483" s="9"/>
      <c r="E483" s="9"/>
      <c r="F483" s="14"/>
      <c r="G483" s="14"/>
      <c r="H483" s="14"/>
      <c r="I483" s="14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 spans="1:22" ht="19.5" customHeight="1" x14ac:dyDescent="0.25">
      <c r="A484" s="9"/>
      <c r="B484" s="9"/>
      <c r="C484" s="9"/>
      <c r="D484" s="9"/>
      <c r="E484" s="9"/>
      <c r="F484" s="14"/>
      <c r="G484" s="14"/>
      <c r="H484" s="14"/>
      <c r="I484" s="14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 spans="1:22" ht="19.5" customHeight="1" x14ac:dyDescent="0.25">
      <c r="A485" s="9"/>
      <c r="B485" s="9"/>
      <c r="C485" s="9"/>
      <c r="D485" s="9"/>
      <c r="E485" s="9"/>
      <c r="F485" s="14"/>
      <c r="G485" s="14"/>
      <c r="H485" s="14"/>
      <c r="I485" s="14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 spans="1:22" ht="19.5" customHeight="1" x14ac:dyDescent="0.25">
      <c r="A486" s="9"/>
      <c r="B486" s="9"/>
      <c r="C486" s="9"/>
      <c r="D486" s="9"/>
      <c r="E486" s="9"/>
      <c r="F486" s="14"/>
      <c r="G486" s="14"/>
      <c r="H486" s="14"/>
      <c r="I486" s="14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 spans="1:22" ht="19.5" customHeight="1" x14ac:dyDescent="0.25">
      <c r="A487" s="9"/>
      <c r="B487" s="9"/>
      <c r="C487" s="9"/>
      <c r="D487" s="9"/>
      <c r="E487" s="9"/>
      <c r="F487" s="14"/>
      <c r="G487" s="14"/>
      <c r="H487" s="14"/>
      <c r="I487" s="14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 spans="1:22" ht="19.5" customHeight="1" x14ac:dyDescent="0.25">
      <c r="A488" s="9"/>
      <c r="B488" s="9"/>
      <c r="C488" s="9"/>
      <c r="D488" s="9"/>
      <c r="E488" s="9"/>
      <c r="F488" s="14"/>
      <c r="G488" s="14"/>
      <c r="H488" s="14"/>
      <c r="I488" s="14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 spans="1:22" ht="19.5" customHeight="1" x14ac:dyDescent="0.25">
      <c r="A489" s="9"/>
      <c r="B489" s="9"/>
      <c r="C489" s="9"/>
      <c r="D489" s="9"/>
      <c r="E489" s="9"/>
      <c r="F489" s="14"/>
      <c r="G489" s="14"/>
      <c r="H489" s="14"/>
      <c r="I489" s="14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 spans="1:22" ht="19.5" customHeight="1" x14ac:dyDescent="0.25">
      <c r="A490" s="9"/>
      <c r="B490" s="9"/>
      <c r="C490" s="9"/>
      <c r="D490" s="9"/>
      <c r="E490" s="9"/>
      <c r="F490" s="14"/>
      <c r="G490" s="14"/>
      <c r="H490" s="14"/>
      <c r="I490" s="14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 spans="1:22" ht="19.5" customHeight="1" x14ac:dyDescent="0.25">
      <c r="A491" s="9"/>
      <c r="B491" s="9"/>
      <c r="C491" s="9"/>
      <c r="D491" s="9"/>
      <c r="E491" s="9"/>
      <c r="F491" s="14"/>
      <c r="G491" s="14"/>
      <c r="H491" s="14"/>
      <c r="I491" s="14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 spans="1:22" ht="19.5" customHeight="1" x14ac:dyDescent="0.25">
      <c r="A492" s="9"/>
      <c r="B492" s="9"/>
      <c r="C492" s="9"/>
      <c r="D492" s="9"/>
      <c r="E492" s="9"/>
      <c r="F492" s="14"/>
      <c r="G492" s="14"/>
      <c r="H492" s="14"/>
      <c r="I492" s="14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 spans="1:22" ht="19.5" customHeight="1" x14ac:dyDescent="0.25">
      <c r="A493" s="9"/>
      <c r="B493" s="9"/>
      <c r="C493" s="9"/>
      <c r="D493" s="9"/>
      <c r="E493" s="9"/>
      <c r="F493" s="14"/>
      <c r="G493" s="14"/>
      <c r="H493" s="14"/>
      <c r="I493" s="14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 spans="1:22" ht="19.5" customHeight="1" x14ac:dyDescent="0.25">
      <c r="A494" s="9"/>
      <c r="B494" s="9"/>
      <c r="C494" s="9"/>
      <c r="D494" s="9"/>
      <c r="E494" s="9"/>
      <c r="F494" s="14"/>
      <c r="G494" s="14"/>
      <c r="H494" s="14"/>
      <c r="I494" s="14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 spans="1:22" ht="19.5" customHeight="1" x14ac:dyDescent="0.25">
      <c r="A495" s="9"/>
      <c r="B495" s="9"/>
      <c r="C495" s="9"/>
      <c r="D495" s="9"/>
      <c r="E495" s="9"/>
      <c r="F495" s="14"/>
      <c r="G495" s="14"/>
      <c r="H495" s="14"/>
      <c r="I495" s="14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 spans="1:22" ht="19.5" customHeight="1" x14ac:dyDescent="0.25">
      <c r="A496" s="9"/>
      <c r="B496" s="9"/>
      <c r="C496" s="9"/>
      <c r="D496" s="9"/>
      <c r="E496" s="9"/>
      <c r="F496" s="14"/>
      <c r="G496" s="14"/>
      <c r="H496" s="14"/>
      <c r="I496" s="14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 spans="1:22" ht="19.5" customHeight="1" x14ac:dyDescent="0.25">
      <c r="A497" s="9"/>
      <c r="B497" s="9"/>
      <c r="C497" s="9"/>
      <c r="D497" s="9"/>
      <c r="E497" s="9"/>
      <c r="F497" s="14"/>
      <c r="G497" s="14"/>
      <c r="H497" s="14"/>
      <c r="I497" s="14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 spans="1:22" ht="19.5" customHeight="1" x14ac:dyDescent="0.25">
      <c r="A498" s="9"/>
      <c r="B498" s="9"/>
      <c r="C498" s="9"/>
      <c r="D498" s="9"/>
      <c r="E498" s="9"/>
      <c r="F498" s="14"/>
      <c r="G498" s="14"/>
      <c r="H498" s="14"/>
      <c r="I498" s="14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 spans="1:22" ht="19.5" customHeight="1" x14ac:dyDescent="0.25">
      <c r="A499" s="9"/>
      <c r="B499" s="9"/>
      <c r="C499" s="9"/>
      <c r="D499" s="9"/>
      <c r="E499" s="9"/>
      <c r="F499" s="14"/>
      <c r="G499" s="14"/>
      <c r="H499" s="14"/>
      <c r="I499" s="14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 spans="1:22" ht="19.5" customHeight="1" x14ac:dyDescent="0.25">
      <c r="A500" s="9"/>
      <c r="B500" s="9"/>
      <c r="C500" s="9"/>
      <c r="D500" s="9"/>
      <c r="E500" s="9"/>
      <c r="F500" s="14"/>
      <c r="G500" s="14"/>
      <c r="H500" s="14"/>
      <c r="I500" s="14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 spans="1:22" ht="19.5" customHeight="1" x14ac:dyDescent="0.25">
      <c r="A501" s="9"/>
      <c r="B501" s="9"/>
      <c r="C501" s="9"/>
      <c r="D501" s="9"/>
      <c r="E501" s="9"/>
      <c r="F501" s="14"/>
      <c r="G501" s="14"/>
      <c r="H501" s="14"/>
      <c r="I501" s="14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 spans="1:22" ht="19.5" customHeight="1" x14ac:dyDescent="0.25">
      <c r="A502" s="9"/>
      <c r="B502" s="9"/>
      <c r="C502" s="9"/>
      <c r="D502" s="9"/>
      <c r="E502" s="9"/>
      <c r="F502" s="14"/>
      <c r="G502" s="14"/>
      <c r="H502" s="14"/>
      <c r="I502" s="14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 spans="1:22" ht="19.5" customHeight="1" x14ac:dyDescent="0.25">
      <c r="A503" s="9"/>
      <c r="B503" s="9"/>
      <c r="C503" s="9"/>
      <c r="D503" s="9"/>
      <c r="E503" s="9"/>
      <c r="F503" s="14"/>
      <c r="G503" s="14"/>
      <c r="H503" s="14"/>
      <c r="I503" s="14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 spans="1:22" ht="19.5" customHeight="1" x14ac:dyDescent="0.25">
      <c r="A504" s="9"/>
      <c r="B504" s="9"/>
      <c r="C504" s="9"/>
      <c r="D504" s="9"/>
      <c r="E504" s="9"/>
      <c r="F504" s="14"/>
      <c r="G504" s="14"/>
      <c r="H504" s="14"/>
      <c r="I504" s="14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 spans="1:22" ht="19.5" customHeight="1" x14ac:dyDescent="0.25">
      <c r="A505" s="9"/>
      <c r="B505" s="9"/>
      <c r="C505" s="9"/>
      <c r="D505" s="9"/>
      <c r="E505" s="9"/>
      <c r="F505" s="14"/>
      <c r="G505" s="14"/>
      <c r="H505" s="14"/>
      <c r="I505" s="14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 spans="1:22" ht="19.5" customHeight="1" x14ac:dyDescent="0.25">
      <c r="A506" s="9"/>
      <c r="B506" s="9"/>
      <c r="C506" s="9"/>
      <c r="D506" s="9"/>
      <c r="E506" s="9"/>
      <c r="F506" s="14"/>
      <c r="G506" s="14"/>
      <c r="H506" s="14"/>
      <c r="I506" s="14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 spans="1:22" ht="19.5" customHeight="1" x14ac:dyDescent="0.25">
      <c r="A507" s="9"/>
      <c r="B507" s="9"/>
      <c r="C507" s="9"/>
      <c r="D507" s="9"/>
      <c r="E507" s="9"/>
      <c r="F507" s="14"/>
      <c r="G507" s="14"/>
      <c r="H507" s="14"/>
      <c r="I507" s="14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 spans="1:22" ht="19.5" customHeight="1" x14ac:dyDescent="0.25">
      <c r="A508" s="9"/>
      <c r="B508" s="9"/>
      <c r="C508" s="9"/>
      <c r="D508" s="9"/>
      <c r="E508" s="9"/>
      <c r="F508" s="14"/>
      <c r="G508" s="14"/>
      <c r="H508" s="14"/>
      <c r="I508" s="14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 spans="1:22" ht="19.5" customHeight="1" x14ac:dyDescent="0.25">
      <c r="A509" s="9"/>
      <c r="B509" s="9"/>
      <c r="C509" s="9"/>
      <c r="D509" s="9"/>
      <c r="E509" s="9"/>
      <c r="F509" s="14"/>
      <c r="G509" s="14"/>
      <c r="H509" s="14"/>
      <c r="I509" s="14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 spans="1:22" ht="19.5" customHeight="1" x14ac:dyDescent="0.25">
      <c r="A510" s="9"/>
      <c r="B510" s="9"/>
      <c r="C510" s="9"/>
      <c r="D510" s="9"/>
      <c r="E510" s="9"/>
      <c r="F510" s="14"/>
      <c r="G510" s="14"/>
      <c r="H510" s="14"/>
      <c r="I510" s="14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 spans="1:22" ht="19.5" customHeight="1" x14ac:dyDescent="0.25">
      <c r="A511" s="9"/>
      <c r="B511" s="9"/>
      <c r="C511" s="9"/>
      <c r="D511" s="9"/>
      <c r="E511" s="9"/>
      <c r="F511" s="14"/>
      <c r="G511" s="14"/>
      <c r="H511" s="14"/>
      <c r="I511" s="14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 spans="1:22" ht="19.5" customHeight="1" x14ac:dyDescent="0.25">
      <c r="A512" s="9"/>
      <c r="B512" s="9"/>
      <c r="C512" s="9"/>
      <c r="D512" s="9"/>
      <c r="E512" s="9"/>
      <c r="F512" s="14"/>
      <c r="G512" s="14"/>
      <c r="H512" s="14"/>
      <c r="I512" s="14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 spans="1:22" ht="19.5" customHeight="1" x14ac:dyDescent="0.25">
      <c r="A513" s="9"/>
      <c r="B513" s="9"/>
      <c r="C513" s="9"/>
      <c r="D513" s="9"/>
      <c r="E513" s="9"/>
      <c r="F513" s="14"/>
      <c r="G513" s="14"/>
      <c r="H513" s="14"/>
      <c r="I513" s="14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 spans="1:22" ht="19.5" customHeight="1" x14ac:dyDescent="0.25">
      <c r="A514" s="9"/>
      <c r="B514" s="9"/>
      <c r="C514" s="9"/>
      <c r="D514" s="9"/>
      <c r="E514" s="9"/>
      <c r="F514" s="14"/>
      <c r="G514" s="14"/>
      <c r="H514" s="14"/>
      <c r="I514" s="14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 spans="1:22" ht="19.5" customHeight="1" x14ac:dyDescent="0.25">
      <c r="A515" s="9"/>
      <c r="B515" s="9"/>
      <c r="C515" s="9"/>
      <c r="D515" s="9"/>
      <c r="E515" s="9"/>
      <c r="F515" s="14"/>
      <c r="G515" s="14"/>
      <c r="H515" s="14"/>
      <c r="I515" s="14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 spans="1:22" ht="19.5" customHeight="1" x14ac:dyDescent="0.25">
      <c r="A516" s="9"/>
      <c r="B516" s="9"/>
      <c r="C516" s="9"/>
      <c r="D516" s="9"/>
      <c r="E516" s="9"/>
      <c r="F516" s="14"/>
      <c r="G516" s="14"/>
      <c r="H516" s="14"/>
      <c r="I516" s="14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 spans="1:22" ht="19.5" customHeight="1" x14ac:dyDescent="0.25">
      <c r="A517" s="9"/>
      <c r="B517" s="9"/>
      <c r="C517" s="9"/>
      <c r="D517" s="9"/>
      <c r="E517" s="9"/>
      <c r="F517" s="14"/>
      <c r="G517" s="14"/>
      <c r="H517" s="14"/>
      <c r="I517" s="14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 spans="1:22" ht="19.5" customHeight="1" x14ac:dyDescent="0.25">
      <c r="A518" s="9"/>
      <c r="B518" s="9"/>
      <c r="C518" s="9"/>
      <c r="D518" s="9"/>
      <c r="E518" s="9"/>
      <c r="F518" s="14"/>
      <c r="G518" s="14"/>
      <c r="H518" s="14"/>
      <c r="I518" s="14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 spans="1:22" ht="19.5" customHeight="1" x14ac:dyDescent="0.25">
      <c r="A519" s="9"/>
      <c r="B519" s="9"/>
      <c r="C519" s="9"/>
      <c r="D519" s="9"/>
      <c r="E519" s="9"/>
      <c r="F519" s="14"/>
      <c r="G519" s="14"/>
      <c r="H519" s="14"/>
      <c r="I519" s="14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 spans="1:22" ht="19.5" customHeight="1" x14ac:dyDescent="0.25">
      <c r="A520" s="9"/>
      <c r="B520" s="9"/>
      <c r="C520" s="9"/>
      <c r="D520" s="9"/>
      <c r="E520" s="9"/>
      <c r="F520" s="14"/>
      <c r="G520" s="14"/>
      <c r="H520" s="14"/>
      <c r="I520" s="14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 spans="1:22" ht="19.5" customHeight="1" x14ac:dyDescent="0.25">
      <c r="A521" s="9"/>
      <c r="B521" s="9"/>
      <c r="C521" s="9"/>
      <c r="D521" s="9"/>
      <c r="E521" s="9"/>
      <c r="F521" s="14"/>
      <c r="G521" s="14"/>
      <c r="H521" s="14"/>
      <c r="I521" s="14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 spans="1:22" ht="19.5" customHeight="1" x14ac:dyDescent="0.25">
      <c r="A522" s="9"/>
      <c r="B522" s="9"/>
      <c r="C522" s="9"/>
      <c r="D522" s="9"/>
      <c r="E522" s="9"/>
      <c r="F522" s="14"/>
      <c r="G522" s="14"/>
      <c r="H522" s="14"/>
      <c r="I522" s="14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 spans="1:22" ht="19.5" customHeight="1" x14ac:dyDescent="0.25">
      <c r="A523" s="9"/>
      <c r="B523" s="9"/>
      <c r="C523" s="9"/>
      <c r="D523" s="9"/>
      <c r="E523" s="9"/>
      <c r="F523" s="14"/>
      <c r="G523" s="14"/>
      <c r="H523" s="14"/>
      <c r="I523" s="14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 spans="1:22" ht="19.5" customHeight="1" x14ac:dyDescent="0.25">
      <c r="A524" s="9"/>
      <c r="B524" s="9"/>
      <c r="C524" s="9"/>
      <c r="D524" s="9"/>
      <c r="E524" s="9"/>
      <c r="F524" s="14"/>
      <c r="G524" s="14"/>
      <c r="H524" s="14"/>
      <c r="I524" s="14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 spans="1:22" ht="19.5" customHeight="1" x14ac:dyDescent="0.25">
      <c r="A525" s="9"/>
      <c r="B525" s="9"/>
      <c r="C525" s="9"/>
      <c r="D525" s="9"/>
      <c r="E525" s="9"/>
      <c r="F525" s="14"/>
      <c r="G525" s="14"/>
      <c r="H525" s="14"/>
      <c r="I525" s="14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 spans="1:22" ht="19.5" customHeight="1" x14ac:dyDescent="0.25">
      <c r="A526" s="9"/>
      <c r="B526" s="9"/>
      <c r="C526" s="9"/>
      <c r="D526" s="9"/>
      <c r="E526" s="9"/>
      <c r="F526" s="14"/>
      <c r="G526" s="14"/>
      <c r="H526" s="14"/>
      <c r="I526" s="14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 spans="1:22" ht="19.5" customHeight="1" x14ac:dyDescent="0.25">
      <c r="A527" s="9"/>
      <c r="B527" s="9"/>
      <c r="C527" s="9"/>
      <c r="D527" s="9"/>
      <c r="E527" s="9"/>
      <c r="F527" s="14"/>
      <c r="G527" s="14"/>
      <c r="H527" s="14"/>
      <c r="I527" s="14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 spans="1:22" ht="19.5" customHeight="1" x14ac:dyDescent="0.25">
      <c r="A528" s="9"/>
      <c r="B528" s="9"/>
      <c r="C528" s="9"/>
      <c r="D528" s="9"/>
      <c r="E528" s="9"/>
      <c r="F528" s="14"/>
      <c r="G528" s="14"/>
      <c r="H528" s="14"/>
      <c r="I528" s="14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 spans="1:22" ht="19.5" customHeight="1" x14ac:dyDescent="0.25">
      <c r="A529" s="9"/>
      <c r="B529" s="9"/>
      <c r="C529" s="9"/>
      <c r="D529" s="9"/>
      <c r="E529" s="9"/>
      <c r="F529" s="14"/>
      <c r="G529" s="14"/>
      <c r="H529" s="14"/>
      <c r="I529" s="14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 spans="1:22" ht="19.5" customHeight="1" x14ac:dyDescent="0.25">
      <c r="A530" s="9"/>
      <c r="B530" s="9"/>
      <c r="C530" s="9"/>
      <c r="D530" s="9"/>
      <c r="E530" s="9"/>
      <c r="F530" s="14"/>
      <c r="G530" s="14"/>
      <c r="H530" s="14"/>
      <c r="I530" s="14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 spans="1:22" ht="19.5" customHeight="1" x14ac:dyDescent="0.25">
      <c r="A531" s="9"/>
      <c r="B531" s="9"/>
      <c r="C531" s="9"/>
      <c r="D531" s="9"/>
      <c r="E531" s="9"/>
      <c r="F531" s="14"/>
      <c r="G531" s="14"/>
      <c r="H531" s="14"/>
      <c r="I531" s="14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 spans="1:22" ht="19.5" customHeight="1" x14ac:dyDescent="0.25">
      <c r="A532" s="9"/>
      <c r="B532" s="9"/>
      <c r="C532" s="9"/>
      <c r="D532" s="9"/>
      <c r="E532" s="9"/>
      <c r="F532" s="14"/>
      <c r="G532" s="14"/>
      <c r="H532" s="14"/>
      <c r="I532" s="14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 spans="1:22" ht="19.5" customHeight="1" x14ac:dyDescent="0.25">
      <c r="A533" s="9"/>
      <c r="B533" s="9"/>
      <c r="C533" s="9"/>
      <c r="D533" s="9"/>
      <c r="E533" s="9"/>
      <c r="F533" s="14"/>
      <c r="G533" s="14"/>
      <c r="H533" s="14"/>
      <c r="I533" s="14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 spans="1:22" ht="19.5" customHeight="1" x14ac:dyDescent="0.25">
      <c r="A534" s="9"/>
      <c r="B534" s="9"/>
      <c r="C534" s="9"/>
      <c r="D534" s="9"/>
      <c r="E534" s="9"/>
      <c r="F534" s="14"/>
      <c r="G534" s="14"/>
      <c r="H534" s="14"/>
      <c r="I534" s="14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 spans="1:22" ht="19.5" customHeight="1" x14ac:dyDescent="0.25">
      <c r="A535" s="9"/>
      <c r="B535" s="9"/>
      <c r="C535" s="9"/>
      <c r="D535" s="9"/>
      <c r="E535" s="9"/>
      <c r="F535" s="14"/>
      <c r="G535" s="14"/>
      <c r="H535" s="14"/>
      <c r="I535" s="14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 spans="1:22" ht="19.5" customHeight="1" x14ac:dyDescent="0.25">
      <c r="A536" s="9"/>
      <c r="B536" s="9"/>
      <c r="C536" s="9"/>
      <c r="D536" s="9"/>
      <c r="E536" s="9"/>
      <c r="F536" s="14"/>
      <c r="G536" s="14"/>
      <c r="H536" s="14"/>
      <c r="I536" s="14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 spans="1:22" ht="19.5" customHeight="1" x14ac:dyDescent="0.25">
      <c r="A537" s="9"/>
      <c r="B537" s="9"/>
      <c r="C537" s="9"/>
      <c r="D537" s="9"/>
      <c r="E537" s="9"/>
      <c r="F537" s="14"/>
      <c r="G537" s="14"/>
      <c r="H537" s="14"/>
      <c r="I537" s="14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 spans="1:22" ht="19.5" customHeight="1" x14ac:dyDescent="0.25">
      <c r="A538" s="9"/>
      <c r="B538" s="9"/>
      <c r="C538" s="9"/>
      <c r="D538" s="9"/>
      <c r="E538" s="9"/>
      <c r="F538" s="14"/>
      <c r="G538" s="14"/>
      <c r="H538" s="14"/>
      <c r="I538" s="14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 spans="1:22" ht="19.5" customHeight="1" x14ac:dyDescent="0.25">
      <c r="A539" s="9"/>
      <c r="B539" s="9"/>
      <c r="C539" s="9"/>
      <c r="D539" s="9"/>
      <c r="E539" s="9"/>
      <c r="F539" s="14"/>
      <c r="G539" s="14"/>
      <c r="H539" s="14"/>
      <c r="I539" s="14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 spans="1:22" ht="19.5" customHeight="1" x14ac:dyDescent="0.25">
      <c r="A540" s="9"/>
      <c r="B540" s="9"/>
      <c r="C540" s="9"/>
      <c r="D540" s="9"/>
      <c r="E540" s="9"/>
      <c r="F540" s="14"/>
      <c r="G540" s="14"/>
      <c r="H540" s="14"/>
      <c r="I540" s="14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 spans="1:22" ht="19.5" customHeight="1" x14ac:dyDescent="0.25">
      <c r="A541" s="9"/>
      <c r="B541" s="9"/>
      <c r="C541" s="9"/>
      <c r="D541" s="9"/>
      <c r="E541" s="9"/>
      <c r="F541" s="14"/>
      <c r="G541" s="14"/>
      <c r="H541" s="14"/>
      <c r="I541" s="14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 spans="1:22" ht="19.5" customHeight="1" x14ac:dyDescent="0.25">
      <c r="A542" s="9"/>
      <c r="B542" s="9"/>
      <c r="C542" s="9"/>
      <c r="D542" s="9"/>
      <c r="E542" s="9"/>
      <c r="F542" s="14"/>
      <c r="G542" s="14"/>
      <c r="H542" s="14"/>
      <c r="I542" s="14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 spans="1:22" ht="19.5" customHeight="1" x14ac:dyDescent="0.25">
      <c r="A543" s="9"/>
      <c r="B543" s="9"/>
      <c r="C543" s="9"/>
      <c r="D543" s="9"/>
      <c r="E543" s="9"/>
      <c r="F543" s="14"/>
      <c r="G543" s="14"/>
      <c r="H543" s="14"/>
      <c r="I543" s="14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 spans="1:22" ht="19.5" customHeight="1" x14ac:dyDescent="0.25">
      <c r="A544" s="9"/>
      <c r="B544" s="9"/>
      <c r="C544" s="9"/>
      <c r="D544" s="9"/>
      <c r="E544" s="9"/>
      <c r="F544" s="14"/>
      <c r="G544" s="14"/>
      <c r="H544" s="14"/>
      <c r="I544" s="14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 spans="1:22" ht="19.5" customHeight="1" x14ac:dyDescent="0.25">
      <c r="A545" s="9"/>
      <c r="B545" s="9"/>
      <c r="C545" s="9"/>
      <c r="D545" s="9"/>
      <c r="E545" s="9"/>
      <c r="F545" s="14"/>
      <c r="G545" s="14"/>
      <c r="H545" s="14"/>
      <c r="I545" s="14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 spans="1:22" ht="19.5" customHeight="1" x14ac:dyDescent="0.25">
      <c r="A546" s="9"/>
      <c r="B546" s="9"/>
      <c r="C546" s="9"/>
      <c r="D546" s="9"/>
      <c r="E546" s="9"/>
      <c r="F546" s="14"/>
      <c r="G546" s="14"/>
      <c r="H546" s="14"/>
      <c r="I546" s="14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 spans="1:22" ht="19.5" customHeight="1" x14ac:dyDescent="0.25">
      <c r="A547" s="9"/>
      <c r="B547" s="9"/>
      <c r="C547" s="9"/>
      <c r="D547" s="9"/>
      <c r="E547" s="9"/>
      <c r="F547" s="14"/>
      <c r="G547" s="14"/>
      <c r="H547" s="14"/>
      <c r="I547" s="14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 spans="1:22" ht="19.5" customHeight="1" x14ac:dyDescent="0.25">
      <c r="A548" s="9"/>
      <c r="B548" s="9"/>
      <c r="C548" s="9"/>
      <c r="D548" s="9"/>
      <c r="E548" s="9"/>
      <c r="F548" s="14"/>
      <c r="G548" s="14"/>
      <c r="H548" s="14"/>
      <c r="I548" s="14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 spans="1:22" ht="19.5" customHeight="1" x14ac:dyDescent="0.25">
      <c r="A549" s="9"/>
      <c r="B549" s="9"/>
      <c r="C549" s="9"/>
      <c r="D549" s="9"/>
      <c r="E549" s="9"/>
      <c r="F549" s="14"/>
      <c r="G549" s="14"/>
      <c r="H549" s="14"/>
      <c r="I549" s="14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 spans="1:22" ht="19.5" customHeight="1" x14ac:dyDescent="0.25">
      <c r="A550" s="9"/>
      <c r="B550" s="9"/>
      <c r="C550" s="9"/>
      <c r="D550" s="9"/>
      <c r="E550" s="9"/>
      <c r="F550" s="14"/>
      <c r="G550" s="14"/>
      <c r="H550" s="14"/>
      <c r="I550" s="14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 spans="1:22" ht="19.5" customHeight="1" x14ac:dyDescent="0.25">
      <c r="A551" s="9"/>
      <c r="B551" s="9"/>
      <c r="C551" s="9"/>
      <c r="D551" s="9"/>
      <c r="E551" s="9"/>
      <c r="F551" s="14"/>
      <c r="G551" s="14"/>
      <c r="H551" s="14"/>
      <c r="I551" s="14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 spans="1:22" ht="19.5" customHeight="1" x14ac:dyDescent="0.25">
      <c r="A552" s="9"/>
      <c r="B552" s="9"/>
      <c r="C552" s="9"/>
      <c r="D552" s="9"/>
      <c r="E552" s="9"/>
      <c r="F552" s="14"/>
      <c r="G552" s="14"/>
      <c r="H552" s="14"/>
      <c r="I552" s="14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 spans="1:22" ht="19.5" customHeight="1" x14ac:dyDescent="0.25">
      <c r="A553" s="9"/>
      <c r="B553" s="9"/>
      <c r="C553" s="9"/>
      <c r="D553" s="9"/>
      <c r="E553" s="9"/>
      <c r="F553" s="14"/>
      <c r="G553" s="14"/>
      <c r="H553" s="14"/>
      <c r="I553" s="14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 spans="1:22" ht="19.5" customHeight="1" x14ac:dyDescent="0.25">
      <c r="A554" s="9"/>
      <c r="B554" s="9"/>
      <c r="C554" s="9"/>
      <c r="D554" s="9"/>
      <c r="E554" s="9"/>
      <c r="F554" s="14"/>
      <c r="G554" s="14"/>
      <c r="H554" s="14"/>
      <c r="I554" s="14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 spans="1:22" ht="19.5" customHeight="1" x14ac:dyDescent="0.25">
      <c r="A555" s="9"/>
      <c r="B555" s="9"/>
      <c r="C555" s="9"/>
      <c r="D555" s="9"/>
      <c r="E555" s="9"/>
      <c r="F555" s="14"/>
      <c r="G555" s="14"/>
      <c r="H555" s="14"/>
      <c r="I555" s="14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 spans="1:22" ht="19.5" customHeight="1" x14ac:dyDescent="0.25">
      <c r="A556" s="9"/>
      <c r="B556" s="9"/>
      <c r="C556" s="9"/>
      <c r="D556" s="9"/>
      <c r="E556" s="9"/>
      <c r="F556" s="14"/>
      <c r="G556" s="14"/>
      <c r="H556" s="14"/>
      <c r="I556" s="14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 spans="1:22" ht="19.5" customHeight="1" x14ac:dyDescent="0.25">
      <c r="A557" s="9"/>
      <c r="B557" s="9"/>
      <c r="C557" s="9"/>
      <c r="D557" s="9"/>
      <c r="E557" s="9"/>
      <c r="F557" s="14"/>
      <c r="G557" s="14"/>
      <c r="H557" s="14"/>
      <c r="I557" s="14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 spans="1:22" ht="19.5" customHeight="1" x14ac:dyDescent="0.25">
      <c r="A558" s="9"/>
      <c r="B558" s="9"/>
      <c r="C558" s="9"/>
      <c r="D558" s="9"/>
      <c r="E558" s="9"/>
      <c r="F558" s="14"/>
      <c r="G558" s="14"/>
      <c r="H558" s="14"/>
      <c r="I558" s="14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 spans="1:22" ht="19.5" customHeight="1" x14ac:dyDescent="0.25">
      <c r="A559" s="9"/>
      <c r="B559" s="9"/>
      <c r="C559" s="9"/>
      <c r="D559" s="9"/>
      <c r="E559" s="9"/>
      <c r="F559" s="14"/>
      <c r="G559" s="14"/>
      <c r="H559" s="14"/>
      <c r="I559" s="14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 spans="1:22" ht="19.5" customHeight="1" x14ac:dyDescent="0.25">
      <c r="A560" s="9"/>
      <c r="B560" s="9"/>
      <c r="C560" s="9"/>
      <c r="D560" s="9"/>
      <c r="E560" s="9"/>
      <c r="F560" s="14"/>
      <c r="G560" s="14"/>
      <c r="H560" s="14"/>
      <c r="I560" s="14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 spans="1:22" ht="19.5" customHeight="1" x14ac:dyDescent="0.25">
      <c r="A561" s="9"/>
      <c r="B561" s="9"/>
      <c r="C561" s="9"/>
      <c r="D561" s="9"/>
      <c r="E561" s="9"/>
      <c r="F561" s="14"/>
      <c r="G561" s="14"/>
      <c r="H561" s="14"/>
      <c r="I561" s="14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 spans="1:22" ht="19.5" customHeight="1" x14ac:dyDescent="0.25">
      <c r="A562" s="9"/>
      <c r="B562" s="9"/>
      <c r="C562" s="9"/>
      <c r="D562" s="9"/>
      <c r="E562" s="9"/>
      <c r="F562" s="14"/>
      <c r="G562" s="14"/>
      <c r="H562" s="14"/>
      <c r="I562" s="14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 spans="1:22" ht="19.5" customHeight="1" x14ac:dyDescent="0.25">
      <c r="A563" s="9"/>
      <c r="B563" s="9"/>
      <c r="C563" s="9"/>
      <c r="D563" s="9"/>
      <c r="E563" s="9"/>
      <c r="F563" s="14"/>
      <c r="G563" s="14"/>
      <c r="H563" s="14"/>
      <c r="I563" s="14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 spans="1:22" ht="19.5" customHeight="1" x14ac:dyDescent="0.25">
      <c r="A564" s="9"/>
      <c r="B564" s="9"/>
      <c r="C564" s="9"/>
      <c r="D564" s="9"/>
      <c r="E564" s="9"/>
      <c r="F564" s="14"/>
      <c r="G564" s="14"/>
      <c r="H564" s="14"/>
      <c r="I564" s="14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 spans="1:22" ht="19.5" customHeight="1" x14ac:dyDescent="0.25">
      <c r="A565" s="9"/>
      <c r="B565" s="9"/>
      <c r="C565" s="9"/>
      <c r="D565" s="9"/>
      <c r="E565" s="9"/>
      <c r="F565" s="14"/>
      <c r="G565" s="14"/>
      <c r="H565" s="14"/>
      <c r="I565" s="14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 spans="1:22" ht="19.5" customHeight="1" x14ac:dyDescent="0.25">
      <c r="A566" s="9"/>
      <c r="B566" s="9"/>
      <c r="C566" s="9"/>
      <c r="D566" s="9"/>
      <c r="E566" s="9"/>
      <c r="F566" s="14"/>
      <c r="G566" s="14"/>
      <c r="H566" s="14"/>
      <c r="I566" s="14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 spans="1:22" ht="19.5" customHeight="1" x14ac:dyDescent="0.25">
      <c r="A567" s="9"/>
      <c r="B567" s="9"/>
      <c r="C567" s="9"/>
      <c r="D567" s="9"/>
      <c r="E567" s="9"/>
      <c r="F567" s="14"/>
      <c r="G567" s="14"/>
      <c r="H567" s="14"/>
      <c r="I567" s="14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 spans="1:22" ht="19.5" customHeight="1" x14ac:dyDescent="0.25">
      <c r="A568" s="9"/>
      <c r="B568" s="9"/>
      <c r="C568" s="9"/>
      <c r="D568" s="9"/>
      <c r="E568" s="9"/>
      <c r="F568" s="14"/>
      <c r="G568" s="14"/>
      <c r="H568" s="14"/>
      <c r="I568" s="14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 spans="1:22" ht="19.5" customHeight="1" x14ac:dyDescent="0.25">
      <c r="A569" s="9"/>
      <c r="B569" s="9"/>
      <c r="C569" s="9"/>
      <c r="D569" s="9"/>
      <c r="E569" s="9"/>
      <c r="F569" s="14"/>
      <c r="G569" s="14"/>
      <c r="H569" s="14"/>
      <c r="I569" s="14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 spans="1:22" ht="19.5" customHeight="1" x14ac:dyDescent="0.25">
      <c r="A570" s="9"/>
      <c r="B570" s="9"/>
      <c r="C570" s="9"/>
      <c r="D570" s="9"/>
      <c r="E570" s="9"/>
      <c r="F570" s="14"/>
      <c r="G570" s="14"/>
      <c r="H570" s="14"/>
      <c r="I570" s="14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 spans="1:22" ht="19.5" customHeight="1" x14ac:dyDescent="0.25">
      <c r="A571" s="9"/>
      <c r="B571" s="9"/>
      <c r="C571" s="9"/>
      <c r="D571" s="9"/>
      <c r="E571" s="9"/>
      <c r="F571" s="14"/>
      <c r="G571" s="14"/>
      <c r="H571" s="14"/>
      <c r="I571" s="14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 spans="1:22" ht="19.5" customHeight="1" x14ac:dyDescent="0.25">
      <c r="A572" s="9"/>
      <c r="B572" s="9"/>
      <c r="C572" s="9"/>
      <c r="D572" s="9"/>
      <c r="E572" s="9"/>
      <c r="F572" s="14"/>
      <c r="G572" s="14"/>
      <c r="H572" s="14"/>
      <c r="I572" s="14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 spans="1:22" ht="19.5" customHeight="1" x14ac:dyDescent="0.25">
      <c r="A573" s="9"/>
      <c r="B573" s="9"/>
      <c r="C573" s="9"/>
      <c r="D573" s="9"/>
      <c r="E573" s="9"/>
      <c r="F573" s="14"/>
      <c r="G573" s="14"/>
      <c r="H573" s="14"/>
      <c r="I573" s="14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 spans="1:22" ht="19.5" customHeight="1" x14ac:dyDescent="0.25">
      <c r="A574" s="9"/>
      <c r="B574" s="9"/>
      <c r="C574" s="9"/>
      <c r="D574" s="9"/>
      <c r="E574" s="9"/>
      <c r="F574" s="14"/>
      <c r="G574" s="14"/>
      <c r="H574" s="14"/>
      <c r="I574" s="14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 spans="1:22" ht="19.5" customHeight="1" x14ac:dyDescent="0.25">
      <c r="A575" s="9"/>
      <c r="B575" s="9"/>
      <c r="C575" s="9"/>
      <c r="D575" s="9"/>
      <c r="E575" s="9"/>
      <c r="F575" s="14"/>
      <c r="G575" s="14"/>
      <c r="H575" s="14"/>
      <c r="I575" s="14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 spans="1:22" ht="19.5" customHeight="1" x14ac:dyDescent="0.25">
      <c r="A576" s="9"/>
      <c r="B576" s="9"/>
      <c r="C576" s="9"/>
      <c r="D576" s="9"/>
      <c r="E576" s="9"/>
      <c r="F576" s="14"/>
      <c r="G576" s="14"/>
      <c r="H576" s="14"/>
      <c r="I576" s="14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 spans="1:22" ht="19.5" customHeight="1" x14ac:dyDescent="0.25">
      <c r="A577" s="9"/>
      <c r="B577" s="9"/>
      <c r="C577" s="9"/>
      <c r="D577" s="9"/>
      <c r="E577" s="9"/>
      <c r="F577" s="14"/>
      <c r="G577" s="14"/>
      <c r="H577" s="14"/>
      <c r="I577" s="14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 spans="1:22" ht="19.5" customHeight="1" x14ac:dyDescent="0.25">
      <c r="A578" s="9"/>
      <c r="B578" s="9"/>
      <c r="C578" s="9"/>
      <c r="D578" s="9"/>
      <c r="E578" s="9"/>
      <c r="F578" s="14"/>
      <c r="G578" s="14"/>
      <c r="H578" s="14"/>
      <c r="I578" s="14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 spans="1:22" ht="19.5" customHeight="1" x14ac:dyDescent="0.25">
      <c r="A579" s="9"/>
      <c r="B579" s="9"/>
      <c r="C579" s="9"/>
      <c r="D579" s="9"/>
      <c r="E579" s="9"/>
      <c r="F579" s="14"/>
      <c r="G579" s="14"/>
      <c r="H579" s="14"/>
      <c r="I579" s="14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 spans="1:22" ht="19.5" customHeight="1" x14ac:dyDescent="0.25">
      <c r="A580" s="9"/>
      <c r="B580" s="9"/>
      <c r="C580" s="9"/>
      <c r="D580" s="9"/>
      <c r="E580" s="9"/>
      <c r="F580" s="14"/>
      <c r="G580" s="14"/>
      <c r="H580" s="14"/>
      <c r="I580" s="14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 spans="1:22" ht="19.5" customHeight="1" x14ac:dyDescent="0.25">
      <c r="A581" s="9"/>
      <c r="B581" s="9"/>
      <c r="C581" s="9"/>
      <c r="D581" s="9"/>
      <c r="E581" s="9"/>
      <c r="F581" s="14"/>
      <c r="G581" s="14"/>
      <c r="H581" s="14"/>
      <c r="I581" s="14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 spans="1:22" ht="19.5" customHeight="1" x14ac:dyDescent="0.25">
      <c r="A582" s="9"/>
      <c r="B582" s="9"/>
      <c r="C582" s="9"/>
      <c r="D582" s="9"/>
      <c r="E582" s="9"/>
      <c r="F582" s="14"/>
      <c r="G582" s="14"/>
      <c r="H582" s="14"/>
      <c r="I582" s="14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 spans="1:22" ht="19.5" customHeight="1" x14ac:dyDescent="0.25">
      <c r="A583" s="9"/>
      <c r="B583" s="9"/>
      <c r="C583" s="9"/>
      <c r="D583" s="9"/>
      <c r="E583" s="9"/>
      <c r="F583" s="14"/>
      <c r="G583" s="14"/>
      <c r="H583" s="14"/>
      <c r="I583" s="14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 spans="1:22" ht="19.5" customHeight="1" x14ac:dyDescent="0.25">
      <c r="A584" s="9"/>
      <c r="B584" s="9"/>
      <c r="C584" s="9"/>
      <c r="D584" s="9"/>
      <c r="E584" s="9"/>
      <c r="F584" s="14"/>
      <c r="G584" s="14"/>
      <c r="H584" s="14"/>
      <c r="I584" s="14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 spans="1:22" ht="19.5" customHeight="1" x14ac:dyDescent="0.25">
      <c r="A585" s="9"/>
      <c r="B585" s="9"/>
      <c r="C585" s="9"/>
      <c r="D585" s="9"/>
      <c r="E585" s="9"/>
      <c r="F585" s="14"/>
      <c r="G585" s="14"/>
      <c r="H585" s="14"/>
      <c r="I585" s="14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 spans="1:22" ht="19.5" customHeight="1" x14ac:dyDescent="0.25">
      <c r="A586" s="9"/>
      <c r="B586" s="9"/>
      <c r="C586" s="9"/>
      <c r="D586" s="9"/>
      <c r="E586" s="9"/>
      <c r="F586" s="14"/>
      <c r="G586" s="14"/>
      <c r="H586" s="14"/>
      <c r="I586" s="14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 spans="1:22" ht="19.5" customHeight="1" x14ac:dyDescent="0.25">
      <c r="A587" s="9"/>
      <c r="B587" s="9"/>
      <c r="C587" s="9"/>
      <c r="D587" s="9"/>
      <c r="E587" s="9"/>
      <c r="F587" s="14"/>
      <c r="G587" s="14"/>
      <c r="H587" s="14"/>
      <c r="I587" s="14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 spans="1:22" ht="19.5" customHeight="1" x14ac:dyDescent="0.25">
      <c r="A588" s="9"/>
      <c r="B588" s="9"/>
      <c r="C588" s="9"/>
      <c r="D588" s="9"/>
      <c r="E588" s="9"/>
      <c r="F588" s="14"/>
      <c r="G588" s="14"/>
      <c r="H588" s="14"/>
      <c r="I588" s="14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 spans="1:22" ht="19.5" customHeight="1" x14ac:dyDescent="0.25">
      <c r="A589" s="9"/>
      <c r="B589" s="9"/>
      <c r="C589" s="9"/>
      <c r="D589" s="9"/>
      <c r="E589" s="9"/>
      <c r="F589" s="14"/>
      <c r="G589" s="14"/>
      <c r="H589" s="14"/>
      <c r="I589" s="14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 spans="1:22" ht="19.5" customHeight="1" x14ac:dyDescent="0.25">
      <c r="A590" s="9"/>
      <c r="B590" s="9"/>
      <c r="C590" s="9"/>
      <c r="D590" s="9"/>
      <c r="E590" s="9"/>
      <c r="F590" s="14"/>
      <c r="G590" s="14"/>
      <c r="H590" s="14"/>
      <c r="I590" s="14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 spans="1:22" ht="19.5" customHeight="1" x14ac:dyDescent="0.25">
      <c r="A591" s="9"/>
      <c r="B591" s="9"/>
      <c r="C591" s="9"/>
      <c r="D591" s="9"/>
      <c r="E591" s="9"/>
      <c r="F591" s="14"/>
      <c r="G591" s="14"/>
      <c r="H591" s="14"/>
      <c r="I591" s="14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 spans="1:22" ht="19.5" customHeight="1" x14ac:dyDescent="0.25">
      <c r="A592" s="9"/>
      <c r="B592" s="9"/>
      <c r="C592" s="9"/>
      <c r="D592" s="9"/>
      <c r="E592" s="9"/>
      <c r="F592" s="14"/>
      <c r="G592" s="14"/>
      <c r="H592" s="14"/>
      <c r="I592" s="14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 spans="1:22" ht="19.5" customHeight="1" x14ac:dyDescent="0.25">
      <c r="A593" s="9"/>
      <c r="B593" s="9"/>
      <c r="C593" s="9"/>
      <c r="D593" s="9"/>
      <c r="E593" s="9"/>
      <c r="F593" s="14"/>
      <c r="G593" s="14"/>
      <c r="H593" s="14"/>
      <c r="I593" s="14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 spans="1:22" ht="19.5" customHeight="1" x14ac:dyDescent="0.25">
      <c r="A594" s="9"/>
      <c r="B594" s="9"/>
      <c r="C594" s="9"/>
      <c r="D594" s="9"/>
      <c r="E594" s="9"/>
      <c r="F594" s="14"/>
      <c r="G594" s="14"/>
      <c r="H594" s="14"/>
      <c r="I594" s="14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 spans="1:22" ht="19.5" customHeight="1" x14ac:dyDescent="0.25">
      <c r="A595" s="9"/>
      <c r="B595" s="9"/>
      <c r="C595" s="9"/>
      <c r="D595" s="9"/>
      <c r="E595" s="9"/>
      <c r="F595" s="14"/>
      <c r="G595" s="14"/>
      <c r="H595" s="14"/>
      <c r="I595" s="14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 spans="1:22" ht="19.5" customHeight="1" x14ac:dyDescent="0.25">
      <c r="A596" s="9"/>
      <c r="B596" s="9"/>
      <c r="C596" s="9"/>
      <c r="D596" s="9"/>
      <c r="E596" s="9"/>
      <c r="F596" s="14"/>
      <c r="G596" s="14"/>
      <c r="H596" s="14"/>
      <c r="I596" s="14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 spans="1:22" ht="19.5" customHeight="1" x14ac:dyDescent="0.25">
      <c r="A597" s="9"/>
      <c r="B597" s="9"/>
      <c r="C597" s="9"/>
      <c r="D597" s="9"/>
      <c r="E597" s="9"/>
      <c r="F597" s="14"/>
      <c r="G597" s="14"/>
      <c r="H597" s="14"/>
      <c r="I597" s="14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 spans="1:22" ht="19.5" customHeight="1" x14ac:dyDescent="0.25">
      <c r="A598" s="9"/>
      <c r="B598" s="9"/>
      <c r="C598" s="9"/>
      <c r="D598" s="9"/>
      <c r="E598" s="9"/>
      <c r="F598" s="14"/>
      <c r="G598" s="14"/>
      <c r="H598" s="14"/>
      <c r="I598" s="14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 spans="1:22" ht="19.5" customHeight="1" x14ac:dyDescent="0.25">
      <c r="A599" s="9"/>
      <c r="B599" s="9"/>
      <c r="C599" s="9"/>
      <c r="D599" s="9"/>
      <c r="E599" s="9"/>
      <c r="F599" s="14"/>
      <c r="G599" s="14"/>
      <c r="H599" s="14"/>
      <c r="I599" s="14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 spans="1:22" ht="19.5" customHeight="1" x14ac:dyDescent="0.25">
      <c r="A600" s="9"/>
      <c r="B600" s="9"/>
      <c r="C600" s="9"/>
      <c r="D600" s="9"/>
      <c r="E600" s="9"/>
      <c r="F600" s="14"/>
      <c r="G600" s="14"/>
      <c r="H600" s="14"/>
      <c r="I600" s="14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 spans="1:22" ht="19.5" customHeight="1" x14ac:dyDescent="0.25">
      <c r="A601" s="9"/>
      <c r="B601" s="9"/>
      <c r="C601" s="9"/>
      <c r="D601" s="9"/>
      <c r="E601" s="9"/>
      <c r="F601" s="14"/>
      <c r="G601" s="14"/>
      <c r="H601" s="14"/>
      <c r="I601" s="14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 spans="1:22" ht="19.5" customHeight="1" x14ac:dyDescent="0.25">
      <c r="A602" s="9"/>
      <c r="B602" s="9"/>
      <c r="C602" s="9"/>
      <c r="D602" s="9"/>
      <c r="E602" s="9"/>
      <c r="F602" s="14"/>
      <c r="G602" s="14"/>
      <c r="H602" s="14"/>
      <c r="I602" s="14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 spans="1:22" ht="19.5" customHeight="1" x14ac:dyDescent="0.25">
      <c r="A603" s="9"/>
      <c r="B603" s="9"/>
      <c r="C603" s="9"/>
      <c r="D603" s="9"/>
      <c r="E603" s="9"/>
      <c r="F603" s="14"/>
      <c r="G603" s="14"/>
      <c r="H603" s="14"/>
      <c r="I603" s="14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 spans="1:22" ht="19.5" customHeight="1" x14ac:dyDescent="0.25">
      <c r="A604" s="9"/>
      <c r="B604" s="9"/>
      <c r="C604" s="9"/>
      <c r="D604" s="9"/>
      <c r="E604" s="9"/>
      <c r="F604" s="14"/>
      <c r="G604" s="14"/>
      <c r="H604" s="14"/>
      <c r="I604" s="14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 spans="1:22" ht="19.5" customHeight="1" x14ac:dyDescent="0.25">
      <c r="A605" s="9"/>
      <c r="B605" s="9"/>
      <c r="C605" s="9"/>
      <c r="D605" s="9"/>
      <c r="E605" s="9"/>
      <c r="F605" s="14"/>
      <c r="G605" s="14"/>
      <c r="H605" s="14"/>
      <c r="I605" s="14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 spans="1:22" ht="19.5" customHeight="1" x14ac:dyDescent="0.25">
      <c r="A606" s="9"/>
      <c r="B606" s="9"/>
      <c r="C606" s="9"/>
      <c r="D606" s="9"/>
      <c r="E606" s="9"/>
      <c r="F606" s="14"/>
      <c r="G606" s="14"/>
      <c r="H606" s="14"/>
      <c r="I606" s="14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 spans="1:22" ht="19.5" customHeight="1" x14ac:dyDescent="0.25">
      <c r="A607" s="9"/>
      <c r="B607" s="9"/>
      <c r="C607" s="9"/>
      <c r="D607" s="9"/>
      <c r="E607" s="9"/>
      <c r="F607" s="14"/>
      <c r="G607" s="14"/>
      <c r="H607" s="14"/>
      <c r="I607" s="14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 spans="1:22" ht="19.5" customHeight="1" x14ac:dyDescent="0.25">
      <c r="A608" s="9"/>
      <c r="B608" s="9"/>
      <c r="C608" s="9"/>
      <c r="D608" s="9"/>
      <c r="E608" s="9"/>
      <c r="F608" s="14"/>
      <c r="G608" s="14"/>
      <c r="H608" s="14"/>
      <c r="I608" s="14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 spans="1:22" ht="19.5" customHeight="1" x14ac:dyDescent="0.25">
      <c r="A609" s="9"/>
      <c r="B609" s="9"/>
      <c r="C609" s="9"/>
      <c r="D609" s="9"/>
      <c r="E609" s="9"/>
      <c r="F609" s="14"/>
      <c r="G609" s="14"/>
      <c r="H609" s="14"/>
      <c r="I609" s="14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 spans="1:22" ht="19.5" customHeight="1" x14ac:dyDescent="0.25">
      <c r="A610" s="9"/>
      <c r="B610" s="9"/>
      <c r="C610" s="9"/>
      <c r="D610" s="9"/>
      <c r="E610" s="9"/>
      <c r="F610" s="14"/>
      <c r="G610" s="14"/>
      <c r="H610" s="14"/>
      <c r="I610" s="14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 spans="1:22" ht="19.5" customHeight="1" x14ac:dyDescent="0.25">
      <c r="A611" s="9"/>
      <c r="B611" s="9"/>
      <c r="C611" s="9"/>
      <c r="D611" s="9"/>
      <c r="E611" s="9"/>
      <c r="F611" s="14"/>
      <c r="G611" s="14"/>
      <c r="H611" s="14"/>
      <c r="I611" s="14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 spans="1:22" ht="19.5" customHeight="1" x14ac:dyDescent="0.25">
      <c r="A612" s="9"/>
      <c r="B612" s="9"/>
      <c r="C612" s="9"/>
      <c r="D612" s="9"/>
      <c r="E612" s="9"/>
      <c r="F612" s="14"/>
      <c r="G612" s="14"/>
      <c r="H612" s="14"/>
      <c r="I612" s="14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 spans="1:22" ht="19.5" customHeight="1" x14ac:dyDescent="0.25">
      <c r="A613" s="9"/>
      <c r="B613" s="9"/>
      <c r="C613" s="9"/>
      <c r="D613" s="9"/>
      <c r="E613" s="9"/>
      <c r="F613" s="14"/>
      <c r="G613" s="14"/>
      <c r="H613" s="14"/>
      <c r="I613" s="14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 spans="1:22" ht="19.5" customHeight="1" x14ac:dyDescent="0.25">
      <c r="A614" s="9"/>
      <c r="B614" s="9"/>
      <c r="C614" s="9"/>
      <c r="D614" s="9"/>
      <c r="E614" s="9"/>
      <c r="F614" s="14"/>
      <c r="G614" s="14"/>
      <c r="H614" s="14"/>
      <c r="I614" s="14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 spans="1:22" ht="19.5" customHeight="1" x14ac:dyDescent="0.25">
      <c r="A615" s="9"/>
      <c r="B615" s="9"/>
      <c r="C615" s="9"/>
      <c r="D615" s="9"/>
      <c r="E615" s="9"/>
      <c r="F615" s="14"/>
      <c r="G615" s="14"/>
      <c r="H615" s="14"/>
      <c r="I615" s="14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 spans="1:22" ht="19.5" customHeight="1" x14ac:dyDescent="0.25">
      <c r="A616" s="9"/>
      <c r="B616" s="9"/>
      <c r="C616" s="9"/>
      <c r="D616" s="9"/>
      <c r="E616" s="9"/>
      <c r="F616" s="14"/>
      <c r="G616" s="14"/>
      <c r="H616" s="14"/>
      <c r="I616" s="14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 spans="1:22" ht="19.5" customHeight="1" x14ac:dyDescent="0.25">
      <c r="A617" s="9"/>
      <c r="B617" s="9"/>
      <c r="C617" s="9"/>
      <c r="D617" s="9"/>
      <c r="E617" s="9"/>
      <c r="F617" s="14"/>
      <c r="G617" s="14"/>
      <c r="H617" s="14"/>
      <c r="I617" s="14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 spans="1:22" ht="19.5" customHeight="1" x14ac:dyDescent="0.25">
      <c r="A618" s="9"/>
      <c r="B618" s="9"/>
      <c r="C618" s="9"/>
      <c r="D618" s="9"/>
      <c r="E618" s="9"/>
      <c r="F618" s="14"/>
      <c r="G618" s="14"/>
      <c r="H618" s="14"/>
      <c r="I618" s="14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 spans="1:22" ht="19.5" customHeight="1" x14ac:dyDescent="0.25">
      <c r="A619" s="9"/>
      <c r="B619" s="9"/>
      <c r="C619" s="9"/>
      <c r="D619" s="9"/>
      <c r="E619" s="9"/>
      <c r="F619" s="14"/>
      <c r="G619" s="14"/>
      <c r="H619" s="14"/>
      <c r="I619" s="14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 spans="1:22" ht="19.5" customHeight="1" x14ac:dyDescent="0.25">
      <c r="A620" s="9"/>
      <c r="B620" s="9"/>
      <c r="C620" s="9"/>
      <c r="D620" s="9"/>
      <c r="E620" s="9"/>
      <c r="F620" s="14"/>
      <c r="G620" s="14"/>
      <c r="H620" s="14"/>
      <c r="I620" s="14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 spans="1:22" ht="19.5" customHeight="1" x14ac:dyDescent="0.25">
      <c r="A621" s="9"/>
      <c r="B621" s="9"/>
      <c r="C621" s="9"/>
      <c r="D621" s="9"/>
      <c r="E621" s="9"/>
      <c r="F621" s="14"/>
      <c r="G621" s="14"/>
      <c r="H621" s="14"/>
      <c r="I621" s="14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 spans="1:22" ht="19.5" customHeight="1" x14ac:dyDescent="0.25">
      <c r="A622" s="9"/>
      <c r="B622" s="9"/>
      <c r="C622" s="9"/>
      <c r="D622" s="9"/>
      <c r="E622" s="9"/>
      <c r="F622" s="14"/>
      <c r="G622" s="14"/>
      <c r="H622" s="14"/>
      <c r="I622" s="14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 spans="1:22" ht="19.5" customHeight="1" x14ac:dyDescent="0.25">
      <c r="A623" s="9"/>
      <c r="B623" s="9"/>
      <c r="C623" s="9"/>
      <c r="D623" s="9"/>
      <c r="E623" s="9"/>
      <c r="F623" s="14"/>
      <c r="G623" s="14"/>
      <c r="H623" s="14"/>
      <c r="I623" s="14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 spans="1:22" ht="19.5" customHeight="1" x14ac:dyDescent="0.25">
      <c r="A624" s="9"/>
      <c r="B624" s="9"/>
      <c r="C624" s="9"/>
      <c r="D624" s="9"/>
      <c r="E624" s="9"/>
      <c r="F624" s="14"/>
      <c r="G624" s="14"/>
      <c r="H624" s="14"/>
      <c r="I624" s="14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 spans="1:22" ht="19.5" customHeight="1" x14ac:dyDescent="0.25">
      <c r="A625" s="9"/>
      <c r="B625" s="9"/>
      <c r="C625" s="9"/>
      <c r="D625" s="9"/>
      <c r="E625" s="9"/>
      <c r="F625" s="14"/>
      <c r="G625" s="14"/>
      <c r="H625" s="14"/>
      <c r="I625" s="14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 spans="1:22" ht="19.5" customHeight="1" x14ac:dyDescent="0.25">
      <c r="A626" s="9"/>
      <c r="B626" s="9"/>
      <c r="C626" s="9"/>
      <c r="D626" s="9"/>
      <c r="E626" s="9"/>
      <c r="F626" s="14"/>
      <c r="G626" s="14"/>
      <c r="H626" s="14"/>
      <c r="I626" s="14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 spans="1:22" ht="19.5" customHeight="1" x14ac:dyDescent="0.25">
      <c r="A627" s="9"/>
      <c r="B627" s="9"/>
      <c r="C627" s="9"/>
      <c r="D627" s="9"/>
      <c r="E627" s="9"/>
      <c r="F627" s="14"/>
      <c r="G627" s="14"/>
      <c r="H627" s="14"/>
      <c r="I627" s="14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 spans="1:22" ht="19.5" customHeight="1" x14ac:dyDescent="0.25">
      <c r="A628" s="9"/>
      <c r="B628" s="9"/>
      <c r="C628" s="9"/>
      <c r="D628" s="9"/>
      <c r="E628" s="9"/>
      <c r="F628" s="14"/>
      <c r="G628" s="14"/>
      <c r="H628" s="14"/>
      <c r="I628" s="14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 spans="1:22" ht="19.5" customHeight="1" x14ac:dyDescent="0.25">
      <c r="A629" s="9"/>
      <c r="B629" s="9"/>
      <c r="C629" s="9"/>
      <c r="D629" s="9"/>
      <c r="E629" s="9"/>
      <c r="F629" s="14"/>
      <c r="G629" s="14"/>
      <c r="H629" s="14"/>
      <c r="I629" s="14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 spans="1:22" ht="19.5" customHeight="1" x14ac:dyDescent="0.25">
      <c r="A630" s="9"/>
      <c r="B630" s="9"/>
      <c r="C630" s="9"/>
      <c r="D630" s="9"/>
      <c r="E630" s="9"/>
      <c r="F630" s="14"/>
      <c r="G630" s="14"/>
      <c r="H630" s="14"/>
      <c r="I630" s="14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 spans="1:22" ht="19.5" customHeight="1" x14ac:dyDescent="0.25">
      <c r="A631" s="9"/>
      <c r="B631" s="9"/>
      <c r="C631" s="9"/>
      <c r="D631" s="9"/>
      <c r="E631" s="9"/>
      <c r="F631" s="14"/>
      <c r="G631" s="14"/>
      <c r="H631" s="14"/>
      <c r="I631" s="14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 spans="1:22" ht="19.5" customHeight="1" x14ac:dyDescent="0.25">
      <c r="A632" s="9"/>
      <c r="B632" s="9"/>
      <c r="C632" s="9"/>
      <c r="D632" s="9"/>
      <c r="E632" s="9"/>
      <c r="F632" s="14"/>
      <c r="G632" s="14"/>
      <c r="H632" s="14"/>
      <c r="I632" s="14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 spans="1:22" ht="19.5" customHeight="1" x14ac:dyDescent="0.25">
      <c r="A633" s="9"/>
      <c r="B633" s="9"/>
      <c r="C633" s="9"/>
      <c r="D633" s="9"/>
      <c r="E633" s="9"/>
      <c r="F633" s="14"/>
      <c r="G633" s="14"/>
      <c r="H633" s="14"/>
      <c r="I633" s="14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 spans="1:22" ht="19.5" customHeight="1" x14ac:dyDescent="0.25">
      <c r="A634" s="9"/>
      <c r="B634" s="9"/>
      <c r="C634" s="9"/>
      <c r="D634" s="9"/>
      <c r="E634" s="9"/>
      <c r="F634" s="14"/>
      <c r="G634" s="14"/>
      <c r="H634" s="14"/>
      <c r="I634" s="14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 spans="1:22" ht="19.5" customHeight="1" x14ac:dyDescent="0.25">
      <c r="A635" s="9"/>
      <c r="B635" s="9"/>
      <c r="C635" s="9"/>
      <c r="D635" s="9"/>
      <c r="E635" s="9"/>
      <c r="F635" s="14"/>
      <c r="G635" s="14"/>
      <c r="H635" s="14"/>
      <c r="I635" s="14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 spans="1:22" ht="19.5" customHeight="1" x14ac:dyDescent="0.25">
      <c r="A636" s="9"/>
      <c r="B636" s="9"/>
      <c r="C636" s="9"/>
      <c r="D636" s="9"/>
      <c r="E636" s="9"/>
      <c r="F636" s="14"/>
      <c r="G636" s="14"/>
      <c r="H636" s="14"/>
      <c r="I636" s="14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 spans="1:22" ht="19.5" customHeight="1" x14ac:dyDescent="0.25">
      <c r="A637" s="9"/>
      <c r="B637" s="9"/>
      <c r="C637" s="9"/>
      <c r="D637" s="9"/>
      <c r="E637" s="9"/>
      <c r="F637" s="14"/>
      <c r="G637" s="14"/>
      <c r="H637" s="14"/>
      <c r="I637" s="14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 spans="1:22" ht="19.5" customHeight="1" x14ac:dyDescent="0.25">
      <c r="A638" s="9"/>
      <c r="B638" s="9"/>
      <c r="C638" s="9"/>
      <c r="D638" s="9"/>
      <c r="E638" s="9"/>
      <c r="F638" s="14"/>
      <c r="G638" s="14"/>
      <c r="H638" s="14"/>
      <c r="I638" s="14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 spans="1:22" ht="19.5" customHeight="1" x14ac:dyDescent="0.25">
      <c r="A639" s="9"/>
      <c r="B639" s="9"/>
      <c r="C639" s="9"/>
      <c r="D639" s="9"/>
      <c r="E639" s="9"/>
      <c r="F639" s="14"/>
      <c r="G639" s="14"/>
      <c r="H639" s="14"/>
      <c r="I639" s="14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 spans="1:22" ht="19.5" customHeight="1" x14ac:dyDescent="0.25">
      <c r="A640" s="9"/>
      <c r="B640" s="9"/>
      <c r="C640" s="9"/>
      <c r="D640" s="9"/>
      <c r="E640" s="9"/>
      <c r="F640" s="14"/>
      <c r="G640" s="14"/>
      <c r="H640" s="14"/>
      <c r="I640" s="14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 spans="1:22" ht="19.5" customHeight="1" x14ac:dyDescent="0.25">
      <c r="A641" s="9"/>
      <c r="B641" s="9"/>
      <c r="C641" s="9"/>
      <c r="D641" s="9"/>
      <c r="E641" s="9"/>
      <c r="F641" s="14"/>
      <c r="G641" s="14"/>
      <c r="H641" s="14"/>
      <c r="I641" s="14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 spans="1:22" ht="19.5" customHeight="1" x14ac:dyDescent="0.25">
      <c r="A642" s="9"/>
      <c r="B642" s="9"/>
      <c r="C642" s="9"/>
      <c r="D642" s="9"/>
      <c r="E642" s="9"/>
      <c r="F642" s="14"/>
      <c r="G642" s="14"/>
      <c r="H642" s="14"/>
      <c r="I642" s="14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 spans="1:22" ht="19.5" customHeight="1" x14ac:dyDescent="0.25">
      <c r="A643" s="9"/>
      <c r="B643" s="9"/>
      <c r="C643" s="9"/>
      <c r="D643" s="9"/>
      <c r="E643" s="9"/>
      <c r="F643" s="14"/>
      <c r="G643" s="14"/>
      <c r="H643" s="14"/>
      <c r="I643" s="14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 spans="1:22" ht="19.5" customHeight="1" x14ac:dyDescent="0.25">
      <c r="A644" s="9"/>
      <c r="B644" s="9"/>
      <c r="C644" s="9"/>
      <c r="D644" s="9"/>
      <c r="E644" s="9"/>
      <c r="F644" s="14"/>
      <c r="G644" s="14"/>
      <c r="H644" s="14"/>
      <c r="I644" s="14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 spans="1:22" ht="19.5" customHeight="1" x14ac:dyDescent="0.25">
      <c r="A645" s="9"/>
      <c r="B645" s="9"/>
      <c r="C645" s="9"/>
      <c r="D645" s="9"/>
      <c r="E645" s="9"/>
      <c r="F645" s="14"/>
      <c r="G645" s="14"/>
      <c r="H645" s="14"/>
      <c r="I645" s="14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 spans="1:22" ht="19.5" customHeight="1" x14ac:dyDescent="0.25">
      <c r="A646" s="9"/>
      <c r="B646" s="9"/>
      <c r="C646" s="9"/>
      <c r="D646" s="9"/>
      <c r="E646" s="9"/>
      <c r="F646" s="14"/>
      <c r="G646" s="14"/>
      <c r="H646" s="14"/>
      <c r="I646" s="14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 spans="1:22" ht="19.5" customHeight="1" x14ac:dyDescent="0.25">
      <c r="A647" s="9"/>
      <c r="B647" s="9"/>
      <c r="C647" s="9"/>
      <c r="D647" s="9"/>
      <c r="E647" s="9"/>
      <c r="F647" s="14"/>
      <c r="G647" s="14"/>
      <c r="H647" s="14"/>
      <c r="I647" s="14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 spans="1:22" ht="19.5" customHeight="1" x14ac:dyDescent="0.25">
      <c r="A648" s="9"/>
      <c r="B648" s="9"/>
      <c r="C648" s="9"/>
      <c r="D648" s="9"/>
      <c r="E648" s="9"/>
      <c r="F648" s="14"/>
      <c r="G648" s="14"/>
      <c r="H648" s="14"/>
      <c r="I648" s="14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 spans="1:22" ht="19.5" customHeight="1" x14ac:dyDescent="0.25">
      <c r="A649" s="9"/>
      <c r="B649" s="9"/>
      <c r="C649" s="9"/>
      <c r="D649" s="9"/>
      <c r="E649" s="9"/>
      <c r="F649" s="14"/>
      <c r="G649" s="14"/>
      <c r="H649" s="14"/>
      <c r="I649" s="14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 spans="1:22" ht="19.5" customHeight="1" x14ac:dyDescent="0.25">
      <c r="A650" s="9"/>
      <c r="B650" s="9"/>
      <c r="C650" s="9"/>
      <c r="D650" s="9"/>
      <c r="E650" s="9"/>
      <c r="F650" s="14"/>
      <c r="G650" s="14"/>
      <c r="H650" s="14"/>
      <c r="I650" s="14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spans="1:22" ht="19.5" customHeight="1" x14ac:dyDescent="0.25">
      <c r="A651" s="9"/>
      <c r="B651" s="9"/>
      <c r="C651" s="9"/>
      <c r="D651" s="9"/>
      <c r="E651" s="9"/>
      <c r="F651" s="14"/>
      <c r="G651" s="14"/>
      <c r="H651" s="14"/>
      <c r="I651" s="14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 spans="1:22" ht="19.5" customHeight="1" x14ac:dyDescent="0.25">
      <c r="A652" s="9"/>
      <c r="B652" s="9"/>
      <c r="C652" s="9"/>
      <c r="D652" s="9"/>
      <c r="E652" s="9"/>
      <c r="F652" s="14"/>
      <c r="G652" s="14"/>
      <c r="H652" s="14"/>
      <c r="I652" s="14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 spans="1:22" ht="19.5" customHeight="1" x14ac:dyDescent="0.25">
      <c r="A653" s="9"/>
      <c r="B653" s="9"/>
      <c r="C653" s="9"/>
      <c r="D653" s="9"/>
      <c r="E653" s="9"/>
      <c r="F653" s="14"/>
      <c r="G653" s="14"/>
      <c r="H653" s="14"/>
      <c r="I653" s="14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 spans="1:22" ht="19.5" customHeight="1" x14ac:dyDescent="0.25">
      <c r="A654" s="9"/>
      <c r="B654" s="9"/>
      <c r="C654" s="9"/>
      <c r="D654" s="9"/>
      <c r="E654" s="9"/>
      <c r="F654" s="14"/>
      <c r="G654" s="14"/>
      <c r="H654" s="14"/>
      <c r="I654" s="14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 spans="1:22" ht="19.5" customHeight="1" x14ac:dyDescent="0.25">
      <c r="A655" s="9"/>
      <c r="B655" s="9"/>
      <c r="C655" s="9"/>
      <c r="D655" s="9"/>
      <c r="E655" s="9"/>
      <c r="F655" s="14"/>
      <c r="G655" s="14"/>
      <c r="H655" s="14"/>
      <c r="I655" s="14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 spans="1:22" ht="19.5" customHeight="1" x14ac:dyDescent="0.25">
      <c r="A656" s="9"/>
      <c r="B656" s="9"/>
      <c r="C656" s="9"/>
      <c r="D656" s="9"/>
      <c r="E656" s="9"/>
      <c r="F656" s="14"/>
      <c r="G656" s="14"/>
      <c r="H656" s="14"/>
      <c r="I656" s="14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 spans="1:22" ht="19.5" customHeight="1" x14ac:dyDescent="0.25">
      <c r="A657" s="9"/>
      <c r="B657" s="9"/>
      <c r="C657" s="9"/>
      <c r="D657" s="9"/>
      <c r="E657" s="9"/>
      <c r="F657" s="14"/>
      <c r="G657" s="14"/>
      <c r="H657" s="14"/>
      <c r="I657" s="14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 spans="1:22" ht="19.5" customHeight="1" x14ac:dyDescent="0.25">
      <c r="A658" s="9"/>
      <c r="B658" s="9"/>
      <c r="C658" s="9"/>
      <c r="D658" s="9"/>
      <c r="E658" s="9"/>
      <c r="F658" s="14"/>
      <c r="G658" s="14"/>
      <c r="H658" s="14"/>
      <c r="I658" s="14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 spans="1:22" ht="19.5" customHeight="1" x14ac:dyDescent="0.25">
      <c r="A659" s="9"/>
      <c r="B659" s="9"/>
      <c r="C659" s="9"/>
      <c r="D659" s="9"/>
      <c r="E659" s="9"/>
      <c r="F659" s="14"/>
      <c r="G659" s="14"/>
      <c r="H659" s="14"/>
      <c r="I659" s="14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 spans="1:22" ht="19.5" customHeight="1" x14ac:dyDescent="0.25">
      <c r="A660" s="9"/>
      <c r="B660" s="9"/>
      <c r="C660" s="9"/>
      <c r="D660" s="9"/>
      <c r="E660" s="9"/>
      <c r="F660" s="14"/>
      <c r="G660" s="14"/>
      <c r="H660" s="14"/>
      <c r="I660" s="14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 spans="1:22" ht="19.5" customHeight="1" x14ac:dyDescent="0.25">
      <c r="A661" s="9"/>
      <c r="B661" s="9"/>
      <c r="C661" s="9"/>
      <c r="D661" s="9"/>
      <c r="E661" s="9"/>
      <c r="F661" s="14"/>
      <c r="G661" s="14"/>
      <c r="H661" s="14"/>
      <c r="I661" s="14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 spans="1:22" ht="19.5" customHeight="1" x14ac:dyDescent="0.25">
      <c r="A662" s="9"/>
      <c r="B662" s="9"/>
      <c r="C662" s="9"/>
      <c r="D662" s="9"/>
      <c r="E662" s="9"/>
      <c r="F662" s="14"/>
      <c r="G662" s="14"/>
      <c r="H662" s="14"/>
      <c r="I662" s="14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 spans="1:22" ht="19.5" customHeight="1" x14ac:dyDescent="0.25">
      <c r="A663" s="9"/>
      <c r="B663" s="9"/>
      <c r="C663" s="9"/>
      <c r="D663" s="9"/>
      <c r="E663" s="9"/>
      <c r="F663" s="14"/>
      <c r="G663" s="14"/>
      <c r="H663" s="14"/>
      <c r="I663" s="14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 spans="1:22" ht="19.5" customHeight="1" x14ac:dyDescent="0.25">
      <c r="A664" s="9"/>
      <c r="B664" s="9"/>
      <c r="C664" s="9"/>
      <c r="D664" s="9"/>
      <c r="E664" s="9"/>
      <c r="F664" s="14"/>
      <c r="G664" s="14"/>
      <c r="H664" s="14"/>
      <c r="I664" s="14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 spans="1:22" ht="19.5" customHeight="1" x14ac:dyDescent="0.25">
      <c r="A665" s="9"/>
      <c r="B665" s="9"/>
      <c r="C665" s="9"/>
      <c r="D665" s="9"/>
      <c r="E665" s="9"/>
      <c r="F665" s="14"/>
      <c r="G665" s="14"/>
      <c r="H665" s="14"/>
      <c r="I665" s="14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 spans="1:22" ht="19.5" customHeight="1" x14ac:dyDescent="0.25">
      <c r="A666" s="9"/>
      <c r="B666" s="9"/>
      <c r="C666" s="9"/>
      <c r="D666" s="9"/>
      <c r="E666" s="9"/>
      <c r="F666" s="14"/>
      <c r="G666" s="14"/>
      <c r="H666" s="14"/>
      <c r="I666" s="14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 spans="1:22" ht="19.5" customHeight="1" x14ac:dyDescent="0.25">
      <c r="A667" s="9"/>
      <c r="B667" s="9"/>
      <c r="C667" s="9"/>
      <c r="D667" s="9"/>
      <c r="E667" s="9"/>
      <c r="F667" s="14"/>
      <c r="G667" s="14"/>
      <c r="H667" s="14"/>
      <c r="I667" s="14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 spans="1:22" ht="19.5" customHeight="1" x14ac:dyDescent="0.25">
      <c r="A668" s="9"/>
      <c r="B668" s="9"/>
      <c r="C668" s="9"/>
      <c r="D668" s="9"/>
      <c r="E668" s="9"/>
      <c r="F668" s="14"/>
      <c r="G668" s="14"/>
      <c r="H668" s="14"/>
      <c r="I668" s="14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 spans="1:22" ht="19.5" customHeight="1" x14ac:dyDescent="0.25">
      <c r="A669" s="9"/>
      <c r="B669" s="9"/>
      <c r="C669" s="9"/>
      <c r="D669" s="9"/>
      <c r="E669" s="9"/>
      <c r="F669" s="14"/>
      <c r="G669" s="14"/>
      <c r="H669" s="14"/>
      <c r="I669" s="14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 spans="1:22" ht="19.5" customHeight="1" x14ac:dyDescent="0.25">
      <c r="A670" s="9"/>
      <c r="B670" s="9"/>
      <c r="C670" s="9"/>
      <c r="D670" s="9"/>
      <c r="E670" s="9"/>
      <c r="F670" s="14"/>
      <c r="G670" s="14"/>
      <c r="H670" s="14"/>
      <c r="I670" s="14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 spans="1:22" ht="19.5" customHeight="1" x14ac:dyDescent="0.25">
      <c r="A671" s="9"/>
      <c r="B671" s="9"/>
      <c r="C671" s="9"/>
      <c r="D671" s="9"/>
      <c r="E671" s="9"/>
      <c r="F671" s="14"/>
      <c r="G671" s="14"/>
      <c r="H671" s="14"/>
      <c r="I671" s="14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 spans="1:22" ht="19.5" customHeight="1" x14ac:dyDescent="0.25">
      <c r="A672" s="9"/>
      <c r="B672" s="9"/>
      <c r="C672" s="9"/>
      <c r="D672" s="9"/>
      <c r="E672" s="9"/>
      <c r="F672" s="14"/>
      <c r="G672" s="14"/>
      <c r="H672" s="14"/>
      <c r="I672" s="14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 spans="1:22" ht="19.5" customHeight="1" x14ac:dyDescent="0.25">
      <c r="A673" s="9"/>
      <c r="B673" s="9"/>
      <c r="C673" s="9"/>
      <c r="D673" s="9"/>
      <c r="E673" s="9"/>
      <c r="F673" s="14"/>
      <c r="G673" s="14"/>
      <c r="H673" s="14"/>
      <c r="I673" s="14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 spans="1:22" ht="19.5" customHeight="1" x14ac:dyDescent="0.25">
      <c r="A674" s="9"/>
      <c r="B674" s="9"/>
      <c r="C674" s="9"/>
      <c r="D674" s="9"/>
      <c r="E674" s="9"/>
      <c r="F674" s="14"/>
      <c r="G674" s="14"/>
      <c r="H674" s="14"/>
      <c r="I674" s="14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spans="1:22" ht="19.5" customHeight="1" x14ac:dyDescent="0.25">
      <c r="A675" s="9"/>
      <c r="B675" s="9"/>
      <c r="C675" s="9"/>
      <c r="D675" s="9"/>
      <c r="E675" s="9"/>
      <c r="F675" s="14"/>
      <c r="G675" s="14"/>
      <c r="H675" s="14"/>
      <c r="I675" s="14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 spans="1:22" ht="19.5" customHeight="1" x14ac:dyDescent="0.25">
      <c r="A676" s="9"/>
      <c r="B676" s="9"/>
      <c r="C676" s="9"/>
      <c r="D676" s="9"/>
      <c r="E676" s="9"/>
      <c r="F676" s="14"/>
      <c r="G676" s="14"/>
      <c r="H676" s="14"/>
      <c r="I676" s="14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spans="1:22" ht="19.5" customHeight="1" x14ac:dyDescent="0.25">
      <c r="A677" s="9"/>
      <c r="B677" s="9"/>
      <c r="C677" s="9"/>
      <c r="D677" s="9"/>
      <c r="E677" s="9"/>
      <c r="F677" s="14"/>
      <c r="G677" s="14"/>
      <c r="H677" s="14"/>
      <c r="I677" s="14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 spans="1:22" ht="19.5" customHeight="1" x14ac:dyDescent="0.25">
      <c r="A678" s="9"/>
      <c r="B678" s="9"/>
      <c r="C678" s="9"/>
      <c r="D678" s="9"/>
      <c r="E678" s="9"/>
      <c r="F678" s="14"/>
      <c r="G678" s="14"/>
      <c r="H678" s="14"/>
      <c r="I678" s="14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 spans="1:22" ht="19.5" customHeight="1" x14ac:dyDescent="0.25">
      <c r="A679" s="9"/>
      <c r="B679" s="9"/>
      <c r="C679" s="9"/>
      <c r="D679" s="9"/>
      <c r="E679" s="9"/>
      <c r="F679" s="14"/>
      <c r="G679" s="14"/>
      <c r="H679" s="14"/>
      <c r="I679" s="14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 spans="1:22" ht="19.5" customHeight="1" x14ac:dyDescent="0.25">
      <c r="A680" s="9"/>
      <c r="B680" s="9"/>
      <c r="C680" s="9"/>
      <c r="D680" s="9"/>
      <c r="E680" s="9"/>
      <c r="F680" s="14"/>
      <c r="G680" s="14"/>
      <c r="H680" s="14"/>
      <c r="I680" s="14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 spans="1:22" ht="19.5" customHeight="1" x14ac:dyDescent="0.25">
      <c r="A681" s="9"/>
      <c r="B681" s="9"/>
      <c r="C681" s="9"/>
      <c r="D681" s="9"/>
      <c r="E681" s="9"/>
      <c r="F681" s="14"/>
      <c r="G681" s="14"/>
      <c r="H681" s="14"/>
      <c r="I681" s="14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 spans="1:22" ht="19.5" customHeight="1" x14ac:dyDescent="0.25">
      <c r="A682" s="9"/>
      <c r="B682" s="9"/>
      <c r="C682" s="9"/>
      <c r="D682" s="9"/>
      <c r="E682" s="9"/>
      <c r="F682" s="14"/>
      <c r="G682" s="14"/>
      <c r="H682" s="14"/>
      <c r="I682" s="14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 spans="1:22" ht="19.5" customHeight="1" x14ac:dyDescent="0.25">
      <c r="A683" s="9"/>
      <c r="B683" s="9"/>
      <c r="C683" s="9"/>
      <c r="D683" s="9"/>
      <c r="E683" s="9"/>
      <c r="F683" s="14"/>
      <c r="G683" s="14"/>
      <c r="H683" s="14"/>
      <c r="I683" s="14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 spans="1:22" ht="19.5" customHeight="1" x14ac:dyDescent="0.25">
      <c r="A684" s="9"/>
      <c r="B684" s="9"/>
      <c r="C684" s="9"/>
      <c r="D684" s="9"/>
      <c r="E684" s="9"/>
      <c r="F684" s="14"/>
      <c r="G684" s="14"/>
      <c r="H684" s="14"/>
      <c r="I684" s="14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 spans="1:22" ht="19.5" customHeight="1" x14ac:dyDescent="0.25">
      <c r="A685" s="9"/>
      <c r="B685" s="9"/>
      <c r="C685" s="9"/>
      <c r="D685" s="9"/>
      <c r="E685" s="9"/>
      <c r="F685" s="14"/>
      <c r="G685" s="14"/>
      <c r="H685" s="14"/>
      <c r="I685" s="14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 spans="1:22" ht="19.5" customHeight="1" x14ac:dyDescent="0.25">
      <c r="A686" s="9"/>
      <c r="B686" s="9"/>
      <c r="C686" s="9"/>
      <c r="D686" s="9"/>
      <c r="E686" s="9"/>
      <c r="F686" s="14"/>
      <c r="G686" s="14"/>
      <c r="H686" s="14"/>
      <c r="I686" s="14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 spans="1:22" ht="19.5" customHeight="1" x14ac:dyDescent="0.25">
      <c r="A687" s="9"/>
      <c r="B687" s="9"/>
      <c r="C687" s="9"/>
      <c r="D687" s="9"/>
      <c r="E687" s="9"/>
      <c r="F687" s="14"/>
      <c r="G687" s="14"/>
      <c r="H687" s="14"/>
      <c r="I687" s="14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 spans="1:22" ht="19.5" customHeight="1" x14ac:dyDescent="0.25">
      <c r="A688" s="9"/>
      <c r="B688" s="9"/>
      <c r="C688" s="9"/>
      <c r="D688" s="9"/>
      <c r="E688" s="9"/>
      <c r="F688" s="14"/>
      <c r="G688" s="14"/>
      <c r="H688" s="14"/>
      <c r="I688" s="14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 spans="1:22" ht="19.5" customHeight="1" x14ac:dyDescent="0.25">
      <c r="A689" s="9"/>
      <c r="B689" s="9"/>
      <c r="C689" s="9"/>
      <c r="D689" s="9"/>
      <c r="E689" s="9"/>
      <c r="F689" s="14"/>
      <c r="G689" s="14"/>
      <c r="H689" s="14"/>
      <c r="I689" s="14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 spans="1:22" ht="19.5" customHeight="1" x14ac:dyDescent="0.25">
      <c r="A690" s="9"/>
      <c r="B690" s="9"/>
      <c r="C690" s="9"/>
      <c r="D690" s="9"/>
      <c r="E690" s="9"/>
      <c r="F690" s="14"/>
      <c r="G690" s="14"/>
      <c r="H690" s="14"/>
      <c r="I690" s="14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 spans="1:22" ht="19.5" customHeight="1" x14ac:dyDescent="0.25">
      <c r="A691" s="9"/>
      <c r="B691" s="9"/>
      <c r="C691" s="9"/>
      <c r="D691" s="9"/>
      <c r="E691" s="9"/>
      <c r="F691" s="14"/>
      <c r="G691" s="14"/>
      <c r="H691" s="14"/>
      <c r="I691" s="14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 spans="1:22" ht="19.5" customHeight="1" x14ac:dyDescent="0.25">
      <c r="A692" s="9"/>
      <c r="B692" s="9"/>
      <c r="C692" s="9"/>
      <c r="D692" s="9"/>
      <c r="E692" s="9"/>
      <c r="F692" s="14"/>
      <c r="G692" s="14"/>
      <c r="H692" s="14"/>
      <c r="I692" s="14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 spans="1:22" ht="19.5" customHeight="1" x14ac:dyDescent="0.25">
      <c r="A693" s="9"/>
      <c r="B693" s="9"/>
      <c r="C693" s="9"/>
      <c r="D693" s="9"/>
      <c r="E693" s="9"/>
      <c r="F693" s="14"/>
      <c r="G693" s="14"/>
      <c r="H693" s="14"/>
      <c r="I693" s="14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 spans="1:22" ht="19.5" customHeight="1" x14ac:dyDescent="0.25">
      <c r="A694" s="9"/>
      <c r="B694" s="9"/>
      <c r="C694" s="9"/>
      <c r="D694" s="9"/>
      <c r="E694" s="9"/>
      <c r="F694" s="14"/>
      <c r="G694" s="14"/>
      <c r="H694" s="14"/>
      <c r="I694" s="14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 spans="1:22" ht="19.5" customHeight="1" x14ac:dyDescent="0.25">
      <c r="A695" s="9"/>
      <c r="B695" s="9"/>
      <c r="C695" s="9"/>
      <c r="D695" s="9"/>
      <c r="E695" s="9"/>
      <c r="F695" s="14"/>
      <c r="G695" s="14"/>
      <c r="H695" s="14"/>
      <c r="I695" s="14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 spans="1:22" ht="19.5" customHeight="1" x14ac:dyDescent="0.25">
      <c r="A696" s="9"/>
      <c r="B696" s="9"/>
      <c r="C696" s="9"/>
      <c r="D696" s="9"/>
      <c r="E696" s="9"/>
      <c r="F696" s="14"/>
      <c r="G696" s="14"/>
      <c r="H696" s="14"/>
      <c r="I696" s="14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 spans="1:22" ht="19.5" customHeight="1" x14ac:dyDescent="0.25">
      <c r="A697" s="9"/>
      <c r="B697" s="9"/>
      <c r="C697" s="9"/>
      <c r="D697" s="9"/>
      <c r="E697" s="9"/>
      <c r="F697" s="14"/>
      <c r="G697" s="14"/>
      <c r="H697" s="14"/>
      <c r="I697" s="14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 spans="1:22" ht="19.5" customHeight="1" x14ac:dyDescent="0.25">
      <c r="A698" s="9"/>
      <c r="B698" s="9"/>
      <c r="C698" s="9"/>
      <c r="D698" s="9"/>
      <c r="E698" s="9"/>
      <c r="F698" s="14"/>
      <c r="G698" s="14"/>
      <c r="H698" s="14"/>
      <c r="I698" s="14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 spans="1:22" ht="19.5" customHeight="1" x14ac:dyDescent="0.25">
      <c r="A699" s="9"/>
      <c r="B699" s="9"/>
      <c r="C699" s="9"/>
      <c r="D699" s="9"/>
      <c r="E699" s="9"/>
      <c r="F699" s="14"/>
      <c r="G699" s="14"/>
      <c r="H699" s="14"/>
      <c r="I699" s="14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 spans="1:22" ht="19.5" customHeight="1" x14ac:dyDescent="0.25">
      <c r="A700" s="9"/>
      <c r="B700" s="9"/>
      <c r="C700" s="9"/>
      <c r="D700" s="9"/>
      <c r="E700" s="9"/>
      <c r="F700" s="14"/>
      <c r="G700" s="14"/>
      <c r="H700" s="14"/>
      <c r="I700" s="14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 spans="1:22" ht="19.5" customHeight="1" x14ac:dyDescent="0.25">
      <c r="A701" s="9"/>
      <c r="B701" s="9"/>
      <c r="C701" s="9"/>
      <c r="D701" s="9"/>
      <c r="E701" s="9"/>
      <c r="F701" s="14"/>
      <c r="G701" s="14"/>
      <c r="H701" s="14"/>
      <c r="I701" s="14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 spans="1:22" ht="19.5" customHeight="1" x14ac:dyDescent="0.25">
      <c r="A702" s="9"/>
      <c r="B702" s="9"/>
      <c r="C702" s="9"/>
      <c r="D702" s="9"/>
      <c r="E702" s="9"/>
      <c r="F702" s="14"/>
      <c r="G702" s="14"/>
      <c r="H702" s="14"/>
      <c r="I702" s="14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 spans="1:22" ht="19.5" customHeight="1" x14ac:dyDescent="0.25">
      <c r="A703" s="9"/>
      <c r="B703" s="9"/>
      <c r="C703" s="9"/>
      <c r="D703" s="9"/>
      <c r="E703" s="9"/>
      <c r="F703" s="14"/>
      <c r="G703" s="14"/>
      <c r="H703" s="14"/>
      <c r="I703" s="14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 spans="1:22" ht="19.5" customHeight="1" x14ac:dyDescent="0.25">
      <c r="A704" s="9"/>
      <c r="B704" s="9"/>
      <c r="C704" s="9"/>
      <c r="D704" s="9"/>
      <c r="E704" s="9"/>
      <c r="F704" s="14"/>
      <c r="G704" s="14"/>
      <c r="H704" s="14"/>
      <c r="I704" s="14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 spans="1:22" ht="19.5" customHeight="1" x14ac:dyDescent="0.25">
      <c r="A705" s="9"/>
      <c r="B705" s="9"/>
      <c r="C705" s="9"/>
      <c r="D705" s="9"/>
      <c r="E705" s="9"/>
      <c r="F705" s="14"/>
      <c r="G705" s="14"/>
      <c r="H705" s="14"/>
      <c r="I705" s="14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 spans="1:22" ht="19.5" customHeight="1" x14ac:dyDescent="0.25">
      <c r="A706" s="9"/>
      <c r="B706" s="9"/>
      <c r="C706" s="9"/>
      <c r="D706" s="9"/>
      <c r="E706" s="9"/>
      <c r="F706" s="14"/>
      <c r="G706" s="14"/>
      <c r="H706" s="14"/>
      <c r="I706" s="14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 spans="1:22" ht="19.5" customHeight="1" x14ac:dyDescent="0.25">
      <c r="A707" s="9"/>
      <c r="B707" s="9"/>
      <c r="C707" s="9"/>
      <c r="D707" s="9"/>
      <c r="E707" s="9"/>
      <c r="F707" s="14"/>
      <c r="G707" s="14"/>
      <c r="H707" s="14"/>
      <c r="I707" s="14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 spans="1:22" ht="19.5" customHeight="1" x14ac:dyDescent="0.25">
      <c r="A708" s="9"/>
      <c r="B708" s="9"/>
      <c r="C708" s="9"/>
      <c r="D708" s="9"/>
      <c r="E708" s="9"/>
      <c r="F708" s="14"/>
      <c r="G708" s="14"/>
      <c r="H708" s="14"/>
      <c r="I708" s="14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 spans="1:22" ht="19.5" customHeight="1" x14ac:dyDescent="0.25">
      <c r="A709" s="9"/>
      <c r="B709" s="9"/>
      <c r="C709" s="9"/>
      <c r="D709" s="9"/>
      <c r="E709" s="9"/>
      <c r="F709" s="14"/>
      <c r="G709" s="14"/>
      <c r="H709" s="14"/>
      <c r="I709" s="14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 spans="1:22" ht="19.5" customHeight="1" x14ac:dyDescent="0.25">
      <c r="A710" s="9"/>
      <c r="B710" s="9"/>
      <c r="C710" s="9"/>
      <c r="D710" s="9"/>
      <c r="E710" s="9"/>
      <c r="F710" s="14"/>
      <c r="G710" s="14"/>
      <c r="H710" s="14"/>
      <c r="I710" s="14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 spans="1:22" ht="19.5" customHeight="1" x14ac:dyDescent="0.25">
      <c r="A711" s="9"/>
      <c r="B711" s="9"/>
      <c r="C711" s="9"/>
      <c r="D711" s="9"/>
      <c r="E711" s="9"/>
      <c r="F711" s="14"/>
      <c r="G711" s="14"/>
      <c r="H711" s="14"/>
      <c r="I711" s="14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 spans="1:22" ht="19.5" customHeight="1" x14ac:dyDescent="0.25">
      <c r="A712" s="9"/>
      <c r="B712" s="9"/>
      <c r="C712" s="9"/>
      <c r="D712" s="9"/>
      <c r="E712" s="9"/>
      <c r="F712" s="14"/>
      <c r="G712" s="14"/>
      <c r="H712" s="14"/>
      <c r="I712" s="14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 spans="1:22" ht="19.5" customHeight="1" x14ac:dyDescent="0.25">
      <c r="A713" s="9"/>
      <c r="B713" s="9"/>
      <c r="C713" s="9"/>
      <c r="D713" s="9"/>
      <c r="E713" s="9"/>
      <c r="F713" s="14"/>
      <c r="G713" s="14"/>
      <c r="H713" s="14"/>
      <c r="I713" s="14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 spans="1:22" ht="19.5" customHeight="1" x14ac:dyDescent="0.25">
      <c r="A714" s="9"/>
      <c r="B714" s="9"/>
      <c r="C714" s="9"/>
      <c r="D714" s="9"/>
      <c r="E714" s="9"/>
      <c r="F714" s="14"/>
      <c r="G714" s="14"/>
      <c r="H714" s="14"/>
      <c r="I714" s="14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 spans="1:22" ht="19.5" customHeight="1" x14ac:dyDescent="0.25">
      <c r="A715" s="9"/>
      <c r="B715" s="9"/>
      <c r="C715" s="9"/>
      <c r="D715" s="9"/>
      <c r="E715" s="9"/>
      <c r="F715" s="14"/>
      <c r="G715" s="14"/>
      <c r="H715" s="14"/>
      <c r="I715" s="14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 spans="1:22" ht="19.5" customHeight="1" x14ac:dyDescent="0.25">
      <c r="A716" s="9"/>
      <c r="B716" s="9"/>
      <c r="C716" s="9"/>
      <c r="D716" s="9"/>
      <c r="E716" s="9"/>
      <c r="F716" s="14"/>
      <c r="G716" s="14"/>
      <c r="H716" s="14"/>
      <c r="I716" s="14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 spans="1:22" ht="19.5" customHeight="1" x14ac:dyDescent="0.25">
      <c r="A717" s="9"/>
      <c r="B717" s="9"/>
      <c r="C717" s="9"/>
      <c r="D717" s="9"/>
      <c r="E717" s="9"/>
      <c r="F717" s="14"/>
      <c r="G717" s="14"/>
      <c r="H717" s="14"/>
      <c r="I717" s="14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 spans="1:22" ht="19.5" customHeight="1" x14ac:dyDescent="0.25">
      <c r="A718" s="9"/>
      <c r="B718" s="9"/>
      <c r="C718" s="9"/>
      <c r="D718" s="9"/>
      <c r="E718" s="9"/>
      <c r="F718" s="14"/>
      <c r="G718" s="14"/>
      <c r="H718" s="14"/>
      <c r="I718" s="14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 spans="1:22" ht="19.5" customHeight="1" x14ac:dyDescent="0.25">
      <c r="A719" s="9"/>
      <c r="B719" s="9"/>
      <c r="C719" s="9"/>
      <c r="D719" s="9"/>
      <c r="E719" s="9"/>
      <c r="F719" s="14"/>
      <c r="G719" s="14"/>
      <c r="H719" s="14"/>
      <c r="I719" s="14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 spans="1:22" ht="19.5" customHeight="1" x14ac:dyDescent="0.25">
      <c r="A720" s="9"/>
      <c r="B720" s="9"/>
      <c r="C720" s="9"/>
      <c r="D720" s="9"/>
      <c r="E720" s="9"/>
      <c r="F720" s="14"/>
      <c r="G720" s="14"/>
      <c r="H720" s="14"/>
      <c r="I720" s="14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 spans="1:22" ht="19.5" customHeight="1" x14ac:dyDescent="0.25">
      <c r="A721" s="9"/>
      <c r="B721" s="9"/>
      <c r="C721" s="9"/>
      <c r="D721" s="9"/>
      <c r="E721" s="9"/>
      <c r="F721" s="14"/>
      <c r="G721" s="14"/>
      <c r="H721" s="14"/>
      <c r="I721" s="14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 spans="1:22" ht="19.5" customHeight="1" x14ac:dyDescent="0.25">
      <c r="A722" s="9"/>
      <c r="B722" s="9"/>
      <c r="C722" s="9"/>
      <c r="D722" s="9"/>
      <c r="E722" s="9"/>
      <c r="F722" s="14"/>
      <c r="G722" s="14"/>
      <c r="H722" s="14"/>
      <c r="I722" s="14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 spans="1:22" ht="19.5" customHeight="1" x14ac:dyDescent="0.25">
      <c r="A723" s="9"/>
      <c r="B723" s="9"/>
      <c r="C723" s="9"/>
      <c r="D723" s="9"/>
      <c r="E723" s="9"/>
      <c r="F723" s="14"/>
      <c r="G723" s="14"/>
      <c r="H723" s="14"/>
      <c r="I723" s="14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 spans="1:22" ht="19.5" customHeight="1" x14ac:dyDescent="0.25">
      <c r="A724" s="9"/>
      <c r="B724" s="9"/>
      <c r="C724" s="9"/>
      <c r="D724" s="9"/>
      <c r="E724" s="9"/>
      <c r="F724" s="14"/>
      <c r="G724" s="14"/>
      <c r="H724" s="14"/>
      <c r="I724" s="14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 spans="1:22" ht="19.5" customHeight="1" x14ac:dyDescent="0.25">
      <c r="A725" s="9"/>
      <c r="B725" s="9"/>
      <c r="C725" s="9"/>
      <c r="D725" s="9"/>
      <c r="E725" s="9"/>
      <c r="F725" s="14"/>
      <c r="G725" s="14"/>
      <c r="H725" s="14"/>
      <c r="I725" s="14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 spans="1:22" ht="19.5" customHeight="1" x14ac:dyDescent="0.25">
      <c r="A726" s="9"/>
      <c r="B726" s="9"/>
      <c r="C726" s="9"/>
      <c r="D726" s="9"/>
      <c r="E726" s="9"/>
      <c r="F726" s="14"/>
      <c r="G726" s="14"/>
      <c r="H726" s="14"/>
      <c r="I726" s="14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 spans="1:22" ht="19.5" customHeight="1" x14ac:dyDescent="0.25">
      <c r="A727" s="9"/>
      <c r="B727" s="9"/>
      <c r="C727" s="9"/>
      <c r="D727" s="9"/>
      <c r="E727" s="9"/>
      <c r="F727" s="14"/>
      <c r="G727" s="14"/>
      <c r="H727" s="14"/>
      <c r="I727" s="14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 spans="1:22" ht="19.5" customHeight="1" x14ac:dyDescent="0.25">
      <c r="A728" s="9"/>
      <c r="B728" s="9"/>
      <c r="C728" s="9"/>
      <c r="D728" s="9"/>
      <c r="E728" s="9"/>
      <c r="F728" s="14"/>
      <c r="G728" s="14"/>
      <c r="H728" s="14"/>
      <c r="I728" s="14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 spans="1:22" ht="19.5" customHeight="1" x14ac:dyDescent="0.25">
      <c r="A729" s="9"/>
      <c r="B729" s="9"/>
      <c r="C729" s="9"/>
      <c r="D729" s="9"/>
      <c r="E729" s="9"/>
      <c r="F729" s="14"/>
      <c r="G729" s="14"/>
      <c r="H729" s="14"/>
      <c r="I729" s="14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 spans="1:22" ht="19.5" customHeight="1" x14ac:dyDescent="0.25">
      <c r="A730" s="9"/>
      <c r="B730" s="9"/>
      <c r="C730" s="9"/>
      <c r="D730" s="9"/>
      <c r="E730" s="9"/>
      <c r="F730" s="14"/>
      <c r="G730" s="14"/>
      <c r="H730" s="14"/>
      <c r="I730" s="14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 spans="1:22" ht="19.5" customHeight="1" x14ac:dyDescent="0.25">
      <c r="A731" s="9"/>
      <c r="B731" s="9"/>
      <c r="C731" s="9"/>
      <c r="D731" s="9"/>
      <c r="E731" s="9"/>
      <c r="F731" s="14"/>
      <c r="G731" s="14"/>
      <c r="H731" s="14"/>
      <c r="I731" s="14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 spans="1:22" ht="19.5" customHeight="1" x14ac:dyDescent="0.25">
      <c r="A732" s="9"/>
      <c r="B732" s="9"/>
      <c r="C732" s="9"/>
      <c r="D732" s="9"/>
      <c r="E732" s="9"/>
      <c r="F732" s="14"/>
      <c r="G732" s="14"/>
      <c r="H732" s="14"/>
      <c r="I732" s="14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 spans="1:22" ht="19.5" customHeight="1" x14ac:dyDescent="0.25">
      <c r="A733" s="9"/>
      <c r="B733" s="9"/>
      <c r="C733" s="9"/>
      <c r="D733" s="9"/>
      <c r="E733" s="9"/>
      <c r="F733" s="14"/>
      <c r="G733" s="14"/>
      <c r="H733" s="14"/>
      <c r="I733" s="14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 spans="1:22" ht="19.5" customHeight="1" x14ac:dyDescent="0.25">
      <c r="A734" s="9"/>
      <c r="B734" s="9"/>
      <c r="C734" s="9"/>
      <c r="D734" s="9"/>
      <c r="E734" s="9"/>
      <c r="F734" s="14"/>
      <c r="G734" s="14"/>
      <c r="H734" s="14"/>
      <c r="I734" s="14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 spans="1:22" ht="19.5" customHeight="1" x14ac:dyDescent="0.25">
      <c r="A735" s="9"/>
      <c r="B735" s="9"/>
      <c r="C735" s="9"/>
      <c r="D735" s="9"/>
      <c r="E735" s="9"/>
      <c r="F735" s="14"/>
      <c r="G735" s="14"/>
      <c r="H735" s="14"/>
      <c r="I735" s="14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 spans="1:22" ht="19.5" customHeight="1" x14ac:dyDescent="0.25">
      <c r="A736" s="9"/>
      <c r="B736" s="9"/>
      <c r="C736" s="9"/>
      <c r="D736" s="9"/>
      <c r="E736" s="9"/>
      <c r="F736" s="14"/>
      <c r="G736" s="14"/>
      <c r="H736" s="14"/>
      <c r="I736" s="14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 spans="1:22" ht="19.5" customHeight="1" x14ac:dyDescent="0.25">
      <c r="A737" s="9"/>
      <c r="B737" s="9"/>
      <c r="C737" s="9"/>
      <c r="D737" s="9"/>
      <c r="E737" s="9"/>
      <c r="F737" s="14"/>
      <c r="G737" s="14"/>
      <c r="H737" s="14"/>
      <c r="I737" s="14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 spans="1:22" ht="19.5" customHeight="1" x14ac:dyDescent="0.25">
      <c r="A738" s="9"/>
      <c r="B738" s="9"/>
      <c r="C738" s="9"/>
      <c r="D738" s="9"/>
      <c r="E738" s="9"/>
      <c r="F738" s="14"/>
      <c r="G738" s="14"/>
      <c r="H738" s="14"/>
      <c r="I738" s="14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 spans="1:22" ht="19.5" customHeight="1" x14ac:dyDescent="0.25">
      <c r="A739" s="9"/>
      <c r="B739" s="9"/>
      <c r="C739" s="9"/>
      <c r="D739" s="9"/>
      <c r="E739" s="9"/>
      <c r="F739" s="14"/>
      <c r="G739" s="14"/>
      <c r="H739" s="14"/>
      <c r="I739" s="14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 spans="1:22" ht="19.5" customHeight="1" x14ac:dyDescent="0.25">
      <c r="A740" s="9"/>
      <c r="B740" s="9"/>
      <c r="C740" s="9"/>
      <c r="D740" s="9"/>
      <c r="E740" s="9"/>
      <c r="F740" s="14"/>
      <c r="G740" s="14"/>
      <c r="H740" s="14"/>
      <c r="I740" s="14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 spans="1:22" ht="19.5" customHeight="1" x14ac:dyDescent="0.25">
      <c r="A741" s="9"/>
      <c r="B741" s="9"/>
      <c r="C741" s="9"/>
      <c r="D741" s="9"/>
      <c r="E741" s="9"/>
      <c r="F741" s="14"/>
      <c r="G741" s="14"/>
      <c r="H741" s="14"/>
      <c r="I741" s="14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 spans="1:22" ht="19.5" customHeight="1" x14ac:dyDescent="0.25">
      <c r="A742" s="9"/>
      <c r="B742" s="9"/>
      <c r="C742" s="9"/>
      <c r="D742" s="9"/>
      <c r="E742" s="9"/>
      <c r="F742" s="14"/>
      <c r="G742" s="14"/>
      <c r="H742" s="14"/>
      <c r="I742" s="14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 spans="1:22" ht="19.5" customHeight="1" x14ac:dyDescent="0.25">
      <c r="A743" s="9"/>
      <c r="B743" s="9"/>
      <c r="C743" s="9"/>
      <c r="D743" s="9"/>
      <c r="E743" s="9"/>
      <c r="F743" s="14"/>
      <c r="G743" s="14"/>
      <c r="H743" s="14"/>
      <c r="I743" s="14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 spans="1:22" ht="19.5" customHeight="1" x14ac:dyDescent="0.25">
      <c r="A744" s="9"/>
      <c r="B744" s="9"/>
      <c r="C744" s="9"/>
      <c r="D744" s="9"/>
      <c r="E744" s="9"/>
      <c r="F744" s="14"/>
      <c r="G744" s="14"/>
      <c r="H744" s="14"/>
      <c r="I744" s="14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 spans="1:22" ht="19.5" customHeight="1" x14ac:dyDescent="0.25">
      <c r="A745" s="9"/>
      <c r="B745" s="9"/>
      <c r="C745" s="9"/>
      <c r="D745" s="9"/>
      <c r="E745" s="9"/>
      <c r="F745" s="14"/>
      <c r="G745" s="14"/>
      <c r="H745" s="14"/>
      <c r="I745" s="14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 spans="1:22" ht="19.5" customHeight="1" x14ac:dyDescent="0.25">
      <c r="A746" s="9"/>
      <c r="B746" s="9"/>
      <c r="C746" s="9"/>
      <c r="D746" s="9"/>
      <c r="E746" s="9"/>
      <c r="F746" s="14"/>
      <c r="G746" s="14"/>
      <c r="H746" s="14"/>
      <c r="I746" s="14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 spans="1:22" ht="19.5" customHeight="1" x14ac:dyDescent="0.25">
      <c r="A747" s="9"/>
      <c r="B747" s="9"/>
      <c r="C747" s="9"/>
      <c r="D747" s="9"/>
      <c r="E747" s="9"/>
      <c r="F747" s="14"/>
      <c r="G747" s="14"/>
      <c r="H747" s="14"/>
      <c r="I747" s="14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 spans="1:22" ht="19.5" customHeight="1" x14ac:dyDescent="0.25">
      <c r="A748" s="9"/>
      <c r="B748" s="9"/>
      <c r="C748" s="9"/>
      <c r="D748" s="9"/>
      <c r="E748" s="9"/>
      <c r="F748" s="14"/>
      <c r="G748" s="14"/>
      <c r="H748" s="14"/>
      <c r="I748" s="14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 spans="1:22" ht="19.5" customHeight="1" x14ac:dyDescent="0.25">
      <c r="A749" s="9"/>
      <c r="B749" s="9"/>
      <c r="C749" s="9"/>
      <c r="D749" s="9"/>
      <c r="E749" s="9"/>
      <c r="F749" s="14"/>
      <c r="G749" s="14"/>
      <c r="H749" s="14"/>
      <c r="I749" s="14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 spans="1:22" ht="19.5" customHeight="1" x14ac:dyDescent="0.25">
      <c r="A750" s="9"/>
      <c r="B750" s="9"/>
      <c r="C750" s="9"/>
      <c r="D750" s="9"/>
      <c r="E750" s="9"/>
      <c r="F750" s="14"/>
      <c r="G750" s="14"/>
      <c r="H750" s="14"/>
      <c r="I750" s="14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 spans="1:22" ht="19.5" customHeight="1" x14ac:dyDescent="0.25">
      <c r="A751" s="9"/>
      <c r="B751" s="9"/>
      <c r="C751" s="9"/>
      <c r="D751" s="9"/>
      <c r="E751" s="9"/>
      <c r="F751" s="14"/>
      <c r="G751" s="14"/>
      <c r="H751" s="14"/>
      <c r="I751" s="14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 spans="1:22" ht="19.5" customHeight="1" x14ac:dyDescent="0.25">
      <c r="A752" s="9"/>
      <c r="B752" s="9"/>
      <c r="C752" s="9"/>
      <c r="D752" s="9"/>
      <c r="E752" s="9"/>
      <c r="F752" s="14"/>
      <c r="G752" s="14"/>
      <c r="H752" s="14"/>
      <c r="I752" s="14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 spans="1:22" ht="19.5" customHeight="1" x14ac:dyDescent="0.25">
      <c r="A753" s="9"/>
      <c r="B753" s="9"/>
      <c r="C753" s="9"/>
      <c r="D753" s="9"/>
      <c r="E753" s="9"/>
      <c r="F753" s="14"/>
      <c r="G753" s="14"/>
      <c r="H753" s="14"/>
      <c r="I753" s="14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 spans="1:22" ht="19.5" customHeight="1" x14ac:dyDescent="0.25">
      <c r="A754" s="9"/>
      <c r="B754" s="9"/>
      <c r="C754" s="9"/>
      <c r="D754" s="9"/>
      <c r="E754" s="9"/>
      <c r="F754" s="14"/>
      <c r="G754" s="14"/>
      <c r="H754" s="14"/>
      <c r="I754" s="14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 spans="1:22" ht="19.5" customHeight="1" x14ac:dyDescent="0.25">
      <c r="A755" s="9"/>
      <c r="B755" s="9"/>
      <c r="C755" s="9"/>
      <c r="D755" s="9"/>
      <c r="E755" s="9"/>
      <c r="F755" s="14"/>
      <c r="G755" s="14"/>
      <c r="H755" s="14"/>
      <c r="I755" s="14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 spans="1:22" ht="19.5" customHeight="1" x14ac:dyDescent="0.25">
      <c r="A756" s="9"/>
      <c r="B756" s="9"/>
      <c r="C756" s="9"/>
      <c r="D756" s="9"/>
      <c r="E756" s="9"/>
      <c r="F756" s="14"/>
      <c r="G756" s="14"/>
      <c r="H756" s="14"/>
      <c r="I756" s="14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 spans="1:22" ht="19.5" customHeight="1" x14ac:dyDescent="0.25">
      <c r="A757" s="9"/>
      <c r="B757" s="9"/>
      <c r="C757" s="9"/>
      <c r="D757" s="9"/>
      <c r="E757" s="9"/>
      <c r="F757" s="14"/>
      <c r="G757" s="14"/>
      <c r="H757" s="14"/>
      <c r="I757" s="14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 spans="1:22" ht="19.5" customHeight="1" x14ac:dyDescent="0.25">
      <c r="A758" s="9"/>
      <c r="B758" s="9"/>
      <c r="C758" s="9"/>
      <c r="D758" s="9"/>
      <c r="E758" s="9"/>
      <c r="F758" s="14"/>
      <c r="G758" s="14"/>
      <c r="H758" s="14"/>
      <c r="I758" s="14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 spans="1:22" ht="19.5" customHeight="1" x14ac:dyDescent="0.25">
      <c r="A759" s="9"/>
      <c r="B759" s="9"/>
      <c r="C759" s="9"/>
      <c r="D759" s="9"/>
      <c r="E759" s="9"/>
      <c r="F759" s="14"/>
      <c r="G759" s="14"/>
      <c r="H759" s="14"/>
      <c r="I759" s="14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 spans="1:22" ht="19.5" customHeight="1" x14ac:dyDescent="0.25">
      <c r="A760" s="9"/>
      <c r="B760" s="9"/>
      <c r="C760" s="9"/>
      <c r="D760" s="9"/>
      <c r="E760" s="9"/>
      <c r="F760" s="14"/>
      <c r="G760" s="14"/>
      <c r="H760" s="14"/>
      <c r="I760" s="14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 spans="1:22" ht="19.5" customHeight="1" x14ac:dyDescent="0.25">
      <c r="A761" s="9"/>
      <c r="B761" s="9"/>
      <c r="C761" s="9"/>
      <c r="D761" s="9"/>
      <c r="E761" s="9"/>
      <c r="F761" s="14"/>
      <c r="G761" s="14"/>
      <c r="H761" s="14"/>
      <c r="I761" s="14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 spans="1:22" ht="19.5" customHeight="1" x14ac:dyDescent="0.25">
      <c r="A762" s="9"/>
      <c r="B762" s="9"/>
      <c r="C762" s="9"/>
      <c r="D762" s="9"/>
      <c r="E762" s="9"/>
      <c r="F762" s="14"/>
      <c r="G762" s="14"/>
      <c r="H762" s="14"/>
      <c r="I762" s="14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 spans="1:22" ht="19.5" customHeight="1" x14ac:dyDescent="0.25">
      <c r="A763" s="9"/>
      <c r="B763" s="9"/>
      <c r="C763" s="9"/>
      <c r="D763" s="9"/>
      <c r="E763" s="9"/>
      <c r="F763" s="14"/>
      <c r="G763" s="14"/>
      <c r="H763" s="14"/>
      <c r="I763" s="14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 spans="1:22" ht="19.5" customHeight="1" x14ac:dyDescent="0.25">
      <c r="A764" s="9"/>
      <c r="B764" s="9"/>
      <c r="C764" s="9"/>
      <c r="D764" s="9"/>
      <c r="E764" s="9"/>
      <c r="F764" s="14"/>
      <c r="G764" s="14"/>
      <c r="H764" s="14"/>
      <c r="I764" s="14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 spans="1:22" ht="19.5" customHeight="1" x14ac:dyDescent="0.25">
      <c r="A765" s="9"/>
      <c r="B765" s="9"/>
      <c r="C765" s="9"/>
      <c r="D765" s="9"/>
      <c r="E765" s="9"/>
      <c r="F765" s="14"/>
      <c r="G765" s="14"/>
      <c r="H765" s="14"/>
      <c r="I765" s="14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 spans="1:22" ht="19.5" customHeight="1" x14ac:dyDescent="0.25">
      <c r="A766" s="9"/>
      <c r="B766" s="9"/>
      <c r="C766" s="9"/>
      <c r="D766" s="9"/>
      <c r="E766" s="9"/>
      <c r="F766" s="14"/>
      <c r="G766" s="14"/>
      <c r="H766" s="14"/>
      <c r="I766" s="14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 spans="1:22" ht="19.5" customHeight="1" x14ac:dyDescent="0.25">
      <c r="A767" s="9"/>
      <c r="B767" s="9"/>
      <c r="C767" s="9"/>
      <c r="D767" s="9"/>
      <c r="E767" s="9"/>
      <c r="F767" s="14"/>
      <c r="G767" s="14"/>
      <c r="H767" s="14"/>
      <c r="I767" s="14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 spans="1:22" ht="19.5" customHeight="1" x14ac:dyDescent="0.25">
      <c r="A768" s="9"/>
      <c r="B768" s="9"/>
      <c r="C768" s="9"/>
      <c r="D768" s="9"/>
      <c r="E768" s="9"/>
      <c r="F768" s="14"/>
      <c r="G768" s="14"/>
      <c r="H768" s="14"/>
      <c r="I768" s="14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 spans="1:22" ht="19.5" customHeight="1" x14ac:dyDescent="0.25">
      <c r="A769" s="9"/>
      <c r="B769" s="9"/>
      <c r="C769" s="9"/>
      <c r="D769" s="9"/>
      <c r="E769" s="9"/>
      <c r="F769" s="14"/>
      <c r="G769" s="14"/>
      <c r="H769" s="14"/>
      <c r="I769" s="14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 spans="1:22" ht="19.5" customHeight="1" x14ac:dyDescent="0.25">
      <c r="A770" s="9"/>
      <c r="B770" s="9"/>
      <c r="C770" s="9"/>
      <c r="D770" s="9"/>
      <c r="E770" s="9"/>
      <c r="F770" s="14"/>
      <c r="G770" s="14"/>
      <c r="H770" s="14"/>
      <c r="I770" s="14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 spans="1:22" ht="19.5" customHeight="1" x14ac:dyDescent="0.25">
      <c r="A771" s="9"/>
      <c r="B771" s="9"/>
      <c r="C771" s="9"/>
      <c r="D771" s="9"/>
      <c r="E771" s="9"/>
      <c r="F771" s="14"/>
      <c r="G771" s="14"/>
      <c r="H771" s="14"/>
      <c r="I771" s="14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 spans="1:22" ht="19.5" customHeight="1" x14ac:dyDescent="0.25">
      <c r="A772" s="9"/>
      <c r="B772" s="9"/>
      <c r="C772" s="9"/>
      <c r="D772" s="9"/>
      <c r="E772" s="9"/>
      <c r="F772" s="14"/>
      <c r="G772" s="14"/>
      <c r="H772" s="14"/>
      <c r="I772" s="14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 spans="1:22" ht="19.5" customHeight="1" x14ac:dyDescent="0.25">
      <c r="A773" s="9"/>
      <c r="B773" s="9"/>
      <c r="C773" s="9"/>
      <c r="D773" s="9"/>
      <c r="E773" s="9"/>
      <c r="F773" s="14"/>
      <c r="G773" s="14"/>
      <c r="H773" s="14"/>
      <c r="I773" s="14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 spans="1:22" ht="19.5" customHeight="1" x14ac:dyDescent="0.25">
      <c r="A774" s="9"/>
      <c r="B774" s="9"/>
      <c r="C774" s="9"/>
      <c r="D774" s="9"/>
      <c r="E774" s="9"/>
      <c r="F774" s="14"/>
      <c r="G774" s="14"/>
      <c r="H774" s="14"/>
      <c r="I774" s="14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 spans="1:22" ht="19.5" customHeight="1" x14ac:dyDescent="0.25">
      <c r="A775" s="9"/>
      <c r="B775" s="9"/>
      <c r="C775" s="9"/>
      <c r="D775" s="9"/>
      <c r="E775" s="9"/>
      <c r="F775" s="14"/>
      <c r="G775" s="14"/>
      <c r="H775" s="14"/>
      <c r="I775" s="14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 spans="1:22" ht="19.5" customHeight="1" x14ac:dyDescent="0.25">
      <c r="A776" s="9"/>
      <c r="B776" s="9"/>
      <c r="C776" s="9"/>
      <c r="D776" s="9"/>
      <c r="E776" s="9"/>
      <c r="F776" s="14"/>
      <c r="G776" s="14"/>
      <c r="H776" s="14"/>
      <c r="I776" s="14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 spans="1:22" ht="19.5" customHeight="1" x14ac:dyDescent="0.25">
      <c r="A777" s="9"/>
      <c r="B777" s="9"/>
      <c r="C777" s="9"/>
      <c r="D777" s="9"/>
      <c r="E777" s="9"/>
      <c r="F777" s="14"/>
      <c r="G777" s="14"/>
      <c r="H777" s="14"/>
      <c r="I777" s="14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 spans="1:22" ht="19.5" customHeight="1" x14ac:dyDescent="0.25">
      <c r="A778" s="9"/>
      <c r="B778" s="9"/>
      <c r="C778" s="9"/>
      <c r="D778" s="9"/>
      <c r="E778" s="9"/>
      <c r="F778" s="14"/>
      <c r="G778" s="14"/>
      <c r="H778" s="14"/>
      <c r="I778" s="14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 spans="1:22" ht="19.5" customHeight="1" x14ac:dyDescent="0.25">
      <c r="A779" s="9"/>
      <c r="B779" s="9"/>
      <c r="C779" s="9"/>
      <c r="D779" s="9"/>
      <c r="E779" s="9"/>
      <c r="F779" s="14"/>
      <c r="G779" s="14"/>
      <c r="H779" s="14"/>
      <c r="I779" s="14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 spans="1:22" ht="19.5" customHeight="1" x14ac:dyDescent="0.25">
      <c r="A780" s="9"/>
      <c r="B780" s="9"/>
      <c r="C780" s="9"/>
      <c r="D780" s="9"/>
      <c r="E780" s="9"/>
      <c r="F780" s="14"/>
      <c r="G780" s="14"/>
      <c r="H780" s="14"/>
      <c r="I780" s="14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 spans="1:22" ht="19.5" customHeight="1" x14ac:dyDescent="0.25">
      <c r="A781" s="9"/>
      <c r="B781" s="9"/>
      <c r="C781" s="9"/>
      <c r="D781" s="9"/>
      <c r="E781" s="9"/>
      <c r="F781" s="14"/>
      <c r="G781" s="14"/>
      <c r="H781" s="14"/>
      <c r="I781" s="14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 spans="1:22" ht="19.5" customHeight="1" x14ac:dyDescent="0.25">
      <c r="A782" s="9"/>
      <c r="B782" s="9"/>
      <c r="C782" s="9"/>
      <c r="D782" s="9"/>
      <c r="E782" s="9"/>
      <c r="F782" s="14"/>
      <c r="G782" s="14"/>
      <c r="H782" s="14"/>
      <c r="I782" s="14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 spans="1:22" ht="19.5" customHeight="1" x14ac:dyDescent="0.25">
      <c r="A783" s="9"/>
      <c r="B783" s="9"/>
      <c r="C783" s="9"/>
      <c r="D783" s="9"/>
      <c r="E783" s="9"/>
      <c r="F783" s="14"/>
      <c r="G783" s="14"/>
      <c r="H783" s="14"/>
      <c r="I783" s="14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 spans="1:22" ht="19.5" customHeight="1" x14ac:dyDescent="0.25">
      <c r="A784" s="9"/>
      <c r="B784" s="9"/>
      <c r="C784" s="9"/>
      <c r="D784" s="9"/>
      <c r="E784" s="9"/>
      <c r="F784" s="14"/>
      <c r="G784" s="14"/>
      <c r="H784" s="14"/>
      <c r="I784" s="14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 spans="1:22" ht="19.5" customHeight="1" x14ac:dyDescent="0.25">
      <c r="A785" s="9"/>
      <c r="B785" s="9"/>
      <c r="C785" s="9"/>
      <c r="D785" s="9"/>
      <c r="E785" s="9"/>
      <c r="F785" s="14"/>
      <c r="G785" s="14"/>
      <c r="H785" s="14"/>
      <c r="I785" s="14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 spans="1:22" ht="19.5" customHeight="1" x14ac:dyDescent="0.25">
      <c r="A786" s="9"/>
      <c r="B786" s="9"/>
      <c r="C786" s="9"/>
      <c r="D786" s="9"/>
      <c r="E786" s="9"/>
      <c r="F786" s="14"/>
      <c r="G786" s="14"/>
      <c r="H786" s="14"/>
      <c r="I786" s="14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 spans="1:22" ht="19.5" customHeight="1" x14ac:dyDescent="0.25">
      <c r="A787" s="9"/>
      <c r="B787" s="9"/>
      <c r="C787" s="9"/>
      <c r="D787" s="9"/>
      <c r="E787" s="9"/>
      <c r="F787" s="14"/>
      <c r="G787" s="14"/>
      <c r="H787" s="14"/>
      <c r="I787" s="14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 spans="1:22" ht="19.5" customHeight="1" x14ac:dyDescent="0.25">
      <c r="A788" s="9"/>
      <c r="B788" s="9"/>
      <c r="C788" s="9"/>
      <c r="D788" s="9"/>
      <c r="E788" s="9"/>
      <c r="F788" s="14"/>
      <c r="G788" s="14"/>
      <c r="H788" s="14"/>
      <c r="I788" s="14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 spans="1:22" ht="19.5" customHeight="1" x14ac:dyDescent="0.25">
      <c r="A789" s="9"/>
      <c r="B789" s="9"/>
      <c r="C789" s="9"/>
      <c r="D789" s="9"/>
      <c r="E789" s="9"/>
      <c r="F789" s="14"/>
      <c r="G789" s="14"/>
      <c r="H789" s="14"/>
      <c r="I789" s="14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 spans="1:22" ht="19.5" customHeight="1" x14ac:dyDescent="0.25">
      <c r="A790" s="9"/>
      <c r="B790" s="9"/>
      <c r="C790" s="9"/>
      <c r="D790" s="9"/>
      <c r="E790" s="9"/>
      <c r="F790" s="14"/>
      <c r="G790" s="14"/>
      <c r="H790" s="14"/>
      <c r="I790" s="14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 spans="1:22" ht="19.5" customHeight="1" x14ac:dyDescent="0.25">
      <c r="A791" s="9"/>
      <c r="B791" s="9"/>
      <c r="C791" s="9"/>
      <c r="D791" s="9"/>
      <c r="E791" s="9"/>
      <c r="F791" s="14"/>
      <c r="G791" s="14"/>
      <c r="H791" s="14"/>
      <c r="I791" s="14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 spans="1:22" ht="19.5" customHeight="1" x14ac:dyDescent="0.25">
      <c r="A792" s="9"/>
      <c r="B792" s="9"/>
      <c r="C792" s="9"/>
      <c r="D792" s="9"/>
      <c r="E792" s="9"/>
      <c r="F792" s="14"/>
      <c r="G792" s="14"/>
      <c r="H792" s="14"/>
      <c r="I792" s="14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 spans="1:22" ht="19.5" customHeight="1" x14ac:dyDescent="0.25">
      <c r="A793" s="9"/>
      <c r="B793" s="9"/>
      <c r="C793" s="9"/>
      <c r="D793" s="9"/>
      <c r="E793" s="9"/>
      <c r="F793" s="14"/>
      <c r="G793" s="14"/>
      <c r="H793" s="14"/>
      <c r="I793" s="14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 spans="1:22" ht="19.5" customHeight="1" x14ac:dyDescent="0.25">
      <c r="A794" s="9"/>
      <c r="B794" s="9"/>
      <c r="C794" s="9"/>
      <c r="D794" s="9"/>
      <c r="E794" s="9"/>
      <c r="F794" s="14"/>
      <c r="G794" s="14"/>
      <c r="H794" s="14"/>
      <c r="I794" s="14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 spans="1:22" ht="19.5" customHeight="1" x14ac:dyDescent="0.25">
      <c r="A795" s="9"/>
      <c r="B795" s="9"/>
      <c r="C795" s="9"/>
      <c r="D795" s="9"/>
      <c r="E795" s="9"/>
      <c r="F795" s="14"/>
      <c r="G795" s="14"/>
      <c r="H795" s="14"/>
      <c r="I795" s="14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 spans="1:22" ht="19.5" customHeight="1" x14ac:dyDescent="0.25">
      <c r="A796" s="9"/>
      <c r="B796" s="9"/>
      <c r="C796" s="9"/>
      <c r="D796" s="9"/>
      <c r="E796" s="9"/>
      <c r="F796" s="14"/>
      <c r="G796" s="14"/>
      <c r="H796" s="14"/>
      <c r="I796" s="14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 spans="1:22" ht="19.5" customHeight="1" x14ac:dyDescent="0.25">
      <c r="A797" s="9"/>
      <c r="B797" s="9"/>
      <c r="C797" s="9"/>
      <c r="D797" s="9"/>
      <c r="E797" s="9"/>
      <c r="F797" s="14"/>
      <c r="G797" s="14"/>
      <c r="H797" s="14"/>
      <c r="I797" s="14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 spans="1:22" ht="19.5" customHeight="1" x14ac:dyDescent="0.25">
      <c r="A798" s="9"/>
      <c r="B798" s="9"/>
      <c r="C798" s="9"/>
      <c r="D798" s="9"/>
      <c r="E798" s="9"/>
      <c r="F798" s="14"/>
      <c r="G798" s="14"/>
      <c r="H798" s="14"/>
      <c r="I798" s="14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 spans="1:22" ht="19.5" customHeight="1" x14ac:dyDescent="0.25">
      <c r="A799" s="9"/>
      <c r="B799" s="9"/>
      <c r="C799" s="9"/>
      <c r="D799" s="9"/>
      <c r="E799" s="9"/>
      <c r="F799" s="14"/>
      <c r="G799" s="14"/>
      <c r="H799" s="14"/>
      <c r="I799" s="14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 spans="1:22" ht="19.5" customHeight="1" x14ac:dyDescent="0.25">
      <c r="A800" s="9"/>
      <c r="B800" s="9"/>
      <c r="C800" s="9"/>
      <c r="D800" s="9"/>
      <c r="E800" s="9"/>
      <c r="F800" s="14"/>
      <c r="G800" s="14"/>
      <c r="H800" s="14"/>
      <c r="I800" s="14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 spans="1:22" ht="19.5" customHeight="1" x14ac:dyDescent="0.25">
      <c r="A801" s="9"/>
      <c r="B801" s="9"/>
      <c r="C801" s="9"/>
      <c r="D801" s="9"/>
      <c r="E801" s="9"/>
      <c r="F801" s="14"/>
      <c r="G801" s="14"/>
      <c r="H801" s="14"/>
      <c r="I801" s="14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 spans="1:22" ht="19.5" customHeight="1" x14ac:dyDescent="0.25">
      <c r="A802" s="9"/>
      <c r="B802" s="9"/>
      <c r="C802" s="9"/>
      <c r="D802" s="9"/>
      <c r="E802" s="9"/>
      <c r="F802" s="14"/>
      <c r="G802" s="14"/>
      <c r="H802" s="14"/>
      <c r="I802" s="14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 spans="1:22" ht="19.5" customHeight="1" x14ac:dyDescent="0.25">
      <c r="A803" s="9"/>
      <c r="B803" s="9"/>
      <c r="C803" s="9"/>
      <c r="D803" s="9"/>
      <c r="E803" s="9"/>
      <c r="F803" s="14"/>
      <c r="G803" s="14"/>
      <c r="H803" s="14"/>
      <c r="I803" s="14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 spans="1:22" ht="19.5" customHeight="1" x14ac:dyDescent="0.25">
      <c r="A804" s="9"/>
      <c r="B804" s="9"/>
      <c r="C804" s="9"/>
      <c r="D804" s="9"/>
      <c r="E804" s="9"/>
      <c r="F804" s="14"/>
      <c r="G804" s="14"/>
      <c r="H804" s="14"/>
      <c r="I804" s="14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 spans="1:22" ht="19.5" customHeight="1" x14ac:dyDescent="0.25">
      <c r="A805" s="9"/>
      <c r="B805" s="9"/>
      <c r="C805" s="9"/>
      <c r="D805" s="9"/>
      <c r="E805" s="9"/>
      <c r="F805" s="14"/>
      <c r="G805" s="14"/>
      <c r="H805" s="14"/>
      <c r="I805" s="14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 spans="1:22" ht="19.5" customHeight="1" x14ac:dyDescent="0.25">
      <c r="A806" s="9"/>
      <c r="B806" s="9"/>
      <c r="C806" s="9"/>
      <c r="D806" s="9"/>
      <c r="E806" s="9"/>
      <c r="F806" s="14"/>
      <c r="G806" s="14"/>
      <c r="H806" s="14"/>
      <c r="I806" s="14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 spans="1:22" ht="19.5" customHeight="1" x14ac:dyDescent="0.25">
      <c r="A807" s="9"/>
      <c r="B807" s="9"/>
      <c r="C807" s="9"/>
      <c r="D807" s="9"/>
      <c r="E807" s="9"/>
      <c r="F807" s="14"/>
      <c r="G807" s="14"/>
      <c r="H807" s="14"/>
      <c r="I807" s="14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 spans="1:22" ht="19.5" customHeight="1" x14ac:dyDescent="0.25">
      <c r="A808" s="9"/>
      <c r="B808" s="9"/>
      <c r="C808" s="9"/>
      <c r="D808" s="9"/>
      <c r="E808" s="9"/>
      <c r="F808" s="14"/>
      <c r="G808" s="14"/>
      <c r="H808" s="14"/>
      <c r="I808" s="14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 spans="1:22" ht="19.5" customHeight="1" x14ac:dyDescent="0.25">
      <c r="A809" s="9"/>
      <c r="B809" s="9"/>
      <c r="C809" s="9"/>
      <c r="D809" s="9"/>
      <c r="E809" s="9"/>
      <c r="F809" s="14"/>
      <c r="G809" s="14"/>
      <c r="H809" s="14"/>
      <c r="I809" s="14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 spans="1:22" ht="19.5" customHeight="1" x14ac:dyDescent="0.25">
      <c r="A810" s="9"/>
      <c r="B810" s="9"/>
      <c r="C810" s="9"/>
      <c r="D810" s="9"/>
      <c r="E810" s="9"/>
      <c r="F810" s="14"/>
      <c r="G810" s="14"/>
      <c r="H810" s="14"/>
      <c r="I810" s="14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 spans="1:22" ht="19.5" customHeight="1" x14ac:dyDescent="0.25">
      <c r="A811" s="9"/>
      <c r="B811" s="9"/>
      <c r="C811" s="9"/>
      <c r="D811" s="9"/>
      <c r="E811" s="9"/>
      <c r="F811" s="14"/>
      <c r="G811" s="14"/>
      <c r="H811" s="14"/>
      <c r="I811" s="14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 spans="1:22" ht="19.5" customHeight="1" x14ac:dyDescent="0.25">
      <c r="A812" s="9"/>
      <c r="B812" s="9"/>
      <c r="C812" s="9"/>
      <c r="D812" s="9"/>
      <c r="E812" s="9"/>
      <c r="F812" s="14"/>
      <c r="G812" s="14"/>
      <c r="H812" s="14"/>
      <c r="I812" s="14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 spans="1:22" ht="19.5" customHeight="1" x14ac:dyDescent="0.25">
      <c r="A813" s="9"/>
      <c r="B813" s="9"/>
      <c r="C813" s="9"/>
      <c r="D813" s="9"/>
      <c r="E813" s="9"/>
      <c r="F813" s="14"/>
      <c r="G813" s="14"/>
      <c r="H813" s="14"/>
      <c r="I813" s="14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 spans="1:22" ht="19.5" customHeight="1" x14ac:dyDescent="0.25">
      <c r="A814" s="9"/>
      <c r="B814" s="9"/>
      <c r="C814" s="9"/>
      <c r="D814" s="9"/>
      <c r="E814" s="9"/>
      <c r="F814" s="14"/>
      <c r="G814" s="14"/>
      <c r="H814" s="14"/>
      <c r="I814" s="14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 spans="1:22" ht="19.5" customHeight="1" x14ac:dyDescent="0.25">
      <c r="A815" s="9"/>
      <c r="B815" s="9"/>
      <c r="C815" s="9"/>
      <c r="D815" s="9"/>
      <c r="E815" s="9"/>
      <c r="F815" s="14"/>
      <c r="G815" s="14"/>
      <c r="H815" s="14"/>
      <c r="I815" s="14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 spans="1:22" ht="19.5" customHeight="1" x14ac:dyDescent="0.25">
      <c r="A816" s="9"/>
      <c r="B816" s="9"/>
      <c r="C816" s="9"/>
      <c r="D816" s="9"/>
      <c r="E816" s="9"/>
      <c r="F816" s="14"/>
      <c r="G816" s="14"/>
      <c r="H816" s="14"/>
      <c r="I816" s="14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 spans="1:22" ht="19.5" customHeight="1" x14ac:dyDescent="0.25">
      <c r="A817" s="9"/>
      <c r="B817" s="9"/>
      <c r="C817" s="9"/>
      <c r="D817" s="9"/>
      <c r="E817" s="9"/>
      <c r="F817" s="14"/>
      <c r="G817" s="14"/>
      <c r="H817" s="14"/>
      <c r="I817" s="14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 spans="1:22" ht="19.5" customHeight="1" x14ac:dyDescent="0.25">
      <c r="A818" s="9"/>
      <c r="B818" s="9"/>
      <c r="C818" s="9"/>
      <c r="D818" s="9"/>
      <c r="E818" s="9"/>
      <c r="F818" s="14"/>
      <c r="G818" s="14"/>
      <c r="H818" s="14"/>
      <c r="I818" s="14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 spans="1:22" ht="19.5" customHeight="1" x14ac:dyDescent="0.25">
      <c r="A819" s="9"/>
      <c r="B819" s="9"/>
      <c r="C819" s="9"/>
      <c r="D819" s="9"/>
      <c r="E819" s="9"/>
      <c r="F819" s="14"/>
      <c r="G819" s="14"/>
      <c r="H819" s="14"/>
      <c r="I819" s="14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 spans="1:22" ht="19.5" customHeight="1" x14ac:dyDescent="0.25">
      <c r="A820" s="9"/>
      <c r="B820" s="9"/>
      <c r="C820" s="9"/>
      <c r="D820" s="9"/>
      <c r="E820" s="9"/>
      <c r="F820" s="14"/>
      <c r="G820" s="14"/>
      <c r="H820" s="14"/>
      <c r="I820" s="14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 spans="1:22" ht="19.5" customHeight="1" x14ac:dyDescent="0.25">
      <c r="A821" s="9"/>
      <c r="B821" s="9"/>
      <c r="C821" s="9"/>
      <c r="D821" s="9"/>
      <c r="E821" s="9"/>
      <c r="F821" s="14"/>
      <c r="G821" s="14"/>
      <c r="H821" s="14"/>
      <c r="I821" s="14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 spans="1:22" ht="19.5" customHeight="1" x14ac:dyDescent="0.25">
      <c r="A822" s="9"/>
      <c r="B822" s="9"/>
      <c r="C822" s="9"/>
      <c r="D822" s="9"/>
      <c r="E822" s="9"/>
      <c r="F822" s="14"/>
      <c r="G822" s="14"/>
      <c r="H822" s="14"/>
      <c r="I822" s="14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 spans="1:22" ht="19.5" customHeight="1" x14ac:dyDescent="0.25">
      <c r="A823" s="9"/>
      <c r="B823" s="9"/>
      <c r="C823" s="9"/>
      <c r="D823" s="9"/>
      <c r="E823" s="9"/>
      <c r="F823" s="14"/>
      <c r="G823" s="14"/>
      <c r="H823" s="14"/>
      <c r="I823" s="14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 spans="1:22" ht="19.5" customHeight="1" x14ac:dyDescent="0.25">
      <c r="A824" s="9"/>
      <c r="B824" s="9"/>
      <c r="C824" s="9"/>
      <c r="D824" s="9"/>
      <c r="E824" s="9"/>
      <c r="F824" s="14"/>
      <c r="G824" s="14"/>
      <c r="H824" s="14"/>
      <c r="I824" s="14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 spans="1:22" ht="19.5" customHeight="1" x14ac:dyDescent="0.25">
      <c r="A825" s="9"/>
      <c r="B825" s="9"/>
      <c r="C825" s="9"/>
      <c r="D825" s="9"/>
      <c r="E825" s="9"/>
      <c r="F825" s="14"/>
      <c r="G825" s="14"/>
      <c r="H825" s="14"/>
      <c r="I825" s="14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 spans="1:22" ht="19.5" customHeight="1" x14ac:dyDescent="0.25">
      <c r="A826" s="9"/>
      <c r="B826" s="9"/>
      <c r="C826" s="9"/>
      <c r="D826" s="9"/>
      <c r="E826" s="9"/>
      <c r="F826" s="14"/>
      <c r="G826" s="14"/>
      <c r="H826" s="14"/>
      <c r="I826" s="14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 spans="1:22" ht="19.5" customHeight="1" x14ac:dyDescent="0.25">
      <c r="A827" s="9"/>
      <c r="B827" s="9"/>
      <c r="C827" s="9"/>
      <c r="D827" s="9"/>
      <c r="E827" s="9"/>
      <c r="F827" s="14"/>
      <c r="G827" s="14"/>
      <c r="H827" s="14"/>
      <c r="I827" s="14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 spans="1:22" ht="19.5" customHeight="1" x14ac:dyDescent="0.25">
      <c r="A828" s="9"/>
      <c r="B828" s="9"/>
      <c r="C828" s="9"/>
      <c r="D828" s="9"/>
      <c r="E828" s="9"/>
      <c r="F828" s="14"/>
      <c r="G828" s="14"/>
      <c r="H828" s="14"/>
      <c r="I828" s="14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 spans="1:22" ht="19.5" customHeight="1" x14ac:dyDescent="0.25">
      <c r="A829" s="9"/>
      <c r="B829" s="9"/>
      <c r="C829" s="9"/>
      <c r="D829" s="9"/>
      <c r="E829" s="9"/>
      <c r="F829" s="14"/>
      <c r="G829" s="14"/>
      <c r="H829" s="14"/>
      <c r="I829" s="14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 spans="1:22" ht="19.5" customHeight="1" x14ac:dyDescent="0.25">
      <c r="A830" s="9"/>
      <c r="B830" s="9"/>
      <c r="C830" s="9"/>
      <c r="D830" s="9"/>
      <c r="E830" s="9"/>
      <c r="F830" s="14"/>
      <c r="G830" s="14"/>
      <c r="H830" s="14"/>
      <c r="I830" s="14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 spans="1:22" ht="19.5" customHeight="1" x14ac:dyDescent="0.25">
      <c r="A831" s="9"/>
      <c r="B831" s="9"/>
      <c r="C831" s="9"/>
      <c r="D831" s="9"/>
      <c r="E831" s="9"/>
      <c r="F831" s="14"/>
      <c r="G831" s="14"/>
      <c r="H831" s="14"/>
      <c r="I831" s="14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 spans="1:22" ht="19.5" customHeight="1" x14ac:dyDescent="0.25">
      <c r="A832" s="9"/>
      <c r="B832" s="9"/>
      <c r="C832" s="9"/>
      <c r="D832" s="9"/>
      <c r="E832" s="9"/>
      <c r="F832" s="14"/>
      <c r="G832" s="14"/>
      <c r="H832" s="14"/>
      <c r="I832" s="14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 spans="1:22" ht="19.5" customHeight="1" x14ac:dyDescent="0.25">
      <c r="A833" s="9"/>
      <c r="B833" s="9"/>
      <c r="C833" s="9"/>
      <c r="D833" s="9"/>
      <c r="E833" s="9"/>
      <c r="F833" s="14"/>
      <c r="G833" s="14"/>
      <c r="H833" s="14"/>
      <c r="I833" s="14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 spans="1:22" ht="19.5" customHeight="1" x14ac:dyDescent="0.25">
      <c r="A834" s="9"/>
      <c r="B834" s="9"/>
      <c r="C834" s="9"/>
      <c r="D834" s="9"/>
      <c r="E834" s="9"/>
      <c r="F834" s="14"/>
      <c r="G834" s="14"/>
      <c r="H834" s="14"/>
      <c r="I834" s="14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 spans="1:22" ht="19.5" customHeight="1" x14ac:dyDescent="0.25">
      <c r="A835" s="9"/>
      <c r="B835" s="9"/>
      <c r="C835" s="9"/>
      <c r="D835" s="9"/>
      <c r="E835" s="9"/>
      <c r="F835" s="14"/>
      <c r="G835" s="14"/>
      <c r="H835" s="14"/>
      <c r="I835" s="14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 spans="1:22" ht="19.5" customHeight="1" x14ac:dyDescent="0.25">
      <c r="A836" s="9"/>
      <c r="B836" s="9"/>
      <c r="C836" s="9"/>
      <c r="D836" s="9"/>
      <c r="E836" s="9"/>
      <c r="F836" s="14"/>
      <c r="G836" s="14"/>
      <c r="H836" s="14"/>
      <c r="I836" s="14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 spans="1:22" ht="19.5" customHeight="1" x14ac:dyDescent="0.25">
      <c r="A837" s="9"/>
      <c r="B837" s="9"/>
      <c r="C837" s="9"/>
      <c r="D837" s="9"/>
      <c r="E837" s="9"/>
      <c r="F837" s="14"/>
      <c r="G837" s="14"/>
      <c r="H837" s="14"/>
      <c r="I837" s="14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 spans="1:22" ht="19.5" customHeight="1" x14ac:dyDescent="0.25">
      <c r="A838" s="9"/>
      <c r="B838" s="9"/>
      <c r="C838" s="9"/>
      <c r="D838" s="9"/>
      <c r="E838" s="9"/>
      <c r="F838" s="14"/>
      <c r="G838" s="14"/>
      <c r="H838" s="14"/>
      <c r="I838" s="14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 spans="1:22" ht="19.5" customHeight="1" x14ac:dyDescent="0.25">
      <c r="A839" s="9"/>
      <c r="B839" s="9"/>
      <c r="C839" s="9"/>
      <c r="D839" s="9"/>
      <c r="E839" s="9"/>
      <c r="F839" s="14"/>
      <c r="G839" s="14"/>
      <c r="H839" s="14"/>
      <c r="I839" s="14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 spans="1:22" ht="19.5" customHeight="1" x14ac:dyDescent="0.25">
      <c r="A840" s="9"/>
      <c r="B840" s="9"/>
      <c r="C840" s="9"/>
      <c r="D840" s="9"/>
      <c r="E840" s="9"/>
      <c r="F840" s="14"/>
      <c r="G840" s="14"/>
      <c r="H840" s="14"/>
      <c r="I840" s="14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 spans="1:22" ht="19.5" customHeight="1" x14ac:dyDescent="0.25">
      <c r="A841" s="9"/>
      <c r="B841" s="9"/>
      <c r="C841" s="9"/>
      <c r="D841" s="9"/>
      <c r="E841" s="9"/>
      <c r="F841" s="14"/>
      <c r="G841" s="14"/>
      <c r="H841" s="14"/>
      <c r="I841" s="14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 spans="1:22" ht="19.5" customHeight="1" x14ac:dyDescent="0.25">
      <c r="A842" s="9"/>
      <c r="B842" s="9"/>
      <c r="C842" s="9"/>
      <c r="D842" s="9"/>
      <c r="E842" s="9"/>
      <c r="F842" s="14"/>
      <c r="G842" s="14"/>
      <c r="H842" s="14"/>
      <c r="I842" s="14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 spans="1:22" ht="19.5" customHeight="1" x14ac:dyDescent="0.25">
      <c r="A843" s="9"/>
      <c r="B843" s="9"/>
      <c r="C843" s="9"/>
      <c r="D843" s="9"/>
      <c r="E843" s="9"/>
      <c r="F843" s="14"/>
      <c r="G843" s="14"/>
      <c r="H843" s="14"/>
      <c r="I843" s="14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 spans="1:22" ht="19.5" customHeight="1" x14ac:dyDescent="0.25">
      <c r="A844" s="9"/>
      <c r="B844" s="9"/>
      <c r="C844" s="9"/>
      <c r="D844" s="9"/>
      <c r="E844" s="9"/>
      <c r="F844" s="14"/>
      <c r="G844" s="14"/>
      <c r="H844" s="14"/>
      <c r="I844" s="14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 spans="1:22" ht="19.5" customHeight="1" x14ac:dyDescent="0.25">
      <c r="A845" s="9"/>
      <c r="B845" s="9"/>
      <c r="C845" s="9"/>
      <c r="D845" s="9"/>
      <c r="E845" s="9"/>
      <c r="F845" s="14"/>
      <c r="G845" s="14"/>
      <c r="H845" s="14"/>
      <c r="I845" s="14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 spans="1:22" ht="19.5" customHeight="1" x14ac:dyDescent="0.25">
      <c r="A846" s="9"/>
      <c r="B846" s="9"/>
      <c r="C846" s="9"/>
      <c r="D846" s="9"/>
      <c r="E846" s="9"/>
      <c r="F846" s="14"/>
      <c r="G846" s="14"/>
      <c r="H846" s="14"/>
      <c r="I846" s="14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 spans="1:22" ht="19.5" customHeight="1" x14ac:dyDescent="0.25">
      <c r="A847" s="9"/>
      <c r="B847" s="9"/>
      <c r="C847" s="9"/>
      <c r="D847" s="9"/>
      <c r="E847" s="9"/>
      <c r="F847" s="14"/>
      <c r="G847" s="14"/>
      <c r="H847" s="14"/>
      <c r="I847" s="14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 spans="1:22" ht="19.5" customHeight="1" x14ac:dyDescent="0.25">
      <c r="A848" s="9"/>
      <c r="B848" s="9"/>
      <c r="C848" s="9"/>
      <c r="D848" s="9"/>
      <c r="E848" s="9"/>
      <c r="F848" s="14"/>
      <c r="G848" s="14"/>
      <c r="H848" s="14"/>
      <c r="I848" s="14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 spans="1:22" ht="19.5" customHeight="1" x14ac:dyDescent="0.25">
      <c r="A849" s="9"/>
      <c r="B849" s="9"/>
      <c r="C849" s="9"/>
      <c r="D849" s="9"/>
      <c r="E849" s="9"/>
      <c r="F849" s="14"/>
      <c r="G849" s="14"/>
      <c r="H849" s="14"/>
      <c r="I849" s="14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 spans="1:22" ht="19.5" customHeight="1" x14ac:dyDescent="0.25">
      <c r="A850" s="9"/>
      <c r="B850" s="9"/>
      <c r="C850" s="9"/>
      <c r="D850" s="9"/>
      <c r="E850" s="9"/>
      <c r="F850" s="14"/>
      <c r="G850" s="14"/>
      <c r="H850" s="14"/>
      <c r="I850" s="14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 spans="1:22" ht="19.5" customHeight="1" x14ac:dyDescent="0.25">
      <c r="A851" s="9"/>
      <c r="B851" s="9"/>
      <c r="C851" s="9"/>
      <c r="D851" s="9"/>
      <c r="E851" s="9"/>
      <c r="F851" s="14"/>
      <c r="G851" s="14"/>
      <c r="H851" s="14"/>
      <c r="I851" s="14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 spans="1:22" ht="19.5" customHeight="1" x14ac:dyDescent="0.25">
      <c r="A852" s="9"/>
      <c r="B852" s="9"/>
      <c r="C852" s="9"/>
      <c r="D852" s="9"/>
      <c r="E852" s="9"/>
      <c r="F852" s="14"/>
      <c r="G852" s="14"/>
      <c r="H852" s="14"/>
      <c r="I852" s="14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 spans="1:22" ht="19.5" customHeight="1" x14ac:dyDescent="0.25">
      <c r="A853" s="9"/>
      <c r="B853" s="9"/>
      <c r="C853" s="9"/>
      <c r="D853" s="9"/>
      <c r="E853" s="9"/>
      <c r="F853" s="14"/>
      <c r="G853" s="14"/>
      <c r="H853" s="14"/>
      <c r="I853" s="14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 spans="1:22" ht="19.5" customHeight="1" x14ac:dyDescent="0.25">
      <c r="A854" s="9"/>
      <c r="B854" s="9"/>
      <c r="C854" s="9"/>
      <c r="D854" s="9"/>
      <c r="E854" s="9"/>
      <c r="F854" s="14"/>
      <c r="G854" s="14"/>
      <c r="H854" s="14"/>
      <c r="I854" s="14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 spans="1:22" ht="19.5" customHeight="1" x14ac:dyDescent="0.25">
      <c r="A855" s="9"/>
      <c r="B855" s="9"/>
      <c r="C855" s="9"/>
      <c r="D855" s="9"/>
      <c r="E855" s="9"/>
      <c r="F855" s="14"/>
      <c r="G855" s="14"/>
      <c r="H855" s="14"/>
      <c r="I855" s="14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 spans="1:22" ht="19.5" customHeight="1" x14ac:dyDescent="0.25">
      <c r="A856" s="9"/>
      <c r="B856" s="9"/>
      <c r="C856" s="9"/>
      <c r="D856" s="9"/>
      <c r="E856" s="9"/>
      <c r="F856" s="14"/>
      <c r="G856" s="14"/>
      <c r="H856" s="14"/>
      <c r="I856" s="14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 spans="1:22" ht="19.5" customHeight="1" x14ac:dyDescent="0.25">
      <c r="A857" s="9"/>
      <c r="B857" s="9"/>
      <c r="C857" s="9"/>
      <c r="D857" s="9"/>
      <c r="E857" s="9"/>
      <c r="F857" s="14"/>
      <c r="G857" s="14"/>
      <c r="H857" s="14"/>
      <c r="I857" s="14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 spans="1:22" ht="19.5" customHeight="1" x14ac:dyDescent="0.25">
      <c r="A858" s="9"/>
      <c r="B858" s="9"/>
      <c r="C858" s="9"/>
      <c r="D858" s="9"/>
      <c r="E858" s="9"/>
      <c r="F858" s="14"/>
      <c r="G858" s="14"/>
      <c r="H858" s="14"/>
      <c r="I858" s="14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 spans="1:22" ht="19.5" customHeight="1" x14ac:dyDescent="0.25">
      <c r="A859" s="9"/>
      <c r="B859" s="9"/>
      <c r="C859" s="9"/>
      <c r="D859" s="9"/>
      <c r="E859" s="9"/>
      <c r="F859" s="14"/>
      <c r="G859" s="14"/>
      <c r="H859" s="14"/>
      <c r="I859" s="14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 spans="1:22" ht="19.5" customHeight="1" x14ac:dyDescent="0.25">
      <c r="A860" s="9"/>
      <c r="B860" s="9"/>
      <c r="C860" s="9"/>
      <c r="D860" s="9"/>
      <c r="E860" s="9"/>
      <c r="F860" s="14"/>
      <c r="G860" s="14"/>
      <c r="H860" s="14"/>
      <c r="I860" s="14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 spans="1:22" ht="19.5" customHeight="1" x14ac:dyDescent="0.25">
      <c r="A861" s="9"/>
      <c r="B861" s="9"/>
      <c r="C861" s="9"/>
      <c r="D861" s="9"/>
      <c r="E861" s="9"/>
      <c r="F861" s="14"/>
      <c r="G861" s="14"/>
      <c r="H861" s="14"/>
      <c r="I861" s="14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 spans="1:22" ht="19.5" customHeight="1" x14ac:dyDescent="0.25">
      <c r="A862" s="9"/>
      <c r="B862" s="9"/>
      <c r="C862" s="9"/>
      <c r="D862" s="9"/>
      <c r="E862" s="9"/>
      <c r="F862" s="14"/>
      <c r="G862" s="14"/>
      <c r="H862" s="14"/>
      <c r="I862" s="14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 spans="1:22" ht="19.5" customHeight="1" x14ac:dyDescent="0.25">
      <c r="A863" s="9"/>
      <c r="B863" s="9"/>
      <c r="C863" s="9"/>
      <c r="D863" s="9"/>
      <c r="E863" s="9"/>
      <c r="F863" s="14"/>
      <c r="G863" s="14"/>
      <c r="H863" s="14"/>
      <c r="I863" s="14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 spans="1:22" ht="19.5" customHeight="1" x14ac:dyDescent="0.25">
      <c r="A864" s="9"/>
      <c r="B864" s="9"/>
      <c r="C864" s="9"/>
      <c r="D864" s="9"/>
      <c r="E864" s="9"/>
      <c r="F864" s="14"/>
      <c r="G864" s="14"/>
      <c r="H864" s="14"/>
      <c r="I864" s="14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 spans="1:22" ht="19.5" customHeight="1" x14ac:dyDescent="0.25">
      <c r="A865" s="9"/>
      <c r="B865" s="9"/>
      <c r="C865" s="9"/>
      <c r="D865" s="9"/>
      <c r="E865" s="9"/>
      <c r="F865" s="14"/>
      <c r="G865" s="14"/>
      <c r="H865" s="14"/>
      <c r="I865" s="14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 spans="1:22" ht="19.5" customHeight="1" x14ac:dyDescent="0.25">
      <c r="A866" s="9"/>
      <c r="B866" s="9"/>
      <c r="C866" s="9"/>
      <c r="D866" s="9"/>
      <c r="E866" s="9"/>
      <c r="F866" s="14"/>
      <c r="G866" s="14"/>
      <c r="H866" s="14"/>
      <c r="I866" s="14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 spans="1:22" ht="19.5" customHeight="1" x14ac:dyDescent="0.25">
      <c r="A867" s="9"/>
      <c r="B867" s="9"/>
      <c r="C867" s="9"/>
      <c r="D867" s="9"/>
      <c r="E867" s="9"/>
      <c r="F867" s="14"/>
      <c r="G867" s="14"/>
      <c r="H867" s="14"/>
      <c r="I867" s="14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 spans="1:22" ht="19.5" customHeight="1" x14ac:dyDescent="0.25">
      <c r="A868" s="9"/>
      <c r="B868" s="9"/>
      <c r="C868" s="9"/>
      <c r="D868" s="9"/>
      <c r="E868" s="9"/>
      <c r="F868" s="14"/>
      <c r="G868" s="14"/>
      <c r="H868" s="14"/>
      <c r="I868" s="14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 spans="1:22" ht="19.5" customHeight="1" x14ac:dyDescent="0.25">
      <c r="A869" s="9"/>
      <c r="B869" s="9"/>
      <c r="C869" s="9"/>
      <c r="D869" s="9"/>
      <c r="E869" s="9"/>
      <c r="F869" s="14"/>
      <c r="G869" s="14"/>
      <c r="H869" s="14"/>
      <c r="I869" s="14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 spans="1:22" ht="19.5" customHeight="1" x14ac:dyDescent="0.25">
      <c r="A870" s="9"/>
      <c r="B870" s="9"/>
      <c r="C870" s="9"/>
      <c r="D870" s="9"/>
      <c r="E870" s="9"/>
      <c r="F870" s="14"/>
      <c r="G870" s="14"/>
      <c r="H870" s="14"/>
      <c r="I870" s="14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 spans="1:22" ht="19.5" customHeight="1" x14ac:dyDescent="0.25">
      <c r="A871" s="9"/>
      <c r="B871" s="9"/>
      <c r="C871" s="9"/>
      <c r="D871" s="9"/>
      <c r="E871" s="9"/>
      <c r="F871" s="14"/>
      <c r="G871" s="14"/>
      <c r="H871" s="14"/>
      <c r="I871" s="14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 spans="1:22" ht="19.5" customHeight="1" x14ac:dyDescent="0.25">
      <c r="A872" s="9"/>
      <c r="B872" s="9"/>
      <c r="C872" s="9"/>
      <c r="D872" s="9"/>
      <c r="E872" s="9"/>
      <c r="F872" s="14"/>
      <c r="G872" s="14"/>
      <c r="H872" s="14"/>
      <c r="I872" s="14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 spans="1:22" ht="19.5" customHeight="1" x14ac:dyDescent="0.25">
      <c r="A873" s="9"/>
      <c r="B873" s="9"/>
      <c r="C873" s="9"/>
      <c r="D873" s="9"/>
      <c r="E873" s="9"/>
      <c r="F873" s="14"/>
      <c r="G873" s="14"/>
      <c r="H873" s="14"/>
      <c r="I873" s="14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 spans="1:22" ht="19.5" customHeight="1" x14ac:dyDescent="0.25">
      <c r="A874" s="9"/>
      <c r="B874" s="9"/>
      <c r="C874" s="9"/>
      <c r="D874" s="9"/>
      <c r="E874" s="9"/>
      <c r="F874" s="14"/>
      <c r="G874" s="14"/>
      <c r="H874" s="14"/>
      <c r="I874" s="14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 spans="1:22" ht="19.5" customHeight="1" x14ac:dyDescent="0.25">
      <c r="A875" s="9"/>
      <c r="B875" s="9"/>
      <c r="C875" s="9"/>
      <c r="D875" s="9"/>
      <c r="E875" s="9"/>
      <c r="F875" s="14"/>
      <c r="G875" s="14"/>
      <c r="H875" s="14"/>
      <c r="I875" s="14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 spans="1:22" ht="19.5" customHeight="1" x14ac:dyDescent="0.25">
      <c r="A876" s="9"/>
      <c r="B876" s="9"/>
      <c r="C876" s="9"/>
      <c r="D876" s="9"/>
      <c r="E876" s="9"/>
      <c r="F876" s="14"/>
      <c r="G876" s="14"/>
      <c r="H876" s="14"/>
      <c r="I876" s="14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 spans="1:22" ht="19.5" customHeight="1" x14ac:dyDescent="0.25">
      <c r="A877" s="9"/>
      <c r="B877" s="9"/>
      <c r="C877" s="9"/>
      <c r="D877" s="9"/>
      <c r="E877" s="9"/>
      <c r="F877" s="14"/>
      <c r="G877" s="14"/>
      <c r="H877" s="14"/>
      <c r="I877" s="14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 spans="1:22" ht="19.5" customHeight="1" x14ac:dyDescent="0.25">
      <c r="A878" s="9"/>
      <c r="B878" s="9"/>
      <c r="C878" s="9"/>
      <c r="D878" s="9"/>
      <c r="E878" s="9"/>
      <c r="F878" s="14"/>
      <c r="G878" s="14"/>
      <c r="H878" s="14"/>
      <c r="I878" s="14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 spans="1:22" ht="19.5" customHeight="1" x14ac:dyDescent="0.25">
      <c r="A879" s="9"/>
      <c r="B879" s="9"/>
      <c r="C879" s="9"/>
      <c r="D879" s="9"/>
      <c r="E879" s="9"/>
      <c r="F879" s="14"/>
      <c r="G879" s="14"/>
      <c r="H879" s="14"/>
      <c r="I879" s="14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 spans="1:22" ht="19.5" customHeight="1" x14ac:dyDescent="0.25">
      <c r="A880" s="9"/>
      <c r="B880" s="9"/>
      <c r="C880" s="9"/>
      <c r="D880" s="9"/>
      <c r="E880" s="9"/>
      <c r="F880" s="14"/>
      <c r="G880" s="14"/>
      <c r="H880" s="14"/>
      <c r="I880" s="14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 spans="1:22" ht="19.5" customHeight="1" x14ac:dyDescent="0.25">
      <c r="A881" s="9"/>
      <c r="B881" s="9"/>
      <c r="C881" s="9"/>
      <c r="D881" s="9"/>
      <c r="E881" s="9"/>
      <c r="F881" s="14"/>
      <c r="G881" s="14"/>
      <c r="H881" s="14"/>
      <c r="I881" s="14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 spans="1:22" ht="19.5" customHeight="1" x14ac:dyDescent="0.25">
      <c r="A882" s="9"/>
      <c r="B882" s="9"/>
      <c r="C882" s="9"/>
      <c r="D882" s="9"/>
      <c r="E882" s="9"/>
      <c r="F882" s="14"/>
      <c r="G882" s="14"/>
      <c r="H882" s="14"/>
      <c r="I882" s="14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 spans="1:22" ht="19.5" customHeight="1" x14ac:dyDescent="0.25">
      <c r="A883" s="9"/>
      <c r="B883" s="9"/>
      <c r="C883" s="9"/>
      <c r="D883" s="9"/>
      <c r="E883" s="9"/>
      <c r="F883" s="14"/>
      <c r="G883" s="14"/>
      <c r="H883" s="14"/>
      <c r="I883" s="14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 spans="1:22" ht="19.5" customHeight="1" x14ac:dyDescent="0.25">
      <c r="A884" s="9"/>
      <c r="B884" s="9"/>
      <c r="C884" s="9"/>
      <c r="D884" s="9"/>
      <c r="E884" s="9"/>
      <c r="F884" s="14"/>
      <c r="G884" s="14"/>
      <c r="H884" s="14"/>
      <c r="I884" s="14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 spans="1:22" ht="19.5" customHeight="1" x14ac:dyDescent="0.25">
      <c r="A885" s="9"/>
      <c r="B885" s="9"/>
      <c r="C885" s="9"/>
      <c r="D885" s="9"/>
      <c r="E885" s="9"/>
      <c r="F885" s="14"/>
      <c r="G885" s="14"/>
      <c r="H885" s="14"/>
      <c r="I885" s="14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 spans="1:22" ht="19.5" customHeight="1" x14ac:dyDescent="0.25">
      <c r="A886" s="9"/>
      <c r="B886" s="9"/>
      <c r="C886" s="9"/>
      <c r="D886" s="9"/>
      <c r="E886" s="9"/>
      <c r="F886" s="14"/>
      <c r="G886" s="14"/>
      <c r="H886" s="14"/>
      <c r="I886" s="14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 spans="1:22" ht="19.5" customHeight="1" x14ac:dyDescent="0.25">
      <c r="A887" s="9"/>
      <c r="B887" s="9"/>
      <c r="C887" s="9"/>
      <c r="D887" s="9"/>
      <c r="E887" s="9"/>
      <c r="F887" s="14"/>
      <c r="G887" s="14"/>
      <c r="H887" s="14"/>
      <c r="I887" s="14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 spans="1:22" ht="19.5" customHeight="1" x14ac:dyDescent="0.25">
      <c r="A888" s="9"/>
      <c r="B888" s="9"/>
      <c r="C888" s="9"/>
      <c r="D888" s="9"/>
      <c r="E888" s="9"/>
      <c r="F888" s="14"/>
      <c r="G888" s="14"/>
      <c r="H888" s="14"/>
      <c r="I888" s="14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 spans="1:22" ht="19.5" customHeight="1" x14ac:dyDescent="0.25">
      <c r="A889" s="9"/>
      <c r="B889" s="9"/>
      <c r="C889" s="9"/>
      <c r="D889" s="9"/>
      <c r="E889" s="9"/>
      <c r="F889" s="14"/>
      <c r="G889" s="14"/>
      <c r="H889" s="14"/>
      <c r="I889" s="14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 spans="1:22" ht="19.5" customHeight="1" x14ac:dyDescent="0.25">
      <c r="A890" s="9"/>
      <c r="B890" s="9"/>
      <c r="C890" s="9"/>
      <c r="D890" s="9"/>
      <c r="E890" s="9"/>
      <c r="F890" s="14"/>
      <c r="G890" s="14"/>
      <c r="H890" s="14"/>
      <c r="I890" s="14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 spans="1:22" ht="19.5" customHeight="1" x14ac:dyDescent="0.25">
      <c r="A891" s="9"/>
      <c r="B891" s="9"/>
      <c r="C891" s="9"/>
      <c r="D891" s="9"/>
      <c r="E891" s="9"/>
      <c r="F891" s="14"/>
      <c r="G891" s="14"/>
      <c r="H891" s="14"/>
      <c r="I891" s="14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 spans="1:22" ht="19.5" customHeight="1" x14ac:dyDescent="0.25">
      <c r="A892" s="9"/>
      <c r="B892" s="9"/>
      <c r="C892" s="9"/>
      <c r="D892" s="9"/>
      <c r="E892" s="9"/>
      <c r="F892" s="14"/>
      <c r="G892" s="14"/>
      <c r="H892" s="14"/>
      <c r="I892" s="14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 spans="1:22" ht="19.5" customHeight="1" x14ac:dyDescent="0.25">
      <c r="A893" s="9"/>
      <c r="B893" s="9"/>
      <c r="C893" s="9"/>
      <c r="D893" s="9"/>
      <c r="E893" s="9"/>
      <c r="F893" s="14"/>
      <c r="G893" s="14"/>
      <c r="H893" s="14"/>
      <c r="I893" s="14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 spans="1:22" ht="19.5" customHeight="1" x14ac:dyDescent="0.25">
      <c r="A894" s="9"/>
      <c r="B894" s="9"/>
      <c r="C894" s="9"/>
      <c r="D894" s="9"/>
      <c r="E894" s="9"/>
      <c r="F894" s="14"/>
      <c r="G894" s="14"/>
      <c r="H894" s="14"/>
      <c r="I894" s="14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 spans="1:22" ht="19.5" customHeight="1" x14ac:dyDescent="0.25">
      <c r="A895" s="9"/>
      <c r="B895" s="9"/>
      <c r="C895" s="9"/>
      <c r="D895" s="9"/>
      <c r="E895" s="9"/>
      <c r="F895" s="14"/>
      <c r="G895" s="14"/>
      <c r="H895" s="14"/>
      <c r="I895" s="14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 spans="1:22" ht="19.5" customHeight="1" x14ac:dyDescent="0.25">
      <c r="A896" s="9"/>
      <c r="B896" s="9"/>
      <c r="C896" s="9"/>
      <c r="D896" s="9"/>
      <c r="E896" s="9"/>
      <c r="F896" s="14"/>
      <c r="G896" s="14"/>
      <c r="H896" s="14"/>
      <c r="I896" s="14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 spans="1:22" ht="19.5" customHeight="1" x14ac:dyDescent="0.25">
      <c r="A897" s="9"/>
      <c r="B897" s="9"/>
      <c r="C897" s="9"/>
      <c r="D897" s="9"/>
      <c r="E897" s="9"/>
      <c r="F897" s="14"/>
      <c r="G897" s="14"/>
      <c r="H897" s="14"/>
      <c r="I897" s="14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 spans="1:22" ht="19.5" customHeight="1" x14ac:dyDescent="0.25">
      <c r="A898" s="9"/>
      <c r="B898" s="9"/>
      <c r="C898" s="9"/>
      <c r="D898" s="9"/>
      <c r="E898" s="9"/>
      <c r="F898" s="14"/>
      <c r="G898" s="14"/>
      <c r="H898" s="14"/>
      <c r="I898" s="14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 spans="1:22" ht="19.5" customHeight="1" x14ac:dyDescent="0.25">
      <c r="A899" s="9"/>
      <c r="B899" s="9"/>
      <c r="C899" s="9"/>
      <c r="D899" s="9"/>
      <c r="E899" s="9"/>
      <c r="F899" s="14"/>
      <c r="G899" s="14"/>
      <c r="H899" s="14"/>
      <c r="I899" s="14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 spans="1:22" ht="19.5" customHeight="1" x14ac:dyDescent="0.25">
      <c r="A900" s="9"/>
      <c r="B900" s="9"/>
      <c r="C900" s="9"/>
      <c r="D900" s="9"/>
      <c r="E900" s="9"/>
      <c r="F900" s="14"/>
      <c r="G900" s="14"/>
      <c r="H900" s="14"/>
      <c r="I900" s="14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 spans="1:22" ht="19.5" customHeight="1" x14ac:dyDescent="0.25">
      <c r="A901" s="9"/>
      <c r="B901" s="9"/>
      <c r="C901" s="9"/>
      <c r="D901" s="9"/>
      <c r="E901" s="9"/>
      <c r="F901" s="14"/>
      <c r="G901" s="14"/>
      <c r="H901" s="14"/>
      <c r="I901" s="14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 spans="1:22" ht="19.5" customHeight="1" x14ac:dyDescent="0.25">
      <c r="A902" s="9"/>
      <c r="B902" s="9"/>
      <c r="C902" s="9"/>
      <c r="D902" s="9"/>
      <c r="E902" s="9"/>
      <c r="F902" s="14"/>
      <c r="G902" s="14"/>
      <c r="H902" s="14"/>
      <c r="I902" s="14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 spans="1:22" ht="19.5" customHeight="1" x14ac:dyDescent="0.25">
      <c r="A903" s="9"/>
      <c r="B903" s="9"/>
      <c r="C903" s="9"/>
      <c r="D903" s="9"/>
      <c r="E903" s="9"/>
      <c r="F903" s="14"/>
      <c r="G903" s="14"/>
      <c r="H903" s="14"/>
      <c r="I903" s="14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 spans="1:22" ht="19.5" customHeight="1" x14ac:dyDescent="0.25">
      <c r="A904" s="9"/>
      <c r="B904" s="9"/>
      <c r="C904" s="9"/>
      <c r="D904" s="9"/>
      <c r="E904" s="9"/>
      <c r="F904" s="14"/>
      <c r="G904" s="14"/>
      <c r="H904" s="14"/>
      <c r="I904" s="14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 spans="1:22" ht="19.5" customHeight="1" x14ac:dyDescent="0.25">
      <c r="A905" s="9"/>
      <c r="B905" s="9"/>
      <c r="C905" s="9"/>
      <c r="D905" s="9"/>
      <c r="E905" s="9"/>
      <c r="F905" s="14"/>
      <c r="G905" s="14"/>
      <c r="H905" s="14"/>
      <c r="I905" s="14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 spans="1:22" ht="19.5" customHeight="1" x14ac:dyDescent="0.25">
      <c r="A906" s="9"/>
      <c r="B906" s="9"/>
      <c r="C906" s="9"/>
      <c r="D906" s="9"/>
      <c r="E906" s="9"/>
      <c r="F906" s="14"/>
      <c r="G906" s="14"/>
      <c r="H906" s="14"/>
      <c r="I906" s="14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 spans="1:22" ht="19.5" customHeight="1" x14ac:dyDescent="0.25">
      <c r="A907" s="9"/>
      <c r="B907" s="9"/>
      <c r="C907" s="9"/>
      <c r="D907" s="9"/>
      <c r="E907" s="9"/>
      <c r="F907" s="14"/>
      <c r="G907" s="14"/>
      <c r="H907" s="14"/>
      <c r="I907" s="14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 spans="1:22" ht="19.5" customHeight="1" x14ac:dyDescent="0.25">
      <c r="A908" s="9"/>
      <c r="B908" s="9"/>
      <c r="C908" s="9"/>
      <c r="D908" s="9"/>
      <c r="E908" s="9"/>
      <c r="F908" s="14"/>
      <c r="G908" s="14"/>
      <c r="H908" s="14"/>
      <c r="I908" s="14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 spans="1:22" ht="19.5" customHeight="1" x14ac:dyDescent="0.25">
      <c r="A909" s="9"/>
      <c r="B909" s="9"/>
      <c r="C909" s="9"/>
      <c r="D909" s="9"/>
      <c r="E909" s="9"/>
      <c r="F909" s="14"/>
      <c r="G909" s="14"/>
      <c r="H909" s="14"/>
      <c r="I909" s="14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 spans="1:22" ht="19.5" customHeight="1" x14ac:dyDescent="0.25">
      <c r="A910" s="9"/>
      <c r="B910" s="9"/>
      <c r="C910" s="9"/>
      <c r="D910" s="9"/>
      <c r="E910" s="9"/>
      <c r="F910" s="14"/>
      <c r="G910" s="14"/>
      <c r="H910" s="14"/>
      <c r="I910" s="14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 spans="1:22" ht="19.5" customHeight="1" x14ac:dyDescent="0.25">
      <c r="A911" s="9"/>
      <c r="B911" s="9"/>
      <c r="C911" s="9"/>
      <c r="D911" s="9"/>
      <c r="E911" s="9"/>
      <c r="F911" s="14"/>
      <c r="G911" s="14"/>
      <c r="H911" s="14"/>
      <c r="I911" s="14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 spans="1:22" ht="19.5" customHeight="1" x14ac:dyDescent="0.25">
      <c r="A912" s="9"/>
      <c r="B912" s="9"/>
      <c r="C912" s="9"/>
      <c r="D912" s="9"/>
      <c r="E912" s="9"/>
      <c r="F912" s="14"/>
      <c r="G912" s="14"/>
      <c r="H912" s="14"/>
      <c r="I912" s="14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 spans="1:22" ht="19.5" customHeight="1" x14ac:dyDescent="0.25">
      <c r="A913" s="9"/>
      <c r="B913" s="9"/>
      <c r="C913" s="9"/>
      <c r="D913" s="9"/>
      <c r="E913" s="9"/>
      <c r="F913" s="14"/>
      <c r="G913" s="14"/>
      <c r="H913" s="14"/>
      <c r="I913" s="14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 spans="1:22" ht="19.5" customHeight="1" x14ac:dyDescent="0.25">
      <c r="A914" s="9"/>
      <c r="B914" s="9"/>
      <c r="C914" s="9"/>
      <c r="D914" s="9"/>
      <c r="E914" s="9"/>
      <c r="F914" s="14"/>
      <c r="G914" s="14"/>
      <c r="H914" s="14"/>
      <c r="I914" s="14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 spans="1:22" ht="19.5" customHeight="1" x14ac:dyDescent="0.25">
      <c r="A915" s="9"/>
      <c r="B915" s="9"/>
      <c r="C915" s="9"/>
      <c r="D915" s="9"/>
      <c r="E915" s="9"/>
      <c r="F915" s="14"/>
      <c r="G915" s="14"/>
      <c r="H915" s="14"/>
      <c r="I915" s="14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 spans="1:22" ht="19.5" customHeight="1" x14ac:dyDescent="0.25">
      <c r="A916" s="9"/>
      <c r="B916" s="9"/>
      <c r="C916" s="9"/>
      <c r="D916" s="9"/>
      <c r="E916" s="9"/>
      <c r="F916" s="14"/>
      <c r="G916" s="14"/>
      <c r="H916" s="14"/>
      <c r="I916" s="14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 spans="1:22" ht="19.5" customHeight="1" x14ac:dyDescent="0.25">
      <c r="A917" s="9"/>
      <c r="B917" s="9"/>
      <c r="C917" s="9"/>
      <c r="D917" s="9"/>
      <c r="E917" s="9"/>
      <c r="F917" s="14"/>
      <c r="G917" s="14"/>
      <c r="H917" s="14"/>
      <c r="I917" s="14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 spans="1:22" ht="19.5" customHeight="1" x14ac:dyDescent="0.25">
      <c r="A918" s="9"/>
      <c r="B918" s="9"/>
      <c r="C918" s="9"/>
      <c r="D918" s="9"/>
      <c r="E918" s="9"/>
      <c r="F918" s="14"/>
      <c r="G918" s="14"/>
      <c r="H918" s="14"/>
      <c r="I918" s="14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 spans="1:22" ht="19.5" customHeight="1" x14ac:dyDescent="0.25">
      <c r="A919" s="9"/>
      <c r="B919" s="9"/>
      <c r="C919" s="9"/>
      <c r="D919" s="9"/>
      <c r="E919" s="9"/>
      <c r="F919" s="14"/>
      <c r="G919" s="14"/>
      <c r="H919" s="14"/>
      <c r="I919" s="14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 spans="1:22" ht="19.5" customHeight="1" x14ac:dyDescent="0.25">
      <c r="A920" s="9"/>
      <c r="B920" s="9"/>
      <c r="C920" s="9"/>
      <c r="D920" s="9"/>
      <c r="E920" s="9"/>
      <c r="F920" s="14"/>
      <c r="G920" s="14"/>
      <c r="H920" s="14"/>
      <c r="I920" s="14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 spans="1:22" ht="19.5" customHeight="1" x14ac:dyDescent="0.25">
      <c r="A921" s="9"/>
      <c r="B921" s="9"/>
      <c r="C921" s="9"/>
      <c r="D921" s="9"/>
      <c r="E921" s="9"/>
      <c r="F921" s="14"/>
      <c r="G921" s="14"/>
      <c r="H921" s="14"/>
      <c r="I921" s="14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 spans="1:22" ht="19.5" customHeight="1" x14ac:dyDescent="0.25">
      <c r="A922" s="9"/>
      <c r="B922" s="9"/>
      <c r="C922" s="9"/>
      <c r="D922" s="9"/>
      <c r="E922" s="9"/>
      <c r="F922" s="14"/>
      <c r="G922" s="14"/>
      <c r="H922" s="14"/>
      <c r="I922" s="14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 spans="1:22" ht="19.5" customHeight="1" x14ac:dyDescent="0.25">
      <c r="A923" s="9"/>
      <c r="B923" s="9"/>
      <c r="C923" s="9"/>
      <c r="D923" s="9"/>
      <c r="E923" s="9"/>
      <c r="F923" s="14"/>
      <c r="G923" s="14"/>
      <c r="H923" s="14"/>
      <c r="I923" s="14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 spans="1:22" ht="19.5" customHeight="1" x14ac:dyDescent="0.25">
      <c r="A924" s="9"/>
      <c r="B924" s="9"/>
      <c r="C924" s="9"/>
      <c r="D924" s="9"/>
      <c r="E924" s="9"/>
      <c r="F924" s="14"/>
      <c r="G924" s="14"/>
      <c r="H924" s="14"/>
      <c r="I924" s="14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 spans="1:22" ht="19.5" customHeight="1" x14ac:dyDescent="0.25">
      <c r="A925" s="9"/>
      <c r="B925" s="9"/>
      <c r="C925" s="9"/>
      <c r="D925" s="9"/>
      <c r="E925" s="9"/>
      <c r="F925" s="14"/>
      <c r="G925" s="14"/>
      <c r="H925" s="14"/>
      <c r="I925" s="14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 spans="1:22" ht="19.5" customHeight="1" x14ac:dyDescent="0.25">
      <c r="A926" s="9"/>
      <c r="B926" s="9"/>
      <c r="C926" s="9"/>
      <c r="D926" s="9"/>
      <c r="E926" s="9"/>
      <c r="F926" s="14"/>
      <c r="G926" s="14"/>
      <c r="H926" s="14"/>
      <c r="I926" s="14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 spans="1:22" ht="19.5" customHeight="1" x14ac:dyDescent="0.25">
      <c r="A927" s="9"/>
      <c r="B927" s="9"/>
      <c r="C927" s="9"/>
      <c r="D927" s="9"/>
      <c r="E927" s="9"/>
      <c r="F927" s="14"/>
      <c r="G927" s="14"/>
      <c r="H927" s="14"/>
      <c r="I927" s="14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 spans="1:22" ht="19.5" customHeight="1" x14ac:dyDescent="0.25">
      <c r="A928" s="9"/>
      <c r="B928" s="9"/>
      <c r="C928" s="9"/>
      <c r="D928" s="9"/>
      <c r="E928" s="9"/>
      <c r="F928" s="14"/>
      <c r="G928" s="14"/>
      <c r="H928" s="14"/>
      <c r="I928" s="14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 spans="1:22" ht="19.5" customHeight="1" x14ac:dyDescent="0.25">
      <c r="A929" s="9"/>
      <c r="B929" s="9"/>
      <c r="C929" s="9"/>
      <c r="D929" s="9"/>
      <c r="E929" s="9"/>
      <c r="F929" s="14"/>
      <c r="G929" s="14"/>
      <c r="H929" s="14"/>
      <c r="I929" s="14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 spans="1:22" ht="19.5" customHeight="1" x14ac:dyDescent="0.25">
      <c r="A930" s="9"/>
      <c r="B930" s="9"/>
      <c r="C930" s="9"/>
      <c r="D930" s="9"/>
      <c r="E930" s="9"/>
      <c r="F930" s="14"/>
      <c r="G930" s="14"/>
      <c r="H930" s="14"/>
      <c r="I930" s="14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 spans="1:22" ht="19.5" customHeight="1" x14ac:dyDescent="0.25">
      <c r="A931" s="9"/>
      <c r="B931" s="9"/>
      <c r="C931" s="9"/>
      <c r="D931" s="9"/>
      <c r="E931" s="9"/>
      <c r="F931" s="14"/>
      <c r="G931" s="14"/>
      <c r="H931" s="14"/>
      <c r="I931" s="14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 spans="1:22" ht="19.5" customHeight="1" x14ac:dyDescent="0.25">
      <c r="A932" s="9"/>
      <c r="B932" s="9"/>
      <c r="C932" s="9"/>
      <c r="D932" s="9"/>
      <c r="E932" s="9"/>
      <c r="F932" s="14"/>
      <c r="G932" s="14"/>
      <c r="H932" s="14"/>
      <c r="I932" s="14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 spans="1:22" ht="19.5" customHeight="1" x14ac:dyDescent="0.25">
      <c r="A933" s="9"/>
      <c r="B933" s="9"/>
      <c r="C933" s="9"/>
      <c r="D933" s="9"/>
      <c r="E933" s="9"/>
      <c r="F933" s="14"/>
      <c r="G933" s="14"/>
      <c r="H933" s="14"/>
      <c r="I933" s="14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 spans="1:22" ht="19.5" customHeight="1" x14ac:dyDescent="0.25">
      <c r="A934" s="9"/>
      <c r="B934" s="9"/>
      <c r="C934" s="9"/>
      <c r="D934" s="9"/>
      <c r="E934" s="9"/>
      <c r="F934" s="14"/>
      <c r="G934" s="14"/>
      <c r="H934" s="14"/>
      <c r="I934" s="14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 spans="1:22" ht="19.5" customHeight="1" x14ac:dyDescent="0.25">
      <c r="A935" s="9"/>
      <c r="B935" s="9"/>
      <c r="C935" s="9"/>
      <c r="D935" s="9"/>
      <c r="E935" s="9"/>
      <c r="F935" s="14"/>
      <c r="G935" s="14"/>
      <c r="H935" s="14"/>
      <c r="I935" s="14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 spans="1:22" ht="19.5" customHeight="1" x14ac:dyDescent="0.25">
      <c r="A936" s="9"/>
      <c r="B936" s="9"/>
      <c r="C936" s="9"/>
      <c r="D936" s="9"/>
      <c r="E936" s="9"/>
      <c r="F936" s="14"/>
      <c r="G936" s="14"/>
      <c r="H936" s="14"/>
      <c r="I936" s="14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 spans="1:22" ht="19.5" customHeight="1" x14ac:dyDescent="0.25">
      <c r="A937" s="9"/>
      <c r="B937" s="9"/>
      <c r="C937" s="9"/>
      <c r="D937" s="9"/>
      <c r="E937" s="9"/>
      <c r="F937" s="14"/>
      <c r="G937" s="14"/>
      <c r="H937" s="14"/>
      <c r="I937" s="14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  <row r="938" spans="1:22" ht="19.5" customHeight="1" x14ac:dyDescent="0.25">
      <c r="A938" s="9"/>
      <c r="B938" s="9"/>
      <c r="C938" s="9"/>
      <c r="D938" s="9"/>
      <c r="E938" s="9"/>
      <c r="F938" s="14"/>
      <c r="G938" s="14"/>
      <c r="H938" s="14"/>
      <c r="I938" s="14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</row>
    <row r="939" spans="1:22" ht="19.5" customHeight="1" x14ac:dyDescent="0.25">
      <c r="A939" s="9"/>
      <c r="B939" s="9"/>
      <c r="C939" s="9"/>
      <c r="D939" s="9"/>
      <c r="E939" s="9"/>
      <c r="F939" s="14"/>
      <c r="G939" s="14"/>
      <c r="H939" s="14"/>
      <c r="I939" s="14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</row>
    <row r="940" spans="1:22" ht="19.5" customHeight="1" x14ac:dyDescent="0.25">
      <c r="A940" s="9"/>
      <c r="B940" s="9"/>
      <c r="C940" s="9"/>
      <c r="D940" s="9"/>
      <c r="E940" s="9"/>
      <c r="F940" s="14"/>
      <c r="G940" s="14"/>
      <c r="H940" s="14"/>
      <c r="I940" s="14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</row>
    <row r="941" spans="1:22" ht="19.5" customHeight="1" x14ac:dyDescent="0.25">
      <c r="A941" s="9"/>
      <c r="B941" s="9"/>
      <c r="C941" s="9"/>
      <c r="D941" s="9"/>
      <c r="E941" s="9"/>
      <c r="F941" s="14"/>
      <c r="G941" s="14"/>
      <c r="H941" s="14"/>
      <c r="I941" s="14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</row>
    <row r="942" spans="1:22" ht="19.5" customHeight="1" x14ac:dyDescent="0.25">
      <c r="A942" s="9"/>
      <c r="B942" s="9"/>
      <c r="C942" s="9"/>
      <c r="D942" s="9"/>
      <c r="E942" s="9"/>
      <c r="F942" s="14"/>
      <c r="G942" s="14"/>
      <c r="H942" s="14"/>
      <c r="I942" s="14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 spans="1:22" ht="19.5" customHeight="1" x14ac:dyDescent="0.25">
      <c r="A943" s="9"/>
      <c r="B943" s="9"/>
      <c r="C943" s="9"/>
      <c r="D943" s="9"/>
      <c r="E943" s="9"/>
      <c r="F943" s="14"/>
      <c r="G943" s="14"/>
      <c r="H943" s="14"/>
      <c r="I943" s="14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</row>
    <row r="944" spans="1:22" ht="19.5" customHeight="1" x14ac:dyDescent="0.25">
      <c r="A944" s="9"/>
      <c r="B944" s="9"/>
      <c r="C944" s="9"/>
      <c r="D944" s="9"/>
      <c r="E944" s="9"/>
      <c r="F944" s="14"/>
      <c r="G944" s="14"/>
      <c r="H944" s="14"/>
      <c r="I944" s="14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</row>
    <row r="945" spans="1:22" ht="19.5" customHeight="1" x14ac:dyDescent="0.25">
      <c r="A945" s="9"/>
      <c r="B945" s="9"/>
      <c r="C945" s="9"/>
      <c r="D945" s="9"/>
      <c r="E945" s="9"/>
      <c r="F945" s="14"/>
      <c r="G945" s="14"/>
      <c r="H945" s="14"/>
      <c r="I945" s="14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</row>
    <row r="946" spans="1:22" ht="19.5" customHeight="1" x14ac:dyDescent="0.25">
      <c r="A946" s="9"/>
      <c r="B946" s="9"/>
      <c r="C946" s="9"/>
      <c r="D946" s="9"/>
      <c r="E946" s="9"/>
      <c r="F946" s="14"/>
      <c r="G946" s="14"/>
      <c r="H946" s="14"/>
      <c r="I946" s="14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</row>
    <row r="947" spans="1:22" ht="19.5" customHeight="1" x14ac:dyDescent="0.25">
      <c r="A947" s="9"/>
      <c r="B947" s="9"/>
      <c r="C947" s="9"/>
      <c r="D947" s="9"/>
      <c r="E947" s="9"/>
      <c r="F947" s="14"/>
      <c r="G947" s="14"/>
      <c r="H947" s="14"/>
      <c r="I947" s="14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 spans="1:22" ht="19.5" customHeight="1" x14ac:dyDescent="0.25">
      <c r="A948" s="9"/>
      <c r="B948" s="9"/>
      <c r="C948" s="9"/>
      <c r="D948" s="9"/>
      <c r="E948" s="9"/>
      <c r="F948" s="14"/>
      <c r="G948" s="14"/>
      <c r="H948" s="14"/>
      <c r="I948" s="14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</row>
    <row r="949" spans="1:22" ht="19.5" customHeight="1" x14ac:dyDescent="0.25">
      <c r="A949" s="9"/>
      <c r="B949" s="9"/>
      <c r="C949" s="9"/>
      <c r="D949" s="9"/>
      <c r="E949" s="9"/>
      <c r="F949" s="14"/>
      <c r="G949" s="14"/>
      <c r="H949" s="14"/>
      <c r="I949" s="14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</row>
    <row r="950" spans="1:22" ht="19.5" customHeight="1" x14ac:dyDescent="0.25">
      <c r="A950" s="9"/>
      <c r="B950" s="9"/>
      <c r="C950" s="9"/>
      <c r="D950" s="9"/>
      <c r="E950" s="9"/>
      <c r="F950" s="14"/>
      <c r="G950" s="14"/>
      <c r="H950" s="14"/>
      <c r="I950" s="14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</row>
    <row r="951" spans="1:22" ht="19.5" customHeight="1" x14ac:dyDescent="0.25">
      <c r="A951" s="9"/>
      <c r="B951" s="9"/>
      <c r="C951" s="9"/>
      <c r="D951" s="9"/>
      <c r="E951" s="9"/>
      <c r="F951" s="14"/>
      <c r="G951" s="14"/>
      <c r="H951" s="14"/>
      <c r="I951" s="14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</row>
    <row r="952" spans="1:22" ht="19.5" customHeight="1" x14ac:dyDescent="0.25">
      <c r="A952" s="9"/>
      <c r="B952" s="9"/>
      <c r="C952" s="9"/>
      <c r="D952" s="9"/>
      <c r="E952" s="9"/>
      <c r="F952" s="14"/>
      <c r="G952" s="14"/>
      <c r="H952" s="14"/>
      <c r="I952" s="14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</row>
    <row r="953" spans="1:22" ht="19.5" customHeight="1" x14ac:dyDescent="0.25">
      <c r="A953" s="9"/>
      <c r="B953" s="9"/>
      <c r="C953" s="9"/>
      <c r="D953" s="9"/>
      <c r="E953" s="9"/>
      <c r="F953" s="14"/>
      <c r="G953" s="14"/>
      <c r="H953" s="14"/>
      <c r="I953" s="14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</row>
    <row r="954" spans="1:22" ht="19.5" customHeight="1" x14ac:dyDescent="0.25">
      <c r="A954" s="9"/>
      <c r="B954" s="9"/>
      <c r="C954" s="9"/>
      <c r="D954" s="9"/>
      <c r="E954" s="9"/>
      <c r="F954" s="14"/>
      <c r="G954" s="14"/>
      <c r="H954" s="14"/>
      <c r="I954" s="14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</row>
    <row r="955" spans="1:22" ht="19.5" customHeight="1" x14ac:dyDescent="0.25">
      <c r="A955" s="9"/>
      <c r="B955" s="9"/>
      <c r="C955" s="9"/>
      <c r="D955" s="9"/>
      <c r="E955" s="9"/>
      <c r="F955" s="14"/>
      <c r="G955" s="14"/>
      <c r="H955" s="14"/>
      <c r="I955" s="14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</row>
    <row r="956" spans="1:22" ht="19.5" customHeight="1" x14ac:dyDescent="0.25">
      <c r="A956" s="9"/>
      <c r="B956" s="9"/>
      <c r="C956" s="9"/>
      <c r="D956" s="9"/>
      <c r="E956" s="9"/>
      <c r="F956" s="14"/>
      <c r="G956" s="14"/>
      <c r="H956" s="14"/>
      <c r="I956" s="14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</row>
    <row r="957" spans="1:22" ht="19.5" customHeight="1" x14ac:dyDescent="0.25">
      <c r="A957" s="9"/>
      <c r="B957" s="9"/>
      <c r="C957" s="9"/>
      <c r="D957" s="9"/>
      <c r="E957" s="9"/>
      <c r="F957" s="14"/>
      <c r="G957" s="14"/>
      <c r="H957" s="14"/>
      <c r="I957" s="14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</row>
    <row r="958" spans="1:22" ht="19.5" customHeight="1" x14ac:dyDescent="0.25">
      <c r="A958" s="9"/>
      <c r="B958" s="9"/>
      <c r="C958" s="9"/>
      <c r="D958" s="9"/>
      <c r="E958" s="9"/>
      <c r="F958" s="14"/>
      <c r="G958" s="14"/>
      <c r="H958" s="14"/>
      <c r="I958" s="14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</row>
    <row r="959" spans="1:22" ht="19.5" customHeight="1" x14ac:dyDescent="0.25">
      <c r="A959" s="9"/>
      <c r="B959" s="9"/>
      <c r="C959" s="9"/>
      <c r="D959" s="9"/>
      <c r="E959" s="9"/>
      <c r="F959" s="14"/>
      <c r="G959" s="14"/>
      <c r="H959" s="14"/>
      <c r="I959" s="14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</row>
    <row r="960" spans="1:22" ht="19.5" customHeight="1" x14ac:dyDescent="0.25">
      <c r="A960" s="9"/>
      <c r="B960" s="9"/>
      <c r="C960" s="9"/>
      <c r="D960" s="9"/>
      <c r="E960" s="9"/>
      <c r="F960" s="14"/>
      <c r="G960" s="14"/>
      <c r="H960" s="14"/>
      <c r="I960" s="14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</row>
    <row r="961" spans="1:22" ht="19.5" customHeight="1" x14ac:dyDescent="0.25">
      <c r="A961" s="9"/>
      <c r="B961" s="9"/>
      <c r="C961" s="9"/>
      <c r="D961" s="9"/>
      <c r="E961" s="9"/>
      <c r="F961" s="14"/>
      <c r="G961" s="14"/>
      <c r="H961" s="14"/>
      <c r="I961" s="14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</row>
    <row r="962" spans="1:22" ht="19.5" customHeight="1" x14ac:dyDescent="0.25">
      <c r="A962" s="9"/>
      <c r="B962" s="9"/>
      <c r="C962" s="9"/>
      <c r="D962" s="9"/>
      <c r="E962" s="9"/>
      <c r="F962" s="14"/>
      <c r="G962" s="14"/>
      <c r="H962" s="14"/>
      <c r="I962" s="14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</row>
    <row r="963" spans="1:22" ht="19.5" customHeight="1" x14ac:dyDescent="0.25">
      <c r="A963" s="9"/>
      <c r="B963" s="9"/>
      <c r="C963" s="9"/>
      <c r="D963" s="9"/>
      <c r="E963" s="9"/>
      <c r="F963" s="14"/>
      <c r="G963" s="14"/>
      <c r="H963" s="14"/>
      <c r="I963" s="14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</row>
    <row r="964" spans="1:22" ht="19.5" customHeight="1" x14ac:dyDescent="0.25">
      <c r="A964" s="9"/>
      <c r="B964" s="9"/>
      <c r="C964" s="9"/>
      <c r="D964" s="9"/>
      <c r="E964" s="9"/>
      <c r="F964" s="14"/>
      <c r="G964" s="14"/>
      <c r="H964" s="14"/>
      <c r="I964" s="14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</row>
    <row r="965" spans="1:22" ht="19.5" customHeight="1" x14ac:dyDescent="0.25">
      <c r="A965" s="9"/>
      <c r="B965" s="9"/>
      <c r="C965" s="9"/>
      <c r="D965" s="9"/>
      <c r="E965" s="9"/>
      <c r="F965" s="14"/>
      <c r="G965" s="14"/>
      <c r="H965" s="14"/>
      <c r="I965" s="14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</row>
    <row r="966" spans="1:22" ht="19.5" customHeight="1" x14ac:dyDescent="0.25">
      <c r="A966" s="9"/>
      <c r="B966" s="9"/>
      <c r="C966" s="9"/>
      <c r="D966" s="9"/>
      <c r="E966" s="9"/>
      <c r="F966" s="14"/>
      <c r="G966" s="14"/>
      <c r="H966" s="14"/>
      <c r="I966" s="14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</row>
    <row r="967" spans="1:22" ht="19.5" customHeight="1" x14ac:dyDescent="0.25">
      <c r="A967" s="9"/>
      <c r="B967" s="9"/>
      <c r="C967" s="9"/>
      <c r="D967" s="9"/>
      <c r="E967" s="9"/>
      <c r="F967" s="14"/>
      <c r="G967" s="14"/>
      <c r="H967" s="14"/>
      <c r="I967" s="14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</row>
    <row r="968" spans="1:22" ht="19.5" customHeight="1" x14ac:dyDescent="0.25">
      <c r="A968" s="9"/>
      <c r="B968" s="9"/>
      <c r="C968" s="9"/>
      <c r="D968" s="9"/>
      <c r="E968" s="9"/>
      <c r="F968" s="14"/>
      <c r="G968" s="14"/>
      <c r="H968" s="14"/>
      <c r="I968" s="14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</row>
    <row r="969" spans="1:22" ht="19.5" customHeight="1" x14ac:dyDescent="0.25">
      <c r="A969" s="9"/>
      <c r="B969" s="9"/>
      <c r="C969" s="9"/>
      <c r="D969" s="9"/>
      <c r="E969" s="9"/>
      <c r="F969" s="14"/>
      <c r="G969" s="14"/>
      <c r="H969" s="14"/>
      <c r="I969" s="14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</row>
    <row r="970" spans="1:22" ht="19.5" customHeight="1" x14ac:dyDescent="0.25">
      <c r="A970" s="9"/>
      <c r="B970" s="9"/>
      <c r="C970" s="9"/>
      <c r="D970" s="9"/>
      <c r="E970" s="9"/>
      <c r="F970" s="14"/>
      <c r="G970" s="14"/>
      <c r="H970" s="14"/>
      <c r="I970" s="14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</row>
    <row r="971" spans="1:22" ht="19.5" customHeight="1" x14ac:dyDescent="0.25">
      <c r="A971" s="9"/>
      <c r="B971" s="9"/>
      <c r="C971" s="9"/>
      <c r="D971" s="9"/>
      <c r="E971" s="9"/>
      <c r="F971" s="14"/>
      <c r="G971" s="14"/>
      <c r="H971" s="14"/>
      <c r="I971" s="14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</row>
    <row r="972" spans="1:22" ht="19.5" customHeight="1" x14ac:dyDescent="0.25">
      <c r="A972" s="9"/>
      <c r="B972" s="9"/>
      <c r="C972" s="9"/>
      <c r="D972" s="9"/>
      <c r="E972" s="9"/>
      <c r="F972" s="14"/>
      <c r="G972" s="14"/>
      <c r="H972" s="14"/>
      <c r="I972" s="14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</row>
    <row r="973" spans="1:22" ht="19.5" customHeight="1" x14ac:dyDescent="0.25">
      <c r="A973" s="9"/>
      <c r="B973" s="9"/>
      <c r="C973" s="9"/>
      <c r="D973" s="9"/>
      <c r="E973" s="9"/>
      <c r="F973" s="14"/>
      <c r="G973" s="14"/>
      <c r="H973" s="14"/>
      <c r="I973" s="14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</row>
    <row r="974" spans="1:22" ht="19.5" customHeight="1" x14ac:dyDescent="0.25">
      <c r="A974" s="9"/>
      <c r="B974" s="9"/>
      <c r="C974" s="9"/>
      <c r="D974" s="9"/>
      <c r="E974" s="9"/>
      <c r="F974" s="14"/>
      <c r="G974" s="14"/>
      <c r="H974" s="14"/>
      <c r="I974" s="14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</row>
    <row r="975" spans="1:22" ht="19.5" customHeight="1" x14ac:dyDescent="0.25">
      <c r="A975" s="9"/>
      <c r="B975" s="9"/>
      <c r="C975" s="9"/>
      <c r="D975" s="9"/>
      <c r="E975" s="9"/>
      <c r="F975" s="14"/>
      <c r="G975" s="14"/>
      <c r="H975" s="14"/>
      <c r="I975" s="14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</row>
    <row r="976" spans="1:22" ht="19.5" customHeight="1" x14ac:dyDescent="0.25">
      <c r="A976" s="9"/>
      <c r="B976" s="9"/>
      <c r="C976" s="9"/>
      <c r="D976" s="9"/>
      <c r="E976" s="9"/>
      <c r="F976" s="14"/>
      <c r="G976" s="14"/>
      <c r="H976" s="14"/>
      <c r="I976" s="14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</row>
    <row r="977" spans="1:22" ht="19.5" customHeight="1" x14ac:dyDescent="0.25">
      <c r="A977" s="9"/>
      <c r="B977" s="9"/>
      <c r="C977" s="9"/>
      <c r="D977" s="9"/>
      <c r="E977" s="9"/>
      <c r="F977" s="14"/>
      <c r="G977" s="14"/>
      <c r="H977" s="14"/>
      <c r="I977" s="14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</row>
    <row r="978" spans="1:22" ht="19.5" customHeight="1" x14ac:dyDescent="0.25">
      <c r="A978" s="9"/>
      <c r="B978" s="9"/>
      <c r="C978" s="9"/>
      <c r="D978" s="9"/>
      <c r="E978" s="9"/>
      <c r="F978" s="14"/>
      <c r="G978" s="14"/>
      <c r="H978" s="14"/>
      <c r="I978" s="14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</row>
    <row r="979" spans="1:22" ht="19.5" customHeight="1" x14ac:dyDescent="0.25">
      <c r="A979" s="9"/>
      <c r="B979" s="9"/>
      <c r="C979" s="9"/>
      <c r="D979" s="9"/>
      <c r="E979" s="9"/>
      <c r="F979" s="14"/>
      <c r="G979" s="14"/>
      <c r="H979" s="14"/>
      <c r="I979" s="14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</row>
    <row r="980" spans="1:22" ht="19.5" customHeight="1" x14ac:dyDescent="0.25">
      <c r="A980" s="9"/>
      <c r="B980" s="9"/>
      <c r="C980" s="9"/>
      <c r="D980" s="9"/>
      <c r="E980" s="9"/>
      <c r="F980" s="14"/>
      <c r="G980" s="14"/>
      <c r="H980" s="14"/>
      <c r="I980" s="14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</row>
    <row r="981" spans="1:22" ht="19.5" customHeight="1" x14ac:dyDescent="0.25">
      <c r="A981" s="9"/>
      <c r="B981" s="9"/>
      <c r="C981" s="9"/>
      <c r="D981" s="9"/>
      <c r="E981" s="9"/>
      <c r="F981" s="14"/>
      <c r="G981" s="14"/>
      <c r="H981" s="14"/>
      <c r="I981" s="14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</row>
    <row r="982" spans="1:22" ht="19.5" customHeight="1" x14ac:dyDescent="0.25">
      <c r="A982" s="9"/>
      <c r="B982" s="9"/>
      <c r="C982" s="9"/>
      <c r="D982" s="9"/>
      <c r="E982" s="9"/>
      <c r="F982" s="14"/>
      <c r="G982" s="14"/>
      <c r="H982" s="14"/>
      <c r="I982" s="14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</row>
  </sheetData>
  <mergeCells count="6">
    <mergeCell ref="A1:A2"/>
    <mergeCell ref="B1:D1"/>
    <mergeCell ref="E1:G1"/>
    <mergeCell ref="H1:I1"/>
    <mergeCell ref="E21:F21"/>
    <mergeCell ref="H21:I21"/>
  </mergeCells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MÃO DE OBRA</vt:lpstr>
      <vt:lpstr>ALVENARIA-DRYWALL</vt:lpstr>
      <vt:lpstr>ORÇAMENTO_EXECUTIVO</vt:lpstr>
      <vt:lpstr>ANÁLISE_CUSTOS VERSÕES</vt:lpstr>
      <vt:lpstr>ANÁLISE_CUSTOS</vt:lpstr>
      <vt:lpstr>AREA PRIVATIVA</vt:lpstr>
      <vt:lpstr>CÁLCULO_MÉDIAS</vt:lpstr>
      <vt:lpstr>ANÁLISE_CONSTRUTORA</vt:lpstr>
      <vt:lpstr>VERSÕES</vt:lpstr>
      <vt:lpstr>CONSTRUTORA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Patricia Bragatto</cp:lastModifiedBy>
  <dcterms:created xsi:type="dcterms:W3CDTF">2021-06-30T18:49:34Z</dcterms:created>
  <dcterms:modified xsi:type="dcterms:W3CDTF">2025-07-08T20:41:45Z</dcterms:modified>
</cp:coreProperties>
</file>