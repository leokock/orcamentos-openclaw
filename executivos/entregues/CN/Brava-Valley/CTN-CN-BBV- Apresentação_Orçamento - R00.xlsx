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CN - 03.2021\Brava Valley\03. Custo\03.5 Custo - Determinação do orçamento\R03\"/>
    </mc:Choice>
  </mc:AlternateContent>
  <xr:revisionPtr revIDLastSave="0" documentId="13_ncr:1_{9721D573-73CD-4126-B560-80B0FF40ADBB}" xr6:coauthVersionLast="47" xr6:coauthVersionMax="47" xr10:uidLastSave="{00000000-0000-0000-0000-000000000000}"/>
  <bookViews>
    <workbookView xWindow="22932" yWindow="4992" windowWidth="23256" windowHeight="12456" activeTab="1" xr2:uid="{00000000-000D-0000-FFFF-FFFF00000000}"/>
  </bookViews>
  <sheets>
    <sheet name="Gerenciamento executivo " sheetId="3" r:id="rId1"/>
    <sheet name="Executivo " sheetId="1" r:id="rId2"/>
    <sheet name="Planilha1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1" l="1"/>
  <c r="D17" i="1"/>
  <c r="B9" i="1"/>
  <c r="D7" i="1"/>
  <c r="B16" i="3"/>
  <c r="B14" i="3"/>
  <c r="D17" i="3"/>
  <c r="B23" i="3"/>
  <c r="B3" i="3" l="1"/>
  <c r="G17" i="3"/>
  <c r="F17" i="3"/>
  <c r="B17" i="1" l="1"/>
  <c r="E16" i="1"/>
  <c r="D16" i="1"/>
  <c r="C16" i="3" s="1"/>
  <c r="E15" i="1"/>
  <c r="D15" i="1"/>
  <c r="C15" i="3" s="1"/>
  <c r="E14" i="1"/>
  <c r="D14" i="1"/>
  <c r="C14" i="3" s="1"/>
  <c r="E13" i="1"/>
  <c r="D13" i="1"/>
  <c r="C13" i="3" s="1"/>
  <c r="E12" i="1"/>
  <c r="D12" i="1"/>
  <c r="C12" i="3" s="1"/>
  <c r="E11" i="1"/>
  <c r="D11" i="1"/>
  <c r="C11" i="3" s="1"/>
  <c r="E10" i="1"/>
  <c r="D10" i="1"/>
  <c r="C10" i="3" s="1"/>
  <c r="E9" i="1"/>
  <c r="D9" i="1"/>
  <c r="C9" i="3" s="1"/>
  <c r="E8" i="1"/>
  <c r="D8" i="1"/>
  <c r="C8" i="3" s="1"/>
  <c r="E7" i="1"/>
  <c r="C7" i="3"/>
  <c r="E6" i="1"/>
  <c r="D6" i="1"/>
  <c r="C6" i="3" s="1"/>
  <c r="E5" i="1"/>
  <c r="D5" i="1"/>
  <c r="C5" i="3" s="1"/>
  <c r="E4" i="1"/>
  <c r="D4" i="1"/>
  <c r="C4" i="3" s="1"/>
  <c r="E3" i="1"/>
  <c r="D3" i="1"/>
  <c r="C3" i="3" s="1"/>
  <c r="E2" i="1"/>
  <c r="D2" i="1"/>
  <c r="B15" i="3"/>
  <c r="B13" i="3"/>
  <c r="B12" i="3"/>
  <c r="B11" i="3"/>
  <c r="B10" i="3"/>
  <c r="B9" i="3"/>
  <c r="B8" i="3"/>
  <c r="B7" i="3"/>
  <c r="B6" i="3"/>
  <c r="B5" i="3"/>
  <c r="B4" i="3"/>
  <c r="C17" i="3" l="1"/>
  <c r="C8" i="1"/>
  <c r="B17" i="3"/>
  <c r="E17" i="1"/>
  <c r="C11" i="1"/>
  <c r="C2" i="1"/>
  <c r="C15" i="1"/>
  <c r="C3" i="1"/>
  <c r="C10" i="1"/>
  <c r="C5" i="1"/>
  <c r="C13" i="1"/>
  <c r="C6" i="1"/>
  <c r="C14" i="1"/>
  <c r="C16" i="1"/>
  <c r="C12" i="1"/>
  <c r="C9" i="1"/>
  <c r="C4" i="1"/>
  <c r="C7" i="1"/>
  <c r="C17" i="1" l="1"/>
</calcChain>
</file>

<file path=xl/sharedStrings.xml><?xml version="1.0" encoding="utf-8"?>
<sst xmlns="http://schemas.openxmlformats.org/spreadsheetml/2006/main" count="72" uniqueCount="49">
  <si>
    <t>ETAPA</t>
  </si>
  <si>
    <t>MOVIMENTAÇÃO DE TERRA</t>
  </si>
  <si>
    <t>INFRAESTRUTURA</t>
  </si>
  <si>
    <t>SUPRAESTRUTURA</t>
  </si>
  <si>
    <t>ALVENARIA</t>
  </si>
  <si>
    <t>REVESTIMENTOS E ACABAMENTOS INTERNOS EM TETO</t>
  </si>
  <si>
    <t>PINTURA INTERNA</t>
  </si>
  <si>
    <t>TOTAL</t>
  </si>
  <si>
    <t>VALOR ORÇADO</t>
  </si>
  <si>
    <t>%</t>
  </si>
  <si>
    <t>VALOR / m²</t>
  </si>
  <si>
    <t>OBRA SIMILAR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</si>
  <si>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</si>
  <si>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</si>
  <si>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</si>
  <si>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</si>
  <si>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</si>
  <si>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</si>
  <si>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IMPERMEABILIZAÇÃO</t>
  </si>
  <si>
    <t>Valor 1</t>
  </si>
  <si>
    <t>Valor 2</t>
  </si>
  <si>
    <t>INSTALAÇÕES ELÉTRICAS, HIDRÁULICAS, GLP E PREVENTIVAS</t>
  </si>
  <si>
    <t>CUBs</t>
  </si>
  <si>
    <t>COBERTURA</t>
  </si>
  <si>
    <t>VALOR</t>
  </si>
  <si>
    <t>240-320</t>
  </si>
  <si>
    <t xml:space="preserve">MOVIMENTAÇÃO DE TERRA </t>
  </si>
  <si>
    <t>CUB/SC</t>
  </si>
  <si>
    <t>230,00 - 270,00</t>
  </si>
  <si>
    <t>60,00 - 70,00</t>
  </si>
  <si>
    <t>VALOR / UNIDADE</t>
  </si>
  <si>
    <t>GERENCIAMENTO TÉCNICO E ADMINISTRATIVO</t>
  </si>
  <si>
    <t>Supra</t>
  </si>
  <si>
    <t>4,50 - 7,50</t>
  </si>
  <si>
    <t>100,00 - 150,00</t>
  </si>
  <si>
    <t xml:space="preserve">  85,00 - 110,00</t>
  </si>
  <si>
    <t>40,00 - 50,00</t>
  </si>
  <si>
    <t>180,00 - 240,00</t>
  </si>
  <si>
    <t>110,00 - 130,00</t>
  </si>
  <si>
    <t>BRAVA GARDEN</t>
  </si>
  <si>
    <t>BRAVA VALLEY</t>
  </si>
  <si>
    <t>VALOR / m²
(ago/21)</t>
  </si>
  <si>
    <t>580,00 - 620,00</t>
  </si>
  <si>
    <t>130,00 - 240,00</t>
  </si>
  <si>
    <t>140,00 - 180,00</t>
  </si>
  <si>
    <t>80,00 - 120,00</t>
  </si>
  <si>
    <t>130,00 - 180,00</t>
  </si>
  <si>
    <t>330,00 - 400,00</t>
  </si>
  <si>
    <t>2.200,00 - 4.800,00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</si>
</sst>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Poppins"/>
    </font>
    <font>
      <sz val="11"/>
      <color theme="1"/>
      <name val="Poppins"/>
    </font>
    <font>
      <sz val="11"/>
      <name val="Poppins"/>
    </font>
    <font>
      <sz val="10"/>
      <color theme="1"/>
      <name val="Poppins"/>
    </font>
    <font>
      <b/>
      <sz val="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34998626667073579"/>
      </left>
      <right style="thin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57">
    <xf numFmtId="0" fontId="0" fillId="0" borderId="0" xfId="0"/>
    <xf numFmtId="0" fontId="5" fillId="0" borderId="0" xfId="0" applyFont="1"/>
    <xf numFmtId="43" fontId="4" fillId="3" borderId="15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3" fontId="5" fillId="0" borderId="0" xfId="1" applyFont="1"/>
    <xf numFmtId="0" fontId="5" fillId="0" borderId="0" xfId="0" applyFont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2" borderId="19" xfId="0" applyFont="1" applyFill="1" applyBorder="1" applyAlignment="1">
      <alignment vertical="center"/>
    </xf>
    <xf numFmtId="43" fontId="5" fillId="2" borderId="20" xfId="1" applyFont="1" applyFill="1" applyBorder="1" applyAlignment="1">
      <alignment vertical="center"/>
    </xf>
    <xf numFmtId="10" fontId="5" fillId="2" borderId="20" xfId="2" applyNumberFormat="1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vertical="center"/>
    </xf>
    <xf numFmtId="43" fontId="5" fillId="4" borderId="20" xfId="1" applyFont="1" applyFill="1" applyBorder="1" applyAlignment="1">
      <alignment vertical="center"/>
    </xf>
    <xf numFmtId="10" fontId="5" fillId="4" borderId="20" xfId="2" applyNumberFormat="1" applyFont="1" applyFill="1" applyBorder="1" applyAlignment="1">
      <alignment horizontal="center" vertical="center"/>
    </xf>
    <xf numFmtId="43" fontId="5" fillId="4" borderId="20" xfId="0" applyNumberFormat="1" applyFont="1" applyFill="1" applyBorder="1" applyAlignment="1">
      <alignment vertical="center"/>
    </xf>
    <xf numFmtId="43" fontId="5" fillId="4" borderId="21" xfId="0" applyNumberFormat="1" applyFont="1" applyFill="1" applyBorder="1" applyAlignment="1">
      <alignment vertical="center"/>
    </xf>
    <xf numFmtId="43" fontId="5" fillId="2" borderId="21" xfId="1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4" fillId="3" borderId="8" xfId="0" applyFont="1" applyFill="1" applyBorder="1" applyAlignment="1">
      <alignment horizontal="right"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9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right" vertical="center"/>
    </xf>
    <xf numFmtId="43" fontId="4" fillId="3" borderId="11" xfId="1" applyFont="1" applyFill="1" applyBorder="1" applyAlignment="1">
      <alignment horizontal="right" vertical="center"/>
    </xf>
    <xf numFmtId="17" fontId="4" fillId="3" borderId="11" xfId="0" applyNumberFormat="1" applyFont="1" applyFill="1" applyBorder="1" applyAlignment="1">
      <alignment horizontal="center" vertical="center"/>
    </xf>
    <xf numFmtId="43" fontId="4" fillId="3" borderId="17" xfId="1" applyFont="1" applyFill="1" applyBorder="1" applyAlignment="1">
      <alignment horizontal="right" vertical="center"/>
    </xf>
    <xf numFmtId="0" fontId="4" fillId="3" borderId="18" xfId="0" applyFont="1" applyFill="1" applyBorder="1" applyAlignment="1">
      <alignment horizontal="left" vertical="center"/>
    </xf>
    <xf numFmtId="43" fontId="7" fillId="0" borderId="0" xfId="1" applyFont="1" applyAlignment="1">
      <alignment vertical="center"/>
    </xf>
    <xf numFmtId="43" fontId="7" fillId="0" borderId="0" xfId="0" applyNumberFormat="1" applyFont="1" applyAlignment="1">
      <alignment vertical="center"/>
    </xf>
    <xf numFmtId="4" fontId="0" fillId="0" borderId="0" xfId="0" applyNumberFormat="1"/>
    <xf numFmtId="9" fontId="4" fillId="3" borderId="2" xfId="2" applyFont="1" applyFill="1" applyBorder="1" applyAlignment="1">
      <alignment horizontal="right" vertical="center"/>
    </xf>
    <xf numFmtId="14" fontId="7" fillId="0" borderId="0" xfId="1" applyNumberFormat="1" applyFont="1" applyAlignment="1">
      <alignment vertical="center"/>
    </xf>
    <xf numFmtId="14" fontId="7" fillId="0" borderId="0" xfId="0" applyNumberFormat="1" applyFont="1" applyAlignment="1">
      <alignment horizontal="left" vertical="center"/>
    </xf>
    <xf numFmtId="4" fontId="8" fillId="0" borderId="0" xfId="0" applyNumberFormat="1" applyFont="1"/>
    <xf numFmtId="0" fontId="4" fillId="3" borderId="16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43" fontId="5" fillId="0" borderId="0" xfId="0" applyNumberFormat="1" applyFont="1"/>
    <xf numFmtId="0" fontId="4" fillId="3" borderId="2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/>
    </xf>
    <xf numFmtId="43" fontId="5" fillId="2" borderId="1" xfId="1" applyFont="1" applyFill="1" applyBorder="1" applyAlignment="1">
      <alignment horizontal="center" vertical="center"/>
    </xf>
    <xf numFmtId="43" fontId="5" fillId="2" borderId="25" xfId="1" applyFont="1" applyFill="1" applyBorder="1" applyAlignment="1">
      <alignment horizontal="center" vertical="center"/>
    </xf>
    <xf numFmtId="43" fontId="5" fillId="2" borderId="26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4" borderId="7" xfId="0" applyFont="1" applyFill="1" applyBorder="1" applyAlignment="1">
      <alignment vertical="center"/>
    </xf>
    <xf numFmtId="43" fontId="5" fillId="4" borderId="1" xfId="1" applyFont="1" applyFill="1" applyBorder="1" applyAlignment="1">
      <alignment horizontal="center" vertical="center"/>
    </xf>
    <xf numFmtId="43" fontId="5" fillId="4" borderId="25" xfId="1" applyFont="1" applyFill="1" applyBorder="1" applyAlignment="1">
      <alignment horizontal="center" vertical="center"/>
    </xf>
    <xf numFmtId="43" fontId="5" fillId="4" borderId="26" xfId="1" applyFont="1" applyFill="1" applyBorder="1" applyAlignment="1">
      <alignment horizontal="center" vertical="center"/>
    </xf>
    <xf numFmtId="43" fontId="4" fillId="3" borderId="11" xfId="0" applyNumberFormat="1" applyFont="1" applyFill="1" applyBorder="1" applyAlignment="1">
      <alignment horizontal="right" vertical="center"/>
    </xf>
    <xf numFmtId="43" fontId="4" fillId="3" borderId="27" xfId="0" applyNumberFormat="1" applyFont="1" applyFill="1" applyBorder="1" applyAlignment="1">
      <alignment horizontal="center" vertical="center"/>
    </xf>
    <xf numFmtId="43" fontId="4" fillId="3" borderId="28" xfId="0" applyNumberFormat="1" applyFont="1" applyFill="1" applyBorder="1" applyAlignment="1">
      <alignment horizontal="center" vertical="center"/>
    </xf>
    <xf numFmtId="43" fontId="5" fillId="0" borderId="0" xfId="1" applyFont="1" applyAlignment="1">
      <alignment horizontal="center"/>
    </xf>
    <xf numFmtId="0" fontId="4" fillId="3" borderId="16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</cellXfs>
  <cellStyles count="10">
    <cellStyle name="Comma" xfId="7" xr:uid="{00000000-0005-0000-0000-000000000000}"/>
    <cellStyle name="Comma [0]" xfId="8" xr:uid="{00000000-0005-0000-0000-000001000000}"/>
    <cellStyle name="Currency" xfId="5" xr:uid="{00000000-0005-0000-0000-000002000000}"/>
    <cellStyle name="Currency [0]" xfId="6" xr:uid="{00000000-0005-0000-0000-000003000000}"/>
    <cellStyle name="Normal" xfId="0" builtinId="0"/>
    <cellStyle name="Normal 2" xfId="3" xr:uid="{00000000-0005-0000-0000-000005000000}"/>
    <cellStyle name="Normal 3" xfId="9" xr:uid="{98CE299D-95DD-4602-ACCC-0213D73441AA}"/>
    <cellStyle name="Percent" xfId="4" xr:uid="{00000000-0005-0000-0000-000006000000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83549"/>
      <color rgb="FFBCBDC1"/>
      <color rgb="FF808183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28913417778387E-2"/>
          <c:y val="0.14391576356724217"/>
          <c:w val="0.91871084921724233"/>
          <c:h val="0.48799853426299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'Gerenciamento executivo '!$F$2</c:f>
              <c:strCache>
                <c:ptCount val="1"/>
                <c:pt idx="0">
                  <c:v>Valor 1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'Gerenciamento executivo '!$A$3:$A$16</c:f>
              <c:strCache>
                <c:ptCount val="14"/>
                <c:pt idx="0">
                  <c:v>MOVIMENTAÇÃO DE TERRA</c:v>
                </c:pt>
                <c:pt idx="1">
                  <c:v>INFRAESTRUTURA</c:v>
                </c:pt>
                <c:pt idx="2">
                  <c:v>SUPRAESTRUTURA</c:v>
                </c:pt>
                <c:pt idx="3">
                  <c:v>ALVENARIA</c:v>
                </c:pt>
                <c:pt idx="4">
                  <c:v>INSTALAÇÕES ELÉTRICAS, HIDRÁULICAS, GLP E PREVENTIVAS</c:v>
                </c:pt>
                <c:pt idx="5">
                  <c:v>SISTEMAS E EQUIPAMENTOS ESPECIAIS</c:v>
                </c:pt>
                <c:pt idx="6">
                  <c:v>IMPERMEABILIZAÇÃO</c:v>
                </c:pt>
                <c:pt idx="7">
                  <c:v>REVESTIMENTOS INTERNOS EM PISO E PAREDE</c:v>
                </c:pt>
                <c:pt idx="8">
                  <c:v>REVESTIMENTOS E ACABAMENTOS INTERNOS EM TETO</c:v>
                </c:pt>
                <c:pt idx="9">
                  <c:v>ACABAMENTOS EM PISO E PAREDE</c:v>
                </c:pt>
                <c:pt idx="10">
                  <c:v>PINTURA INTERNA</c:v>
                </c:pt>
                <c:pt idx="11">
                  <c:v>ESQUADRIAS, VIDROS E FERRAGENS</c:v>
                </c:pt>
                <c:pt idx="12">
                  <c:v>REVESTIMENTOS E ACABAMENTOS DE FACHADA</c:v>
                </c:pt>
                <c:pt idx="13">
                  <c:v>SERVIÇOS COMPLEMENTARES</c:v>
                </c:pt>
              </c:strCache>
            </c:strRef>
          </c:cat>
          <c:val>
            <c:numRef>
              <c:f>'Gerenciamento executivo '!$F$3:$F$16</c:f>
              <c:numCache>
                <c:formatCode>General</c:formatCode>
                <c:ptCount val="14"/>
                <c:pt idx="0">
                  <c:v>4.5</c:v>
                </c:pt>
                <c:pt idx="1">
                  <c:v>100</c:v>
                </c:pt>
                <c:pt idx="2">
                  <c:v>580</c:v>
                </c:pt>
                <c:pt idx="3">
                  <c:v>85</c:v>
                </c:pt>
                <c:pt idx="4">
                  <c:v>230</c:v>
                </c:pt>
                <c:pt idx="5">
                  <c:v>130</c:v>
                </c:pt>
                <c:pt idx="6">
                  <c:v>40</c:v>
                </c:pt>
                <c:pt idx="7">
                  <c:v>140</c:v>
                </c:pt>
                <c:pt idx="8">
                  <c:v>60</c:v>
                </c:pt>
                <c:pt idx="9">
                  <c:v>180</c:v>
                </c:pt>
                <c:pt idx="10">
                  <c:v>110</c:v>
                </c:pt>
                <c:pt idx="11">
                  <c:v>330</c:v>
                </c:pt>
                <c:pt idx="12">
                  <c:v>80</c:v>
                </c:pt>
                <c:pt idx="1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A4E-8021-9846F645B964}"/>
            </c:ext>
          </c:extLst>
        </c:ser>
        <c:ser>
          <c:idx val="1"/>
          <c:order val="1"/>
          <c:tx>
            <c:strRef>
              <c:f>'Gerenciamento executivo '!$G$2</c:f>
              <c:strCache>
                <c:ptCount val="1"/>
                <c:pt idx="0">
                  <c:v>Valor 2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'Gerenciamento executivo '!$G$3:$G$17</c:f>
              <c:numCache>
                <c:formatCode>General</c:formatCode>
                <c:ptCount val="15"/>
                <c:pt idx="0">
                  <c:v>7.5</c:v>
                </c:pt>
                <c:pt idx="1">
                  <c:v>150</c:v>
                </c:pt>
                <c:pt idx="2">
                  <c:v>620</c:v>
                </c:pt>
                <c:pt idx="3">
                  <c:v>110</c:v>
                </c:pt>
                <c:pt idx="4">
                  <c:v>270</c:v>
                </c:pt>
                <c:pt idx="5">
                  <c:v>2240</c:v>
                </c:pt>
                <c:pt idx="6">
                  <c:v>50</c:v>
                </c:pt>
                <c:pt idx="7">
                  <c:v>180</c:v>
                </c:pt>
                <c:pt idx="8">
                  <c:v>70</c:v>
                </c:pt>
                <c:pt idx="9">
                  <c:v>240</c:v>
                </c:pt>
                <c:pt idx="10">
                  <c:v>130</c:v>
                </c:pt>
                <c:pt idx="11">
                  <c:v>400</c:v>
                </c:pt>
                <c:pt idx="12">
                  <c:v>120</c:v>
                </c:pt>
                <c:pt idx="13">
                  <c:v>180</c:v>
                </c:pt>
                <c:pt idx="14">
                  <c:v>4767.5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715216"/>
        <c:axId val="410715872"/>
      </c:barChart>
      <c:lineChart>
        <c:grouping val="standard"/>
        <c:varyColors val="0"/>
        <c:ser>
          <c:idx val="2"/>
          <c:order val="2"/>
          <c:tx>
            <c:strRef>
              <c:f>'Gerenciamento executivo '!$C$2</c:f>
              <c:strCache>
                <c:ptCount val="1"/>
                <c:pt idx="0">
                  <c:v>VALOR / m²</c:v>
                </c:pt>
              </c:strCache>
            </c:strRef>
          </c:tx>
          <c:spPr>
            <a:ln w="25400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2"/>
              </a:solidFill>
              <a:ln w="31750">
                <a:noFill/>
              </a:ln>
              <a:effectLst/>
            </c:spPr>
          </c:marker>
          <c:val>
            <c:numRef>
              <c:f>'Gerenciamento executivo '!$C$3:$C$16</c:f>
              <c:numCache>
                <c:formatCode>_(* #,##0.00_);_(* \(#,##0.00\);_(* "-"??_);_(@_)</c:formatCode>
                <c:ptCount val="14"/>
                <c:pt idx="0">
                  <c:v>4.3941694743870787</c:v>
                </c:pt>
                <c:pt idx="1">
                  <c:v>71.913534127368166</c:v>
                </c:pt>
                <c:pt idx="2">
                  <c:v>330.42045927028636</c:v>
                </c:pt>
                <c:pt idx="3">
                  <c:v>106.29100750668891</c:v>
                </c:pt>
                <c:pt idx="4">
                  <c:v>696.27623244988558</c:v>
                </c:pt>
                <c:pt idx="5">
                  <c:v>169.51892844026079</c:v>
                </c:pt>
                <c:pt idx="6">
                  <c:v>47.92021903411014</c:v>
                </c:pt>
                <c:pt idx="7">
                  <c:v>163.06867647953769</c:v>
                </c:pt>
                <c:pt idx="8">
                  <c:v>60.572927319300504</c:v>
                </c:pt>
                <c:pt idx="9">
                  <c:v>203.44093743603102</c:v>
                </c:pt>
                <c:pt idx="10">
                  <c:v>91.389270699144674</c:v>
                </c:pt>
                <c:pt idx="11">
                  <c:v>219.75658564174975</c:v>
                </c:pt>
                <c:pt idx="12">
                  <c:v>85.199371342994709</c:v>
                </c:pt>
                <c:pt idx="13">
                  <c:v>197.00759605936071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15216"/>
        <c:axId val="410715872"/>
      </c:lineChart>
      <c:catAx>
        <c:axId val="4107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872"/>
        <c:crosses val="autoZero"/>
        <c:auto val="1"/>
        <c:lblAlgn val="ctr"/>
        <c:lblOffset val="100"/>
        <c:noMultiLvlLbl val="0"/>
      </c:catAx>
      <c:valAx>
        <c:axId val="410715872"/>
        <c:scaling>
          <c:orientation val="minMax"/>
          <c:max val="6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2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'Executivo '!$A$2:$A$16</c:f>
              <c:strCache>
                <c:ptCount val="15"/>
                <c:pt idx="0">
                  <c:v>GERENCIAMENTO TÉCNICO E ADMINISTRATIVO</c:v>
                </c:pt>
                <c:pt idx="1">
                  <c:v>MOVIMENTAÇÃO DE TERRA </c:v>
                </c:pt>
                <c:pt idx="2">
                  <c:v>INFRAESTRUTURA</c:v>
                </c:pt>
                <c:pt idx="3">
                  <c:v>SUPRAESTRUTURA</c:v>
                </c:pt>
                <c:pt idx="4">
                  <c:v>ALVENARIA</c:v>
                </c:pt>
                <c:pt idx="5">
                  <c:v>INSTALAÇÕES ELÉTRICAS, HIDRÁULICAS, GLP E PREVENTIVAS</c:v>
                </c:pt>
                <c:pt idx="6">
                  <c:v>SISTEMAS E EQUIPAMENTOS ESPECIAIS</c:v>
                </c:pt>
                <c:pt idx="7">
                  <c:v>IMPERMEABILIZAÇÃO</c:v>
                </c:pt>
                <c:pt idx="8">
                  <c:v>REVESTIMENTOS INTERNOS EM PISO E PAREDE</c:v>
                </c:pt>
                <c:pt idx="9">
                  <c:v>REVESTIMENTOS E ACABAMENTOS INTERNOS EM TETO</c:v>
                </c:pt>
                <c:pt idx="10">
                  <c:v>ACABAMENTOS EM PISO E PAREDE</c:v>
                </c:pt>
                <c:pt idx="11">
                  <c:v>PINTURA INTERNA</c:v>
                </c:pt>
                <c:pt idx="12">
                  <c:v>ESQUADRIAS, VIDROS E FERRAGENS</c:v>
                </c:pt>
                <c:pt idx="13">
                  <c:v>REVESTIMENTOS E ACABAMENTOS DE FACHADA</c:v>
                </c:pt>
                <c:pt idx="14">
                  <c:v>SERVIÇOS COMPLEMENTARES</c:v>
                </c:pt>
              </c:strCache>
            </c:strRef>
          </c:cat>
          <c:val>
            <c:numRef>
              <c:f>'Executivo '!$C$2:$C$16</c:f>
              <c:numCache>
                <c:formatCode>0.00%</c:formatCode>
                <c:ptCount val="15"/>
                <c:pt idx="0">
                  <c:v>0.13076801437768443</c:v>
                </c:pt>
                <c:pt idx="1">
                  <c:v>1.5608040265335217E-3</c:v>
                </c:pt>
                <c:pt idx="2">
                  <c:v>2.5543605972072409E-2</c:v>
                </c:pt>
                <c:pt idx="3">
                  <c:v>0.1173649733548463</c:v>
                </c:pt>
                <c:pt idx="4">
                  <c:v>3.7754445627950058E-2</c:v>
                </c:pt>
                <c:pt idx="5">
                  <c:v>0.24731653012517396</c:v>
                </c:pt>
                <c:pt idx="6">
                  <c:v>6.0212931618918226E-2</c:v>
                </c:pt>
                <c:pt idx="7">
                  <c:v>1.702120759264527E-2</c:v>
                </c:pt>
                <c:pt idx="8">
                  <c:v>5.7921809419118078E-2</c:v>
                </c:pt>
                <c:pt idx="9">
                  <c:v>2.1515435262558655E-2</c:v>
                </c:pt>
                <c:pt idx="10">
                  <c:v>7.2261990840988763E-2</c:v>
                </c:pt>
                <c:pt idx="11">
                  <c:v>3.2461365571040762E-2</c:v>
                </c:pt>
                <c:pt idx="12">
                  <c:v>7.8057290627085954E-2</c:v>
                </c:pt>
                <c:pt idx="13">
                  <c:v>3.0262720321869142E-2</c:v>
                </c:pt>
                <c:pt idx="14">
                  <c:v>6.9976875261514596E-2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A28-BE49-41975BBB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457198</xdr:colOff>
      <xdr:row>1</xdr:row>
      <xdr:rowOff>126274</xdr:rowOff>
    </xdr:from>
    <xdr:to>
      <xdr:col>22</xdr:col>
      <xdr:colOff>415636</xdr:colOff>
      <xdr:row>25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88E27-5B2B-429D-976F-09C83619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0.32643</cdr:x>
      <cdr:y>0.02118</cdr:y>
    </cdr:from>
    <cdr:to>
      <cdr:x>0.74936</cdr:x>
      <cdr:y>0.09607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2D004DF-4FC1-4B69-A73A-5C0C9B236050}"/>
            </a:ext>
          </a:extLst>
        </cdr:cNvPr>
        <cdr:cNvSpPr txBox="1"/>
      </cdr:nvSpPr>
      <cdr:spPr>
        <a:xfrm xmlns:a="http://schemas.openxmlformats.org/drawingml/2006/main">
          <a:off x="2987531" y="63460"/>
          <a:ext cx="3870711" cy="2243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baseline="0">
              <a:effectLst/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rPr>
            <a:t>COMPARATIVO OBRAS SIMILARES</a:t>
          </a:r>
          <a:endParaRPr lang="pt-BR" sz="1400">
            <a:effectLst/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  <a:p xmlns:a="http://schemas.openxmlformats.org/drawingml/2006/main">
          <a:endParaRPr lang="pt-BR" sz="1400"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19</xdr:row>
      <xdr:rowOff>57149</xdr:rowOff>
    </xdr:from>
    <xdr:to>
      <xdr:col>4</xdr:col>
      <xdr:colOff>952502</xdr:colOff>
      <xdr:row>46</xdr:row>
      <xdr:rowOff>43294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556647-49F7-4684-8A8F-77AD7DB6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zoomScaleNormal="100" workbookViewId="0">
      <selection activeCell="C8" sqref="C8"/>
    </sheetView>
  </sheetViews>
  <sheetFormatPr defaultColWidth="9.109375" defaultRowHeight="20.399999999999999" x14ac:dyDescent="0.7"/>
  <cols>
    <col min="1" max="1" width="66.33203125" style="1" bestFit="1" customWidth="1"/>
    <col min="2" max="2" width="22.33203125" style="4" customWidth="1"/>
    <col min="3" max="3" width="16.88671875" style="1" customWidth="1"/>
    <col min="4" max="4" width="20.6640625" style="5" hidden="1" customWidth="1"/>
    <col min="5" max="5" width="22.44140625" style="5" customWidth="1"/>
    <col min="6" max="16384" width="9.109375" style="1"/>
  </cols>
  <sheetData>
    <row r="1" spans="1:7" x14ac:dyDescent="0.7">
      <c r="A1" s="55" t="s">
        <v>0</v>
      </c>
      <c r="B1" s="53" t="s">
        <v>40</v>
      </c>
      <c r="C1" s="54"/>
      <c r="D1" s="35" t="s">
        <v>39</v>
      </c>
      <c r="E1" s="36" t="s">
        <v>11</v>
      </c>
    </row>
    <row r="2" spans="1:7" ht="36.6" customHeight="1" x14ac:dyDescent="0.7">
      <c r="A2" s="56"/>
      <c r="B2" s="2" t="s">
        <v>24</v>
      </c>
      <c r="C2" s="3" t="s">
        <v>10</v>
      </c>
      <c r="D2" s="39" t="s">
        <v>41</v>
      </c>
      <c r="E2" s="37" t="s">
        <v>10</v>
      </c>
      <c r="F2" s="1" t="s">
        <v>19</v>
      </c>
      <c r="G2" s="1" t="s">
        <v>20</v>
      </c>
    </row>
    <row r="3" spans="1:7" s="44" customFormat="1" ht="36.6" customHeight="1" x14ac:dyDescent="0.3">
      <c r="A3" s="40" t="s">
        <v>1</v>
      </c>
      <c r="B3" s="41">
        <f>'Executivo '!B3</f>
        <v>103252.92</v>
      </c>
      <c r="C3" s="41">
        <f>'Executivo '!D3</f>
        <v>4.3941694743870787</v>
      </c>
      <c r="D3" s="42">
        <v>2.3422495186785803</v>
      </c>
      <c r="E3" s="43" t="s">
        <v>33</v>
      </c>
      <c r="F3" s="44">
        <v>4.5</v>
      </c>
      <c r="G3" s="44">
        <v>7.5</v>
      </c>
    </row>
    <row r="4" spans="1:7" s="44" customFormat="1" x14ac:dyDescent="0.3">
      <c r="A4" s="45" t="s">
        <v>2</v>
      </c>
      <c r="B4" s="46">
        <f>'Executivo '!B4</f>
        <v>1689803.37</v>
      </c>
      <c r="C4" s="46">
        <f>'Executivo '!D4</f>
        <v>71.913534127368166</v>
      </c>
      <c r="D4" s="47">
        <v>110.62362940020158</v>
      </c>
      <c r="E4" s="48" t="s">
        <v>34</v>
      </c>
      <c r="F4" s="44">
        <v>100</v>
      </c>
      <c r="G4" s="44">
        <v>150</v>
      </c>
    </row>
    <row r="5" spans="1:7" s="44" customFormat="1" x14ac:dyDescent="0.3">
      <c r="A5" s="40" t="s">
        <v>3</v>
      </c>
      <c r="B5" s="41">
        <f>'Executivo '!B5</f>
        <v>7764124.1299999999</v>
      </c>
      <c r="C5" s="41">
        <f>'Executivo '!D5</f>
        <v>330.42045927028636</v>
      </c>
      <c r="D5" s="42">
        <v>412.29679825313303</v>
      </c>
      <c r="E5" s="43" t="s">
        <v>42</v>
      </c>
      <c r="F5" s="44">
        <v>580</v>
      </c>
      <c r="G5" s="44">
        <v>620</v>
      </c>
    </row>
    <row r="6" spans="1:7" s="44" customFormat="1" x14ac:dyDescent="0.3">
      <c r="A6" s="45" t="s">
        <v>4</v>
      </c>
      <c r="B6" s="46">
        <f>'Executivo '!B6</f>
        <v>2497595.2699999991</v>
      </c>
      <c r="C6" s="46">
        <f>'Executivo '!D6</f>
        <v>106.29100750668891</v>
      </c>
      <c r="D6" s="47">
        <v>99.425134239153664</v>
      </c>
      <c r="E6" s="48" t="s">
        <v>35</v>
      </c>
      <c r="F6" s="44">
        <v>85</v>
      </c>
      <c r="G6" s="44">
        <v>110</v>
      </c>
    </row>
    <row r="7" spans="1:7" s="44" customFormat="1" x14ac:dyDescent="0.3">
      <c r="A7" s="40" t="s">
        <v>21</v>
      </c>
      <c r="B7" s="41">
        <f>'Executivo '!B7</f>
        <v>16360896.99</v>
      </c>
      <c r="C7" s="41">
        <f>'Executivo '!D7</f>
        <v>696.27623244988558</v>
      </c>
      <c r="D7" s="42">
        <v>299.72931604789267</v>
      </c>
      <c r="E7" s="43" t="s">
        <v>28</v>
      </c>
      <c r="F7" s="44">
        <v>230</v>
      </c>
      <c r="G7" s="44">
        <v>270</v>
      </c>
    </row>
    <row r="8" spans="1:7" s="44" customFormat="1" x14ac:dyDescent="0.3">
      <c r="A8" s="45" t="s">
        <v>16</v>
      </c>
      <c r="B8" s="46">
        <f>'Executivo '!B8</f>
        <v>3983306.6200000006</v>
      </c>
      <c r="C8" s="46">
        <f>'Executivo '!D8</f>
        <v>169.51892844026079</v>
      </c>
      <c r="D8" s="47">
        <v>125.37076249861543</v>
      </c>
      <c r="E8" s="48" t="s">
        <v>43</v>
      </c>
      <c r="F8" s="44">
        <v>130</v>
      </c>
      <c r="G8" s="44">
        <v>2240</v>
      </c>
    </row>
    <row r="9" spans="1:7" s="44" customFormat="1" x14ac:dyDescent="0.3">
      <c r="A9" s="40" t="s">
        <v>18</v>
      </c>
      <c r="B9" s="41">
        <f>'Executivo '!B9</f>
        <v>1126015.4100000001</v>
      </c>
      <c r="C9" s="41">
        <f>'Executivo '!D9</f>
        <v>47.92021903411014</v>
      </c>
      <c r="D9" s="42">
        <v>32.643296820773784</v>
      </c>
      <c r="E9" s="43" t="s">
        <v>36</v>
      </c>
      <c r="F9" s="44">
        <v>40</v>
      </c>
      <c r="G9" s="44">
        <v>50</v>
      </c>
    </row>
    <row r="10" spans="1:7" s="44" customFormat="1" x14ac:dyDescent="0.3">
      <c r="A10" s="45" t="s">
        <v>12</v>
      </c>
      <c r="B10" s="46">
        <f>'Executivo '!B10</f>
        <v>3831740.4699999974</v>
      </c>
      <c r="C10" s="46">
        <f>'Executivo '!D10</f>
        <v>163.06867647953769</v>
      </c>
      <c r="D10" s="47">
        <v>159.87850339717093</v>
      </c>
      <c r="E10" s="48" t="s">
        <v>44</v>
      </c>
      <c r="F10" s="44">
        <v>140</v>
      </c>
      <c r="G10" s="44">
        <v>180</v>
      </c>
    </row>
    <row r="11" spans="1:7" s="44" customFormat="1" x14ac:dyDescent="0.3">
      <c r="A11" s="40" t="s">
        <v>5</v>
      </c>
      <c r="B11" s="41">
        <f>'Executivo '!B11</f>
        <v>1423325.0800000005</v>
      </c>
      <c r="C11" s="41">
        <f>'Executivo '!D11</f>
        <v>60.572927319300504</v>
      </c>
      <c r="D11" s="42">
        <v>46.284183012904329</v>
      </c>
      <c r="E11" s="43" t="s">
        <v>29</v>
      </c>
      <c r="F11" s="44">
        <v>60</v>
      </c>
      <c r="G11" s="44">
        <v>70</v>
      </c>
    </row>
    <row r="12" spans="1:7" s="44" customFormat="1" x14ac:dyDescent="0.3">
      <c r="A12" s="45" t="s">
        <v>13</v>
      </c>
      <c r="B12" s="46">
        <f>'Executivo '!B12</f>
        <v>4780396.1500000004</v>
      </c>
      <c r="C12" s="46">
        <f>'Executivo '!D12</f>
        <v>203.44093743603102</v>
      </c>
      <c r="D12" s="47">
        <v>215.0458354953922</v>
      </c>
      <c r="E12" s="48" t="s">
        <v>37</v>
      </c>
      <c r="F12" s="44">
        <v>180</v>
      </c>
      <c r="G12" s="44">
        <v>240</v>
      </c>
    </row>
    <row r="13" spans="1:7" s="44" customFormat="1" x14ac:dyDescent="0.3">
      <c r="A13" s="40" t="s">
        <v>6</v>
      </c>
      <c r="B13" s="41">
        <f>'Executivo '!B13</f>
        <v>2147438.5799999987</v>
      </c>
      <c r="C13" s="41">
        <f>'Executivo '!D13</f>
        <v>91.389270699144674</v>
      </c>
      <c r="D13" s="42">
        <v>87.527611464572942</v>
      </c>
      <c r="E13" s="43" t="s">
        <v>38</v>
      </c>
      <c r="F13" s="44">
        <v>110</v>
      </c>
      <c r="G13" s="44">
        <v>130</v>
      </c>
    </row>
    <row r="14" spans="1:7" s="44" customFormat="1" x14ac:dyDescent="0.3">
      <c r="A14" s="45" t="s">
        <v>17</v>
      </c>
      <c r="B14" s="46">
        <f>'Executivo '!B14</f>
        <v>5163776.5199999996</v>
      </c>
      <c r="C14" s="46">
        <f>'Executivo '!D14</f>
        <v>219.75658564174975</v>
      </c>
      <c r="D14" s="47">
        <v>243.51025953439247</v>
      </c>
      <c r="E14" s="48" t="s">
        <v>47</v>
      </c>
      <c r="F14" s="44">
        <v>330</v>
      </c>
      <c r="G14" s="44">
        <v>400</v>
      </c>
    </row>
    <row r="15" spans="1:7" s="44" customFormat="1" x14ac:dyDescent="0.3">
      <c r="A15" s="40" t="s">
        <v>14</v>
      </c>
      <c r="B15" s="41">
        <f>'Executivo '!B15</f>
        <v>2001990.12</v>
      </c>
      <c r="C15" s="41">
        <f>'Executivo '!D15</f>
        <v>85.199371342994709</v>
      </c>
      <c r="D15" s="42">
        <v>118.23084354537519</v>
      </c>
      <c r="E15" s="43" t="s">
        <v>45</v>
      </c>
      <c r="F15" s="44">
        <v>80</v>
      </c>
      <c r="G15" s="44">
        <v>120</v>
      </c>
    </row>
    <row r="16" spans="1:7" s="44" customFormat="1" x14ac:dyDescent="0.3">
      <c r="A16" s="45" t="s">
        <v>15</v>
      </c>
      <c r="B16" s="46">
        <f>'Executivo '!B16</f>
        <v>4629227.3600000003</v>
      </c>
      <c r="C16" s="46">
        <f>'Executivo '!D16</f>
        <v>197.00759605936071</v>
      </c>
      <c r="D16" s="47">
        <v>137.88643939808281</v>
      </c>
      <c r="E16" s="48" t="s">
        <v>46</v>
      </c>
      <c r="F16" s="44">
        <v>130</v>
      </c>
      <c r="G16" s="44">
        <v>180</v>
      </c>
    </row>
    <row r="17" spans="1:7" s="44" customFormat="1" ht="21" thickBot="1" x14ac:dyDescent="0.35">
      <c r="A17" s="23" t="s">
        <v>7</v>
      </c>
      <c r="B17" s="24">
        <f>SUM(B3:B16)</f>
        <v>57502888.989999987</v>
      </c>
      <c r="C17" s="49">
        <f>SUM(C3:C16)</f>
        <v>2447.1699152811061</v>
      </c>
      <c r="D17" s="50">
        <f>SUM(D3:D16)</f>
        <v>2090.7948626263396</v>
      </c>
      <c r="E17" s="51" t="s">
        <v>48</v>
      </c>
      <c r="F17" s="44">
        <f>SUM(F3:F16)</f>
        <v>2199.5</v>
      </c>
      <c r="G17" s="44">
        <f>SUM(G3:G16)</f>
        <v>4767.5</v>
      </c>
    </row>
    <row r="22" spans="1:7" x14ac:dyDescent="0.7">
      <c r="A22" s="1">
        <v>2329.85</v>
      </c>
      <c r="C22" s="38"/>
    </row>
    <row r="23" spans="1:7" x14ac:dyDescent="0.7">
      <c r="A23" s="1">
        <v>2470.83</v>
      </c>
      <c r="B23" s="4">
        <f>A23/A22</f>
        <v>1.0605103332832586</v>
      </c>
      <c r="C23" s="38"/>
      <c r="E23" s="52">
        <v>27312702.84</v>
      </c>
    </row>
  </sheetData>
  <mergeCells count="2">
    <mergeCell ref="B1:C1"/>
    <mergeCell ref="A1:A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abSelected="1" view="pageBreakPreview" zoomScaleNormal="115" zoomScaleSheetLayoutView="100" workbookViewId="0">
      <selection activeCell="G19" sqref="G19"/>
    </sheetView>
  </sheetViews>
  <sheetFormatPr defaultColWidth="9.109375" defaultRowHeight="19.8" x14ac:dyDescent="0.3"/>
  <cols>
    <col min="1" max="1" width="64.44140625" style="9" bestFit="1" customWidth="1"/>
    <col min="2" max="2" width="20.109375" style="9" bestFit="1" customWidth="1"/>
    <col min="3" max="3" width="14.33203125" style="9" customWidth="1"/>
    <col min="4" max="4" width="15.109375" style="9" customWidth="1"/>
    <col min="5" max="5" width="23.109375" style="9" bestFit="1" customWidth="1"/>
    <col min="6" max="6" width="11.6640625" style="9" bestFit="1" customWidth="1"/>
    <col min="7" max="7" width="15.6640625" style="9" bestFit="1" customWidth="1"/>
    <col min="8" max="8" width="14.109375" style="9" bestFit="1" customWidth="1"/>
    <col min="9" max="9" width="9.109375" style="9" customWidth="1"/>
    <col min="10" max="16384" width="9.109375" style="9"/>
  </cols>
  <sheetData>
    <row r="1" spans="1:9" ht="22.5" customHeight="1" x14ac:dyDescent="0.3">
      <c r="A1" s="6" t="s">
        <v>0</v>
      </c>
      <c r="B1" s="7" t="s">
        <v>8</v>
      </c>
      <c r="C1" s="7" t="s">
        <v>9</v>
      </c>
      <c r="D1" s="7" t="s">
        <v>10</v>
      </c>
      <c r="E1" s="8" t="s">
        <v>30</v>
      </c>
    </row>
    <row r="2" spans="1:9" ht="17.25" customHeight="1" x14ac:dyDescent="0.3">
      <c r="A2" s="10" t="s">
        <v>31</v>
      </c>
      <c r="B2" s="11">
        <v>8650784.5299999993</v>
      </c>
      <c r="C2" s="12">
        <f t="shared" ref="C2:C16" si="0">B2/B$17</f>
        <v>0.13076801437768443</v>
      </c>
      <c r="D2" s="11">
        <f>B2/'Executivo '!H$10</f>
        <v>368.15436610631417</v>
      </c>
      <c r="E2" s="18">
        <f>B2/H$7</f>
        <v>63608.709779411758</v>
      </c>
      <c r="G2" s="29" t="s">
        <v>25</v>
      </c>
      <c r="I2" s="19"/>
    </row>
    <row r="3" spans="1:9" ht="20.399999999999999" x14ac:dyDescent="0.3">
      <c r="A3" s="13" t="s">
        <v>26</v>
      </c>
      <c r="B3" s="14">
        <v>103252.92</v>
      </c>
      <c r="C3" s="15">
        <f t="shared" si="0"/>
        <v>1.5608040265335217E-3</v>
      </c>
      <c r="D3" s="16">
        <f>B3/'Executivo '!H$10</f>
        <v>4.3941694743870787</v>
      </c>
      <c r="E3" s="17">
        <f>B3/H$7</f>
        <v>759.21264705882356</v>
      </c>
      <c r="G3" s="30"/>
    </row>
    <row r="4" spans="1:9" ht="17.25" customHeight="1" x14ac:dyDescent="0.3">
      <c r="A4" s="10" t="s">
        <v>2</v>
      </c>
      <c r="B4" s="11">
        <v>1689803.37</v>
      </c>
      <c r="C4" s="12">
        <f t="shared" si="0"/>
        <v>2.5543605972072409E-2</v>
      </c>
      <c r="D4" s="11">
        <f>B4/'Executivo '!H$10</f>
        <v>71.913534127368166</v>
      </c>
      <c r="E4" s="18">
        <f t="shared" ref="E4:E16" si="1">B4/H$7</f>
        <v>12425.024779411766</v>
      </c>
      <c r="G4" s="29"/>
      <c r="I4" s="19"/>
    </row>
    <row r="5" spans="1:9" ht="20.399999999999999" x14ac:dyDescent="0.3">
      <c r="A5" s="13" t="s">
        <v>3</v>
      </c>
      <c r="B5" s="14">
        <v>7764124.1299999999</v>
      </c>
      <c r="C5" s="15">
        <f t="shared" si="0"/>
        <v>0.1173649733548463</v>
      </c>
      <c r="D5" s="16">
        <f>B5/'Executivo '!H$10</f>
        <v>330.42045927028636</v>
      </c>
      <c r="E5" s="17">
        <f t="shared" si="1"/>
        <v>57089.148014705883</v>
      </c>
      <c r="G5" s="30"/>
    </row>
    <row r="6" spans="1:9" ht="17.25" customHeight="1" x14ac:dyDescent="0.3">
      <c r="A6" s="10" t="s">
        <v>4</v>
      </c>
      <c r="B6" s="11">
        <v>2497595.2699999991</v>
      </c>
      <c r="C6" s="12">
        <f t="shared" si="0"/>
        <v>3.7754445627950058E-2</v>
      </c>
      <c r="D6" s="11">
        <f>B6/'Executivo '!H$10</f>
        <v>106.29100750668891</v>
      </c>
      <c r="E6" s="18">
        <f t="shared" si="1"/>
        <v>18364.671102941171</v>
      </c>
      <c r="G6" s="29"/>
      <c r="I6" s="19"/>
    </row>
    <row r="7" spans="1:9" ht="20.399999999999999" x14ac:dyDescent="0.3">
      <c r="A7" s="13" t="s">
        <v>21</v>
      </c>
      <c r="B7" s="14">
        <v>16360896.99</v>
      </c>
      <c r="C7" s="15">
        <f t="shared" si="0"/>
        <v>0.24731653012517396</v>
      </c>
      <c r="D7" s="16">
        <f>B7/'Executivo '!H$10</f>
        <v>696.27623244988558</v>
      </c>
      <c r="E7" s="17">
        <f t="shared" si="1"/>
        <v>120300.71316176471</v>
      </c>
      <c r="G7" s="30"/>
      <c r="H7" s="9">
        <v>136</v>
      </c>
    </row>
    <row r="8" spans="1:9" ht="17.25" customHeight="1" x14ac:dyDescent="0.3">
      <c r="A8" s="10" t="s">
        <v>16</v>
      </c>
      <c r="B8" s="11">
        <v>3983306.6200000006</v>
      </c>
      <c r="C8" s="12">
        <f t="shared" si="0"/>
        <v>6.0212931618918226E-2</v>
      </c>
      <c r="D8" s="11">
        <f>B8/'Executivo '!H$10</f>
        <v>169.51892844026079</v>
      </c>
      <c r="E8" s="18">
        <f>B8/H$7</f>
        <v>29289.019264705887</v>
      </c>
      <c r="G8" s="29"/>
      <c r="I8" s="19"/>
    </row>
    <row r="9" spans="1:9" ht="20.399999999999999" x14ac:dyDescent="0.3">
      <c r="A9" s="13" t="s">
        <v>18</v>
      </c>
      <c r="B9" s="14">
        <f>1094775.1+31240.31</f>
        <v>1126015.4100000001</v>
      </c>
      <c r="C9" s="15">
        <f t="shared" si="0"/>
        <v>1.702120759264527E-2</v>
      </c>
      <c r="D9" s="16">
        <f>B9/'Executivo '!H$10</f>
        <v>47.92021903411014</v>
      </c>
      <c r="E9" s="17">
        <f t="shared" si="1"/>
        <v>8279.5250735294121</v>
      </c>
      <c r="G9" s="30"/>
    </row>
    <row r="10" spans="1:9" ht="17.25" customHeight="1" x14ac:dyDescent="0.3">
      <c r="A10" s="10" t="s">
        <v>12</v>
      </c>
      <c r="B10" s="11">
        <v>3831740.4699999974</v>
      </c>
      <c r="C10" s="12">
        <f t="shared" si="0"/>
        <v>5.7921809419118078E-2</v>
      </c>
      <c r="D10" s="11">
        <f>B10/'Executivo '!H$10</f>
        <v>163.06867647953769</v>
      </c>
      <c r="E10" s="18">
        <f t="shared" si="1"/>
        <v>28174.562279411744</v>
      </c>
      <c r="G10" s="29"/>
      <c r="H10" s="9">
        <v>23497.71</v>
      </c>
      <c r="I10" s="19" t="s">
        <v>12</v>
      </c>
    </row>
    <row r="11" spans="1:9" ht="20.399999999999999" x14ac:dyDescent="0.3">
      <c r="A11" s="13" t="s">
        <v>5</v>
      </c>
      <c r="B11" s="14">
        <v>1423325.0800000005</v>
      </c>
      <c r="C11" s="15">
        <f t="shared" si="0"/>
        <v>2.1515435262558655E-2</v>
      </c>
      <c r="D11" s="16">
        <f>B11/'Executivo '!H$10</f>
        <v>60.572927319300504</v>
      </c>
      <c r="E11" s="17">
        <f t="shared" si="1"/>
        <v>10465.625588235298</v>
      </c>
      <c r="G11" s="30"/>
      <c r="I11" s="9" t="s">
        <v>5</v>
      </c>
    </row>
    <row r="12" spans="1:9" ht="17.25" customHeight="1" x14ac:dyDescent="0.3">
      <c r="A12" s="10" t="s">
        <v>13</v>
      </c>
      <c r="B12" s="11">
        <v>4780396.1500000004</v>
      </c>
      <c r="C12" s="12">
        <f t="shared" si="0"/>
        <v>7.2261990840988763E-2</v>
      </c>
      <c r="D12" s="11">
        <f>B12/'Executivo '!H$10</f>
        <v>203.44093743603102</v>
      </c>
      <c r="E12" s="18">
        <f t="shared" si="1"/>
        <v>35149.97169117647</v>
      </c>
      <c r="G12" s="29"/>
      <c r="I12" s="19" t="s">
        <v>13</v>
      </c>
    </row>
    <row r="13" spans="1:9" ht="20.399999999999999" x14ac:dyDescent="0.3">
      <c r="A13" s="13" t="s">
        <v>6</v>
      </c>
      <c r="B13" s="14">
        <v>2147438.5799999987</v>
      </c>
      <c r="C13" s="15">
        <f t="shared" si="0"/>
        <v>3.2461365571040762E-2</v>
      </c>
      <c r="D13" s="16">
        <f>B13/'Executivo '!H$10</f>
        <v>91.389270699144674</v>
      </c>
      <c r="E13" s="17">
        <f t="shared" si="1"/>
        <v>15789.989558823519</v>
      </c>
      <c r="G13" s="30"/>
      <c r="I13" s="9" t="s">
        <v>6</v>
      </c>
    </row>
    <row r="14" spans="1:9" ht="17.25" customHeight="1" x14ac:dyDescent="0.3">
      <c r="A14" s="10" t="s">
        <v>17</v>
      </c>
      <c r="B14" s="11">
        <v>5163776.5199999996</v>
      </c>
      <c r="C14" s="12">
        <f t="shared" si="0"/>
        <v>7.8057290627085954E-2</v>
      </c>
      <c r="D14" s="11">
        <f>B14/'Executivo '!H$10</f>
        <v>219.75658564174975</v>
      </c>
      <c r="E14" s="18">
        <f t="shared" si="1"/>
        <v>37968.945</v>
      </c>
      <c r="G14" s="29"/>
      <c r="I14" s="19" t="s">
        <v>17</v>
      </c>
    </row>
    <row r="15" spans="1:9" ht="20.399999999999999" x14ac:dyDescent="0.3">
      <c r="A15" s="13" t="s">
        <v>14</v>
      </c>
      <c r="B15" s="14">
        <v>2001990.12</v>
      </c>
      <c r="C15" s="15">
        <f t="shared" si="0"/>
        <v>3.0262720321869142E-2</v>
      </c>
      <c r="D15" s="16">
        <f>B15/'Executivo '!H$10</f>
        <v>85.199371342994709</v>
      </c>
      <c r="E15" s="17">
        <f t="shared" si="1"/>
        <v>14720.515588235296</v>
      </c>
      <c r="G15" s="30"/>
      <c r="I15" s="9" t="s">
        <v>23</v>
      </c>
    </row>
    <row r="16" spans="1:9" ht="17.25" customHeight="1" x14ac:dyDescent="0.3">
      <c r="A16" s="10" t="s">
        <v>15</v>
      </c>
      <c r="B16" s="11">
        <v>4629227.3600000003</v>
      </c>
      <c r="C16" s="12">
        <f t="shared" si="0"/>
        <v>6.9976875261514596E-2</v>
      </c>
      <c r="D16" s="11">
        <f>B16/'Executivo '!H$10</f>
        <v>197.00759605936071</v>
      </c>
      <c r="E16" s="18">
        <f t="shared" si="1"/>
        <v>34038.43647058824</v>
      </c>
      <c r="G16" s="29"/>
      <c r="I16" s="19" t="s">
        <v>14</v>
      </c>
    </row>
    <row r="17" spans="1:8" ht="22.2" customHeight="1" x14ac:dyDescent="0.3">
      <c r="A17" s="20" t="s">
        <v>7</v>
      </c>
      <c r="B17" s="21">
        <f>SUM(B2:B16)</f>
        <v>66153673.519999988</v>
      </c>
      <c r="C17" s="31">
        <f>SUM(C2:C16)</f>
        <v>1</v>
      </c>
      <c r="D17" s="21">
        <f>SUM(D2:D16)</f>
        <v>2815.3242813874203</v>
      </c>
      <c r="E17" s="22">
        <f>SUM(E2:E16)</f>
        <v>486424.07</v>
      </c>
      <c r="G17" s="29"/>
      <c r="H17" s="33"/>
    </row>
    <row r="18" spans="1:8" ht="22.5" customHeight="1" thickBot="1" x14ac:dyDescent="0.35">
      <c r="A18" s="23" t="s">
        <v>27</v>
      </c>
      <c r="B18" s="24">
        <v>2470.83</v>
      </c>
      <c r="C18" s="25">
        <v>44682</v>
      </c>
      <c r="D18" s="26">
        <f>+D17/B18</f>
        <v>1.139424517828997</v>
      </c>
      <c r="E18" s="27" t="s">
        <v>22</v>
      </c>
      <c r="G18" s="29"/>
      <c r="H18" s="32"/>
    </row>
    <row r="19" spans="1:8" ht="15" customHeight="1" x14ac:dyDescent="0.3">
      <c r="G19" s="28"/>
      <c r="H19" s="29"/>
    </row>
    <row r="20" spans="1:8" x14ac:dyDescent="0.3">
      <c r="B20" s="29"/>
      <c r="G20" s="29"/>
    </row>
    <row r="21" spans="1:8" x14ac:dyDescent="0.3">
      <c r="G21" s="29"/>
    </row>
    <row r="22" spans="1:8" x14ac:dyDescent="0.3">
      <c r="G22" s="29"/>
    </row>
    <row r="23" spans="1:8" x14ac:dyDescent="0.3">
      <c r="F23" s="29"/>
    </row>
    <row r="24" spans="1:8" x14ac:dyDescent="0.3">
      <c r="G24" s="29"/>
    </row>
  </sheetData>
  <pageMargins left="0.511811024" right="0.511811024" top="0.78740157499999996" bottom="0.78740157499999996" header="0.31496062000000002" footer="0.31496062000000002"/>
  <pageSetup paperSize="9" scale="67" orientation="portrait" horizontalDpi="360" verticalDpi="360" r:id="rId1"/>
  <colBreaks count="1" manualBreakCount="1">
    <brk id="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D7DD-DC15-40FE-BA18-347C9A421DEC}">
  <dimension ref="B1:B10"/>
  <sheetViews>
    <sheetView workbookViewId="0">
      <selection activeCell="E29" sqref="E29"/>
    </sheetView>
  </sheetViews>
  <sheetFormatPr defaultRowHeight="14.4" x14ac:dyDescent="0.3"/>
  <sheetData>
    <row r="1" spans="2:2" x14ac:dyDescent="0.3">
      <c r="B1" t="s">
        <v>32</v>
      </c>
    </row>
    <row r="2" spans="2:2" x14ac:dyDescent="0.3">
      <c r="B2" s="34">
        <v>18496.22</v>
      </c>
    </row>
    <row r="3" spans="2:2" x14ac:dyDescent="0.3">
      <c r="B3" s="34">
        <v>1204682.17</v>
      </c>
    </row>
    <row r="4" spans="2:2" x14ac:dyDescent="0.3">
      <c r="B4" s="34">
        <v>707719.54</v>
      </c>
    </row>
    <row r="5" spans="2:2" x14ac:dyDescent="0.3">
      <c r="B5" s="34">
        <v>774484.66</v>
      </c>
    </row>
    <row r="6" spans="2:2" x14ac:dyDescent="0.3">
      <c r="B6" s="34">
        <v>191627.94</v>
      </c>
    </row>
    <row r="7" spans="2:2" x14ac:dyDescent="0.3">
      <c r="B7" s="34">
        <v>192879.19</v>
      </c>
    </row>
    <row r="8" spans="2:2" x14ac:dyDescent="0.3">
      <c r="B8" s="34">
        <v>286483.51</v>
      </c>
    </row>
    <row r="9" spans="2:2" x14ac:dyDescent="0.3">
      <c r="B9" s="34">
        <v>286483.51</v>
      </c>
    </row>
    <row r="10" spans="2:2" x14ac:dyDescent="0.3">
      <c r="B10" s="34">
        <v>164367.64000000001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Gerenciamento executivo </vt:lpstr>
      <vt:lpstr>Executivo 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Luisa Romaniello</cp:lastModifiedBy>
  <cp:lastPrinted>2022-01-25T18:59:24Z</cp:lastPrinted>
  <dcterms:created xsi:type="dcterms:W3CDTF">2021-06-30T18:49:34Z</dcterms:created>
  <dcterms:modified xsi:type="dcterms:W3CDTF">2022-08-09T18:15:05Z</dcterms:modified>
</cp:coreProperties>
</file>