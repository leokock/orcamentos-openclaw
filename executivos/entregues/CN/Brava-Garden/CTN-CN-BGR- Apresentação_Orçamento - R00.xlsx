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N - 03.2021\Consultoria\03. Custo\03.5 Custo - Determinação do orçamento\"/>
    </mc:Choice>
  </mc:AlternateContent>
  <xr:revisionPtr revIDLastSave="0" documentId="13_ncr:1_{B48E9D06-E1C4-43E7-B999-67A87AC02032}" xr6:coauthVersionLast="45" xr6:coauthVersionMax="45" xr10:uidLastSave="{00000000-0000-0000-0000-000000000000}"/>
  <bookViews>
    <workbookView xWindow="-20520" yWindow="-1680" windowWidth="20640" windowHeight="11160" activeTab="1" xr2:uid="{00000000-000D-0000-FFFF-FFFF00000000}"/>
  </bookViews>
  <sheets>
    <sheet name="Gerenciamento executivo " sheetId="3" r:id="rId1"/>
    <sheet name="Executivo " sheetId="1" r:id="rId2"/>
    <sheet name="Planilha1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3" l="1"/>
  <c r="E17" i="3"/>
  <c r="C16" i="3"/>
  <c r="B16" i="3"/>
  <c r="B18" i="1" l="1"/>
  <c r="E17" i="1"/>
  <c r="D17" i="1"/>
  <c r="E16" i="1"/>
  <c r="D16" i="1"/>
  <c r="E15" i="1"/>
  <c r="D15" i="1"/>
  <c r="C15" i="3" s="1"/>
  <c r="E14" i="1"/>
  <c r="D14" i="1"/>
  <c r="C14" i="3" s="1"/>
  <c r="E13" i="1"/>
  <c r="D13" i="1"/>
  <c r="C13" i="3" s="1"/>
  <c r="E12" i="1"/>
  <c r="D12" i="1"/>
  <c r="C12" i="3" s="1"/>
  <c r="E11" i="1"/>
  <c r="D11" i="1"/>
  <c r="C11" i="3" s="1"/>
  <c r="E10" i="1"/>
  <c r="D10" i="1"/>
  <c r="C10" i="3" s="1"/>
  <c r="E9" i="1"/>
  <c r="D9" i="1"/>
  <c r="C9" i="3" s="1"/>
  <c r="E8" i="1"/>
  <c r="D8" i="1"/>
  <c r="C8" i="3" s="1"/>
  <c r="E7" i="1"/>
  <c r="D7" i="1"/>
  <c r="C7" i="3" s="1"/>
  <c r="E6" i="1"/>
  <c r="D6" i="1"/>
  <c r="C6" i="3" s="1"/>
  <c r="E5" i="1"/>
  <c r="D5" i="1"/>
  <c r="E4" i="1"/>
  <c r="D4" i="1"/>
  <c r="C4" i="3" s="1"/>
  <c r="E3" i="1"/>
  <c r="D3" i="1"/>
  <c r="C3" i="3" s="1"/>
  <c r="E2" i="1"/>
  <c r="D2" i="1"/>
  <c r="B15" i="3"/>
  <c r="B14" i="3"/>
  <c r="B13" i="3"/>
  <c r="B12" i="3"/>
  <c r="B11" i="3"/>
  <c r="B10" i="3"/>
  <c r="B9" i="3"/>
  <c r="B8" i="3"/>
  <c r="B7" i="3"/>
  <c r="B6" i="3"/>
  <c r="C5" i="3"/>
  <c r="B5" i="3"/>
  <c r="B4" i="3"/>
  <c r="B3" i="3"/>
  <c r="C8" i="1" l="1"/>
  <c r="B17" i="3"/>
  <c r="E18" i="1"/>
  <c r="C11" i="1"/>
  <c r="C17" i="3"/>
  <c r="C2" i="1"/>
  <c r="C15" i="1"/>
  <c r="C3" i="1"/>
  <c r="C10" i="1"/>
  <c r="C17" i="1"/>
  <c r="C5" i="1"/>
  <c r="C13" i="1"/>
  <c r="C6" i="1"/>
  <c r="C14" i="1"/>
  <c r="C16" i="1"/>
  <c r="D18" i="1"/>
  <c r="D19" i="1" s="1"/>
  <c r="C12" i="1"/>
  <c r="C9" i="1"/>
  <c r="C4" i="1"/>
  <c r="C7" i="1"/>
  <c r="C18" i="1" l="1"/>
</calcChain>
</file>

<file path=xl/sharedStrings.xml><?xml version="1.0" encoding="utf-8"?>
<sst xmlns="http://schemas.openxmlformats.org/spreadsheetml/2006/main" count="72" uniqueCount="48">
  <si>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</si>
  <si>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</si>
  <si>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</si>
  <si>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</si>
  <si>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</si>
  <si>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</si>
  <si>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</si>
  <si>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</si>
  <si>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</si>
  <si>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</si>
  <si>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</si>
  <si>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</si>
  <si>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</si>
  <si>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</si>
  <si>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</si>
  <si>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</si>
  <si>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</si>
  <si>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</si>
  <si>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</si>
  <si>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Valor 1</t>
  </si>
  <si>
    <t>Valor 2</t>
  </si>
  <si>
    <t>INSTALAÇÕES ELÉTRICAS, HIDRÁULICAS, GLP E PREVENTIVAS</t>
  </si>
  <si>
    <t>CUBs</t>
  </si>
  <si>
    <t>COBERTURA</t>
  </si>
  <si>
    <t>VALOR</t>
  </si>
  <si>
    <t>240-320</t>
  </si>
  <si>
    <t xml:space="preserve">IMPREVISTOS E CONTINGÊNCIAS </t>
  </si>
  <si>
    <t xml:space="preserve">MOVIMENTAÇÃO DE TERRA </t>
  </si>
  <si>
    <t>CUB/SC</t>
  </si>
  <si>
    <t>230,00 - 270,00</t>
  </si>
  <si>
    <t>60,00 - 70,00</t>
  </si>
  <si>
    <t>VALOR / UNIDADE</t>
  </si>
  <si>
    <t>GERENCIAMENTO TÉCNICO E ADMINISTRATIVO</t>
  </si>
  <si>
    <t>Supra</t>
  </si>
  <si>
    <t>4,50 - 7,50</t>
  </si>
  <si>
    <t>100,00 - 150,00</t>
  </si>
  <si>
    <t>520,00 - 580,00</t>
  </si>
  <si>
    <t xml:space="preserve">  85,00 - 110,00</t>
  </si>
  <si>
    <t>100,00 - 180,00</t>
  </si>
  <si>
    <t>40,00 - 50,00</t>
  </si>
  <si>
    <t>140,00 - 160,00</t>
  </si>
  <si>
    <t>180,00 - 240,00</t>
  </si>
  <si>
    <t>110,00 - 130,00</t>
  </si>
  <si>
    <t>175,00 - 200,00</t>
  </si>
  <si>
    <t>85,00 - 120,00</t>
  </si>
  <si>
    <t>130,00 - 135,00</t>
  </si>
  <si>
    <t>BRAVA GARDEN</t>
  </si>
  <si>
    <t>1960,50 - 2400,00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</si>
</sst>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  <font>
      <b/>
      <sz val="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63">
    <xf numFmtId="0" fontId="0" fillId="0" borderId="0" xfId="0"/>
    <xf numFmtId="0" fontId="4" fillId="5" borderId="15" xfId="0" applyFont="1" applyFill="1" applyBorder="1" applyAlignment="1">
      <alignment horizontal="center" vertical="center"/>
    </xf>
    <xf numFmtId="0" fontId="5" fillId="0" borderId="0" xfId="0" applyFont="1"/>
    <xf numFmtId="43" fontId="4" fillId="5" borderId="19" xfId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6" fillId="3" borderId="8" xfId="0" applyFont="1" applyFill="1" applyBorder="1"/>
    <xf numFmtId="43" fontId="5" fillId="3" borderId="1" xfId="1" applyFont="1" applyFill="1" applyBorder="1" applyAlignment="1">
      <alignment horizontal="center"/>
    </xf>
    <xf numFmtId="43" fontId="5" fillId="3" borderId="7" xfId="1" applyFont="1" applyFill="1" applyBorder="1" applyAlignment="1">
      <alignment horizontal="center"/>
    </xf>
    <xf numFmtId="0" fontId="6" fillId="6" borderId="8" xfId="0" applyFont="1" applyFill="1" applyBorder="1"/>
    <xf numFmtId="43" fontId="5" fillId="6" borderId="1" xfId="1" applyFont="1" applyFill="1" applyBorder="1" applyAlignment="1">
      <alignment horizontal="center"/>
    </xf>
    <xf numFmtId="43" fontId="5" fillId="6" borderId="7" xfId="1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43" fontId="4" fillId="5" borderId="12" xfId="1" applyFont="1" applyFill="1" applyBorder="1" applyAlignment="1">
      <alignment horizontal="right"/>
    </xf>
    <xf numFmtId="43" fontId="4" fillId="5" borderId="12" xfId="0" applyNumberFormat="1" applyFont="1" applyFill="1" applyBorder="1" applyAlignment="1">
      <alignment horizontal="right"/>
    </xf>
    <xf numFmtId="43" fontId="4" fillId="5" borderId="13" xfId="0" applyNumberFormat="1" applyFont="1" applyFill="1" applyBorder="1" applyAlignment="1">
      <alignment horizont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23" xfId="0" applyFont="1" applyFill="1" applyBorder="1" applyAlignment="1">
      <alignment vertical="center"/>
    </xf>
    <xf numFmtId="43" fontId="5" fillId="6" borderId="24" xfId="1" applyFont="1" applyFill="1" applyBorder="1" applyAlignment="1">
      <alignment vertical="center"/>
    </xf>
    <xf numFmtId="10" fontId="5" fillId="6" borderId="24" xfId="2" applyNumberFormat="1" applyFont="1" applyFill="1" applyBorder="1" applyAlignment="1">
      <alignment horizontal="center" vertical="center"/>
    </xf>
    <xf numFmtId="43" fontId="5" fillId="6" borderId="24" xfId="0" applyNumberFormat="1" applyFont="1" applyFill="1" applyBorder="1" applyAlignment="1">
      <alignment vertical="center"/>
    </xf>
    <xf numFmtId="43" fontId="5" fillId="6" borderId="25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43" fontId="5" fillId="3" borderId="27" xfId="1" applyFont="1" applyFill="1" applyBorder="1" applyAlignment="1">
      <alignment vertical="center"/>
    </xf>
    <xf numFmtId="10" fontId="5" fillId="3" borderId="27" xfId="2" applyNumberFormat="1" applyFont="1" applyFill="1" applyBorder="1" applyAlignment="1">
      <alignment horizontal="center" vertical="center"/>
    </xf>
    <xf numFmtId="43" fontId="5" fillId="3" borderId="27" xfId="0" applyNumberFormat="1" applyFont="1" applyFill="1" applyBorder="1" applyAlignment="1">
      <alignment vertical="center"/>
    </xf>
    <xf numFmtId="43" fontId="5" fillId="3" borderId="28" xfId="0" applyNumberFormat="1" applyFont="1" applyFill="1" applyBorder="1" applyAlignment="1">
      <alignment vertical="center"/>
    </xf>
    <xf numFmtId="0" fontId="6" fillId="6" borderId="26" xfId="0" applyFont="1" applyFill="1" applyBorder="1" applyAlignment="1">
      <alignment vertical="center"/>
    </xf>
    <xf numFmtId="43" fontId="5" fillId="6" borderId="27" xfId="1" applyFont="1" applyFill="1" applyBorder="1" applyAlignment="1">
      <alignment vertical="center"/>
    </xf>
    <xf numFmtId="10" fontId="5" fillId="6" borderId="27" xfId="2" applyNumberFormat="1" applyFont="1" applyFill="1" applyBorder="1" applyAlignment="1">
      <alignment horizontal="center" vertical="center"/>
    </xf>
    <xf numFmtId="43" fontId="5" fillId="6" borderId="27" xfId="0" applyNumberFormat="1" applyFont="1" applyFill="1" applyBorder="1" applyAlignment="1">
      <alignment vertical="center"/>
    </xf>
    <xf numFmtId="43" fontId="5" fillId="6" borderId="28" xfId="0" applyNumberFormat="1" applyFont="1" applyFill="1" applyBorder="1" applyAlignment="1">
      <alignment vertical="center"/>
    </xf>
    <xf numFmtId="43" fontId="5" fillId="3" borderId="28" xfId="1" applyFont="1" applyFill="1" applyBorder="1" applyAlignment="1">
      <alignment vertical="center"/>
    </xf>
    <xf numFmtId="43" fontId="7" fillId="4" borderId="0" xfId="1" applyFont="1" applyFill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5" borderId="9" xfId="0" applyFont="1" applyFill="1" applyBorder="1" applyAlignment="1">
      <alignment horizontal="right" vertical="center"/>
    </xf>
    <xf numFmtId="43" fontId="4" fillId="5" borderId="2" xfId="0" applyNumberFormat="1" applyFont="1" applyFill="1" applyBorder="1" applyAlignment="1">
      <alignment horizontal="right" vertical="center"/>
    </xf>
    <xf numFmtId="43" fontId="4" fillId="5" borderId="10" xfId="0" applyNumberFormat="1" applyFont="1" applyFill="1" applyBorder="1" applyAlignment="1">
      <alignment horizontal="right" vertical="center"/>
    </xf>
    <xf numFmtId="0" fontId="4" fillId="5" borderId="11" xfId="0" applyFont="1" applyFill="1" applyBorder="1" applyAlignment="1">
      <alignment horizontal="right" vertical="center"/>
    </xf>
    <xf numFmtId="43" fontId="4" fillId="5" borderId="12" xfId="1" applyFont="1" applyFill="1" applyBorder="1" applyAlignment="1">
      <alignment horizontal="right" vertical="center"/>
    </xf>
    <xf numFmtId="17" fontId="4" fillId="5" borderId="12" xfId="0" applyNumberFormat="1" applyFont="1" applyFill="1" applyBorder="1" applyAlignment="1">
      <alignment horizontal="center" vertical="center"/>
    </xf>
    <xf numFmtId="43" fontId="4" fillId="5" borderId="21" xfId="1" applyFont="1" applyFill="1" applyBorder="1" applyAlignment="1">
      <alignment horizontal="right" vertical="center"/>
    </xf>
    <xf numFmtId="0" fontId="4" fillId="5" borderId="22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" fontId="7" fillId="0" borderId="0" xfId="0" applyNumberFormat="1" applyFont="1" applyAlignment="1">
      <alignment vertical="center"/>
    </xf>
    <xf numFmtId="9" fontId="4" fillId="5" borderId="2" xfId="2" applyFont="1" applyFill="1" applyBorder="1" applyAlignment="1">
      <alignment horizontal="right" vertical="center"/>
    </xf>
    <xf numFmtId="14" fontId="7" fillId="0" borderId="0" xfId="1" applyNumberFormat="1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0" fontId="6" fillId="3" borderId="26" xfId="0" applyFont="1" applyFill="1" applyBorder="1" applyAlignment="1">
      <alignment vertical="center" wrapText="1"/>
    </xf>
    <xf numFmtId="4" fontId="8" fillId="0" borderId="0" xfId="0" applyNumberFormat="1" applyFont="1"/>
    <xf numFmtId="0" fontId="4" fillId="5" borderId="20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</cellXfs>
  <cellStyles count="10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Normal" xfId="0" builtinId="0"/>
    <cellStyle name="Normal 2" xfId="3" xr:uid="{00000000-0005-0000-0000-000005000000}"/>
    <cellStyle name="Normal 3" xfId="9" xr:uid="{98CE299D-95DD-4602-ACCC-0213D73441AA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28913417778387E-2"/>
          <c:y val="0.14391576356724217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'!$A$3:$A$16</c:f>
              <c:strCache>
                <c:ptCount val="14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SERVIÇOS COMPLEMENTARES</c:v>
                </c:pt>
              </c:strCache>
            </c:strRef>
          </c:cat>
          <c:val>
            <c:numRef>
              <c:f>'Gerenciamento executivo '!$E$3:$E$16</c:f>
              <c:numCache>
                <c:formatCode>General</c:formatCode>
                <c:ptCount val="14"/>
                <c:pt idx="0">
                  <c:v>4.5</c:v>
                </c:pt>
                <c:pt idx="1">
                  <c:v>100</c:v>
                </c:pt>
                <c:pt idx="2">
                  <c:v>520</c:v>
                </c:pt>
                <c:pt idx="3">
                  <c:v>85</c:v>
                </c:pt>
                <c:pt idx="4">
                  <c:v>230</c:v>
                </c:pt>
                <c:pt idx="5">
                  <c:v>100</c:v>
                </c:pt>
                <c:pt idx="6">
                  <c:v>40</c:v>
                </c:pt>
                <c:pt idx="7">
                  <c:v>140</c:v>
                </c:pt>
                <c:pt idx="8">
                  <c:v>60</c:v>
                </c:pt>
                <c:pt idx="9">
                  <c:v>180</c:v>
                </c:pt>
                <c:pt idx="10">
                  <c:v>110</c:v>
                </c:pt>
                <c:pt idx="11">
                  <c:v>175</c:v>
                </c:pt>
                <c:pt idx="12">
                  <c:v>85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'!$F$3:$F$17</c:f>
              <c:numCache>
                <c:formatCode>General</c:formatCode>
                <c:ptCount val="15"/>
                <c:pt idx="0">
                  <c:v>7.5</c:v>
                </c:pt>
                <c:pt idx="1">
                  <c:v>150</c:v>
                </c:pt>
                <c:pt idx="2">
                  <c:v>580</c:v>
                </c:pt>
                <c:pt idx="3">
                  <c:v>110</c:v>
                </c:pt>
                <c:pt idx="4">
                  <c:v>270</c:v>
                </c:pt>
                <c:pt idx="5">
                  <c:v>180</c:v>
                </c:pt>
                <c:pt idx="6">
                  <c:v>50</c:v>
                </c:pt>
                <c:pt idx="7">
                  <c:v>160</c:v>
                </c:pt>
                <c:pt idx="8">
                  <c:v>70</c:v>
                </c:pt>
                <c:pt idx="9">
                  <c:v>240</c:v>
                </c:pt>
                <c:pt idx="10">
                  <c:v>130</c:v>
                </c:pt>
                <c:pt idx="11">
                  <c:v>200</c:v>
                </c:pt>
                <c:pt idx="12">
                  <c:v>120</c:v>
                </c:pt>
                <c:pt idx="13">
                  <c:v>135</c:v>
                </c:pt>
                <c:pt idx="14">
                  <c:v>2402.5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'!$C$3:$C$16</c:f>
              <c:numCache>
                <c:formatCode>_(* #,##0.00_);_(* \(#,##0.00\);_(* "-"??_);_(@_)</c:formatCode>
                <c:ptCount val="14"/>
                <c:pt idx="0">
                  <c:v>2.3422495186785803</c:v>
                </c:pt>
                <c:pt idx="1">
                  <c:v>110.62362940020158</c:v>
                </c:pt>
                <c:pt idx="2">
                  <c:v>412.29679825313303</c:v>
                </c:pt>
                <c:pt idx="3">
                  <c:v>99.425134239153664</c:v>
                </c:pt>
                <c:pt idx="4">
                  <c:v>299.72931604789267</c:v>
                </c:pt>
                <c:pt idx="5">
                  <c:v>125.37076249861543</c:v>
                </c:pt>
                <c:pt idx="6">
                  <c:v>32.643296820773784</c:v>
                </c:pt>
                <c:pt idx="7">
                  <c:v>159.87850339717093</c:v>
                </c:pt>
                <c:pt idx="8">
                  <c:v>46.284183012904329</c:v>
                </c:pt>
                <c:pt idx="9">
                  <c:v>215.0458354953922</c:v>
                </c:pt>
                <c:pt idx="10">
                  <c:v>87.527611464572942</c:v>
                </c:pt>
                <c:pt idx="11">
                  <c:v>243.51025953439247</c:v>
                </c:pt>
                <c:pt idx="12">
                  <c:v>118.23084354537519</c:v>
                </c:pt>
                <c:pt idx="13">
                  <c:v>137.88643939808281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'Executivo '!$A$2:$A$16</c:f>
              <c:strCache>
                <c:ptCount val="15"/>
                <c:pt idx="0">
                  <c:v>GERENCIAMENTO TÉCNICO E ADMINISTRATIVO</c:v>
                </c:pt>
                <c:pt idx="1">
                  <c:v>MOVIMENTAÇÃO DE TERRA 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REVESTIMENTOS E ACABAMENTOS DE FACHADA</c:v>
                </c:pt>
                <c:pt idx="14">
                  <c:v>SERVIÇOS COMPLEMENTARES</c:v>
                </c:pt>
              </c:strCache>
            </c:strRef>
          </c:cat>
          <c:val>
            <c:numRef>
              <c:f>'Executivo '!$C$2:$C$16</c:f>
              <c:numCache>
                <c:formatCode>0.00%</c:formatCode>
                <c:ptCount val="15"/>
                <c:pt idx="0">
                  <c:v>8.445198174043439E-2</c:v>
                </c:pt>
                <c:pt idx="1">
                  <c:v>1.0256586829383478E-3</c:v>
                </c:pt>
                <c:pt idx="2">
                  <c:v>4.8441502550284316E-2</c:v>
                </c:pt>
                <c:pt idx="3">
                  <c:v>0.180542588525999</c:v>
                </c:pt>
                <c:pt idx="4">
                  <c:v>4.3537740715272048E-2</c:v>
                </c:pt>
                <c:pt idx="5">
                  <c:v>0.13124988310772695</c:v>
                </c:pt>
                <c:pt idx="6">
                  <c:v>5.4899194179726503E-2</c:v>
                </c:pt>
                <c:pt idx="7">
                  <c:v>1.4294327123119316E-2</c:v>
                </c:pt>
                <c:pt idx="8">
                  <c:v>7.0009951508927651E-2</c:v>
                </c:pt>
                <c:pt idx="9">
                  <c:v>2.0267599079996784E-2</c:v>
                </c:pt>
                <c:pt idx="10">
                  <c:v>9.4167434616451662E-2</c:v>
                </c:pt>
                <c:pt idx="11">
                  <c:v>3.8327878383401501E-2</c:v>
                </c:pt>
                <c:pt idx="12">
                  <c:v>0.10663185543823943</c:v>
                </c:pt>
                <c:pt idx="13">
                  <c:v>5.1772661412202062E-2</c:v>
                </c:pt>
                <c:pt idx="14">
                  <c:v>4.6892105905347176E-2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25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0.09607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87531" y="63460"/>
          <a:ext cx="3870711" cy="224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20</xdr:row>
      <xdr:rowOff>57149</xdr:rowOff>
    </xdr:from>
    <xdr:to>
      <xdr:col>4</xdr:col>
      <xdr:colOff>952502</xdr:colOff>
      <xdr:row>47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="115" zoomScaleNormal="115" workbookViewId="0">
      <selection activeCell="D17" sqref="A1:D17"/>
    </sheetView>
  </sheetViews>
  <sheetFormatPr defaultColWidth="9.109375" defaultRowHeight="13.8"/>
  <cols>
    <col min="1" max="1" width="66.33203125" style="2" bestFit="1" customWidth="1"/>
    <col min="2" max="2" width="22.33203125" style="16" customWidth="1"/>
    <col min="3" max="3" width="16.88671875" style="2" customWidth="1"/>
    <col min="4" max="4" width="20.6640625" style="17" customWidth="1"/>
    <col min="5" max="16384" width="9.109375" style="2"/>
  </cols>
  <sheetData>
    <row r="1" spans="1:6">
      <c r="A1" s="61" t="s">
        <v>0</v>
      </c>
      <c r="B1" s="59" t="s">
        <v>46</v>
      </c>
      <c r="C1" s="60"/>
      <c r="D1" s="1" t="s">
        <v>11</v>
      </c>
    </row>
    <row r="2" spans="1:6">
      <c r="A2" s="62"/>
      <c r="B2" s="3" t="s">
        <v>24</v>
      </c>
      <c r="C2" s="4" t="s">
        <v>10</v>
      </c>
      <c r="D2" s="5" t="s">
        <v>10</v>
      </c>
      <c r="E2" s="2" t="s">
        <v>19</v>
      </c>
      <c r="F2" s="2" t="s">
        <v>20</v>
      </c>
    </row>
    <row r="3" spans="1:6">
      <c r="A3" s="6" t="s">
        <v>1</v>
      </c>
      <c r="B3" s="7">
        <f>'Executivo '!B3</f>
        <v>50962.22</v>
      </c>
      <c r="C3" s="7">
        <f>'Executivo '!D3</f>
        <v>2.3422495186785803</v>
      </c>
      <c r="D3" s="8" t="s">
        <v>34</v>
      </c>
      <c r="E3" s="2">
        <v>4.5</v>
      </c>
      <c r="F3" s="2">
        <v>7.5</v>
      </c>
    </row>
    <row r="4" spans="1:6">
      <c r="A4" s="9" t="s">
        <v>2</v>
      </c>
      <c r="B4" s="10">
        <f>'Executivo '!B4</f>
        <v>2406927.91</v>
      </c>
      <c r="C4" s="10">
        <f>'Executivo '!D4</f>
        <v>110.62362940020158</v>
      </c>
      <c r="D4" s="11" t="s">
        <v>35</v>
      </c>
      <c r="E4" s="2">
        <v>100</v>
      </c>
      <c r="F4" s="2">
        <v>150</v>
      </c>
    </row>
    <row r="5" spans="1:6">
      <c r="A5" s="6" t="s">
        <v>3</v>
      </c>
      <c r="B5" s="7">
        <f>'Executivo '!B5</f>
        <v>8970675.4000000004</v>
      </c>
      <c r="C5" s="7">
        <f>'Executivo '!D5</f>
        <v>412.29679825313303</v>
      </c>
      <c r="D5" s="8" t="s">
        <v>36</v>
      </c>
      <c r="E5" s="2">
        <v>520</v>
      </c>
      <c r="F5" s="2">
        <v>580</v>
      </c>
    </row>
    <row r="6" spans="1:6">
      <c r="A6" s="9" t="s">
        <v>4</v>
      </c>
      <c r="B6" s="10">
        <f>'Executivo '!B6</f>
        <v>2163273.1800000002</v>
      </c>
      <c r="C6" s="10">
        <f>'Executivo '!D6</f>
        <v>99.425134239153664</v>
      </c>
      <c r="D6" s="11" t="s">
        <v>37</v>
      </c>
      <c r="E6" s="2">
        <v>85</v>
      </c>
      <c r="F6" s="2">
        <v>110</v>
      </c>
    </row>
    <row r="7" spans="1:6">
      <c r="A7" s="6" t="s">
        <v>21</v>
      </c>
      <c r="B7" s="7">
        <f>'Executivo '!B7</f>
        <v>6521453.5099999998</v>
      </c>
      <c r="C7" s="7">
        <f>'Executivo '!D7</f>
        <v>299.72931604789267</v>
      </c>
      <c r="D7" s="8" t="s">
        <v>29</v>
      </c>
      <c r="E7" s="2">
        <v>230</v>
      </c>
      <c r="F7" s="2">
        <v>270</v>
      </c>
    </row>
    <row r="8" spans="1:6">
      <c r="A8" s="9" t="s">
        <v>16</v>
      </c>
      <c r="B8" s="10">
        <f>'Executivo '!B8</f>
        <v>2727793.23</v>
      </c>
      <c r="C8" s="10">
        <f>'Executivo '!D8</f>
        <v>125.37076249861543</v>
      </c>
      <c r="D8" s="11" t="s">
        <v>38</v>
      </c>
      <c r="E8" s="2">
        <v>100</v>
      </c>
      <c r="F8" s="2">
        <v>180</v>
      </c>
    </row>
    <row r="9" spans="1:6">
      <c r="A9" s="6" t="s">
        <v>18</v>
      </c>
      <c r="B9" s="7">
        <f>'Executivo '!B9</f>
        <v>710246.65</v>
      </c>
      <c r="C9" s="7">
        <f>'Executivo '!D9</f>
        <v>32.643296820773784</v>
      </c>
      <c r="D9" s="8" t="s">
        <v>39</v>
      </c>
      <c r="E9" s="2">
        <v>40</v>
      </c>
      <c r="F9" s="2">
        <v>50</v>
      </c>
    </row>
    <row r="10" spans="1:6">
      <c r="A10" s="9" t="s">
        <v>12</v>
      </c>
      <c r="B10" s="10">
        <f>'Executivo '!B10</f>
        <v>3478606.1</v>
      </c>
      <c r="C10" s="10">
        <f>'Executivo '!D10</f>
        <v>159.87850339717093</v>
      </c>
      <c r="D10" s="11" t="s">
        <v>40</v>
      </c>
      <c r="E10" s="2">
        <v>140</v>
      </c>
      <c r="F10" s="2">
        <v>160</v>
      </c>
    </row>
    <row r="11" spans="1:6">
      <c r="A11" s="6" t="s">
        <v>5</v>
      </c>
      <c r="B11" s="7">
        <f>'Executivo '!B11</f>
        <v>1007042.46</v>
      </c>
      <c r="C11" s="7">
        <f>'Executivo '!D11</f>
        <v>46.284183012904329</v>
      </c>
      <c r="D11" s="8" t="s">
        <v>30</v>
      </c>
      <c r="E11" s="2">
        <v>60</v>
      </c>
      <c r="F11" s="2">
        <v>70</v>
      </c>
    </row>
    <row r="12" spans="1:6">
      <c r="A12" s="9" t="s">
        <v>13</v>
      </c>
      <c r="B12" s="10">
        <f>'Executivo '!B12</f>
        <v>4678926.43</v>
      </c>
      <c r="C12" s="10">
        <f>'Executivo '!D12</f>
        <v>215.0458354953922</v>
      </c>
      <c r="D12" s="11" t="s">
        <v>41</v>
      </c>
      <c r="E12" s="2">
        <v>180</v>
      </c>
      <c r="F12" s="2">
        <v>240</v>
      </c>
    </row>
    <row r="13" spans="1:6">
      <c r="A13" s="6" t="s">
        <v>6</v>
      </c>
      <c r="B13" s="7">
        <f>'Executivo '!B13</f>
        <v>1904409.14</v>
      </c>
      <c r="C13" s="7">
        <f>'Executivo '!D13</f>
        <v>87.527611464572942</v>
      </c>
      <c r="D13" s="8" t="s">
        <v>42</v>
      </c>
      <c r="E13" s="2">
        <v>110</v>
      </c>
      <c r="F13" s="2">
        <v>130</v>
      </c>
    </row>
    <row r="14" spans="1:6">
      <c r="A14" s="9" t="s">
        <v>17</v>
      </c>
      <c r="B14" s="10">
        <f>'Executivo '!B14</f>
        <v>5298249.96</v>
      </c>
      <c r="C14" s="10">
        <f>'Executivo '!D14</f>
        <v>243.51025953439247</v>
      </c>
      <c r="D14" s="11" t="s">
        <v>43</v>
      </c>
      <c r="E14" s="2">
        <v>175</v>
      </c>
      <c r="F14" s="2">
        <v>200</v>
      </c>
    </row>
    <row r="15" spans="1:6">
      <c r="A15" s="6" t="s">
        <v>14</v>
      </c>
      <c r="B15" s="7">
        <f>'Executivo '!B15</f>
        <v>2572444.23</v>
      </c>
      <c r="C15" s="7">
        <f>'Executivo '!D15</f>
        <v>118.23084354537519</v>
      </c>
      <c r="D15" s="8" t="s">
        <v>44</v>
      </c>
      <c r="E15" s="2">
        <v>85</v>
      </c>
      <c r="F15" s="2">
        <v>120</v>
      </c>
    </row>
    <row r="16" spans="1:6">
      <c r="A16" s="9" t="s">
        <v>15</v>
      </c>
      <c r="B16" s="10">
        <f>'Executivo '!B16+'Executivo '!B17</f>
        <v>3000106.95</v>
      </c>
      <c r="C16" s="10">
        <f>'Executivo '!D16+'Executivo '!D17</f>
        <v>137.88643939808281</v>
      </c>
      <c r="D16" s="11" t="s">
        <v>45</v>
      </c>
      <c r="E16" s="2">
        <v>130</v>
      </c>
      <c r="F16" s="2">
        <v>135</v>
      </c>
    </row>
    <row r="17" spans="1:6" ht="14.4" thickBot="1">
      <c r="A17" s="12" t="s">
        <v>7</v>
      </c>
      <c r="B17" s="13">
        <f>SUM(B3:B16)</f>
        <v>45491117.369999997</v>
      </c>
      <c r="C17" s="14">
        <f>SUM(C3:C16)</f>
        <v>2090.7948626263396</v>
      </c>
      <c r="D17" s="15" t="s">
        <v>47</v>
      </c>
      <c r="E17" s="2">
        <f>SUM(E3:E16)</f>
        <v>1959.5</v>
      </c>
      <c r="F17" s="2">
        <f>SUM(F3:F16)</f>
        <v>2402.5</v>
      </c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view="pageBreakPreview" zoomScaleNormal="115" zoomScaleSheetLayoutView="100" workbookViewId="0">
      <selection activeCell="E19" sqref="A1:E19"/>
    </sheetView>
  </sheetViews>
  <sheetFormatPr defaultColWidth="9.109375" defaultRowHeight="13.2"/>
  <cols>
    <col min="1" max="1" width="64.44140625" style="21" bestFit="1" customWidth="1"/>
    <col min="2" max="2" width="20.109375" style="21" bestFit="1" customWidth="1"/>
    <col min="3" max="3" width="14.33203125" style="21" customWidth="1"/>
    <col min="4" max="4" width="15.109375" style="21" customWidth="1"/>
    <col min="5" max="5" width="23.109375" style="21" bestFit="1" customWidth="1"/>
    <col min="6" max="6" width="11.6640625" style="21" bestFit="1" customWidth="1"/>
    <col min="7" max="8" width="14.109375" style="21" bestFit="1" customWidth="1"/>
    <col min="9" max="9" width="9.109375" style="21" customWidth="1"/>
    <col min="10" max="16384" width="9.109375" style="21"/>
  </cols>
  <sheetData>
    <row r="1" spans="1:9" ht="22.5" customHeight="1">
      <c r="A1" s="18" t="s">
        <v>0</v>
      </c>
      <c r="B1" s="19" t="s">
        <v>8</v>
      </c>
      <c r="C1" s="19" t="s">
        <v>9</v>
      </c>
      <c r="D1" s="19" t="s">
        <v>10</v>
      </c>
      <c r="E1" s="20" t="s">
        <v>31</v>
      </c>
    </row>
    <row r="2" spans="1:9" ht="17.25" customHeight="1">
      <c r="A2" s="22" t="s">
        <v>32</v>
      </c>
      <c r="B2" s="23">
        <v>4196191.72</v>
      </c>
      <c r="C2" s="24">
        <f>B2/B$18</f>
        <v>8.445198174043439E-2</v>
      </c>
      <c r="D2" s="25">
        <f>B2/'Executivo '!H$10</f>
        <v>192.85910300715005</v>
      </c>
      <c r="E2" s="26">
        <f>B2/H$7</f>
        <v>30854.350882352941</v>
      </c>
      <c r="G2" s="27" t="s">
        <v>25</v>
      </c>
    </row>
    <row r="3" spans="1:9" ht="17.25" customHeight="1">
      <c r="A3" s="28" t="s">
        <v>27</v>
      </c>
      <c r="B3" s="29">
        <v>50962.22</v>
      </c>
      <c r="C3" s="30">
        <f>B3/B$18</f>
        <v>1.0256586829383478E-3</v>
      </c>
      <c r="D3" s="31">
        <f>B3/'Executivo '!H$10</f>
        <v>2.3422495186785803</v>
      </c>
      <c r="E3" s="32">
        <f>B3/H$7</f>
        <v>374.72220588235297</v>
      </c>
    </row>
    <row r="4" spans="1:9" ht="16.8" customHeight="1">
      <c r="A4" s="33" t="s">
        <v>2</v>
      </c>
      <c r="B4" s="34">
        <v>2406927.91</v>
      </c>
      <c r="C4" s="35">
        <f>B4/B$18</f>
        <v>4.8441502550284316E-2</v>
      </c>
      <c r="D4" s="36">
        <f>B4/'Executivo '!H$10</f>
        <v>110.62362940020158</v>
      </c>
      <c r="E4" s="37">
        <f t="shared" ref="E4:E16" si="0">B4/H$7</f>
        <v>17697.999338235295</v>
      </c>
      <c r="G4" s="52"/>
    </row>
    <row r="5" spans="1:9" ht="17.25" customHeight="1">
      <c r="A5" s="28" t="s">
        <v>3</v>
      </c>
      <c r="B5" s="29">
        <v>8970675.4000000004</v>
      </c>
      <c r="C5" s="30">
        <f>B5/B$18</f>
        <v>0.180542588525999</v>
      </c>
      <c r="D5" s="29">
        <f>B5/'Executivo '!H$10</f>
        <v>412.29679825313303</v>
      </c>
      <c r="E5" s="38">
        <f t="shared" si="0"/>
        <v>65960.848529411771</v>
      </c>
      <c r="G5" s="52"/>
    </row>
    <row r="6" spans="1:9" ht="17.25" customHeight="1">
      <c r="A6" s="33" t="s">
        <v>4</v>
      </c>
      <c r="B6" s="34">
        <v>2163273.1800000002</v>
      </c>
      <c r="C6" s="35">
        <f>B6/B$18</f>
        <v>4.3537740715272048E-2</v>
      </c>
      <c r="D6" s="36">
        <f>B6/'Executivo '!H$10</f>
        <v>99.425134239153664</v>
      </c>
      <c r="E6" s="37">
        <f t="shared" si="0"/>
        <v>15906.420441176471</v>
      </c>
      <c r="G6" s="52"/>
    </row>
    <row r="7" spans="1:9" ht="13.8">
      <c r="A7" s="57" t="s">
        <v>21</v>
      </c>
      <c r="B7" s="29">
        <v>6521453.5099999998</v>
      </c>
      <c r="C7" s="30">
        <f>B7/B$18</f>
        <v>0.13124988310772695</v>
      </c>
      <c r="D7" s="29">
        <f>B7/'Executivo '!H$10</f>
        <v>299.72931604789267</v>
      </c>
      <c r="E7" s="38">
        <f t="shared" si="0"/>
        <v>47951.864044117647</v>
      </c>
      <c r="G7" s="53"/>
      <c r="H7" s="21">
        <v>136</v>
      </c>
    </row>
    <row r="8" spans="1:9" ht="17.25" customHeight="1">
      <c r="A8" s="33" t="s">
        <v>16</v>
      </c>
      <c r="B8" s="34">
        <v>2727793.23</v>
      </c>
      <c r="C8" s="35">
        <f>B8/B$18</f>
        <v>5.4899194179726503E-2</v>
      </c>
      <c r="D8" s="36">
        <f>B8/'Executivo '!H$10</f>
        <v>125.37076249861543</v>
      </c>
      <c r="E8" s="37">
        <f>B8/H$7</f>
        <v>20057.303161764707</v>
      </c>
    </row>
    <row r="9" spans="1:9" ht="17.25" customHeight="1">
      <c r="A9" s="28" t="s">
        <v>18</v>
      </c>
      <c r="B9" s="29">
        <v>710246.65</v>
      </c>
      <c r="C9" s="30">
        <f>B9/B$18</f>
        <v>1.4294327123119316E-2</v>
      </c>
      <c r="D9" s="29">
        <f>B9/'Executivo '!H$10</f>
        <v>32.643296820773784</v>
      </c>
      <c r="E9" s="38">
        <f t="shared" si="0"/>
        <v>5222.4018382352942</v>
      </c>
    </row>
    <row r="10" spans="1:9" ht="17.25" customHeight="1">
      <c r="A10" s="33" t="s">
        <v>12</v>
      </c>
      <c r="B10" s="34">
        <v>3478606.1</v>
      </c>
      <c r="C10" s="35">
        <f>B10/B$18</f>
        <v>7.0009951508927651E-2</v>
      </c>
      <c r="D10" s="36">
        <f>B10/'Executivo '!H$10</f>
        <v>159.87850339717093</v>
      </c>
      <c r="E10" s="37">
        <f t="shared" si="0"/>
        <v>25577.986029411764</v>
      </c>
      <c r="H10" s="39">
        <v>21757.81</v>
      </c>
      <c r="I10" s="40" t="s">
        <v>12</v>
      </c>
    </row>
    <row r="11" spans="1:9" ht="17.25" customHeight="1">
      <c r="A11" s="28" t="s">
        <v>5</v>
      </c>
      <c r="B11" s="29">
        <v>1007042.46</v>
      </c>
      <c r="C11" s="30">
        <f>B11/B$18</f>
        <v>2.0267599079996784E-2</v>
      </c>
      <c r="D11" s="29">
        <f>B11/'Executivo '!H$10</f>
        <v>46.284183012904329</v>
      </c>
      <c r="E11" s="38">
        <f t="shared" si="0"/>
        <v>7404.7239705882348</v>
      </c>
      <c r="I11" s="41" t="s">
        <v>5</v>
      </c>
    </row>
    <row r="12" spans="1:9" ht="17.25" customHeight="1">
      <c r="A12" s="33" t="s">
        <v>13</v>
      </c>
      <c r="B12" s="34">
        <v>4678926.43</v>
      </c>
      <c r="C12" s="35">
        <f>B12/B$18</f>
        <v>9.4167434616451662E-2</v>
      </c>
      <c r="D12" s="36">
        <f>B12/'Executivo '!H$10</f>
        <v>215.0458354953922</v>
      </c>
      <c r="E12" s="37">
        <f t="shared" si="0"/>
        <v>34403.870808823529</v>
      </c>
      <c r="I12" s="40" t="s">
        <v>13</v>
      </c>
    </row>
    <row r="13" spans="1:9" ht="17.25" customHeight="1">
      <c r="A13" s="28" t="s">
        <v>6</v>
      </c>
      <c r="B13" s="29">
        <v>1904409.14</v>
      </c>
      <c r="C13" s="30">
        <f>B13/B$18</f>
        <v>3.8327878383401501E-2</v>
      </c>
      <c r="D13" s="29">
        <f>B13/'Executivo '!H$10</f>
        <v>87.527611464572942</v>
      </c>
      <c r="E13" s="38">
        <f t="shared" si="0"/>
        <v>14003.00838235294</v>
      </c>
      <c r="I13" s="41" t="s">
        <v>6</v>
      </c>
    </row>
    <row r="14" spans="1:9" ht="17.25" customHeight="1">
      <c r="A14" s="33" t="s">
        <v>17</v>
      </c>
      <c r="B14" s="34">
        <v>5298249.96</v>
      </c>
      <c r="C14" s="35">
        <f>B14/B$18</f>
        <v>0.10663185543823943</v>
      </c>
      <c r="D14" s="36">
        <f>B14/'Executivo '!H$10</f>
        <v>243.51025953439247</v>
      </c>
      <c r="E14" s="37">
        <f t="shared" si="0"/>
        <v>38957.720294117644</v>
      </c>
      <c r="G14" s="51"/>
      <c r="I14" s="40" t="s">
        <v>17</v>
      </c>
    </row>
    <row r="15" spans="1:9" ht="17.25" customHeight="1">
      <c r="A15" s="28" t="s">
        <v>14</v>
      </c>
      <c r="B15" s="29">
        <v>2572444.23</v>
      </c>
      <c r="C15" s="30">
        <f>B15/B$18</f>
        <v>5.1772661412202062E-2</v>
      </c>
      <c r="D15" s="29">
        <f>B15/'Executivo '!H$10</f>
        <v>118.23084354537519</v>
      </c>
      <c r="E15" s="38">
        <f t="shared" si="0"/>
        <v>18915.031102941175</v>
      </c>
      <c r="I15" s="41" t="s">
        <v>23</v>
      </c>
    </row>
    <row r="16" spans="1:9" ht="17.25" customHeight="1">
      <c r="A16" s="33" t="s">
        <v>15</v>
      </c>
      <c r="B16" s="34">
        <v>2329942.5599999996</v>
      </c>
      <c r="C16" s="35">
        <f>B16/B$18</f>
        <v>4.6892105905347176E-2</v>
      </c>
      <c r="D16" s="36">
        <f>B16/'Executivo '!H$10</f>
        <v>107.08534360765167</v>
      </c>
      <c r="E16" s="37">
        <f t="shared" si="0"/>
        <v>17131.930588235293</v>
      </c>
      <c r="I16" s="40" t="s">
        <v>14</v>
      </c>
    </row>
    <row r="17" spans="1:9" ht="17.25" customHeight="1">
      <c r="A17" s="28" t="s">
        <v>26</v>
      </c>
      <c r="B17" s="29">
        <v>670164.3900000006</v>
      </c>
      <c r="C17" s="30">
        <f>B17/B$18</f>
        <v>1.3487637029932798E-2</v>
      </c>
      <c r="D17" s="29">
        <f>B17/'Executivo '!H$10</f>
        <v>30.801095790431141</v>
      </c>
      <c r="E17" s="38">
        <f>B17/H$7</f>
        <v>4927.6793382352989</v>
      </c>
      <c r="G17" s="51"/>
      <c r="I17" s="41" t="s">
        <v>14</v>
      </c>
    </row>
    <row r="18" spans="1:9" ht="22.2" customHeight="1">
      <c r="A18" s="42" t="s">
        <v>7</v>
      </c>
      <c r="B18" s="43">
        <f>SUM(B2:B17)</f>
        <v>49687309.090000004</v>
      </c>
      <c r="C18" s="54">
        <f>SUM(C2:C17)</f>
        <v>0.99999999999999989</v>
      </c>
      <c r="D18" s="43">
        <f>SUM(D2:D17)</f>
        <v>2283.6539656334899</v>
      </c>
      <c r="E18" s="44">
        <f>SUM(E2:E17)</f>
        <v>365347.86095588235</v>
      </c>
      <c r="G18" s="51"/>
      <c r="H18" s="56"/>
    </row>
    <row r="19" spans="1:9" ht="22.5" customHeight="1" thickBot="1">
      <c r="A19" s="45" t="s">
        <v>28</v>
      </c>
      <c r="B19" s="46">
        <v>2329.85</v>
      </c>
      <c r="C19" s="47">
        <v>44409</v>
      </c>
      <c r="D19" s="48">
        <f>+D18/B19</f>
        <v>0.98017209933407301</v>
      </c>
      <c r="E19" s="49" t="s">
        <v>22</v>
      </c>
      <c r="H19" s="55"/>
    </row>
    <row r="20" spans="1:9" ht="15" customHeight="1">
      <c r="G20" s="50"/>
      <c r="H20" s="51"/>
    </row>
    <row r="21" spans="1:9">
      <c r="B21" s="51"/>
    </row>
    <row r="22" spans="1:9">
      <c r="G22" s="51"/>
    </row>
    <row r="23" spans="1:9">
      <c r="G23" s="51"/>
    </row>
    <row r="24" spans="1:9">
      <c r="F24" s="51"/>
    </row>
    <row r="25" spans="1:9">
      <c r="G25" s="51"/>
    </row>
  </sheetData>
  <pageMargins left="0.511811024" right="0.511811024" top="0.78740157499999996" bottom="0.78740157499999996" header="0.31496062000000002" footer="0.31496062000000002"/>
  <pageSetup paperSize="9" scale="67" orientation="portrait" horizontalDpi="360" verticalDpi="360" r:id="rId1"/>
  <colBreaks count="1" manualBreakCount="1">
    <brk id="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D7DD-DC15-40FE-BA18-347C9A421DEC}">
  <dimension ref="B1:B10"/>
  <sheetViews>
    <sheetView workbookViewId="0">
      <selection activeCell="E29" sqref="E29"/>
    </sheetView>
  </sheetViews>
  <sheetFormatPr defaultRowHeight="14.4"/>
  <sheetData>
    <row r="1" spans="2:2">
      <c r="B1" t="s">
        <v>33</v>
      </c>
    </row>
    <row r="2" spans="2:2">
      <c r="B2" s="58">
        <v>18496.22</v>
      </c>
    </row>
    <row r="3" spans="2:2">
      <c r="B3" s="58">
        <v>1204682.17</v>
      </c>
    </row>
    <row r="4" spans="2:2">
      <c r="B4" s="58">
        <v>707719.54</v>
      </c>
    </row>
    <row r="5" spans="2:2">
      <c r="B5" s="58">
        <v>774484.66</v>
      </c>
    </row>
    <row r="6" spans="2:2">
      <c r="B6" s="58">
        <v>191627.94</v>
      </c>
    </row>
    <row r="7" spans="2:2">
      <c r="B7" s="58">
        <v>192879.19</v>
      </c>
    </row>
    <row r="8" spans="2:2">
      <c r="B8" s="58">
        <v>286483.51</v>
      </c>
    </row>
    <row r="9" spans="2:2">
      <c r="B9" s="58">
        <v>286483.51</v>
      </c>
    </row>
    <row r="10" spans="2:2">
      <c r="B10" s="58">
        <v>164367.64000000001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Gerenciamento executivo </vt:lpstr>
      <vt:lpstr>Executivo 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Luisa Romaniello</cp:lastModifiedBy>
  <cp:lastPrinted>2022-01-25T18:59:24Z</cp:lastPrinted>
  <dcterms:created xsi:type="dcterms:W3CDTF">2021-06-30T18:49:34Z</dcterms:created>
  <dcterms:modified xsi:type="dcterms:W3CDTF">2022-02-24T14:00:34Z</dcterms:modified>
</cp:coreProperties>
</file>