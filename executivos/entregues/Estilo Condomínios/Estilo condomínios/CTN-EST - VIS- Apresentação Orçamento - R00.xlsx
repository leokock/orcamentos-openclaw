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Estilo Condomínios 09.2022\03. Custo\03.5 Custo - Determinação do orçamento\"/>
    </mc:Choice>
  </mc:AlternateContent>
  <xr:revisionPtr revIDLastSave="0" documentId="13_ncr:1_{19D7F71A-2DE2-42D3-9B13-2C9F6DE2C9DA}" xr6:coauthVersionLast="47" xr6:coauthVersionMax="47" xr10:uidLastSave="{00000000-0000-0000-0000-000000000000}"/>
  <bookViews>
    <workbookView xWindow="-22692" yWindow="1428" windowWidth="22008" windowHeight="11292" firstSheet="1" activeTab="1" xr2:uid="{00000000-000D-0000-FFFF-FFFF00000000}"/>
  </bookViews>
  <sheets>
    <sheet name="Relatório" sheetId="12" r:id="rId1"/>
    <sheet name="RESUMO" sheetId="13" r:id="rId2"/>
    <sheet name="ORÇAMENTO_EXECUTIVO_TOTAL" sheetId="15" r:id="rId3"/>
    <sheet name="ORÇAMENTO_EXECUTIVO_EDIFICAÇÕES" sheetId="2" r:id="rId4"/>
    <sheet name="CÁLCULO_MÉDI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3" l="1"/>
  <c r="B2" i="15" s="1"/>
  <c r="B4" i="2"/>
  <c r="E10" i="13" l="1"/>
  <c r="E10" i="5"/>
  <c r="N10" i="5" l="1"/>
  <c r="M10" i="5"/>
  <c r="E13" i="5"/>
  <c r="E16" i="5"/>
  <c r="E24" i="5"/>
  <c r="E23" i="5"/>
  <c r="E20" i="5"/>
  <c r="E18" i="5"/>
  <c r="E17" i="5"/>
  <c r="E15" i="5"/>
  <c r="E12" i="5"/>
  <c r="E11" i="5"/>
  <c r="E9" i="5"/>
  <c r="F41" i="5"/>
  <c r="E14" i="5"/>
  <c r="E19" i="5"/>
  <c r="E21" i="5"/>
  <c r="F21" i="5" s="1"/>
  <c r="E22" i="5"/>
  <c r="E41" i="5"/>
  <c r="E26" i="5" l="1"/>
  <c r="G21" i="5" l="1"/>
  <c r="F23" i="5"/>
  <c r="G23" i="5" s="1"/>
  <c r="F10" i="5"/>
  <c r="F11" i="5"/>
  <c r="F12" i="5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2" i="5"/>
  <c r="G22" i="5" s="1"/>
  <c r="F24" i="5"/>
  <c r="G24" i="5" s="1"/>
  <c r="F9" i="5"/>
  <c r="H34" i="5"/>
  <c r="E17" i="2"/>
  <c r="E9" i="2"/>
  <c r="E10" i="2"/>
  <c r="E11" i="2"/>
  <c r="E12" i="2"/>
  <c r="E13" i="2"/>
  <c r="E14" i="2"/>
  <c r="E15" i="2"/>
  <c r="E16" i="2"/>
  <c r="D16" i="5"/>
  <c r="G34" i="5"/>
  <c r="C38" i="5"/>
  <c r="D22" i="5"/>
  <c r="C35" i="5" l="1"/>
  <c r="G32" i="5" s="1"/>
  <c r="C34" i="5"/>
  <c r="G31" i="5" s="1"/>
  <c r="C36" i="5"/>
  <c r="G33" i="5" s="1"/>
  <c r="H33" i="5" s="1"/>
  <c r="C32" i="5"/>
  <c r="H32" i="5" s="1"/>
  <c r="C31" i="5"/>
  <c r="E8" i="2"/>
  <c r="B7" i="2"/>
  <c r="E7" i="2"/>
  <c r="B6" i="2"/>
  <c r="E5" i="2"/>
  <c r="E6" i="2"/>
  <c r="E4" i="2"/>
  <c r="E3" i="2"/>
  <c r="F13" i="15"/>
  <c r="H31" i="5" l="1"/>
  <c r="G30" i="5"/>
  <c r="H30" i="5" s="1"/>
  <c r="E2" i="15"/>
  <c r="D2" i="15"/>
  <c r="B13" i="15"/>
  <c r="E13" i="15" s="1"/>
  <c r="D13" i="15" l="1"/>
  <c r="B12" i="15" l="1"/>
  <c r="B11" i="15"/>
  <c r="B10" i="15"/>
  <c r="B9" i="15"/>
  <c r="B8" i="15"/>
  <c r="B7" i="15"/>
  <c r="B6" i="15"/>
  <c r="B5" i="15"/>
  <c r="B4" i="15"/>
  <c r="B3" i="15"/>
  <c r="E3" i="15" s="1"/>
  <c r="B5" i="2"/>
  <c r="B8" i="2"/>
  <c r="B9" i="2"/>
  <c r="B10" i="2"/>
  <c r="D10" i="2" s="1"/>
  <c r="B11" i="2"/>
  <c r="B12" i="2"/>
  <c r="B13" i="2"/>
  <c r="B14" i="2"/>
  <c r="B15" i="2"/>
  <c r="B16" i="2"/>
  <c r="B17" i="2"/>
  <c r="B3" i="2"/>
  <c r="B4" i="13"/>
  <c r="B3" i="13"/>
  <c r="D3" i="13" s="1"/>
  <c r="D4" i="13" l="1"/>
  <c r="D8" i="15"/>
  <c r="E8" i="15"/>
  <c r="E6" i="15"/>
  <c r="D6" i="15"/>
  <c r="D9" i="15"/>
  <c r="E9" i="15"/>
  <c r="E10" i="15"/>
  <c r="D10" i="15"/>
  <c r="E7" i="15"/>
  <c r="D7" i="15"/>
  <c r="E12" i="15"/>
  <c r="D12" i="15"/>
  <c r="E11" i="15"/>
  <c r="D11" i="15"/>
  <c r="E4" i="15"/>
  <c r="D4" i="15"/>
  <c r="E5" i="15"/>
  <c r="D5" i="15"/>
  <c r="D3" i="15"/>
  <c r="D11" i="2"/>
  <c r="D2" i="13"/>
  <c r="I25" i="5" l="1"/>
  <c r="I24" i="5"/>
  <c r="I23" i="5"/>
  <c r="I21" i="5"/>
  <c r="I20" i="5"/>
  <c r="I18" i="5"/>
  <c r="I12" i="5"/>
  <c r="I11" i="5"/>
  <c r="I10" i="5"/>
  <c r="I9" i="5"/>
  <c r="N26" i="5" l="1"/>
  <c r="M26" i="5"/>
  <c r="E18" i="2" l="1"/>
  <c r="I13" i="5"/>
  <c r="I14" i="5"/>
  <c r="I15" i="5"/>
  <c r="I17" i="5"/>
  <c r="I19" i="5"/>
  <c r="I8" i="5"/>
  <c r="G9" i="5"/>
  <c r="G10" i="5"/>
  <c r="G11" i="5"/>
  <c r="G12" i="5"/>
  <c r="G25" i="5"/>
  <c r="G8" i="5"/>
  <c r="D9" i="5"/>
  <c r="D10" i="5"/>
  <c r="D11" i="5"/>
  <c r="D12" i="5"/>
  <c r="D13" i="5"/>
  <c r="D14" i="5"/>
  <c r="D15" i="5"/>
  <c r="D17" i="5"/>
  <c r="D18" i="5"/>
  <c r="D19" i="5"/>
  <c r="D20" i="5"/>
  <c r="D21" i="5"/>
  <c r="D23" i="5"/>
  <c r="D24" i="5"/>
  <c r="D25" i="5"/>
  <c r="D8" i="5" l="1"/>
  <c r="D9" i="2"/>
  <c r="F26" i="5"/>
  <c r="H26" i="5"/>
  <c r="H28" i="5" s="1"/>
  <c r="J26" i="5"/>
  <c r="C26" i="5"/>
  <c r="K25" i="5"/>
  <c r="K24" i="5"/>
  <c r="K23" i="5"/>
  <c r="K21" i="5"/>
  <c r="K20" i="5"/>
  <c r="K19" i="5"/>
  <c r="K18" i="5"/>
  <c r="K17" i="5"/>
  <c r="K15" i="5"/>
  <c r="K14" i="5"/>
  <c r="K13" i="5"/>
  <c r="K12" i="5"/>
  <c r="K11" i="5"/>
  <c r="K10" i="5"/>
  <c r="K9" i="5"/>
  <c r="K8" i="5"/>
  <c r="K26" i="5" s="1"/>
  <c r="D12" i="2"/>
  <c r="D16" i="2"/>
  <c r="D6" i="2" l="1"/>
  <c r="D7" i="2"/>
  <c r="D14" i="2"/>
  <c r="D8" i="2"/>
  <c r="D13" i="2"/>
  <c r="D15" i="2"/>
  <c r="D3" i="2"/>
  <c r="D17" i="2"/>
  <c r="D4" i="2"/>
  <c r="I26" i="5"/>
  <c r="G26" i="5"/>
  <c r="D26" i="5"/>
  <c r="D5" i="2"/>
  <c r="B18" i="2" l="1"/>
  <c r="C11" i="2" l="1"/>
  <c r="C10" i="2"/>
  <c r="C5" i="2" l="1"/>
  <c r="D18" i="2"/>
  <c r="D19" i="2" l="1"/>
  <c r="C6" i="2"/>
  <c r="C12" i="2"/>
  <c r="C15" i="2"/>
  <c r="C14" i="2"/>
  <c r="C8" i="2"/>
  <c r="C9" i="2"/>
  <c r="C13" i="2"/>
  <c r="C16" i="2"/>
  <c r="C4" i="2"/>
  <c r="C3" i="2"/>
  <c r="C7" i="2"/>
  <c r="C17" i="2"/>
  <c r="C18" i="2" l="1"/>
  <c r="D5" i="13" l="1"/>
  <c r="B6" i="13"/>
  <c r="B14" i="15" s="1"/>
  <c r="D6" i="13" l="1"/>
  <c r="D7" i="13" s="1"/>
  <c r="B15" i="15"/>
  <c r="C14" i="15" s="1"/>
  <c r="E14" i="15"/>
  <c r="E15" i="15" s="1"/>
  <c r="D14" i="15"/>
  <c r="D15" i="15" s="1"/>
  <c r="B7" i="13"/>
  <c r="C2" i="13" l="1"/>
  <c r="C3" i="13"/>
  <c r="C4" i="13"/>
  <c r="C5" i="13"/>
  <c r="C6" i="13"/>
  <c r="C13" i="15"/>
  <c r="F21" i="15" s="1"/>
  <c r="C7" i="15"/>
  <c r="C6" i="15"/>
  <c r="C8" i="15"/>
  <c r="C3" i="15"/>
  <c r="C9" i="15"/>
  <c r="F18" i="15" s="1"/>
  <c r="C5" i="15"/>
  <c r="F23" i="15" s="1"/>
  <c r="C10" i="15"/>
  <c r="F19" i="15" s="1"/>
  <c r="C2" i="15"/>
  <c r="F20" i="15" s="1"/>
  <c r="C4" i="15"/>
  <c r="F22" i="15" s="1"/>
  <c r="C12" i="15"/>
  <c r="C11" i="15"/>
  <c r="C15" i="15" l="1"/>
  <c r="C7" i="13"/>
</calcChain>
</file>

<file path=xl/sharedStrings.xml><?xml version="1.0" encoding="utf-8"?>
<sst xmlns="http://schemas.openxmlformats.org/spreadsheetml/2006/main" count="224" uniqueCount="138">
  <si>
    <t>ETAPA</t>
  </si>
  <si>
    <t>OBRA SIMILAR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</si>
  <si>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</si>
  <si>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</si>
  <si>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</si>
  <si>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</si>
  <si>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</si>
  <si>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</si>
  <si>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</si>
  <si>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</si>
  <si>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</si>
  <si>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</si>
  <si>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</si>
  <si>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</si>
  <si>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</si>
  <si>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</si>
  <si>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</si>
  <si>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</si>
  <si>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</si>
  <si>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IMPREVISTOS E CONTINGENCIAS</t>
  </si>
  <si>
    <t>COBERTURA</t>
  </si>
  <si>
    <t>EQUIPAMENTOS E SISTEMAS ESPECIAIS</t>
  </si>
  <si>
    <t>GERENCIAMENTO TECNICO E ADMINISTRATIVO</t>
  </si>
  <si>
    <t>OBRA4</t>
  </si>
  <si>
    <t>DATA BASE</t>
  </si>
  <si>
    <t>ÁREA CONSTRUÍDA</t>
  </si>
  <si>
    <t>m²</t>
  </si>
  <si>
    <t>CUB</t>
  </si>
  <si>
    <t>VALOR / M2</t>
  </si>
  <si>
    <t>INDEXADO</t>
  </si>
  <si>
    <t>MÉDIAS</t>
  </si>
  <si>
    <t>MÍNIMA</t>
  </si>
  <si>
    <t>MÁXIMA</t>
  </si>
  <si>
    <t>Descrição</t>
  </si>
  <si>
    <t>GERENCIAMENTO TÉCNICO</t>
  </si>
  <si>
    <t>GERENCIAMENTO ADMINISTRATIVO</t>
  </si>
  <si>
    <t>SERVIÇOS COMPLEMENTARES E FINAIS</t>
  </si>
  <si>
    <t>Código</t>
  </si>
  <si>
    <t>Preço total</t>
  </si>
  <si>
    <t>% Total</t>
  </si>
  <si>
    <t xml:space="preserve">01 </t>
  </si>
  <si>
    <t xml:space="preserve">01.001 </t>
  </si>
  <si>
    <t>SERVIÇOS PRELIMINARES</t>
  </si>
  <si>
    <t xml:space="preserve">01.002 </t>
  </si>
  <si>
    <t>TERRAPLENAGEM</t>
  </si>
  <si>
    <t xml:space="preserve">01.003 </t>
  </si>
  <si>
    <t>DRENAGEM</t>
  </si>
  <si>
    <t xml:space="preserve">01.004 </t>
  </si>
  <si>
    <t>REDE DE ÁGUA POTÁVEL</t>
  </si>
  <si>
    <t xml:space="preserve">01.005 </t>
  </si>
  <si>
    <t>REDE DE ESGOTO SANITÁRIO</t>
  </si>
  <si>
    <t xml:space="preserve">01.006 </t>
  </si>
  <si>
    <t>REDE ELÉTRICA - subterranea</t>
  </si>
  <si>
    <t xml:space="preserve">01.007 </t>
  </si>
  <si>
    <t>PAVIMENTAÇÃO</t>
  </si>
  <si>
    <t xml:space="preserve">01.008 </t>
  </si>
  <si>
    <t>MUROS E CERCAMENTOS</t>
  </si>
  <si>
    <t xml:space="preserve">01.009 </t>
  </si>
  <si>
    <t>SINALIZAÇÃO</t>
  </si>
  <si>
    <t xml:space="preserve">01.010 </t>
  </si>
  <si>
    <t>PAISAGISMO</t>
  </si>
  <si>
    <t xml:space="preserve">02 </t>
  </si>
  <si>
    <t>RECREAÇÃO COBERTA E PORTARIA</t>
  </si>
  <si>
    <t xml:space="preserve">02.001 </t>
  </si>
  <si>
    <t xml:space="preserve">INFRAESTRUTURA </t>
  </si>
  <si>
    <t xml:space="preserve">02.002 </t>
  </si>
  <si>
    <t xml:space="preserve">02.003 </t>
  </si>
  <si>
    <t>VEDAÇÕES INTERNAS E EXTERNAS</t>
  </si>
  <si>
    <t xml:space="preserve">02.004 </t>
  </si>
  <si>
    <t>INSTALÇÕES ELÉTRICAS, COMUNICAÇÃO E DADOS</t>
  </si>
  <si>
    <t xml:space="preserve">02.005 </t>
  </si>
  <si>
    <t>INSTALÇÕES HIDROSSANITÁRIAS E DRENAGEM</t>
  </si>
  <si>
    <t xml:space="preserve">02.006 </t>
  </si>
  <si>
    <t>INSTALÇÕES PREVENTIVAS E GLP</t>
  </si>
  <si>
    <t xml:space="preserve">02.007 </t>
  </si>
  <si>
    <t>CLIMATIZAÇÃO E EXAUSTÃO MECÂNICA</t>
  </si>
  <si>
    <t xml:space="preserve">02.008 </t>
  </si>
  <si>
    <t>AUTOMAÇÃO, TELEFONIA E SONORIZAÇÃO</t>
  </si>
  <si>
    <t xml:space="preserve">02.009 </t>
  </si>
  <si>
    <t xml:space="preserve">02.010 </t>
  </si>
  <si>
    <t>REVESTIMENTOS ARGAMASSADOS INTERNOS</t>
  </si>
  <si>
    <t xml:space="preserve">02.011 </t>
  </si>
  <si>
    <t>REVESTIMENTOS DE PISO</t>
  </si>
  <si>
    <t xml:space="preserve">02.012 </t>
  </si>
  <si>
    <t>REVESTIMENTOS DE PAREDE</t>
  </si>
  <si>
    <t xml:space="preserve">02.013 </t>
  </si>
  <si>
    <t>REVESTIMENTOS DE TETO</t>
  </si>
  <si>
    <t xml:space="preserve">02.014 </t>
  </si>
  <si>
    <t xml:space="preserve">02.015 </t>
  </si>
  <si>
    <t>ESQUADRIAS E FERRAGENS</t>
  </si>
  <si>
    <t xml:space="preserve">02.016 </t>
  </si>
  <si>
    <t>RODAPÉS</t>
  </si>
  <si>
    <t xml:space="preserve">02.017 </t>
  </si>
  <si>
    <t xml:space="preserve">02.018 </t>
  </si>
  <si>
    <t xml:space="preserve">03 </t>
  </si>
  <si>
    <t xml:space="preserve">03.001 </t>
  </si>
  <si>
    <t>Total da unidade construtiva</t>
  </si>
  <si>
    <t>13/06/2023 - 08:48:20</t>
  </si>
  <si>
    <t>ESTUDOS | PROJETOS | CONSULTORIAS</t>
  </si>
  <si>
    <t>TAXAS | DOCUMENTOS</t>
  </si>
  <si>
    <t>SEGURANÇA | MEIO AMBIENTE | SAÚDE</t>
  </si>
  <si>
    <t>ADMINISTRAÇÃO | CANTEIRO DE OBRAS</t>
  </si>
  <si>
    <t>EQUIPAMENTOS</t>
  </si>
  <si>
    <t>CUB/PR</t>
  </si>
  <si>
    <t>LOTES</t>
  </si>
  <si>
    <t>un</t>
  </si>
  <si>
    <t>VALOR / UNID</t>
  </si>
  <si>
    <t>EDIFICAÇÕES - VISTA ALEGRE</t>
  </si>
  <si>
    <t>REVEST PISO</t>
  </si>
  <si>
    <t>REVEST PAREDE</t>
  </si>
  <si>
    <t>ACAB PISO</t>
  </si>
  <si>
    <t>ACAB PAREDE</t>
  </si>
  <si>
    <t>RODAPE</t>
  </si>
  <si>
    <t>PISO</t>
  </si>
  <si>
    <t>PAREDE</t>
  </si>
  <si>
    <t>RODAAPE</t>
  </si>
  <si>
    <t>AREA</t>
  </si>
  <si>
    <t>RODAPES</t>
  </si>
  <si>
    <t>REVESTIMENTOS INTERNOS EM TETO</t>
  </si>
  <si>
    <t>REVET</t>
  </si>
  <si>
    <t>ACAB</t>
  </si>
  <si>
    <t>REVEST</t>
  </si>
  <si>
    <t>TETO</t>
  </si>
  <si>
    <t>REVESTIMENTOS ARGAMASSADOS</t>
  </si>
  <si>
    <t>CGL - CASAS</t>
  </si>
  <si>
    <t>CGL-SALÃO</t>
  </si>
  <si>
    <t>200m2 de demolição</t>
  </si>
  <si>
    <t>300,00 porcarro</t>
  </si>
  <si>
    <t>x2</t>
  </si>
  <si>
    <t>1/3 de compensação por não exclusividade</t>
  </si>
  <si>
    <t>500,00 porcarro com caçamba</t>
  </si>
  <si>
    <t>VALOR / LOTE</t>
  </si>
  <si>
    <t xml:space="preserve">ÁREA </t>
  </si>
  <si>
    <t>Demolição de edificações simples de alvenaria</t>
  </si>
  <si>
    <t>/m²</t>
  </si>
  <si>
    <t>TCPO</t>
  </si>
  <si>
    <t>VALOR / m² (AC)</t>
  </si>
  <si>
    <t>VALOR / m² (AT)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</si>
</sst>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#,###,##0.00"/>
    <numFmt numFmtId="167" formatCode="###,##0.00"/>
    <numFmt numFmtId="168" formatCode="#0.00"/>
    <numFmt numFmtId="169" formatCode="##,##0.00"/>
    <numFmt numFmtId="170" formatCode="##0.00"/>
    <numFmt numFmtId="171" formatCode="0.0%"/>
  </numFmts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8"/>
      <color rgb="FF3B3B3B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color indexed="8"/>
      <name val="Arial"/>
      <family val="2"/>
    </font>
    <font>
      <sz val="7"/>
      <color indexed="8"/>
      <name val="Arial"/>
      <family val="2"/>
    </font>
    <font>
      <sz val="1"/>
      <color indexed="8"/>
      <name val="Arial"/>
      <family val="2"/>
    </font>
    <font>
      <sz val="6"/>
      <color indexed="8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0"/>
      <name val="Poppins"/>
    </font>
  </fonts>
  <fills count="11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FF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6464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medium">
        <color indexed="64"/>
      </right>
      <top style="hair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10">
    <xf numFmtId="0" fontId="0" fillId="0" borderId="0"/>
    <xf numFmtId="44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" fillId="0" borderId="4"/>
    <xf numFmtId="9" fontId="3" fillId="0" borderId="4" applyFont="0" applyFill="0" applyBorder="0" applyAlignment="0" applyProtection="0"/>
    <xf numFmtId="0" fontId="19" fillId="8" borderId="4" applyNumberFormat="0" applyFont="0" applyFill="0" applyBorder="0" applyAlignment="0" applyProtection="0">
      <alignment horizontal="left" vertical="top" wrapText="1"/>
    </xf>
    <xf numFmtId="0" fontId="1" fillId="0" borderId="4"/>
    <xf numFmtId="9" fontId="1" fillId="0" borderId="4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4" applyNumberFormat="0" applyFont="0" applyFill="0" applyBorder="0" applyAlignment="0" applyProtection="0"/>
  </cellStyleXfs>
  <cellXfs count="155">
    <xf numFmtId="0" fontId="0" fillId="0" borderId="0" xfId="0"/>
    <xf numFmtId="0" fontId="7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10" fontId="7" fillId="4" borderId="2" xfId="0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left" vertical="center"/>
    </xf>
    <xf numFmtId="10" fontId="7" fillId="3" borderId="2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" fontId="9" fillId="0" borderId="0" xfId="0" applyNumberFormat="1" applyFont="1"/>
    <xf numFmtId="165" fontId="11" fillId="0" borderId="0" xfId="0" applyNumberFormat="1" applyFont="1" applyAlignment="1">
      <alignment horizontal="left"/>
    </xf>
    <xf numFmtId="165" fontId="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0" fontId="0" fillId="0" borderId="4" xfId="0" applyBorder="1"/>
    <xf numFmtId="44" fontId="0" fillId="0" borderId="7" xfId="1" applyFont="1" applyBorder="1"/>
    <xf numFmtId="0" fontId="13" fillId="0" borderId="0" xfId="0" applyFont="1"/>
    <xf numFmtId="44" fontId="0" fillId="0" borderId="7" xfId="1" applyFont="1" applyFill="1" applyBorder="1"/>
    <xf numFmtId="0" fontId="4" fillId="0" borderId="0" xfId="0" applyFont="1"/>
    <xf numFmtId="164" fontId="15" fillId="4" borderId="2" xfId="0" applyNumberFormat="1" applyFont="1" applyFill="1" applyBorder="1" applyAlignment="1">
      <alignment horizontal="left" vertical="center"/>
    </xf>
    <xf numFmtId="0" fontId="0" fillId="0" borderId="6" xfId="0" applyBorder="1"/>
    <xf numFmtId="164" fontId="7" fillId="3" borderId="3" xfId="0" applyNumberFormat="1" applyFont="1" applyFill="1" applyBorder="1" applyAlignment="1">
      <alignment horizontal="center" vertical="center"/>
    </xf>
    <xf numFmtId="164" fontId="7" fillId="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vertical="center"/>
    </xf>
    <xf numFmtId="164" fontId="10" fillId="0" borderId="4" xfId="0" applyNumberFormat="1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horizontal="center" vertical="center"/>
    </xf>
    <xf numFmtId="0" fontId="7" fillId="4" borderId="18" xfId="0" applyFont="1" applyFill="1" applyBorder="1" applyAlignment="1">
      <alignment horizontal="left" vertical="center"/>
    </xf>
    <xf numFmtId="0" fontId="7" fillId="3" borderId="18" xfId="0" applyFont="1" applyFill="1" applyBorder="1" applyAlignment="1">
      <alignment horizontal="left" vertical="center"/>
    </xf>
    <xf numFmtId="0" fontId="7" fillId="4" borderId="20" xfId="0" applyFont="1" applyFill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4" borderId="21" xfId="0" applyFont="1" applyFill="1" applyBorder="1" applyAlignment="1">
      <alignment horizontal="left" vertical="center"/>
    </xf>
    <xf numFmtId="0" fontId="7" fillId="4" borderId="22" xfId="0" applyFont="1" applyFill="1" applyBorder="1" applyAlignment="1">
      <alignment horizontal="left" vertical="center"/>
    </xf>
    <xf numFmtId="0" fontId="7" fillId="4" borderId="23" xfId="0" applyFont="1" applyFill="1" applyBorder="1" applyAlignment="1">
      <alignment horizontal="left" vertical="center"/>
    </xf>
    <xf numFmtId="44" fontId="0" fillId="0" borderId="24" xfId="1" applyFont="1" applyBorder="1"/>
    <xf numFmtId="44" fontId="0" fillId="0" borderId="24" xfId="1" applyFont="1" applyFill="1" applyBorder="1"/>
    <xf numFmtId="44" fontId="0" fillId="0" borderId="28" xfId="1" applyFont="1" applyBorder="1"/>
    <xf numFmtId="44" fontId="0" fillId="0" borderId="29" xfId="1" applyFont="1" applyBorder="1"/>
    <xf numFmtId="44" fontId="16" fillId="0" borderId="29" xfId="1" applyFont="1" applyBorder="1"/>
    <xf numFmtId="44" fontId="2" fillId="0" borderId="29" xfId="1" applyFont="1" applyBorder="1"/>
    <xf numFmtId="44" fontId="16" fillId="0" borderId="30" xfId="1" applyFont="1" applyBorder="1"/>
    <xf numFmtId="0" fontId="0" fillId="0" borderId="10" xfId="0" applyBorder="1"/>
    <xf numFmtId="0" fontId="5" fillId="7" borderId="14" xfId="0" applyFont="1" applyFill="1" applyBorder="1" applyAlignment="1">
      <alignment horizontal="left" vertical="center"/>
    </xf>
    <xf numFmtId="44" fontId="17" fillId="5" borderId="26" xfId="0" applyNumberFormat="1" applyFont="1" applyFill="1" applyBorder="1"/>
    <xf numFmtId="44" fontId="17" fillId="5" borderId="26" xfId="0" applyNumberFormat="1" applyFont="1" applyFill="1" applyBorder="1" applyAlignment="1">
      <alignment horizontal="center"/>
    </xf>
    <xf numFmtId="44" fontId="17" fillId="5" borderId="34" xfId="0" applyNumberFormat="1" applyFont="1" applyFill="1" applyBorder="1" applyAlignment="1">
      <alignment horizontal="center"/>
    </xf>
    <xf numFmtId="44" fontId="17" fillId="5" borderId="27" xfId="0" applyNumberFormat="1" applyFont="1" applyFill="1" applyBorder="1" applyAlignment="1">
      <alignment horizontal="center"/>
    </xf>
    <xf numFmtId="0" fontId="17" fillId="5" borderId="5" xfId="0" applyFont="1" applyFill="1" applyBorder="1"/>
    <xf numFmtId="0" fontId="17" fillId="5" borderId="9" xfId="0" applyFont="1" applyFill="1" applyBorder="1"/>
    <xf numFmtId="43" fontId="0" fillId="0" borderId="0" xfId="2" applyFont="1"/>
    <xf numFmtId="43" fontId="17" fillId="5" borderId="11" xfId="2" applyFont="1" applyFill="1" applyBorder="1" applyAlignment="1">
      <alignment horizontal="center"/>
    </xf>
    <xf numFmtId="43" fontId="0" fillId="0" borderId="11" xfId="2" applyFont="1" applyBorder="1"/>
    <xf numFmtId="43" fontId="0" fillId="0" borderId="35" xfId="2" applyFont="1" applyBorder="1"/>
    <xf numFmtId="43" fontId="17" fillId="5" borderId="26" xfId="2" applyFont="1" applyFill="1" applyBorder="1"/>
    <xf numFmtId="0" fontId="5" fillId="2" borderId="11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164" fontId="5" fillId="2" borderId="11" xfId="0" applyNumberFormat="1" applyFont="1" applyFill="1" applyBorder="1" applyAlignment="1">
      <alignment horizontal="left" vertical="center"/>
    </xf>
    <xf numFmtId="9" fontId="5" fillId="2" borderId="11" xfId="0" applyNumberFormat="1" applyFont="1" applyFill="1" applyBorder="1" applyAlignment="1">
      <alignment horizontal="center" vertical="center"/>
    </xf>
    <xf numFmtId="164" fontId="5" fillId="2" borderId="11" xfId="0" applyNumberFormat="1" applyFont="1" applyFill="1" applyBorder="1" applyAlignment="1">
      <alignment horizontal="center" vertical="center"/>
    </xf>
    <xf numFmtId="44" fontId="0" fillId="6" borderId="25" xfId="1" applyFont="1" applyFill="1" applyBorder="1"/>
    <xf numFmtId="44" fontId="0" fillId="6" borderId="31" xfId="1" applyFont="1" applyFill="1" applyBorder="1"/>
    <xf numFmtId="44" fontId="0" fillId="6" borderId="32" xfId="1" applyFont="1" applyFill="1" applyBorder="1"/>
    <xf numFmtId="44" fontId="0" fillId="6" borderId="33" xfId="1" applyFont="1" applyFill="1" applyBorder="1"/>
    <xf numFmtId="44" fontId="17" fillId="6" borderId="26" xfId="0" applyNumberFormat="1" applyFont="1" applyFill="1" applyBorder="1"/>
    <xf numFmtId="43" fontId="5" fillId="2" borderId="6" xfId="2" applyFont="1" applyFill="1" applyBorder="1" applyAlignment="1">
      <alignment horizontal="center" vertical="center"/>
    </xf>
    <xf numFmtId="43" fontId="5" fillId="2" borderId="8" xfId="2" applyFont="1" applyFill="1" applyBorder="1" applyAlignment="1">
      <alignment horizontal="center" vertical="center"/>
    </xf>
    <xf numFmtId="17" fontId="0" fillId="0" borderId="6" xfId="0" applyNumberFormat="1" applyBorder="1"/>
    <xf numFmtId="2" fontId="8" fillId="0" borderId="0" xfId="0" applyNumberFormat="1" applyFont="1" applyAlignment="1">
      <alignment vertical="center"/>
    </xf>
    <xf numFmtId="2" fontId="0" fillId="0" borderId="0" xfId="0" applyNumberFormat="1"/>
    <xf numFmtId="0" fontId="21" fillId="0" borderId="4" xfId="9" applyNumberFormat="1" applyFont="1" applyFill="1" applyBorder="1" applyAlignment="1"/>
    <xf numFmtId="0" fontId="22" fillId="10" borderId="36" xfId="9" applyNumberFormat="1" applyFont="1" applyFill="1" applyBorder="1" applyAlignment="1">
      <alignment horizontal="left" vertical="top" wrapText="1"/>
    </xf>
    <xf numFmtId="166" fontId="22" fillId="10" borderId="36" xfId="9" applyNumberFormat="1" applyFont="1" applyFill="1" applyBorder="1" applyAlignment="1">
      <alignment horizontal="right" vertical="top" wrapText="1"/>
    </xf>
    <xf numFmtId="168" fontId="22" fillId="10" borderId="36" xfId="9" applyNumberFormat="1" applyFont="1" applyFill="1" applyBorder="1" applyAlignment="1">
      <alignment horizontal="right" vertical="top" wrapText="1"/>
    </xf>
    <xf numFmtId="0" fontId="23" fillId="10" borderId="36" xfId="9" applyNumberFormat="1" applyFont="1" applyFill="1" applyBorder="1" applyAlignment="1">
      <alignment horizontal="left" vertical="top" wrapText="1"/>
    </xf>
    <xf numFmtId="167" fontId="23" fillId="10" borderId="36" xfId="9" applyNumberFormat="1" applyFont="1" applyFill="1" applyBorder="1" applyAlignment="1">
      <alignment horizontal="right" vertical="top" wrapText="1"/>
    </xf>
    <xf numFmtId="2" fontId="23" fillId="10" borderId="36" xfId="9" applyNumberFormat="1" applyFont="1" applyFill="1" applyBorder="1" applyAlignment="1">
      <alignment horizontal="right" vertical="top" wrapText="1"/>
    </xf>
    <xf numFmtId="169" fontId="23" fillId="10" borderId="36" xfId="9" applyNumberFormat="1" applyFont="1" applyFill="1" applyBorder="1" applyAlignment="1">
      <alignment horizontal="right" vertical="top" wrapText="1"/>
    </xf>
    <xf numFmtId="166" fontId="23" fillId="10" borderId="36" xfId="9" applyNumberFormat="1" applyFont="1" applyFill="1" applyBorder="1" applyAlignment="1">
      <alignment horizontal="right" vertical="top" wrapText="1"/>
    </xf>
    <xf numFmtId="168" fontId="23" fillId="10" borderId="36" xfId="9" applyNumberFormat="1" applyFont="1" applyFill="1" applyBorder="1" applyAlignment="1">
      <alignment horizontal="right" vertical="top" wrapText="1"/>
    </xf>
    <xf numFmtId="0" fontId="22" fillId="10" borderId="36" xfId="0" applyFont="1" applyFill="1" applyBorder="1" applyAlignment="1">
      <alignment horizontal="left" vertical="top" wrapText="1"/>
    </xf>
    <xf numFmtId="167" fontId="22" fillId="10" borderId="36" xfId="0" applyNumberFormat="1" applyFont="1" applyFill="1" applyBorder="1" applyAlignment="1">
      <alignment horizontal="right" vertical="top" wrapText="1"/>
    </xf>
    <xf numFmtId="168" fontId="22" fillId="10" borderId="36" xfId="0" applyNumberFormat="1" applyFont="1" applyFill="1" applyBorder="1" applyAlignment="1">
      <alignment horizontal="right" vertical="top" wrapText="1"/>
    </xf>
    <xf numFmtId="0" fontId="23" fillId="10" borderId="36" xfId="0" applyFont="1" applyFill="1" applyBorder="1" applyAlignment="1">
      <alignment horizontal="left" vertical="top" wrapText="1"/>
    </xf>
    <xf numFmtId="167" fontId="23" fillId="10" borderId="36" xfId="0" applyNumberFormat="1" applyFont="1" applyFill="1" applyBorder="1" applyAlignment="1">
      <alignment horizontal="right" vertical="top" wrapText="1"/>
    </xf>
    <xf numFmtId="168" fontId="23" fillId="10" borderId="36" xfId="0" applyNumberFormat="1" applyFont="1" applyFill="1" applyBorder="1" applyAlignment="1">
      <alignment horizontal="right" vertical="top" wrapText="1"/>
    </xf>
    <xf numFmtId="2" fontId="23" fillId="10" borderId="36" xfId="0" applyNumberFormat="1" applyFont="1" applyFill="1" applyBorder="1" applyAlignment="1">
      <alignment horizontal="right" vertical="top" wrapText="1"/>
    </xf>
    <xf numFmtId="0" fontId="26" fillId="9" borderId="36" xfId="0" applyFont="1" applyFill="1" applyBorder="1" applyAlignment="1">
      <alignment horizontal="right" vertical="top" wrapText="1"/>
    </xf>
    <xf numFmtId="166" fontId="26" fillId="9" borderId="36" xfId="0" applyNumberFormat="1" applyFont="1" applyFill="1" applyBorder="1" applyAlignment="1">
      <alignment horizontal="right" vertical="top" wrapText="1"/>
    </xf>
    <xf numFmtId="170" fontId="26" fillId="9" borderId="36" xfId="0" applyNumberFormat="1" applyFont="1" applyFill="1" applyBorder="1" applyAlignment="1">
      <alignment horizontal="right" vertical="top" wrapText="1"/>
    </xf>
    <xf numFmtId="0" fontId="26" fillId="9" borderId="36" xfId="0" applyFont="1" applyFill="1" applyBorder="1" applyAlignment="1">
      <alignment horizontal="left" vertical="top" wrapText="1"/>
    </xf>
    <xf numFmtId="0" fontId="27" fillId="0" borderId="4" xfId="9" applyNumberFormat="1" applyFont="1" applyFill="1" applyBorder="1" applyAlignment="1"/>
    <xf numFmtId="0" fontId="26" fillId="9" borderId="36" xfId="9" applyNumberFormat="1" applyFont="1" applyFill="1" applyBorder="1" applyAlignment="1">
      <alignment horizontal="left" vertical="top" wrapText="1"/>
    </xf>
    <xf numFmtId="0" fontId="26" fillId="9" borderId="36" xfId="9" applyNumberFormat="1" applyFont="1" applyFill="1" applyBorder="1" applyAlignment="1">
      <alignment horizontal="right" vertical="top" wrapText="1"/>
    </xf>
    <xf numFmtId="166" fontId="26" fillId="9" borderId="36" xfId="9" applyNumberFormat="1" applyFont="1" applyFill="1" applyBorder="1" applyAlignment="1">
      <alignment horizontal="right" vertical="top" wrapText="1"/>
    </xf>
    <xf numFmtId="170" fontId="26" fillId="9" borderId="36" xfId="9" applyNumberFormat="1" applyFont="1" applyFill="1" applyBorder="1" applyAlignment="1">
      <alignment horizontal="right" vertical="top" wrapText="1"/>
    </xf>
    <xf numFmtId="0" fontId="5" fillId="2" borderId="7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164" fontId="5" fillId="2" borderId="13" xfId="0" applyNumberFormat="1" applyFont="1" applyFill="1" applyBorder="1" applyAlignment="1">
      <alignment horizontal="center" vertical="center"/>
    </xf>
    <xf numFmtId="17" fontId="5" fillId="2" borderId="13" xfId="0" applyNumberFormat="1" applyFont="1" applyFill="1" applyBorder="1" applyAlignment="1">
      <alignment horizontal="center" vertical="center"/>
    </xf>
    <xf numFmtId="2" fontId="5" fillId="2" borderId="13" xfId="0" applyNumberFormat="1" applyFont="1" applyFill="1" applyBorder="1" applyAlignment="1">
      <alignment horizontal="center" vertical="center"/>
    </xf>
    <xf numFmtId="164" fontId="7" fillId="3" borderId="45" xfId="0" applyNumberFormat="1" applyFont="1" applyFill="1" applyBorder="1" applyAlignment="1">
      <alignment horizontal="center" vertical="center"/>
    </xf>
    <xf numFmtId="164" fontId="7" fillId="4" borderId="4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64" fontId="7" fillId="3" borderId="46" xfId="0" applyNumberFormat="1" applyFont="1" applyFill="1" applyBorder="1" applyAlignment="1">
      <alignment horizontal="center" vertical="center"/>
    </xf>
    <xf numFmtId="164" fontId="7" fillId="4" borderId="47" xfId="0" applyNumberFormat="1" applyFont="1" applyFill="1" applyBorder="1" applyAlignment="1">
      <alignment horizontal="center" vertical="center"/>
    </xf>
    <xf numFmtId="164" fontId="7" fillId="3" borderId="47" xfId="0" applyNumberFormat="1" applyFont="1" applyFill="1" applyBorder="1" applyAlignment="1">
      <alignment horizontal="center" vertical="center"/>
    </xf>
    <xf numFmtId="164" fontId="7" fillId="3" borderId="48" xfId="0" applyNumberFormat="1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left" vertical="center"/>
    </xf>
    <xf numFmtId="164" fontId="5" fillId="2" borderId="50" xfId="0" applyNumberFormat="1" applyFont="1" applyFill="1" applyBorder="1" applyAlignment="1">
      <alignment horizontal="left" vertical="center"/>
    </xf>
    <xf numFmtId="9" fontId="5" fillId="2" borderId="50" xfId="0" applyNumberFormat="1" applyFont="1" applyFill="1" applyBorder="1" applyAlignment="1">
      <alignment horizontal="center" vertical="center"/>
    </xf>
    <xf numFmtId="164" fontId="5" fillId="2" borderId="50" xfId="0" applyNumberFormat="1" applyFont="1" applyFill="1" applyBorder="1" applyAlignment="1">
      <alignment horizontal="center" vertical="center"/>
    </xf>
    <xf numFmtId="164" fontId="5" fillId="2" borderId="39" xfId="0" applyNumberFormat="1" applyFont="1" applyFill="1" applyBorder="1" applyAlignment="1">
      <alignment horizontal="center" vertical="center"/>
    </xf>
    <xf numFmtId="10" fontId="8" fillId="0" borderId="0" xfId="8" applyNumberFormat="1" applyFont="1" applyAlignment="1">
      <alignment horizontal="center" vertical="center"/>
    </xf>
    <xf numFmtId="17" fontId="0" fillId="0" borderId="42" xfId="0" applyNumberFormat="1" applyBorder="1"/>
    <xf numFmtId="0" fontId="0" fillId="0" borderId="51" xfId="0" applyBorder="1"/>
    <xf numFmtId="166" fontId="22" fillId="10" borderId="52" xfId="9" applyNumberFormat="1" applyFont="1" applyFill="1" applyBorder="1" applyAlignment="1">
      <alignment horizontal="right" vertical="top" wrapText="1"/>
    </xf>
    <xf numFmtId="168" fontId="22" fillId="10" borderId="53" xfId="9" applyNumberFormat="1" applyFont="1" applyFill="1" applyBorder="1" applyAlignment="1">
      <alignment horizontal="right" vertical="top" wrapText="1"/>
    </xf>
    <xf numFmtId="167" fontId="23" fillId="10" borderId="52" xfId="9" applyNumberFormat="1" applyFont="1" applyFill="1" applyBorder="1" applyAlignment="1">
      <alignment horizontal="right" vertical="top" wrapText="1"/>
    </xf>
    <xf numFmtId="2" fontId="23" fillId="10" borderId="53" xfId="9" applyNumberFormat="1" applyFont="1" applyFill="1" applyBorder="1" applyAlignment="1">
      <alignment horizontal="right" vertical="top" wrapText="1"/>
    </xf>
    <xf numFmtId="169" fontId="23" fillId="10" borderId="52" xfId="9" applyNumberFormat="1" applyFont="1" applyFill="1" applyBorder="1" applyAlignment="1">
      <alignment horizontal="right" vertical="top" wrapText="1"/>
    </xf>
    <xf numFmtId="4" fontId="23" fillId="10" borderId="52" xfId="9" applyNumberFormat="1" applyFont="1" applyFill="1" applyBorder="1" applyAlignment="1">
      <alignment horizontal="right" vertical="top" wrapText="1"/>
    </xf>
    <xf numFmtId="169" fontId="22" fillId="10" borderId="52" xfId="9" applyNumberFormat="1" applyFont="1" applyFill="1" applyBorder="1" applyAlignment="1">
      <alignment horizontal="right" vertical="top" wrapText="1"/>
    </xf>
    <xf numFmtId="2" fontId="22" fillId="10" borderId="53" xfId="9" applyNumberFormat="1" applyFont="1" applyFill="1" applyBorder="1" applyAlignment="1">
      <alignment horizontal="right" vertical="top" wrapText="1"/>
    </xf>
    <xf numFmtId="0" fontId="28" fillId="0" borderId="0" xfId="0" applyFont="1"/>
    <xf numFmtId="164" fontId="15" fillId="3" borderId="2" xfId="0" applyNumberFormat="1" applyFont="1" applyFill="1" applyBorder="1" applyAlignment="1">
      <alignment horizontal="center" vertical="center"/>
    </xf>
    <xf numFmtId="164" fontId="15" fillId="3" borderId="19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164" fontId="15" fillId="4" borderId="2" xfId="0" applyNumberFormat="1" applyFont="1" applyFill="1" applyBorder="1" applyAlignment="1">
      <alignment horizontal="center" vertical="center"/>
    </xf>
    <xf numFmtId="43" fontId="15" fillId="4" borderId="19" xfId="2" applyFont="1" applyFill="1" applyBorder="1" applyAlignment="1">
      <alignment horizontal="center" vertical="center"/>
    </xf>
    <xf numFmtId="2" fontId="29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 wrapText="1"/>
    </xf>
    <xf numFmtId="171" fontId="8" fillId="0" borderId="0" xfId="8" applyNumberFormat="1" applyFont="1" applyAlignment="1">
      <alignment horizontal="center" vertical="center"/>
    </xf>
    <xf numFmtId="1" fontId="8" fillId="0" borderId="0" xfId="0" applyNumberFormat="1" applyFont="1" applyAlignment="1">
      <alignment vertical="center"/>
    </xf>
    <xf numFmtId="0" fontId="26" fillId="9" borderId="36" xfId="0" applyFont="1" applyFill="1" applyBorder="1" applyAlignment="1">
      <alignment horizontal="right" vertical="top" wrapText="1"/>
    </xf>
    <xf numFmtId="0" fontId="26" fillId="9" borderId="36" xfId="9" applyNumberFormat="1" applyFont="1" applyFill="1" applyBorder="1" applyAlignment="1">
      <alignment horizontal="right" vertical="top" wrapText="1"/>
    </xf>
    <xf numFmtId="0" fontId="24" fillId="10" borderId="4" xfId="9" applyNumberFormat="1" applyFont="1" applyFill="1" applyBorder="1" applyAlignment="1">
      <alignment horizontal="left" vertical="top" wrapText="1"/>
    </xf>
    <xf numFmtId="0" fontId="24" fillId="10" borderId="4" xfId="9" applyNumberFormat="1" applyFont="1" applyFill="1" applyBorder="1" applyAlignment="1">
      <alignment horizontal="right" vertical="top" wrapText="1"/>
    </xf>
    <xf numFmtId="0" fontId="25" fillId="10" borderId="37" xfId="9" applyNumberFormat="1" applyFont="1" applyFill="1" applyBorder="1" applyAlignment="1">
      <alignment horizontal="left" vertical="top" wrapText="1"/>
    </xf>
    <xf numFmtId="0" fontId="25" fillId="10" borderId="37" xfId="9" applyNumberFormat="1" applyFont="1" applyFill="1" applyBorder="1" applyAlignment="1">
      <alignment horizontal="right" vertical="top" wrapText="1"/>
    </xf>
    <xf numFmtId="43" fontId="6" fillId="2" borderId="38" xfId="2" applyFont="1" applyFill="1" applyBorder="1" applyAlignment="1">
      <alignment horizontal="center" vertical="center"/>
    </xf>
    <xf numFmtId="43" fontId="6" fillId="2" borderId="39" xfId="2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43" fontId="5" fillId="2" borderId="11" xfId="2" applyFont="1" applyFill="1" applyBorder="1" applyAlignment="1">
      <alignment horizontal="center" vertical="center"/>
    </xf>
  </cellXfs>
  <cellStyles count="10">
    <cellStyle name="Moeda" xfId="1" builtinId="4"/>
    <cellStyle name="Normal" xfId="0" builtinId="0"/>
    <cellStyle name="Normal 2" xfId="3" xr:uid="{89934119-66BE-4554-8D7F-F4FDAB4F0E33}"/>
    <cellStyle name="Normal 2 2" xfId="6" xr:uid="{EB197A13-9FED-4877-A4E3-048D58D22801}"/>
    <cellStyle name="Normal 3" xfId="5" xr:uid="{0FC85E54-A6EF-4239-A1A3-0FA1C71DFB15}"/>
    <cellStyle name="Normal 4" xfId="9" xr:uid="{28B4C12E-129A-4694-AD7D-0BBEEAE34058}"/>
    <cellStyle name="Porcentagem" xfId="8" builtinId="5"/>
    <cellStyle name="Porcentagem 2" xfId="4" xr:uid="{910739D4-B953-4402-8BEC-DCBA788BEB45}"/>
    <cellStyle name="Porcentagem 2 2" xfId="7" xr:uid="{D40EBD32-8BF0-4FFA-8654-F17219436412}"/>
    <cellStyle name="Vírgula" xfId="2" builtinId="3"/>
  </cellStyles>
  <dxfs count="0"/>
  <tableStyles count="1" defaultTableStyle="TableStyleMedium2" defaultPivotStyle="PivotStyleLight16">
    <tableStyle name="Estilo de Tabela 1" pivot="0" count="0" xr9:uid="{F473FC82-7B3E-476E-95A0-25A52ED2C825}"/>
  </tableStyles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ORÇAMENTO_EXECUTIVO_TOTAL!$C$1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7E-43E5-BE95-8D99C8AFE1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7E-43E5-BE95-8D99C8AFE1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7E-43E5-BE95-8D99C8AFE1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B7E-43E5-BE95-8D99C8AFE1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B7E-43E5-BE95-8D99C8AFE1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B7E-43E5-BE95-8D99C8AFE1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B7E-43E5-BE95-8D99C8AFE1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B7E-43E5-BE95-8D99C8AFE19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B7E-43E5-BE95-8D99C8AFE1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B7E-43E5-BE95-8D99C8AFE1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B7E-43E5-BE95-8D99C8AFE19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B7E-43E5-BE95-8D99C8AFE19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B7E-43E5-BE95-8D99C8AFE1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ORÇAMENTO_EXECUTIVO_TOTAL!$A$2:$A$14</c:f>
              <c:strCache>
                <c:ptCount val="13"/>
                <c:pt idx="0">
                  <c:v>GERENCIAMENTO TÉCNICO E ADMINISTRATIVO</c:v>
                </c:pt>
                <c:pt idx="1">
                  <c:v>SERVIÇOS PRELIMINARES</c:v>
                </c:pt>
                <c:pt idx="2">
                  <c:v>TERRAPLENAGEM</c:v>
                </c:pt>
                <c:pt idx="3">
                  <c:v>DRENAGEM</c:v>
                </c:pt>
                <c:pt idx="4">
                  <c:v>REDE DE ÁGUA POTÁVEL</c:v>
                </c:pt>
                <c:pt idx="5">
                  <c:v>REDE DE ESGOTO SANITÁRIO</c:v>
                </c:pt>
                <c:pt idx="6">
                  <c:v>REDE ELÉTRICA - subterranea</c:v>
                </c:pt>
                <c:pt idx="7">
                  <c:v>PAVIMENTAÇÃO</c:v>
                </c:pt>
                <c:pt idx="8">
                  <c:v>MUROS E CERCAMENTOS</c:v>
                </c:pt>
                <c:pt idx="9">
                  <c:v>SINALIZAÇÃO</c:v>
                </c:pt>
                <c:pt idx="10">
                  <c:v>PAISAGISMO</c:v>
                </c:pt>
                <c:pt idx="11">
                  <c:v>RECREAÇÃO COBERTA E PORTARIA</c:v>
                </c:pt>
                <c:pt idx="12">
                  <c:v>SERVIÇOS COMPLEMENTARES E FINAIS</c:v>
                </c:pt>
              </c:strCache>
            </c:strRef>
          </c:cat>
          <c:val>
            <c:numRef>
              <c:f>ORÇAMENTO_EXECUTIVO_TOTAL!$C$2:$C$14</c:f>
              <c:numCache>
                <c:formatCode>0.00%</c:formatCode>
                <c:ptCount val="13"/>
                <c:pt idx="0">
                  <c:v>0.14707640478823733</c:v>
                </c:pt>
                <c:pt idx="1">
                  <c:v>2.2393506652942423E-2</c:v>
                </c:pt>
                <c:pt idx="2">
                  <c:v>0.12961540016411249</c:v>
                </c:pt>
                <c:pt idx="3">
                  <c:v>4.9304954212294541E-2</c:v>
                </c:pt>
                <c:pt idx="4">
                  <c:v>1.1481380378378888E-2</c:v>
                </c:pt>
                <c:pt idx="5">
                  <c:v>2.9105969977731839E-2</c:v>
                </c:pt>
                <c:pt idx="6">
                  <c:v>4.8640318134695514E-2</c:v>
                </c:pt>
                <c:pt idx="7">
                  <c:v>0.2628111382952702</c:v>
                </c:pt>
                <c:pt idx="8">
                  <c:v>0.10755213496610429</c:v>
                </c:pt>
                <c:pt idx="9">
                  <c:v>8.7802180701018469E-4</c:v>
                </c:pt>
                <c:pt idx="10">
                  <c:v>2.8872414547004101E-2</c:v>
                </c:pt>
                <c:pt idx="11">
                  <c:v>0.14579010808045573</c:v>
                </c:pt>
                <c:pt idx="12">
                  <c:v>1.6478247995762269E-2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2-46C3-846E-78E511BBDBC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ORÇAMENTO_EXECUTIVO_TOTAL!$B$1</c15:sqref>
                        </c15:formulaRef>
                      </c:ext>
                    </c:extLst>
                    <c:strCache>
                      <c:ptCount val="1"/>
                      <c:pt idx="0">
                        <c:v>VALOR ORÇADO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4B7E-43E5-BE95-8D99C8AFE19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4B7E-43E5-BE95-8D99C8AFE19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4B7E-43E5-BE95-8D99C8AFE19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1-4B7E-43E5-BE95-8D99C8AFE19E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3-4B7E-43E5-BE95-8D99C8AFE19E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5-4B7E-43E5-BE95-8D99C8AFE19E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7-4B7E-43E5-BE95-8D99C8AFE19E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9-4B7E-43E5-BE95-8D99C8AFE19E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B-4B7E-43E5-BE95-8D99C8AFE19E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D-4B7E-43E5-BE95-8D99C8AFE19E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4B7E-43E5-BE95-8D99C8AFE19E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4B7E-43E5-BE95-8D99C8AFE19E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4B7E-43E5-BE95-8D99C8AFE19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ORÇAMENTO_EXECUTIVO_TOTAL!$A$2:$A$14</c15:sqref>
                        </c15:formulaRef>
                      </c:ext>
                    </c:extLst>
                    <c:strCache>
                      <c:ptCount val="13"/>
                      <c:pt idx="0">
                        <c:v>GERENCIAMENTO TÉCNICO E ADMINISTRATIVO</c:v>
                      </c:pt>
                      <c:pt idx="1">
                        <c:v>SERVIÇOS PRELIMINARES</c:v>
                      </c:pt>
                      <c:pt idx="2">
                        <c:v>TERRAPLENAGEM</c:v>
                      </c:pt>
                      <c:pt idx="3">
                        <c:v>DRENAGEM</c:v>
                      </c:pt>
                      <c:pt idx="4">
                        <c:v>REDE DE ÁGUA POTÁVEL</c:v>
                      </c:pt>
                      <c:pt idx="5">
                        <c:v>REDE DE ESGOTO SANITÁRIO</c:v>
                      </c:pt>
                      <c:pt idx="6">
                        <c:v>REDE ELÉTRICA - subterranea</c:v>
                      </c:pt>
                      <c:pt idx="7">
                        <c:v>PAVIMENTAÇÃO</c:v>
                      </c:pt>
                      <c:pt idx="8">
                        <c:v>MUROS E CERCAMENTOS</c:v>
                      </c:pt>
                      <c:pt idx="9">
                        <c:v>SINALIZAÇÃO</c:v>
                      </c:pt>
                      <c:pt idx="10">
                        <c:v>PAISAGISMO</c:v>
                      </c:pt>
                      <c:pt idx="11">
                        <c:v>RECREAÇÃO COBERTA E PORTARIA</c:v>
                      </c:pt>
                      <c:pt idx="12">
                        <c:v>SERVIÇOS COMPLEMENTARES E FINAIS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ORÇAMENTO_EXECUTIVO_TOTAL!$B$2:$B$14</c15:sqref>
                        </c15:formulaRef>
                      </c:ext>
                    </c:extLst>
                    <c:numCache>
                      <c:formatCode>_-* #,##0.00_-;\-* #,##0.00_-;_-* "-"??_-;_-@</c:formatCode>
                      <c:ptCount val="13"/>
                      <c:pt idx="0">
                        <c:v>1263184.08</c:v>
                      </c:pt>
                      <c:pt idx="1">
                        <c:v>192329.43</c:v>
                      </c:pt>
                      <c:pt idx="2">
                        <c:v>1113218.06</c:v>
                      </c:pt>
                      <c:pt idx="3">
                        <c:v>423461.76</c:v>
                      </c:pt>
                      <c:pt idx="4">
                        <c:v>98609.27</c:v>
                      </c:pt>
                      <c:pt idx="5">
                        <c:v>249980.26</c:v>
                      </c:pt>
                      <c:pt idx="6">
                        <c:v>417753.45</c:v>
                      </c:pt>
                      <c:pt idx="7">
                        <c:v>2257186.2999999998</c:v>
                      </c:pt>
                      <c:pt idx="8">
                        <c:v>923724.95</c:v>
                      </c:pt>
                      <c:pt idx="9">
                        <c:v>7541</c:v>
                      </c:pt>
                      <c:pt idx="10">
                        <c:v>247974.34</c:v>
                      </c:pt>
                      <c:pt idx="11">
                        <c:v>1252136.56</c:v>
                      </c:pt>
                      <c:pt idx="12">
                        <c:v>141525.49190000002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422-46C3-846E-78E511BBDBC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503254</xdr:colOff>
      <xdr:row>16</xdr:row>
      <xdr:rowOff>110823</xdr:rowOff>
    </xdr:from>
    <xdr:to>
      <xdr:col>3</xdr:col>
      <xdr:colOff>927759</xdr:colOff>
      <xdr:row>38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A0B2A0D-41CE-B3BF-8CC4-3F3B899EA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8614-8712-493A-8415-0608616F3FBE}">
  <dimension ref="A1:D46"/>
  <sheetViews>
    <sheetView topLeftCell="A17" zoomScaleNormal="100" workbookViewId="0">
      <selection activeCell="C12" sqref="C12:D44"/>
    </sheetView>
  </sheetViews>
  <sheetFormatPr defaultRowHeight="12.75" x14ac:dyDescent="0.2"/>
  <cols>
    <col min="1" max="1" width="10.28515625" style="71" bestFit="1" customWidth="1"/>
    <col min="2" max="2" width="46.140625" style="71" customWidth="1"/>
    <col min="3" max="3" width="10.7109375" style="71" customWidth="1"/>
    <col min="4" max="4" width="9.28515625" style="71" bestFit="1" customWidth="1"/>
    <col min="5" max="256" width="9.140625" style="71"/>
    <col min="257" max="257" width="10.28515625" style="71" bestFit="1" customWidth="1"/>
    <col min="258" max="258" width="46.140625" style="71" customWidth="1"/>
    <col min="259" max="259" width="10.7109375" style="71" customWidth="1"/>
    <col min="260" max="260" width="9.28515625" style="71" bestFit="1" customWidth="1"/>
    <col min="261" max="512" width="9.140625" style="71"/>
    <col min="513" max="513" width="10.28515625" style="71" bestFit="1" customWidth="1"/>
    <col min="514" max="514" width="46.140625" style="71" customWidth="1"/>
    <col min="515" max="515" width="10.7109375" style="71" customWidth="1"/>
    <col min="516" max="516" width="9.28515625" style="71" bestFit="1" customWidth="1"/>
    <col min="517" max="768" width="9.140625" style="71"/>
    <col min="769" max="769" width="10.28515625" style="71" bestFit="1" customWidth="1"/>
    <col min="770" max="770" width="46.140625" style="71" customWidth="1"/>
    <col min="771" max="771" width="10.7109375" style="71" customWidth="1"/>
    <col min="772" max="772" width="9.28515625" style="71" bestFit="1" customWidth="1"/>
    <col min="773" max="1024" width="9.140625" style="71"/>
    <col min="1025" max="1025" width="10.28515625" style="71" bestFit="1" customWidth="1"/>
    <col min="1026" max="1026" width="46.140625" style="71" customWidth="1"/>
    <col min="1027" max="1027" width="10.7109375" style="71" customWidth="1"/>
    <col min="1028" max="1028" width="9.28515625" style="71" bestFit="1" customWidth="1"/>
    <col min="1029" max="1280" width="9.140625" style="71"/>
    <col min="1281" max="1281" width="10.28515625" style="71" bestFit="1" customWidth="1"/>
    <col min="1282" max="1282" width="46.140625" style="71" customWidth="1"/>
    <col min="1283" max="1283" width="10.7109375" style="71" customWidth="1"/>
    <col min="1284" max="1284" width="9.28515625" style="71" bestFit="1" customWidth="1"/>
    <col min="1285" max="1536" width="9.140625" style="71"/>
    <col min="1537" max="1537" width="10.28515625" style="71" bestFit="1" customWidth="1"/>
    <col min="1538" max="1538" width="46.140625" style="71" customWidth="1"/>
    <col min="1539" max="1539" width="10.7109375" style="71" customWidth="1"/>
    <col min="1540" max="1540" width="9.28515625" style="71" bestFit="1" customWidth="1"/>
    <col min="1541" max="1792" width="9.140625" style="71"/>
    <col min="1793" max="1793" width="10.28515625" style="71" bestFit="1" customWidth="1"/>
    <col min="1794" max="1794" width="46.140625" style="71" customWidth="1"/>
    <col min="1795" max="1795" width="10.7109375" style="71" customWidth="1"/>
    <col min="1796" max="1796" width="9.28515625" style="71" bestFit="1" customWidth="1"/>
    <col min="1797" max="2048" width="9.140625" style="71"/>
    <col min="2049" max="2049" width="10.28515625" style="71" bestFit="1" customWidth="1"/>
    <col min="2050" max="2050" width="46.140625" style="71" customWidth="1"/>
    <col min="2051" max="2051" width="10.7109375" style="71" customWidth="1"/>
    <col min="2052" max="2052" width="9.28515625" style="71" bestFit="1" customWidth="1"/>
    <col min="2053" max="2304" width="9.140625" style="71"/>
    <col min="2305" max="2305" width="10.28515625" style="71" bestFit="1" customWidth="1"/>
    <col min="2306" max="2306" width="46.140625" style="71" customWidth="1"/>
    <col min="2307" max="2307" width="10.7109375" style="71" customWidth="1"/>
    <col min="2308" max="2308" width="9.28515625" style="71" bestFit="1" customWidth="1"/>
    <col min="2309" max="2560" width="9.140625" style="71"/>
    <col min="2561" max="2561" width="10.28515625" style="71" bestFit="1" customWidth="1"/>
    <col min="2562" max="2562" width="46.140625" style="71" customWidth="1"/>
    <col min="2563" max="2563" width="10.7109375" style="71" customWidth="1"/>
    <col min="2564" max="2564" width="9.28515625" style="71" bestFit="1" customWidth="1"/>
    <col min="2565" max="2816" width="9.140625" style="71"/>
    <col min="2817" max="2817" width="10.28515625" style="71" bestFit="1" customWidth="1"/>
    <col min="2818" max="2818" width="46.140625" style="71" customWidth="1"/>
    <col min="2819" max="2819" width="10.7109375" style="71" customWidth="1"/>
    <col min="2820" max="2820" width="9.28515625" style="71" bestFit="1" customWidth="1"/>
    <col min="2821" max="3072" width="9.140625" style="71"/>
    <col min="3073" max="3073" width="10.28515625" style="71" bestFit="1" customWidth="1"/>
    <col min="3074" max="3074" width="46.140625" style="71" customWidth="1"/>
    <col min="3075" max="3075" width="10.7109375" style="71" customWidth="1"/>
    <col min="3076" max="3076" width="9.28515625" style="71" bestFit="1" customWidth="1"/>
    <col min="3077" max="3328" width="9.140625" style="71"/>
    <col min="3329" max="3329" width="10.28515625" style="71" bestFit="1" customWidth="1"/>
    <col min="3330" max="3330" width="46.140625" style="71" customWidth="1"/>
    <col min="3331" max="3331" width="10.7109375" style="71" customWidth="1"/>
    <col min="3332" max="3332" width="9.28515625" style="71" bestFit="1" customWidth="1"/>
    <col min="3333" max="3584" width="9.140625" style="71"/>
    <col min="3585" max="3585" width="10.28515625" style="71" bestFit="1" customWidth="1"/>
    <col min="3586" max="3586" width="46.140625" style="71" customWidth="1"/>
    <col min="3587" max="3587" width="10.7109375" style="71" customWidth="1"/>
    <col min="3588" max="3588" width="9.28515625" style="71" bestFit="1" customWidth="1"/>
    <col min="3589" max="3840" width="9.140625" style="71"/>
    <col min="3841" max="3841" width="10.28515625" style="71" bestFit="1" customWidth="1"/>
    <col min="3842" max="3842" width="46.140625" style="71" customWidth="1"/>
    <col min="3843" max="3843" width="10.7109375" style="71" customWidth="1"/>
    <col min="3844" max="3844" width="9.28515625" style="71" bestFit="1" customWidth="1"/>
    <col min="3845" max="4096" width="9.140625" style="71"/>
    <col min="4097" max="4097" width="10.28515625" style="71" bestFit="1" customWidth="1"/>
    <col min="4098" max="4098" width="46.140625" style="71" customWidth="1"/>
    <col min="4099" max="4099" width="10.7109375" style="71" customWidth="1"/>
    <col min="4100" max="4100" width="9.28515625" style="71" bestFit="1" customWidth="1"/>
    <col min="4101" max="4352" width="9.140625" style="71"/>
    <col min="4353" max="4353" width="10.28515625" style="71" bestFit="1" customWidth="1"/>
    <col min="4354" max="4354" width="46.140625" style="71" customWidth="1"/>
    <col min="4355" max="4355" width="10.7109375" style="71" customWidth="1"/>
    <col min="4356" max="4356" width="9.28515625" style="71" bestFit="1" customWidth="1"/>
    <col min="4357" max="4608" width="9.140625" style="71"/>
    <col min="4609" max="4609" width="10.28515625" style="71" bestFit="1" customWidth="1"/>
    <col min="4610" max="4610" width="46.140625" style="71" customWidth="1"/>
    <col min="4611" max="4611" width="10.7109375" style="71" customWidth="1"/>
    <col min="4612" max="4612" width="9.28515625" style="71" bestFit="1" customWidth="1"/>
    <col min="4613" max="4864" width="9.140625" style="71"/>
    <col min="4865" max="4865" width="10.28515625" style="71" bestFit="1" customWidth="1"/>
    <col min="4866" max="4866" width="46.140625" style="71" customWidth="1"/>
    <col min="4867" max="4867" width="10.7109375" style="71" customWidth="1"/>
    <col min="4868" max="4868" width="9.28515625" style="71" bestFit="1" customWidth="1"/>
    <col min="4869" max="5120" width="9.140625" style="71"/>
    <col min="5121" max="5121" width="10.28515625" style="71" bestFit="1" customWidth="1"/>
    <col min="5122" max="5122" width="46.140625" style="71" customWidth="1"/>
    <col min="5123" max="5123" width="10.7109375" style="71" customWidth="1"/>
    <col min="5124" max="5124" width="9.28515625" style="71" bestFit="1" customWidth="1"/>
    <col min="5125" max="5376" width="9.140625" style="71"/>
    <col min="5377" max="5377" width="10.28515625" style="71" bestFit="1" customWidth="1"/>
    <col min="5378" max="5378" width="46.140625" style="71" customWidth="1"/>
    <col min="5379" max="5379" width="10.7109375" style="71" customWidth="1"/>
    <col min="5380" max="5380" width="9.28515625" style="71" bestFit="1" customWidth="1"/>
    <col min="5381" max="5632" width="9.140625" style="71"/>
    <col min="5633" max="5633" width="10.28515625" style="71" bestFit="1" customWidth="1"/>
    <col min="5634" max="5634" width="46.140625" style="71" customWidth="1"/>
    <col min="5635" max="5635" width="10.7109375" style="71" customWidth="1"/>
    <col min="5636" max="5636" width="9.28515625" style="71" bestFit="1" customWidth="1"/>
    <col min="5637" max="5888" width="9.140625" style="71"/>
    <col min="5889" max="5889" width="10.28515625" style="71" bestFit="1" customWidth="1"/>
    <col min="5890" max="5890" width="46.140625" style="71" customWidth="1"/>
    <col min="5891" max="5891" width="10.7109375" style="71" customWidth="1"/>
    <col min="5892" max="5892" width="9.28515625" style="71" bestFit="1" customWidth="1"/>
    <col min="5893" max="6144" width="9.140625" style="71"/>
    <col min="6145" max="6145" width="10.28515625" style="71" bestFit="1" customWidth="1"/>
    <col min="6146" max="6146" width="46.140625" style="71" customWidth="1"/>
    <col min="6147" max="6147" width="10.7109375" style="71" customWidth="1"/>
    <col min="6148" max="6148" width="9.28515625" style="71" bestFit="1" customWidth="1"/>
    <col min="6149" max="6400" width="9.140625" style="71"/>
    <col min="6401" max="6401" width="10.28515625" style="71" bestFit="1" customWidth="1"/>
    <col min="6402" max="6402" width="46.140625" style="71" customWidth="1"/>
    <col min="6403" max="6403" width="10.7109375" style="71" customWidth="1"/>
    <col min="6404" max="6404" width="9.28515625" style="71" bestFit="1" customWidth="1"/>
    <col min="6405" max="6656" width="9.140625" style="71"/>
    <col min="6657" max="6657" width="10.28515625" style="71" bestFit="1" customWidth="1"/>
    <col min="6658" max="6658" width="46.140625" style="71" customWidth="1"/>
    <col min="6659" max="6659" width="10.7109375" style="71" customWidth="1"/>
    <col min="6660" max="6660" width="9.28515625" style="71" bestFit="1" customWidth="1"/>
    <col min="6661" max="6912" width="9.140625" style="71"/>
    <col min="6913" max="6913" width="10.28515625" style="71" bestFit="1" customWidth="1"/>
    <col min="6914" max="6914" width="46.140625" style="71" customWidth="1"/>
    <col min="6915" max="6915" width="10.7109375" style="71" customWidth="1"/>
    <col min="6916" max="6916" width="9.28515625" style="71" bestFit="1" customWidth="1"/>
    <col min="6917" max="7168" width="9.140625" style="71"/>
    <col min="7169" max="7169" width="10.28515625" style="71" bestFit="1" customWidth="1"/>
    <col min="7170" max="7170" width="46.140625" style="71" customWidth="1"/>
    <col min="7171" max="7171" width="10.7109375" style="71" customWidth="1"/>
    <col min="7172" max="7172" width="9.28515625" style="71" bestFit="1" customWidth="1"/>
    <col min="7173" max="7424" width="9.140625" style="71"/>
    <col min="7425" max="7425" width="10.28515625" style="71" bestFit="1" customWidth="1"/>
    <col min="7426" max="7426" width="46.140625" style="71" customWidth="1"/>
    <col min="7427" max="7427" width="10.7109375" style="71" customWidth="1"/>
    <col min="7428" max="7428" width="9.28515625" style="71" bestFit="1" customWidth="1"/>
    <col min="7429" max="7680" width="9.140625" style="71"/>
    <col min="7681" max="7681" width="10.28515625" style="71" bestFit="1" customWidth="1"/>
    <col min="7682" max="7682" width="46.140625" style="71" customWidth="1"/>
    <col min="7683" max="7683" width="10.7109375" style="71" customWidth="1"/>
    <col min="7684" max="7684" width="9.28515625" style="71" bestFit="1" customWidth="1"/>
    <col min="7685" max="7936" width="9.140625" style="71"/>
    <col min="7937" max="7937" width="10.28515625" style="71" bestFit="1" customWidth="1"/>
    <col min="7938" max="7938" width="46.140625" style="71" customWidth="1"/>
    <col min="7939" max="7939" width="10.7109375" style="71" customWidth="1"/>
    <col min="7940" max="7940" width="9.28515625" style="71" bestFit="1" customWidth="1"/>
    <col min="7941" max="8192" width="9.140625" style="71"/>
    <col min="8193" max="8193" width="10.28515625" style="71" bestFit="1" customWidth="1"/>
    <col min="8194" max="8194" width="46.140625" style="71" customWidth="1"/>
    <col min="8195" max="8195" width="10.7109375" style="71" customWidth="1"/>
    <col min="8196" max="8196" width="9.28515625" style="71" bestFit="1" customWidth="1"/>
    <col min="8197" max="8448" width="9.140625" style="71"/>
    <col min="8449" max="8449" width="10.28515625" style="71" bestFit="1" customWidth="1"/>
    <col min="8450" max="8450" width="46.140625" style="71" customWidth="1"/>
    <col min="8451" max="8451" width="10.7109375" style="71" customWidth="1"/>
    <col min="8452" max="8452" width="9.28515625" style="71" bestFit="1" customWidth="1"/>
    <col min="8453" max="8704" width="9.140625" style="71"/>
    <col min="8705" max="8705" width="10.28515625" style="71" bestFit="1" customWidth="1"/>
    <col min="8706" max="8706" width="46.140625" style="71" customWidth="1"/>
    <col min="8707" max="8707" width="10.7109375" style="71" customWidth="1"/>
    <col min="8708" max="8708" width="9.28515625" style="71" bestFit="1" customWidth="1"/>
    <col min="8709" max="8960" width="9.140625" style="71"/>
    <col min="8961" max="8961" width="10.28515625" style="71" bestFit="1" customWidth="1"/>
    <col min="8962" max="8962" width="46.140625" style="71" customWidth="1"/>
    <col min="8963" max="8963" width="10.7109375" style="71" customWidth="1"/>
    <col min="8964" max="8964" width="9.28515625" style="71" bestFit="1" customWidth="1"/>
    <col min="8965" max="9216" width="9.140625" style="71"/>
    <col min="9217" max="9217" width="10.28515625" style="71" bestFit="1" customWidth="1"/>
    <col min="9218" max="9218" width="46.140625" style="71" customWidth="1"/>
    <col min="9219" max="9219" width="10.7109375" style="71" customWidth="1"/>
    <col min="9220" max="9220" width="9.28515625" style="71" bestFit="1" customWidth="1"/>
    <col min="9221" max="9472" width="9.140625" style="71"/>
    <col min="9473" max="9473" width="10.28515625" style="71" bestFit="1" customWidth="1"/>
    <col min="9474" max="9474" width="46.140625" style="71" customWidth="1"/>
    <col min="9475" max="9475" width="10.7109375" style="71" customWidth="1"/>
    <col min="9476" max="9476" width="9.28515625" style="71" bestFit="1" customWidth="1"/>
    <col min="9477" max="9728" width="9.140625" style="71"/>
    <col min="9729" max="9729" width="10.28515625" style="71" bestFit="1" customWidth="1"/>
    <col min="9730" max="9730" width="46.140625" style="71" customWidth="1"/>
    <col min="9731" max="9731" width="10.7109375" style="71" customWidth="1"/>
    <col min="9732" max="9732" width="9.28515625" style="71" bestFit="1" customWidth="1"/>
    <col min="9733" max="9984" width="9.140625" style="71"/>
    <col min="9985" max="9985" width="10.28515625" style="71" bestFit="1" customWidth="1"/>
    <col min="9986" max="9986" width="46.140625" style="71" customWidth="1"/>
    <col min="9987" max="9987" width="10.7109375" style="71" customWidth="1"/>
    <col min="9988" max="9988" width="9.28515625" style="71" bestFit="1" customWidth="1"/>
    <col min="9989" max="10240" width="9.140625" style="71"/>
    <col min="10241" max="10241" width="10.28515625" style="71" bestFit="1" customWidth="1"/>
    <col min="10242" max="10242" width="46.140625" style="71" customWidth="1"/>
    <col min="10243" max="10243" width="10.7109375" style="71" customWidth="1"/>
    <col min="10244" max="10244" width="9.28515625" style="71" bestFit="1" customWidth="1"/>
    <col min="10245" max="10496" width="9.140625" style="71"/>
    <col min="10497" max="10497" width="10.28515625" style="71" bestFit="1" customWidth="1"/>
    <col min="10498" max="10498" width="46.140625" style="71" customWidth="1"/>
    <col min="10499" max="10499" width="10.7109375" style="71" customWidth="1"/>
    <col min="10500" max="10500" width="9.28515625" style="71" bestFit="1" customWidth="1"/>
    <col min="10501" max="10752" width="9.140625" style="71"/>
    <col min="10753" max="10753" width="10.28515625" style="71" bestFit="1" customWidth="1"/>
    <col min="10754" max="10754" width="46.140625" style="71" customWidth="1"/>
    <col min="10755" max="10755" width="10.7109375" style="71" customWidth="1"/>
    <col min="10756" max="10756" width="9.28515625" style="71" bestFit="1" customWidth="1"/>
    <col min="10757" max="11008" width="9.140625" style="71"/>
    <col min="11009" max="11009" width="10.28515625" style="71" bestFit="1" customWidth="1"/>
    <col min="11010" max="11010" width="46.140625" style="71" customWidth="1"/>
    <col min="11011" max="11011" width="10.7109375" style="71" customWidth="1"/>
    <col min="11012" max="11012" width="9.28515625" style="71" bestFit="1" customWidth="1"/>
    <col min="11013" max="11264" width="9.140625" style="71"/>
    <col min="11265" max="11265" width="10.28515625" style="71" bestFit="1" customWidth="1"/>
    <col min="11266" max="11266" width="46.140625" style="71" customWidth="1"/>
    <col min="11267" max="11267" width="10.7109375" style="71" customWidth="1"/>
    <col min="11268" max="11268" width="9.28515625" style="71" bestFit="1" customWidth="1"/>
    <col min="11269" max="11520" width="9.140625" style="71"/>
    <col min="11521" max="11521" width="10.28515625" style="71" bestFit="1" customWidth="1"/>
    <col min="11522" max="11522" width="46.140625" style="71" customWidth="1"/>
    <col min="11523" max="11523" width="10.7109375" style="71" customWidth="1"/>
    <col min="11524" max="11524" width="9.28515625" style="71" bestFit="1" customWidth="1"/>
    <col min="11525" max="11776" width="9.140625" style="71"/>
    <col min="11777" max="11777" width="10.28515625" style="71" bestFit="1" customWidth="1"/>
    <col min="11778" max="11778" width="46.140625" style="71" customWidth="1"/>
    <col min="11779" max="11779" width="10.7109375" style="71" customWidth="1"/>
    <col min="11780" max="11780" width="9.28515625" style="71" bestFit="1" customWidth="1"/>
    <col min="11781" max="12032" width="9.140625" style="71"/>
    <col min="12033" max="12033" width="10.28515625" style="71" bestFit="1" customWidth="1"/>
    <col min="12034" max="12034" width="46.140625" style="71" customWidth="1"/>
    <col min="12035" max="12035" width="10.7109375" style="71" customWidth="1"/>
    <col min="12036" max="12036" width="9.28515625" style="71" bestFit="1" customWidth="1"/>
    <col min="12037" max="12288" width="9.140625" style="71"/>
    <col min="12289" max="12289" width="10.28515625" style="71" bestFit="1" customWidth="1"/>
    <col min="12290" max="12290" width="46.140625" style="71" customWidth="1"/>
    <col min="12291" max="12291" width="10.7109375" style="71" customWidth="1"/>
    <col min="12292" max="12292" width="9.28515625" style="71" bestFit="1" customWidth="1"/>
    <col min="12293" max="12544" width="9.140625" style="71"/>
    <col min="12545" max="12545" width="10.28515625" style="71" bestFit="1" customWidth="1"/>
    <col min="12546" max="12546" width="46.140625" style="71" customWidth="1"/>
    <col min="12547" max="12547" width="10.7109375" style="71" customWidth="1"/>
    <col min="12548" max="12548" width="9.28515625" style="71" bestFit="1" customWidth="1"/>
    <col min="12549" max="12800" width="9.140625" style="71"/>
    <col min="12801" max="12801" width="10.28515625" style="71" bestFit="1" customWidth="1"/>
    <col min="12802" max="12802" width="46.140625" style="71" customWidth="1"/>
    <col min="12803" max="12803" width="10.7109375" style="71" customWidth="1"/>
    <col min="12804" max="12804" width="9.28515625" style="71" bestFit="1" customWidth="1"/>
    <col min="12805" max="13056" width="9.140625" style="71"/>
    <col min="13057" max="13057" width="10.28515625" style="71" bestFit="1" customWidth="1"/>
    <col min="13058" max="13058" width="46.140625" style="71" customWidth="1"/>
    <col min="13059" max="13059" width="10.7109375" style="71" customWidth="1"/>
    <col min="13060" max="13060" width="9.28515625" style="71" bestFit="1" customWidth="1"/>
    <col min="13061" max="13312" width="9.140625" style="71"/>
    <col min="13313" max="13313" width="10.28515625" style="71" bestFit="1" customWidth="1"/>
    <col min="13314" max="13314" width="46.140625" style="71" customWidth="1"/>
    <col min="13315" max="13315" width="10.7109375" style="71" customWidth="1"/>
    <col min="13316" max="13316" width="9.28515625" style="71" bestFit="1" customWidth="1"/>
    <col min="13317" max="13568" width="9.140625" style="71"/>
    <col min="13569" max="13569" width="10.28515625" style="71" bestFit="1" customWidth="1"/>
    <col min="13570" max="13570" width="46.140625" style="71" customWidth="1"/>
    <col min="13571" max="13571" width="10.7109375" style="71" customWidth="1"/>
    <col min="13572" max="13572" width="9.28515625" style="71" bestFit="1" customWidth="1"/>
    <col min="13573" max="13824" width="9.140625" style="71"/>
    <col min="13825" max="13825" width="10.28515625" style="71" bestFit="1" customWidth="1"/>
    <col min="13826" max="13826" width="46.140625" style="71" customWidth="1"/>
    <col min="13827" max="13827" width="10.7109375" style="71" customWidth="1"/>
    <col min="13828" max="13828" width="9.28515625" style="71" bestFit="1" customWidth="1"/>
    <col min="13829" max="14080" width="9.140625" style="71"/>
    <col min="14081" max="14081" width="10.28515625" style="71" bestFit="1" customWidth="1"/>
    <col min="14082" max="14082" width="46.140625" style="71" customWidth="1"/>
    <col min="14083" max="14083" width="10.7109375" style="71" customWidth="1"/>
    <col min="14084" max="14084" width="9.28515625" style="71" bestFit="1" customWidth="1"/>
    <col min="14085" max="14336" width="9.140625" style="71"/>
    <col min="14337" max="14337" width="10.28515625" style="71" bestFit="1" customWidth="1"/>
    <col min="14338" max="14338" width="46.140625" style="71" customWidth="1"/>
    <col min="14339" max="14339" width="10.7109375" style="71" customWidth="1"/>
    <col min="14340" max="14340" width="9.28515625" style="71" bestFit="1" customWidth="1"/>
    <col min="14341" max="14592" width="9.140625" style="71"/>
    <col min="14593" max="14593" width="10.28515625" style="71" bestFit="1" customWidth="1"/>
    <col min="14594" max="14594" width="46.140625" style="71" customWidth="1"/>
    <col min="14595" max="14595" width="10.7109375" style="71" customWidth="1"/>
    <col min="14596" max="14596" width="9.28515625" style="71" bestFit="1" customWidth="1"/>
    <col min="14597" max="14848" width="9.140625" style="71"/>
    <col min="14849" max="14849" width="10.28515625" style="71" bestFit="1" customWidth="1"/>
    <col min="14850" max="14850" width="46.140625" style="71" customWidth="1"/>
    <col min="14851" max="14851" width="10.7109375" style="71" customWidth="1"/>
    <col min="14852" max="14852" width="9.28515625" style="71" bestFit="1" customWidth="1"/>
    <col min="14853" max="15104" width="9.140625" style="71"/>
    <col min="15105" max="15105" width="10.28515625" style="71" bestFit="1" customWidth="1"/>
    <col min="15106" max="15106" width="46.140625" style="71" customWidth="1"/>
    <col min="15107" max="15107" width="10.7109375" style="71" customWidth="1"/>
    <col min="15108" max="15108" width="9.28515625" style="71" bestFit="1" customWidth="1"/>
    <col min="15109" max="15360" width="9.140625" style="71"/>
    <col min="15361" max="15361" width="10.28515625" style="71" bestFit="1" customWidth="1"/>
    <col min="15362" max="15362" width="46.140625" style="71" customWidth="1"/>
    <col min="15363" max="15363" width="10.7109375" style="71" customWidth="1"/>
    <col min="15364" max="15364" width="9.28515625" style="71" bestFit="1" customWidth="1"/>
    <col min="15365" max="15616" width="9.140625" style="71"/>
    <col min="15617" max="15617" width="10.28515625" style="71" bestFit="1" customWidth="1"/>
    <col min="15618" max="15618" width="46.140625" style="71" customWidth="1"/>
    <col min="15619" max="15619" width="10.7109375" style="71" customWidth="1"/>
    <col min="15620" max="15620" width="9.28515625" style="71" bestFit="1" customWidth="1"/>
    <col min="15621" max="15872" width="9.140625" style="71"/>
    <col min="15873" max="15873" width="10.28515625" style="71" bestFit="1" customWidth="1"/>
    <col min="15874" max="15874" width="46.140625" style="71" customWidth="1"/>
    <col min="15875" max="15875" width="10.7109375" style="71" customWidth="1"/>
    <col min="15876" max="15876" width="9.28515625" style="71" bestFit="1" customWidth="1"/>
    <col min="15877" max="16128" width="9.140625" style="71"/>
    <col min="16129" max="16129" width="10.28515625" style="71" bestFit="1" customWidth="1"/>
    <col min="16130" max="16130" width="46.140625" style="71" customWidth="1"/>
    <col min="16131" max="16131" width="10.7109375" style="71" customWidth="1"/>
    <col min="16132" max="16132" width="9.28515625" style="71" bestFit="1" customWidth="1"/>
    <col min="16133" max="16384" width="9.140625" style="71"/>
  </cols>
  <sheetData>
    <row r="1" spans="1:4" x14ac:dyDescent="0.2">
      <c r="A1" s="91" t="s">
        <v>37</v>
      </c>
      <c r="B1" s="91" t="s">
        <v>33</v>
      </c>
      <c r="C1" s="88" t="s">
        <v>38</v>
      </c>
      <c r="D1" s="88" t="s">
        <v>39</v>
      </c>
    </row>
    <row r="2" spans="1:4" x14ac:dyDescent="0.2">
      <c r="A2" s="81" t="s">
        <v>40</v>
      </c>
      <c r="B2" s="81" t="s">
        <v>34</v>
      </c>
      <c r="C2" s="82">
        <v>612404.41</v>
      </c>
      <c r="D2" s="83">
        <v>7.13</v>
      </c>
    </row>
    <row r="3" spans="1:4" x14ac:dyDescent="0.2">
      <c r="A3" s="84" t="s">
        <v>41</v>
      </c>
      <c r="B3" s="84" t="s">
        <v>98</v>
      </c>
      <c r="C3" s="85">
        <v>182468.14</v>
      </c>
      <c r="D3" s="86">
        <v>2.12</v>
      </c>
    </row>
    <row r="4" spans="1:4" x14ac:dyDescent="0.2">
      <c r="A4" s="84" t="s">
        <v>43</v>
      </c>
      <c r="B4" s="84" t="s">
        <v>99</v>
      </c>
      <c r="C4" s="85">
        <v>429936.27</v>
      </c>
      <c r="D4" s="86">
        <v>5.01</v>
      </c>
    </row>
    <row r="5" spans="1:4" x14ac:dyDescent="0.2">
      <c r="A5" s="81" t="s">
        <v>61</v>
      </c>
      <c r="B5" s="81" t="s">
        <v>35</v>
      </c>
      <c r="C5" s="82">
        <v>650779.67000000004</v>
      </c>
      <c r="D5" s="83">
        <v>7.58</v>
      </c>
    </row>
    <row r="6" spans="1:4" x14ac:dyDescent="0.2">
      <c r="A6" s="84" t="s">
        <v>63</v>
      </c>
      <c r="B6" s="84" t="s">
        <v>100</v>
      </c>
      <c r="C6" s="85">
        <v>124219.77</v>
      </c>
      <c r="D6" s="87">
        <v>1.45</v>
      </c>
    </row>
    <row r="7" spans="1:4" x14ac:dyDescent="0.2">
      <c r="A7" s="84" t="s">
        <v>65</v>
      </c>
      <c r="B7" s="84" t="s">
        <v>101</v>
      </c>
      <c r="C7" s="85">
        <v>489379.9</v>
      </c>
      <c r="D7" s="86">
        <v>5.7</v>
      </c>
    </row>
    <row r="8" spans="1:4" x14ac:dyDescent="0.2">
      <c r="A8" s="84" t="s">
        <v>66</v>
      </c>
      <c r="B8" s="84" t="s">
        <v>102</v>
      </c>
      <c r="C8" s="85">
        <v>37180</v>
      </c>
      <c r="D8" s="87">
        <v>0.43</v>
      </c>
    </row>
    <row r="9" spans="1:4" x14ac:dyDescent="0.2">
      <c r="A9" s="138" t="s">
        <v>96</v>
      </c>
      <c r="B9" s="138"/>
      <c r="C9" s="89">
        <v>1263184.08</v>
      </c>
      <c r="D9" s="90">
        <v>14.71</v>
      </c>
    </row>
    <row r="10" spans="1:4" x14ac:dyDescent="0.2">
      <c r="A10" s="92"/>
      <c r="B10" s="92"/>
      <c r="C10" s="92"/>
      <c r="D10" s="92"/>
    </row>
    <row r="11" spans="1:4" ht="9.75" customHeight="1" x14ac:dyDescent="0.2">
      <c r="A11" s="93" t="s">
        <v>37</v>
      </c>
      <c r="B11" s="93" t="s">
        <v>33</v>
      </c>
      <c r="C11" s="94" t="s">
        <v>38</v>
      </c>
      <c r="D11" s="94" t="s">
        <v>39</v>
      </c>
    </row>
    <row r="12" spans="1:4" ht="9.75" customHeight="1" x14ac:dyDescent="0.2">
      <c r="A12" s="72" t="s">
        <v>40</v>
      </c>
      <c r="B12" s="72" t="s">
        <v>4</v>
      </c>
      <c r="C12" s="73">
        <v>5931778.8200000003</v>
      </c>
      <c r="D12" s="74">
        <v>69.069999999999993</v>
      </c>
    </row>
    <row r="13" spans="1:4" ht="9.6" customHeight="1" x14ac:dyDescent="0.2">
      <c r="A13" s="75" t="s">
        <v>41</v>
      </c>
      <c r="B13" s="75" t="s">
        <v>42</v>
      </c>
      <c r="C13" s="76">
        <v>192329.43</v>
      </c>
      <c r="D13" s="77">
        <v>2.2400000000000002</v>
      </c>
    </row>
    <row r="14" spans="1:4" ht="9.6" customHeight="1" x14ac:dyDescent="0.2">
      <c r="A14" s="75" t="s">
        <v>43</v>
      </c>
      <c r="B14" s="75" t="s">
        <v>44</v>
      </c>
      <c r="C14" s="76">
        <v>1113218.06</v>
      </c>
      <c r="D14" s="77">
        <v>12.96</v>
      </c>
    </row>
    <row r="15" spans="1:4" ht="9.6" customHeight="1" x14ac:dyDescent="0.2">
      <c r="A15" s="75" t="s">
        <v>45</v>
      </c>
      <c r="B15" s="75" t="s">
        <v>46</v>
      </c>
      <c r="C15" s="76">
        <v>423461.76</v>
      </c>
      <c r="D15" s="77">
        <v>4.93</v>
      </c>
    </row>
    <row r="16" spans="1:4" ht="9.6" customHeight="1" x14ac:dyDescent="0.2">
      <c r="A16" s="75" t="s">
        <v>47</v>
      </c>
      <c r="B16" s="75" t="s">
        <v>48</v>
      </c>
      <c r="C16" s="78">
        <v>98609.27</v>
      </c>
      <c r="D16" s="77">
        <v>1.1499999999999999</v>
      </c>
    </row>
    <row r="17" spans="1:4" ht="9.6" customHeight="1" x14ac:dyDescent="0.2">
      <c r="A17" s="75" t="s">
        <v>49</v>
      </c>
      <c r="B17" s="75" t="s">
        <v>50</v>
      </c>
      <c r="C17" s="76">
        <v>249980.26</v>
      </c>
      <c r="D17" s="77">
        <v>2.91</v>
      </c>
    </row>
    <row r="18" spans="1:4" ht="9.6" customHeight="1" x14ac:dyDescent="0.2">
      <c r="A18" s="75" t="s">
        <v>51</v>
      </c>
      <c r="B18" s="75" t="s">
        <v>52</v>
      </c>
      <c r="C18" s="76">
        <v>417753.45</v>
      </c>
      <c r="D18" s="77">
        <v>4.8600000000000003</v>
      </c>
    </row>
    <row r="19" spans="1:4" ht="9.6" customHeight="1" x14ac:dyDescent="0.2">
      <c r="A19" s="75" t="s">
        <v>53</v>
      </c>
      <c r="B19" s="75" t="s">
        <v>54</v>
      </c>
      <c r="C19" s="79">
        <v>2257186.2999999998</v>
      </c>
      <c r="D19" s="80">
        <v>26.28</v>
      </c>
    </row>
    <row r="20" spans="1:4" ht="9.6" customHeight="1" x14ac:dyDescent="0.2">
      <c r="A20" s="75" t="s">
        <v>55</v>
      </c>
      <c r="B20" s="75" t="s">
        <v>56</v>
      </c>
      <c r="C20" s="79">
        <v>923724.95</v>
      </c>
      <c r="D20" s="80">
        <v>10.76</v>
      </c>
    </row>
    <row r="21" spans="1:4" ht="9.6" customHeight="1" x14ac:dyDescent="0.2">
      <c r="A21" s="75" t="s">
        <v>57</v>
      </c>
      <c r="B21" s="75" t="s">
        <v>58</v>
      </c>
      <c r="C21" s="77">
        <v>7541</v>
      </c>
      <c r="D21" s="77">
        <v>0.09</v>
      </c>
    </row>
    <row r="22" spans="1:4" ht="9.6" customHeight="1" x14ac:dyDescent="0.2">
      <c r="A22" s="75" t="s">
        <v>59</v>
      </c>
      <c r="B22" s="75" t="s">
        <v>60</v>
      </c>
      <c r="C22" s="76">
        <v>247974.34</v>
      </c>
      <c r="D22" s="77">
        <v>2.89</v>
      </c>
    </row>
    <row r="23" spans="1:4" ht="9.75" customHeight="1" x14ac:dyDescent="0.2">
      <c r="A23" s="72" t="s">
        <v>61</v>
      </c>
      <c r="B23" s="72" t="s">
        <v>62</v>
      </c>
      <c r="C23" s="120">
        <v>1252136.56</v>
      </c>
      <c r="D23" s="121">
        <v>14.58</v>
      </c>
    </row>
    <row r="24" spans="1:4" ht="9.6" customHeight="1" x14ac:dyDescent="0.2">
      <c r="A24" s="75" t="s">
        <v>63</v>
      </c>
      <c r="B24" s="75" t="s">
        <v>64</v>
      </c>
      <c r="C24" s="122">
        <v>167974.53</v>
      </c>
      <c r="D24" s="123">
        <v>1.96</v>
      </c>
    </row>
    <row r="25" spans="1:4" ht="9.6" customHeight="1" x14ac:dyDescent="0.2">
      <c r="A25" s="75" t="s">
        <v>65</v>
      </c>
      <c r="B25" s="75" t="s">
        <v>5</v>
      </c>
      <c r="C25" s="122">
        <v>350716.47</v>
      </c>
      <c r="D25" s="123">
        <v>4.08</v>
      </c>
    </row>
    <row r="26" spans="1:4" ht="9.6" customHeight="1" x14ac:dyDescent="0.2">
      <c r="A26" s="75" t="s">
        <v>66</v>
      </c>
      <c r="B26" s="75" t="s">
        <v>67</v>
      </c>
      <c r="C26" s="124">
        <v>60847.27</v>
      </c>
      <c r="D26" s="123">
        <v>0.71</v>
      </c>
    </row>
    <row r="27" spans="1:4" ht="9.6" customHeight="1" x14ac:dyDescent="0.2">
      <c r="A27" s="75" t="s">
        <v>68</v>
      </c>
      <c r="B27" s="75" t="s">
        <v>69</v>
      </c>
      <c r="C27" s="124">
        <v>41942.879999999997</v>
      </c>
      <c r="D27" s="123">
        <v>0.49</v>
      </c>
    </row>
    <row r="28" spans="1:4" ht="9.6" customHeight="1" x14ac:dyDescent="0.2">
      <c r="A28" s="75" t="s">
        <v>70</v>
      </c>
      <c r="B28" s="75" t="s">
        <v>71</v>
      </c>
      <c r="C28" s="124">
        <v>36647.050000000003</v>
      </c>
      <c r="D28" s="123">
        <v>0.43</v>
      </c>
    </row>
    <row r="29" spans="1:4" ht="9.6" customHeight="1" x14ac:dyDescent="0.2">
      <c r="A29" s="75" t="s">
        <v>72</v>
      </c>
      <c r="B29" s="75" t="s">
        <v>73</v>
      </c>
      <c r="C29" s="125">
        <v>5412.25</v>
      </c>
      <c r="D29" s="123">
        <v>0.06</v>
      </c>
    </row>
    <row r="30" spans="1:4" ht="9.6" customHeight="1" x14ac:dyDescent="0.2">
      <c r="A30" s="75" t="s">
        <v>74</v>
      </c>
      <c r="B30" s="75" t="s">
        <v>75</v>
      </c>
      <c r="C30" s="125">
        <v>6000</v>
      </c>
      <c r="D30" s="123">
        <v>7.0000000000000007E-2</v>
      </c>
    </row>
    <row r="31" spans="1:4" ht="9.6" customHeight="1" x14ac:dyDescent="0.2">
      <c r="A31" s="75" t="s">
        <v>76</v>
      </c>
      <c r="B31" s="75" t="s">
        <v>77</v>
      </c>
      <c r="C31" s="125">
        <v>3234</v>
      </c>
      <c r="D31" s="123">
        <v>0.04</v>
      </c>
    </row>
    <row r="32" spans="1:4" ht="9.6" customHeight="1" x14ac:dyDescent="0.2">
      <c r="A32" s="75" t="s">
        <v>78</v>
      </c>
      <c r="B32" s="75" t="s">
        <v>8</v>
      </c>
      <c r="C32" s="124">
        <v>52563.45</v>
      </c>
      <c r="D32" s="123">
        <v>0.61</v>
      </c>
    </row>
    <row r="33" spans="1:4" ht="9.6" customHeight="1" x14ac:dyDescent="0.2">
      <c r="A33" s="75" t="s">
        <v>79</v>
      </c>
      <c r="B33" s="75" t="s">
        <v>80</v>
      </c>
      <c r="C33" s="124">
        <v>69720.98</v>
      </c>
      <c r="D33" s="123">
        <v>0.81</v>
      </c>
    </row>
    <row r="34" spans="1:4" ht="9.6" customHeight="1" x14ac:dyDescent="0.2">
      <c r="A34" s="75" t="s">
        <v>81</v>
      </c>
      <c r="B34" s="75" t="s">
        <v>82</v>
      </c>
      <c r="C34" s="124">
        <v>73129.240000000005</v>
      </c>
      <c r="D34" s="123">
        <v>0.85</v>
      </c>
    </row>
    <row r="35" spans="1:4" ht="9.6" customHeight="1" x14ac:dyDescent="0.2">
      <c r="A35" s="75" t="s">
        <v>83</v>
      </c>
      <c r="B35" s="75" t="s">
        <v>84</v>
      </c>
      <c r="C35" s="125">
        <v>9770.91</v>
      </c>
      <c r="D35" s="123">
        <v>0.11</v>
      </c>
    </row>
    <row r="36" spans="1:4" ht="9.6" customHeight="1" x14ac:dyDescent="0.2">
      <c r="A36" s="75" t="s">
        <v>85</v>
      </c>
      <c r="B36" s="75" t="s">
        <v>86</v>
      </c>
      <c r="C36" s="124">
        <v>52909.4</v>
      </c>
      <c r="D36" s="123">
        <v>0.62</v>
      </c>
    </row>
    <row r="37" spans="1:4" ht="9.6" customHeight="1" x14ac:dyDescent="0.2">
      <c r="A37" s="75" t="s">
        <v>87</v>
      </c>
      <c r="B37" s="75" t="s">
        <v>10</v>
      </c>
      <c r="C37" s="124">
        <v>37948.97</v>
      </c>
      <c r="D37" s="123">
        <v>0.44</v>
      </c>
    </row>
    <row r="38" spans="1:4" ht="9.6" customHeight="1" x14ac:dyDescent="0.2">
      <c r="A38" s="75" t="s">
        <v>88</v>
      </c>
      <c r="B38" s="75" t="s">
        <v>89</v>
      </c>
      <c r="C38" s="122">
        <v>160231.53</v>
      </c>
      <c r="D38" s="123">
        <v>1.87</v>
      </c>
    </row>
    <row r="39" spans="1:4" ht="9.6" customHeight="1" x14ac:dyDescent="0.2">
      <c r="A39" s="75" t="s">
        <v>90</v>
      </c>
      <c r="B39" s="75" t="s">
        <v>91</v>
      </c>
      <c r="C39" s="125">
        <v>7922.55</v>
      </c>
      <c r="D39" s="123">
        <v>0.09</v>
      </c>
    </row>
    <row r="40" spans="1:4" ht="9.6" customHeight="1" x14ac:dyDescent="0.2">
      <c r="A40" s="75" t="s">
        <v>92</v>
      </c>
      <c r="B40" s="75" t="s">
        <v>20</v>
      </c>
      <c r="C40" s="124">
        <v>63023.18</v>
      </c>
      <c r="D40" s="123">
        <v>0.73</v>
      </c>
    </row>
    <row r="41" spans="1:4" ht="9.6" customHeight="1" x14ac:dyDescent="0.2">
      <c r="A41" s="75" t="s">
        <v>93</v>
      </c>
      <c r="B41" s="75" t="s">
        <v>12</v>
      </c>
      <c r="C41" s="124">
        <v>52141.9</v>
      </c>
      <c r="D41" s="123">
        <v>0.61</v>
      </c>
    </row>
    <row r="42" spans="1:4" ht="9.75" customHeight="1" x14ac:dyDescent="0.2">
      <c r="A42" s="72" t="s">
        <v>94</v>
      </c>
      <c r="B42" s="72" t="s">
        <v>36</v>
      </c>
      <c r="C42" s="126">
        <v>140840.78</v>
      </c>
      <c r="D42" s="127">
        <v>1.64</v>
      </c>
    </row>
    <row r="43" spans="1:4" ht="9.6" customHeight="1" x14ac:dyDescent="0.2">
      <c r="A43" s="75" t="s">
        <v>95</v>
      </c>
      <c r="B43" s="75" t="s">
        <v>36</v>
      </c>
      <c r="C43" s="124">
        <v>140840.78</v>
      </c>
      <c r="D43" s="123">
        <v>1.64</v>
      </c>
    </row>
    <row r="44" spans="1:4" ht="9.75" customHeight="1" x14ac:dyDescent="0.2">
      <c r="A44" s="139" t="s">
        <v>96</v>
      </c>
      <c r="B44" s="139"/>
      <c r="C44" s="95">
        <v>7324756.1600000001</v>
      </c>
      <c r="D44" s="96">
        <v>85.29</v>
      </c>
    </row>
    <row r="45" spans="1:4" ht="2.25" customHeight="1" x14ac:dyDescent="0.2">
      <c r="A45" s="140"/>
      <c r="B45" s="140"/>
      <c r="C45" s="141"/>
      <c r="D45" s="141"/>
    </row>
    <row r="46" spans="1:4" ht="8.4499999999999993" customHeight="1" x14ac:dyDescent="0.2">
      <c r="A46" s="142" t="s">
        <v>97</v>
      </c>
      <c r="B46" s="142"/>
      <c r="C46" s="143"/>
      <c r="D46" s="143"/>
    </row>
  </sheetData>
  <mergeCells count="6">
    <mergeCell ref="A9:B9"/>
    <mergeCell ref="A44:B44"/>
    <mergeCell ref="A45:B45"/>
    <mergeCell ref="C45:D45"/>
    <mergeCell ref="A46:B46"/>
    <mergeCell ref="C46:D46"/>
  </mergeCells>
  <pageMargins left="0.52999997138977051" right="0.52999997138977051" top="0.52999997138977051" bottom="0.68999999761581421" header="0" footer="0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303FF-9C16-488A-BB25-79D2D7271271}">
  <dimension ref="A1:Q987"/>
  <sheetViews>
    <sheetView tabSelected="1" zoomScale="85" zoomScaleNormal="85" workbookViewId="0">
      <selection activeCell="A10" sqref="A10"/>
    </sheetView>
  </sheetViews>
  <sheetFormatPr defaultColWidth="14.42578125" defaultRowHeight="15" customHeight="1" x14ac:dyDescent="0.25"/>
  <cols>
    <col min="1" max="1" width="64.42578125" customWidth="1"/>
    <col min="2" max="2" width="21.7109375" customWidth="1"/>
    <col min="3" max="3" width="14.28515625" style="23" customWidth="1"/>
    <col min="4" max="4" width="20" style="23" customWidth="1"/>
    <col min="5" max="5" width="17.7109375" customWidth="1"/>
    <col min="6" max="6" width="19.28515625" bestFit="1" customWidth="1"/>
    <col min="7" max="7" width="14.28515625" customWidth="1"/>
    <col min="8" max="17" width="9.140625" customWidth="1"/>
  </cols>
  <sheetData>
    <row r="1" spans="1:17" ht="22.5" customHeight="1" thickBot="1" x14ac:dyDescent="0.3">
      <c r="A1" s="56" t="s">
        <v>0</v>
      </c>
      <c r="B1" s="56" t="s">
        <v>15</v>
      </c>
      <c r="C1" s="57" t="s">
        <v>16</v>
      </c>
      <c r="D1" s="57" t="s">
        <v>106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2.5" customHeight="1" thickBot="1" x14ac:dyDescent="0.3">
      <c r="A2" s="1" t="s">
        <v>17</v>
      </c>
      <c r="B2" s="5">
        <f>Relatório!C9</f>
        <v>1263184.08</v>
      </c>
      <c r="C2" s="6">
        <f>B2/B$7</f>
        <v>0.14707640478823733</v>
      </c>
      <c r="D2" s="21">
        <f>B2/RESUMO!G$2</f>
        <v>13881.143736263737</v>
      </c>
      <c r="E2" s="2"/>
      <c r="F2" s="26" t="s">
        <v>104</v>
      </c>
      <c r="G2" s="27">
        <v>91</v>
      </c>
      <c r="H2" s="28" t="s">
        <v>105</v>
      </c>
      <c r="I2" s="2"/>
      <c r="J2" s="2"/>
      <c r="K2" s="2"/>
      <c r="L2" s="2"/>
      <c r="M2" s="2"/>
      <c r="N2" s="2"/>
      <c r="O2" s="2"/>
      <c r="P2" s="2"/>
      <c r="Q2" s="2"/>
    </row>
    <row r="3" spans="1:17" ht="19.5" customHeight="1" x14ac:dyDescent="0.25">
      <c r="A3" s="3" t="s">
        <v>4</v>
      </c>
      <c r="B3" s="19">
        <f>Relatório!C12</f>
        <v>5931778.8200000003</v>
      </c>
      <c r="C3" s="4">
        <f>B3/B$7</f>
        <v>0.6906552391355445</v>
      </c>
      <c r="D3" s="22">
        <f>B3/RESUMO!G$2</f>
        <v>65184.382637362643</v>
      </c>
      <c r="E3" s="2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9.5" customHeight="1" x14ac:dyDescent="0.25">
      <c r="A4" s="1" t="s">
        <v>62</v>
      </c>
      <c r="B4" s="5">
        <f>Relatório!C23</f>
        <v>1252136.56</v>
      </c>
      <c r="C4" s="6">
        <f>B4/B$7</f>
        <v>0.14579010808045573</v>
      </c>
      <c r="D4" s="21">
        <f>B4/RESUMO!G$2</f>
        <v>13759.742417582418</v>
      </c>
      <c r="E4" s="2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9.5" customHeight="1" x14ac:dyDescent="0.25">
      <c r="A5" s="3" t="s">
        <v>36</v>
      </c>
      <c r="B5" s="19">
        <v>14600</v>
      </c>
      <c r="C5" s="4">
        <f>B5/B$7</f>
        <v>1.6999228726095605E-3</v>
      </c>
      <c r="D5" s="22">
        <f>B5/RESUMO!G$2</f>
        <v>160.43956043956044</v>
      </c>
      <c r="E5" s="2"/>
      <c r="F5" s="7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9.5" customHeight="1" x14ac:dyDescent="0.25">
      <c r="A6" s="1" t="s">
        <v>19</v>
      </c>
      <c r="B6" s="5">
        <f>SUM(B2:B5)*0.015</f>
        <v>126925.49190000001</v>
      </c>
      <c r="C6" s="6">
        <f>B6/B$7</f>
        <v>1.4778325123152707E-2</v>
      </c>
      <c r="D6" s="21">
        <f>B6/RESUMO!G$2</f>
        <v>1394.7856252747254</v>
      </c>
      <c r="E6" s="2"/>
      <c r="F6" s="7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9.5" customHeight="1" x14ac:dyDescent="0.25">
      <c r="A7" s="56" t="s">
        <v>14</v>
      </c>
      <c r="B7" s="58">
        <f>SUM(B2:B6)</f>
        <v>8588624.9519000016</v>
      </c>
      <c r="C7" s="59">
        <f>SUM(C2:C6)</f>
        <v>0.99999999999999989</v>
      </c>
      <c r="D7" s="60">
        <f>SUM(D2:D6)</f>
        <v>94380.49397692307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22.5" customHeight="1" x14ac:dyDescent="0.25">
      <c r="A8" s="2"/>
      <c r="B8" s="2"/>
      <c r="C8" s="9"/>
      <c r="D8" s="9"/>
      <c r="E8" s="2"/>
      <c r="F8" s="8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58.5" x14ac:dyDescent="0.25">
      <c r="A9" s="2" t="s">
        <v>126</v>
      </c>
      <c r="B9" s="8"/>
      <c r="C9" s="9" t="s">
        <v>135</v>
      </c>
      <c r="D9" s="135" t="s">
        <v>133</v>
      </c>
      <c r="E9" s="2">
        <v>76.52</v>
      </c>
      <c r="F9" s="2" t="s">
        <v>134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5" customHeight="1" x14ac:dyDescent="0.25">
      <c r="A10" s="2"/>
      <c r="B10" s="2"/>
      <c r="C10" s="9"/>
      <c r="D10" s="9"/>
      <c r="E10" s="2">
        <f>200*E9</f>
        <v>15304</v>
      </c>
      <c r="F10" s="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9.5" customHeight="1" x14ac:dyDescent="0.25">
      <c r="A11" s="2"/>
      <c r="B11" s="2"/>
      <c r="C11" s="9"/>
      <c r="D11" s="9"/>
      <c r="E11" s="10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9.5" customHeight="1" x14ac:dyDescent="0.45">
      <c r="A12" s="2" t="s">
        <v>127</v>
      </c>
      <c r="B12" s="2" t="s">
        <v>128</v>
      </c>
      <c r="C12" s="9"/>
      <c r="D12" s="9"/>
      <c r="E12" s="11"/>
      <c r="F12" s="8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9.5" customHeight="1" x14ac:dyDescent="0.25">
      <c r="A13" s="2" t="s">
        <v>129</v>
      </c>
      <c r="B13" s="2"/>
      <c r="C13" s="9"/>
      <c r="D13" s="9"/>
      <c r="E13" s="12"/>
      <c r="F13" s="1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9.5" customHeight="1" x14ac:dyDescent="0.25">
      <c r="A14" s="2"/>
      <c r="B14" s="2"/>
      <c r="C14" s="9"/>
      <c r="D14" s="9"/>
      <c r="E14" s="2"/>
      <c r="F14" s="1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9.5" customHeight="1" x14ac:dyDescent="0.25">
      <c r="A15" s="2" t="s">
        <v>130</v>
      </c>
      <c r="B15" s="2" t="s">
        <v>128</v>
      </c>
      <c r="C15" s="9"/>
      <c r="D15" s="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9.5" customHeight="1" x14ac:dyDescent="0.25">
      <c r="A16" s="2" t="s">
        <v>129</v>
      </c>
      <c r="B16" s="2"/>
      <c r="C16" s="9"/>
      <c r="D16" s="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9.5" customHeight="1" x14ac:dyDescent="0.25">
      <c r="A17" s="2"/>
      <c r="B17" s="2"/>
      <c r="C17" s="9"/>
      <c r="D17" s="9"/>
      <c r="E17" s="2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9.5" customHeight="1" x14ac:dyDescent="0.25">
      <c r="A18" s="2"/>
      <c r="B18" s="2"/>
      <c r="C18" s="9"/>
      <c r="D18" s="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9.5" customHeight="1" x14ac:dyDescent="0.25">
      <c r="A19" s="2"/>
      <c r="B19" s="2"/>
      <c r="C19" s="9"/>
      <c r="D19" s="9"/>
      <c r="E19" s="2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9.5" customHeight="1" x14ac:dyDescent="0.25">
      <c r="A20" s="2"/>
      <c r="B20" s="2"/>
      <c r="C20" s="9"/>
      <c r="D20" s="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9.5" customHeight="1" x14ac:dyDescent="0.25">
      <c r="A21" s="2"/>
      <c r="B21" s="2"/>
      <c r="C21" s="9"/>
      <c r="D21" s="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9.5" customHeight="1" x14ac:dyDescent="0.25">
      <c r="A22" s="2"/>
      <c r="B22" s="2"/>
      <c r="C22" s="9"/>
      <c r="D22" s="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9.5" customHeight="1" x14ac:dyDescent="0.25">
      <c r="A23" s="2"/>
      <c r="B23" s="2"/>
      <c r="C23" s="9"/>
      <c r="D23" s="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9.5" customHeight="1" x14ac:dyDescent="0.25">
      <c r="A24" s="2"/>
      <c r="B24" s="2"/>
      <c r="C24" s="9"/>
      <c r="D24" s="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9.5" customHeight="1" x14ac:dyDescent="0.25">
      <c r="A25" s="2"/>
      <c r="B25" s="2"/>
      <c r="C25" s="9"/>
      <c r="D25" s="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9.5" customHeight="1" x14ac:dyDescent="0.25">
      <c r="A26" s="2"/>
      <c r="B26" s="2"/>
      <c r="C26" s="9"/>
      <c r="D26" s="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9.5" customHeight="1" x14ac:dyDescent="0.25">
      <c r="A27" s="2"/>
      <c r="B27" s="2"/>
      <c r="C27" s="9"/>
      <c r="D27" s="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9.5" customHeight="1" x14ac:dyDescent="0.25">
      <c r="A28" s="2"/>
      <c r="B28" s="2"/>
      <c r="C28" s="9"/>
      <c r="D28" s="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9.5" customHeight="1" x14ac:dyDescent="0.25">
      <c r="A29" s="2"/>
      <c r="B29" s="2"/>
      <c r="C29" s="9"/>
      <c r="D29" s="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9.5" customHeight="1" x14ac:dyDescent="0.25">
      <c r="A30" s="2"/>
      <c r="B30" s="2"/>
      <c r="C30" s="9"/>
      <c r="D30" s="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9.5" customHeight="1" x14ac:dyDescent="0.25">
      <c r="A31" s="2"/>
      <c r="B31" s="2"/>
      <c r="C31" s="9"/>
      <c r="D31" s="9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9.5" customHeight="1" x14ac:dyDescent="0.25">
      <c r="A32" s="2"/>
      <c r="B32" s="2"/>
      <c r="C32" s="9"/>
      <c r="D32" s="9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9.5" customHeight="1" x14ac:dyDescent="0.25">
      <c r="A33" s="2"/>
      <c r="B33" s="2"/>
      <c r="C33" s="9"/>
      <c r="D33" s="9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9.5" customHeight="1" x14ac:dyDescent="0.25">
      <c r="A34" s="2"/>
      <c r="B34" s="2"/>
      <c r="C34" s="9"/>
      <c r="D34" s="9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9.5" customHeight="1" x14ac:dyDescent="0.25">
      <c r="A35" s="2"/>
      <c r="B35" s="2"/>
      <c r="C35" s="9"/>
      <c r="D35" s="9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9.5" customHeight="1" x14ac:dyDescent="0.25">
      <c r="A36" s="2"/>
      <c r="B36" s="2"/>
      <c r="C36" s="9"/>
      <c r="D36" s="9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9.5" customHeight="1" x14ac:dyDescent="0.25">
      <c r="A37" s="2"/>
      <c r="B37" s="2"/>
      <c r="C37" s="9"/>
      <c r="D37" s="9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9.5" customHeight="1" x14ac:dyDescent="0.25">
      <c r="A38" s="2"/>
      <c r="B38" s="2"/>
      <c r="C38" s="9"/>
      <c r="D38" s="9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9.5" customHeight="1" x14ac:dyDescent="0.25">
      <c r="A39" s="2"/>
      <c r="B39" s="2"/>
      <c r="C39" s="9"/>
      <c r="D39" s="9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9.5" customHeight="1" x14ac:dyDescent="0.25">
      <c r="A40" s="2"/>
      <c r="B40" s="2"/>
      <c r="C40" s="9"/>
      <c r="D40" s="9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9.5" customHeight="1" x14ac:dyDescent="0.25">
      <c r="A41" s="2"/>
      <c r="B41" s="2"/>
      <c r="C41" s="9"/>
      <c r="D41" s="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9.5" customHeight="1" x14ac:dyDescent="0.25">
      <c r="A42" s="2"/>
      <c r="B42" s="2"/>
      <c r="C42" s="9"/>
      <c r="D42" s="9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9.5" customHeight="1" x14ac:dyDescent="0.25">
      <c r="A43" s="2"/>
      <c r="B43" s="2"/>
      <c r="C43" s="9"/>
      <c r="D43" s="9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9.5" customHeight="1" x14ac:dyDescent="0.25">
      <c r="A44" s="2"/>
      <c r="B44" s="2"/>
      <c r="C44" s="9"/>
      <c r="D44" s="9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9.5" customHeight="1" x14ac:dyDescent="0.25">
      <c r="A45" s="2"/>
      <c r="B45" s="2"/>
      <c r="C45" s="9"/>
      <c r="D45" s="9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9.5" customHeight="1" x14ac:dyDescent="0.25">
      <c r="A46" s="2"/>
      <c r="B46" s="2"/>
      <c r="C46" s="9"/>
      <c r="D46" s="9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9.5" customHeight="1" x14ac:dyDescent="0.25">
      <c r="A47" s="2"/>
      <c r="B47" s="2"/>
      <c r="C47" s="9"/>
      <c r="D47" s="9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9.5" customHeight="1" x14ac:dyDescent="0.25">
      <c r="A48" s="2"/>
      <c r="B48" s="2"/>
      <c r="C48" s="9"/>
      <c r="D48" s="9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9.5" customHeight="1" x14ac:dyDescent="0.25">
      <c r="A49" s="2"/>
      <c r="B49" s="2"/>
      <c r="C49" s="9"/>
      <c r="D49" s="9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9.5" customHeight="1" x14ac:dyDescent="0.25">
      <c r="A50" s="2"/>
      <c r="B50" s="2"/>
      <c r="C50" s="9"/>
      <c r="D50" s="9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9.5" customHeight="1" x14ac:dyDescent="0.25">
      <c r="A51" s="2"/>
      <c r="B51" s="2"/>
      <c r="C51" s="9"/>
      <c r="D51" s="9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9.5" customHeight="1" x14ac:dyDescent="0.25">
      <c r="A52" s="2"/>
      <c r="B52" s="2"/>
      <c r="C52" s="9"/>
      <c r="D52" s="9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9.5" customHeight="1" x14ac:dyDescent="0.25">
      <c r="A53" s="2"/>
      <c r="B53" s="2"/>
      <c r="C53" s="9"/>
      <c r="D53" s="9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9.5" customHeight="1" x14ac:dyDescent="0.25">
      <c r="A54" s="2"/>
      <c r="B54" s="2"/>
      <c r="C54" s="9"/>
      <c r="D54" s="9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9.5" customHeight="1" x14ac:dyDescent="0.25">
      <c r="A55" s="2"/>
      <c r="B55" s="2"/>
      <c r="C55" s="9"/>
      <c r="D55" s="9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9.5" customHeight="1" x14ac:dyDescent="0.25">
      <c r="A56" s="2"/>
      <c r="B56" s="2"/>
      <c r="C56" s="9"/>
      <c r="D56" s="9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9.5" customHeight="1" x14ac:dyDescent="0.25">
      <c r="A57" s="2"/>
      <c r="B57" s="2"/>
      <c r="C57" s="9"/>
      <c r="D57" s="9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9.5" customHeight="1" x14ac:dyDescent="0.25">
      <c r="A58" s="2"/>
      <c r="B58" s="2"/>
      <c r="C58" s="9"/>
      <c r="D58" s="9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9.5" customHeight="1" x14ac:dyDescent="0.25">
      <c r="A59" s="2"/>
      <c r="B59" s="2"/>
      <c r="C59" s="9"/>
      <c r="D59" s="9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9.5" customHeight="1" x14ac:dyDescent="0.25">
      <c r="A60" s="2"/>
      <c r="B60" s="2"/>
      <c r="C60" s="9"/>
      <c r="D60" s="9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9.5" customHeight="1" x14ac:dyDescent="0.25">
      <c r="A61" s="2"/>
      <c r="B61" s="2"/>
      <c r="C61" s="9"/>
      <c r="D61" s="9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9.5" customHeight="1" x14ac:dyDescent="0.25">
      <c r="A62" s="2"/>
      <c r="B62" s="2"/>
      <c r="C62" s="9"/>
      <c r="D62" s="9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9.5" customHeight="1" x14ac:dyDescent="0.25">
      <c r="A63" s="2"/>
      <c r="B63" s="2"/>
      <c r="C63" s="9"/>
      <c r="D63" s="9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9.5" customHeight="1" x14ac:dyDescent="0.25">
      <c r="A64" s="2"/>
      <c r="B64" s="2"/>
      <c r="C64" s="9"/>
      <c r="D64" s="9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9.5" customHeight="1" x14ac:dyDescent="0.25">
      <c r="A65" s="2"/>
      <c r="B65" s="2"/>
      <c r="C65" s="9"/>
      <c r="D65" s="9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9.5" customHeight="1" x14ac:dyDescent="0.25">
      <c r="A66" s="2"/>
      <c r="B66" s="2"/>
      <c r="C66" s="9"/>
      <c r="D66" s="9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9.5" customHeight="1" x14ac:dyDescent="0.25">
      <c r="A67" s="2"/>
      <c r="B67" s="2"/>
      <c r="C67" s="9"/>
      <c r="D67" s="9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9.5" customHeight="1" x14ac:dyDescent="0.25">
      <c r="A68" s="2"/>
      <c r="B68" s="2"/>
      <c r="C68" s="9"/>
      <c r="D68" s="9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9.5" customHeight="1" x14ac:dyDescent="0.25">
      <c r="A69" s="2"/>
      <c r="B69" s="2"/>
      <c r="C69" s="9"/>
      <c r="D69" s="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9.5" customHeight="1" x14ac:dyDescent="0.25">
      <c r="A70" s="2"/>
      <c r="B70" s="2"/>
      <c r="C70" s="9"/>
      <c r="D70" s="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9.5" customHeight="1" x14ac:dyDescent="0.25">
      <c r="A71" s="2"/>
      <c r="B71" s="2"/>
      <c r="C71" s="9"/>
      <c r="D71" s="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9.5" customHeight="1" x14ac:dyDescent="0.25">
      <c r="A72" s="2"/>
      <c r="B72" s="2"/>
      <c r="C72" s="9"/>
      <c r="D72" s="9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9.5" customHeight="1" x14ac:dyDescent="0.25">
      <c r="A73" s="2"/>
      <c r="B73" s="2"/>
      <c r="C73" s="9"/>
      <c r="D73" s="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9.5" customHeight="1" x14ac:dyDescent="0.25">
      <c r="A74" s="2"/>
      <c r="B74" s="2"/>
      <c r="C74" s="9"/>
      <c r="D74" s="9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9.5" customHeight="1" x14ac:dyDescent="0.25">
      <c r="A75" s="2"/>
      <c r="B75" s="2"/>
      <c r="C75" s="9"/>
      <c r="D75" s="9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9.5" customHeight="1" x14ac:dyDescent="0.25">
      <c r="A76" s="2"/>
      <c r="B76" s="2"/>
      <c r="C76" s="9"/>
      <c r="D76" s="9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9.5" customHeight="1" x14ac:dyDescent="0.25">
      <c r="A77" s="2"/>
      <c r="B77" s="2"/>
      <c r="C77" s="9"/>
      <c r="D77" s="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9.5" customHeight="1" x14ac:dyDescent="0.25">
      <c r="A78" s="2"/>
      <c r="B78" s="2"/>
      <c r="C78" s="9"/>
      <c r="D78" s="9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9.5" customHeight="1" x14ac:dyDescent="0.25">
      <c r="A79" s="2"/>
      <c r="B79" s="2"/>
      <c r="C79" s="9"/>
      <c r="D79" s="9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9.5" customHeight="1" x14ac:dyDescent="0.25">
      <c r="A80" s="2"/>
      <c r="B80" s="2"/>
      <c r="C80" s="9"/>
      <c r="D80" s="9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9.5" customHeight="1" x14ac:dyDescent="0.25">
      <c r="A81" s="2"/>
      <c r="B81" s="2"/>
      <c r="C81" s="9"/>
      <c r="D81" s="9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9.5" customHeight="1" x14ac:dyDescent="0.25">
      <c r="A82" s="2"/>
      <c r="B82" s="2"/>
      <c r="C82" s="9"/>
      <c r="D82" s="9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9.5" customHeight="1" x14ac:dyDescent="0.25">
      <c r="A83" s="2"/>
      <c r="B83" s="2"/>
      <c r="C83" s="9"/>
      <c r="D83" s="9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9.5" customHeight="1" x14ac:dyDescent="0.25">
      <c r="A84" s="2"/>
      <c r="B84" s="2"/>
      <c r="C84" s="9"/>
      <c r="D84" s="9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9.5" customHeight="1" x14ac:dyDescent="0.25">
      <c r="A85" s="2"/>
      <c r="B85" s="2"/>
      <c r="C85" s="9"/>
      <c r="D85" s="9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9.5" customHeight="1" x14ac:dyDescent="0.25">
      <c r="A86" s="2"/>
      <c r="B86" s="2"/>
      <c r="C86" s="9"/>
      <c r="D86" s="9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9.5" customHeight="1" x14ac:dyDescent="0.25">
      <c r="A87" s="2"/>
      <c r="B87" s="2"/>
      <c r="C87" s="9"/>
      <c r="D87" s="9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9.5" customHeight="1" x14ac:dyDescent="0.25">
      <c r="A88" s="2"/>
      <c r="B88" s="2"/>
      <c r="C88" s="9"/>
      <c r="D88" s="9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9.5" customHeight="1" x14ac:dyDescent="0.25">
      <c r="A89" s="2"/>
      <c r="B89" s="2"/>
      <c r="C89" s="9"/>
      <c r="D89" s="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9.5" customHeight="1" x14ac:dyDescent="0.25">
      <c r="A90" s="2"/>
      <c r="B90" s="2"/>
      <c r="C90" s="9"/>
      <c r="D90" s="9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9.5" customHeight="1" x14ac:dyDescent="0.25">
      <c r="A91" s="2"/>
      <c r="B91" s="2"/>
      <c r="C91" s="9"/>
      <c r="D91" s="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9.5" customHeight="1" x14ac:dyDescent="0.25">
      <c r="A92" s="2"/>
      <c r="B92" s="2"/>
      <c r="C92" s="9"/>
      <c r="D92" s="9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9.5" customHeight="1" x14ac:dyDescent="0.25">
      <c r="A93" s="2"/>
      <c r="B93" s="2"/>
      <c r="C93" s="9"/>
      <c r="D93" s="9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9.5" customHeight="1" x14ac:dyDescent="0.25">
      <c r="A94" s="2"/>
      <c r="B94" s="2"/>
      <c r="C94" s="9"/>
      <c r="D94" s="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9.5" customHeight="1" x14ac:dyDescent="0.25">
      <c r="A95" s="2"/>
      <c r="B95" s="2"/>
      <c r="C95" s="9"/>
      <c r="D95" s="9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9.5" customHeight="1" x14ac:dyDescent="0.25">
      <c r="A96" s="2"/>
      <c r="B96" s="2"/>
      <c r="C96" s="9"/>
      <c r="D96" s="9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9.5" customHeight="1" x14ac:dyDescent="0.25">
      <c r="A97" s="2"/>
      <c r="B97" s="2"/>
      <c r="C97" s="9"/>
      <c r="D97" s="9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9.5" customHeight="1" x14ac:dyDescent="0.25">
      <c r="A98" s="2"/>
      <c r="B98" s="2"/>
      <c r="C98" s="9"/>
      <c r="D98" s="9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9.5" customHeight="1" x14ac:dyDescent="0.25">
      <c r="A99" s="2"/>
      <c r="B99" s="2"/>
      <c r="C99" s="9"/>
      <c r="D99" s="9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9.5" customHeight="1" x14ac:dyDescent="0.25">
      <c r="A100" s="2"/>
      <c r="B100" s="2"/>
      <c r="C100" s="9"/>
      <c r="D100" s="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9.5" customHeight="1" x14ac:dyDescent="0.25">
      <c r="A101" s="2"/>
      <c r="B101" s="2"/>
      <c r="C101" s="9"/>
      <c r="D101" s="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9.5" customHeight="1" x14ac:dyDescent="0.25">
      <c r="A102" s="2"/>
      <c r="B102" s="2"/>
      <c r="C102" s="9"/>
      <c r="D102" s="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9.5" customHeight="1" x14ac:dyDescent="0.25">
      <c r="A103" s="2"/>
      <c r="B103" s="2"/>
      <c r="C103" s="9"/>
      <c r="D103" s="9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9.5" customHeight="1" x14ac:dyDescent="0.25">
      <c r="A104" s="2"/>
      <c r="B104" s="2"/>
      <c r="C104" s="9"/>
      <c r="D104" s="9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9.5" customHeight="1" x14ac:dyDescent="0.25">
      <c r="A105" s="2"/>
      <c r="B105" s="2"/>
      <c r="C105" s="9"/>
      <c r="D105" s="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9.5" customHeight="1" x14ac:dyDescent="0.25">
      <c r="A106" s="2"/>
      <c r="B106" s="2"/>
      <c r="C106" s="9"/>
      <c r="D106" s="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9.5" customHeight="1" x14ac:dyDescent="0.25">
      <c r="A107" s="2"/>
      <c r="B107" s="2"/>
      <c r="C107" s="9"/>
      <c r="D107" s="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9.5" customHeight="1" x14ac:dyDescent="0.25">
      <c r="A108" s="2"/>
      <c r="B108" s="2"/>
      <c r="C108" s="9"/>
      <c r="D108" s="9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9.5" customHeight="1" x14ac:dyDescent="0.25">
      <c r="A109" s="2"/>
      <c r="B109" s="2"/>
      <c r="C109" s="9"/>
      <c r="D109" s="9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9.5" customHeight="1" x14ac:dyDescent="0.25">
      <c r="A110" s="2"/>
      <c r="B110" s="2"/>
      <c r="C110" s="9"/>
      <c r="D110" s="9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9.5" customHeight="1" x14ac:dyDescent="0.25">
      <c r="A111" s="2"/>
      <c r="B111" s="2"/>
      <c r="C111" s="9"/>
      <c r="D111" s="9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9.5" customHeight="1" x14ac:dyDescent="0.25">
      <c r="A112" s="2"/>
      <c r="B112" s="2"/>
      <c r="C112" s="9"/>
      <c r="D112" s="9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9.5" customHeight="1" x14ac:dyDescent="0.25">
      <c r="A113" s="2"/>
      <c r="B113" s="2"/>
      <c r="C113" s="9"/>
      <c r="D113" s="9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9.5" customHeight="1" x14ac:dyDescent="0.25">
      <c r="A114" s="2"/>
      <c r="B114" s="2"/>
      <c r="C114" s="9"/>
      <c r="D114" s="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9.5" customHeight="1" x14ac:dyDescent="0.25">
      <c r="A115" s="2"/>
      <c r="B115" s="2"/>
      <c r="C115" s="9"/>
      <c r="D115" s="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9.5" customHeight="1" x14ac:dyDescent="0.25">
      <c r="A116" s="2"/>
      <c r="B116" s="2"/>
      <c r="C116" s="9"/>
      <c r="D116" s="9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9.5" customHeight="1" x14ac:dyDescent="0.25">
      <c r="A117" s="2"/>
      <c r="B117" s="2"/>
      <c r="C117" s="9"/>
      <c r="D117" s="9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9.5" customHeight="1" x14ac:dyDescent="0.25">
      <c r="A118" s="2"/>
      <c r="B118" s="2"/>
      <c r="C118" s="9"/>
      <c r="D118" s="9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9.5" customHeight="1" x14ac:dyDescent="0.25">
      <c r="A119" s="2"/>
      <c r="B119" s="2"/>
      <c r="C119" s="9"/>
      <c r="D119" s="9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9.5" customHeight="1" x14ac:dyDescent="0.25">
      <c r="A120" s="2"/>
      <c r="B120" s="2"/>
      <c r="C120" s="9"/>
      <c r="D120" s="9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9.5" customHeight="1" x14ac:dyDescent="0.25">
      <c r="A121" s="2"/>
      <c r="B121" s="2"/>
      <c r="C121" s="9"/>
      <c r="D121" s="9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9.5" customHeight="1" x14ac:dyDescent="0.25">
      <c r="A122" s="2"/>
      <c r="B122" s="2"/>
      <c r="C122" s="9"/>
      <c r="D122" s="9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9.5" customHeight="1" x14ac:dyDescent="0.25">
      <c r="A123" s="2"/>
      <c r="B123" s="2"/>
      <c r="C123" s="9"/>
      <c r="D123" s="9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9.5" customHeight="1" x14ac:dyDescent="0.25">
      <c r="A124" s="2"/>
      <c r="B124" s="2"/>
      <c r="C124" s="9"/>
      <c r="D124" s="9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9.5" customHeight="1" x14ac:dyDescent="0.25">
      <c r="A125" s="2"/>
      <c r="B125" s="2"/>
      <c r="C125" s="9"/>
      <c r="D125" s="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9.5" customHeight="1" x14ac:dyDescent="0.25">
      <c r="A126" s="2"/>
      <c r="B126" s="2"/>
      <c r="C126" s="9"/>
      <c r="D126" s="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9.5" customHeight="1" x14ac:dyDescent="0.25">
      <c r="A127" s="2"/>
      <c r="B127" s="2"/>
      <c r="C127" s="9"/>
      <c r="D127" s="9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9.5" customHeight="1" x14ac:dyDescent="0.25">
      <c r="A128" s="2"/>
      <c r="B128" s="2"/>
      <c r="C128" s="9"/>
      <c r="D128" s="9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9.5" customHeight="1" x14ac:dyDescent="0.25">
      <c r="A129" s="2"/>
      <c r="B129" s="2"/>
      <c r="C129" s="9"/>
      <c r="D129" s="9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9.5" customHeight="1" x14ac:dyDescent="0.25">
      <c r="A130" s="2"/>
      <c r="B130" s="2"/>
      <c r="C130" s="9"/>
      <c r="D130" s="9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9.5" customHeight="1" x14ac:dyDescent="0.25">
      <c r="A131" s="2"/>
      <c r="B131" s="2"/>
      <c r="C131" s="9"/>
      <c r="D131" s="9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9.5" customHeight="1" x14ac:dyDescent="0.25">
      <c r="A132" s="2"/>
      <c r="B132" s="2"/>
      <c r="C132" s="9"/>
      <c r="D132" s="9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9.5" customHeight="1" x14ac:dyDescent="0.25">
      <c r="A133" s="2"/>
      <c r="B133" s="2"/>
      <c r="C133" s="9"/>
      <c r="D133" s="9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9.5" customHeight="1" x14ac:dyDescent="0.25">
      <c r="A134" s="2"/>
      <c r="B134" s="2"/>
      <c r="C134" s="9"/>
      <c r="D134" s="9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9.5" customHeight="1" x14ac:dyDescent="0.25">
      <c r="A135" s="2"/>
      <c r="B135" s="2"/>
      <c r="C135" s="9"/>
      <c r="D135" s="9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9.5" customHeight="1" x14ac:dyDescent="0.25">
      <c r="A136" s="2"/>
      <c r="B136" s="2"/>
      <c r="C136" s="9"/>
      <c r="D136" s="9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9.5" customHeight="1" x14ac:dyDescent="0.25">
      <c r="A137" s="2"/>
      <c r="B137" s="2"/>
      <c r="C137" s="9"/>
      <c r="D137" s="9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9.5" customHeight="1" x14ac:dyDescent="0.25">
      <c r="A138" s="2"/>
      <c r="B138" s="2"/>
      <c r="C138" s="9"/>
      <c r="D138" s="9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9.5" customHeight="1" x14ac:dyDescent="0.25">
      <c r="A139" s="2"/>
      <c r="B139" s="2"/>
      <c r="C139" s="9"/>
      <c r="D139" s="9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9.5" customHeight="1" x14ac:dyDescent="0.25">
      <c r="A140" s="2"/>
      <c r="B140" s="2"/>
      <c r="C140" s="9"/>
      <c r="D140" s="9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9.5" customHeight="1" x14ac:dyDescent="0.25">
      <c r="A141" s="2"/>
      <c r="B141" s="2"/>
      <c r="C141" s="9"/>
      <c r="D141" s="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9.5" customHeight="1" x14ac:dyDescent="0.25">
      <c r="A142" s="2"/>
      <c r="B142" s="2"/>
      <c r="C142" s="9"/>
      <c r="D142" s="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9.5" customHeight="1" x14ac:dyDescent="0.25">
      <c r="A143" s="2"/>
      <c r="B143" s="2"/>
      <c r="C143" s="9"/>
      <c r="D143" s="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9.5" customHeight="1" x14ac:dyDescent="0.25">
      <c r="A144" s="2"/>
      <c r="B144" s="2"/>
      <c r="C144" s="9"/>
      <c r="D144" s="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9.5" customHeight="1" x14ac:dyDescent="0.25">
      <c r="A145" s="2"/>
      <c r="B145" s="2"/>
      <c r="C145" s="9"/>
      <c r="D145" s="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9.5" customHeight="1" x14ac:dyDescent="0.25">
      <c r="A146" s="2"/>
      <c r="B146" s="2"/>
      <c r="C146" s="9"/>
      <c r="D146" s="9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9.5" customHeight="1" x14ac:dyDescent="0.25">
      <c r="A147" s="2"/>
      <c r="B147" s="2"/>
      <c r="C147" s="9"/>
      <c r="D147" s="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9.5" customHeight="1" x14ac:dyDescent="0.25">
      <c r="A148" s="2"/>
      <c r="B148" s="2"/>
      <c r="C148" s="9"/>
      <c r="D148" s="9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9.5" customHeight="1" x14ac:dyDescent="0.25">
      <c r="A149" s="2"/>
      <c r="B149" s="2"/>
      <c r="C149" s="9"/>
      <c r="D149" s="9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9.5" customHeight="1" x14ac:dyDescent="0.25">
      <c r="A150" s="2"/>
      <c r="B150" s="2"/>
      <c r="C150" s="9"/>
      <c r="D150" s="9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9.5" customHeight="1" x14ac:dyDescent="0.25">
      <c r="A151" s="2"/>
      <c r="B151" s="2"/>
      <c r="C151" s="9"/>
      <c r="D151" s="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9.5" customHeight="1" x14ac:dyDescent="0.25">
      <c r="A152" s="2"/>
      <c r="B152" s="2"/>
      <c r="C152" s="9"/>
      <c r="D152" s="9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9.5" customHeight="1" x14ac:dyDescent="0.25">
      <c r="A153" s="2"/>
      <c r="B153" s="2"/>
      <c r="C153" s="9"/>
      <c r="D153" s="9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9.5" customHeight="1" x14ac:dyDescent="0.25">
      <c r="A154" s="2"/>
      <c r="B154" s="2"/>
      <c r="C154" s="9"/>
      <c r="D154" s="9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9.5" customHeight="1" x14ac:dyDescent="0.25">
      <c r="A155" s="2"/>
      <c r="B155" s="2"/>
      <c r="C155" s="9"/>
      <c r="D155" s="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9.5" customHeight="1" x14ac:dyDescent="0.25">
      <c r="A156" s="2"/>
      <c r="B156" s="2"/>
      <c r="C156" s="9"/>
      <c r="D156" s="9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9.5" customHeight="1" x14ac:dyDescent="0.25">
      <c r="A157" s="2"/>
      <c r="B157" s="2"/>
      <c r="C157" s="9"/>
      <c r="D157" s="9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9.5" customHeight="1" x14ac:dyDescent="0.25">
      <c r="A158" s="2"/>
      <c r="B158" s="2"/>
      <c r="C158" s="9"/>
      <c r="D158" s="9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9.5" customHeight="1" x14ac:dyDescent="0.25">
      <c r="A159" s="2"/>
      <c r="B159" s="2"/>
      <c r="C159" s="9"/>
      <c r="D159" s="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9.5" customHeight="1" x14ac:dyDescent="0.25">
      <c r="A160" s="2"/>
      <c r="B160" s="2"/>
      <c r="C160" s="9"/>
      <c r="D160" s="9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9.5" customHeight="1" x14ac:dyDescent="0.25">
      <c r="A161" s="2"/>
      <c r="B161" s="2"/>
      <c r="C161" s="9"/>
      <c r="D161" s="9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9.5" customHeight="1" x14ac:dyDescent="0.25">
      <c r="A162" s="2"/>
      <c r="B162" s="2"/>
      <c r="C162" s="9"/>
      <c r="D162" s="9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9.5" customHeight="1" x14ac:dyDescent="0.25">
      <c r="A163" s="2"/>
      <c r="B163" s="2"/>
      <c r="C163" s="9"/>
      <c r="D163" s="9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9.5" customHeight="1" x14ac:dyDescent="0.25">
      <c r="A164" s="2"/>
      <c r="B164" s="2"/>
      <c r="C164" s="9"/>
      <c r="D164" s="9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9.5" customHeight="1" x14ac:dyDescent="0.25">
      <c r="A165" s="2"/>
      <c r="B165" s="2"/>
      <c r="C165" s="9"/>
      <c r="D165" s="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9.5" customHeight="1" x14ac:dyDescent="0.25">
      <c r="A166" s="2"/>
      <c r="B166" s="2"/>
      <c r="C166" s="9"/>
      <c r="D166" s="9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9.5" customHeight="1" x14ac:dyDescent="0.25">
      <c r="A167" s="2"/>
      <c r="B167" s="2"/>
      <c r="C167" s="9"/>
      <c r="D167" s="9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9.5" customHeight="1" x14ac:dyDescent="0.25">
      <c r="A168" s="2"/>
      <c r="B168" s="2"/>
      <c r="C168" s="9"/>
      <c r="D168" s="9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9.5" customHeight="1" x14ac:dyDescent="0.25">
      <c r="A169" s="2"/>
      <c r="B169" s="2"/>
      <c r="C169" s="9"/>
      <c r="D169" s="9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9.5" customHeight="1" x14ac:dyDescent="0.25">
      <c r="A170" s="2"/>
      <c r="B170" s="2"/>
      <c r="C170" s="9"/>
      <c r="D170" s="9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9.5" customHeight="1" x14ac:dyDescent="0.25">
      <c r="A171" s="2"/>
      <c r="B171" s="2"/>
      <c r="C171" s="9"/>
      <c r="D171" s="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9.5" customHeight="1" x14ac:dyDescent="0.25">
      <c r="A172" s="2"/>
      <c r="B172" s="2"/>
      <c r="C172" s="9"/>
      <c r="D172" s="9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9.5" customHeight="1" x14ac:dyDescent="0.25">
      <c r="A173" s="2"/>
      <c r="B173" s="2"/>
      <c r="C173" s="9"/>
      <c r="D173" s="9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9.5" customHeight="1" x14ac:dyDescent="0.25">
      <c r="A174" s="2"/>
      <c r="B174" s="2"/>
      <c r="C174" s="9"/>
      <c r="D174" s="9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9.5" customHeight="1" x14ac:dyDescent="0.25">
      <c r="A175" s="2"/>
      <c r="B175" s="2"/>
      <c r="C175" s="9"/>
      <c r="D175" s="9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9.5" customHeight="1" x14ac:dyDescent="0.25">
      <c r="A176" s="2"/>
      <c r="B176" s="2"/>
      <c r="C176" s="9"/>
      <c r="D176" s="9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9.5" customHeight="1" x14ac:dyDescent="0.25">
      <c r="A177" s="2"/>
      <c r="B177" s="2"/>
      <c r="C177" s="9"/>
      <c r="D177" s="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9.5" customHeight="1" x14ac:dyDescent="0.25">
      <c r="A178" s="2"/>
      <c r="B178" s="2"/>
      <c r="C178" s="9"/>
      <c r="D178" s="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9.5" customHeight="1" x14ac:dyDescent="0.25">
      <c r="A179" s="2"/>
      <c r="B179" s="2"/>
      <c r="C179" s="9"/>
      <c r="D179" s="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9.5" customHeight="1" x14ac:dyDescent="0.25">
      <c r="A180" s="2"/>
      <c r="B180" s="2"/>
      <c r="C180" s="9"/>
      <c r="D180" s="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9.5" customHeight="1" x14ac:dyDescent="0.25">
      <c r="A181" s="2"/>
      <c r="B181" s="2"/>
      <c r="C181" s="9"/>
      <c r="D181" s="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9.5" customHeight="1" x14ac:dyDescent="0.25">
      <c r="A182" s="2"/>
      <c r="B182" s="2"/>
      <c r="C182" s="9"/>
      <c r="D182" s="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9.5" customHeight="1" x14ac:dyDescent="0.25">
      <c r="A183" s="2"/>
      <c r="B183" s="2"/>
      <c r="C183" s="9"/>
      <c r="D183" s="9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9.5" customHeight="1" x14ac:dyDescent="0.25">
      <c r="A184" s="2"/>
      <c r="B184" s="2"/>
      <c r="C184" s="9"/>
      <c r="D184" s="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9.5" customHeight="1" x14ac:dyDescent="0.25">
      <c r="A185" s="2"/>
      <c r="B185" s="2"/>
      <c r="C185" s="9"/>
      <c r="D185" s="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9.5" customHeight="1" x14ac:dyDescent="0.25">
      <c r="A186" s="2"/>
      <c r="B186" s="2"/>
      <c r="C186" s="9"/>
      <c r="D186" s="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9.5" customHeight="1" x14ac:dyDescent="0.25">
      <c r="A187" s="2"/>
      <c r="B187" s="2"/>
      <c r="C187" s="9"/>
      <c r="D187" s="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9.5" customHeight="1" x14ac:dyDescent="0.25">
      <c r="A188" s="2"/>
      <c r="B188" s="2"/>
      <c r="C188" s="9"/>
      <c r="D188" s="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9.5" customHeight="1" x14ac:dyDescent="0.25">
      <c r="A189" s="2"/>
      <c r="B189" s="2"/>
      <c r="C189" s="9"/>
      <c r="D189" s="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9.5" customHeight="1" x14ac:dyDescent="0.25">
      <c r="A190" s="2"/>
      <c r="B190" s="2"/>
      <c r="C190" s="9"/>
      <c r="D190" s="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9.5" customHeight="1" x14ac:dyDescent="0.25">
      <c r="A191" s="2"/>
      <c r="B191" s="2"/>
      <c r="C191" s="9"/>
      <c r="D191" s="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9.5" customHeight="1" x14ac:dyDescent="0.25">
      <c r="A192" s="2"/>
      <c r="B192" s="2"/>
      <c r="C192" s="9"/>
      <c r="D192" s="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9.5" customHeight="1" x14ac:dyDescent="0.25">
      <c r="A193" s="2"/>
      <c r="B193" s="2"/>
      <c r="C193" s="9"/>
      <c r="D193" s="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9.5" customHeight="1" x14ac:dyDescent="0.25">
      <c r="A194" s="2"/>
      <c r="B194" s="2"/>
      <c r="C194" s="9"/>
      <c r="D194" s="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9.5" customHeight="1" x14ac:dyDescent="0.25">
      <c r="A195" s="2"/>
      <c r="B195" s="2"/>
      <c r="C195" s="9"/>
      <c r="D195" s="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9.5" customHeight="1" x14ac:dyDescent="0.25">
      <c r="A196" s="2"/>
      <c r="B196" s="2"/>
      <c r="C196" s="9"/>
      <c r="D196" s="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9.5" customHeight="1" x14ac:dyDescent="0.25">
      <c r="A197" s="2"/>
      <c r="B197" s="2"/>
      <c r="C197" s="9"/>
      <c r="D197" s="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9.5" customHeight="1" x14ac:dyDescent="0.25">
      <c r="A198" s="2"/>
      <c r="B198" s="2"/>
      <c r="C198" s="9"/>
      <c r="D198" s="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9.5" customHeight="1" x14ac:dyDescent="0.25">
      <c r="A199" s="2"/>
      <c r="B199" s="2"/>
      <c r="C199" s="9"/>
      <c r="D199" s="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9.5" customHeight="1" x14ac:dyDescent="0.25">
      <c r="A200" s="2"/>
      <c r="B200" s="2"/>
      <c r="C200" s="9"/>
      <c r="D200" s="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9.5" customHeight="1" x14ac:dyDescent="0.25">
      <c r="A201" s="2"/>
      <c r="B201" s="2"/>
      <c r="C201" s="9"/>
      <c r="D201" s="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9.5" customHeight="1" x14ac:dyDescent="0.25">
      <c r="A202" s="2"/>
      <c r="B202" s="2"/>
      <c r="C202" s="9"/>
      <c r="D202" s="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9.5" customHeight="1" x14ac:dyDescent="0.25">
      <c r="A203" s="2"/>
      <c r="B203" s="2"/>
      <c r="C203" s="9"/>
      <c r="D203" s="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9.5" customHeight="1" x14ac:dyDescent="0.25">
      <c r="A204" s="2"/>
      <c r="B204" s="2"/>
      <c r="C204" s="9"/>
      <c r="D204" s="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9.5" customHeight="1" x14ac:dyDescent="0.25">
      <c r="A205" s="2"/>
      <c r="B205" s="2"/>
      <c r="C205" s="9"/>
      <c r="D205" s="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9.5" customHeight="1" x14ac:dyDescent="0.25">
      <c r="A206" s="2"/>
      <c r="B206" s="2"/>
      <c r="C206" s="9"/>
      <c r="D206" s="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9.5" customHeight="1" x14ac:dyDescent="0.25">
      <c r="A207" s="2"/>
      <c r="B207" s="2"/>
      <c r="C207" s="9"/>
      <c r="D207" s="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9.5" customHeight="1" x14ac:dyDescent="0.25">
      <c r="A208" s="2"/>
      <c r="B208" s="2"/>
      <c r="C208" s="9"/>
      <c r="D208" s="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9.5" customHeight="1" x14ac:dyDescent="0.25">
      <c r="A209" s="2"/>
      <c r="B209" s="2"/>
      <c r="C209" s="9"/>
      <c r="D209" s="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9.5" customHeight="1" x14ac:dyDescent="0.25">
      <c r="A210" s="2"/>
      <c r="B210" s="2"/>
      <c r="C210" s="9"/>
      <c r="D210" s="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9.5" customHeight="1" x14ac:dyDescent="0.25">
      <c r="A211" s="2"/>
      <c r="B211" s="2"/>
      <c r="C211" s="9"/>
      <c r="D211" s="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9.5" customHeight="1" x14ac:dyDescent="0.25">
      <c r="A212" s="2"/>
      <c r="B212" s="2"/>
      <c r="C212" s="9"/>
      <c r="D212" s="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9.5" customHeight="1" x14ac:dyDescent="0.25">
      <c r="A213" s="2"/>
      <c r="B213" s="2"/>
      <c r="C213" s="9"/>
      <c r="D213" s="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9.5" customHeight="1" x14ac:dyDescent="0.25">
      <c r="A214" s="2"/>
      <c r="B214" s="2"/>
      <c r="C214" s="9"/>
      <c r="D214" s="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9.5" customHeight="1" x14ac:dyDescent="0.25">
      <c r="A215" s="2"/>
      <c r="B215" s="2"/>
      <c r="C215" s="9"/>
      <c r="D215" s="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9.5" customHeight="1" x14ac:dyDescent="0.25">
      <c r="A216" s="2"/>
      <c r="B216" s="2"/>
      <c r="C216" s="9"/>
      <c r="D216" s="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9.5" customHeight="1" x14ac:dyDescent="0.25">
      <c r="A217" s="2"/>
      <c r="B217" s="2"/>
      <c r="C217" s="9"/>
      <c r="D217" s="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9.5" customHeight="1" x14ac:dyDescent="0.25">
      <c r="A218" s="2"/>
      <c r="B218" s="2"/>
      <c r="C218" s="9"/>
      <c r="D218" s="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9.5" customHeight="1" x14ac:dyDescent="0.25">
      <c r="A219" s="2"/>
      <c r="B219" s="2"/>
      <c r="C219" s="9"/>
      <c r="D219" s="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9.5" customHeight="1" x14ac:dyDescent="0.25">
      <c r="A220" s="2"/>
      <c r="B220" s="2"/>
      <c r="C220" s="9"/>
      <c r="D220" s="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9.5" customHeight="1" x14ac:dyDescent="0.25">
      <c r="A221" s="2"/>
      <c r="B221" s="2"/>
      <c r="C221" s="9"/>
      <c r="D221" s="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9.5" customHeight="1" x14ac:dyDescent="0.25">
      <c r="A222" s="2"/>
      <c r="B222" s="2"/>
      <c r="C222" s="9"/>
      <c r="D222" s="9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9.5" customHeight="1" x14ac:dyDescent="0.25">
      <c r="A223" s="2"/>
      <c r="B223" s="2"/>
      <c r="C223" s="9"/>
      <c r="D223" s="9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9.5" customHeight="1" x14ac:dyDescent="0.25">
      <c r="A224" s="2"/>
      <c r="B224" s="2"/>
      <c r="C224" s="9"/>
      <c r="D224" s="9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9.5" customHeight="1" x14ac:dyDescent="0.25">
      <c r="A225" s="2"/>
      <c r="B225" s="2"/>
      <c r="C225" s="9"/>
      <c r="D225" s="9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9.5" customHeight="1" x14ac:dyDescent="0.25">
      <c r="A226" s="2"/>
      <c r="B226" s="2"/>
      <c r="C226" s="9"/>
      <c r="D226" s="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9.5" customHeight="1" x14ac:dyDescent="0.25">
      <c r="A227" s="2"/>
      <c r="B227" s="2"/>
      <c r="C227" s="9"/>
      <c r="D227" s="9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9.5" customHeight="1" x14ac:dyDescent="0.25">
      <c r="A228" s="2"/>
      <c r="B228" s="2"/>
      <c r="C228" s="9"/>
      <c r="D228" s="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9.5" customHeight="1" x14ac:dyDescent="0.25">
      <c r="A229" s="2"/>
      <c r="B229" s="2"/>
      <c r="C229" s="9"/>
      <c r="D229" s="9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9.5" customHeight="1" x14ac:dyDescent="0.25">
      <c r="A230" s="2"/>
      <c r="B230" s="2"/>
      <c r="C230" s="9"/>
      <c r="D230" s="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9.5" customHeight="1" x14ac:dyDescent="0.25">
      <c r="A231" s="2"/>
      <c r="B231" s="2"/>
      <c r="C231" s="9"/>
      <c r="D231" s="9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9.5" customHeight="1" x14ac:dyDescent="0.25">
      <c r="A232" s="2"/>
      <c r="B232" s="2"/>
      <c r="C232" s="9"/>
      <c r="D232" s="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9.5" customHeight="1" x14ac:dyDescent="0.25">
      <c r="A233" s="2"/>
      <c r="B233" s="2"/>
      <c r="C233" s="9"/>
      <c r="D233" s="9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9.5" customHeight="1" x14ac:dyDescent="0.25">
      <c r="A234" s="2"/>
      <c r="B234" s="2"/>
      <c r="C234" s="9"/>
      <c r="D234" s="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9.5" customHeight="1" x14ac:dyDescent="0.25">
      <c r="A235" s="2"/>
      <c r="B235" s="2"/>
      <c r="C235" s="9"/>
      <c r="D235" s="9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9.5" customHeight="1" x14ac:dyDescent="0.25">
      <c r="A236" s="2"/>
      <c r="B236" s="2"/>
      <c r="C236" s="9"/>
      <c r="D236" s="9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9.5" customHeight="1" x14ac:dyDescent="0.25">
      <c r="A237" s="2"/>
      <c r="B237" s="2"/>
      <c r="C237" s="9"/>
      <c r="D237" s="9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9.5" customHeight="1" x14ac:dyDescent="0.25">
      <c r="A238" s="2"/>
      <c r="B238" s="2"/>
      <c r="C238" s="9"/>
      <c r="D238" s="9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9.5" customHeight="1" x14ac:dyDescent="0.25">
      <c r="A239" s="2"/>
      <c r="B239" s="2"/>
      <c r="C239" s="9"/>
      <c r="D239" s="9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9.5" customHeight="1" x14ac:dyDescent="0.25">
      <c r="A240" s="2"/>
      <c r="B240" s="2"/>
      <c r="C240" s="9"/>
      <c r="D240" s="9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9.5" customHeight="1" x14ac:dyDescent="0.25">
      <c r="A241" s="2"/>
      <c r="B241" s="2"/>
      <c r="C241" s="9"/>
      <c r="D241" s="9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9.5" customHeight="1" x14ac:dyDescent="0.25">
      <c r="A242" s="2"/>
      <c r="B242" s="2"/>
      <c r="C242" s="9"/>
      <c r="D242" s="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9.5" customHeight="1" x14ac:dyDescent="0.25">
      <c r="A243" s="2"/>
      <c r="B243" s="2"/>
      <c r="C243" s="9"/>
      <c r="D243" s="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9.5" customHeight="1" x14ac:dyDescent="0.25">
      <c r="A244" s="2"/>
      <c r="B244" s="2"/>
      <c r="C244" s="9"/>
      <c r="D244" s="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9.5" customHeight="1" x14ac:dyDescent="0.25">
      <c r="A245" s="2"/>
      <c r="B245" s="2"/>
      <c r="C245" s="9"/>
      <c r="D245" s="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9.5" customHeight="1" x14ac:dyDescent="0.25">
      <c r="A246" s="2"/>
      <c r="B246" s="2"/>
      <c r="C246" s="9"/>
      <c r="D246" s="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9.5" customHeight="1" x14ac:dyDescent="0.25">
      <c r="A247" s="2"/>
      <c r="B247" s="2"/>
      <c r="C247" s="9"/>
      <c r="D247" s="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9.5" customHeight="1" x14ac:dyDescent="0.25">
      <c r="A248" s="2"/>
      <c r="B248" s="2"/>
      <c r="C248" s="9"/>
      <c r="D248" s="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9.5" customHeight="1" x14ac:dyDescent="0.25">
      <c r="A249" s="2"/>
      <c r="B249" s="2"/>
      <c r="C249" s="9"/>
      <c r="D249" s="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9.5" customHeight="1" x14ac:dyDescent="0.25">
      <c r="A250" s="2"/>
      <c r="B250" s="2"/>
      <c r="C250" s="9"/>
      <c r="D250" s="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9.5" customHeight="1" x14ac:dyDescent="0.25">
      <c r="A251" s="2"/>
      <c r="B251" s="2"/>
      <c r="C251" s="9"/>
      <c r="D251" s="9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9.5" customHeight="1" x14ac:dyDescent="0.25">
      <c r="A252" s="2"/>
      <c r="B252" s="2"/>
      <c r="C252" s="9"/>
      <c r="D252" s="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9.5" customHeight="1" x14ac:dyDescent="0.25">
      <c r="A253" s="2"/>
      <c r="B253" s="2"/>
      <c r="C253" s="9"/>
      <c r="D253" s="9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9.5" customHeight="1" x14ac:dyDescent="0.25">
      <c r="A254" s="2"/>
      <c r="B254" s="2"/>
      <c r="C254" s="9"/>
      <c r="D254" s="9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9.5" customHeight="1" x14ac:dyDescent="0.25">
      <c r="A255" s="2"/>
      <c r="B255" s="2"/>
      <c r="C255" s="9"/>
      <c r="D255" s="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9.5" customHeight="1" x14ac:dyDescent="0.25">
      <c r="A256" s="2"/>
      <c r="B256" s="2"/>
      <c r="C256" s="9"/>
      <c r="D256" s="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9.5" customHeight="1" x14ac:dyDescent="0.25">
      <c r="A257" s="2"/>
      <c r="B257" s="2"/>
      <c r="C257" s="9"/>
      <c r="D257" s="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9.5" customHeight="1" x14ac:dyDescent="0.25">
      <c r="A258" s="2"/>
      <c r="B258" s="2"/>
      <c r="C258" s="9"/>
      <c r="D258" s="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9.5" customHeight="1" x14ac:dyDescent="0.25">
      <c r="A259" s="2"/>
      <c r="B259" s="2"/>
      <c r="C259" s="9"/>
      <c r="D259" s="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9.5" customHeight="1" x14ac:dyDescent="0.25">
      <c r="A260" s="2"/>
      <c r="B260" s="2"/>
      <c r="C260" s="9"/>
      <c r="D260" s="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9.5" customHeight="1" x14ac:dyDescent="0.25">
      <c r="A261" s="2"/>
      <c r="B261" s="2"/>
      <c r="C261" s="9"/>
      <c r="D261" s="9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9.5" customHeight="1" x14ac:dyDescent="0.25">
      <c r="A262" s="2"/>
      <c r="B262" s="2"/>
      <c r="C262" s="9"/>
      <c r="D262" s="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9.5" customHeight="1" x14ac:dyDescent="0.25">
      <c r="A263" s="2"/>
      <c r="B263" s="2"/>
      <c r="C263" s="9"/>
      <c r="D263" s="9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9.5" customHeight="1" x14ac:dyDescent="0.25">
      <c r="A264" s="2"/>
      <c r="B264" s="2"/>
      <c r="C264" s="9"/>
      <c r="D264" s="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9.5" customHeight="1" x14ac:dyDescent="0.25">
      <c r="A265" s="2"/>
      <c r="B265" s="2"/>
      <c r="C265" s="9"/>
      <c r="D265" s="9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9.5" customHeight="1" x14ac:dyDescent="0.25">
      <c r="A266" s="2"/>
      <c r="B266" s="2"/>
      <c r="C266" s="9"/>
      <c r="D266" s="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9.5" customHeight="1" x14ac:dyDescent="0.25">
      <c r="A267" s="2"/>
      <c r="B267" s="2"/>
      <c r="C267" s="9"/>
      <c r="D267" s="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9.5" customHeight="1" x14ac:dyDescent="0.25">
      <c r="A268" s="2"/>
      <c r="B268" s="2"/>
      <c r="C268" s="9"/>
      <c r="D268" s="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9.5" customHeight="1" x14ac:dyDescent="0.25">
      <c r="A269" s="2"/>
      <c r="B269" s="2"/>
      <c r="C269" s="9"/>
      <c r="D269" s="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9.5" customHeight="1" x14ac:dyDescent="0.25">
      <c r="A270" s="2"/>
      <c r="B270" s="2"/>
      <c r="C270" s="9"/>
      <c r="D270" s="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9.5" customHeight="1" x14ac:dyDescent="0.25">
      <c r="A271" s="2"/>
      <c r="B271" s="2"/>
      <c r="C271" s="9"/>
      <c r="D271" s="9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9.5" customHeight="1" x14ac:dyDescent="0.25">
      <c r="A272" s="2"/>
      <c r="B272" s="2"/>
      <c r="C272" s="9"/>
      <c r="D272" s="9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9.5" customHeight="1" x14ac:dyDescent="0.25">
      <c r="A273" s="2"/>
      <c r="B273" s="2"/>
      <c r="C273" s="9"/>
      <c r="D273" s="9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9.5" customHeight="1" x14ac:dyDescent="0.25">
      <c r="A274" s="2"/>
      <c r="B274" s="2"/>
      <c r="C274" s="9"/>
      <c r="D274" s="9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9.5" customHeight="1" x14ac:dyDescent="0.25">
      <c r="A275" s="2"/>
      <c r="B275" s="2"/>
      <c r="C275" s="9"/>
      <c r="D275" s="9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9.5" customHeight="1" x14ac:dyDescent="0.25">
      <c r="A276" s="2"/>
      <c r="B276" s="2"/>
      <c r="C276" s="9"/>
      <c r="D276" s="9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9.5" customHeight="1" x14ac:dyDescent="0.25">
      <c r="A277" s="2"/>
      <c r="B277" s="2"/>
      <c r="C277" s="9"/>
      <c r="D277" s="9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9.5" customHeight="1" x14ac:dyDescent="0.25">
      <c r="A278" s="2"/>
      <c r="B278" s="2"/>
      <c r="C278" s="9"/>
      <c r="D278" s="9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9.5" customHeight="1" x14ac:dyDescent="0.25">
      <c r="A279" s="2"/>
      <c r="B279" s="2"/>
      <c r="C279" s="9"/>
      <c r="D279" s="9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9.5" customHeight="1" x14ac:dyDescent="0.25">
      <c r="A280" s="2"/>
      <c r="B280" s="2"/>
      <c r="C280" s="9"/>
      <c r="D280" s="9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9.5" customHeight="1" x14ac:dyDescent="0.25">
      <c r="A281" s="2"/>
      <c r="B281" s="2"/>
      <c r="C281" s="9"/>
      <c r="D281" s="9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9.5" customHeight="1" x14ac:dyDescent="0.25">
      <c r="A282" s="2"/>
      <c r="B282" s="2"/>
      <c r="C282" s="9"/>
      <c r="D282" s="9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9.5" customHeight="1" x14ac:dyDescent="0.25">
      <c r="A283" s="2"/>
      <c r="B283" s="2"/>
      <c r="C283" s="9"/>
      <c r="D283" s="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9.5" customHeight="1" x14ac:dyDescent="0.25">
      <c r="A284" s="2"/>
      <c r="B284" s="2"/>
      <c r="C284" s="9"/>
      <c r="D284" s="9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9.5" customHeight="1" x14ac:dyDescent="0.25">
      <c r="A285" s="2"/>
      <c r="B285" s="2"/>
      <c r="C285" s="9"/>
      <c r="D285" s="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9.5" customHeight="1" x14ac:dyDescent="0.25">
      <c r="A286" s="2"/>
      <c r="B286" s="2"/>
      <c r="C286" s="9"/>
      <c r="D286" s="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9.5" customHeight="1" x14ac:dyDescent="0.25">
      <c r="A287" s="2"/>
      <c r="B287" s="2"/>
      <c r="C287" s="9"/>
      <c r="D287" s="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9.5" customHeight="1" x14ac:dyDescent="0.25">
      <c r="A288" s="2"/>
      <c r="B288" s="2"/>
      <c r="C288" s="9"/>
      <c r="D288" s="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9.5" customHeight="1" x14ac:dyDescent="0.25">
      <c r="A289" s="2"/>
      <c r="B289" s="2"/>
      <c r="C289" s="9"/>
      <c r="D289" s="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9.5" customHeight="1" x14ac:dyDescent="0.25">
      <c r="A290" s="2"/>
      <c r="B290" s="2"/>
      <c r="C290" s="9"/>
      <c r="D290" s="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9.5" customHeight="1" x14ac:dyDescent="0.25">
      <c r="A291" s="2"/>
      <c r="B291" s="2"/>
      <c r="C291" s="9"/>
      <c r="D291" s="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9.5" customHeight="1" x14ac:dyDescent="0.25">
      <c r="A292" s="2"/>
      <c r="B292" s="2"/>
      <c r="C292" s="9"/>
      <c r="D292" s="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9.5" customHeight="1" x14ac:dyDescent="0.25">
      <c r="A293" s="2"/>
      <c r="B293" s="2"/>
      <c r="C293" s="9"/>
      <c r="D293" s="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9.5" customHeight="1" x14ac:dyDescent="0.25">
      <c r="A294" s="2"/>
      <c r="B294" s="2"/>
      <c r="C294" s="9"/>
      <c r="D294" s="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9.5" customHeight="1" x14ac:dyDescent="0.25">
      <c r="A295" s="2"/>
      <c r="B295" s="2"/>
      <c r="C295" s="9"/>
      <c r="D295" s="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9.5" customHeight="1" x14ac:dyDescent="0.25">
      <c r="A296" s="2"/>
      <c r="B296" s="2"/>
      <c r="C296" s="9"/>
      <c r="D296" s="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9.5" customHeight="1" x14ac:dyDescent="0.25">
      <c r="A297" s="2"/>
      <c r="B297" s="2"/>
      <c r="C297" s="9"/>
      <c r="D297" s="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9.5" customHeight="1" x14ac:dyDescent="0.25">
      <c r="A298" s="2"/>
      <c r="B298" s="2"/>
      <c r="C298" s="9"/>
      <c r="D298" s="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9.5" customHeight="1" x14ac:dyDescent="0.25">
      <c r="A299" s="2"/>
      <c r="B299" s="2"/>
      <c r="C299" s="9"/>
      <c r="D299" s="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9.5" customHeight="1" x14ac:dyDescent="0.25">
      <c r="A300" s="2"/>
      <c r="B300" s="2"/>
      <c r="C300" s="9"/>
      <c r="D300" s="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9.5" customHeight="1" x14ac:dyDescent="0.25">
      <c r="A301" s="2"/>
      <c r="B301" s="2"/>
      <c r="C301" s="9"/>
      <c r="D301" s="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9.5" customHeight="1" x14ac:dyDescent="0.25">
      <c r="A302" s="2"/>
      <c r="B302" s="2"/>
      <c r="C302" s="9"/>
      <c r="D302" s="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9.5" customHeight="1" x14ac:dyDescent="0.25">
      <c r="A303" s="2"/>
      <c r="B303" s="2"/>
      <c r="C303" s="9"/>
      <c r="D303" s="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9.5" customHeight="1" x14ac:dyDescent="0.25">
      <c r="A304" s="2"/>
      <c r="B304" s="2"/>
      <c r="C304" s="9"/>
      <c r="D304" s="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9.5" customHeight="1" x14ac:dyDescent="0.25">
      <c r="A305" s="2"/>
      <c r="B305" s="2"/>
      <c r="C305" s="9"/>
      <c r="D305" s="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9.5" customHeight="1" x14ac:dyDescent="0.25">
      <c r="A306" s="2"/>
      <c r="B306" s="2"/>
      <c r="C306" s="9"/>
      <c r="D306" s="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9.5" customHeight="1" x14ac:dyDescent="0.25">
      <c r="A307" s="2"/>
      <c r="B307" s="2"/>
      <c r="C307" s="9"/>
      <c r="D307" s="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9.5" customHeight="1" x14ac:dyDescent="0.25">
      <c r="A308" s="2"/>
      <c r="B308" s="2"/>
      <c r="C308" s="9"/>
      <c r="D308" s="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9.5" customHeight="1" x14ac:dyDescent="0.25">
      <c r="A309" s="2"/>
      <c r="B309" s="2"/>
      <c r="C309" s="9"/>
      <c r="D309" s="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9.5" customHeight="1" x14ac:dyDescent="0.25">
      <c r="A310" s="2"/>
      <c r="B310" s="2"/>
      <c r="C310" s="9"/>
      <c r="D310" s="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9.5" customHeight="1" x14ac:dyDescent="0.25">
      <c r="A311" s="2"/>
      <c r="B311" s="2"/>
      <c r="C311" s="9"/>
      <c r="D311" s="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9.5" customHeight="1" x14ac:dyDescent="0.25">
      <c r="A312" s="2"/>
      <c r="B312" s="2"/>
      <c r="C312" s="9"/>
      <c r="D312" s="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9.5" customHeight="1" x14ac:dyDescent="0.25">
      <c r="A313" s="2"/>
      <c r="B313" s="2"/>
      <c r="C313" s="9"/>
      <c r="D313" s="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9.5" customHeight="1" x14ac:dyDescent="0.25">
      <c r="A314" s="2"/>
      <c r="B314" s="2"/>
      <c r="C314" s="9"/>
      <c r="D314" s="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9.5" customHeight="1" x14ac:dyDescent="0.25">
      <c r="A315" s="2"/>
      <c r="B315" s="2"/>
      <c r="C315" s="9"/>
      <c r="D315" s="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9.5" customHeight="1" x14ac:dyDescent="0.25">
      <c r="A316" s="2"/>
      <c r="B316" s="2"/>
      <c r="C316" s="9"/>
      <c r="D316" s="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9.5" customHeight="1" x14ac:dyDescent="0.25">
      <c r="A317" s="2"/>
      <c r="B317" s="2"/>
      <c r="C317" s="9"/>
      <c r="D317" s="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9.5" customHeight="1" x14ac:dyDescent="0.25">
      <c r="A318" s="2"/>
      <c r="B318" s="2"/>
      <c r="C318" s="9"/>
      <c r="D318" s="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9.5" customHeight="1" x14ac:dyDescent="0.25">
      <c r="A319" s="2"/>
      <c r="B319" s="2"/>
      <c r="C319" s="9"/>
      <c r="D319" s="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9.5" customHeight="1" x14ac:dyDescent="0.25">
      <c r="A320" s="2"/>
      <c r="B320" s="2"/>
      <c r="C320" s="9"/>
      <c r="D320" s="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9.5" customHeight="1" x14ac:dyDescent="0.25">
      <c r="A321" s="2"/>
      <c r="B321" s="2"/>
      <c r="C321" s="9"/>
      <c r="D321" s="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9.5" customHeight="1" x14ac:dyDescent="0.25">
      <c r="A322" s="2"/>
      <c r="B322" s="2"/>
      <c r="C322" s="9"/>
      <c r="D322" s="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9.5" customHeight="1" x14ac:dyDescent="0.25">
      <c r="A323" s="2"/>
      <c r="B323" s="2"/>
      <c r="C323" s="9"/>
      <c r="D323" s="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9.5" customHeight="1" x14ac:dyDescent="0.25">
      <c r="A324" s="2"/>
      <c r="B324" s="2"/>
      <c r="C324" s="9"/>
      <c r="D324" s="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9.5" customHeight="1" x14ac:dyDescent="0.25">
      <c r="A325" s="2"/>
      <c r="B325" s="2"/>
      <c r="C325" s="9"/>
      <c r="D325" s="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9.5" customHeight="1" x14ac:dyDescent="0.25">
      <c r="A326" s="2"/>
      <c r="B326" s="2"/>
      <c r="C326" s="9"/>
      <c r="D326" s="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9.5" customHeight="1" x14ac:dyDescent="0.25">
      <c r="A327" s="2"/>
      <c r="B327" s="2"/>
      <c r="C327" s="9"/>
      <c r="D327" s="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9.5" customHeight="1" x14ac:dyDescent="0.25">
      <c r="A328" s="2"/>
      <c r="B328" s="2"/>
      <c r="C328" s="9"/>
      <c r="D328" s="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9.5" customHeight="1" x14ac:dyDescent="0.25">
      <c r="A329" s="2"/>
      <c r="B329" s="2"/>
      <c r="C329" s="9"/>
      <c r="D329" s="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9.5" customHeight="1" x14ac:dyDescent="0.25">
      <c r="A330" s="2"/>
      <c r="B330" s="2"/>
      <c r="C330" s="9"/>
      <c r="D330" s="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9.5" customHeight="1" x14ac:dyDescent="0.25">
      <c r="A331" s="2"/>
      <c r="B331" s="2"/>
      <c r="C331" s="9"/>
      <c r="D331" s="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9.5" customHeight="1" x14ac:dyDescent="0.25">
      <c r="A332" s="2"/>
      <c r="B332" s="2"/>
      <c r="C332" s="9"/>
      <c r="D332" s="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9.5" customHeight="1" x14ac:dyDescent="0.25">
      <c r="A333" s="2"/>
      <c r="B333" s="2"/>
      <c r="C333" s="9"/>
      <c r="D333" s="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9.5" customHeight="1" x14ac:dyDescent="0.25">
      <c r="A334" s="2"/>
      <c r="B334" s="2"/>
      <c r="C334" s="9"/>
      <c r="D334" s="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9.5" customHeight="1" x14ac:dyDescent="0.25">
      <c r="A335" s="2"/>
      <c r="B335" s="2"/>
      <c r="C335" s="9"/>
      <c r="D335" s="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9.5" customHeight="1" x14ac:dyDescent="0.25">
      <c r="A336" s="2"/>
      <c r="B336" s="2"/>
      <c r="C336" s="9"/>
      <c r="D336" s="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9.5" customHeight="1" x14ac:dyDescent="0.25">
      <c r="A337" s="2"/>
      <c r="B337" s="2"/>
      <c r="C337" s="9"/>
      <c r="D337" s="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9.5" customHeight="1" x14ac:dyDescent="0.25">
      <c r="A338" s="2"/>
      <c r="B338" s="2"/>
      <c r="C338" s="9"/>
      <c r="D338" s="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9.5" customHeight="1" x14ac:dyDescent="0.25">
      <c r="A339" s="2"/>
      <c r="B339" s="2"/>
      <c r="C339" s="9"/>
      <c r="D339" s="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9.5" customHeight="1" x14ac:dyDescent="0.25">
      <c r="A340" s="2"/>
      <c r="B340" s="2"/>
      <c r="C340" s="9"/>
      <c r="D340" s="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9.5" customHeight="1" x14ac:dyDescent="0.25">
      <c r="A341" s="2"/>
      <c r="B341" s="2"/>
      <c r="C341" s="9"/>
      <c r="D341" s="9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9.5" customHeight="1" x14ac:dyDescent="0.25">
      <c r="A342" s="2"/>
      <c r="B342" s="2"/>
      <c r="C342" s="9"/>
      <c r="D342" s="9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9.5" customHeight="1" x14ac:dyDescent="0.25">
      <c r="A343" s="2"/>
      <c r="B343" s="2"/>
      <c r="C343" s="9"/>
      <c r="D343" s="9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9.5" customHeight="1" x14ac:dyDescent="0.25">
      <c r="A344" s="2"/>
      <c r="B344" s="2"/>
      <c r="C344" s="9"/>
      <c r="D344" s="9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9.5" customHeight="1" x14ac:dyDescent="0.25">
      <c r="A345" s="2"/>
      <c r="B345" s="2"/>
      <c r="C345" s="9"/>
      <c r="D345" s="9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9.5" customHeight="1" x14ac:dyDescent="0.25">
      <c r="A346" s="2"/>
      <c r="B346" s="2"/>
      <c r="C346" s="9"/>
      <c r="D346" s="9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9.5" customHeight="1" x14ac:dyDescent="0.25">
      <c r="A347" s="2"/>
      <c r="B347" s="2"/>
      <c r="C347" s="9"/>
      <c r="D347" s="9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9.5" customHeight="1" x14ac:dyDescent="0.25">
      <c r="A348" s="2"/>
      <c r="B348" s="2"/>
      <c r="C348" s="9"/>
      <c r="D348" s="9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9.5" customHeight="1" x14ac:dyDescent="0.25">
      <c r="A349" s="2"/>
      <c r="B349" s="2"/>
      <c r="C349" s="9"/>
      <c r="D349" s="9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9.5" customHeight="1" x14ac:dyDescent="0.25">
      <c r="A350" s="2"/>
      <c r="B350" s="2"/>
      <c r="C350" s="9"/>
      <c r="D350" s="9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9.5" customHeight="1" x14ac:dyDescent="0.25">
      <c r="A351" s="2"/>
      <c r="B351" s="2"/>
      <c r="C351" s="9"/>
      <c r="D351" s="9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9.5" customHeight="1" x14ac:dyDescent="0.25">
      <c r="A352" s="2"/>
      <c r="B352" s="2"/>
      <c r="C352" s="9"/>
      <c r="D352" s="9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9.5" customHeight="1" x14ac:dyDescent="0.25">
      <c r="A353" s="2"/>
      <c r="B353" s="2"/>
      <c r="C353" s="9"/>
      <c r="D353" s="9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9.5" customHeight="1" x14ac:dyDescent="0.25">
      <c r="A354" s="2"/>
      <c r="B354" s="2"/>
      <c r="C354" s="9"/>
      <c r="D354" s="9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9.5" customHeight="1" x14ac:dyDescent="0.25">
      <c r="A355" s="2"/>
      <c r="B355" s="2"/>
      <c r="C355" s="9"/>
      <c r="D355" s="9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9.5" customHeight="1" x14ac:dyDescent="0.25">
      <c r="A356" s="2"/>
      <c r="B356" s="2"/>
      <c r="C356" s="9"/>
      <c r="D356" s="9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9.5" customHeight="1" x14ac:dyDescent="0.25">
      <c r="A357" s="2"/>
      <c r="B357" s="2"/>
      <c r="C357" s="9"/>
      <c r="D357" s="9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9.5" customHeight="1" x14ac:dyDescent="0.25">
      <c r="A358" s="2"/>
      <c r="B358" s="2"/>
      <c r="C358" s="9"/>
      <c r="D358" s="9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9.5" customHeight="1" x14ac:dyDescent="0.25">
      <c r="A359" s="2"/>
      <c r="B359" s="2"/>
      <c r="C359" s="9"/>
      <c r="D359" s="9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9.5" customHeight="1" x14ac:dyDescent="0.25">
      <c r="A360" s="2"/>
      <c r="B360" s="2"/>
      <c r="C360" s="9"/>
      <c r="D360" s="9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9.5" customHeight="1" x14ac:dyDescent="0.25">
      <c r="A361" s="2"/>
      <c r="B361" s="2"/>
      <c r="C361" s="9"/>
      <c r="D361" s="9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9.5" customHeight="1" x14ac:dyDescent="0.25">
      <c r="A362" s="2"/>
      <c r="B362" s="2"/>
      <c r="C362" s="9"/>
      <c r="D362" s="9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9.5" customHeight="1" x14ac:dyDescent="0.25">
      <c r="A363" s="2"/>
      <c r="B363" s="2"/>
      <c r="C363" s="9"/>
      <c r="D363" s="9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9.5" customHeight="1" x14ac:dyDescent="0.25">
      <c r="A364" s="2"/>
      <c r="B364" s="2"/>
      <c r="C364" s="9"/>
      <c r="D364" s="9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9.5" customHeight="1" x14ac:dyDescent="0.25">
      <c r="A365" s="2"/>
      <c r="B365" s="2"/>
      <c r="C365" s="9"/>
      <c r="D365" s="9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9.5" customHeight="1" x14ac:dyDescent="0.25">
      <c r="A366" s="2"/>
      <c r="B366" s="2"/>
      <c r="C366" s="9"/>
      <c r="D366" s="9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9.5" customHeight="1" x14ac:dyDescent="0.25">
      <c r="A367" s="2"/>
      <c r="B367" s="2"/>
      <c r="C367" s="9"/>
      <c r="D367" s="9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9.5" customHeight="1" x14ac:dyDescent="0.25">
      <c r="A368" s="2"/>
      <c r="B368" s="2"/>
      <c r="C368" s="9"/>
      <c r="D368" s="9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9.5" customHeight="1" x14ac:dyDescent="0.25">
      <c r="A369" s="2"/>
      <c r="B369" s="2"/>
      <c r="C369" s="9"/>
      <c r="D369" s="9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9.5" customHeight="1" x14ac:dyDescent="0.25">
      <c r="A370" s="2"/>
      <c r="B370" s="2"/>
      <c r="C370" s="9"/>
      <c r="D370" s="9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9.5" customHeight="1" x14ac:dyDescent="0.25">
      <c r="A371" s="2"/>
      <c r="B371" s="2"/>
      <c r="C371" s="9"/>
      <c r="D371" s="9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9.5" customHeight="1" x14ac:dyDescent="0.25">
      <c r="A372" s="2"/>
      <c r="B372" s="2"/>
      <c r="C372" s="9"/>
      <c r="D372" s="9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9.5" customHeight="1" x14ac:dyDescent="0.25">
      <c r="A373" s="2"/>
      <c r="B373" s="2"/>
      <c r="C373" s="9"/>
      <c r="D373" s="9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9.5" customHeight="1" x14ac:dyDescent="0.25">
      <c r="A374" s="2"/>
      <c r="B374" s="2"/>
      <c r="C374" s="9"/>
      <c r="D374" s="9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9.5" customHeight="1" x14ac:dyDescent="0.25">
      <c r="A375" s="2"/>
      <c r="B375" s="2"/>
      <c r="C375" s="9"/>
      <c r="D375" s="9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9.5" customHeight="1" x14ac:dyDescent="0.25">
      <c r="A376" s="2"/>
      <c r="B376" s="2"/>
      <c r="C376" s="9"/>
      <c r="D376" s="9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9.5" customHeight="1" x14ac:dyDescent="0.25">
      <c r="A377" s="2"/>
      <c r="B377" s="2"/>
      <c r="C377" s="9"/>
      <c r="D377" s="9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9.5" customHeight="1" x14ac:dyDescent="0.25">
      <c r="A378" s="2"/>
      <c r="B378" s="2"/>
      <c r="C378" s="9"/>
      <c r="D378" s="9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9.5" customHeight="1" x14ac:dyDescent="0.25">
      <c r="A379" s="2"/>
      <c r="B379" s="2"/>
      <c r="C379" s="9"/>
      <c r="D379" s="9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9.5" customHeight="1" x14ac:dyDescent="0.25">
      <c r="A380" s="2"/>
      <c r="B380" s="2"/>
      <c r="C380" s="9"/>
      <c r="D380" s="9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9.5" customHeight="1" x14ac:dyDescent="0.25">
      <c r="A381" s="2"/>
      <c r="B381" s="2"/>
      <c r="C381" s="9"/>
      <c r="D381" s="9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9.5" customHeight="1" x14ac:dyDescent="0.25">
      <c r="A382" s="2"/>
      <c r="B382" s="2"/>
      <c r="C382" s="9"/>
      <c r="D382" s="9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9.5" customHeight="1" x14ac:dyDescent="0.25">
      <c r="A383" s="2"/>
      <c r="B383" s="2"/>
      <c r="C383" s="9"/>
      <c r="D383" s="9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9.5" customHeight="1" x14ac:dyDescent="0.25">
      <c r="A384" s="2"/>
      <c r="B384" s="2"/>
      <c r="C384" s="9"/>
      <c r="D384" s="9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9.5" customHeight="1" x14ac:dyDescent="0.25">
      <c r="A385" s="2"/>
      <c r="B385" s="2"/>
      <c r="C385" s="9"/>
      <c r="D385" s="9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9.5" customHeight="1" x14ac:dyDescent="0.25">
      <c r="A386" s="2"/>
      <c r="B386" s="2"/>
      <c r="C386" s="9"/>
      <c r="D386" s="9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9.5" customHeight="1" x14ac:dyDescent="0.25">
      <c r="A387" s="2"/>
      <c r="B387" s="2"/>
      <c r="C387" s="9"/>
      <c r="D387" s="9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9.5" customHeight="1" x14ac:dyDescent="0.25">
      <c r="A388" s="2"/>
      <c r="B388" s="2"/>
      <c r="C388" s="9"/>
      <c r="D388" s="9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9.5" customHeight="1" x14ac:dyDescent="0.25">
      <c r="A389" s="2"/>
      <c r="B389" s="2"/>
      <c r="C389" s="9"/>
      <c r="D389" s="9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9.5" customHeight="1" x14ac:dyDescent="0.25">
      <c r="A390" s="2"/>
      <c r="B390" s="2"/>
      <c r="C390" s="9"/>
      <c r="D390" s="9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9.5" customHeight="1" x14ac:dyDescent="0.25">
      <c r="A391" s="2"/>
      <c r="B391" s="2"/>
      <c r="C391" s="9"/>
      <c r="D391" s="9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9.5" customHeight="1" x14ac:dyDescent="0.25">
      <c r="A392" s="2"/>
      <c r="B392" s="2"/>
      <c r="C392" s="9"/>
      <c r="D392" s="9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9.5" customHeight="1" x14ac:dyDescent="0.25">
      <c r="A393" s="2"/>
      <c r="B393" s="2"/>
      <c r="C393" s="9"/>
      <c r="D393" s="9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9.5" customHeight="1" x14ac:dyDescent="0.25">
      <c r="A394" s="2"/>
      <c r="B394" s="2"/>
      <c r="C394" s="9"/>
      <c r="D394" s="9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9.5" customHeight="1" x14ac:dyDescent="0.25">
      <c r="A395" s="2"/>
      <c r="B395" s="2"/>
      <c r="C395" s="9"/>
      <c r="D395" s="9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9.5" customHeight="1" x14ac:dyDescent="0.25">
      <c r="A396" s="2"/>
      <c r="B396" s="2"/>
      <c r="C396" s="9"/>
      <c r="D396" s="9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9.5" customHeight="1" x14ac:dyDescent="0.25">
      <c r="A397" s="2"/>
      <c r="B397" s="2"/>
      <c r="C397" s="9"/>
      <c r="D397" s="9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9.5" customHeight="1" x14ac:dyDescent="0.25">
      <c r="A398" s="2"/>
      <c r="B398" s="2"/>
      <c r="C398" s="9"/>
      <c r="D398" s="9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9.5" customHeight="1" x14ac:dyDescent="0.25">
      <c r="A399" s="2"/>
      <c r="B399" s="2"/>
      <c r="C399" s="9"/>
      <c r="D399" s="9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9.5" customHeight="1" x14ac:dyDescent="0.25">
      <c r="A400" s="2"/>
      <c r="B400" s="2"/>
      <c r="C400" s="9"/>
      <c r="D400" s="9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9.5" customHeight="1" x14ac:dyDescent="0.25">
      <c r="A401" s="2"/>
      <c r="B401" s="2"/>
      <c r="C401" s="9"/>
      <c r="D401" s="9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9.5" customHeight="1" x14ac:dyDescent="0.25">
      <c r="A402" s="2"/>
      <c r="B402" s="2"/>
      <c r="C402" s="9"/>
      <c r="D402" s="9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9.5" customHeight="1" x14ac:dyDescent="0.25">
      <c r="A403" s="2"/>
      <c r="B403" s="2"/>
      <c r="C403" s="9"/>
      <c r="D403" s="9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9.5" customHeight="1" x14ac:dyDescent="0.25">
      <c r="A404" s="2"/>
      <c r="B404" s="2"/>
      <c r="C404" s="9"/>
      <c r="D404" s="9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9.5" customHeight="1" x14ac:dyDescent="0.25">
      <c r="A405" s="2"/>
      <c r="B405" s="2"/>
      <c r="C405" s="9"/>
      <c r="D405" s="9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9.5" customHeight="1" x14ac:dyDescent="0.25">
      <c r="A406" s="2"/>
      <c r="B406" s="2"/>
      <c r="C406" s="9"/>
      <c r="D406" s="9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9.5" customHeight="1" x14ac:dyDescent="0.25">
      <c r="A407" s="2"/>
      <c r="B407" s="2"/>
      <c r="C407" s="9"/>
      <c r="D407" s="9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9.5" customHeight="1" x14ac:dyDescent="0.25">
      <c r="A408" s="2"/>
      <c r="B408" s="2"/>
      <c r="C408" s="9"/>
      <c r="D408" s="9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9.5" customHeight="1" x14ac:dyDescent="0.25">
      <c r="A409" s="2"/>
      <c r="B409" s="2"/>
      <c r="C409" s="9"/>
      <c r="D409" s="9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9.5" customHeight="1" x14ac:dyDescent="0.25">
      <c r="A410" s="2"/>
      <c r="B410" s="2"/>
      <c r="C410" s="9"/>
      <c r="D410" s="9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9.5" customHeight="1" x14ac:dyDescent="0.25">
      <c r="A411" s="2"/>
      <c r="B411" s="2"/>
      <c r="C411" s="9"/>
      <c r="D411" s="9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9.5" customHeight="1" x14ac:dyDescent="0.25">
      <c r="A412" s="2"/>
      <c r="B412" s="2"/>
      <c r="C412" s="9"/>
      <c r="D412" s="9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9.5" customHeight="1" x14ac:dyDescent="0.25">
      <c r="A413" s="2"/>
      <c r="B413" s="2"/>
      <c r="C413" s="9"/>
      <c r="D413" s="9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9.5" customHeight="1" x14ac:dyDescent="0.25">
      <c r="A414" s="2"/>
      <c r="B414" s="2"/>
      <c r="C414" s="9"/>
      <c r="D414" s="9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9.5" customHeight="1" x14ac:dyDescent="0.25">
      <c r="A415" s="2"/>
      <c r="B415" s="2"/>
      <c r="C415" s="9"/>
      <c r="D415" s="9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9.5" customHeight="1" x14ac:dyDescent="0.25">
      <c r="A416" s="2"/>
      <c r="B416" s="2"/>
      <c r="C416" s="9"/>
      <c r="D416" s="9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9.5" customHeight="1" x14ac:dyDescent="0.25">
      <c r="A417" s="2"/>
      <c r="B417" s="2"/>
      <c r="C417" s="9"/>
      <c r="D417" s="9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9.5" customHeight="1" x14ac:dyDescent="0.25">
      <c r="A418" s="2"/>
      <c r="B418" s="2"/>
      <c r="C418" s="9"/>
      <c r="D418" s="9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9.5" customHeight="1" x14ac:dyDescent="0.25">
      <c r="A419" s="2"/>
      <c r="B419" s="2"/>
      <c r="C419" s="9"/>
      <c r="D419" s="9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9.5" customHeight="1" x14ac:dyDescent="0.25">
      <c r="A420" s="2"/>
      <c r="B420" s="2"/>
      <c r="C420" s="9"/>
      <c r="D420" s="9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9.5" customHeight="1" x14ac:dyDescent="0.25">
      <c r="A421" s="2"/>
      <c r="B421" s="2"/>
      <c r="C421" s="9"/>
      <c r="D421" s="9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9.5" customHeight="1" x14ac:dyDescent="0.25">
      <c r="A422" s="2"/>
      <c r="B422" s="2"/>
      <c r="C422" s="9"/>
      <c r="D422" s="9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9.5" customHeight="1" x14ac:dyDescent="0.25">
      <c r="A423" s="2"/>
      <c r="B423" s="2"/>
      <c r="C423" s="9"/>
      <c r="D423" s="9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9.5" customHeight="1" x14ac:dyDescent="0.25">
      <c r="A424" s="2"/>
      <c r="B424" s="2"/>
      <c r="C424" s="9"/>
      <c r="D424" s="9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9.5" customHeight="1" x14ac:dyDescent="0.25">
      <c r="A425" s="2"/>
      <c r="B425" s="2"/>
      <c r="C425" s="9"/>
      <c r="D425" s="9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9.5" customHeight="1" x14ac:dyDescent="0.25">
      <c r="A426" s="2"/>
      <c r="B426" s="2"/>
      <c r="C426" s="9"/>
      <c r="D426" s="9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9.5" customHeight="1" x14ac:dyDescent="0.25">
      <c r="A427" s="2"/>
      <c r="B427" s="2"/>
      <c r="C427" s="9"/>
      <c r="D427" s="9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9.5" customHeight="1" x14ac:dyDescent="0.25">
      <c r="A428" s="2"/>
      <c r="B428" s="2"/>
      <c r="C428" s="9"/>
      <c r="D428" s="9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9.5" customHeight="1" x14ac:dyDescent="0.25">
      <c r="A429" s="2"/>
      <c r="B429" s="2"/>
      <c r="C429" s="9"/>
      <c r="D429" s="9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9.5" customHeight="1" x14ac:dyDescent="0.25">
      <c r="A430" s="2"/>
      <c r="B430" s="2"/>
      <c r="C430" s="9"/>
      <c r="D430" s="9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9.5" customHeight="1" x14ac:dyDescent="0.25">
      <c r="A431" s="2"/>
      <c r="B431" s="2"/>
      <c r="C431" s="9"/>
      <c r="D431" s="9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9.5" customHeight="1" x14ac:dyDescent="0.25">
      <c r="A432" s="2"/>
      <c r="B432" s="2"/>
      <c r="C432" s="9"/>
      <c r="D432" s="9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9.5" customHeight="1" x14ac:dyDescent="0.25">
      <c r="A433" s="2"/>
      <c r="B433" s="2"/>
      <c r="C433" s="9"/>
      <c r="D433" s="9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9.5" customHeight="1" x14ac:dyDescent="0.25">
      <c r="A434" s="2"/>
      <c r="B434" s="2"/>
      <c r="C434" s="9"/>
      <c r="D434" s="9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9.5" customHeight="1" x14ac:dyDescent="0.25">
      <c r="A435" s="2"/>
      <c r="B435" s="2"/>
      <c r="C435" s="9"/>
      <c r="D435" s="9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9.5" customHeight="1" x14ac:dyDescent="0.25">
      <c r="A436" s="2"/>
      <c r="B436" s="2"/>
      <c r="C436" s="9"/>
      <c r="D436" s="9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9.5" customHeight="1" x14ac:dyDescent="0.25">
      <c r="A437" s="2"/>
      <c r="B437" s="2"/>
      <c r="C437" s="9"/>
      <c r="D437" s="9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9.5" customHeight="1" x14ac:dyDescent="0.25">
      <c r="A438" s="2"/>
      <c r="B438" s="2"/>
      <c r="C438" s="9"/>
      <c r="D438" s="9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9.5" customHeight="1" x14ac:dyDescent="0.25">
      <c r="A439" s="2"/>
      <c r="B439" s="2"/>
      <c r="C439" s="9"/>
      <c r="D439" s="9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9.5" customHeight="1" x14ac:dyDescent="0.25">
      <c r="A440" s="2"/>
      <c r="B440" s="2"/>
      <c r="C440" s="9"/>
      <c r="D440" s="9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9.5" customHeight="1" x14ac:dyDescent="0.25">
      <c r="A441" s="2"/>
      <c r="B441" s="2"/>
      <c r="C441" s="9"/>
      <c r="D441" s="9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9.5" customHeight="1" x14ac:dyDescent="0.25">
      <c r="A442" s="2"/>
      <c r="B442" s="2"/>
      <c r="C442" s="9"/>
      <c r="D442" s="9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9.5" customHeight="1" x14ac:dyDescent="0.25">
      <c r="A443" s="2"/>
      <c r="B443" s="2"/>
      <c r="C443" s="9"/>
      <c r="D443" s="9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9.5" customHeight="1" x14ac:dyDescent="0.25">
      <c r="A444" s="2"/>
      <c r="B444" s="2"/>
      <c r="C444" s="9"/>
      <c r="D444" s="9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9.5" customHeight="1" x14ac:dyDescent="0.25">
      <c r="A445" s="2"/>
      <c r="B445" s="2"/>
      <c r="C445" s="9"/>
      <c r="D445" s="9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9.5" customHeight="1" x14ac:dyDescent="0.25">
      <c r="A446" s="2"/>
      <c r="B446" s="2"/>
      <c r="C446" s="9"/>
      <c r="D446" s="9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9.5" customHeight="1" x14ac:dyDescent="0.25">
      <c r="A447" s="2"/>
      <c r="B447" s="2"/>
      <c r="C447" s="9"/>
      <c r="D447" s="9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9.5" customHeight="1" x14ac:dyDescent="0.25">
      <c r="A448" s="2"/>
      <c r="B448" s="2"/>
      <c r="C448" s="9"/>
      <c r="D448" s="9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9.5" customHeight="1" x14ac:dyDescent="0.25">
      <c r="A449" s="2"/>
      <c r="B449" s="2"/>
      <c r="C449" s="9"/>
      <c r="D449" s="9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9.5" customHeight="1" x14ac:dyDescent="0.25">
      <c r="A450" s="2"/>
      <c r="B450" s="2"/>
      <c r="C450" s="9"/>
      <c r="D450" s="9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9.5" customHeight="1" x14ac:dyDescent="0.25">
      <c r="A451" s="2"/>
      <c r="B451" s="2"/>
      <c r="C451" s="9"/>
      <c r="D451" s="9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9.5" customHeight="1" x14ac:dyDescent="0.25">
      <c r="A452" s="2"/>
      <c r="B452" s="2"/>
      <c r="C452" s="9"/>
      <c r="D452" s="9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9.5" customHeight="1" x14ac:dyDescent="0.25">
      <c r="A453" s="2"/>
      <c r="B453" s="2"/>
      <c r="C453" s="9"/>
      <c r="D453" s="9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9.5" customHeight="1" x14ac:dyDescent="0.25">
      <c r="A454" s="2"/>
      <c r="B454" s="2"/>
      <c r="C454" s="9"/>
      <c r="D454" s="9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9.5" customHeight="1" x14ac:dyDescent="0.25">
      <c r="A455" s="2"/>
      <c r="B455" s="2"/>
      <c r="C455" s="9"/>
      <c r="D455" s="9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9.5" customHeight="1" x14ac:dyDescent="0.25">
      <c r="A456" s="2"/>
      <c r="B456" s="2"/>
      <c r="C456" s="9"/>
      <c r="D456" s="9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9.5" customHeight="1" x14ac:dyDescent="0.25">
      <c r="A457" s="2"/>
      <c r="B457" s="2"/>
      <c r="C457" s="9"/>
      <c r="D457" s="9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9.5" customHeight="1" x14ac:dyDescent="0.25">
      <c r="A458" s="2"/>
      <c r="B458" s="2"/>
      <c r="C458" s="9"/>
      <c r="D458" s="9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9.5" customHeight="1" x14ac:dyDescent="0.25">
      <c r="A459" s="2"/>
      <c r="B459" s="2"/>
      <c r="C459" s="9"/>
      <c r="D459" s="9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9.5" customHeight="1" x14ac:dyDescent="0.25">
      <c r="A460" s="2"/>
      <c r="B460" s="2"/>
      <c r="C460" s="9"/>
      <c r="D460" s="9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9.5" customHeight="1" x14ac:dyDescent="0.25">
      <c r="A461" s="2"/>
      <c r="B461" s="2"/>
      <c r="C461" s="9"/>
      <c r="D461" s="9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9.5" customHeight="1" x14ac:dyDescent="0.25">
      <c r="A462" s="2"/>
      <c r="B462" s="2"/>
      <c r="C462" s="9"/>
      <c r="D462" s="9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9.5" customHeight="1" x14ac:dyDescent="0.25">
      <c r="A463" s="2"/>
      <c r="B463" s="2"/>
      <c r="C463" s="9"/>
      <c r="D463" s="9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9.5" customHeight="1" x14ac:dyDescent="0.25">
      <c r="A464" s="2"/>
      <c r="B464" s="2"/>
      <c r="C464" s="9"/>
      <c r="D464" s="9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9.5" customHeight="1" x14ac:dyDescent="0.25">
      <c r="A465" s="2"/>
      <c r="B465" s="2"/>
      <c r="C465" s="9"/>
      <c r="D465" s="9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9.5" customHeight="1" x14ac:dyDescent="0.25">
      <c r="A466" s="2"/>
      <c r="B466" s="2"/>
      <c r="C466" s="9"/>
      <c r="D466" s="9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9.5" customHeight="1" x14ac:dyDescent="0.25">
      <c r="A467" s="2"/>
      <c r="B467" s="2"/>
      <c r="C467" s="9"/>
      <c r="D467" s="9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9.5" customHeight="1" x14ac:dyDescent="0.25">
      <c r="A468" s="2"/>
      <c r="B468" s="2"/>
      <c r="C468" s="9"/>
      <c r="D468" s="9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9.5" customHeight="1" x14ac:dyDescent="0.25">
      <c r="A469" s="2"/>
      <c r="B469" s="2"/>
      <c r="C469" s="9"/>
      <c r="D469" s="9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9.5" customHeight="1" x14ac:dyDescent="0.25">
      <c r="A470" s="2"/>
      <c r="B470" s="2"/>
      <c r="C470" s="9"/>
      <c r="D470" s="9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9.5" customHeight="1" x14ac:dyDescent="0.25">
      <c r="A471" s="2"/>
      <c r="B471" s="2"/>
      <c r="C471" s="9"/>
      <c r="D471" s="9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9.5" customHeight="1" x14ac:dyDescent="0.25">
      <c r="A472" s="2"/>
      <c r="B472" s="2"/>
      <c r="C472" s="9"/>
      <c r="D472" s="9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9.5" customHeight="1" x14ac:dyDescent="0.25">
      <c r="A473" s="2"/>
      <c r="B473" s="2"/>
      <c r="C473" s="9"/>
      <c r="D473" s="9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9.5" customHeight="1" x14ac:dyDescent="0.25">
      <c r="A474" s="2"/>
      <c r="B474" s="2"/>
      <c r="C474" s="9"/>
      <c r="D474" s="9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9.5" customHeight="1" x14ac:dyDescent="0.25">
      <c r="A475" s="2"/>
      <c r="B475" s="2"/>
      <c r="C475" s="9"/>
      <c r="D475" s="9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9.5" customHeight="1" x14ac:dyDescent="0.25">
      <c r="A476" s="2"/>
      <c r="B476" s="2"/>
      <c r="C476" s="9"/>
      <c r="D476" s="9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9.5" customHeight="1" x14ac:dyDescent="0.25">
      <c r="A477" s="2"/>
      <c r="B477" s="2"/>
      <c r="C477" s="9"/>
      <c r="D477" s="9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9.5" customHeight="1" x14ac:dyDescent="0.25">
      <c r="A478" s="2"/>
      <c r="B478" s="2"/>
      <c r="C478" s="9"/>
      <c r="D478" s="9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9.5" customHeight="1" x14ac:dyDescent="0.25">
      <c r="A479" s="2"/>
      <c r="B479" s="2"/>
      <c r="C479" s="9"/>
      <c r="D479" s="9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9.5" customHeight="1" x14ac:dyDescent="0.25">
      <c r="A480" s="2"/>
      <c r="B480" s="2"/>
      <c r="C480" s="9"/>
      <c r="D480" s="9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9.5" customHeight="1" x14ac:dyDescent="0.25">
      <c r="A481" s="2"/>
      <c r="B481" s="2"/>
      <c r="C481" s="9"/>
      <c r="D481" s="9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9.5" customHeight="1" x14ac:dyDescent="0.25">
      <c r="A482" s="2"/>
      <c r="B482" s="2"/>
      <c r="C482" s="9"/>
      <c r="D482" s="9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9.5" customHeight="1" x14ac:dyDescent="0.25">
      <c r="A483" s="2"/>
      <c r="B483" s="2"/>
      <c r="C483" s="9"/>
      <c r="D483" s="9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9.5" customHeight="1" x14ac:dyDescent="0.25">
      <c r="A484" s="2"/>
      <c r="B484" s="2"/>
      <c r="C484" s="9"/>
      <c r="D484" s="9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9.5" customHeight="1" x14ac:dyDescent="0.25">
      <c r="A485" s="2"/>
      <c r="B485" s="2"/>
      <c r="C485" s="9"/>
      <c r="D485" s="9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9.5" customHeight="1" x14ac:dyDescent="0.25">
      <c r="A486" s="2"/>
      <c r="B486" s="2"/>
      <c r="C486" s="9"/>
      <c r="D486" s="9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9.5" customHeight="1" x14ac:dyDescent="0.25">
      <c r="A487" s="2"/>
      <c r="B487" s="2"/>
      <c r="C487" s="9"/>
      <c r="D487" s="9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9.5" customHeight="1" x14ac:dyDescent="0.25">
      <c r="A488" s="2"/>
      <c r="B488" s="2"/>
      <c r="C488" s="9"/>
      <c r="D488" s="9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9.5" customHeight="1" x14ac:dyDescent="0.25">
      <c r="A489" s="2"/>
      <c r="B489" s="2"/>
      <c r="C489" s="9"/>
      <c r="D489" s="9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9.5" customHeight="1" x14ac:dyDescent="0.25">
      <c r="A490" s="2"/>
      <c r="B490" s="2"/>
      <c r="C490" s="9"/>
      <c r="D490" s="9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9.5" customHeight="1" x14ac:dyDescent="0.25">
      <c r="A491" s="2"/>
      <c r="B491" s="2"/>
      <c r="C491" s="9"/>
      <c r="D491" s="9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9.5" customHeight="1" x14ac:dyDescent="0.25">
      <c r="A492" s="2"/>
      <c r="B492" s="2"/>
      <c r="C492" s="9"/>
      <c r="D492" s="9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9.5" customHeight="1" x14ac:dyDescent="0.25">
      <c r="A493" s="2"/>
      <c r="B493" s="2"/>
      <c r="C493" s="9"/>
      <c r="D493" s="9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9.5" customHeight="1" x14ac:dyDescent="0.25">
      <c r="A494" s="2"/>
      <c r="B494" s="2"/>
      <c r="C494" s="9"/>
      <c r="D494" s="9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9.5" customHeight="1" x14ac:dyDescent="0.25">
      <c r="A495" s="2"/>
      <c r="B495" s="2"/>
      <c r="C495" s="9"/>
      <c r="D495" s="9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9.5" customHeight="1" x14ac:dyDescent="0.25">
      <c r="A496" s="2"/>
      <c r="B496" s="2"/>
      <c r="C496" s="9"/>
      <c r="D496" s="9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9.5" customHeight="1" x14ac:dyDescent="0.25">
      <c r="A497" s="2"/>
      <c r="B497" s="2"/>
      <c r="C497" s="9"/>
      <c r="D497" s="9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9.5" customHeight="1" x14ac:dyDescent="0.25">
      <c r="A498" s="2"/>
      <c r="B498" s="2"/>
      <c r="C498" s="9"/>
      <c r="D498" s="9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9.5" customHeight="1" x14ac:dyDescent="0.25">
      <c r="A499" s="2"/>
      <c r="B499" s="2"/>
      <c r="C499" s="9"/>
      <c r="D499" s="9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9.5" customHeight="1" x14ac:dyDescent="0.25">
      <c r="A500" s="2"/>
      <c r="B500" s="2"/>
      <c r="C500" s="9"/>
      <c r="D500" s="9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9.5" customHeight="1" x14ac:dyDescent="0.25">
      <c r="A501" s="2"/>
      <c r="B501" s="2"/>
      <c r="C501" s="9"/>
      <c r="D501" s="9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9.5" customHeight="1" x14ac:dyDescent="0.25">
      <c r="A502" s="2"/>
      <c r="B502" s="2"/>
      <c r="C502" s="9"/>
      <c r="D502" s="9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9.5" customHeight="1" x14ac:dyDescent="0.25">
      <c r="A503" s="2"/>
      <c r="B503" s="2"/>
      <c r="C503" s="9"/>
      <c r="D503" s="9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9.5" customHeight="1" x14ac:dyDescent="0.25">
      <c r="A504" s="2"/>
      <c r="B504" s="2"/>
      <c r="C504" s="9"/>
      <c r="D504" s="9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9.5" customHeight="1" x14ac:dyDescent="0.25">
      <c r="A505" s="2"/>
      <c r="B505" s="2"/>
      <c r="C505" s="9"/>
      <c r="D505" s="9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9.5" customHeight="1" x14ac:dyDescent="0.25">
      <c r="A506" s="2"/>
      <c r="B506" s="2"/>
      <c r="C506" s="9"/>
      <c r="D506" s="9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9.5" customHeight="1" x14ac:dyDescent="0.25">
      <c r="A507" s="2"/>
      <c r="B507" s="2"/>
      <c r="C507" s="9"/>
      <c r="D507" s="9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9.5" customHeight="1" x14ac:dyDescent="0.25">
      <c r="A508" s="2"/>
      <c r="B508" s="2"/>
      <c r="C508" s="9"/>
      <c r="D508" s="9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9.5" customHeight="1" x14ac:dyDescent="0.25">
      <c r="A509" s="2"/>
      <c r="B509" s="2"/>
      <c r="C509" s="9"/>
      <c r="D509" s="9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9.5" customHeight="1" x14ac:dyDescent="0.25">
      <c r="A510" s="2"/>
      <c r="B510" s="2"/>
      <c r="C510" s="9"/>
      <c r="D510" s="9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9.5" customHeight="1" x14ac:dyDescent="0.25">
      <c r="A511" s="2"/>
      <c r="B511" s="2"/>
      <c r="C511" s="9"/>
      <c r="D511" s="9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9.5" customHeight="1" x14ac:dyDescent="0.25">
      <c r="A512" s="2"/>
      <c r="B512" s="2"/>
      <c r="C512" s="9"/>
      <c r="D512" s="9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9.5" customHeight="1" x14ac:dyDescent="0.25">
      <c r="A513" s="2"/>
      <c r="B513" s="2"/>
      <c r="C513" s="9"/>
      <c r="D513" s="9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9.5" customHeight="1" x14ac:dyDescent="0.25">
      <c r="A514" s="2"/>
      <c r="B514" s="2"/>
      <c r="C514" s="9"/>
      <c r="D514" s="9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9.5" customHeight="1" x14ac:dyDescent="0.25">
      <c r="A515" s="2"/>
      <c r="B515" s="2"/>
      <c r="C515" s="9"/>
      <c r="D515" s="9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9.5" customHeight="1" x14ac:dyDescent="0.25">
      <c r="A516" s="2"/>
      <c r="B516" s="2"/>
      <c r="C516" s="9"/>
      <c r="D516" s="9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9.5" customHeight="1" x14ac:dyDescent="0.25">
      <c r="A517" s="2"/>
      <c r="B517" s="2"/>
      <c r="C517" s="9"/>
      <c r="D517" s="9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9.5" customHeight="1" x14ac:dyDescent="0.25">
      <c r="A518" s="2"/>
      <c r="B518" s="2"/>
      <c r="C518" s="9"/>
      <c r="D518" s="9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9.5" customHeight="1" x14ac:dyDescent="0.25">
      <c r="A519" s="2"/>
      <c r="B519" s="2"/>
      <c r="C519" s="9"/>
      <c r="D519" s="9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9.5" customHeight="1" x14ac:dyDescent="0.25">
      <c r="A520" s="2"/>
      <c r="B520" s="2"/>
      <c r="C520" s="9"/>
      <c r="D520" s="9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9.5" customHeight="1" x14ac:dyDescent="0.25">
      <c r="A521" s="2"/>
      <c r="B521" s="2"/>
      <c r="C521" s="9"/>
      <c r="D521" s="9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9.5" customHeight="1" x14ac:dyDescent="0.25">
      <c r="A522" s="2"/>
      <c r="B522" s="2"/>
      <c r="C522" s="9"/>
      <c r="D522" s="9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9.5" customHeight="1" x14ac:dyDescent="0.25">
      <c r="A523" s="2"/>
      <c r="B523" s="2"/>
      <c r="C523" s="9"/>
      <c r="D523" s="9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9.5" customHeight="1" x14ac:dyDescent="0.25">
      <c r="A524" s="2"/>
      <c r="B524" s="2"/>
      <c r="C524" s="9"/>
      <c r="D524" s="9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9.5" customHeight="1" x14ac:dyDescent="0.25">
      <c r="A525" s="2"/>
      <c r="B525" s="2"/>
      <c r="C525" s="9"/>
      <c r="D525" s="9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9.5" customHeight="1" x14ac:dyDescent="0.25">
      <c r="A526" s="2"/>
      <c r="B526" s="2"/>
      <c r="C526" s="9"/>
      <c r="D526" s="9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9.5" customHeight="1" x14ac:dyDescent="0.25">
      <c r="A527" s="2"/>
      <c r="B527" s="2"/>
      <c r="C527" s="9"/>
      <c r="D527" s="9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9.5" customHeight="1" x14ac:dyDescent="0.25">
      <c r="A528" s="2"/>
      <c r="B528" s="2"/>
      <c r="C528" s="9"/>
      <c r="D528" s="9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9.5" customHeight="1" x14ac:dyDescent="0.25">
      <c r="A529" s="2"/>
      <c r="B529" s="2"/>
      <c r="C529" s="9"/>
      <c r="D529" s="9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9.5" customHeight="1" x14ac:dyDescent="0.25">
      <c r="A530" s="2"/>
      <c r="B530" s="2"/>
      <c r="C530" s="9"/>
      <c r="D530" s="9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9.5" customHeight="1" x14ac:dyDescent="0.25">
      <c r="A531" s="2"/>
      <c r="B531" s="2"/>
      <c r="C531" s="9"/>
      <c r="D531" s="9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9.5" customHeight="1" x14ac:dyDescent="0.25">
      <c r="A532" s="2"/>
      <c r="B532" s="2"/>
      <c r="C532" s="9"/>
      <c r="D532" s="9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9.5" customHeight="1" x14ac:dyDescent="0.25">
      <c r="A533" s="2"/>
      <c r="B533" s="2"/>
      <c r="C533" s="9"/>
      <c r="D533" s="9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9.5" customHeight="1" x14ac:dyDescent="0.25">
      <c r="A534" s="2"/>
      <c r="B534" s="2"/>
      <c r="C534" s="9"/>
      <c r="D534" s="9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9.5" customHeight="1" x14ac:dyDescent="0.25">
      <c r="A535" s="2"/>
      <c r="B535" s="2"/>
      <c r="C535" s="9"/>
      <c r="D535" s="9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9.5" customHeight="1" x14ac:dyDescent="0.25">
      <c r="A536" s="2"/>
      <c r="B536" s="2"/>
      <c r="C536" s="9"/>
      <c r="D536" s="9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9.5" customHeight="1" x14ac:dyDescent="0.25">
      <c r="A537" s="2"/>
      <c r="B537" s="2"/>
      <c r="C537" s="9"/>
      <c r="D537" s="9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9.5" customHeight="1" x14ac:dyDescent="0.25">
      <c r="A538" s="2"/>
      <c r="B538" s="2"/>
      <c r="C538" s="9"/>
      <c r="D538" s="9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9.5" customHeight="1" x14ac:dyDescent="0.25">
      <c r="A539" s="2"/>
      <c r="B539" s="2"/>
      <c r="C539" s="9"/>
      <c r="D539" s="9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9.5" customHeight="1" x14ac:dyDescent="0.25">
      <c r="A540" s="2"/>
      <c r="B540" s="2"/>
      <c r="C540" s="9"/>
      <c r="D540" s="9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9.5" customHeight="1" x14ac:dyDescent="0.25">
      <c r="A541" s="2"/>
      <c r="B541" s="2"/>
      <c r="C541" s="9"/>
      <c r="D541" s="9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9.5" customHeight="1" x14ac:dyDescent="0.25">
      <c r="A542" s="2"/>
      <c r="B542" s="2"/>
      <c r="C542" s="9"/>
      <c r="D542" s="9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9.5" customHeight="1" x14ac:dyDescent="0.25">
      <c r="A543" s="2"/>
      <c r="B543" s="2"/>
      <c r="C543" s="9"/>
      <c r="D543" s="9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9.5" customHeight="1" x14ac:dyDescent="0.25">
      <c r="A544" s="2"/>
      <c r="B544" s="2"/>
      <c r="C544" s="9"/>
      <c r="D544" s="9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9.5" customHeight="1" x14ac:dyDescent="0.25">
      <c r="A545" s="2"/>
      <c r="B545" s="2"/>
      <c r="C545" s="9"/>
      <c r="D545" s="9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9.5" customHeight="1" x14ac:dyDescent="0.25">
      <c r="A546" s="2"/>
      <c r="B546" s="2"/>
      <c r="C546" s="9"/>
      <c r="D546" s="9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9.5" customHeight="1" x14ac:dyDescent="0.25">
      <c r="A547" s="2"/>
      <c r="B547" s="2"/>
      <c r="C547" s="9"/>
      <c r="D547" s="9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9.5" customHeight="1" x14ac:dyDescent="0.25">
      <c r="A548" s="2"/>
      <c r="B548" s="2"/>
      <c r="C548" s="9"/>
      <c r="D548" s="9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9.5" customHeight="1" x14ac:dyDescent="0.25">
      <c r="A549" s="2"/>
      <c r="B549" s="2"/>
      <c r="C549" s="9"/>
      <c r="D549" s="9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9.5" customHeight="1" x14ac:dyDescent="0.25">
      <c r="A550" s="2"/>
      <c r="B550" s="2"/>
      <c r="C550" s="9"/>
      <c r="D550" s="9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9.5" customHeight="1" x14ac:dyDescent="0.25">
      <c r="A551" s="2"/>
      <c r="B551" s="2"/>
      <c r="C551" s="9"/>
      <c r="D551" s="9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9.5" customHeight="1" x14ac:dyDescent="0.25">
      <c r="A552" s="2"/>
      <c r="B552" s="2"/>
      <c r="C552" s="9"/>
      <c r="D552" s="9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9.5" customHeight="1" x14ac:dyDescent="0.25">
      <c r="A553" s="2"/>
      <c r="B553" s="2"/>
      <c r="C553" s="9"/>
      <c r="D553" s="9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9.5" customHeight="1" x14ac:dyDescent="0.25">
      <c r="A554" s="2"/>
      <c r="B554" s="2"/>
      <c r="C554" s="9"/>
      <c r="D554" s="9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9.5" customHeight="1" x14ac:dyDescent="0.25">
      <c r="A555" s="2"/>
      <c r="B555" s="2"/>
      <c r="C555" s="9"/>
      <c r="D555" s="9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9.5" customHeight="1" x14ac:dyDescent="0.25">
      <c r="A556" s="2"/>
      <c r="B556" s="2"/>
      <c r="C556" s="9"/>
      <c r="D556" s="9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9.5" customHeight="1" x14ac:dyDescent="0.25">
      <c r="A557" s="2"/>
      <c r="B557" s="2"/>
      <c r="C557" s="9"/>
      <c r="D557" s="9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9.5" customHeight="1" x14ac:dyDescent="0.25">
      <c r="A558" s="2"/>
      <c r="B558" s="2"/>
      <c r="C558" s="9"/>
      <c r="D558" s="9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9.5" customHeight="1" x14ac:dyDescent="0.25">
      <c r="A559" s="2"/>
      <c r="B559" s="2"/>
      <c r="C559" s="9"/>
      <c r="D559" s="9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9.5" customHeight="1" x14ac:dyDescent="0.25">
      <c r="A560" s="2"/>
      <c r="B560" s="2"/>
      <c r="C560" s="9"/>
      <c r="D560" s="9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9.5" customHeight="1" x14ac:dyDescent="0.25">
      <c r="A561" s="2"/>
      <c r="B561" s="2"/>
      <c r="C561" s="9"/>
      <c r="D561" s="9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9.5" customHeight="1" x14ac:dyDescent="0.25">
      <c r="A562" s="2"/>
      <c r="B562" s="2"/>
      <c r="C562" s="9"/>
      <c r="D562" s="9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9.5" customHeight="1" x14ac:dyDescent="0.25">
      <c r="A563" s="2"/>
      <c r="B563" s="2"/>
      <c r="C563" s="9"/>
      <c r="D563" s="9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9.5" customHeight="1" x14ac:dyDescent="0.25">
      <c r="A564" s="2"/>
      <c r="B564" s="2"/>
      <c r="C564" s="9"/>
      <c r="D564" s="9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9.5" customHeight="1" x14ac:dyDescent="0.25">
      <c r="A565" s="2"/>
      <c r="B565" s="2"/>
      <c r="C565" s="9"/>
      <c r="D565" s="9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9.5" customHeight="1" x14ac:dyDescent="0.25">
      <c r="A566" s="2"/>
      <c r="B566" s="2"/>
      <c r="C566" s="9"/>
      <c r="D566" s="9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9.5" customHeight="1" x14ac:dyDescent="0.25">
      <c r="A567" s="2"/>
      <c r="B567" s="2"/>
      <c r="C567" s="9"/>
      <c r="D567" s="9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9.5" customHeight="1" x14ac:dyDescent="0.25">
      <c r="A568" s="2"/>
      <c r="B568" s="2"/>
      <c r="C568" s="9"/>
      <c r="D568" s="9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9.5" customHeight="1" x14ac:dyDescent="0.25">
      <c r="A569" s="2"/>
      <c r="B569" s="2"/>
      <c r="C569" s="9"/>
      <c r="D569" s="9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9.5" customHeight="1" x14ac:dyDescent="0.25">
      <c r="A570" s="2"/>
      <c r="B570" s="2"/>
      <c r="C570" s="9"/>
      <c r="D570" s="9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9.5" customHeight="1" x14ac:dyDescent="0.25">
      <c r="A571" s="2"/>
      <c r="B571" s="2"/>
      <c r="C571" s="9"/>
      <c r="D571" s="9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9.5" customHeight="1" x14ac:dyDescent="0.25">
      <c r="A572" s="2"/>
      <c r="B572" s="2"/>
      <c r="C572" s="9"/>
      <c r="D572" s="9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9.5" customHeight="1" x14ac:dyDescent="0.25">
      <c r="A573" s="2"/>
      <c r="B573" s="2"/>
      <c r="C573" s="9"/>
      <c r="D573" s="9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9.5" customHeight="1" x14ac:dyDescent="0.25">
      <c r="A574" s="2"/>
      <c r="B574" s="2"/>
      <c r="C574" s="9"/>
      <c r="D574" s="9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9.5" customHeight="1" x14ac:dyDescent="0.25">
      <c r="A575" s="2"/>
      <c r="B575" s="2"/>
      <c r="C575" s="9"/>
      <c r="D575" s="9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9.5" customHeight="1" x14ac:dyDescent="0.25">
      <c r="A576" s="2"/>
      <c r="B576" s="2"/>
      <c r="C576" s="9"/>
      <c r="D576" s="9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9.5" customHeight="1" x14ac:dyDescent="0.25">
      <c r="A577" s="2"/>
      <c r="B577" s="2"/>
      <c r="C577" s="9"/>
      <c r="D577" s="9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9.5" customHeight="1" x14ac:dyDescent="0.25">
      <c r="A578" s="2"/>
      <c r="B578" s="2"/>
      <c r="C578" s="9"/>
      <c r="D578" s="9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9.5" customHeight="1" x14ac:dyDescent="0.25">
      <c r="A579" s="2"/>
      <c r="B579" s="2"/>
      <c r="C579" s="9"/>
      <c r="D579" s="9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9.5" customHeight="1" x14ac:dyDescent="0.25">
      <c r="A580" s="2"/>
      <c r="B580" s="2"/>
      <c r="C580" s="9"/>
      <c r="D580" s="9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9.5" customHeight="1" x14ac:dyDescent="0.25">
      <c r="A581" s="2"/>
      <c r="B581" s="2"/>
      <c r="C581" s="9"/>
      <c r="D581" s="9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9.5" customHeight="1" x14ac:dyDescent="0.25">
      <c r="A582" s="2"/>
      <c r="B582" s="2"/>
      <c r="C582" s="9"/>
      <c r="D582" s="9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9.5" customHeight="1" x14ac:dyDescent="0.25">
      <c r="A583" s="2"/>
      <c r="B583" s="2"/>
      <c r="C583" s="9"/>
      <c r="D583" s="9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9.5" customHeight="1" x14ac:dyDescent="0.25">
      <c r="A584" s="2"/>
      <c r="B584" s="2"/>
      <c r="C584" s="9"/>
      <c r="D584" s="9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9.5" customHeight="1" x14ac:dyDescent="0.25">
      <c r="A585" s="2"/>
      <c r="B585" s="2"/>
      <c r="C585" s="9"/>
      <c r="D585" s="9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9.5" customHeight="1" x14ac:dyDescent="0.25">
      <c r="A586" s="2"/>
      <c r="B586" s="2"/>
      <c r="C586" s="9"/>
      <c r="D586" s="9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9.5" customHeight="1" x14ac:dyDescent="0.25">
      <c r="A587" s="2"/>
      <c r="B587" s="2"/>
      <c r="C587" s="9"/>
      <c r="D587" s="9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9.5" customHeight="1" x14ac:dyDescent="0.25">
      <c r="A588" s="2"/>
      <c r="B588" s="2"/>
      <c r="C588" s="9"/>
      <c r="D588" s="9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9.5" customHeight="1" x14ac:dyDescent="0.25">
      <c r="A589" s="2"/>
      <c r="B589" s="2"/>
      <c r="C589" s="9"/>
      <c r="D589" s="9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9.5" customHeight="1" x14ac:dyDescent="0.25">
      <c r="A590" s="2"/>
      <c r="B590" s="2"/>
      <c r="C590" s="9"/>
      <c r="D590" s="9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9.5" customHeight="1" x14ac:dyDescent="0.25">
      <c r="A591" s="2"/>
      <c r="B591" s="2"/>
      <c r="C591" s="9"/>
      <c r="D591" s="9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9.5" customHeight="1" x14ac:dyDescent="0.25">
      <c r="A592" s="2"/>
      <c r="B592" s="2"/>
      <c r="C592" s="9"/>
      <c r="D592" s="9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9.5" customHeight="1" x14ac:dyDescent="0.25">
      <c r="A593" s="2"/>
      <c r="B593" s="2"/>
      <c r="C593" s="9"/>
      <c r="D593" s="9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9.5" customHeight="1" x14ac:dyDescent="0.25">
      <c r="A594" s="2"/>
      <c r="B594" s="2"/>
      <c r="C594" s="9"/>
      <c r="D594" s="9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9.5" customHeight="1" x14ac:dyDescent="0.25">
      <c r="A595" s="2"/>
      <c r="B595" s="2"/>
      <c r="C595" s="9"/>
      <c r="D595" s="9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9.5" customHeight="1" x14ac:dyDescent="0.25">
      <c r="A596" s="2"/>
      <c r="B596" s="2"/>
      <c r="C596" s="9"/>
      <c r="D596" s="9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9.5" customHeight="1" x14ac:dyDescent="0.25">
      <c r="A597" s="2"/>
      <c r="B597" s="2"/>
      <c r="C597" s="9"/>
      <c r="D597" s="9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9.5" customHeight="1" x14ac:dyDescent="0.25">
      <c r="A598" s="2"/>
      <c r="B598" s="2"/>
      <c r="C598" s="9"/>
      <c r="D598" s="9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9.5" customHeight="1" x14ac:dyDescent="0.25">
      <c r="A599" s="2"/>
      <c r="B599" s="2"/>
      <c r="C599" s="9"/>
      <c r="D599" s="9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9.5" customHeight="1" x14ac:dyDescent="0.25">
      <c r="A600" s="2"/>
      <c r="B600" s="2"/>
      <c r="C600" s="9"/>
      <c r="D600" s="9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9.5" customHeight="1" x14ac:dyDescent="0.25">
      <c r="A601" s="2"/>
      <c r="B601" s="2"/>
      <c r="C601" s="9"/>
      <c r="D601" s="9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9.5" customHeight="1" x14ac:dyDescent="0.25">
      <c r="A602" s="2"/>
      <c r="B602" s="2"/>
      <c r="C602" s="9"/>
      <c r="D602" s="9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9.5" customHeight="1" x14ac:dyDescent="0.25">
      <c r="A603" s="2"/>
      <c r="B603" s="2"/>
      <c r="C603" s="9"/>
      <c r="D603" s="9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9.5" customHeight="1" x14ac:dyDescent="0.25">
      <c r="A604" s="2"/>
      <c r="B604" s="2"/>
      <c r="C604" s="9"/>
      <c r="D604" s="9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9.5" customHeight="1" x14ac:dyDescent="0.25">
      <c r="A605" s="2"/>
      <c r="B605" s="2"/>
      <c r="C605" s="9"/>
      <c r="D605" s="9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9.5" customHeight="1" x14ac:dyDescent="0.25">
      <c r="A606" s="2"/>
      <c r="B606" s="2"/>
      <c r="C606" s="9"/>
      <c r="D606" s="9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9.5" customHeight="1" x14ac:dyDescent="0.25">
      <c r="A607" s="2"/>
      <c r="B607" s="2"/>
      <c r="C607" s="9"/>
      <c r="D607" s="9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9.5" customHeight="1" x14ac:dyDescent="0.25">
      <c r="A608" s="2"/>
      <c r="B608" s="2"/>
      <c r="C608" s="9"/>
      <c r="D608" s="9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9.5" customHeight="1" x14ac:dyDescent="0.25">
      <c r="A609" s="2"/>
      <c r="B609" s="2"/>
      <c r="C609" s="9"/>
      <c r="D609" s="9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9.5" customHeight="1" x14ac:dyDescent="0.25">
      <c r="A610" s="2"/>
      <c r="B610" s="2"/>
      <c r="C610" s="9"/>
      <c r="D610" s="9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9.5" customHeight="1" x14ac:dyDescent="0.25">
      <c r="A611" s="2"/>
      <c r="B611" s="2"/>
      <c r="C611" s="9"/>
      <c r="D611" s="9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9.5" customHeight="1" x14ac:dyDescent="0.25">
      <c r="A612" s="2"/>
      <c r="B612" s="2"/>
      <c r="C612" s="9"/>
      <c r="D612" s="9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9.5" customHeight="1" x14ac:dyDescent="0.25">
      <c r="A613" s="2"/>
      <c r="B613" s="2"/>
      <c r="C613" s="9"/>
      <c r="D613" s="9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9.5" customHeight="1" x14ac:dyDescent="0.25">
      <c r="A614" s="2"/>
      <c r="B614" s="2"/>
      <c r="C614" s="9"/>
      <c r="D614" s="9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9.5" customHeight="1" x14ac:dyDescent="0.25">
      <c r="A615" s="2"/>
      <c r="B615" s="2"/>
      <c r="C615" s="9"/>
      <c r="D615" s="9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9.5" customHeight="1" x14ac:dyDescent="0.25">
      <c r="A616" s="2"/>
      <c r="B616" s="2"/>
      <c r="C616" s="9"/>
      <c r="D616" s="9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9.5" customHeight="1" x14ac:dyDescent="0.25">
      <c r="A617" s="2"/>
      <c r="B617" s="2"/>
      <c r="C617" s="9"/>
      <c r="D617" s="9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9.5" customHeight="1" x14ac:dyDescent="0.25">
      <c r="A618" s="2"/>
      <c r="B618" s="2"/>
      <c r="C618" s="9"/>
      <c r="D618" s="9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9.5" customHeight="1" x14ac:dyDescent="0.25">
      <c r="A619" s="2"/>
      <c r="B619" s="2"/>
      <c r="C619" s="9"/>
      <c r="D619" s="9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9.5" customHeight="1" x14ac:dyDescent="0.25">
      <c r="A620" s="2"/>
      <c r="B620" s="2"/>
      <c r="C620" s="9"/>
      <c r="D620" s="9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9.5" customHeight="1" x14ac:dyDescent="0.25">
      <c r="A621" s="2"/>
      <c r="B621" s="2"/>
      <c r="C621" s="9"/>
      <c r="D621" s="9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9.5" customHeight="1" x14ac:dyDescent="0.25">
      <c r="A622" s="2"/>
      <c r="B622" s="2"/>
      <c r="C622" s="9"/>
      <c r="D622" s="9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9.5" customHeight="1" x14ac:dyDescent="0.25">
      <c r="A623" s="2"/>
      <c r="B623" s="2"/>
      <c r="C623" s="9"/>
      <c r="D623" s="9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9.5" customHeight="1" x14ac:dyDescent="0.25">
      <c r="A624" s="2"/>
      <c r="B624" s="2"/>
      <c r="C624" s="9"/>
      <c r="D624" s="9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9.5" customHeight="1" x14ac:dyDescent="0.25">
      <c r="A625" s="2"/>
      <c r="B625" s="2"/>
      <c r="C625" s="9"/>
      <c r="D625" s="9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9.5" customHeight="1" x14ac:dyDescent="0.25">
      <c r="A626" s="2"/>
      <c r="B626" s="2"/>
      <c r="C626" s="9"/>
      <c r="D626" s="9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9.5" customHeight="1" x14ac:dyDescent="0.25">
      <c r="A627" s="2"/>
      <c r="B627" s="2"/>
      <c r="C627" s="9"/>
      <c r="D627" s="9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9.5" customHeight="1" x14ac:dyDescent="0.25">
      <c r="A628" s="2"/>
      <c r="B628" s="2"/>
      <c r="C628" s="9"/>
      <c r="D628" s="9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9.5" customHeight="1" x14ac:dyDescent="0.25">
      <c r="A629" s="2"/>
      <c r="B629" s="2"/>
      <c r="C629" s="9"/>
      <c r="D629" s="9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9.5" customHeight="1" x14ac:dyDescent="0.25">
      <c r="A630" s="2"/>
      <c r="B630" s="2"/>
      <c r="C630" s="9"/>
      <c r="D630" s="9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9.5" customHeight="1" x14ac:dyDescent="0.25">
      <c r="A631" s="2"/>
      <c r="B631" s="2"/>
      <c r="C631" s="9"/>
      <c r="D631" s="9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9.5" customHeight="1" x14ac:dyDescent="0.25">
      <c r="A632" s="2"/>
      <c r="B632" s="2"/>
      <c r="C632" s="9"/>
      <c r="D632" s="9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9.5" customHeight="1" x14ac:dyDescent="0.25">
      <c r="A633" s="2"/>
      <c r="B633" s="2"/>
      <c r="C633" s="9"/>
      <c r="D633" s="9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9.5" customHeight="1" x14ac:dyDescent="0.25">
      <c r="A634" s="2"/>
      <c r="B634" s="2"/>
      <c r="C634" s="9"/>
      <c r="D634" s="9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9.5" customHeight="1" x14ac:dyDescent="0.25">
      <c r="A635" s="2"/>
      <c r="B635" s="2"/>
      <c r="C635" s="9"/>
      <c r="D635" s="9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9.5" customHeight="1" x14ac:dyDescent="0.25">
      <c r="A636" s="2"/>
      <c r="B636" s="2"/>
      <c r="C636" s="9"/>
      <c r="D636" s="9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9.5" customHeight="1" x14ac:dyDescent="0.25">
      <c r="A637" s="2"/>
      <c r="B637" s="2"/>
      <c r="C637" s="9"/>
      <c r="D637" s="9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9.5" customHeight="1" x14ac:dyDescent="0.25">
      <c r="A638" s="2"/>
      <c r="B638" s="2"/>
      <c r="C638" s="9"/>
      <c r="D638" s="9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9.5" customHeight="1" x14ac:dyDescent="0.25">
      <c r="A639" s="2"/>
      <c r="B639" s="2"/>
      <c r="C639" s="9"/>
      <c r="D639" s="9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9.5" customHeight="1" x14ac:dyDescent="0.25">
      <c r="A640" s="2"/>
      <c r="B640" s="2"/>
      <c r="C640" s="9"/>
      <c r="D640" s="9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9.5" customHeight="1" x14ac:dyDescent="0.25">
      <c r="A641" s="2"/>
      <c r="B641" s="2"/>
      <c r="C641" s="9"/>
      <c r="D641" s="9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9.5" customHeight="1" x14ac:dyDescent="0.25">
      <c r="A642" s="2"/>
      <c r="B642" s="2"/>
      <c r="C642" s="9"/>
      <c r="D642" s="9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9.5" customHeight="1" x14ac:dyDescent="0.25">
      <c r="A643" s="2"/>
      <c r="B643" s="2"/>
      <c r="C643" s="9"/>
      <c r="D643" s="9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9.5" customHeight="1" x14ac:dyDescent="0.25">
      <c r="A644" s="2"/>
      <c r="B644" s="2"/>
      <c r="C644" s="9"/>
      <c r="D644" s="9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9.5" customHeight="1" x14ac:dyDescent="0.25">
      <c r="A645" s="2"/>
      <c r="B645" s="2"/>
      <c r="C645" s="9"/>
      <c r="D645" s="9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9.5" customHeight="1" x14ac:dyDescent="0.25">
      <c r="A646" s="2"/>
      <c r="B646" s="2"/>
      <c r="C646" s="9"/>
      <c r="D646" s="9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9.5" customHeight="1" x14ac:dyDescent="0.25">
      <c r="A647" s="2"/>
      <c r="B647" s="2"/>
      <c r="C647" s="9"/>
      <c r="D647" s="9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9.5" customHeight="1" x14ac:dyDescent="0.25">
      <c r="A648" s="2"/>
      <c r="B648" s="2"/>
      <c r="C648" s="9"/>
      <c r="D648" s="9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9.5" customHeight="1" x14ac:dyDescent="0.25">
      <c r="A649" s="2"/>
      <c r="B649" s="2"/>
      <c r="C649" s="9"/>
      <c r="D649" s="9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9.5" customHeight="1" x14ac:dyDescent="0.25">
      <c r="A650" s="2"/>
      <c r="B650" s="2"/>
      <c r="C650" s="9"/>
      <c r="D650" s="9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9.5" customHeight="1" x14ac:dyDescent="0.25">
      <c r="A651" s="2"/>
      <c r="B651" s="2"/>
      <c r="C651" s="9"/>
      <c r="D651" s="9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9.5" customHeight="1" x14ac:dyDescent="0.25">
      <c r="A652" s="2"/>
      <c r="B652" s="2"/>
      <c r="C652" s="9"/>
      <c r="D652" s="9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9.5" customHeight="1" x14ac:dyDescent="0.25">
      <c r="A653" s="2"/>
      <c r="B653" s="2"/>
      <c r="C653" s="9"/>
      <c r="D653" s="9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9.5" customHeight="1" x14ac:dyDescent="0.25">
      <c r="A654" s="2"/>
      <c r="B654" s="2"/>
      <c r="C654" s="9"/>
      <c r="D654" s="9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9.5" customHeight="1" x14ac:dyDescent="0.25">
      <c r="A655" s="2"/>
      <c r="B655" s="2"/>
      <c r="C655" s="9"/>
      <c r="D655" s="9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9.5" customHeight="1" x14ac:dyDescent="0.25">
      <c r="A656" s="2"/>
      <c r="B656" s="2"/>
      <c r="C656" s="9"/>
      <c r="D656" s="9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9.5" customHeight="1" x14ac:dyDescent="0.25">
      <c r="A657" s="2"/>
      <c r="B657" s="2"/>
      <c r="C657" s="9"/>
      <c r="D657" s="9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9.5" customHeight="1" x14ac:dyDescent="0.25">
      <c r="A658" s="2"/>
      <c r="B658" s="2"/>
      <c r="C658" s="9"/>
      <c r="D658" s="9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9.5" customHeight="1" x14ac:dyDescent="0.25">
      <c r="A659" s="2"/>
      <c r="B659" s="2"/>
      <c r="C659" s="9"/>
      <c r="D659" s="9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9.5" customHeight="1" x14ac:dyDescent="0.25">
      <c r="A660" s="2"/>
      <c r="B660" s="2"/>
      <c r="C660" s="9"/>
      <c r="D660" s="9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9.5" customHeight="1" x14ac:dyDescent="0.25">
      <c r="A661" s="2"/>
      <c r="B661" s="2"/>
      <c r="C661" s="9"/>
      <c r="D661" s="9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9.5" customHeight="1" x14ac:dyDescent="0.25">
      <c r="A662" s="2"/>
      <c r="B662" s="2"/>
      <c r="C662" s="9"/>
      <c r="D662" s="9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9.5" customHeight="1" x14ac:dyDescent="0.25">
      <c r="A663" s="2"/>
      <c r="B663" s="2"/>
      <c r="C663" s="9"/>
      <c r="D663" s="9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9.5" customHeight="1" x14ac:dyDescent="0.25">
      <c r="A664" s="2"/>
      <c r="B664" s="2"/>
      <c r="C664" s="9"/>
      <c r="D664" s="9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9.5" customHeight="1" x14ac:dyDescent="0.25">
      <c r="A665" s="2"/>
      <c r="B665" s="2"/>
      <c r="C665" s="9"/>
      <c r="D665" s="9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9.5" customHeight="1" x14ac:dyDescent="0.25">
      <c r="A666" s="2"/>
      <c r="B666" s="2"/>
      <c r="C666" s="9"/>
      <c r="D666" s="9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9.5" customHeight="1" x14ac:dyDescent="0.25">
      <c r="A667" s="2"/>
      <c r="B667" s="2"/>
      <c r="C667" s="9"/>
      <c r="D667" s="9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9.5" customHeight="1" x14ac:dyDescent="0.25">
      <c r="A668" s="2"/>
      <c r="B668" s="2"/>
      <c r="C668" s="9"/>
      <c r="D668" s="9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9.5" customHeight="1" x14ac:dyDescent="0.25">
      <c r="A669" s="2"/>
      <c r="B669" s="2"/>
      <c r="C669" s="9"/>
      <c r="D669" s="9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9.5" customHeight="1" x14ac:dyDescent="0.25">
      <c r="A670" s="2"/>
      <c r="B670" s="2"/>
      <c r="C670" s="9"/>
      <c r="D670" s="9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9.5" customHeight="1" x14ac:dyDescent="0.25">
      <c r="A671" s="2"/>
      <c r="B671" s="2"/>
      <c r="C671" s="9"/>
      <c r="D671" s="9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9.5" customHeight="1" x14ac:dyDescent="0.25">
      <c r="A672" s="2"/>
      <c r="B672" s="2"/>
      <c r="C672" s="9"/>
      <c r="D672" s="9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9.5" customHeight="1" x14ac:dyDescent="0.25">
      <c r="A673" s="2"/>
      <c r="B673" s="2"/>
      <c r="C673" s="9"/>
      <c r="D673" s="9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9.5" customHeight="1" x14ac:dyDescent="0.25">
      <c r="A674" s="2"/>
      <c r="B674" s="2"/>
      <c r="C674" s="9"/>
      <c r="D674" s="9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9.5" customHeight="1" x14ac:dyDescent="0.25">
      <c r="A675" s="2"/>
      <c r="B675" s="2"/>
      <c r="C675" s="9"/>
      <c r="D675" s="9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9.5" customHeight="1" x14ac:dyDescent="0.25">
      <c r="A676" s="2"/>
      <c r="B676" s="2"/>
      <c r="C676" s="9"/>
      <c r="D676" s="9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9.5" customHeight="1" x14ac:dyDescent="0.25">
      <c r="A677" s="2"/>
      <c r="B677" s="2"/>
      <c r="C677" s="9"/>
      <c r="D677" s="9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9.5" customHeight="1" x14ac:dyDescent="0.25">
      <c r="A678" s="2"/>
      <c r="B678" s="2"/>
      <c r="C678" s="9"/>
      <c r="D678" s="9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9.5" customHeight="1" x14ac:dyDescent="0.25">
      <c r="A679" s="2"/>
      <c r="B679" s="2"/>
      <c r="C679" s="9"/>
      <c r="D679" s="9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9.5" customHeight="1" x14ac:dyDescent="0.25">
      <c r="A680" s="2"/>
      <c r="B680" s="2"/>
      <c r="C680" s="9"/>
      <c r="D680" s="9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9.5" customHeight="1" x14ac:dyDescent="0.25">
      <c r="A681" s="2"/>
      <c r="B681" s="2"/>
      <c r="C681" s="9"/>
      <c r="D681" s="9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9.5" customHeight="1" x14ac:dyDescent="0.25">
      <c r="A682" s="2"/>
      <c r="B682" s="2"/>
      <c r="C682" s="9"/>
      <c r="D682" s="9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9.5" customHeight="1" x14ac:dyDescent="0.25">
      <c r="A683" s="2"/>
      <c r="B683" s="2"/>
      <c r="C683" s="9"/>
      <c r="D683" s="9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9.5" customHeight="1" x14ac:dyDescent="0.25">
      <c r="A684" s="2"/>
      <c r="B684" s="2"/>
      <c r="C684" s="9"/>
      <c r="D684" s="9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9.5" customHeight="1" x14ac:dyDescent="0.25">
      <c r="A685" s="2"/>
      <c r="B685" s="2"/>
      <c r="C685" s="9"/>
      <c r="D685" s="9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9.5" customHeight="1" x14ac:dyDescent="0.25">
      <c r="A686" s="2"/>
      <c r="B686" s="2"/>
      <c r="C686" s="9"/>
      <c r="D686" s="9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9.5" customHeight="1" x14ac:dyDescent="0.25">
      <c r="A687" s="2"/>
      <c r="B687" s="2"/>
      <c r="C687" s="9"/>
      <c r="D687" s="9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9.5" customHeight="1" x14ac:dyDescent="0.25">
      <c r="A688" s="2"/>
      <c r="B688" s="2"/>
      <c r="C688" s="9"/>
      <c r="D688" s="9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9.5" customHeight="1" x14ac:dyDescent="0.25">
      <c r="A689" s="2"/>
      <c r="B689" s="2"/>
      <c r="C689" s="9"/>
      <c r="D689" s="9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9.5" customHeight="1" x14ac:dyDescent="0.25">
      <c r="A690" s="2"/>
      <c r="B690" s="2"/>
      <c r="C690" s="9"/>
      <c r="D690" s="9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9.5" customHeight="1" x14ac:dyDescent="0.25">
      <c r="A691" s="2"/>
      <c r="B691" s="2"/>
      <c r="C691" s="9"/>
      <c r="D691" s="9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9.5" customHeight="1" x14ac:dyDescent="0.25">
      <c r="A692" s="2"/>
      <c r="B692" s="2"/>
      <c r="C692" s="9"/>
      <c r="D692" s="9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9.5" customHeight="1" x14ac:dyDescent="0.25">
      <c r="A693" s="2"/>
      <c r="B693" s="2"/>
      <c r="C693" s="9"/>
      <c r="D693" s="9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9.5" customHeight="1" x14ac:dyDescent="0.25">
      <c r="A694" s="2"/>
      <c r="B694" s="2"/>
      <c r="C694" s="9"/>
      <c r="D694" s="9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9.5" customHeight="1" x14ac:dyDescent="0.25">
      <c r="A695" s="2"/>
      <c r="B695" s="2"/>
      <c r="C695" s="9"/>
      <c r="D695" s="9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9.5" customHeight="1" x14ac:dyDescent="0.25">
      <c r="A696" s="2"/>
      <c r="B696" s="2"/>
      <c r="C696" s="9"/>
      <c r="D696" s="9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9.5" customHeight="1" x14ac:dyDescent="0.25">
      <c r="A697" s="2"/>
      <c r="B697" s="2"/>
      <c r="C697" s="9"/>
      <c r="D697" s="9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9.5" customHeight="1" x14ac:dyDescent="0.25">
      <c r="A698" s="2"/>
      <c r="B698" s="2"/>
      <c r="C698" s="9"/>
      <c r="D698" s="9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9.5" customHeight="1" x14ac:dyDescent="0.25">
      <c r="A699" s="2"/>
      <c r="B699" s="2"/>
      <c r="C699" s="9"/>
      <c r="D699" s="9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9.5" customHeight="1" x14ac:dyDescent="0.25">
      <c r="A700" s="2"/>
      <c r="B700" s="2"/>
      <c r="C700" s="9"/>
      <c r="D700" s="9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9.5" customHeight="1" x14ac:dyDescent="0.25">
      <c r="A701" s="2"/>
      <c r="B701" s="2"/>
      <c r="C701" s="9"/>
      <c r="D701" s="9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9.5" customHeight="1" x14ac:dyDescent="0.25">
      <c r="A702" s="2"/>
      <c r="B702" s="2"/>
      <c r="C702" s="9"/>
      <c r="D702" s="9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9.5" customHeight="1" x14ac:dyDescent="0.25">
      <c r="A703" s="2"/>
      <c r="B703" s="2"/>
      <c r="C703" s="9"/>
      <c r="D703" s="9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9.5" customHeight="1" x14ac:dyDescent="0.25">
      <c r="A704" s="2"/>
      <c r="B704" s="2"/>
      <c r="C704" s="9"/>
      <c r="D704" s="9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9.5" customHeight="1" x14ac:dyDescent="0.25">
      <c r="A705" s="2"/>
      <c r="B705" s="2"/>
      <c r="C705" s="9"/>
      <c r="D705" s="9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9.5" customHeight="1" x14ac:dyDescent="0.25">
      <c r="A706" s="2"/>
      <c r="B706" s="2"/>
      <c r="C706" s="9"/>
      <c r="D706" s="9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9.5" customHeight="1" x14ac:dyDescent="0.25">
      <c r="A707" s="2"/>
      <c r="B707" s="2"/>
      <c r="C707" s="9"/>
      <c r="D707" s="9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9.5" customHeight="1" x14ac:dyDescent="0.25">
      <c r="A708" s="2"/>
      <c r="B708" s="2"/>
      <c r="C708" s="9"/>
      <c r="D708" s="9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9.5" customHeight="1" x14ac:dyDescent="0.25">
      <c r="A709" s="2"/>
      <c r="B709" s="2"/>
      <c r="C709" s="9"/>
      <c r="D709" s="9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9.5" customHeight="1" x14ac:dyDescent="0.25">
      <c r="A710" s="2"/>
      <c r="B710" s="2"/>
      <c r="C710" s="9"/>
      <c r="D710" s="9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9.5" customHeight="1" x14ac:dyDescent="0.25">
      <c r="A711" s="2"/>
      <c r="B711" s="2"/>
      <c r="C711" s="9"/>
      <c r="D711" s="9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9.5" customHeight="1" x14ac:dyDescent="0.25">
      <c r="A712" s="2"/>
      <c r="B712" s="2"/>
      <c r="C712" s="9"/>
      <c r="D712" s="9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9.5" customHeight="1" x14ac:dyDescent="0.25">
      <c r="A713" s="2"/>
      <c r="B713" s="2"/>
      <c r="C713" s="9"/>
      <c r="D713" s="9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9.5" customHeight="1" x14ac:dyDescent="0.25">
      <c r="A714" s="2"/>
      <c r="B714" s="2"/>
      <c r="C714" s="9"/>
      <c r="D714" s="9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9.5" customHeight="1" x14ac:dyDescent="0.25">
      <c r="A715" s="2"/>
      <c r="B715" s="2"/>
      <c r="C715" s="9"/>
      <c r="D715" s="9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9.5" customHeight="1" x14ac:dyDescent="0.25">
      <c r="A716" s="2"/>
      <c r="B716" s="2"/>
      <c r="C716" s="9"/>
      <c r="D716" s="9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9.5" customHeight="1" x14ac:dyDescent="0.25">
      <c r="A717" s="2"/>
      <c r="B717" s="2"/>
      <c r="C717" s="9"/>
      <c r="D717" s="9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9.5" customHeight="1" x14ac:dyDescent="0.25">
      <c r="A718" s="2"/>
      <c r="B718" s="2"/>
      <c r="C718" s="9"/>
      <c r="D718" s="9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9.5" customHeight="1" x14ac:dyDescent="0.25">
      <c r="A719" s="2"/>
      <c r="B719" s="2"/>
      <c r="C719" s="9"/>
      <c r="D719" s="9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9.5" customHeight="1" x14ac:dyDescent="0.25">
      <c r="A720" s="2"/>
      <c r="B720" s="2"/>
      <c r="C720" s="9"/>
      <c r="D720" s="9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9.5" customHeight="1" x14ac:dyDescent="0.25">
      <c r="A721" s="2"/>
      <c r="B721" s="2"/>
      <c r="C721" s="9"/>
      <c r="D721" s="9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9.5" customHeight="1" x14ac:dyDescent="0.25">
      <c r="A722" s="2"/>
      <c r="B722" s="2"/>
      <c r="C722" s="9"/>
      <c r="D722" s="9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9.5" customHeight="1" x14ac:dyDescent="0.25">
      <c r="A723" s="2"/>
      <c r="B723" s="2"/>
      <c r="C723" s="9"/>
      <c r="D723" s="9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9.5" customHeight="1" x14ac:dyDescent="0.25">
      <c r="A724" s="2"/>
      <c r="B724" s="2"/>
      <c r="C724" s="9"/>
      <c r="D724" s="9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9.5" customHeight="1" x14ac:dyDescent="0.25">
      <c r="A725" s="2"/>
      <c r="B725" s="2"/>
      <c r="C725" s="9"/>
      <c r="D725" s="9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9.5" customHeight="1" x14ac:dyDescent="0.25">
      <c r="A726" s="2"/>
      <c r="B726" s="2"/>
      <c r="C726" s="9"/>
      <c r="D726" s="9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9.5" customHeight="1" x14ac:dyDescent="0.25">
      <c r="A727" s="2"/>
      <c r="B727" s="2"/>
      <c r="C727" s="9"/>
      <c r="D727" s="9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9.5" customHeight="1" x14ac:dyDescent="0.25">
      <c r="A728" s="2"/>
      <c r="B728" s="2"/>
      <c r="C728" s="9"/>
      <c r="D728" s="9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9.5" customHeight="1" x14ac:dyDescent="0.25">
      <c r="A729" s="2"/>
      <c r="B729" s="2"/>
      <c r="C729" s="9"/>
      <c r="D729" s="9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9.5" customHeight="1" x14ac:dyDescent="0.25">
      <c r="A730" s="2"/>
      <c r="B730" s="2"/>
      <c r="C730" s="9"/>
      <c r="D730" s="9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9.5" customHeight="1" x14ac:dyDescent="0.25">
      <c r="A731" s="2"/>
      <c r="B731" s="2"/>
      <c r="C731" s="9"/>
      <c r="D731" s="9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9.5" customHeight="1" x14ac:dyDescent="0.25">
      <c r="A732" s="2"/>
      <c r="B732" s="2"/>
      <c r="C732" s="9"/>
      <c r="D732" s="9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9.5" customHeight="1" x14ac:dyDescent="0.25">
      <c r="A733" s="2"/>
      <c r="B733" s="2"/>
      <c r="C733" s="9"/>
      <c r="D733" s="9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9.5" customHeight="1" x14ac:dyDescent="0.25">
      <c r="A734" s="2"/>
      <c r="B734" s="2"/>
      <c r="C734" s="9"/>
      <c r="D734" s="9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9.5" customHeight="1" x14ac:dyDescent="0.25">
      <c r="A735" s="2"/>
      <c r="B735" s="2"/>
      <c r="C735" s="9"/>
      <c r="D735" s="9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9.5" customHeight="1" x14ac:dyDescent="0.25">
      <c r="A736" s="2"/>
      <c r="B736" s="2"/>
      <c r="C736" s="9"/>
      <c r="D736" s="9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9.5" customHeight="1" x14ac:dyDescent="0.25">
      <c r="A737" s="2"/>
      <c r="B737" s="2"/>
      <c r="C737" s="9"/>
      <c r="D737" s="9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9.5" customHeight="1" x14ac:dyDescent="0.25">
      <c r="A738" s="2"/>
      <c r="B738" s="2"/>
      <c r="C738" s="9"/>
      <c r="D738" s="9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9.5" customHeight="1" x14ac:dyDescent="0.25">
      <c r="A739" s="2"/>
      <c r="B739" s="2"/>
      <c r="C739" s="9"/>
      <c r="D739" s="9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9.5" customHeight="1" x14ac:dyDescent="0.25">
      <c r="A740" s="2"/>
      <c r="B740" s="2"/>
      <c r="C740" s="9"/>
      <c r="D740" s="9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9.5" customHeight="1" x14ac:dyDescent="0.25">
      <c r="A741" s="2"/>
      <c r="B741" s="2"/>
      <c r="C741" s="9"/>
      <c r="D741" s="9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9.5" customHeight="1" x14ac:dyDescent="0.25">
      <c r="A742" s="2"/>
      <c r="B742" s="2"/>
      <c r="C742" s="9"/>
      <c r="D742" s="9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9.5" customHeight="1" x14ac:dyDescent="0.25">
      <c r="A743" s="2"/>
      <c r="B743" s="2"/>
      <c r="C743" s="9"/>
      <c r="D743" s="9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9.5" customHeight="1" x14ac:dyDescent="0.25">
      <c r="A744" s="2"/>
      <c r="B744" s="2"/>
      <c r="C744" s="9"/>
      <c r="D744" s="9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9.5" customHeight="1" x14ac:dyDescent="0.25">
      <c r="A745" s="2"/>
      <c r="B745" s="2"/>
      <c r="C745" s="9"/>
      <c r="D745" s="9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9.5" customHeight="1" x14ac:dyDescent="0.25">
      <c r="A746" s="2"/>
      <c r="B746" s="2"/>
      <c r="C746" s="9"/>
      <c r="D746" s="9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9.5" customHeight="1" x14ac:dyDescent="0.25">
      <c r="A747" s="2"/>
      <c r="B747" s="2"/>
      <c r="C747" s="9"/>
      <c r="D747" s="9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9.5" customHeight="1" x14ac:dyDescent="0.25">
      <c r="A748" s="2"/>
      <c r="B748" s="2"/>
      <c r="C748" s="9"/>
      <c r="D748" s="9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9.5" customHeight="1" x14ac:dyDescent="0.25">
      <c r="A749" s="2"/>
      <c r="B749" s="2"/>
      <c r="C749" s="9"/>
      <c r="D749" s="9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9.5" customHeight="1" x14ac:dyDescent="0.25">
      <c r="A750" s="2"/>
      <c r="B750" s="2"/>
      <c r="C750" s="9"/>
      <c r="D750" s="9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9.5" customHeight="1" x14ac:dyDescent="0.25">
      <c r="A751" s="2"/>
      <c r="B751" s="2"/>
      <c r="C751" s="9"/>
      <c r="D751" s="9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9.5" customHeight="1" x14ac:dyDescent="0.25">
      <c r="A752" s="2"/>
      <c r="B752" s="2"/>
      <c r="C752" s="9"/>
      <c r="D752" s="9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9.5" customHeight="1" x14ac:dyDescent="0.25">
      <c r="A753" s="2"/>
      <c r="B753" s="2"/>
      <c r="C753" s="9"/>
      <c r="D753" s="9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9.5" customHeight="1" x14ac:dyDescent="0.25">
      <c r="A754" s="2"/>
      <c r="B754" s="2"/>
      <c r="C754" s="9"/>
      <c r="D754" s="9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9.5" customHeight="1" x14ac:dyDescent="0.25">
      <c r="A755" s="2"/>
      <c r="B755" s="2"/>
      <c r="C755" s="9"/>
      <c r="D755" s="9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9.5" customHeight="1" x14ac:dyDescent="0.25">
      <c r="A756" s="2"/>
      <c r="B756" s="2"/>
      <c r="C756" s="9"/>
      <c r="D756" s="9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9.5" customHeight="1" x14ac:dyDescent="0.25">
      <c r="A757" s="2"/>
      <c r="B757" s="2"/>
      <c r="C757" s="9"/>
      <c r="D757" s="9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9.5" customHeight="1" x14ac:dyDescent="0.25">
      <c r="A758" s="2"/>
      <c r="B758" s="2"/>
      <c r="C758" s="9"/>
      <c r="D758" s="9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9.5" customHeight="1" x14ac:dyDescent="0.25">
      <c r="A759" s="2"/>
      <c r="B759" s="2"/>
      <c r="C759" s="9"/>
      <c r="D759" s="9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9.5" customHeight="1" x14ac:dyDescent="0.25">
      <c r="A760" s="2"/>
      <c r="B760" s="2"/>
      <c r="C760" s="9"/>
      <c r="D760" s="9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9.5" customHeight="1" x14ac:dyDescent="0.25">
      <c r="A761" s="2"/>
      <c r="B761" s="2"/>
      <c r="C761" s="9"/>
      <c r="D761" s="9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9.5" customHeight="1" x14ac:dyDescent="0.25">
      <c r="A762" s="2"/>
      <c r="B762" s="2"/>
      <c r="C762" s="9"/>
      <c r="D762" s="9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9.5" customHeight="1" x14ac:dyDescent="0.25">
      <c r="A763" s="2"/>
      <c r="B763" s="2"/>
      <c r="C763" s="9"/>
      <c r="D763" s="9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9.5" customHeight="1" x14ac:dyDescent="0.25">
      <c r="A764" s="2"/>
      <c r="B764" s="2"/>
      <c r="C764" s="9"/>
      <c r="D764" s="9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9.5" customHeight="1" x14ac:dyDescent="0.25">
      <c r="A765" s="2"/>
      <c r="B765" s="2"/>
      <c r="C765" s="9"/>
      <c r="D765" s="9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9.5" customHeight="1" x14ac:dyDescent="0.25">
      <c r="A766" s="2"/>
      <c r="B766" s="2"/>
      <c r="C766" s="9"/>
      <c r="D766" s="9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9.5" customHeight="1" x14ac:dyDescent="0.25">
      <c r="A767" s="2"/>
      <c r="B767" s="2"/>
      <c r="C767" s="9"/>
      <c r="D767" s="9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9.5" customHeight="1" x14ac:dyDescent="0.25">
      <c r="A768" s="2"/>
      <c r="B768" s="2"/>
      <c r="C768" s="9"/>
      <c r="D768" s="9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9.5" customHeight="1" x14ac:dyDescent="0.25">
      <c r="A769" s="2"/>
      <c r="B769" s="2"/>
      <c r="C769" s="9"/>
      <c r="D769" s="9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9.5" customHeight="1" x14ac:dyDescent="0.25">
      <c r="A770" s="2"/>
      <c r="B770" s="2"/>
      <c r="C770" s="9"/>
      <c r="D770" s="9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9.5" customHeight="1" x14ac:dyDescent="0.25">
      <c r="A771" s="2"/>
      <c r="B771" s="2"/>
      <c r="C771" s="9"/>
      <c r="D771" s="9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9.5" customHeight="1" x14ac:dyDescent="0.25">
      <c r="A772" s="2"/>
      <c r="B772" s="2"/>
      <c r="C772" s="9"/>
      <c r="D772" s="9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9.5" customHeight="1" x14ac:dyDescent="0.25">
      <c r="A773" s="2"/>
      <c r="B773" s="2"/>
      <c r="C773" s="9"/>
      <c r="D773" s="9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9.5" customHeight="1" x14ac:dyDescent="0.25">
      <c r="A774" s="2"/>
      <c r="B774" s="2"/>
      <c r="C774" s="9"/>
      <c r="D774" s="9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9.5" customHeight="1" x14ac:dyDescent="0.25">
      <c r="A775" s="2"/>
      <c r="B775" s="2"/>
      <c r="C775" s="9"/>
      <c r="D775" s="9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9.5" customHeight="1" x14ac:dyDescent="0.25">
      <c r="A776" s="2"/>
      <c r="B776" s="2"/>
      <c r="C776" s="9"/>
      <c r="D776" s="9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9.5" customHeight="1" x14ac:dyDescent="0.25">
      <c r="A777" s="2"/>
      <c r="B777" s="2"/>
      <c r="C777" s="9"/>
      <c r="D777" s="9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9.5" customHeight="1" x14ac:dyDescent="0.25">
      <c r="A778" s="2"/>
      <c r="B778" s="2"/>
      <c r="C778" s="9"/>
      <c r="D778" s="9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9.5" customHeight="1" x14ac:dyDescent="0.25">
      <c r="A779" s="2"/>
      <c r="B779" s="2"/>
      <c r="C779" s="9"/>
      <c r="D779" s="9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9.5" customHeight="1" x14ac:dyDescent="0.25">
      <c r="A780" s="2"/>
      <c r="B780" s="2"/>
      <c r="C780" s="9"/>
      <c r="D780" s="9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9.5" customHeight="1" x14ac:dyDescent="0.25">
      <c r="A781" s="2"/>
      <c r="B781" s="2"/>
      <c r="C781" s="9"/>
      <c r="D781" s="9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9.5" customHeight="1" x14ac:dyDescent="0.25">
      <c r="A782" s="2"/>
      <c r="B782" s="2"/>
      <c r="C782" s="9"/>
      <c r="D782" s="9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9.5" customHeight="1" x14ac:dyDescent="0.25">
      <c r="A783" s="2"/>
      <c r="B783" s="2"/>
      <c r="C783" s="9"/>
      <c r="D783" s="9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9.5" customHeight="1" x14ac:dyDescent="0.25">
      <c r="A784" s="2"/>
      <c r="B784" s="2"/>
      <c r="C784" s="9"/>
      <c r="D784" s="9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9.5" customHeight="1" x14ac:dyDescent="0.25">
      <c r="A785" s="2"/>
      <c r="B785" s="2"/>
      <c r="C785" s="9"/>
      <c r="D785" s="9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9.5" customHeight="1" x14ac:dyDescent="0.25">
      <c r="A786" s="2"/>
      <c r="B786" s="2"/>
      <c r="C786" s="9"/>
      <c r="D786" s="9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9.5" customHeight="1" x14ac:dyDescent="0.25">
      <c r="A787" s="2"/>
      <c r="B787" s="2"/>
      <c r="C787" s="9"/>
      <c r="D787" s="9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9.5" customHeight="1" x14ac:dyDescent="0.25">
      <c r="A788" s="2"/>
      <c r="B788" s="2"/>
      <c r="C788" s="9"/>
      <c r="D788" s="9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9.5" customHeight="1" x14ac:dyDescent="0.25">
      <c r="A789" s="2"/>
      <c r="B789" s="2"/>
      <c r="C789" s="9"/>
      <c r="D789" s="9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9.5" customHeight="1" x14ac:dyDescent="0.25">
      <c r="A790" s="2"/>
      <c r="B790" s="2"/>
      <c r="C790" s="9"/>
      <c r="D790" s="9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9.5" customHeight="1" x14ac:dyDescent="0.25">
      <c r="A791" s="2"/>
      <c r="B791" s="2"/>
      <c r="C791" s="9"/>
      <c r="D791" s="9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9.5" customHeight="1" x14ac:dyDescent="0.25">
      <c r="A792" s="2"/>
      <c r="B792" s="2"/>
      <c r="C792" s="9"/>
      <c r="D792" s="9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9.5" customHeight="1" x14ac:dyDescent="0.25">
      <c r="A793" s="2"/>
      <c r="B793" s="2"/>
      <c r="C793" s="9"/>
      <c r="D793" s="9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9.5" customHeight="1" x14ac:dyDescent="0.25">
      <c r="A794" s="2"/>
      <c r="B794" s="2"/>
      <c r="C794" s="9"/>
      <c r="D794" s="9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9.5" customHeight="1" x14ac:dyDescent="0.25">
      <c r="A795" s="2"/>
      <c r="B795" s="2"/>
      <c r="C795" s="9"/>
      <c r="D795" s="9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9.5" customHeight="1" x14ac:dyDescent="0.25">
      <c r="A796" s="2"/>
      <c r="B796" s="2"/>
      <c r="C796" s="9"/>
      <c r="D796" s="9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9.5" customHeight="1" x14ac:dyDescent="0.25">
      <c r="A797" s="2"/>
      <c r="B797" s="2"/>
      <c r="C797" s="9"/>
      <c r="D797" s="9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9.5" customHeight="1" x14ac:dyDescent="0.25">
      <c r="A798" s="2"/>
      <c r="B798" s="2"/>
      <c r="C798" s="9"/>
      <c r="D798" s="9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9.5" customHeight="1" x14ac:dyDescent="0.25">
      <c r="A799" s="2"/>
      <c r="B799" s="2"/>
      <c r="C799" s="9"/>
      <c r="D799" s="9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9.5" customHeight="1" x14ac:dyDescent="0.25">
      <c r="A800" s="2"/>
      <c r="B800" s="2"/>
      <c r="C800" s="9"/>
      <c r="D800" s="9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9.5" customHeight="1" x14ac:dyDescent="0.25">
      <c r="A801" s="2"/>
      <c r="B801" s="2"/>
      <c r="C801" s="9"/>
      <c r="D801" s="9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9.5" customHeight="1" x14ac:dyDescent="0.25">
      <c r="A802" s="2"/>
      <c r="B802" s="2"/>
      <c r="C802" s="9"/>
      <c r="D802" s="9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9.5" customHeight="1" x14ac:dyDescent="0.25">
      <c r="A803" s="2"/>
      <c r="B803" s="2"/>
      <c r="C803" s="9"/>
      <c r="D803" s="9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9.5" customHeight="1" x14ac:dyDescent="0.25">
      <c r="A804" s="2"/>
      <c r="B804" s="2"/>
      <c r="C804" s="9"/>
      <c r="D804" s="9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9.5" customHeight="1" x14ac:dyDescent="0.25">
      <c r="A805" s="2"/>
      <c r="B805" s="2"/>
      <c r="C805" s="9"/>
      <c r="D805" s="9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9.5" customHeight="1" x14ac:dyDescent="0.25">
      <c r="A806" s="2"/>
      <c r="B806" s="2"/>
      <c r="C806" s="9"/>
      <c r="D806" s="9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9.5" customHeight="1" x14ac:dyDescent="0.25">
      <c r="A807" s="2"/>
      <c r="B807" s="2"/>
      <c r="C807" s="9"/>
      <c r="D807" s="9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9.5" customHeight="1" x14ac:dyDescent="0.25">
      <c r="A808" s="2"/>
      <c r="B808" s="2"/>
      <c r="C808" s="9"/>
      <c r="D808" s="9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9.5" customHeight="1" x14ac:dyDescent="0.25">
      <c r="A809" s="2"/>
      <c r="B809" s="2"/>
      <c r="C809" s="9"/>
      <c r="D809" s="9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9.5" customHeight="1" x14ac:dyDescent="0.25">
      <c r="A810" s="2"/>
      <c r="B810" s="2"/>
      <c r="C810" s="9"/>
      <c r="D810" s="9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9.5" customHeight="1" x14ac:dyDescent="0.25">
      <c r="A811" s="2"/>
      <c r="B811" s="2"/>
      <c r="C811" s="9"/>
      <c r="D811" s="9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9.5" customHeight="1" x14ac:dyDescent="0.25">
      <c r="A812" s="2"/>
      <c r="B812" s="2"/>
      <c r="C812" s="9"/>
      <c r="D812" s="9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9.5" customHeight="1" x14ac:dyDescent="0.25">
      <c r="A813" s="2"/>
      <c r="B813" s="2"/>
      <c r="C813" s="9"/>
      <c r="D813" s="9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9.5" customHeight="1" x14ac:dyDescent="0.25">
      <c r="A814" s="2"/>
      <c r="B814" s="2"/>
      <c r="C814" s="9"/>
      <c r="D814" s="9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9.5" customHeight="1" x14ac:dyDescent="0.25">
      <c r="A815" s="2"/>
      <c r="B815" s="2"/>
      <c r="C815" s="9"/>
      <c r="D815" s="9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9.5" customHeight="1" x14ac:dyDescent="0.25">
      <c r="A816" s="2"/>
      <c r="B816" s="2"/>
      <c r="C816" s="9"/>
      <c r="D816" s="9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9.5" customHeight="1" x14ac:dyDescent="0.25">
      <c r="A817" s="2"/>
      <c r="B817" s="2"/>
      <c r="C817" s="9"/>
      <c r="D817" s="9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9.5" customHeight="1" x14ac:dyDescent="0.25">
      <c r="A818" s="2"/>
      <c r="B818" s="2"/>
      <c r="C818" s="9"/>
      <c r="D818" s="9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9.5" customHeight="1" x14ac:dyDescent="0.25">
      <c r="A819" s="2"/>
      <c r="B819" s="2"/>
      <c r="C819" s="9"/>
      <c r="D819" s="9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9.5" customHeight="1" x14ac:dyDescent="0.25">
      <c r="A820" s="2"/>
      <c r="B820" s="2"/>
      <c r="C820" s="9"/>
      <c r="D820" s="9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9.5" customHeight="1" x14ac:dyDescent="0.25">
      <c r="A821" s="2"/>
      <c r="B821" s="2"/>
      <c r="C821" s="9"/>
      <c r="D821" s="9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9.5" customHeight="1" x14ac:dyDescent="0.25">
      <c r="A822" s="2"/>
      <c r="B822" s="2"/>
      <c r="C822" s="9"/>
      <c r="D822" s="9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9.5" customHeight="1" x14ac:dyDescent="0.25">
      <c r="A823" s="2"/>
      <c r="B823" s="2"/>
      <c r="C823" s="9"/>
      <c r="D823" s="9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9.5" customHeight="1" x14ac:dyDescent="0.25">
      <c r="A824" s="2"/>
      <c r="B824" s="2"/>
      <c r="C824" s="9"/>
      <c r="D824" s="9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9.5" customHeight="1" x14ac:dyDescent="0.25">
      <c r="A825" s="2"/>
      <c r="B825" s="2"/>
      <c r="C825" s="9"/>
      <c r="D825" s="9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9.5" customHeight="1" x14ac:dyDescent="0.25">
      <c r="A826" s="2"/>
      <c r="B826" s="2"/>
      <c r="C826" s="9"/>
      <c r="D826" s="9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9.5" customHeight="1" x14ac:dyDescent="0.25">
      <c r="A827" s="2"/>
      <c r="B827" s="2"/>
      <c r="C827" s="9"/>
      <c r="D827" s="9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9.5" customHeight="1" x14ac:dyDescent="0.25">
      <c r="A828" s="2"/>
      <c r="B828" s="2"/>
      <c r="C828" s="9"/>
      <c r="D828" s="9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9.5" customHeight="1" x14ac:dyDescent="0.25">
      <c r="A829" s="2"/>
      <c r="B829" s="2"/>
      <c r="C829" s="9"/>
      <c r="D829" s="9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9.5" customHeight="1" x14ac:dyDescent="0.25">
      <c r="A830" s="2"/>
      <c r="B830" s="2"/>
      <c r="C830" s="9"/>
      <c r="D830" s="9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9.5" customHeight="1" x14ac:dyDescent="0.25">
      <c r="A831" s="2"/>
      <c r="B831" s="2"/>
      <c r="C831" s="9"/>
      <c r="D831" s="9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9.5" customHeight="1" x14ac:dyDescent="0.25">
      <c r="A832" s="2"/>
      <c r="B832" s="2"/>
      <c r="C832" s="9"/>
      <c r="D832" s="9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9.5" customHeight="1" x14ac:dyDescent="0.25">
      <c r="A833" s="2"/>
      <c r="B833" s="2"/>
      <c r="C833" s="9"/>
      <c r="D833" s="9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9.5" customHeight="1" x14ac:dyDescent="0.25">
      <c r="A834" s="2"/>
      <c r="B834" s="2"/>
      <c r="C834" s="9"/>
      <c r="D834" s="9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9.5" customHeight="1" x14ac:dyDescent="0.25">
      <c r="A835" s="2"/>
      <c r="B835" s="2"/>
      <c r="C835" s="9"/>
      <c r="D835" s="9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9.5" customHeight="1" x14ac:dyDescent="0.25">
      <c r="A836" s="2"/>
      <c r="B836" s="2"/>
      <c r="C836" s="9"/>
      <c r="D836" s="9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9.5" customHeight="1" x14ac:dyDescent="0.25">
      <c r="A837" s="2"/>
      <c r="B837" s="2"/>
      <c r="C837" s="9"/>
      <c r="D837" s="9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9.5" customHeight="1" x14ac:dyDescent="0.25">
      <c r="A838" s="2"/>
      <c r="B838" s="2"/>
      <c r="C838" s="9"/>
      <c r="D838" s="9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9.5" customHeight="1" x14ac:dyDescent="0.25">
      <c r="A839" s="2"/>
      <c r="B839" s="2"/>
      <c r="C839" s="9"/>
      <c r="D839" s="9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9.5" customHeight="1" x14ac:dyDescent="0.25">
      <c r="A840" s="2"/>
      <c r="B840" s="2"/>
      <c r="C840" s="9"/>
      <c r="D840" s="9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9.5" customHeight="1" x14ac:dyDescent="0.25">
      <c r="A841" s="2"/>
      <c r="B841" s="2"/>
      <c r="C841" s="9"/>
      <c r="D841" s="9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9.5" customHeight="1" x14ac:dyDescent="0.25">
      <c r="A842" s="2"/>
      <c r="B842" s="2"/>
      <c r="C842" s="9"/>
      <c r="D842" s="9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9.5" customHeight="1" x14ac:dyDescent="0.25">
      <c r="A843" s="2"/>
      <c r="B843" s="2"/>
      <c r="C843" s="9"/>
      <c r="D843" s="9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9.5" customHeight="1" x14ac:dyDescent="0.25">
      <c r="A844" s="2"/>
      <c r="B844" s="2"/>
      <c r="C844" s="9"/>
      <c r="D844" s="9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9.5" customHeight="1" x14ac:dyDescent="0.25">
      <c r="A845" s="2"/>
      <c r="B845" s="2"/>
      <c r="C845" s="9"/>
      <c r="D845" s="9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9.5" customHeight="1" x14ac:dyDescent="0.25">
      <c r="A846" s="2"/>
      <c r="B846" s="2"/>
      <c r="C846" s="9"/>
      <c r="D846" s="9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9.5" customHeight="1" x14ac:dyDescent="0.25">
      <c r="A847" s="2"/>
      <c r="B847" s="2"/>
      <c r="C847" s="9"/>
      <c r="D847" s="9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9.5" customHeight="1" x14ac:dyDescent="0.25">
      <c r="A848" s="2"/>
      <c r="B848" s="2"/>
      <c r="C848" s="9"/>
      <c r="D848" s="9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9.5" customHeight="1" x14ac:dyDescent="0.25">
      <c r="A849" s="2"/>
      <c r="B849" s="2"/>
      <c r="C849" s="9"/>
      <c r="D849" s="9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9.5" customHeight="1" x14ac:dyDescent="0.25">
      <c r="A850" s="2"/>
      <c r="B850" s="2"/>
      <c r="C850" s="9"/>
      <c r="D850" s="9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9.5" customHeight="1" x14ac:dyDescent="0.25">
      <c r="A851" s="2"/>
      <c r="B851" s="2"/>
      <c r="C851" s="9"/>
      <c r="D851" s="9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9.5" customHeight="1" x14ac:dyDescent="0.25">
      <c r="A852" s="2"/>
      <c r="B852" s="2"/>
      <c r="C852" s="9"/>
      <c r="D852" s="9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9.5" customHeight="1" x14ac:dyDescent="0.25">
      <c r="A853" s="2"/>
      <c r="B853" s="2"/>
      <c r="C853" s="9"/>
      <c r="D853" s="9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9.5" customHeight="1" x14ac:dyDescent="0.25">
      <c r="A854" s="2"/>
      <c r="B854" s="2"/>
      <c r="C854" s="9"/>
      <c r="D854" s="9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9.5" customHeight="1" x14ac:dyDescent="0.25">
      <c r="A855" s="2"/>
      <c r="B855" s="2"/>
      <c r="C855" s="9"/>
      <c r="D855" s="9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9.5" customHeight="1" x14ac:dyDescent="0.25">
      <c r="A856" s="2"/>
      <c r="B856" s="2"/>
      <c r="C856" s="9"/>
      <c r="D856" s="9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9.5" customHeight="1" x14ac:dyDescent="0.25">
      <c r="A857" s="2"/>
      <c r="B857" s="2"/>
      <c r="C857" s="9"/>
      <c r="D857" s="9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9.5" customHeight="1" x14ac:dyDescent="0.25">
      <c r="A858" s="2"/>
      <c r="B858" s="2"/>
      <c r="C858" s="9"/>
      <c r="D858" s="9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9.5" customHeight="1" x14ac:dyDescent="0.25">
      <c r="A859" s="2"/>
      <c r="B859" s="2"/>
      <c r="C859" s="9"/>
      <c r="D859" s="9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9.5" customHeight="1" x14ac:dyDescent="0.25">
      <c r="A860" s="2"/>
      <c r="B860" s="2"/>
      <c r="C860" s="9"/>
      <c r="D860" s="9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9.5" customHeight="1" x14ac:dyDescent="0.25">
      <c r="A861" s="2"/>
      <c r="B861" s="2"/>
      <c r="C861" s="9"/>
      <c r="D861" s="9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9.5" customHeight="1" x14ac:dyDescent="0.25">
      <c r="A862" s="2"/>
      <c r="B862" s="2"/>
      <c r="C862" s="9"/>
      <c r="D862" s="9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9.5" customHeight="1" x14ac:dyDescent="0.25">
      <c r="A863" s="2"/>
      <c r="B863" s="2"/>
      <c r="C863" s="9"/>
      <c r="D863" s="9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9.5" customHeight="1" x14ac:dyDescent="0.25">
      <c r="A864" s="2"/>
      <c r="B864" s="2"/>
      <c r="C864" s="9"/>
      <c r="D864" s="9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9.5" customHeight="1" x14ac:dyDescent="0.25">
      <c r="A865" s="2"/>
      <c r="B865" s="2"/>
      <c r="C865" s="9"/>
      <c r="D865" s="9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9.5" customHeight="1" x14ac:dyDescent="0.25">
      <c r="A866" s="2"/>
      <c r="B866" s="2"/>
      <c r="C866" s="9"/>
      <c r="D866" s="9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9.5" customHeight="1" x14ac:dyDescent="0.25">
      <c r="A867" s="2"/>
      <c r="B867" s="2"/>
      <c r="C867" s="9"/>
      <c r="D867" s="9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9.5" customHeight="1" x14ac:dyDescent="0.25">
      <c r="A868" s="2"/>
      <c r="B868" s="2"/>
      <c r="C868" s="9"/>
      <c r="D868" s="9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9.5" customHeight="1" x14ac:dyDescent="0.25">
      <c r="A869" s="2"/>
      <c r="B869" s="2"/>
      <c r="C869" s="9"/>
      <c r="D869" s="9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9.5" customHeight="1" x14ac:dyDescent="0.25">
      <c r="A870" s="2"/>
      <c r="B870" s="2"/>
      <c r="C870" s="9"/>
      <c r="D870" s="9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9.5" customHeight="1" x14ac:dyDescent="0.25">
      <c r="A871" s="2"/>
      <c r="B871" s="2"/>
      <c r="C871" s="9"/>
      <c r="D871" s="9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9.5" customHeight="1" x14ac:dyDescent="0.25">
      <c r="A872" s="2"/>
      <c r="B872" s="2"/>
      <c r="C872" s="9"/>
      <c r="D872" s="9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9.5" customHeight="1" x14ac:dyDescent="0.25">
      <c r="A873" s="2"/>
      <c r="B873" s="2"/>
      <c r="C873" s="9"/>
      <c r="D873" s="9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9.5" customHeight="1" x14ac:dyDescent="0.25">
      <c r="A874" s="2"/>
      <c r="B874" s="2"/>
      <c r="C874" s="9"/>
      <c r="D874" s="9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9.5" customHeight="1" x14ac:dyDescent="0.25">
      <c r="A875" s="2"/>
      <c r="B875" s="2"/>
      <c r="C875" s="9"/>
      <c r="D875" s="9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9.5" customHeight="1" x14ac:dyDescent="0.25">
      <c r="A876" s="2"/>
      <c r="B876" s="2"/>
      <c r="C876" s="9"/>
      <c r="D876" s="9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9.5" customHeight="1" x14ac:dyDescent="0.25">
      <c r="A877" s="2"/>
      <c r="B877" s="2"/>
      <c r="C877" s="9"/>
      <c r="D877" s="9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9.5" customHeight="1" x14ac:dyDescent="0.25">
      <c r="A878" s="2"/>
      <c r="B878" s="2"/>
      <c r="C878" s="9"/>
      <c r="D878" s="9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9.5" customHeight="1" x14ac:dyDescent="0.25">
      <c r="A879" s="2"/>
      <c r="B879" s="2"/>
      <c r="C879" s="9"/>
      <c r="D879" s="9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9.5" customHeight="1" x14ac:dyDescent="0.25">
      <c r="A880" s="2"/>
      <c r="B880" s="2"/>
      <c r="C880" s="9"/>
      <c r="D880" s="9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9.5" customHeight="1" x14ac:dyDescent="0.25">
      <c r="A881" s="2"/>
      <c r="B881" s="2"/>
      <c r="C881" s="9"/>
      <c r="D881" s="9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9.5" customHeight="1" x14ac:dyDescent="0.25">
      <c r="A882" s="2"/>
      <c r="B882" s="2"/>
      <c r="C882" s="9"/>
      <c r="D882" s="9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9.5" customHeight="1" x14ac:dyDescent="0.25">
      <c r="A883" s="2"/>
      <c r="B883" s="2"/>
      <c r="C883" s="9"/>
      <c r="D883" s="9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9.5" customHeight="1" x14ac:dyDescent="0.25">
      <c r="A884" s="2"/>
      <c r="B884" s="2"/>
      <c r="C884" s="9"/>
      <c r="D884" s="9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9.5" customHeight="1" x14ac:dyDescent="0.25">
      <c r="A885" s="2"/>
      <c r="B885" s="2"/>
      <c r="C885" s="9"/>
      <c r="D885" s="9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9.5" customHeight="1" x14ac:dyDescent="0.25">
      <c r="A886" s="2"/>
      <c r="B886" s="2"/>
      <c r="C886" s="9"/>
      <c r="D886" s="9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9.5" customHeight="1" x14ac:dyDescent="0.25">
      <c r="A887" s="2"/>
      <c r="B887" s="2"/>
      <c r="C887" s="9"/>
      <c r="D887" s="9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9.5" customHeight="1" x14ac:dyDescent="0.25">
      <c r="A888" s="2"/>
      <c r="B888" s="2"/>
      <c r="C888" s="9"/>
      <c r="D888" s="9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9.5" customHeight="1" x14ac:dyDescent="0.25">
      <c r="A889" s="2"/>
      <c r="B889" s="2"/>
      <c r="C889" s="9"/>
      <c r="D889" s="9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9.5" customHeight="1" x14ac:dyDescent="0.25">
      <c r="A890" s="2"/>
      <c r="B890" s="2"/>
      <c r="C890" s="9"/>
      <c r="D890" s="9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9.5" customHeight="1" x14ac:dyDescent="0.25">
      <c r="A891" s="2"/>
      <c r="B891" s="2"/>
      <c r="C891" s="9"/>
      <c r="D891" s="9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9.5" customHeight="1" x14ac:dyDescent="0.25">
      <c r="A892" s="2"/>
      <c r="B892" s="2"/>
      <c r="C892" s="9"/>
      <c r="D892" s="9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9.5" customHeight="1" x14ac:dyDescent="0.25">
      <c r="A893" s="2"/>
      <c r="B893" s="2"/>
      <c r="C893" s="9"/>
      <c r="D893" s="9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9.5" customHeight="1" x14ac:dyDescent="0.25">
      <c r="A894" s="2"/>
      <c r="B894" s="2"/>
      <c r="C894" s="9"/>
      <c r="D894" s="9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9.5" customHeight="1" x14ac:dyDescent="0.25">
      <c r="A895" s="2"/>
      <c r="B895" s="2"/>
      <c r="C895" s="9"/>
      <c r="D895" s="9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9.5" customHeight="1" x14ac:dyDescent="0.25">
      <c r="A896" s="2"/>
      <c r="B896" s="2"/>
      <c r="C896" s="9"/>
      <c r="D896" s="9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9.5" customHeight="1" x14ac:dyDescent="0.25">
      <c r="A897" s="2"/>
      <c r="B897" s="2"/>
      <c r="C897" s="9"/>
      <c r="D897" s="9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9.5" customHeight="1" x14ac:dyDescent="0.25">
      <c r="A898" s="2"/>
      <c r="B898" s="2"/>
      <c r="C898" s="9"/>
      <c r="D898" s="9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9.5" customHeight="1" x14ac:dyDescent="0.25">
      <c r="A899" s="2"/>
      <c r="B899" s="2"/>
      <c r="C899" s="9"/>
      <c r="D899" s="9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9.5" customHeight="1" x14ac:dyDescent="0.25">
      <c r="A900" s="2"/>
      <c r="B900" s="2"/>
      <c r="C900" s="9"/>
      <c r="D900" s="9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9.5" customHeight="1" x14ac:dyDescent="0.25">
      <c r="A901" s="2"/>
      <c r="B901" s="2"/>
      <c r="C901" s="9"/>
      <c r="D901" s="9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9.5" customHeight="1" x14ac:dyDescent="0.25">
      <c r="A902" s="2"/>
      <c r="B902" s="2"/>
      <c r="C902" s="9"/>
      <c r="D902" s="9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9.5" customHeight="1" x14ac:dyDescent="0.25">
      <c r="A903" s="2"/>
      <c r="B903" s="2"/>
      <c r="C903" s="9"/>
      <c r="D903" s="9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9.5" customHeight="1" x14ac:dyDescent="0.25">
      <c r="A904" s="2"/>
      <c r="B904" s="2"/>
      <c r="C904" s="9"/>
      <c r="D904" s="9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9.5" customHeight="1" x14ac:dyDescent="0.25">
      <c r="A905" s="2"/>
      <c r="B905" s="2"/>
      <c r="C905" s="9"/>
      <c r="D905" s="9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9.5" customHeight="1" x14ac:dyDescent="0.25">
      <c r="A906" s="2"/>
      <c r="B906" s="2"/>
      <c r="C906" s="9"/>
      <c r="D906" s="9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9.5" customHeight="1" x14ac:dyDescent="0.25">
      <c r="A907" s="2"/>
      <c r="B907" s="2"/>
      <c r="C907" s="9"/>
      <c r="D907" s="9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9.5" customHeight="1" x14ac:dyDescent="0.25">
      <c r="A908" s="2"/>
      <c r="B908" s="2"/>
      <c r="C908" s="9"/>
      <c r="D908" s="9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9.5" customHeight="1" x14ac:dyDescent="0.25">
      <c r="A909" s="2"/>
      <c r="B909" s="2"/>
      <c r="C909" s="9"/>
      <c r="D909" s="9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9.5" customHeight="1" x14ac:dyDescent="0.25">
      <c r="A910" s="2"/>
      <c r="B910" s="2"/>
      <c r="C910" s="9"/>
      <c r="D910" s="9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9.5" customHeight="1" x14ac:dyDescent="0.25">
      <c r="A911" s="2"/>
      <c r="B911" s="2"/>
      <c r="C911" s="9"/>
      <c r="D911" s="9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9.5" customHeight="1" x14ac:dyDescent="0.25">
      <c r="A912" s="2"/>
      <c r="B912" s="2"/>
      <c r="C912" s="9"/>
      <c r="D912" s="9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9.5" customHeight="1" x14ac:dyDescent="0.25">
      <c r="A913" s="2"/>
      <c r="B913" s="2"/>
      <c r="C913" s="9"/>
      <c r="D913" s="9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9.5" customHeight="1" x14ac:dyDescent="0.25">
      <c r="A914" s="2"/>
      <c r="B914" s="2"/>
      <c r="C914" s="9"/>
      <c r="D914" s="9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9.5" customHeight="1" x14ac:dyDescent="0.25">
      <c r="A915" s="2"/>
      <c r="B915" s="2"/>
      <c r="C915" s="9"/>
      <c r="D915" s="9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9.5" customHeight="1" x14ac:dyDescent="0.25">
      <c r="A916" s="2"/>
      <c r="B916" s="2"/>
      <c r="C916" s="9"/>
      <c r="D916" s="9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9.5" customHeight="1" x14ac:dyDescent="0.25">
      <c r="A917" s="2"/>
      <c r="B917" s="2"/>
      <c r="C917" s="9"/>
      <c r="D917" s="9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9.5" customHeight="1" x14ac:dyDescent="0.25">
      <c r="A918" s="2"/>
      <c r="B918" s="2"/>
      <c r="C918" s="9"/>
      <c r="D918" s="9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9.5" customHeight="1" x14ac:dyDescent="0.25">
      <c r="A919" s="2"/>
      <c r="B919" s="2"/>
      <c r="C919" s="9"/>
      <c r="D919" s="9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9.5" customHeight="1" x14ac:dyDescent="0.25">
      <c r="A920" s="2"/>
      <c r="B920" s="2"/>
      <c r="C920" s="9"/>
      <c r="D920" s="9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9.5" customHeight="1" x14ac:dyDescent="0.25">
      <c r="A921" s="2"/>
      <c r="B921" s="2"/>
      <c r="C921" s="9"/>
      <c r="D921" s="9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9.5" customHeight="1" x14ac:dyDescent="0.25">
      <c r="A922" s="2"/>
      <c r="B922" s="2"/>
      <c r="C922" s="9"/>
      <c r="D922" s="9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9.5" customHeight="1" x14ac:dyDescent="0.25">
      <c r="A923" s="2"/>
      <c r="B923" s="2"/>
      <c r="C923" s="9"/>
      <c r="D923" s="9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9.5" customHeight="1" x14ac:dyDescent="0.25">
      <c r="A924" s="2"/>
      <c r="B924" s="2"/>
      <c r="C924" s="9"/>
      <c r="D924" s="9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9.5" customHeight="1" x14ac:dyDescent="0.25">
      <c r="A925" s="2"/>
      <c r="B925" s="2"/>
      <c r="C925" s="9"/>
      <c r="D925" s="9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9.5" customHeight="1" x14ac:dyDescent="0.25">
      <c r="A926" s="2"/>
      <c r="B926" s="2"/>
      <c r="C926" s="9"/>
      <c r="D926" s="9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9.5" customHeight="1" x14ac:dyDescent="0.25">
      <c r="A927" s="2"/>
      <c r="B927" s="2"/>
      <c r="C927" s="9"/>
      <c r="D927" s="9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9.5" customHeight="1" x14ac:dyDescent="0.25">
      <c r="A928" s="2"/>
      <c r="B928" s="2"/>
      <c r="C928" s="9"/>
      <c r="D928" s="9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17" ht="19.5" customHeight="1" x14ac:dyDescent="0.25">
      <c r="A929" s="2"/>
      <c r="B929" s="2"/>
      <c r="C929" s="9"/>
      <c r="D929" s="9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17" ht="19.5" customHeight="1" x14ac:dyDescent="0.25">
      <c r="A930" s="2"/>
      <c r="B930" s="2"/>
      <c r="C930" s="9"/>
      <c r="D930" s="9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17" ht="19.5" customHeight="1" x14ac:dyDescent="0.25">
      <c r="A931" s="2"/>
      <c r="B931" s="2"/>
      <c r="C931" s="9"/>
      <c r="D931" s="9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17" ht="19.5" customHeight="1" x14ac:dyDescent="0.25">
      <c r="A932" s="2"/>
      <c r="B932" s="2"/>
      <c r="C932" s="9"/>
      <c r="D932" s="9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17" ht="19.5" customHeight="1" x14ac:dyDescent="0.25">
      <c r="A933" s="2"/>
      <c r="B933" s="2"/>
      <c r="C933" s="9"/>
      <c r="D933" s="9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17" ht="19.5" customHeight="1" x14ac:dyDescent="0.25">
      <c r="A934" s="2"/>
      <c r="B934" s="2"/>
      <c r="C934" s="9"/>
      <c r="D934" s="9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17" ht="19.5" customHeight="1" x14ac:dyDescent="0.25">
      <c r="A935" s="2"/>
      <c r="B935" s="2"/>
      <c r="C935" s="9"/>
      <c r="D935" s="9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17" ht="19.5" customHeight="1" x14ac:dyDescent="0.25">
      <c r="A936" s="2"/>
      <c r="B936" s="2"/>
      <c r="C936" s="9"/>
      <c r="D936" s="9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17" ht="19.5" customHeight="1" x14ac:dyDescent="0.25">
      <c r="A937" s="2"/>
      <c r="B937" s="2"/>
      <c r="C937" s="9"/>
      <c r="D937" s="9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17" ht="19.5" customHeight="1" x14ac:dyDescent="0.25">
      <c r="A938" s="2"/>
      <c r="B938" s="2"/>
      <c r="C938" s="9"/>
      <c r="D938" s="9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17" ht="19.5" customHeight="1" x14ac:dyDescent="0.25">
      <c r="A939" s="2"/>
      <c r="B939" s="2"/>
      <c r="C939" s="9"/>
      <c r="D939" s="9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1:17" ht="19.5" customHeight="1" x14ac:dyDescent="0.25">
      <c r="A940" s="2"/>
      <c r="B940" s="2"/>
      <c r="C940" s="9"/>
      <c r="D940" s="9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1:17" ht="19.5" customHeight="1" x14ac:dyDescent="0.25">
      <c r="A941" s="2"/>
      <c r="B941" s="2"/>
      <c r="C941" s="9"/>
      <c r="D941" s="9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 ht="19.5" customHeight="1" x14ac:dyDescent="0.25">
      <c r="A942" s="2"/>
      <c r="B942" s="2"/>
      <c r="C942" s="9"/>
      <c r="D942" s="9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 ht="19.5" customHeight="1" x14ac:dyDescent="0.25">
      <c r="A943" s="2"/>
      <c r="B943" s="2"/>
      <c r="C943" s="9"/>
      <c r="D943" s="9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1:17" ht="19.5" customHeight="1" x14ac:dyDescent="0.25">
      <c r="A944" s="2"/>
      <c r="B944" s="2"/>
      <c r="C944" s="9"/>
      <c r="D944" s="9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1:17" ht="19.5" customHeight="1" x14ac:dyDescent="0.25">
      <c r="A945" s="2"/>
      <c r="B945" s="2"/>
      <c r="C945" s="9"/>
      <c r="D945" s="9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 ht="19.5" customHeight="1" x14ac:dyDescent="0.25">
      <c r="A946" s="2"/>
      <c r="B946" s="2"/>
      <c r="C946" s="9"/>
      <c r="D946" s="9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1:17" ht="19.5" customHeight="1" x14ac:dyDescent="0.25">
      <c r="A947" s="2"/>
      <c r="B947" s="2"/>
      <c r="C947" s="9"/>
      <c r="D947" s="9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 ht="19.5" customHeight="1" x14ac:dyDescent="0.25">
      <c r="A948" s="2"/>
      <c r="B948" s="2"/>
      <c r="C948" s="9"/>
      <c r="D948" s="9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 ht="19.5" customHeight="1" x14ac:dyDescent="0.25">
      <c r="A949" s="2"/>
      <c r="B949" s="2"/>
      <c r="C949" s="9"/>
      <c r="D949" s="9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1:17" ht="19.5" customHeight="1" x14ac:dyDescent="0.25">
      <c r="A950" s="2"/>
      <c r="B950" s="2"/>
      <c r="C950" s="9"/>
      <c r="D950" s="9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1:17" ht="19.5" customHeight="1" x14ac:dyDescent="0.25">
      <c r="A951" s="2"/>
      <c r="B951" s="2"/>
      <c r="C951" s="9"/>
      <c r="D951" s="9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1:17" ht="19.5" customHeight="1" x14ac:dyDescent="0.25">
      <c r="A952" s="2"/>
      <c r="B952" s="2"/>
      <c r="C952" s="9"/>
      <c r="D952" s="9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spans="1:17" ht="19.5" customHeight="1" x14ac:dyDescent="0.25">
      <c r="A953" s="2"/>
      <c r="B953" s="2"/>
      <c r="C953" s="9"/>
      <c r="D953" s="9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spans="1:17" ht="19.5" customHeight="1" x14ac:dyDescent="0.25">
      <c r="A954" s="2"/>
      <c r="B954" s="2"/>
      <c r="C954" s="9"/>
      <c r="D954" s="9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spans="1:17" ht="19.5" customHeight="1" x14ac:dyDescent="0.25">
      <c r="A955" s="2"/>
      <c r="B955" s="2"/>
      <c r="C955" s="9"/>
      <c r="D955" s="9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spans="1:17" ht="19.5" customHeight="1" x14ac:dyDescent="0.25">
      <c r="A956" s="2"/>
      <c r="B956" s="2"/>
      <c r="C956" s="9"/>
      <c r="D956" s="9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1:17" ht="19.5" customHeight="1" x14ac:dyDescent="0.25">
      <c r="A957" s="2"/>
      <c r="B957" s="2"/>
      <c r="C957" s="9"/>
      <c r="D957" s="9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1:17" ht="19.5" customHeight="1" x14ac:dyDescent="0.25">
      <c r="A958" s="2"/>
      <c r="B958" s="2"/>
      <c r="C958" s="9"/>
      <c r="D958" s="9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1:17" ht="19.5" customHeight="1" x14ac:dyDescent="0.25">
      <c r="A959" s="2"/>
      <c r="B959" s="2"/>
      <c r="C959" s="9"/>
      <c r="D959" s="9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1:17" ht="19.5" customHeight="1" x14ac:dyDescent="0.25">
      <c r="A960" s="2"/>
      <c r="B960" s="2"/>
      <c r="C960" s="9"/>
      <c r="D960" s="9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1:17" ht="19.5" customHeight="1" x14ac:dyDescent="0.25">
      <c r="A961" s="2"/>
      <c r="B961" s="2"/>
      <c r="C961" s="9"/>
      <c r="D961" s="9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1:17" ht="19.5" customHeight="1" x14ac:dyDescent="0.25">
      <c r="A962" s="2"/>
      <c r="B962" s="2"/>
      <c r="C962" s="9"/>
      <c r="D962" s="9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spans="1:17" ht="19.5" customHeight="1" x14ac:dyDescent="0.25">
      <c r="A963" s="2"/>
      <c r="B963" s="2"/>
      <c r="C963" s="9"/>
      <c r="D963" s="9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spans="1:17" ht="19.5" customHeight="1" x14ac:dyDescent="0.25">
      <c r="A964" s="2"/>
      <c r="B964" s="2"/>
      <c r="C964" s="9"/>
      <c r="D964" s="9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1:17" ht="19.5" customHeight="1" x14ac:dyDescent="0.25">
      <c r="A965" s="2"/>
      <c r="B965" s="2"/>
      <c r="C965" s="9"/>
      <c r="D965" s="9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1:17" ht="19.5" customHeight="1" x14ac:dyDescent="0.25">
      <c r="A966" s="2"/>
      <c r="B966" s="2"/>
      <c r="C966" s="9"/>
      <c r="D966" s="9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1:17" ht="19.5" customHeight="1" x14ac:dyDescent="0.25">
      <c r="A967" s="2"/>
      <c r="B967" s="2"/>
      <c r="C967" s="9"/>
      <c r="D967" s="9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1:17" ht="19.5" customHeight="1" x14ac:dyDescent="0.25">
      <c r="A968" s="2"/>
      <c r="B968" s="2"/>
      <c r="C968" s="9"/>
      <c r="D968" s="9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1:17" ht="19.5" customHeight="1" x14ac:dyDescent="0.25">
      <c r="A969" s="2"/>
      <c r="B969" s="2"/>
      <c r="C969" s="9"/>
      <c r="D969" s="9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1:17" ht="19.5" customHeight="1" x14ac:dyDescent="0.25">
      <c r="A970" s="2"/>
      <c r="B970" s="2"/>
      <c r="C970" s="9"/>
      <c r="D970" s="9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1:17" ht="19.5" customHeight="1" x14ac:dyDescent="0.25">
      <c r="A971" s="2"/>
      <c r="B971" s="2"/>
      <c r="C971" s="9"/>
      <c r="D971" s="9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1:17" ht="19.5" customHeight="1" x14ac:dyDescent="0.25">
      <c r="A972" s="2"/>
      <c r="B972" s="2"/>
      <c r="C972" s="9"/>
      <c r="D972" s="9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1:17" ht="19.5" customHeight="1" x14ac:dyDescent="0.25">
      <c r="A973" s="2"/>
      <c r="B973" s="2"/>
      <c r="C973" s="9"/>
      <c r="D973" s="9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1:17" ht="19.5" customHeight="1" x14ac:dyDescent="0.25">
      <c r="A974" s="2"/>
      <c r="B974" s="2"/>
      <c r="C974" s="9"/>
      <c r="D974" s="9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1:17" ht="19.5" customHeight="1" x14ac:dyDescent="0.25">
      <c r="A975" s="2"/>
      <c r="B975" s="2"/>
      <c r="C975" s="9"/>
      <c r="D975" s="9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1:17" ht="19.5" customHeight="1" x14ac:dyDescent="0.25">
      <c r="A976" s="2"/>
      <c r="B976" s="2"/>
      <c r="C976" s="9"/>
      <c r="D976" s="9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spans="1:17" ht="19.5" customHeight="1" x14ac:dyDescent="0.25">
      <c r="A977" s="2"/>
      <c r="B977" s="2"/>
      <c r="C977" s="9"/>
      <c r="D977" s="9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spans="1:17" ht="19.5" customHeight="1" x14ac:dyDescent="0.25">
      <c r="A978" s="2"/>
      <c r="B978" s="2"/>
      <c r="C978" s="9"/>
      <c r="D978" s="9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spans="1:17" ht="19.5" customHeight="1" x14ac:dyDescent="0.25">
      <c r="A979" s="2"/>
      <c r="B979" s="2"/>
      <c r="C979" s="9"/>
      <c r="D979" s="9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spans="1:17" ht="19.5" customHeight="1" x14ac:dyDescent="0.25">
      <c r="A980" s="2"/>
      <c r="B980" s="2"/>
      <c r="C980" s="9"/>
      <c r="D980" s="9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spans="1:17" ht="19.5" customHeight="1" x14ac:dyDescent="0.25">
      <c r="A981" s="2"/>
      <c r="B981" s="2"/>
      <c r="C981" s="9"/>
      <c r="D981" s="9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1:17" ht="19.5" customHeight="1" x14ac:dyDescent="0.25">
      <c r="A982" s="2"/>
      <c r="B982" s="2"/>
      <c r="C982" s="9"/>
      <c r="D982" s="9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1:17" ht="19.5" customHeight="1" x14ac:dyDescent="0.25">
      <c r="A983" s="2"/>
      <c r="B983" s="2"/>
      <c r="C983" s="9"/>
      <c r="D983" s="9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1:17" ht="19.5" customHeight="1" x14ac:dyDescent="0.25">
      <c r="A984" s="2"/>
      <c r="B984" s="2"/>
      <c r="C984" s="9"/>
      <c r="D984" s="9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1:17" ht="19.5" customHeight="1" x14ac:dyDescent="0.25">
      <c r="A985" s="2"/>
      <c r="B985" s="2"/>
      <c r="C985" s="9"/>
      <c r="D985" s="9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1:17" ht="19.5" customHeight="1" x14ac:dyDescent="0.25">
      <c r="A986" s="2"/>
      <c r="B986" s="2"/>
      <c r="C986" s="9"/>
      <c r="D986" s="9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1:17" ht="19.5" customHeight="1" x14ac:dyDescent="0.25">
      <c r="A987" s="2"/>
      <c r="B987" s="2"/>
      <c r="C987" s="9"/>
      <c r="D987" s="9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</sheetData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2986-EB8F-4C25-8F71-CC2EF9A19940}">
  <dimension ref="A1:R996"/>
  <sheetViews>
    <sheetView zoomScale="77" zoomScaleNormal="77" workbookViewId="0">
      <selection activeCell="G22" sqref="G22"/>
    </sheetView>
  </sheetViews>
  <sheetFormatPr defaultColWidth="14.42578125" defaultRowHeight="15" customHeight="1" x14ac:dyDescent="0.25"/>
  <cols>
    <col min="1" max="1" width="64.42578125" customWidth="1"/>
    <col min="2" max="2" width="21.7109375" customWidth="1"/>
    <col min="3" max="3" width="14.28515625" style="23" customWidth="1"/>
    <col min="4" max="4" width="20" style="23" customWidth="1"/>
    <col min="5" max="5" width="20.5703125" style="23" customWidth="1"/>
    <col min="6" max="6" width="17.7109375" customWidth="1"/>
    <col min="7" max="7" width="19.28515625" bestFit="1" customWidth="1"/>
    <col min="8" max="8" width="14.28515625" customWidth="1"/>
    <col min="9" max="18" width="9.140625" customWidth="1"/>
  </cols>
  <sheetData>
    <row r="1" spans="1:18" ht="22.5" customHeight="1" x14ac:dyDescent="0.25">
      <c r="A1" s="104" t="s">
        <v>0</v>
      </c>
      <c r="B1" s="105" t="s">
        <v>15</v>
      </c>
      <c r="C1" s="106" t="s">
        <v>16</v>
      </c>
      <c r="D1" s="106" t="s">
        <v>137</v>
      </c>
      <c r="E1" s="107" t="s">
        <v>131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2.5" customHeight="1" thickBot="1" x14ac:dyDescent="0.3">
      <c r="A2" s="30" t="s">
        <v>17</v>
      </c>
      <c r="B2" s="5">
        <f>RESUMO!B2</f>
        <v>1263184.08</v>
      </c>
      <c r="C2" s="6">
        <f>B2/$B$15</f>
        <v>0.14707640478823733</v>
      </c>
      <c r="D2" s="102">
        <f>B2/$H$3</f>
        <v>52.704743737060433</v>
      </c>
      <c r="E2" s="108">
        <f>B2/$H$4</f>
        <v>13881.143736263737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2.5" customHeight="1" thickBot="1" x14ac:dyDescent="0.3">
      <c r="A3" s="29" t="s">
        <v>42</v>
      </c>
      <c r="B3" s="19">
        <f>Relatório!C13</f>
        <v>192329.43</v>
      </c>
      <c r="C3" s="4">
        <f>B3/B$15</f>
        <v>2.2393506652942423E-2</v>
      </c>
      <c r="D3" s="103">
        <f>B3/ORÇAMENTO_EXECUTIVO_TOTAL!H$3</f>
        <v>8.0247000272873148</v>
      </c>
      <c r="E3" s="109">
        <f>B3/ORÇAMENTO_EXECUTIVO_TOTAL!H$4</f>
        <v>2113.5102197802198</v>
      </c>
      <c r="F3" s="2"/>
      <c r="G3" s="26" t="s">
        <v>132</v>
      </c>
      <c r="H3" s="27">
        <v>23967.18</v>
      </c>
      <c r="I3" s="28" t="s">
        <v>26</v>
      </c>
      <c r="J3" s="2"/>
      <c r="K3" s="2"/>
      <c r="L3" s="2"/>
      <c r="M3" s="2"/>
      <c r="N3" s="2"/>
      <c r="O3" s="2"/>
      <c r="P3" s="2"/>
      <c r="Q3" s="2"/>
      <c r="R3" s="2"/>
    </row>
    <row r="4" spans="1:18" ht="19.5" customHeight="1" thickBot="1" x14ac:dyDescent="0.3">
      <c r="A4" s="30" t="s">
        <v>44</v>
      </c>
      <c r="B4" s="5">
        <f>Relatório!C14</f>
        <v>1113218.06</v>
      </c>
      <c r="C4" s="6">
        <f>B4/$B$15</f>
        <v>0.12961540016411249</v>
      </c>
      <c r="D4" s="102">
        <f>B4/$H$3</f>
        <v>46.447602930340572</v>
      </c>
      <c r="E4" s="110">
        <f>B4/$H$4</f>
        <v>12233.165494505494</v>
      </c>
      <c r="F4" s="2"/>
      <c r="G4" s="26" t="s">
        <v>104</v>
      </c>
      <c r="H4" s="27">
        <v>91</v>
      </c>
      <c r="I4" s="28" t="s">
        <v>105</v>
      </c>
      <c r="J4" s="2"/>
      <c r="K4" s="2"/>
      <c r="L4" s="2"/>
      <c r="M4" s="2"/>
      <c r="N4" s="2"/>
      <c r="O4" s="2"/>
      <c r="P4" s="2"/>
      <c r="Q4" s="2"/>
      <c r="R4" s="2"/>
    </row>
    <row r="5" spans="1:18" ht="19.5" customHeight="1" x14ac:dyDescent="0.25">
      <c r="A5" s="29" t="s">
        <v>46</v>
      </c>
      <c r="B5" s="19">
        <f>Relatório!C15</f>
        <v>423461.76</v>
      </c>
      <c r="C5" s="4">
        <f>B5/B$15</f>
        <v>4.9304954212294541E-2</v>
      </c>
      <c r="D5" s="103">
        <f>B5/ORÇAMENTO_EXECUTIVO_TOTAL!H$3</f>
        <v>17.668401539104725</v>
      </c>
      <c r="E5" s="109">
        <f>B5/ORÇAMENTO_EXECUTIVO_TOTAL!H$4</f>
        <v>4653.4259340659346</v>
      </c>
      <c r="F5" s="2"/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9.5" customHeight="1" x14ac:dyDescent="0.25">
      <c r="A6" s="30" t="s">
        <v>48</v>
      </c>
      <c r="B6" s="5">
        <f>Relatório!C16</f>
        <v>98609.27</v>
      </c>
      <c r="C6" s="6">
        <f>B6/$B$15</f>
        <v>1.1481380378378888E-2</v>
      </c>
      <c r="D6" s="102">
        <f>B6/$H$3</f>
        <v>4.1143459514219032</v>
      </c>
      <c r="E6" s="110">
        <f>B6/$H$4</f>
        <v>1083.6183516483518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9.5" customHeight="1" x14ac:dyDescent="0.25">
      <c r="A7" s="29" t="s">
        <v>50</v>
      </c>
      <c r="B7" s="19">
        <f>Relatório!C17</f>
        <v>249980.26</v>
      </c>
      <c r="C7" s="4">
        <f>B7/B$15</f>
        <v>2.9105969977731839E-2</v>
      </c>
      <c r="D7" s="103">
        <f>B7/ORÇAMENTO_EXECUTIVO_TOTAL!H$3</f>
        <v>10.430107338452</v>
      </c>
      <c r="E7" s="109">
        <f>B7/ORÇAMENTO_EXECUTIVO_TOTAL!H$4</f>
        <v>2747.0358241758245</v>
      </c>
      <c r="F7" s="2"/>
      <c r="G7" s="9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9.5" customHeight="1" x14ac:dyDescent="0.25">
      <c r="A8" s="30" t="s">
        <v>52</v>
      </c>
      <c r="B8" s="5">
        <f>Relatório!C18</f>
        <v>417753.45</v>
      </c>
      <c r="C8" s="6">
        <f>B8/$B$15</f>
        <v>4.8640318134695514E-2</v>
      </c>
      <c r="D8" s="102">
        <f>B8/$H$3</f>
        <v>17.430229588962906</v>
      </c>
      <c r="E8" s="110">
        <f>B8/$H$4</f>
        <v>4590.6972527472526</v>
      </c>
      <c r="F8" s="69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9.5" customHeight="1" x14ac:dyDescent="0.25">
      <c r="A9" s="29" t="s">
        <v>54</v>
      </c>
      <c r="B9" s="19">
        <f>Relatório!C19</f>
        <v>2257186.2999999998</v>
      </c>
      <c r="C9" s="4">
        <f>B9/B$15</f>
        <v>0.2628111382952702</v>
      </c>
      <c r="D9" s="103">
        <f>B9/ORÇAMENTO_EXECUTIVO_TOTAL!H$3</f>
        <v>94.178217879617037</v>
      </c>
      <c r="E9" s="109">
        <f>B9/ORÇAMENTO_EXECUTIVO_TOTAL!H$4</f>
        <v>24804.245054945051</v>
      </c>
      <c r="F9" s="69"/>
      <c r="G9" s="9"/>
      <c r="H9" s="24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9.5" customHeight="1" x14ac:dyDescent="0.25">
      <c r="A10" s="30" t="s">
        <v>56</v>
      </c>
      <c r="B10" s="5">
        <f>Relatório!C20</f>
        <v>923724.95</v>
      </c>
      <c r="C10" s="6">
        <f>B10/$B$15</f>
        <v>0.10755213496610429</v>
      </c>
      <c r="D10" s="102">
        <f>B10/$H$3</f>
        <v>38.541244735509139</v>
      </c>
      <c r="E10" s="110">
        <f>B10/$H$4</f>
        <v>10150.823626373625</v>
      </c>
      <c r="F10" s="2">
        <v>44.82</v>
      </c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9.5" customHeight="1" x14ac:dyDescent="0.25">
      <c r="A11" s="29" t="s">
        <v>58</v>
      </c>
      <c r="B11" s="19">
        <f>Relatório!C21</f>
        <v>7541</v>
      </c>
      <c r="C11" s="4">
        <f>B11/B$15</f>
        <v>8.7802180701018469E-4</v>
      </c>
      <c r="D11" s="103">
        <f>B11/ORÇAMENTO_EXECUTIVO_TOTAL!H$3</f>
        <v>0.31463860162105012</v>
      </c>
      <c r="E11" s="109">
        <f>B11/ORÇAMENTO_EXECUTIVO_TOTAL!H$4</f>
        <v>82.868131868131869</v>
      </c>
      <c r="F11" s="2"/>
      <c r="G11" s="2"/>
      <c r="H11" s="25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9.5" customHeight="1" x14ac:dyDescent="0.25">
      <c r="A12" s="30" t="s">
        <v>60</v>
      </c>
      <c r="B12" s="5">
        <f>Relatório!C22</f>
        <v>247974.34</v>
      </c>
      <c r="C12" s="6">
        <f>B12/$B$15</f>
        <v>2.8872414547004101E-2</v>
      </c>
      <c r="D12" s="102">
        <f>B12/$H$3</f>
        <v>10.346412886288666</v>
      </c>
      <c r="E12" s="110">
        <f>B12/$H$4</f>
        <v>2724.992747252747</v>
      </c>
      <c r="F12" s="2"/>
      <c r="G12" s="2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9.5" customHeight="1" x14ac:dyDescent="0.25">
      <c r="A13" s="29" t="s">
        <v>62</v>
      </c>
      <c r="B13" s="19">
        <f>Relatório!C23</f>
        <v>1252136.56</v>
      </c>
      <c r="C13" s="4">
        <f>B13/B$15</f>
        <v>0.14579010808045573</v>
      </c>
      <c r="D13" s="103">
        <f>B13/ORÇAMENTO_EXECUTIVO_TOTAL!H$3</f>
        <v>52.243800063253168</v>
      </c>
      <c r="E13" s="109">
        <f>B13/ORÇAMENTO_EXECUTIVO_TOTAL!H$4</f>
        <v>13759.742417582418</v>
      </c>
      <c r="F13" s="2">
        <f>19.58+58.18</f>
        <v>77.759999999999991</v>
      </c>
      <c r="G13" s="2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9.5" customHeight="1" x14ac:dyDescent="0.25">
      <c r="A14" s="30" t="s">
        <v>36</v>
      </c>
      <c r="B14" s="5">
        <f>RESUMO!B5+RESUMO!B6</f>
        <v>141525.49190000002</v>
      </c>
      <c r="C14" s="6">
        <f>B14/$B$15</f>
        <v>1.6478247995762269E-2</v>
      </c>
      <c r="D14" s="102">
        <f>B14/$H$3</f>
        <v>5.9049705430509567</v>
      </c>
      <c r="E14" s="111">
        <f>B14/$H$4</f>
        <v>1555.225185714286</v>
      </c>
      <c r="F14" s="2"/>
      <c r="G14" s="2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9.5" customHeight="1" thickBot="1" x14ac:dyDescent="0.3">
      <c r="A15" s="112" t="s">
        <v>14</v>
      </c>
      <c r="B15" s="113">
        <f>SUM(B2:B14)</f>
        <v>8588624.9519000016</v>
      </c>
      <c r="C15" s="114">
        <f>SUM(C2:C14)</f>
        <v>0.99999999999999967</v>
      </c>
      <c r="D15" s="115">
        <f>SUM(D2:D14)</f>
        <v>358.34941582196984</v>
      </c>
      <c r="E15" s="116">
        <f>SUM(E2:E14)</f>
        <v>94380.49397692307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9.5" customHeight="1" x14ac:dyDescent="0.25">
      <c r="A16" s="2"/>
      <c r="B16" s="2"/>
      <c r="C16" s="9"/>
      <c r="D16" s="9"/>
      <c r="E16" s="9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22.5" customHeight="1" x14ac:dyDescent="0.25">
      <c r="A17" s="2"/>
      <c r="B17" s="8"/>
      <c r="C17" s="9"/>
      <c r="D17" s="9"/>
      <c r="E17" s="9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22.5" customHeight="1" x14ac:dyDescent="0.25">
      <c r="D18" s="9"/>
      <c r="E18" s="2" t="s">
        <v>54</v>
      </c>
      <c r="F18" s="136">
        <f>C9</f>
        <v>0.2628111382952702</v>
      </c>
      <c r="G18" s="137">
        <v>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" customHeight="1" x14ac:dyDescent="0.25">
      <c r="A19" s="2"/>
      <c r="B19" s="117"/>
      <c r="D19" s="9"/>
      <c r="E19" s="2" t="s">
        <v>56</v>
      </c>
      <c r="F19" s="136">
        <f>C10</f>
        <v>0.10755213496610429</v>
      </c>
      <c r="G19" s="137">
        <v>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9.5" customHeight="1" x14ac:dyDescent="0.25">
      <c r="D20" s="9"/>
      <c r="E20" s="2" t="s">
        <v>17</v>
      </c>
      <c r="F20" s="136">
        <f>C2</f>
        <v>0.14707640478823733</v>
      </c>
      <c r="G20" s="137">
        <v>2</v>
      </c>
      <c r="H20" s="8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9.5" customHeight="1" x14ac:dyDescent="0.25">
      <c r="D21" s="9"/>
      <c r="E21" s="2" t="s">
        <v>62</v>
      </c>
      <c r="F21" s="136">
        <f>C13</f>
        <v>0.14579010808045573</v>
      </c>
      <c r="G21" s="137">
        <v>3</v>
      </c>
      <c r="H21" s="8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9.5" customHeight="1" x14ac:dyDescent="0.25">
      <c r="A22" s="2"/>
      <c r="B22" s="117"/>
      <c r="D22" s="9"/>
      <c r="E22" s="2" t="s">
        <v>44</v>
      </c>
      <c r="F22" s="136">
        <f>C4</f>
        <v>0.12961540016411249</v>
      </c>
      <c r="G22" s="137">
        <v>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9.5" customHeight="1" x14ac:dyDescent="0.25">
      <c r="A23" s="2"/>
      <c r="B23" s="117"/>
      <c r="D23" s="9"/>
      <c r="E23" s="2" t="s">
        <v>46</v>
      </c>
      <c r="F23" s="136">
        <f>C5</f>
        <v>4.9304954212294541E-2</v>
      </c>
      <c r="G23" s="13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9.5" customHeight="1" x14ac:dyDescent="0.25">
      <c r="A24" s="2"/>
      <c r="B24" s="117"/>
      <c r="D24" s="9"/>
      <c r="E24" s="9" t="s">
        <v>52</v>
      </c>
      <c r="F24" s="136">
        <v>4.8992619191030276E-2</v>
      </c>
      <c r="G24" s="137">
        <v>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9.5" customHeight="1" x14ac:dyDescent="0.25">
      <c r="D25" s="9"/>
      <c r="E25" s="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9.5" customHeight="1" x14ac:dyDescent="0.25">
      <c r="D26" s="9"/>
      <c r="E26" s="9"/>
      <c r="F26" s="2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9.5" customHeight="1" x14ac:dyDescent="0.25">
      <c r="A27" s="2"/>
      <c r="B27" s="117"/>
      <c r="D27" s="9"/>
      <c r="E27" s="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9.5" customHeight="1" x14ac:dyDescent="0.25">
      <c r="A28" s="2"/>
      <c r="B28" s="117"/>
      <c r="D28" s="9"/>
      <c r="E28" s="9"/>
      <c r="F28" s="2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9.5" customHeight="1" x14ac:dyDescent="0.25">
      <c r="D29" s="9"/>
      <c r="E29" s="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9.5" customHeight="1" x14ac:dyDescent="0.25">
      <c r="A30" s="2"/>
      <c r="B30" s="117"/>
      <c r="D30" s="9"/>
      <c r="E30" s="9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9.5" customHeight="1" x14ac:dyDescent="0.25">
      <c r="A31" s="2"/>
      <c r="B31" s="2"/>
      <c r="C31" s="9"/>
      <c r="D31" s="9"/>
      <c r="E31" s="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9.5" customHeight="1" x14ac:dyDescent="0.25">
      <c r="A32" s="2"/>
      <c r="B32" s="2"/>
      <c r="C32" s="9"/>
      <c r="D32" s="9"/>
      <c r="E32" s="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9.5" customHeight="1" x14ac:dyDescent="0.25">
      <c r="A33" s="2"/>
      <c r="B33" s="2"/>
      <c r="C33" s="9"/>
      <c r="D33" s="9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9.5" customHeight="1" x14ac:dyDescent="0.25">
      <c r="A34" s="2"/>
      <c r="B34" s="2"/>
      <c r="C34" s="9"/>
      <c r="D34" s="9"/>
      <c r="E34" s="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9.5" customHeight="1" x14ac:dyDescent="0.25">
      <c r="A35" s="2"/>
      <c r="B35" s="2"/>
      <c r="C35" s="9"/>
      <c r="D35" s="9"/>
      <c r="E35" s="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9.5" customHeight="1" x14ac:dyDescent="0.25">
      <c r="A36" s="2"/>
      <c r="B36" s="2"/>
      <c r="C36" s="9"/>
      <c r="D36" s="9"/>
      <c r="E36" s="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9.5" customHeight="1" x14ac:dyDescent="0.25">
      <c r="A37" s="2"/>
      <c r="B37" s="2"/>
      <c r="C37" s="9"/>
      <c r="D37" s="9"/>
      <c r="E37" s="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9.5" customHeight="1" x14ac:dyDescent="0.25">
      <c r="A38" s="2"/>
      <c r="B38" s="2"/>
      <c r="C38" s="9"/>
      <c r="D38" s="9"/>
      <c r="E38" s="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9.5" customHeight="1" x14ac:dyDescent="0.25">
      <c r="A39" s="2"/>
      <c r="B39" s="2"/>
      <c r="C39" s="9"/>
      <c r="D39" s="9"/>
      <c r="E39" s="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9.5" customHeight="1" x14ac:dyDescent="0.25">
      <c r="A40" s="2"/>
      <c r="B40" s="2"/>
      <c r="C40" s="9"/>
      <c r="D40" s="9"/>
      <c r="E40" s="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9.5" customHeight="1" x14ac:dyDescent="0.25">
      <c r="A41" s="2"/>
      <c r="B41" s="2"/>
      <c r="C41" s="9"/>
      <c r="D41" s="9"/>
      <c r="E41" s="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9.5" customHeight="1" x14ac:dyDescent="0.25">
      <c r="A42" s="2"/>
      <c r="B42" s="2"/>
      <c r="C42" s="9"/>
      <c r="D42" s="9"/>
      <c r="E42" s="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9.5" customHeight="1" x14ac:dyDescent="0.25">
      <c r="A43" s="2"/>
      <c r="B43" s="2"/>
      <c r="C43" s="9"/>
      <c r="D43" s="9"/>
      <c r="E43" s="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9.5" customHeight="1" x14ac:dyDescent="0.25">
      <c r="A44" s="2"/>
      <c r="B44" s="2"/>
      <c r="C44" s="9"/>
      <c r="D44" s="9"/>
      <c r="E44" s="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9.5" customHeight="1" x14ac:dyDescent="0.25">
      <c r="A45" s="2"/>
      <c r="B45" s="2"/>
      <c r="C45" s="9"/>
      <c r="D45" s="9"/>
      <c r="E45" s="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9.5" customHeight="1" x14ac:dyDescent="0.25">
      <c r="A46" s="2"/>
      <c r="B46" s="2"/>
      <c r="C46" s="9"/>
      <c r="D46" s="9"/>
      <c r="E46" s="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9.5" customHeight="1" x14ac:dyDescent="0.25">
      <c r="A47" s="2"/>
      <c r="B47" s="2"/>
      <c r="C47" s="9"/>
      <c r="D47" s="9"/>
      <c r="E47" s="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9.5" customHeight="1" x14ac:dyDescent="0.25">
      <c r="A48" s="2"/>
      <c r="B48" s="2"/>
      <c r="C48" s="9"/>
      <c r="D48" s="9"/>
      <c r="E48" s="9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9.5" customHeight="1" x14ac:dyDescent="0.25">
      <c r="A49" s="2"/>
      <c r="B49" s="2"/>
      <c r="C49" s="9"/>
      <c r="D49" s="9"/>
      <c r="E49" s="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9.5" customHeight="1" x14ac:dyDescent="0.25">
      <c r="A50" s="2"/>
      <c r="B50" s="2"/>
      <c r="C50" s="9"/>
      <c r="D50" s="9"/>
      <c r="E50" s="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9.5" customHeight="1" x14ac:dyDescent="0.25">
      <c r="A51" s="2"/>
      <c r="B51" s="2"/>
      <c r="C51" s="9"/>
      <c r="D51" s="9"/>
      <c r="E51" s="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9.5" customHeight="1" x14ac:dyDescent="0.25">
      <c r="A52" s="2"/>
      <c r="B52" s="2"/>
      <c r="C52" s="9"/>
      <c r="D52" s="9"/>
      <c r="E52" s="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9.5" customHeight="1" x14ac:dyDescent="0.25">
      <c r="A53" s="2"/>
      <c r="B53" s="2"/>
      <c r="C53" s="9"/>
      <c r="D53" s="9"/>
      <c r="E53" s="9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9.5" customHeight="1" x14ac:dyDescent="0.25">
      <c r="A54" s="2"/>
      <c r="B54" s="2"/>
      <c r="C54" s="9"/>
      <c r="D54" s="9"/>
      <c r="E54" s="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9.5" customHeight="1" x14ac:dyDescent="0.25">
      <c r="A55" s="2"/>
      <c r="B55" s="2"/>
      <c r="C55" s="9"/>
      <c r="D55" s="9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9.5" customHeight="1" x14ac:dyDescent="0.25">
      <c r="A56" s="2"/>
      <c r="B56" s="2"/>
      <c r="C56" s="9"/>
      <c r="D56" s="9"/>
      <c r="E56" s="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9.5" customHeight="1" x14ac:dyDescent="0.25">
      <c r="A57" s="2"/>
      <c r="B57" s="2"/>
      <c r="C57" s="9"/>
      <c r="D57" s="9"/>
      <c r="E57" s="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9.5" customHeight="1" x14ac:dyDescent="0.25">
      <c r="A58" s="2"/>
      <c r="B58" s="2"/>
      <c r="C58" s="9"/>
      <c r="D58" s="9"/>
      <c r="E58" s="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9.5" customHeight="1" x14ac:dyDescent="0.25">
      <c r="A59" s="2"/>
      <c r="B59" s="2"/>
      <c r="C59" s="9"/>
      <c r="D59" s="9"/>
      <c r="E59" s="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9.5" customHeight="1" x14ac:dyDescent="0.25">
      <c r="A60" s="2"/>
      <c r="B60" s="2"/>
      <c r="C60" s="9"/>
      <c r="D60" s="9"/>
      <c r="E60" s="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9.5" customHeight="1" x14ac:dyDescent="0.25">
      <c r="A61" s="2"/>
      <c r="B61" s="2"/>
      <c r="C61" s="9"/>
      <c r="D61" s="9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9.5" customHeight="1" x14ac:dyDescent="0.25">
      <c r="A62" s="2"/>
      <c r="B62" s="2"/>
      <c r="C62" s="9"/>
      <c r="D62" s="9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9.5" customHeight="1" x14ac:dyDescent="0.25">
      <c r="A63" s="2"/>
      <c r="B63" s="2"/>
      <c r="C63" s="9"/>
      <c r="D63" s="9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9.5" customHeight="1" x14ac:dyDescent="0.25">
      <c r="A64" s="2"/>
      <c r="B64" s="2"/>
      <c r="C64" s="9"/>
      <c r="D64" s="9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9.5" customHeight="1" x14ac:dyDescent="0.25">
      <c r="A65" s="2"/>
      <c r="B65" s="2"/>
      <c r="C65" s="9"/>
      <c r="D65" s="9"/>
      <c r="E65" s="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9.5" customHeight="1" x14ac:dyDescent="0.25">
      <c r="A66" s="2"/>
      <c r="B66" s="2"/>
      <c r="C66" s="9"/>
      <c r="D66" s="9"/>
      <c r="E66" s="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9.5" customHeight="1" x14ac:dyDescent="0.25">
      <c r="A67" s="2"/>
      <c r="B67" s="2"/>
      <c r="C67" s="9"/>
      <c r="D67" s="9"/>
      <c r="E67" s="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9.5" customHeight="1" x14ac:dyDescent="0.25">
      <c r="A68" s="2"/>
      <c r="B68" s="2"/>
      <c r="C68" s="9"/>
      <c r="D68" s="9"/>
      <c r="E68" s="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9.5" customHeight="1" x14ac:dyDescent="0.25">
      <c r="A69" s="2"/>
      <c r="B69" s="2"/>
      <c r="C69" s="9"/>
      <c r="D69" s="9"/>
      <c r="E69" s="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9.5" customHeight="1" x14ac:dyDescent="0.25">
      <c r="A70" s="2"/>
      <c r="B70" s="2"/>
      <c r="C70" s="9"/>
      <c r="D70" s="9"/>
      <c r="E70" s="9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9.5" customHeight="1" x14ac:dyDescent="0.25">
      <c r="A71" s="2"/>
      <c r="B71" s="2"/>
      <c r="C71" s="9"/>
      <c r="D71" s="9"/>
      <c r="E71" s="9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9.5" customHeight="1" x14ac:dyDescent="0.25">
      <c r="A72" s="2"/>
      <c r="B72" s="2"/>
      <c r="C72" s="9"/>
      <c r="D72" s="9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9.5" customHeight="1" x14ac:dyDescent="0.25">
      <c r="A73" s="2"/>
      <c r="B73" s="2"/>
      <c r="C73" s="9"/>
      <c r="D73" s="9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9.5" customHeight="1" x14ac:dyDescent="0.25">
      <c r="A74" s="2"/>
      <c r="B74" s="2"/>
      <c r="C74" s="9"/>
      <c r="D74" s="9"/>
      <c r="E74" s="9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9.5" customHeight="1" x14ac:dyDescent="0.25">
      <c r="A75" s="2"/>
      <c r="B75" s="2"/>
      <c r="C75" s="9"/>
      <c r="D75" s="9"/>
      <c r="E75" s="9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9.5" customHeight="1" x14ac:dyDescent="0.25">
      <c r="A76" s="2"/>
      <c r="B76" s="2"/>
      <c r="C76" s="9"/>
      <c r="D76" s="9"/>
      <c r="E76" s="9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9.5" customHeight="1" x14ac:dyDescent="0.25">
      <c r="A77" s="2"/>
      <c r="B77" s="2"/>
      <c r="C77" s="9"/>
      <c r="D77" s="9"/>
      <c r="E77" s="9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9.5" customHeight="1" x14ac:dyDescent="0.25">
      <c r="A78" s="2"/>
      <c r="B78" s="2"/>
      <c r="C78" s="9"/>
      <c r="D78" s="9"/>
      <c r="E78" s="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9.5" customHeight="1" x14ac:dyDescent="0.25">
      <c r="A79" s="2"/>
      <c r="B79" s="2"/>
      <c r="C79" s="9"/>
      <c r="D79" s="9"/>
      <c r="E79" s="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9.5" customHeight="1" x14ac:dyDescent="0.25">
      <c r="A80" s="2"/>
      <c r="B80" s="2"/>
      <c r="C80" s="9"/>
      <c r="D80" s="9"/>
      <c r="E80" s="9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9.5" customHeight="1" x14ac:dyDescent="0.25">
      <c r="A81" s="2"/>
      <c r="B81" s="2"/>
      <c r="C81" s="9"/>
      <c r="D81" s="9"/>
      <c r="E81" s="9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9.5" customHeight="1" x14ac:dyDescent="0.25">
      <c r="A82" s="2"/>
      <c r="B82" s="2"/>
      <c r="C82" s="9"/>
      <c r="D82" s="9"/>
      <c r="E82" s="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9.5" customHeight="1" x14ac:dyDescent="0.25">
      <c r="A83" s="2"/>
      <c r="B83" s="2"/>
      <c r="C83" s="9"/>
      <c r="D83" s="9"/>
      <c r="E83" s="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9.5" customHeight="1" x14ac:dyDescent="0.25">
      <c r="A84" s="2"/>
      <c r="B84" s="2"/>
      <c r="C84" s="9"/>
      <c r="D84" s="9"/>
      <c r="E84" s="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9.5" customHeight="1" x14ac:dyDescent="0.25">
      <c r="A85" s="2"/>
      <c r="B85" s="2"/>
      <c r="C85" s="9"/>
      <c r="D85" s="9"/>
      <c r="E85" s="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9.5" customHeight="1" x14ac:dyDescent="0.25">
      <c r="A86" s="2"/>
      <c r="B86" s="2"/>
      <c r="C86" s="9"/>
      <c r="D86" s="9"/>
      <c r="E86" s="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9.5" customHeight="1" x14ac:dyDescent="0.25">
      <c r="A87" s="2"/>
      <c r="B87" s="2"/>
      <c r="C87" s="9"/>
      <c r="D87" s="9"/>
      <c r="E87" s="9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9.5" customHeight="1" x14ac:dyDescent="0.25">
      <c r="A88" s="2"/>
      <c r="B88" s="2"/>
      <c r="C88" s="9"/>
      <c r="D88" s="9"/>
      <c r="E88" s="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9.5" customHeight="1" x14ac:dyDescent="0.25">
      <c r="A89" s="2"/>
      <c r="B89" s="2"/>
      <c r="C89" s="9"/>
      <c r="D89" s="9"/>
      <c r="E89" s="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9.5" customHeight="1" x14ac:dyDescent="0.25">
      <c r="A90" s="2"/>
      <c r="B90" s="2"/>
      <c r="C90" s="9"/>
      <c r="D90" s="9"/>
      <c r="E90" s="9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9.5" customHeight="1" x14ac:dyDescent="0.25">
      <c r="A91" s="2"/>
      <c r="B91" s="2"/>
      <c r="C91" s="9"/>
      <c r="D91" s="9"/>
      <c r="E91" s="9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9.5" customHeight="1" x14ac:dyDescent="0.25">
      <c r="A92" s="2"/>
      <c r="B92" s="2"/>
      <c r="C92" s="9"/>
      <c r="D92" s="9"/>
      <c r="E92" s="9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9.5" customHeight="1" x14ac:dyDescent="0.25">
      <c r="A93" s="2"/>
      <c r="B93" s="2"/>
      <c r="C93" s="9"/>
      <c r="D93" s="9"/>
      <c r="E93" s="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9.5" customHeight="1" x14ac:dyDescent="0.25">
      <c r="A94" s="2"/>
      <c r="B94" s="2"/>
      <c r="C94" s="9"/>
      <c r="D94" s="9"/>
      <c r="E94" s="9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9.5" customHeight="1" x14ac:dyDescent="0.25">
      <c r="A95" s="2"/>
      <c r="B95" s="2"/>
      <c r="C95" s="9"/>
      <c r="D95" s="9"/>
      <c r="E95" s="9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9.5" customHeight="1" x14ac:dyDescent="0.25">
      <c r="A96" s="2"/>
      <c r="B96" s="2"/>
      <c r="C96" s="9"/>
      <c r="D96" s="9"/>
      <c r="E96" s="9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9.5" customHeight="1" x14ac:dyDescent="0.25">
      <c r="A97" s="2"/>
      <c r="B97" s="2"/>
      <c r="C97" s="9"/>
      <c r="D97" s="9"/>
      <c r="E97" s="9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9.5" customHeight="1" x14ac:dyDescent="0.25">
      <c r="A98" s="2"/>
      <c r="B98" s="2"/>
      <c r="C98" s="9"/>
      <c r="D98" s="9"/>
      <c r="E98" s="9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9.5" customHeight="1" x14ac:dyDescent="0.25">
      <c r="A99" s="2"/>
      <c r="B99" s="2"/>
      <c r="C99" s="9"/>
      <c r="D99" s="9"/>
      <c r="E99" s="9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9.5" customHeight="1" x14ac:dyDescent="0.25">
      <c r="A100" s="2"/>
      <c r="B100" s="2"/>
      <c r="C100" s="9"/>
      <c r="D100" s="9"/>
      <c r="E100" s="9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9.5" customHeight="1" x14ac:dyDescent="0.25">
      <c r="A101" s="2"/>
      <c r="B101" s="2"/>
      <c r="C101" s="9"/>
      <c r="D101" s="9"/>
      <c r="E101" s="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9.5" customHeight="1" x14ac:dyDescent="0.25">
      <c r="A102" s="2"/>
      <c r="B102" s="2"/>
      <c r="C102" s="9"/>
      <c r="D102" s="9"/>
      <c r="E102" s="9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9.5" customHeight="1" x14ac:dyDescent="0.25">
      <c r="A103" s="2"/>
      <c r="B103" s="2"/>
      <c r="C103" s="9"/>
      <c r="D103" s="9"/>
      <c r="E103" s="9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9.5" customHeight="1" x14ac:dyDescent="0.25">
      <c r="A104" s="2"/>
      <c r="B104" s="2"/>
      <c r="C104" s="9"/>
      <c r="D104" s="9"/>
      <c r="E104" s="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9.5" customHeight="1" x14ac:dyDescent="0.25">
      <c r="A105" s="2"/>
      <c r="B105" s="2"/>
      <c r="C105" s="9"/>
      <c r="D105" s="9"/>
      <c r="E105" s="9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9.5" customHeight="1" x14ac:dyDescent="0.25">
      <c r="A106" s="2"/>
      <c r="B106" s="2"/>
      <c r="C106" s="9"/>
      <c r="D106" s="9"/>
      <c r="E106" s="9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9.5" customHeight="1" x14ac:dyDescent="0.25">
      <c r="A107" s="2"/>
      <c r="B107" s="2"/>
      <c r="C107" s="9"/>
      <c r="D107" s="9"/>
      <c r="E107" s="9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9.5" customHeight="1" x14ac:dyDescent="0.25">
      <c r="A108" s="2"/>
      <c r="B108" s="2"/>
      <c r="C108" s="9"/>
      <c r="D108" s="9"/>
      <c r="E108" s="9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9.5" customHeight="1" x14ac:dyDescent="0.25">
      <c r="A109" s="2"/>
      <c r="B109" s="2"/>
      <c r="C109" s="9"/>
      <c r="D109" s="9"/>
      <c r="E109" s="9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9.5" customHeight="1" x14ac:dyDescent="0.25">
      <c r="A110" s="2"/>
      <c r="B110" s="2"/>
      <c r="C110" s="9"/>
      <c r="D110" s="9"/>
      <c r="E110" s="9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9.5" customHeight="1" x14ac:dyDescent="0.25">
      <c r="A111" s="2"/>
      <c r="B111" s="2"/>
      <c r="C111" s="9"/>
      <c r="D111" s="9"/>
      <c r="E111" s="9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9.5" customHeight="1" x14ac:dyDescent="0.25">
      <c r="A112" s="2"/>
      <c r="B112" s="2"/>
      <c r="C112" s="9"/>
      <c r="D112" s="9"/>
      <c r="E112" s="9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9.5" customHeight="1" x14ac:dyDescent="0.25">
      <c r="A113" s="2"/>
      <c r="B113" s="2"/>
      <c r="C113" s="9"/>
      <c r="D113" s="9"/>
      <c r="E113" s="9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9.5" customHeight="1" x14ac:dyDescent="0.25">
      <c r="A114" s="2"/>
      <c r="B114" s="2"/>
      <c r="C114" s="9"/>
      <c r="D114" s="9"/>
      <c r="E114" s="9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9.5" customHeight="1" x14ac:dyDescent="0.25">
      <c r="A115" s="2"/>
      <c r="B115" s="2"/>
      <c r="C115" s="9"/>
      <c r="D115" s="9"/>
      <c r="E115" s="9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9.5" customHeight="1" x14ac:dyDescent="0.25">
      <c r="A116" s="2"/>
      <c r="B116" s="2"/>
      <c r="C116" s="9"/>
      <c r="D116" s="9"/>
      <c r="E116" s="9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9.5" customHeight="1" x14ac:dyDescent="0.25">
      <c r="A117" s="2"/>
      <c r="B117" s="2"/>
      <c r="C117" s="9"/>
      <c r="D117" s="9"/>
      <c r="E117" s="9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9.5" customHeight="1" x14ac:dyDescent="0.25">
      <c r="A118" s="2"/>
      <c r="B118" s="2"/>
      <c r="C118" s="9"/>
      <c r="D118" s="9"/>
      <c r="E118" s="9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9.5" customHeight="1" x14ac:dyDescent="0.25">
      <c r="A119" s="2"/>
      <c r="B119" s="2"/>
      <c r="C119" s="9"/>
      <c r="D119" s="9"/>
      <c r="E119" s="9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9.5" customHeight="1" x14ac:dyDescent="0.25">
      <c r="A120" s="2"/>
      <c r="B120" s="2"/>
      <c r="C120" s="9"/>
      <c r="D120" s="9"/>
      <c r="E120" s="9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9.5" customHeight="1" x14ac:dyDescent="0.25">
      <c r="A121" s="2"/>
      <c r="B121" s="2"/>
      <c r="C121" s="9"/>
      <c r="D121" s="9"/>
      <c r="E121" s="9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9.5" customHeight="1" x14ac:dyDescent="0.25">
      <c r="A122" s="2"/>
      <c r="B122" s="2"/>
      <c r="C122" s="9"/>
      <c r="D122" s="9"/>
      <c r="E122" s="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9.5" customHeight="1" x14ac:dyDescent="0.25">
      <c r="A123" s="2"/>
      <c r="B123" s="2"/>
      <c r="C123" s="9"/>
      <c r="D123" s="9"/>
      <c r="E123" s="9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9.5" customHeight="1" x14ac:dyDescent="0.25">
      <c r="A124" s="2"/>
      <c r="B124" s="2"/>
      <c r="C124" s="9"/>
      <c r="D124" s="9"/>
      <c r="E124" s="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9.5" customHeight="1" x14ac:dyDescent="0.25">
      <c r="A125" s="2"/>
      <c r="B125" s="2"/>
      <c r="C125" s="9"/>
      <c r="D125" s="9"/>
      <c r="E125" s="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9.5" customHeight="1" x14ac:dyDescent="0.25">
      <c r="A126" s="2"/>
      <c r="B126" s="2"/>
      <c r="C126" s="9"/>
      <c r="D126" s="9"/>
      <c r="E126" s="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9.5" customHeight="1" x14ac:dyDescent="0.25">
      <c r="A127" s="2"/>
      <c r="B127" s="2"/>
      <c r="C127" s="9"/>
      <c r="D127" s="9"/>
      <c r="E127" s="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9.5" customHeight="1" x14ac:dyDescent="0.25">
      <c r="A128" s="2"/>
      <c r="B128" s="2"/>
      <c r="C128" s="9"/>
      <c r="D128" s="9"/>
      <c r="E128" s="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9.5" customHeight="1" x14ac:dyDescent="0.25">
      <c r="A129" s="2"/>
      <c r="B129" s="2"/>
      <c r="C129" s="9"/>
      <c r="D129" s="9"/>
      <c r="E129" s="9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9.5" customHeight="1" x14ac:dyDescent="0.25">
      <c r="A130" s="2"/>
      <c r="B130" s="2"/>
      <c r="C130" s="9"/>
      <c r="D130" s="9"/>
      <c r="E130" s="9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9.5" customHeight="1" x14ac:dyDescent="0.25">
      <c r="A131" s="2"/>
      <c r="B131" s="2"/>
      <c r="C131" s="9"/>
      <c r="D131" s="9"/>
      <c r="E131" s="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9.5" customHeight="1" x14ac:dyDescent="0.25">
      <c r="A132" s="2"/>
      <c r="B132" s="2"/>
      <c r="C132" s="9"/>
      <c r="D132" s="9"/>
      <c r="E132" s="9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9.5" customHeight="1" x14ac:dyDescent="0.25">
      <c r="A133" s="2"/>
      <c r="B133" s="2"/>
      <c r="C133" s="9"/>
      <c r="D133" s="9"/>
      <c r="E133" s="9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9.5" customHeight="1" x14ac:dyDescent="0.25">
      <c r="A134" s="2"/>
      <c r="B134" s="2"/>
      <c r="C134" s="9"/>
      <c r="D134" s="9"/>
      <c r="E134" s="9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9.5" customHeight="1" x14ac:dyDescent="0.25">
      <c r="A135" s="2"/>
      <c r="B135" s="2"/>
      <c r="C135" s="9"/>
      <c r="D135" s="9"/>
      <c r="E135" s="9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9.5" customHeight="1" x14ac:dyDescent="0.25">
      <c r="A136" s="2"/>
      <c r="B136" s="2"/>
      <c r="C136" s="9"/>
      <c r="D136" s="9"/>
      <c r="E136" s="9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9.5" customHeight="1" x14ac:dyDescent="0.25">
      <c r="A137" s="2"/>
      <c r="B137" s="2"/>
      <c r="C137" s="9"/>
      <c r="D137" s="9"/>
      <c r="E137" s="9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9.5" customHeight="1" x14ac:dyDescent="0.25">
      <c r="A138" s="2"/>
      <c r="B138" s="2"/>
      <c r="C138" s="9"/>
      <c r="D138" s="9"/>
      <c r="E138" s="9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9.5" customHeight="1" x14ac:dyDescent="0.25">
      <c r="A139" s="2"/>
      <c r="B139" s="2"/>
      <c r="C139" s="9"/>
      <c r="D139" s="9"/>
      <c r="E139" s="9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9.5" customHeight="1" x14ac:dyDescent="0.25">
      <c r="A140" s="2"/>
      <c r="B140" s="2"/>
      <c r="C140" s="9"/>
      <c r="D140" s="9"/>
      <c r="E140" s="9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9.5" customHeight="1" x14ac:dyDescent="0.25">
      <c r="A141" s="2"/>
      <c r="B141" s="2"/>
      <c r="C141" s="9"/>
      <c r="D141" s="9"/>
      <c r="E141" s="9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9.5" customHeight="1" x14ac:dyDescent="0.25">
      <c r="A142" s="2"/>
      <c r="B142" s="2"/>
      <c r="C142" s="9"/>
      <c r="D142" s="9"/>
      <c r="E142" s="9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9.5" customHeight="1" x14ac:dyDescent="0.25">
      <c r="A143" s="2"/>
      <c r="B143" s="2"/>
      <c r="C143" s="9"/>
      <c r="D143" s="9"/>
      <c r="E143" s="9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9.5" customHeight="1" x14ac:dyDescent="0.25">
      <c r="A144" s="2"/>
      <c r="B144" s="2"/>
      <c r="C144" s="9"/>
      <c r="D144" s="9"/>
      <c r="E144" s="9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9.5" customHeight="1" x14ac:dyDescent="0.25">
      <c r="A145" s="2"/>
      <c r="B145" s="2"/>
      <c r="C145" s="9"/>
      <c r="D145" s="9"/>
      <c r="E145" s="9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9.5" customHeight="1" x14ac:dyDescent="0.25">
      <c r="A146" s="2"/>
      <c r="B146" s="2"/>
      <c r="C146" s="9"/>
      <c r="D146" s="9"/>
      <c r="E146" s="9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9.5" customHeight="1" x14ac:dyDescent="0.25">
      <c r="A147" s="2"/>
      <c r="B147" s="2"/>
      <c r="C147" s="9"/>
      <c r="D147" s="9"/>
      <c r="E147" s="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9.5" customHeight="1" x14ac:dyDescent="0.25">
      <c r="A148" s="2"/>
      <c r="B148" s="2"/>
      <c r="C148" s="9"/>
      <c r="D148" s="9"/>
      <c r="E148" s="9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9.5" customHeight="1" x14ac:dyDescent="0.25">
      <c r="A149" s="2"/>
      <c r="B149" s="2"/>
      <c r="C149" s="9"/>
      <c r="D149" s="9"/>
      <c r="E149" s="9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9.5" customHeight="1" x14ac:dyDescent="0.25">
      <c r="A150" s="2"/>
      <c r="B150" s="2"/>
      <c r="C150" s="9"/>
      <c r="D150" s="9"/>
      <c r="E150" s="9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9.5" customHeight="1" x14ac:dyDescent="0.25">
      <c r="A151" s="2"/>
      <c r="B151" s="2"/>
      <c r="C151" s="9"/>
      <c r="D151" s="9"/>
      <c r="E151" s="9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9.5" customHeight="1" x14ac:dyDescent="0.25">
      <c r="A152" s="2"/>
      <c r="B152" s="2"/>
      <c r="C152" s="9"/>
      <c r="D152" s="9"/>
      <c r="E152" s="9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9.5" customHeight="1" x14ac:dyDescent="0.25">
      <c r="A153" s="2"/>
      <c r="B153" s="2"/>
      <c r="C153" s="9"/>
      <c r="D153" s="9"/>
      <c r="E153" s="9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9.5" customHeight="1" x14ac:dyDescent="0.25">
      <c r="A154" s="2"/>
      <c r="B154" s="2"/>
      <c r="C154" s="9"/>
      <c r="D154" s="9"/>
      <c r="E154" s="9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9.5" customHeight="1" x14ac:dyDescent="0.25">
      <c r="A155" s="2"/>
      <c r="B155" s="2"/>
      <c r="C155" s="9"/>
      <c r="D155" s="9"/>
      <c r="E155" s="9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9.5" customHeight="1" x14ac:dyDescent="0.25">
      <c r="A156" s="2"/>
      <c r="B156" s="2"/>
      <c r="C156" s="9"/>
      <c r="D156" s="9"/>
      <c r="E156" s="9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9.5" customHeight="1" x14ac:dyDescent="0.25">
      <c r="A157" s="2"/>
      <c r="B157" s="2"/>
      <c r="C157" s="9"/>
      <c r="D157" s="9"/>
      <c r="E157" s="9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9.5" customHeight="1" x14ac:dyDescent="0.25">
      <c r="A158" s="2"/>
      <c r="B158" s="2"/>
      <c r="C158" s="9"/>
      <c r="D158" s="9"/>
      <c r="E158" s="9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9.5" customHeight="1" x14ac:dyDescent="0.25">
      <c r="A159" s="2"/>
      <c r="B159" s="2"/>
      <c r="C159" s="9"/>
      <c r="D159" s="9"/>
      <c r="E159" s="9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9.5" customHeight="1" x14ac:dyDescent="0.25">
      <c r="A160" s="2"/>
      <c r="B160" s="2"/>
      <c r="C160" s="9"/>
      <c r="D160" s="9"/>
      <c r="E160" s="9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9.5" customHeight="1" x14ac:dyDescent="0.25">
      <c r="A161" s="2"/>
      <c r="B161" s="2"/>
      <c r="C161" s="9"/>
      <c r="D161" s="9"/>
      <c r="E161" s="9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9.5" customHeight="1" x14ac:dyDescent="0.25">
      <c r="A162" s="2"/>
      <c r="B162" s="2"/>
      <c r="C162" s="9"/>
      <c r="D162" s="9"/>
      <c r="E162" s="9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9.5" customHeight="1" x14ac:dyDescent="0.25">
      <c r="A163" s="2"/>
      <c r="B163" s="2"/>
      <c r="C163" s="9"/>
      <c r="D163" s="9"/>
      <c r="E163" s="9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9.5" customHeight="1" x14ac:dyDescent="0.25">
      <c r="A164" s="2"/>
      <c r="B164" s="2"/>
      <c r="C164" s="9"/>
      <c r="D164" s="9"/>
      <c r="E164" s="9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9.5" customHeight="1" x14ac:dyDescent="0.25">
      <c r="A165" s="2"/>
      <c r="B165" s="2"/>
      <c r="C165" s="9"/>
      <c r="D165" s="9"/>
      <c r="E165" s="9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9.5" customHeight="1" x14ac:dyDescent="0.25">
      <c r="A166" s="2"/>
      <c r="B166" s="2"/>
      <c r="C166" s="9"/>
      <c r="D166" s="9"/>
      <c r="E166" s="9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9.5" customHeight="1" x14ac:dyDescent="0.25">
      <c r="A167" s="2"/>
      <c r="B167" s="2"/>
      <c r="C167" s="9"/>
      <c r="D167" s="9"/>
      <c r="E167" s="9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9.5" customHeight="1" x14ac:dyDescent="0.25">
      <c r="A168" s="2"/>
      <c r="B168" s="2"/>
      <c r="C168" s="9"/>
      <c r="D168" s="9"/>
      <c r="E168" s="9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9.5" customHeight="1" x14ac:dyDescent="0.25">
      <c r="A169" s="2"/>
      <c r="B169" s="2"/>
      <c r="C169" s="9"/>
      <c r="D169" s="9"/>
      <c r="E169" s="9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9.5" customHeight="1" x14ac:dyDescent="0.25">
      <c r="A170" s="2"/>
      <c r="B170" s="2"/>
      <c r="C170" s="9"/>
      <c r="D170" s="9"/>
      <c r="E170" s="9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9.5" customHeight="1" x14ac:dyDescent="0.25">
      <c r="A171" s="2"/>
      <c r="B171" s="2"/>
      <c r="C171" s="9"/>
      <c r="D171" s="9"/>
      <c r="E171" s="9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9.5" customHeight="1" x14ac:dyDescent="0.25">
      <c r="A172" s="2"/>
      <c r="B172" s="2"/>
      <c r="C172" s="9"/>
      <c r="D172" s="9"/>
      <c r="E172" s="9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9.5" customHeight="1" x14ac:dyDescent="0.25">
      <c r="A173" s="2"/>
      <c r="B173" s="2"/>
      <c r="C173" s="9"/>
      <c r="D173" s="9"/>
      <c r="E173" s="9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9.5" customHeight="1" x14ac:dyDescent="0.25">
      <c r="A174" s="2"/>
      <c r="B174" s="2"/>
      <c r="C174" s="9"/>
      <c r="D174" s="9"/>
      <c r="E174" s="9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9.5" customHeight="1" x14ac:dyDescent="0.25">
      <c r="A175" s="2"/>
      <c r="B175" s="2"/>
      <c r="C175" s="9"/>
      <c r="D175" s="9"/>
      <c r="E175" s="9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9.5" customHeight="1" x14ac:dyDescent="0.25">
      <c r="A176" s="2"/>
      <c r="B176" s="2"/>
      <c r="C176" s="9"/>
      <c r="D176" s="9"/>
      <c r="E176" s="9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9.5" customHeight="1" x14ac:dyDescent="0.25">
      <c r="A177" s="2"/>
      <c r="B177" s="2"/>
      <c r="C177" s="9"/>
      <c r="D177" s="9"/>
      <c r="E177" s="9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9.5" customHeight="1" x14ac:dyDescent="0.25">
      <c r="A178" s="2"/>
      <c r="B178" s="2"/>
      <c r="C178" s="9"/>
      <c r="D178" s="9"/>
      <c r="E178" s="9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9.5" customHeight="1" x14ac:dyDescent="0.25">
      <c r="A179" s="2"/>
      <c r="B179" s="2"/>
      <c r="C179" s="9"/>
      <c r="D179" s="9"/>
      <c r="E179" s="9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9.5" customHeight="1" x14ac:dyDescent="0.25">
      <c r="A180" s="2"/>
      <c r="B180" s="2"/>
      <c r="C180" s="9"/>
      <c r="D180" s="9"/>
      <c r="E180" s="9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9.5" customHeight="1" x14ac:dyDescent="0.25">
      <c r="A181" s="2"/>
      <c r="B181" s="2"/>
      <c r="C181" s="9"/>
      <c r="D181" s="9"/>
      <c r="E181" s="9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9.5" customHeight="1" x14ac:dyDescent="0.25">
      <c r="A182" s="2"/>
      <c r="B182" s="2"/>
      <c r="C182" s="9"/>
      <c r="D182" s="9"/>
      <c r="E182" s="9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9.5" customHeight="1" x14ac:dyDescent="0.25">
      <c r="A183" s="2"/>
      <c r="B183" s="2"/>
      <c r="C183" s="9"/>
      <c r="D183" s="9"/>
      <c r="E183" s="9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9.5" customHeight="1" x14ac:dyDescent="0.25">
      <c r="A184" s="2"/>
      <c r="B184" s="2"/>
      <c r="C184" s="9"/>
      <c r="D184" s="9"/>
      <c r="E184" s="9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9.5" customHeight="1" x14ac:dyDescent="0.25">
      <c r="A185" s="2"/>
      <c r="B185" s="2"/>
      <c r="C185" s="9"/>
      <c r="D185" s="9"/>
      <c r="E185" s="9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9.5" customHeight="1" x14ac:dyDescent="0.25">
      <c r="A186" s="2"/>
      <c r="B186" s="2"/>
      <c r="C186" s="9"/>
      <c r="D186" s="9"/>
      <c r="E186" s="9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9.5" customHeight="1" x14ac:dyDescent="0.25">
      <c r="A187" s="2"/>
      <c r="B187" s="2"/>
      <c r="C187" s="9"/>
      <c r="D187" s="9"/>
      <c r="E187" s="9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9.5" customHeight="1" x14ac:dyDescent="0.25">
      <c r="A188" s="2"/>
      <c r="B188" s="2"/>
      <c r="C188" s="9"/>
      <c r="D188" s="9"/>
      <c r="E188" s="9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9.5" customHeight="1" x14ac:dyDescent="0.25">
      <c r="A189" s="2"/>
      <c r="B189" s="2"/>
      <c r="C189" s="9"/>
      <c r="D189" s="9"/>
      <c r="E189" s="9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9.5" customHeight="1" x14ac:dyDescent="0.25">
      <c r="A190" s="2"/>
      <c r="B190" s="2"/>
      <c r="C190" s="9"/>
      <c r="D190" s="9"/>
      <c r="E190" s="9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9.5" customHeight="1" x14ac:dyDescent="0.25">
      <c r="A191" s="2"/>
      <c r="B191" s="2"/>
      <c r="C191" s="9"/>
      <c r="D191" s="9"/>
      <c r="E191" s="9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9.5" customHeight="1" x14ac:dyDescent="0.25">
      <c r="A192" s="2"/>
      <c r="B192" s="2"/>
      <c r="C192" s="9"/>
      <c r="D192" s="9"/>
      <c r="E192" s="9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9.5" customHeight="1" x14ac:dyDescent="0.25">
      <c r="A193" s="2"/>
      <c r="B193" s="2"/>
      <c r="C193" s="9"/>
      <c r="D193" s="9"/>
      <c r="E193" s="9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9.5" customHeight="1" x14ac:dyDescent="0.25">
      <c r="A194" s="2"/>
      <c r="B194" s="2"/>
      <c r="C194" s="9"/>
      <c r="D194" s="9"/>
      <c r="E194" s="9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9.5" customHeight="1" x14ac:dyDescent="0.25">
      <c r="A195" s="2"/>
      <c r="B195" s="2"/>
      <c r="C195" s="9"/>
      <c r="D195" s="9"/>
      <c r="E195" s="9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9.5" customHeight="1" x14ac:dyDescent="0.25">
      <c r="A196" s="2"/>
      <c r="B196" s="2"/>
      <c r="C196" s="9"/>
      <c r="D196" s="9"/>
      <c r="E196" s="9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9.5" customHeight="1" x14ac:dyDescent="0.25">
      <c r="A197" s="2"/>
      <c r="B197" s="2"/>
      <c r="C197" s="9"/>
      <c r="D197" s="9"/>
      <c r="E197" s="9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9.5" customHeight="1" x14ac:dyDescent="0.25">
      <c r="A198" s="2"/>
      <c r="B198" s="2"/>
      <c r="C198" s="9"/>
      <c r="D198" s="9"/>
      <c r="E198" s="9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9.5" customHeight="1" x14ac:dyDescent="0.25">
      <c r="A199" s="2"/>
      <c r="B199" s="2"/>
      <c r="C199" s="9"/>
      <c r="D199" s="9"/>
      <c r="E199" s="9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9.5" customHeight="1" x14ac:dyDescent="0.25">
      <c r="A200" s="2"/>
      <c r="B200" s="2"/>
      <c r="C200" s="9"/>
      <c r="D200" s="9"/>
      <c r="E200" s="9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9.5" customHeight="1" x14ac:dyDescent="0.25">
      <c r="A201" s="2"/>
      <c r="B201" s="2"/>
      <c r="C201" s="9"/>
      <c r="D201" s="9"/>
      <c r="E201" s="9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9.5" customHeight="1" x14ac:dyDescent="0.25">
      <c r="A202" s="2"/>
      <c r="B202" s="2"/>
      <c r="C202" s="9"/>
      <c r="D202" s="9"/>
      <c r="E202" s="9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9.5" customHeight="1" x14ac:dyDescent="0.25">
      <c r="A203" s="2"/>
      <c r="B203" s="2"/>
      <c r="C203" s="9"/>
      <c r="D203" s="9"/>
      <c r="E203" s="9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9.5" customHeight="1" x14ac:dyDescent="0.25">
      <c r="A204" s="2"/>
      <c r="B204" s="2"/>
      <c r="C204" s="9"/>
      <c r="D204" s="9"/>
      <c r="E204" s="9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9.5" customHeight="1" x14ac:dyDescent="0.25">
      <c r="A205" s="2"/>
      <c r="B205" s="2"/>
      <c r="C205" s="9"/>
      <c r="D205" s="9"/>
      <c r="E205" s="9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9.5" customHeight="1" x14ac:dyDescent="0.25">
      <c r="A206" s="2"/>
      <c r="B206" s="2"/>
      <c r="C206" s="9"/>
      <c r="D206" s="9"/>
      <c r="E206" s="9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9.5" customHeight="1" x14ac:dyDescent="0.25">
      <c r="A207" s="2"/>
      <c r="B207" s="2"/>
      <c r="C207" s="9"/>
      <c r="D207" s="9"/>
      <c r="E207" s="9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9.5" customHeight="1" x14ac:dyDescent="0.25">
      <c r="A208" s="2"/>
      <c r="B208" s="2"/>
      <c r="C208" s="9"/>
      <c r="D208" s="9"/>
      <c r="E208" s="9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9.5" customHeight="1" x14ac:dyDescent="0.25">
      <c r="A209" s="2"/>
      <c r="B209" s="2"/>
      <c r="C209" s="9"/>
      <c r="D209" s="9"/>
      <c r="E209" s="9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9.5" customHeight="1" x14ac:dyDescent="0.25">
      <c r="A210" s="2"/>
      <c r="B210" s="2"/>
      <c r="C210" s="9"/>
      <c r="D210" s="9"/>
      <c r="E210" s="9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9.5" customHeight="1" x14ac:dyDescent="0.25">
      <c r="A211" s="2"/>
      <c r="B211" s="2"/>
      <c r="C211" s="9"/>
      <c r="D211" s="9"/>
      <c r="E211" s="9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9.5" customHeight="1" x14ac:dyDescent="0.25">
      <c r="A212" s="2"/>
      <c r="B212" s="2"/>
      <c r="C212" s="9"/>
      <c r="D212" s="9"/>
      <c r="E212" s="9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9.5" customHeight="1" x14ac:dyDescent="0.25">
      <c r="A213" s="2"/>
      <c r="B213" s="2"/>
      <c r="C213" s="9"/>
      <c r="D213" s="9"/>
      <c r="E213" s="9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9.5" customHeight="1" x14ac:dyDescent="0.25">
      <c r="A214" s="2"/>
      <c r="B214" s="2"/>
      <c r="C214" s="9"/>
      <c r="D214" s="9"/>
      <c r="E214" s="9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9.5" customHeight="1" x14ac:dyDescent="0.25">
      <c r="A215" s="2"/>
      <c r="B215" s="2"/>
      <c r="C215" s="9"/>
      <c r="D215" s="9"/>
      <c r="E215" s="9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9.5" customHeight="1" x14ac:dyDescent="0.25">
      <c r="A216" s="2"/>
      <c r="B216" s="2"/>
      <c r="C216" s="9"/>
      <c r="D216" s="9"/>
      <c r="E216" s="9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9.5" customHeight="1" x14ac:dyDescent="0.25">
      <c r="A217" s="2"/>
      <c r="B217" s="2"/>
      <c r="C217" s="9"/>
      <c r="D217" s="9"/>
      <c r="E217" s="9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9.5" customHeight="1" x14ac:dyDescent="0.25">
      <c r="A218" s="2"/>
      <c r="B218" s="2"/>
      <c r="C218" s="9"/>
      <c r="D218" s="9"/>
      <c r="E218" s="9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9.5" customHeight="1" x14ac:dyDescent="0.25">
      <c r="A219" s="2"/>
      <c r="B219" s="2"/>
      <c r="C219" s="9"/>
      <c r="D219" s="9"/>
      <c r="E219" s="9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9.5" customHeight="1" x14ac:dyDescent="0.25">
      <c r="A220" s="2"/>
      <c r="B220" s="2"/>
      <c r="C220" s="9"/>
      <c r="D220" s="9"/>
      <c r="E220" s="9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9.5" customHeight="1" x14ac:dyDescent="0.25">
      <c r="A221" s="2"/>
      <c r="B221" s="2"/>
      <c r="C221" s="9"/>
      <c r="D221" s="9"/>
      <c r="E221" s="9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9.5" customHeight="1" x14ac:dyDescent="0.25">
      <c r="A222" s="2"/>
      <c r="B222" s="2"/>
      <c r="C222" s="9"/>
      <c r="D222" s="9"/>
      <c r="E222" s="9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9.5" customHeight="1" x14ac:dyDescent="0.25">
      <c r="A223" s="2"/>
      <c r="B223" s="2"/>
      <c r="C223" s="9"/>
      <c r="D223" s="9"/>
      <c r="E223" s="9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9.5" customHeight="1" x14ac:dyDescent="0.25">
      <c r="A224" s="2"/>
      <c r="B224" s="2"/>
      <c r="C224" s="9"/>
      <c r="D224" s="9"/>
      <c r="E224" s="9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9.5" customHeight="1" x14ac:dyDescent="0.25">
      <c r="A225" s="2"/>
      <c r="B225" s="2"/>
      <c r="C225" s="9"/>
      <c r="D225" s="9"/>
      <c r="E225" s="9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9.5" customHeight="1" x14ac:dyDescent="0.25">
      <c r="A226" s="2"/>
      <c r="B226" s="2"/>
      <c r="C226" s="9"/>
      <c r="D226" s="9"/>
      <c r="E226" s="9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9.5" customHeight="1" x14ac:dyDescent="0.25">
      <c r="A227" s="2"/>
      <c r="B227" s="2"/>
      <c r="C227" s="9"/>
      <c r="D227" s="9"/>
      <c r="E227" s="9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9.5" customHeight="1" x14ac:dyDescent="0.25">
      <c r="A228" s="2"/>
      <c r="B228" s="2"/>
      <c r="C228" s="9"/>
      <c r="D228" s="9"/>
      <c r="E228" s="9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9.5" customHeight="1" x14ac:dyDescent="0.25">
      <c r="A229" s="2"/>
      <c r="B229" s="2"/>
      <c r="C229" s="9"/>
      <c r="D229" s="9"/>
      <c r="E229" s="9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9.5" customHeight="1" x14ac:dyDescent="0.25">
      <c r="A230" s="2"/>
      <c r="B230" s="2"/>
      <c r="C230" s="9"/>
      <c r="D230" s="9"/>
      <c r="E230" s="9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9.5" customHeight="1" x14ac:dyDescent="0.25">
      <c r="A231" s="2"/>
      <c r="B231" s="2"/>
      <c r="C231" s="9"/>
      <c r="D231" s="9"/>
      <c r="E231" s="9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9.5" customHeight="1" x14ac:dyDescent="0.25">
      <c r="A232" s="2"/>
      <c r="B232" s="2"/>
      <c r="C232" s="9"/>
      <c r="D232" s="9"/>
      <c r="E232" s="9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9.5" customHeight="1" x14ac:dyDescent="0.25">
      <c r="A233" s="2"/>
      <c r="B233" s="2"/>
      <c r="C233" s="9"/>
      <c r="D233" s="9"/>
      <c r="E233" s="9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9.5" customHeight="1" x14ac:dyDescent="0.25">
      <c r="A234" s="2"/>
      <c r="B234" s="2"/>
      <c r="C234" s="9"/>
      <c r="D234" s="9"/>
      <c r="E234" s="9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9.5" customHeight="1" x14ac:dyDescent="0.25">
      <c r="A235" s="2"/>
      <c r="B235" s="2"/>
      <c r="C235" s="9"/>
      <c r="D235" s="9"/>
      <c r="E235" s="9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9.5" customHeight="1" x14ac:dyDescent="0.25">
      <c r="A236" s="2"/>
      <c r="B236" s="2"/>
      <c r="C236" s="9"/>
      <c r="D236" s="9"/>
      <c r="E236" s="9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9.5" customHeight="1" x14ac:dyDescent="0.25">
      <c r="A237" s="2"/>
      <c r="B237" s="2"/>
      <c r="C237" s="9"/>
      <c r="D237" s="9"/>
      <c r="E237" s="9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9.5" customHeight="1" x14ac:dyDescent="0.25">
      <c r="A238" s="2"/>
      <c r="B238" s="2"/>
      <c r="C238" s="9"/>
      <c r="D238" s="9"/>
      <c r="E238" s="9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9.5" customHeight="1" x14ac:dyDescent="0.25">
      <c r="A239" s="2"/>
      <c r="B239" s="2"/>
      <c r="C239" s="9"/>
      <c r="D239" s="9"/>
      <c r="E239" s="9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9.5" customHeight="1" x14ac:dyDescent="0.25">
      <c r="A240" s="2"/>
      <c r="B240" s="2"/>
      <c r="C240" s="9"/>
      <c r="D240" s="9"/>
      <c r="E240" s="9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9.5" customHeight="1" x14ac:dyDescent="0.25">
      <c r="A241" s="2"/>
      <c r="B241" s="2"/>
      <c r="C241" s="9"/>
      <c r="D241" s="9"/>
      <c r="E241" s="9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9.5" customHeight="1" x14ac:dyDescent="0.25">
      <c r="A242" s="2"/>
      <c r="B242" s="2"/>
      <c r="C242" s="9"/>
      <c r="D242" s="9"/>
      <c r="E242" s="9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9.5" customHeight="1" x14ac:dyDescent="0.25">
      <c r="A243" s="2"/>
      <c r="B243" s="2"/>
      <c r="C243" s="9"/>
      <c r="D243" s="9"/>
      <c r="E243" s="9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9.5" customHeight="1" x14ac:dyDescent="0.25">
      <c r="A244" s="2"/>
      <c r="B244" s="2"/>
      <c r="C244" s="9"/>
      <c r="D244" s="9"/>
      <c r="E244" s="9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9.5" customHeight="1" x14ac:dyDescent="0.25">
      <c r="A245" s="2"/>
      <c r="B245" s="2"/>
      <c r="C245" s="9"/>
      <c r="D245" s="9"/>
      <c r="E245" s="9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9.5" customHeight="1" x14ac:dyDescent="0.25">
      <c r="A246" s="2"/>
      <c r="B246" s="2"/>
      <c r="C246" s="9"/>
      <c r="D246" s="9"/>
      <c r="E246" s="9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9.5" customHeight="1" x14ac:dyDescent="0.25">
      <c r="A247" s="2"/>
      <c r="B247" s="2"/>
      <c r="C247" s="9"/>
      <c r="D247" s="9"/>
      <c r="E247" s="9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9.5" customHeight="1" x14ac:dyDescent="0.25">
      <c r="A248" s="2"/>
      <c r="B248" s="2"/>
      <c r="C248" s="9"/>
      <c r="D248" s="9"/>
      <c r="E248" s="9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9.5" customHeight="1" x14ac:dyDescent="0.25">
      <c r="A249" s="2"/>
      <c r="B249" s="2"/>
      <c r="C249" s="9"/>
      <c r="D249" s="9"/>
      <c r="E249" s="9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9.5" customHeight="1" x14ac:dyDescent="0.25">
      <c r="A250" s="2"/>
      <c r="B250" s="2"/>
      <c r="C250" s="9"/>
      <c r="D250" s="9"/>
      <c r="E250" s="9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9.5" customHeight="1" x14ac:dyDescent="0.25">
      <c r="A251" s="2"/>
      <c r="B251" s="2"/>
      <c r="C251" s="9"/>
      <c r="D251" s="9"/>
      <c r="E251" s="9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9.5" customHeight="1" x14ac:dyDescent="0.25">
      <c r="A252" s="2"/>
      <c r="B252" s="2"/>
      <c r="C252" s="9"/>
      <c r="D252" s="9"/>
      <c r="E252" s="9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9.5" customHeight="1" x14ac:dyDescent="0.25">
      <c r="A253" s="2"/>
      <c r="B253" s="2"/>
      <c r="C253" s="9"/>
      <c r="D253" s="9"/>
      <c r="E253" s="9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9.5" customHeight="1" x14ac:dyDescent="0.25">
      <c r="A254" s="2"/>
      <c r="B254" s="2"/>
      <c r="C254" s="9"/>
      <c r="D254" s="9"/>
      <c r="E254" s="9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9.5" customHeight="1" x14ac:dyDescent="0.25">
      <c r="A255" s="2"/>
      <c r="B255" s="2"/>
      <c r="C255" s="9"/>
      <c r="D255" s="9"/>
      <c r="E255" s="9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9.5" customHeight="1" x14ac:dyDescent="0.25">
      <c r="A256" s="2"/>
      <c r="B256" s="2"/>
      <c r="C256" s="9"/>
      <c r="D256" s="9"/>
      <c r="E256" s="9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9.5" customHeight="1" x14ac:dyDescent="0.25">
      <c r="A257" s="2"/>
      <c r="B257" s="2"/>
      <c r="C257" s="9"/>
      <c r="D257" s="9"/>
      <c r="E257" s="9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9.5" customHeight="1" x14ac:dyDescent="0.25">
      <c r="A258" s="2"/>
      <c r="B258" s="2"/>
      <c r="C258" s="9"/>
      <c r="D258" s="9"/>
      <c r="E258" s="9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9.5" customHeight="1" x14ac:dyDescent="0.25">
      <c r="A259" s="2"/>
      <c r="B259" s="2"/>
      <c r="C259" s="9"/>
      <c r="D259" s="9"/>
      <c r="E259" s="9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9.5" customHeight="1" x14ac:dyDescent="0.25">
      <c r="A260" s="2"/>
      <c r="B260" s="2"/>
      <c r="C260" s="9"/>
      <c r="D260" s="9"/>
      <c r="E260" s="9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9.5" customHeight="1" x14ac:dyDescent="0.25">
      <c r="A261" s="2"/>
      <c r="B261" s="2"/>
      <c r="C261" s="9"/>
      <c r="D261" s="9"/>
      <c r="E261" s="9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9.5" customHeight="1" x14ac:dyDescent="0.25">
      <c r="A262" s="2"/>
      <c r="B262" s="2"/>
      <c r="C262" s="9"/>
      <c r="D262" s="9"/>
      <c r="E262" s="9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9.5" customHeight="1" x14ac:dyDescent="0.25">
      <c r="A263" s="2"/>
      <c r="B263" s="2"/>
      <c r="C263" s="9"/>
      <c r="D263" s="9"/>
      <c r="E263" s="9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9.5" customHeight="1" x14ac:dyDescent="0.25">
      <c r="A264" s="2"/>
      <c r="B264" s="2"/>
      <c r="C264" s="9"/>
      <c r="D264" s="9"/>
      <c r="E264" s="9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9.5" customHeight="1" x14ac:dyDescent="0.25">
      <c r="A265" s="2"/>
      <c r="B265" s="2"/>
      <c r="C265" s="9"/>
      <c r="D265" s="9"/>
      <c r="E265" s="9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9.5" customHeight="1" x14ac:dyDescent="0.25">
      <c r="A266" s="2"/>
      <c r="B266" s="2"/>
      <c r="C266" s="9"/>
      <c r="D266" s="9"/>
      <c r="E266" s="9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9.5" customHeight="1" x14ac:dyDescent="0.25">
      <c r="A267" s="2"/>
      <c r="B267" s="2"/>
      <c r="C267" s="9"/>
      <c r="D267" s="9"/>
      <c r="E267" s="9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9.5" customHeight="1" x14ac:dyDescent="0.25">
      <c r="A268" s="2"/>
      <c r="B268" s="2"/>
      <c r="C268" s="9"/>
      <c r="D268" s="9"/>
      <c r="E268" s="9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9.5" customHeight="1" x14ac:dyDescent="0.25">
      <c r="A269" s="2"/>
      <c r="B269" s="2"/>
      <c r="C269" s="9"/>
      <c r="D269" s="9"/>
      <c r="E269" s="9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9.5" customHeight="1" x14ac:dyDescent="0.25">
      <c r="A270" s="2"/>
      <c r="B270" s="2"/>
      <c r="C270" s="9"/>
      <c r="D270" s="9"/>
      <c r="E270" s="9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9.5" customHeight="1" x14ac:dyDescent="0.25">
      <c r="A271" s="2"/>
      <c r="B271" s="2"/>
      <c r="C271" s="9"/>
      <c r="D271" s="9"/>
      <c r="E271" s="9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9.5" customHeight="1" x14ac:dyDescent="0.25">
      <c r="A272" s="2"/>
      <c r="B272" s="2"/>
      <c r="C272" s="9"/>
      <c r="D272" s="9"/>
      <c r="E272" s="9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9.5" customHeight="1" x14ac:dyDescent="0.25">
      <c r="A273" s="2"/>
      <c r="B273" s="2"/>
      <c r="C273" s="9"/>
      <c r="D273" s="9"/>
      <c r="E273" s="9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9.5" customHeight="1" x14ac:dyDescent="0.25">
      <c r="A274" s="2"/>
      <c r="B274" s="2"/>
      <c r="C274" s="9"/>
      <c r="D274" s="9"/>
      <c r="E274" s="9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9.5" customHeight="1" x14ac:dyDescent="0.25">
      <c r="A275" s="2"/>
      <c r="B275" s="2"/>
      <c r="C275" s="9"/>
      <c r="D275" s="9"/>
      <c r="E275" s="9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9.5" customHeight="1" x14ac:dyDescent="0.25">
      <c r="A276" s="2"/>
      <c r="B276" s="2"/>
      <c r="C276" s="9"/>
      <c r="D276" s="9"/>
      <c r="E276" s="9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9.5" customHeight="1" x14ac:dyDescent="0.25">
      <c r="A277" s="2"/>
      <c r="B277" s="2"/>
      <c r="C277" s="9"/>
      <c r="D277" s="9"/>
      <c r="E277" s="9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9.5" customHeight="1" x14ac:dyDescent="0.25">
      <c r="A278" s="2"/>
      <c r="B278" s="2"/>
      <c r="C278" s="9"/>
      <c r="D278" s="9"/>
      <c r="E278" s="9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9.5" customHeight="1" x14ac:dyDescent="0.25">
      <c r="A279" s="2"/>
      <c r="B279" s="2"/>
      <c r="C279" s="9"/>
      <c r="D279" s="9"/>
      <c r="E279" s="9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9.5" customHeight="1" x14ac:dyDescent="0.25">
      <c r="A280" s="2"/>
      <c r="B280" s="2"/>
      <c r="C280" s="9"/>
      <c r="D280" s="9"/>
      <c r="E280" s="9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9.5" customHeight="1" x14ac:dyDescent="0.25">
      <c r="A281" s="2"/>
      <c r="B281" s="2"/>
      <c r="C281" s="9"/>
      <c r="D281" s="9"/>
      <c r="E281" s="9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9.5" customHeight="1" x14ac:dyDescent="0.25">
      <c r="A282" s="2"/>
      <c r="B282" s="2"/>
      <c r="C282" s="9"/>
      <c r="D282" s="9"/>
      <c r="E282" s="9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9.5" customHeight="1" x14ac:dyDescent="0.25">
      <c r="A283" s="2"/>
      <c r="B283" s="2"/>
      <c r="C283" s="9"/>
      <c r="D283" s="9"/>
      <c r="E283" s="9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9.5" customHeight="1" x14ac:dyDescent="0.25">
      <c r="A284" s="2"/>
      <c r="B284" s="2"/>
      <c r="C284" s="9"/>
      <c r="D284" s="9"/>
      <c r="E284" s="9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9.5" customHeight="1" x14ac:dyDescent="0.25">
      <c r="A285" s="2"/>
      <c r="B285" s="2"/>
      <c r="C285" s="9"/>
      <c r="D285" s="9"/>
      <c r="E285" s="9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9.5" customHeight="1" x14ac:dyDescent="0.25">
      <c r="A286" s="2"/>
      <c r="B286" s="2"/>
      <c r="C286" s="9"/>
      <c r="D286" s="9"/>
      <c r="E286" s="9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9.5" customHeight="1" x14ac:dyDescent="0.25">
      <c r="A287" s="2"/>
      <c r="B287" s="2"/>
      <c r="C287" s="9"/>
      <c r="D287" s="9"/>
      <c r="E287" s="9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9.5" customHeight="1" x14ac:dyDescent="0.25">
      <c r="A288" s="2"/>
      <c r="B288" s="2"/>
      <c r="C288" s="9"/>
      <c r="D288" s="9"/>
      <c r="E288" s="9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9.5" customHeight="1" x14ac:dyDescent="0.25">
      <c r="A289" s="2"/>
      <c r="B289" s="2"/>
      <c r="C289" s="9"/>
      <c r="D289" s="9"/>
      <c r="E289" s="9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9.5" customHeight="1" x14ac:dyDescent="0.25">
      <c r="A290" s="2"/>
      <c r="B290" s="2"/>
      <c r="C290" s="9"/>
      <c r="D290" s="9"/>
      <c r="E290" s="9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9.5" customHeight="1" x14ac:dyDescent="0.25">
      <c r="A291" s="2"/>
      <c r="B291" s="2"/>
      <c r="C291" s="9"/>
      <c r="D291" s="9"/>
      <c r="E291" s="9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9.5" customHeight="1" x14ac:dyDescent="0.25">
      <c r="A292" s="2"/>
      <c r="B292" s="2"/>
      <c r="C292" s="9"/>
      <c r="D292" s="9"/>
      <c r="E292" s="9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9.5" customHeight="1" x14ac:dyDescent="0.25">
      <c r="A293" s="2"/>
      <c r="B293" s="2"/>
      <c r="C293" s="9"/>
      <c r="D293" s="9"/>
      <c r="E293" s="9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9.5" customHeight="1" x14ac:dyDescent="0.25">
      <c r="A294" s="2"/>
      <c r="B294" s="2"/>
      <c r="C294" s="9"/>
      <c r="D294" s="9"/>
      <c r="E294" s="9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9.5" customHeight="1" x14ac:dyDescent="0.25">
      <c r="A295" s="2"/>
      <c r="B295" s="2"/>
      <c r="C295" s="9"/>
      <c r="D295" s="9"/>
      <c r="E295" s="9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9.5" customHeight="1" x14ac:dyDescent="0.25">
      <c r="A296" s="2"/>
      <c r="B296" s="2"/>
      <c r="C296" s="9"/>
      <c r="D296" s="9"/>
      <c r="E296" s="9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9.5" customHeight="1" x14ac:dyDescent="0.25">
      <c r="A297" s="2"/>
      <c r="B297" s="2"/>
      <c r="C297" s="9"/>
      <c r="D297" s="9"/>
      <c r="E297" s="9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9.5" customHeight="1" x14ac:dyDescent="0.25">
      <c r="A298" s="2"/>
      <c r="B298" s="2"/>
      <c r="C298" s="9"/>
      <c r="D298" s="9"/>
      <c r="E298" s="9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9.5" customHeight="1" x14ac:dyDescent="0.25">
      <c r="A299" s="2"/>
      <c r="B299" s="2"/>
      <c r="C299" s="9"/>
      <c r="D299" s="9"/>
      <c r="E299" s="9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9.5" customHeight="1" x14ac:dyDescent="0.25">
      <c r="A300" s="2"/>
      <c r="B300" s="2"/>
      <c r="C300" s="9"/>
      <c r="D300" s="9"/>
      <c r="E300" s="9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9.5" customHeight="1" x14ac:dyDescent="0.25">
      <c r="A301" s="2"/>
      <c r="B301" s="2"/>
      <c r="C301" s="9"/>
      <c r="D301" s="9"/>
      <c r="E301" s="9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9.5" customHeight="1" x14ac:dyDescent="0.25">
      <c r="A302" s="2"/>
      <c r="B302" s="2"/>
      <c r="C302" s="9"/>
      <c r="D302" s="9"/>
      <c r="E302" s="9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9.5" customHeight="1" x14ac:dyDescent="0.25">
      <c r="A303" s="2"/>
      <c r="B303" s="2"/>
      <c r="C303" s="9"/>
      <c r="D303" s="9"/>
      <c r="E303" s="9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9.5" customHeight="1" x14ac:dyDescent="0.25">
      <c r="A304" s="2"/>
      <c r="B304" s="2"/>
      <c r="C304" s="9"/>
      <c r="D304" s="9"/>
      <c r="E304" s="9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9.5" customHeight="1" x14ac:dyDescent="0.25">
      <c r="A305" s="2"/>
      <c r="B305" s="2"/>
      <c r="C305" s="9"/>
      <c r="D305" s="9"/>
      <c r="E305" s="9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9.5" customHeight="1" x14ac:dyDescent="0.25">
      <c r="A306" s="2"/>
      <c r="B306" s="2"/>
      <c r="C306" s="9"/>
      <c r="D306" s="9"/>
      <c r="E306" s="9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9.5" customHeight="1" x14ac:dyDescent="0.25">
      <c r="A307" s="2"/>
      <c r="B307" s="2"/>
      <c r="C307" s="9"/>
      <c r="D307" s="9"/>
      <c r="E307" s="9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9.5" customHeight="1" x14ac:dyDescent="0.25">
      <c r="A308" s="2"/>
      <c r="B308" s="2"/>
      <c r="C308" s="9"/>
      <c r="D308" s="9"/>
      <c r="E308" s="9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9.5" customHeight="1" x14ac:dyDescent="0.25">
      <c r="A309" s="2"/>
      <c r="B309" s="2"/>
      <c r="C309" s="9"/>
      <c r="D309" s="9"/>
      <c r="E309" s="9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9.5" customHeight="1" x14ac:dyDescent="0.25">
      <c r="A310" s="2"/>
      <c r="B310" s="2"/>
      <c r="C310" s="9"/>
      <c r="D310" s="9"/>
      <c r="E310" s="9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9.5" customHeight="1" x14ac:dyDescent="0.25">
      <c r="A311" s="2"/>
      <c r="B311" s="2"/>
      <c r="C311" s="9"/>
      <c r="D311" s="9"/>
      <c r="E311" s="9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9.5" customHeight="1" x14ac:dyDescent="0.25">
      <c r="A312" s="2"/>
      <c r="B312" s="2"/>
      <c r="C312" s="9"/>
      <c r="D312" s="9"/>
      <c r="E312" s="9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9.5" customHeight="1" x14ac:dyDescent="0.25">
      <c r="A313" s="2"/>
      <c r="B313" s="2"/>
      <c r="C313" s="9"/>
      <c r="D313" s="9"/>
      <c r="E313" s="9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9.5" customHeight="1" x14ac:dyDescent="0.25">
      <c r="A314" s="2"/>
      <c r="B314" s="2"/>
      <c r="C314" s="9"/>
      <c r="D314" s="9"/>
      <c r="E314" s="9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9.5" customHeight="1" x14ac:dyDescent="0.25">
      <c r="A315" s="2"/>
      <c r="B315" s="2"/>
      <c r="C315" s="9"/>
      <c r="D315" s="9"/>
      <c r="E315" s="9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9.5" customHeight="1" x14ac:dyDescent="0.25">
      <c r="A316" s="2"/>
      <c r="B316" s="2"/>
      <c r="C316" s="9"/>
      <c r="D316" s="9"/>
      <c r="E316" s="9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9.5" customHeight="1" x14ac:dyDescent="0.25">
      <c r="A317" s="2"/>
      <c r="B317" s="2"/>
      <c r="C317" s="9"/>
      <c r="D317" s="9"/>
      <c r="E317" s="9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9.5" customHeight="1" x14ac:dyDescent="0.25">
      <c r="A318" s="2"/>
      <c r="B318" s="2"/>
      <c r="C318" s="9"/>
      <c r="D318" s="9"/>
      <c r="E318" s="9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9.5" customHeight="1" x14ac:dyDescent="0.25">
      <c r="A319" s="2"/>
      <c r="B319" s="2"/>
      <c r="C319" s="9"/>
      <c r="D319" s="9"/>
      <c r="E319" s="9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9.5" customHeight="1" x14ac:dyDescent="0.25">
      <c r="A320" s="2"/>
      <c r="B320" s="2"/>
      <c r="C320" s="9"/>
      <c r="D320" s="9"/>
      <c r="E320" s="9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9.5" customHeight="1" x14ac:dyDescent="0.25">
      <c r="A321" s="2"/>
      <c r="B321" s="2"/>
      <c r="C321" s="9"/>
      <c r="D321" s="9"/>
      <c r="E321" s="9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9.5" customHeight="1" x14ac:dyDescent="0.25">
      <c r="A322" s="2"/>
      <c r="B322" s="2"/>
      <c r="C322" s="9"/>
      <c r="D322" s="9"/>
      <c r="E322" s="9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9.5" customHeight="1" x14ac:dyDescent="0.25">
      <c r="A323" s="2"/>
      <c r="B323" s="2"/>
      <c r="C323" s="9"/>
      <c r="D323" s="9"/>
      <c r="E323" s="9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9.5" customHeight="1" x14ac:dyDescent="0.25">
      <c r="A324" s="2"/>
      <c r="B324" s="2"/>
      <c r="C324" s="9"/>
      <c r="D324" s="9"/>
      <c r="E324" s="9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9.5" customHeight="1" x14ac:dyDescent="0.25">
      <c r="A325" s="2"/>
      <c r="B325" s="2"/>
      <c r="C325" s="9"/>
      <c r="D325" s="9"/>
      <c r="E325" s="9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9.5" customHeight="1" x14ac:dyDescent="0.25">
      <c r="A326" s="2"/>
      <c r="B326" s="2"/>
      <c r="C326" s="9"/>
      <c r="D326" s="9"/>
      <c r="E326" s="9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9.5" customHeight="1" x14ac:dyDescent="0.25">
      <c r="A327" s="2"/>
      <c r="B327" s="2"/>
      <c r="C327" s="9"/>
      <c r="D327" s="9"/>
      <c r="E327" s="9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9.5" customHeight="1" x14ac:dyDescent="0.25">
      <c r="A328" s="2"/>
      <c r="B328" s="2"/>
      <c r="C328" s="9"/>
      <c r="D328" s="9"/>
      <c r="E328" s="9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9.5" customHeight="1" x14ac:dyDescent="0.25">
      <c r="A329" s="2"/>
      <c r="B329" s="2"/>
      <c r="C329" s="9"/>
      <c r="D329" s="9"/>
      <c r="E329" s="9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9.5" customHeight="1" x14ac:dyDescent="0.25">
      <c r="A330" s="2"/>
      <c r="B330" s="2"/>
      <c r="C330" s="9"/>
      <c r="D330" s="9"/>
      <c r="E330" s="9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9.5" customHeight="1" x14ac:dyDescent="0.25">
      <c r="A331" s="2"/>
      <c r="B331" s="2"/>
      <c r="C331" s="9"/>
      <c r="D331" s="9"/>
      <c r="E331" s="9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9.5" customHeight="1" x14ac:dyDescent="0.25">
      <c r="A332" s="2"/>
      <c r="B332" s="2"/>
      <c r="C332" s="9"/>
      <c r="D332" s="9"/>
      <c r="E332" s="9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9.5" customHeight="1" x14ac:dyDescent="0.25">
      <c r="A333" s="2"/>
      <c r="B333" s="2"/>
      <c r="C333" s="9"/>
      <c r="D333" s="9"/>
      <c r="E333" s="9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9.5" customHeight="1" x14ac:dyDescent="0.25">
      <c r="A334" s="2"/>
      <c r="B334" s="2"/>
      <c r="C334" s="9"/>
      <c r="D334" s="9"/>
      <c r="E334" s="9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9.5" customHeight="1" x14ac:dyDescent="0.25">
      <c r="A335" s="2"/>
      <c r="B335" s="2"/>
      <c r="C335" s="9"/>
      <c r="D335" s="9"/>
      <c r="E335" s="9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9.5" customHeight="1" x14ac:dyDescent="0.25">
      <c r="A336" s="2"/>
      <c r="B336" s="2"/>
      <c r="C336" s="9"/>
      <c r="D336" s="9"/>
      <c r="E336" s="9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9.5" customHeight="1" x14ac:dyDescent="0.25">
      <c r="A337" s="2"/>
      <c r="B337" s="2"/>
      <c r="C337" s="9"/>
      <c r="D337" s="9"/>
      <c r="E337" s="9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9.5" customHeight="1" x14ac:dyDescent="0.25">
      <c r="A338" s="2"/>
      <c r="B338" s="2"/>
      <c r="C338" s="9"/>
      <c r="D338" s="9"/>
      <c r="E338" s="9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9.5" customHeight="1" x14ac:dyDescent="0.25">
      <c r="A339" s="2"/>
      <c r="B339" s="2"/>
      <c r="C339" s="9"/>
      <c r="D339" s="9"/>
      <c r="E339" s="9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9.5" customHeight="1" x14ac:dyDescent="0.25">
      <c r="A340" s="2"/>
      <c r="B340" s="2"/>
      <c r="C340" s="9"/>
      <c r="D340" s="9"/>
      <c r="E340" s="9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9.5" customHeight="1" x14ac:dyDescent="0.25">
      <c r="A341" s="2"/>
      <c r="B341" s="2"/>
      <c r="C341" s="9"/>
      <c r="D341" s="9"/>
      <c r="E341" s="9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9.5" customHeight="1" x14ac:dyDescent="0.25">
      <c r="A342" s="2"/>
      <c r="B342" s="2"/>
      <c r="C342" s="9"/>
      <c r="D342" s="9"/>
      <c r="E342" s="9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9.5" customHeight="1" x14ac:dyDescent="0.25">
      <c r="A343" s="2"/>
      <c r="B343" s="2"/>
      <c r="C343" s="9"/>
      <c r="D343" s="9"/>
      <c r="E343" s="9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9.5" customHeight="1" x14ac:dyDescent="0.25">
      <c r="A344" s="2"/>
      <c r="B344" s="2"/>
      <c r="C344" s="9"/>
      <c r="D344" s="9"/>
      <c r="E344" s="9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9.5" customHeight="1" x14ac:dyDescent="0.25">
      <c r="A345" s="2"/>
      <c r="B345" s="2"/>
      <c r="C345" s="9"/>
      <c r="D345" s="9"/>
      <c r="E345" s="9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9.5" customHeight="1" x14ac:dyDescent="0.25">
      <c r="A346" s="2"/>
      <c r="B346" s="2"/>
      <c r="C346" s="9"/>
      <c r="D346" s="9"/>
      <c r="E346" s="9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9.5" customHeight="1" x14ac:dyDescent="0.25">
      <c r="A347" s="2"/>
      <c r="B347" s="2"/>
      <c r="C347" s="9"/>
      <c r="D347" s="9"/>
      <c r="E347" s="9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9.5" customHeight="1" x14ac:dyDescent="0.25">
      <c r="A348" s="2"/>
      <c r="B348" s="2"/>
      <c r="C348" s="9"/>
      <c r="D348" s="9"/>
      <c r="E348" s="9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9.5" customHeight="1" x14ac:dyDescent="0.25">
      <c r="A349" s="2"/>
      <c r="B349" s="2"/>
      <c r="C349" s="9"/>
      <c r="D349" s="9"/>
      <c r="E349" s="9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9.5" customHeight="1" x14ac:dyDescent="0.25">
      <c r="A350" s="2"/>
      <c r="B350" s="2"/>
      <c r="C350" s="9"/>
      <c r="D350" s="9"/>
      <c r="E350" s="9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9.5" customHeight="1" x14ac:dyDescent="0.25">
      <c r="A351" s="2"/>
      <c r="B351" s="2"/>
      <c r="C351" s="9"/>
      <c r="D351" s="9"/>
      <c r="E351" s="9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9.5" customHeight="1" x14ac:dyDescent="0.25">
      <c r="A352" s="2"/>
      <c r="B352" s="2"/>
      <c r="C352" s="9"/>
      <c r="D352" s="9"/>
      <c r="E352" s="9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9.5" customHeight="1" x14ac:dyDescent="0.25">
      <c r="A353" s="2"/>
      <c r="B353" s="2"/>
      <c r="C353" s="9"/>
      <c r="D353" s="9"/>
      <c r="E353" s="9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9.5" customHeight="1" x14ac:dyDescent="0.25">
      <c r="A354" s="2"/>
      <c r="B354" s="2"/>
      <c r="C354" s="9"/>
      <c r="D354" s="9"/>
      <c r="E354" s="9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9.5" customHeight="1" x14ac:dyDescent="0.25">
      <c r="A355" s="2"/>
      <c r="B355" s="2"/>
      <c r="C355" s="9"/>
      <c r="D355" s="9"/>
      <c r="E355" s="9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9.5" customHeight="1" x14ac:dyDescent="0.25">
      <c r="A356" s="2"/>
      <c r="B356" s="2"/>
      <c r="C356" s="9"/>
      <c r="D356" s="9"/>
      <c r="E356" s="9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9.5" customHeight="1" x14ac:dyDescent="0.25">
      <c r="A357" s="2"/>
      <c r="B357" s="2"/>
      <c r="C357" s="9"/>
      <c r="D357" s="9"/>
      <c r="E357" s="9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9.5" customHeight="1" x14ac:dyDescent="0.25">
      <c r="A358" s="2"/>
      <c r="B358" s="2"/>
      <c r="C358" s="9"/>
      <c r="D358" s="9"/>
      <c r="E358" s="9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9.5" customHeight="1" x14ac:dyDescent="0.25">
      <c r="A359" s="2"/>
      <c r="B359" s="2"/>
      <c r="C359" s="9"/>
      <c r="D359" s="9"/>
      <c r="E359" s="9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9.5" customHeight="1" x14ac:dyDescent="0.25">
      <c r="A360" s="2"/>
      <c r="B360" s="2"/>
      <c r="C360" s="9"/>
      <c r="D360" s="9"/>
      <c r="E360" s="9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9.5" customHeight="1" x14ac:dyDescent="0.25">
      <c r="A361" s="2"/>
      <c r="B361" s="2"/>
      <c r="C361" s="9"/>
      <c r="D361" s="9"/>
      <c r="E361" s="9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9.5" customHeight="1" x14ac:dyDescent="0.25">
      <c r="A362" s="2"/>
      <c r="B362" s="2"/>
      <c r="C362" s="9"/>
      <c r="D362" s="9"/>
      <c r="E362" s="9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9.5" customHeight="1" x14ac:dyDescent="0.25">
      <c r="A363" s="2"/>
      <c r="B363" s="2"/>
      <c r="C363" s="9"/>
      <c r="D363" s="9"/>
      <c r="E363" s="9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9.5" customHeight="1" x14ac:dyDescent="0.25">
      <c r="A364" s="2"/>
      <c r="B364" s="2"/>
      <c r="C364" s="9"/>
      <c r="D364" s="9"/>
      <c r="E364" s="9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9.5" customHeight="1" x14ac:dyDescent="0.25">
      <c r="A365" s="2"/>
      <c r="B365" s="2"/>
      <c r="C365" s="9"/>
      <c r="D365" s="9"/>
      <c r="E365" s="9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9.5" customHeight="1" x14ac:dyDescent="0.25">
      <c r="A366" s="2"/>
      <c r="B366" s="2"/>
      <c r="C366" s="9"/>
      <c r="D366" s="9"/>
      <c r="E366" s="9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9.5" customHeight="1" x14ac:dyDescent="0.25">
      <c r="A367" s="2"/>
      <c r="B367" s="2"/>
      <c r="C367" s="9"/>
      <c r="D367" s="9"/>
      <c r="E367" s="9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9.5" customHeight="1" x14ac:dyDescent="0.25">
      <c r="A368" s="2"/>
      <c r="B368" s="2"/>
      <c r="C368" s="9"/>
      <c r="D368" s="9"/>
      <c r="E368" s="9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9.5" customHeight="1" x14ac:dyDescent="0.25">
      <c r="A369" s="2"/>
      <c r="B369" s="2"/>
      <c r="C369" s="9"/>
      <c r="D369" s="9"/>
      <c r="E369" s="9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9.5" customHeight="1" x14ac:dyDescent="0.25">
      <c r="A370" s="2"/>
      <c r="B370" s="2"/>
      <c r="C370" s="9"/>
      <c r="D370" s="9"/>
      <c r="E370" s="9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9.5" customHeight="1" x14ac:dyDescent="0.25">
      <c r="A371" s="2"/>
      <c r="B371" s="2"/>
      <c r="C371" s="9"/>
      <c r="D371" s="9"/>
      <c r="E371" s="9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9.5" customHeight="1" x14ac:dyDescent="0.25">
      <c r="A372" s="2"/>
      <c r="B372" s="2"/>
      <c r="C372" s="9"/>
      <c r="D372" s="9"/>
      <c r="E372" s="9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9.5" customHeight="1" x14ac:dyDescent="0.25">
      <c r="A373" s="2"/>
      <c r="B373" s="2"/>
      <c r="C373" s="9"/>
      <c r="D373" s="9"/>
      <c r="E373" s="9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9.5" customHeight="1" x14ac:dyDescent="0.25">
      <c r="A374" s="2"/>
      <c r="B374" s="2"/>
      <c r="C374" s="9"/>
      <c r="D374" s="9"/>
      <c r="E374" s="9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9.5" customHeight="1" x14ac:dyDescent="0.25">
      <c r="A375" s="2"/>
      <c r="B375" s="2"/>
      <c r="C375" s="9"/>
      <c r="D375" s="9"/>
      <c r="E375" s="9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9.5" customHeight="1" x14ac:dyDescent="0.25">
      <c r="A376" s="2"/>
      <c r="B376" s="2"/>
      <c r="C376" s="9"/>
      <c r="D376" s="9"/>
      <c r="E376" s="9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9.5" customHeight="1" x14ac:dyDescent="0.25">
      <c r="A377" s="2"/>
      <c r="B377" s="2"/>
      <c r="C377" s="9"/>
      <c r="D377" s="9"/>
      <c r="E377" s="9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9.5" customHeight="1" x14ac:dyDescent="0.25">
      <c r="A378" s="2"/>
      <c r="B378" s="2"/>
      <c r="C378" s="9"/>
      <c r="D378" s="9"/>
      <c r="E378" s="9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9.5" customHeight="1" x14ac:dyDescent="0.25">
      <c r="A379" s="2"/>
      <c r="B379" s="2"/>
      <c r="C379" s="9"/>
      <c r="D379" s="9"/>
      <c r="E379" s="9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9.5" customHeight="1" x14ac:dyDescent="0.25">
      <c r="A380" s="2"/>
      <c r="B380" s="2"/>
      <c r="C380" s="9"/>
      <c r="D380" s="9"/>
      <c r="E380" s="9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9.5" customHeight="1" x14ac:dyDescent="0.25">
      <c r="A381" s="2"/>
      <c r="B381" s="2"/>
      <c r="C381" s="9"/>
      <c r="D381" s="9"/>
      <c r="E381" s="9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9.5" customHeight="1" x14ac:dyDescent="0.25">
      <c r="A382" s="2"/>
      <c r="B382" s="2"/>
      <c r="C382" s="9"/>
      <c r="D382" s="9"/>
      <c r="E382" s="9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9.5" customHeight="1" x14ac:dyDescent="0.25">
      <c r="A383" s="2"/>
      <c r="B383" s="2"/>
      <c r="C383" s="9"/>
      <c r="D383" s="9"/>
      <c r="E383" s="9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9.5" customHeight="1" x14ac:dyDescent="0.25">
      <c r="A384" s="2"/>
      <c r="B384" s="2"/>
      <c r="C384" s="9"/>
      <c r="D384" s="9"/>
      <c r="E384" s="9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9.5" customHeight="1" x14ac:dyDescent="0.25">
      <c r="A385" s="2"/>
      <c r="B385" s="2"/>
      <c r="C385" s="9"/>
      <c r="D385" s="9"/>
      <c r="E385" s="9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9.5" customHeight="1" x14ac:dyDescent="0.25">
      <c r="A386" s="2"/>
      <c r="B386" s="2"/>
      <c r="C386" s="9"/>
      <c r="D386" s="9"/>
      <c r="E386" s="9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9.5" customHeight="1" x14ac:dyDescent="0.25">
      <c r="A387" s="2"/>
      <c r="B387" s="2"/>
      <c r="C387" s="9"/>
      <c r="D387" s="9"/>
      <c r="E387" s="9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9.5" customHeight="1" x14ac:dyDescent="0.25">
      <c r="A388" s="2"/>
      <c r="B388" s="2"/>
      <c r="C388" s="9"/>
      <c r="D388" s="9"/>
      <c r="E388" s="9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9.5" customHeight="1" x14ac:dyDescent="0.25">
      <c r="A389" s="2"/>
      <c r="B389" s="2"/>
      <c r="C389" s="9"/>
      <c r="D389" s="9"/>
      <c r="E389" s="9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9.5" customHeight="1" x14ac:dyDescent="0.25">
      <c r="A390" s="2"/>
      <c r="B390" s="2"/>
      <c r="C390" s="9"/>
      <c r="D390" s="9"/>
      <c r="E390" s="9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9.5" customHeight="1" x14ac:dyDescent="0.25">
      <c r="A391" s="2"/>
      <c r="B391" s="2"/>
      <c r="C391" s="9"/>
      <c r="D391" s="9"/>
      <c r="E391" s="9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9.5" customHeight="1" x14ac:dyDescent="0.25">
      <c r="A392" s="2"/>
      <c r="B392" s="2"/>
      <c r="C392" s="9"/>
      <c r="D392" s="9"/>
      <c r="E392" s="9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9.5" customHeight="1" x14ac:dyDescent="0.25">
      <c r="A393" s="2"/>
      <c r="B393" s="2"/>
      <c r="C393" s="9"/>
      <c r="D393" s="9"/>
      <c r="E393" s="9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9.5" customHeight="1" x14ac:dyDescent="0.25">
      <c r="A394" s="2"/>
      <c r="B394" s="2"/>
      <c r="C394" s="9"/>
      <c r="D394" s="9"/>
      <c r="E394" s="9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9.5" customHeight="1" x14ac:dyDescent="0.25">
      <c r="A395" s="2"/>
      <c r="B395" s="2"/>
      <c r="C395" s="9"/>
      <c r="D395" s="9"/>
      <c r="E395" s="9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9.5" customHeight="1" x14ac:dyDescent="0.25">
      <c r="A396" s="2"/>
      <c r="B396" s="2"/>
      <c r="C396" s="9"/>
      <c r="D396" s="9"/>
      <c r="E396" s="9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9.5" customHeight="1" x14ac:dyDescent="0.25">
      <c r="A397" s="2"/>
      <c r="B397" s="2"/>
      <c r="C397" s="9"/>
      <c r="D397" s="9"/>
      <c r="E397" s="9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9.5" customHeight="1" x14ac:dyDescent="0.25">
      <c r="A398" s="2"/>
      <c r="B398" s="2"/>
      <c r="C398" s="9"/>
      <c r="D398" s="9"/>
      <c r="E398" s="9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9.5" customHeight="1" x14ac:dyDescent="0.25">
      <c r="A399" s="2"/>
      <c r="B399" s="2"/>
      <c r="C399" s="9"/>
      <c r="D399" s="9"/>
      <c r="E399" s="9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9.5" customHeight="1" x14ac:dyDescent="0.25">
      <c r="A400" s="2"/>
      <c r="B400" s="2"/>
      <c r="C400" s="9"/>
      <c r="D400" s="9"/>
      <c r="E400" s="9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9.5" customHeight="1" x14ac:dyDescent="0.25">
      <c r="A401" s="2"/>
      <c r="B401" s="2"/>
      <c r="C401" s="9"/>
      <c r="D401" s="9"/>
      <c r="E401" s="9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9.5" customHeight="1" x14ac:dyDescent="0.25">
      <c r="A402" s="2"/>
      <c r="B402" s="2"/>
      <c r="C402" s="9"/>
      <c r="D402" s="9"/>
      <c r="E402" s="9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9.5" customHeight="1" x14ac:dyDescent="0.25">
      <c r="A403" s="2"/>
      <c r="B403" s="2"/>
      <c r="C403" s="9"/>
      <c r="D403" s="9"/>
      <c r="E403" s="9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9.5" customHeight="1" x14ac:dyDescent="0.25">
      <c r="A404" s="2"/>
      <c r="B404" s="2"/>
      <c r="C404" s="9"/>
      <c r="D404" s="9"/>
      <c r="E404" s="9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9.5" customHeight="1" x14ac:dyDescent="0.25">
      <c r="A405" s="2"/>
      <c r="B405" s="2"/>
      <c r="C405" s="9"/>
      <c r="D405" s="9"/>
      <c r="E405" s="9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9.5" customHeight="1" x14ac:dyDescent="0.25">
      <c r="A406" s="2"/>
      <c r="B406" s="2"/>
      <c r="C406" s="9"/>
      <c r="D406" s="9"/>
      <c r="E406" s="9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9.5" customHeight="1" x14ac:dyDescent="0.25">
      <c r="A407" s="2"/>
      <c r="B407" s="2"/>
      <c r="C407" s="9"/>
      <c r="D407" s="9"/>
      <c r="E407" s="9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9.5" customHeight="1" x14ac:dyDescent="0.25">
      <c r="A408" s="2"/>
      <c r="B408" s="2"/>
      <c r="C408" s="9"/>
      <c r="D408" s="9"/>
      <c r="E408" s="9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9.5" customHeight="1" x14ac:dyDescent="0.25">
      <c r="A409" s="2"/>
      <c r="B409" s="2"/>
      <c r="C409" s="9"/>
      <c r="D409" s="9"/>
      <c r="E409" s="9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9.5" customHeight="1" x14ac:dyDescent="0.25">
      <c r="A410" s="2"/>
      <c r="B410" s="2"/>
      <c r="C410" s="9"/>
      <c r="D410" s="9"/>
      <c r="E410" s="9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9.5" customHeight="1" x14ac:dyDescent="0.25">
      <c r="A411" s="2"/>
      <c r="B411" s="2"/>
      <c r="C411" s="9"/>
      <c r="D411" s="9"/>
      <c r="E411" s="9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9.5" customHeight="1" x14ac:dyDescent="0.25">
      <c r="A412" s="2"/>
      <c r="B412" s="2"/>
      <c r="C412" s="9"/>
      <c r="D412" s="9"/>
      <c r="E412" s="9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9.5" customHeight="1" x14ac:dyDescent="0.25">
      <c r="A413" s="2"/>
      <c r="B413" s="2"/>
      <c r="C413" s="9"/>
      <c r="D413" s="9"/>
      <c r="E413" s="9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9.5" customHeight="1" x14ac:dyDescent="0.25">
      <c r="A414" s="2"/>
      <c r="B414" s="2"/>
      <c r="C414" s="9"/>
      <c r="D414" s="9"/>
      <c r="E414" s="9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9.5" customHeight="1" x14ac:dyDescent="0.25">
      <c r="A415" s="2"/>
      <c r="B415" s="2"/>
      <c r="C415" s="9"/>
      <c r="D415" s="9"/>
      <c r="E415" s="9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9.5" customHeight="1" x14ac:dyDescent="0.25">
      <c r="A416" s="2"/>
      <c r="B416" s="2"/>
      <c r="C416" s="9"/>
      <c r="D416" s="9"/>
      <c r="E416" s="9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9.5" customHeight="1" x14ac:dyDescent="0.25">
      <c r="A417" s="2"/>
      <c r="B417" s="2"/>
      <c r="C417" s="9"/>
      <c r="D417" s="9"/>
      <c r="E417" s="9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9.5" customHeight="1" x14ac:dyDescent="0.25">
      <c r="A418" s="2"/>
      <c r="B418" s="2"/>
      <c r="C418" s="9"/>
      <c r="D418" s="9"/>
      <c r="E418" s="9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9.5" customHeight="1" x14ac:dyDescent="0.25">
      <c r="A419" s="2"/>
      <c r="B419" s="2"/>
      <c r="C419" s="9"/>
      <c r="D419" s="9"/>
      <c r="E419" s="9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9.5" customHeight="1" x14ac:dyDescent="0.25">
      <c r="A420" s="2"/>
      <c r="B420" s="2"/>
      <c r="C420" s="9"/>
      <c r="D420" s="9"/>
      <c r="E420" s="9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9.5" customHeight="1" x14ac:dyDescent="0.25">
      <c r="A421" s="2"/>
      <c r="B421" s="2"/>
      <c r="C421" s="9"/>
      <c r="D421" s="9"/>
      <c r="E421" s="9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9.5" customHeight="1" x14ac:dyDescent="0.25">
      <c r="A422" s="2"/>
      <c r="B422" s="2"/>
      <c r="C422" s="9"/>
      <c r="D422" s="9"/>
      <c r="E422" s="9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9.5" customHeight="1" x14ac:dyDescent="0.25">
      <c r="A423" s="2"/>
      <c r="B423" s="2"/>
      <c r="C423" s="9"/>
      <c r="D423" s="9"/>
      <c r="E423" s="9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9.5" customHeight="1" x14ac:dyDescent="0.25">
      <c r="A424" s="2"/>
      <c r="B424" s="2"/>
      <c r="C424" s="9"/>
      <c r="D424" s="9"/>
      <c r="E424" s="9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9.5" customHeight="1" x14ac:dyDescent="0.25">
      <c r="A425" s="2"/>
      <c r="B425" s="2"/>
      <c r="C425" s="9"/>
      <c r="D425" s="9"/>
      <c r="E425" s="9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9.5" customHeight="1" x14ac:dyDescent="0.25">
      <c r="A426" s="2"/>
      <c r="B426" s="2"/>
      <c r="C426" s="9"/>
      <c r="D426" s="9"/>
      <c r="E426" s="9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9.5" customHeight="1" x14ac:dyDescent="0.25">
      <c r="A427" s="2"/>
      <c r="B427" s="2"/>
      <c r="C427" s="9"/>
      <c r="D427" s="9"/>
      <c r="E427" s="9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9.5" customHeight="1" x14ac:dyDescent="0.25">
      <c r="A428" s="2"/>
      <c r="B428" s="2"/>
      <c r="C428" s="9"/>
      <c r="D428" s="9"/>
      <c r="E428" s="9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9.5" customHeight="1" x14ac:dyDescent="0.25">
      <c r="A429" s="2"/>
      <c r="B429" s="2"/>
      <c r="C429" s="9"/>
      <c r="D429" s="9"/>
      <c r="E429" s="9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9.5" customHeight="1" x14ac:dyDescent="0.25">
      <c r="A430" s="2"/>
      <c r="B430" s="2"/>
      <c r="C430" s="9"/>
      <c r="D430" s="9"/>
      <c r="E430" s="9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9.5" customHeight="1" x14ac:dyDescent="0.25">
      <c r="A431" s="2"/>
      <c r="B431" s="2"/>
      <c r="C431" s="9"/>
      <c r="D431" s="9"/>
      <c r="E431" s="9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9.5" customHeight="1" x14ac:dyDescent="0.25">
      <c r="A432" s="2"/>
      <c r="B432" s="2"/>
      <c r="C432" s="9"/>
      <c r="D432" s="9"/>
      <c r="E432" s="9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9.5" customHeight="1" x14ac:dyDescent="0.25">
      <c r="A433" s="2"/>
      <c r="B433" s="2"/>
      <c r="C433" s="9"/>
      <c r="D433" s="9"/>
      <c r="E433" s="9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9.5" customHeight="1" x14ac:dyDescent="0.25">
      <c r="A434" s="2"/>
      <c r="B434" s="2"/>
      <c r="C434" s="9"/>
      <c r="D434" s="9"/>
      <c r="E434" s="9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9.5" customHeight="1" x14ac:dyDescent="0.25">
      <c r="A435" s="2"/>
      <c r="B435" s="2"/>
      <c r="C435" s="9"/>
      <c r="D435" s="9"/>
      <c r="E435" s="9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9.5" customHeight="1" x14ac:dyDescent="0.25">
      <c r="A436" s="2"/>
      <c r="B436" s="2"/>
      <c r="C436" s="9"/>
      <c r="D436" s="9"/>
      <c r="E436" s="9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9.5" customHeight="1" x14ac:dyDescent="0.25">
      <c r="A437" s="2"/>
      <c r="B437" s="2"/>
      <c r="C437" s="9"/>
      <c r="D437" s="9"/>
      <c r="E437" s="9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9.5" customHeight="1" x14ac:dyDescent="0.25">
      <c r="A438" s="2"/>
      <c r="B438" s="2"/>
      <c r="C438" s="9"/>
      <c r="D438" s="9"/>
      <c r="E438" s="9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9.5" customHeight="1" x14ac:dyDescent="0.25">
      <c r="A439" s="2"/>
      <c r="B439" s="2"/>
      <c r="C439" s="9"/>
      <c r="D439" s="9"/>
      <c r="E439" s="9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9.5" customHeight="1" x14ac:dyDescent="0.25">
      <c r="A440" s="2"/>
      <c r="B440" s="2"/>
      <c r="C440" s="9"/>
      <c r="D440" s="9"/>
      <c r="E440" s="9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9.5" customHeight="1" x14ac:dyDescent="0.25">
      <c r="A441" s="2"/>
      <c r="B441" s="2"/>
      <c r="C441" s="9"/>
      <c r="D441" s="9"/>
      <c r="E441" s="9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9.5" customHeight="1" x14ac:dyDescent="0.25">
      <c r="A442" s="2"/>
      <c r="B442" s="2"/>
      <c r="C442" s="9"/>
      <c r="D442" s="9"/>
      <c r="E442" s="9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9.5" customHeight="1" x14ac:dyDescent="0.25">
      <c r="A443" s="2"/>
      <c r="B443" s="2"/>
      <c r="C443" s="9"/>
      <c r="D443" s="9"/>
      <c r="E443" s="9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9.5" customHeight="1" x14ac:dyDescent="0.25">
      <c r="A444" s="2"/>
      <c r="B444" s="2"/>
      <c r="C444" s="9"/>
      <c r="D444" s="9"/>
      <c r="E444" s="9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9.5" customHeight="1" x14ac:dyDescent="0.25">
      <c r="A445" s="2"/>
      <c r="B445" s="2"/>
      <c r="C445" s="9"/>
      <c r="D445" s="9"/>
      <c r="E445" s="9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9.5" customHeight="1" x14ac:dyDescent="0.25">
      <c r="A446" s="2"/>
      <c r="B446" s="2"/>
      <c r="C446" s="9"/>
      <c r="D446" s="9"/>
      <c r="E446" s="9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9.5" customHeight="1" x14ac:dyDescent="0.25">
      <c r="A447" s="2"/>
      <c r="B447" s="2"/>
      <c r="C447" s="9"/>
      <c r="D447" s="9"/>
      <c r="E447" s="9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9.5" customHeight="1" x14ac:dyDescent="0.25">
      <c r="A448" s="2"/>
      <c r="B448" s="2"/>
      <c r="C448" s="9"/>
      <c r="D448" s="9"/>
      <c r="E448" s="9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9.5" customHeight="1" x14ac:dyDescent="0.25">
      <c r="A449" s="2"/>
      <c r="B449" s="2"/>
      <c r="C449" s="9"/>
      <c r="D449" s="9"/>
      <c r="E449" s="9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9.5" customHeight="1" x14ac:dyDescent="0.25">
      <c r="A450" s="2"/>
      <c r="B450" s="2"/>
      <c r="C450" s="9"/>
      <c r="D450" s="9"/>
      <c r="E450" s="9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9.5" customHeight="1" x14ac:dyDescent="0.25">
      <c r="A451" s="2"/>
      <c r="B451" s="2"/>
      <c r="C451" s="9"/>
      <c r="D451" s="9"/>
      <c r="E451" s="9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9.5" customHeight="1" x14ac:dyDescent="0.25">
      <c r="A452" s="2"/>
      <c r="B452" s="2"/>
      <c r="C452" s="9"/>
      <c r="D452" s="9"/>
      <c r="E452" s="9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9.5" customHeight="1" x14ac:dyDescent="0.25">
      <c r="A453" s="2"/>
      <c r="B453" s="2"/>
      <c r="C453" s="9"/>
      <c r="D453" s="9"/>
      <c r="E453" s="9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9.5" customHeight="1" x14ac:dyDescent="0.25">
      <c r="A454" s="2"/>
      <c r="B454" s="2"/>
      <c r="C454" s="9"/>
      <c r="D454" s="9"/>
      <c r="E454" s="9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9.5" customHeight="1" x14ac:dyDescent="0.25">
      <c r="A455" s="2"/>
      <c r="B455" s="2"/>
      <c r="C455" s="9"/>
      <c r="D455" s="9"/>
      <c r="E455" s="9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9.5" customHeight="1" x14ac:dyDescent="0.25">
      <c r="A456" s="2"/>
      <c r="B456" s="2"/>
      <c r="C456" s="9"/>
      <c r="D456" s="9"/>
      <c r="E456" s="9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9.5" customHeight="1" x14ac:dyDescent="0.25">
      <c r="A457" s="2"/>
      <c r="B457" s="2"/>
      <c r="C457" s="9"/>
      <c r="D457" s="9"/>
      <c r="E457" s="9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9.5" customHeight="1" x14ac:dyDescent="0.25">
      <c r="A458" s="2"/>
      <c r="B458" s="2"/>
      <c r="C458" s="9"/>
      <c r="D458" s="9"/>
      <c r="E458" s="9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9.5" customHeight="1" x14ac:dyDescent="0.25">
      <c r="A459" s="2"/>
      <c r="B459" s="2"/>
      <c r="C459" s="9"/>
      <c r="D459" s="9"/>
      <c r="E459" s="9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9.5" customHeight="1" x14ac:dyDescent="0.25">
      <c r="A460" s="2"/>
      <c r="B460" s="2"/>
      <c r="C460" s="9"/>
      <c r="D460" s="9"/>
      <c r="E460" s="9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9.5" customHeight="1" x14ac:dyDescent="0.25">
      <c r="A461" s="2"/>
      <c r="B461" s="2"/>
      <c r="C461" s="9"/>
      <c r="D461" s="9"/>
      <c r="E461" s="9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9.5" customHeight="1" x14ac:dyDescent="0.25">
      <c r="A462" s="2"/>
      <c r="B462" s="2"/>
      <c r="C462" s="9"/>
      <c r="D462" s="9"/>
      <c r="E462" s="9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9.5" customHeight="1" x14ac:dyDescent="0.25">
      <c r="A463" s="2"/>
      <c r="B463" s="2"/>
      <c r="C463" s="9"/>
      <c r="D463" s="9"/>
      <c r="E463" s="9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9.5" customHeight="1" x14ac:dyDescent="0.25">
      <c r="A464" s="2"/>
      <c r="B464" s="2"/>
      <c r="C464" s="9"/>
      <c r="D464" s="9"/>
      <c r="E464" s="9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9.5" customHeight="1" x14ac:dyDescent="0.25">
      <c r="A465" s="2"/>
      <c r="B465" s="2"/>
      <c r="C465" s="9"/>
      <c r="D465" s="9"/>
      <c r="E465" s="9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9.5" customHeight="1" x14ac:dyDescent="0.25">
      <c r="A466" s="2"/>
      <c r="B466" s="2"/>
      <c r="C466" s="9"/>
      <c r="D466" s="9"/>
      <c r="E466" s="9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9.5" customHeight="1" x14ac:dyDescent="0.25">
      <c r="A467" s="2"/>
      <c r="B467" s="2"/>
      <c r="C467" s="9"/>
      <c r="D467" s="9"/>
      <c r="E467" s="9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9.5" customHeight="1" x14ac:dyDescent="0.25">
      <c r="A468" s="2"/>
      <c r="B468" s="2"/>
      <c r="C468" s="9"/>
      <c r="D468" s="9"/>
      <c r="E468" s="9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9.5" customHeight="1" x14ac:dyDescent="0.25">
      <c r="A469" s="2"/>
      <c r="B469" s="2"/>
      <c r="C469" s="9"/>
      <c r="D469" s="9"/>
      <c r="E469" s="9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9.5" customHeight="1" x14ac:dyDescent="0.25">
      <c r="A470" s="2"/>
      <c r="B470" s="2"/>
      <c r="C470" s="9"/>
      <c r="D470" s="9"/>
      <c r="E470" s="9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9.5" customHeight="1" x14ac:dyDescent="0.25">
      <c r="A471" s="2"/>
      <c r="B471" s="2"/>
      <c r="C471" s="9"/>
      <c r="D471" s="9"/>
      <c r="E471" s="9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9.5" customHeight="1" x14ac:dyDescent="0.25">
      <c r="A472" s="2"/>
      <c r="B472" s="2"/>
      <c r="C472" s="9"/>
      <c r="D472" s="9"/>
      <c r="E472" s="9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9.5" customHeight="1" x14ac:dyDescent="0.25">
      <c r="A473" s="2"/>
      <c r="B473" s="2"/>
      <c r="C473" s="9"/>
      <c r="D473" s="9"/>
      <c r="E473" s="9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9.5" customHeight="1" x14ac:dyDescent="0.25">
      <c r="A474" s="2"/>
      <c r="B474" s="2"/>
      <c r="C474" s="9"/>
      <c r="D474" s="9"/>
      <c r="E474" s="9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9.5" customHeight="1" x14ac:dyDescent="0.25">
      <c r="A475" s="2"/>
      <c r="B475" s="2"/>
      <c r="C475" s="9"/>
      <c r="D475" s="9"/>
      <c r="E475" s="9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9.5" customHeight="1" x14ac:dyDescent="0.25">
      <c r="A476" s="2"/>
      <c r="B476" s="2"/>
      <c r="C476" s="9"/>
      <c r="D476" s="9"/>
      <c r="E476" s="9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9.5" customHeight="1" x14ac:dyDescent="0.25">
      <c r="A477" s="2"/>
      <c r="B477" s="2"/>
      <c r="C477" s="9"/>
      <c r="D477" s="9"/>
      <c r="E477" s="9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9.5" customHeight="1" x14ac:dyDescent="0.25">
      <c r="A478" s="2"/>
      <c r="B478" s="2"/>
      <c r="C478" s="9"/>
      <c r="D478" s="9"/>
      <c r="E478" s="9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9.5" customHeight="1" x14ac:dyDescent="0.25">
      <c r="A479" s="2"/>
      <c r="B479" s="2"/>
      <c r="C479" s="9"/>
      <c r="D479" s="9"/>
      <c r="E479" s="9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9.5" customHeight="1" x14ac:dyDescent="0.25">
      <c r="A480" s="2"/>
      <c r="B480" s="2"/>
      <c r="C480" s="9"/>
      <c r="D480" s="9"/>
      <c r="E480" s="9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9.5" customHeight="1" x14ac:dyDescent="0.25">
      <c r="A481" s="2"/>
      <c r="B481" s="2"/>
      <c r="C481" s="9"/>
      <c r="D481" s="9"/>
      <c r="E481" s="9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9.5" customHeight="1" x14ac:dyDescent="0.25">
      <c r="A482" s="2"/>
      <c r="B482" s="2"/>
      <c r="C482" s="9"/>
      <c r="D482" s="9"/>
      <c r="E482" s="9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9.5" customHeight="1" x14ac:dyDescent="0.25">
      <c r="A483" s="2"/>
      <c r="B483" s="2"/>
      <c r="C483" s="9"/>
      <c r="D483" s="9"/>
      <c r="E483" s="9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9.5" customHeight="1" x14ac:dyDescent="0.25">
      <c r="A484" s="2"/>
      <c r="B484" s="2"/>
      <c r="C484" s="9"/>
      <c r="D484" s="9"/>
      <c r="E484" s="9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9.5" customHeight="1" x14ac:dyDescent="0.25">
      <c r="A485" s="2"/>
      <c r="B485" s="2"/>
      <c r="C485" s="9"/>
      <c r="D485" s="9"/>
      <c r="E485" s="9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9.5" customHeight="1" x14ac:dyDescent="0.25">
      <c r="A486" s="2"/>
      <c r="B486" s="2"/>
      <c r="C486" s="9"/>
      <c r="D486" s="9"/>
      <c r="E486" s="9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9.5" customHeight="1" x14ac:dyDescent="0.25">
      <c r="A487" s="2"/>
      <c r="B487" s="2"/>
      <c r="C487" s="9"/>
      <c r="D487" s="9"/>
      <c r="E487" s="9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9.5" customHeight="1" x14ac:dyDescent="0.25">
      <c r="A488" s="2"/>
      <c r="B488" s="2"/>
      <c r="C488" s="9"/>
      <c r="D488" s="9"/>
      <c r="E488" s="9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9.5" customHeight="1" x14ac:dyDescent="0.25">
      <c r="A489" s="2"/>
      <c r="B489" s="2"/>
      <c r="C489" s="9"/>
      <c r="D489" s="9"/>
      <c r="E489" s="9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9.5" customHeight="1" x14ac:dyDescent="0.25">
      <c r="A490" s="2"/>
      <c r="B490" s="2"/>
      <c r="C490" s="9"/>
      <c r="D490" s="9"/>
      <c r="E490" s="9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9.5" customHeight="1" x14ac:dyDescent="0.25">
      <c r="A491" s="2"/>
      <c r="B491" s="2"/>
      <c r="C491" s="9"/>
      <c r="D491" s="9"/>
      <c r="E491" s="9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9.5" customHeight="1" x14ac:dyDescent="0.25">
      <c r="A492" s="2"/>
      <c r="B492" s="2"/>
      <c r="C492" s="9"/>
      <c r="D492" s="9"/>
      <c r="E492" s="9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9.5" customHeight="1" x14ac:dyDescent="0.25">
      <c r="A493" s="2"/>
      <c r="B493" s="2"/>
      <c r="C493" s="9"/>
      <c r="D493" s="9"/>
      <c r="E493" s="9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9.5" customHeight="1" x14ac:dyDescent="0.25">
      <c r="A494" s="2"/>
      <c r="B494" s="2"/>
      <c r="C494" s="9"/>
      <c r="D494" s="9"/>
      <c r="E494" s="9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9.5" customHeight="1" x14ac:dyDescent="0.25">
      <c r="A495" s="2"/>
      <c r="B495" s="2"/>
      <c r="C495" s="9"/>
      <c r="D495" s="9"/>
      <c r="E495" s="9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9.5" customHeight="1" x14ac:dyDescent="0.25">
      <c r="A496" s="2"/>
      <c r="B496" s="2"/>
      <c r="C496" s="9"/>
      <c r="D496" s="9"/>
      <c r="E496" s="9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9.5" customHeight="1" x14ac:dyDescent="0.25">
      <c r="A497" s="2"/>
      <c r="B497" s="2"/>
      <c r="C497" s="9"/>
      <c r="D497" s="9"/>
      <c r="E497" s="9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9.5" customHeight="1" x14ac:dyDescent="0.25">
      <c r="A498" s="2"/>
      <c r="B498" s="2"/>
      <c r="C498" s="9"/>
      <c r="D498" s="9"/>
      <c r="E498" s="9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9.5" customHeight="1" x14ac:dyDescent="0.25">
      <c r="A499" s="2"/>
      <c r="B499" s="2"/>
      <c r="C499" s="9"/>
      <c r="D499" s="9"/>
      <c r="E499" s="9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9.5" customHeight="1" x14ac:dyDescent="0.25">
      <c r="A500" s="2"/>
      <c r="B500" s="2"/>
      <c r="C500" s="9"/>
      <c r="D500" s="9"/>
      <c r="E500" s="9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9.5" customHeight="1" x14ac:dyDescent="0.25">
      <c r="A501" s="2"/>
      <c r="B501" s="2"/>
      <c r="C501" s="9"/>
      <c r="D501" s="9"/>
      <c r="E501" s="9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9.5" customHeight="1" x14ac:dyDescent="0.25">
      <c r="A502" s="2"/>
      <c r="B502" s="2"/>
      <c r="C502" s="9"/>
      <c r="D502" s="9"/>
      <c r="E502" s="9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9.5" customHeight="1" x14ac:dyDescent="0.25">
      <c r="A503" s="2"/>
      <c r="B503" s="2"/>
      <c r="C503" s="9"/>
      <c r="D503" s="9"/>
      <c r="E503" s="9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9.5" customHeight="1" x14ac:dyDescent="0.25">
      <c r="A504" s="2"/>
      <c r="B504" s="2"/>
      <c r="C504" s="9"/>
      <c r="D504" s="9"/>
      <c r="E504" s="9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9.5" customHeight="1" x14ac:dyDescent="0.25">
      <c r="A505" s="2"/>
      <c r="B505" s="2"/>
      <c r="C505" s="9"/>
      <c r="D505" s="9"/>
      <c r="E505" s="9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9.5" customHeight="1" x14ac:dyDescent="0.25">
      <c r="A506" s="2"/>
      <c r="B506" s="2"/>
      <c r="C506" s="9"/>
      <c r="D506" s="9"/>
      <c r="E506" s="9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9.5" customHeight="1" x14ac:dyDescent="0.25">
      <c r="A507" s="2"/>
      <c r="B507" s="2"/>
      <c r="C507" s="9"/>
      <c r="D507" s="9"/>
      <c r="E507" s="9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9.5" customHeight="1" x14ac:dyDescent="0.25">
      <c r="A508" s="2"/>
      <c r="B508" s="2"/>
      <c r="C508" s="9"/>
      <c r="D508" s="9"/>
      <c r="E508" s="9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9.5" customHeight="1" x14ac:dyDescent="0.25">
      <c r="A509" s="2"/>
      <c r="B509" s="2"/>
      <c r="C509" s="9"/>
      <c r="D509" s="9"/>
      <c r="E509" s="9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9.5" customHeight="1" x14ac:dyDescent="0.25">
      <c r="A510" s="2"/>
      <c r="B510" s="2"/>
      <c r="C510" s="9"/>
      <c r="D510" s="9"/>
      <c r="E510" s="9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9.5" customHeight="1" x14ac:dyDescent="0.25">
      <c r="A511" s="2"/>
      <c r="B511" s="2"/>
      <c r="C511" s="9"/>
      <c r="D511" s="9"/>
      <c r="E511" s="9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9.5" customHeight="1" x14ac:dyDescent="0.25">
      <c r="A512" s="2"/>
      <c r="B512" s="2"/>
      <c r="C512" s="9"/>
      <c r="D512" s="9"/>
      <c r="E512" s="9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9.5" customHeight="1" x14ac:dyDescent="0.25">
      <c r="A513" s="2"/>
      <c r="B513" s="2"/>
      <c r="C513" s="9"/>
      <c r="D513" s="9"/>
      <c r="E513" s="9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9.5" customHeight="1" x14ac:dyDescent="0.25">
      <c r="A514" s="2"/>
      <c r="B514" s="2"/>
      <c r="C514" s="9"/>
      <c r="D514" s="9"/>
      <c r="E514" s="9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9.5" customHeight="1" x14ac:dyDescent="0.25">
      <c r="A515" s="2"/>
      <c r="B515" s="2"/>
      <c r="C515" s="9"/>
      <c r="D515" s="9"/>
      <c r="E515" s="9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9.5" customHeight="1" x14ac:dyDescent="0.25">
      <c r="A516" s="2"/>
      <c r="B516" s="2"/>
      <c r="C516" s="9"/>
      <c r="D516" s="9"/>
      <c r="E516" s="9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9.5" customHeight="1" x14ac:dyDescent="0.25">
      <c r="A517" s="2"/>
      <c r="B517" s="2"/>
      <c r="C517" s="9"/>
      <c r="D517" s="9"/>
      <c r="E517" s="9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9.5" customHeight="1" x14ac:dyDescent="0.25">
      <c r="A518" s="2"/>
      <c r="B518" s="2"/>
      <c r="C518" s="9"/>
      <c r="D518" s="9"/>
      <c r="E518" s="9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9.5" customHeight="1" x14ac:dyDescent="0.25">
      <c r="A519" s="2"/>
      <c r="B519" s="2"/>
      <c r="C519" s="9"/>
      <c r="D519" s="9"/>
      <c r="E519" s="9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9.5" customHeight="1" x14ac:dyDescent="0.25">
      <c r="A520" s="2"/>
      <c r="B520" s="2"/>
      <c r="C520" s="9"/>
      <c r="D520" s="9"/>
      <c r="E520" s="9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9.5" customHeight="1" x14ac:dyDescent="0.25">
      <c r="A521" s="2"/>
      <c r="B521" s="2"/>
      <c r="C521" s="9"/>
      <c r="D521" s="9"/>
      <c r="E521" s="9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9.5" customHeight="1" x14ac:dyDescent="0.25">
      <c r="A522" s="2"/>
      <c r="B522" s="2"/>
      <c r="C522" s="9"/>
      <c r="D522" s="9"/>
      <c r="E522" s="9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9.5" customHeight="1" x14ac:dyDescent="0.25">
      <c r="A523" s="2"/>
      <c r="B523" s="2"/>
      <c r="C523" s="9"/>
      <c r="D523" s="9"/>
      <c r="E523" s="9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9.5" customHeight="1" x14ac:dyDescent="0.25">
      <c r="A524" s="2"/>
      <c r="B524" s="2"/>
      <c r="C524" s="9"/>
      <c r="D524" s="9"/>
      <c r="E524" s="9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9.5" customHeight="1" x14ac:dyDescent="0.25">
      <c r="A525" s="2"/>
      <c r="B525" s="2"/>
      <c r="C525" s="9"/>
      <c r="D525" s="9"/>
      <c r="E525" s="9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9.5" customHeight="1" x14ac:dyDescent="0.25">
      <c r="A526" s="2"/>
      <c r="B526" s="2"/>
      <c r="C526" s="9"/>
      <c r="D526" s="9"/>
      <c r="E526" s="9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9.5" customHeight="1" x14ac:dyDescent="0.25">
      <c r="A527" s="2"/>
      <c r="B527" s="2"/>
      <c r="C527" s="9"/>
      <c r="D527" s="9"/>
      <c r="E527" s="9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9.5" customHeight="1" x14ac:dyDescent="0.25">
      <c r="A528" s="2"/>
      <c r="B528" s="2"/>
      <c r="C528" s="9"/>
      <c r="D528" s="9"/>
      <c r="E528" s="9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9.5" customHeight="1" x14ac:dyDescent="0.25">
      <c r="A529" s="2"/>
      <c r="B529" s="2"/>
      <c r="C529" s="9"/>
      <c r="D529" s="9"/>
      <c r="E529" s="9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9.5" customHeight="1" x14ac:dyDescent="0.25">
      <c r="A530" s="2"/>
      <c r="B530" s="2"/>
      <c r="C530" s="9"/>
      <c r="D530" s="9"/>
      <c r="E530" s="9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9.5" customHeight="1" x14ac:dyDescent="0.25">
      <c r="A531" s="2"/>
      <c r="B531" s="2"/>
      <c r="C531" s="9"/>
      <c r="D531" s="9"/>
      <c r="E531" s="9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9.5" customHeight="1" x14ac:dyDescent="0.25">
      <c r="A532" s="2"/>
      <c r="B532" s="2"/>
      <c r="C532" s="9"/>
      <c r="D532" s="9"/>
      <c r="E532" s="9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9.5" customHeight="1" x14ac:dyDescent="0.25">
      <c r="A533" s="2"/>
      <c r="B533" s="2"/>
      <c r="C533" s="9"/>
      <c r="D533" s="9"/>
      <c r="E533" s="9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9.5" customHeight="1" x14ac:dyDescent="0.25">
      <c r="A534" s="2"/>
      <c r="B534" s="2"/>
      <c r="C534" s="9"/>
      <c r="D534" s="9"/>
      <c r="E534" s="9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9.5" customHeight="1" x14ac:dyDescent="0.25">
      <c r="A535" s="2"/>
      <c r="B535" s="2"/>
      <c r="C535" s="9"/>
      <c r="D535" s="9"/>
      <c r="E535" s="9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9.5" customHeight="1" x14ac:dyDescent="0.25">
      <c r="A536" s="2"/>
      <c r="B536" s="2"/>
      <c r="C536" s="9"/>
      <c r="D536" s="9"/>
      <c r="E536" s="9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9.5" customHeight="1" x14ac:dyDescent="0.25">
      <c r="A537" s="2"/>
      <c r="B537" s="2"/>
      <c r="C537" s="9"/>
      <c r="D537" s="9"/>
      <c r="E537" s="9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9.5" customHeight="1" x14ac:dyDescent="0.25">
      <c r="A538" s="2"/>
      <c r="B538" s="2"/>
      <c r="C538" s="9"/>
      <c r="D538" s="9"/>
      <c r="E538" s="9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9.5" customHeight="1" x14ac:dyDescent="0.25">
      <c r="A539" s="2"/>
      <c r="B539" s="2"/>
      <c r="C539" s="9"/>
      <c r="D539" s="9"/>
      <c r="E539" s="9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9.5" customHeight="1" x14ac:dyDescent="0.25">
      <c r="A540" s="2"/>
      <c r="B540" s="2"/>
      <c r="C540" s="9"/>
      <c r="D540" s="9"/>
      <c r="E540" s="9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9.5" customHeight="1" x14ac:dyDescent="0.25">
      <c r="A541" s="2"/>
      <c r="B541" s="2"/>
      <c r="C541" s="9"/>
      <c r="D541" s="9"/>
      <c r="E541" s="9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9.5" customHeight="1" x14ac:dyDescent="0.25">
      <c r="A542" s="2"/>
      <c r="B542" s="2"/>
      <c r="C542" s="9"/>
      <c r="D542" s="9"/>
      <c r="E542" s="9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9.5" customHeight="1" x14ac:dyDescent="0.25">
      <c r="A543" s="2"/>
      <c r="B543" s="2"/>
      <c r="C543" s="9"/>
      <c r="D543" s="9"/>
      <c r="E543" s="9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9.5" customHeight="1" x14ac:dyDescent="0.25">
      <c r="A544" s="2"/>
      <c r="B544" s="2"/>
      <c r="C544" s="9"/>
      <c r="D544" s="9"/>
      <c r="E544" s="9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9.5" customHeight="1" x14ac:dyDescent="0.25">
      <c r="A545" s="2"/>
      <c r="B545" s="2"/>
      <c r="C545" s="9"/>
      <c r="D545" s="9"/>
      <c r="E545" s="9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9.5" customHeight="1" x14ac:dyDescent="0.25">
      <c r="A546" s="2"/>
      <c r="B546" s="2"/>
      <c r="C546" s="9"/>
      <c r="D546" s="9"/>
      <c r="E546" s="9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9.5" customHeight="1" x14ac:dyDescent="0.25">
      <c r="A547" s="2"/>
      <c r="B547" s="2"/>
      <c r="C547" s="9"/>
      <c r="D547" s="9"/>
      <c r="E547" s="9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9.5" customHeight="1" x14ac:dyDescent="0.25">
      <c r="A548" s="2"/>
      <c r="B548" s="2"/>
      <c r="C548" s="9"/>
      <c r="D548" s="9"/>
      <c r="E548" s="9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9.5" customHeight="1" x14ac:dyDescent="0.25">
      <c r="A549" s="2"/>
      <c r="B549" s="2"/>
      <c r="C549" s="9"/>
      <c r="D549" s="9"/>
      <c r="E549" s="9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9.5" customHeight="1" x14ac:dyDescent="0.25">
      <c r="A550" s="2"/>
      <c r="B550" s="2"/>
      <c r="C550" s="9"/>
      <c r="D550" s="9"/>
      <c r="E550" s="9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9.5" customHeight="1" x14ac:dyDescent="0.25">
      <c r="A551" s="2"/>
      <c r="B551" s="2"/>
      <c r="C551" s="9"/>
      <c r="D551" s="9"/>
      <c r="E551" s="9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9.5" customHeight="1" x14ac:dyDescent="0.25">
      <c r="A552" s="2"/>
      <c r="B552" s="2"/>
      <c r="C552" s="9"/>
      <c r="D552" s="9"/>
      <c r="E552" s="9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9.5" customHeight="1" x14ac:dyDescent="0.25">
      <c r="A553" s="2"/>
      <c r="B553" s="2"/>
      <c r="C553" s="9"/>
      <c r="D553" s="9"/>
      <c r="E553" s="9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9.5" customHeight="1" x14ac:dyDescent="0.25">
      <c r="A554" s="2"/>
      <c r="B554" s="2"/>
      <c r="C554" s="9"/>
      <c r="D554" s="9"/>
      <c r="E554" s="9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9.5" customHeight="1" x14ac:dyDescent="0.25">
      <c r="A555" s="2"/>
      <c r="B555" s="2"/>
      <c r="C555" s="9"/>
      <c r="D555" s="9"/>
      <c r="E555" s="9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9.5" customHeight="1" x14ac:dyDescent="0.25">
      <c r="A556" s="2"/>
      <c r="B556" s="2"/>
      <c r="C556" s="9"/>
      <c r="D556" s="9"/>
      <c r="E556" s="9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9.5" customHeight="1" x14ac:dyDescent="0.25">
      <c r="A557" s="2"/>
      <c r="B557" s="2"/>
      <c r="C557" s="9"/>
      <c r="D557" s="9"/>
      <c r="E557" s="9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9.5" customHeight="1" x14ac:dyDescent="0.25">
      <c r="A558" s="2"/>
      <c r="B558" s="2"/>
      <c r="C558" s="9"/>
      <c r="D558" s="9"/>
      <c r="E558" s="9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9.5" customHeight="1" x14ac:dyDescent="0.25">
      <c r="A559" s="2"/>
      <c r="B559" s="2"/>
      <c r="C559" s="9"/>
      <c r="D559" s="9"/>
      <c r="E559" s="9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9.5" customHeight="1" x14ac:dyDescent="0.25">
      <c r="A560" s="2"/>
      <c r="B560" s="2"/>
      <c r="C560" s="9"/>
      <c r="D560" s="9"/>
      <c r="E560" s="9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9.5" customHeight="1" x14ac:dyDescent="0.25">
      <c r="A561" s="2"/>
      <c r="B561" s="2"/>
      <c r="C561" s="9"/>
      <c r="D561" s="9"/>
      <c r="E561" s="9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9.5" customHeight="1" x14ac:dyDescent="0.25">
      <c r="A562" s="2"/>
      <c r="B562" s="2"/>
      <c r="C562" s="9"/>
      <c r="D562" s="9"/>
      <c r="E562" s="9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9.5" customHeight="1" x14ac:dyDescent="0.25">
      <c r="A563" s="2"/>
      <c r="B563" s="2"/>
      <c r="C563" s="9"/>
      <c r="D563" s="9"/>
      <c r="E563" s="9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9.5" customHeight="1" x14ac:dyDescent="0.25">
      <c r="A564" s="2"/>
      <c r="B564" s="2"/>
      <c r="C564" s="9"/>
      <c r="D564" s="9"/>
      <c r="E564" s="9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9.5" customHeight="1" x14ac:dyDescent="0.25">
      <c r="A565" s="2"/>
      <c r="B565" s="2"/>
      <c r="C565" s="9"/>
      <c r="D565" s="9"/>
      <c r="E565" s="9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9.5" customHeight="1" x14ac:dyDescent="0.25">
      <c r="A566" s="2"/>
      <c r="B566" s="2"/>
      <c r="C566" s="9"/>
      <c r="D566" s="9"/>
      <c r="E566" s="9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9.5" customHeight="1" x14ac:dyDescent="0.25">
      <c r="A567" s="2"/>
      <c r="B567" s="2"/>
      <c r="C567" s="9"/>
      <c r="D567" s="9"/>
      <c r="E567" s="9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9.5" customHeight="1" x14ac:dyDescent="0.25">
      <c r="A568" s="2"/>
      <c r="B568" s="2"/>
      <c r="C568" s="9"/>
      <c r="D568" s="9"/>
      <c r="E568" s="9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9.5" customHeight="1" x14ac:dyDescent="0.25">
      <c r="A569" s="2"/>
      <c r="B569" s="2"/>
      <c r="C569" s="9"/>
      <c r="D569" s="9"/>
      <c r="E569" s="9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9.5" customHeight="1" x14ac:dyDescent="0.25">
      <c r="A570" s="2"/>
      <c r="B570" s="2"/>
      <c r="C570" s="9"/>
      <c r="D570" s="9"/>
      <c r="E570" s="9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9.5" customHeight="1" x14ac:dyDescent="0.25">
      <c r="A571" s="2"/>
      <c r="B571" s="2"/>
      <c r="C571" s="9"/>
      <c r="D571" s="9"/>
      <c r="E571" s="9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9.5" customHeight="1" x14ac:dyDescent="0.25">
      <c r="A572" s="2"/>
      <c r="B572" s="2"/>
      <c r="C572" s="9"/>
      <c r="D572" s="9"/>
      <c r="E572" s="9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9.5" customHeight="1" x14ac:dyDescent="0.25">
      <c r="A573" s="2"/>
      <c r="B573" s="2"/>
      <c r="C573" s="9"/>
      <c r="D573" s="9"/>
      <c r="E573" s="9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9.5" customHeight="1" x14ac:dyDescent="0.25">
      <c r="A574" s="2"/>
      <c r="B574" s="2"/>
      <c r="C574" s="9"/>
      <c r="D574" s="9"/>
      <c r="E574" s="9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9.5" customHeight="1" x14ac:dyDescent="0.25">
      <c r="A575" s="2"/>
      <c r="B575" s="2"/>
      <c r="C575" s="9"/>
      <c r="D575" s="9"/>
      <c r="E575" s="9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9.5" customHeight="1" x14ac:dyDescent="0.25">
      <c r="A576" s="2"/>
      <c r="B576" s="2"/>
      <c r="C576" s="9"/>
      <c r="D576" s="9"/>
      <c r="E576" s="9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9.5" customHeight="1" x14ac:dyDescent="0.25">
      <c r="A577" s="2"/>
      <c r="B577" s="2"/>
      <c r="C577" s="9"/>
      <c r="D577" s="9"/>
      <c r="E577" s="9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9.5" customHeight="1" x14ac:dyDescent="0.25">
      <c r="A578" s="2"/>
      <c r="B578" s="2"/>
      <c r="C578" s="9"/>
      <c r="D578" s="9"/>
      <c r="E578" s="9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9.5" customHeight="1" x14ac:dyDescent="0.25">
      <c r="A579" s="2"/>
      <c r="B579" s="2"/>
      <c r="C579" s="9"/>
      <c r="D579" s="9"/>
      <c r="E579" s="9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9.5" customHeight="1" x14ac:dyDescent="0.25">
      <c r="A580" s="2"/>
      <c r="B580" s="2"/>
      <c r="C580" s="9"/>
      <c r="D580" s="9"/>
      <c r="E580" s="9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9.5" customHeight="1" x14ac:dyDescent="0.25">
      <c r="A581" s="2"/>
      <c r="B581" s="2"/>
      <c r="C581" s="9"/>
      <c r="D581" s="9"/>
      <c r="E581" s="9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9.5" customHeight="1" x14ac:dyDescent="0.25">
      <c r="A582" s="2"/>
      <c r="B582" s="2"/>
      <c r="C582" s="9"/>
      <c r="D582" s="9"/>
      <c r="E582" s="9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9.5" customHeight="1" x14ac:dyDescent="0.25">
      <c r="A583" s="2"/>
      <c r="B583" s="2"/>
      <c r="C583" s="9"/>
      <c r="D583" s="9"/>
      <c r="E583" s="9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9.5" customHeight="1" x14ac:dyDescent="0.25">
      <c r="A584" s="2"/>
      <c r="B584" s="2"/>
      <c r="C584" s="9"/>
      <c r="D584" s="9"/>
      <c r="E584" s="9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9.5" customHeight="1" x14ac:dyDescent="0.25">
      <c r="A585" s="2"/>
      <c r="B585" s="2"/>
      <c r="C585" s="9"/>
      <c r="D585" s="9"/>
      <c r="E585" s="9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9.5" customHeight="1" x14ac:dyDescent="0.25">
      <c r="A586" s="2"/>
      <c r="B586" s="2"/>
      <c r="C586" s="9"/>
      <c r="D586" s="9"/>
      <c r="E586" s="9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9.5" customHeight="1" x14ac:dyDescent="0.25">
      <c r="A587" s="2"/>
      <c r="B587" s="2"/>
      <c r="C587" s="9"/>
      <c r="D587" s="9"/>
      <c r="E587" s="9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9.5" customHeight="1" x14ac:dyDescent="0.25">
      <c r="A588" s="2"/>
      <c r="B588" s="2"/>
      <c r="C588" s="9"/>
      <c r="D588" s="9"/>
      <c r="E588" s="9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9.5" customHeight="1" x14ac:dyDescent="0.25">
      <c r="A589" s="2"/>
      <c r="B589" s="2"/>
      <c r="C589" s="9"/>
      <c r="D589" s="9"/>
      <c r="E589" s="9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9.5" customHeight="1" x14ac:dyDescent="0.25">
      <c r="A590" s="2"/>
      <c r="B590" s="2"/>
      <c r="C590" s="9"/>
      <c r="D590" s="9"/>
      <c r="E590" s="9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9.5" customHeight="1" x14ac:dyDescent="0.25">
      <c r="A591" s="2"/>
      <c r="B591" s="2"/>
      <c r="C591" s="9"/>
      <c r="D591" s="9"/>
      <c r="E591" s="9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9.5" customHeight="1" x14ac:dyDescent="0.25">
      <c r="A592" s="2"/>
      <c r="B592" s="2"/>
      <c r="C592" s="9"/>
      <c r="D592" s="9"/>
      <c r="E592" s="9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9.5" customHeight="1" x14ac:dyDescent="0.25">
      <c r="A593" s="2"/>
      <c r="B593" s="2"/>
      <c r="C593" s="9"/>
      <c r="D593" s="9"/>
      <c r="E593" s="9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9.5" customHeight="1" x14ac:dyDescent="0.25">
      <c r="A594" s="2"/>
      <c r="B594" s="2"/>
      <c r="C594" s="9"/>
      <c r="D594" s="9"/>
      <c r="E594" s="9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9.5" customHeight="1" x14ac:dyDescent="0.25">
      <c r="A595" s="2"/>
      <c r="B595" s="2"/>
      <c r="C595" s="9"/>
      <c r="D595" s="9"/>
      <c r="E595" s="9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9.5" customHeight="1" x14ac:dyDescent="0.25">
      <c r="A596" s="2"/>
      <c r="B596" s="2"/>
      <c r="C596" s="9"/>
      <c r="D596" s="9"/>
      <c r="E596" s="9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9.5" customHeight="1" x14ac:dyDescent="0.25">
      <c r="A597" s="2"/>
      <c r="B597" s="2"/>
      <c r="C597" s="9"/>
      <c r="D597" s="9"/>
      <c r="E597" s="9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9.5" customHeight="1" x14ac:dyDescent="0.25">
      <c r="A598" s="2"/>
      <c r="B598" s="2"/>
      <c r="C598" s="9"/>
      <c r="D598" s="9"/>
      <c r="E598" s="9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9.5" customHeight="1" x14ac:dyDescent="0.25">
      <c r="A599" s="2"/>
      <c r="B599" s="2"/>
      <c r="C599" s="9"/>
      <c r="D599" s="9"/>
      <c r="E599" s="9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9.5" customHeight="1" x14ac:dyDescent="0.25">
      <c r="A600" s="2"/>
      <c r="B600" s="2"/>
      <c r="C600" s="9"/>
      <c r="D600" s="9"/>
      <c r="E600" s="9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9.5" customHeight="1" x14ac:dyDescent="0.25">
      <c r="A601" s="2"/>
      <c r="B601" s="2"/>
      <c r="C601" s="9"/>
      <c r="D601" s="9"/>
      <c r="E601" s="9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9.5" customHeight="1" x14ac:dyDescent="0.25">
      <c r="A602" s="2"/>
      <c r="B602" s="2"/>
      <c r="C602" s="9"/>
      <c r="D602" s="9"/>
      <c r="E602" s="9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9.5" customHeight="1" x14ac:dyDescent="0.25">
      <c r="A603" s="2"/>
      <c r="B603" s="2"/>
      <c r="C603" s="9"/>
      <c r="D603" s="9"/>
      <c r="E603" s="9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9.5" customHeight="1" x14ac:dyDescent="0.25">
      <c r="A604" s="2"/>
      <c r="B604" s="2"/>
      <c r="C604" s="9"/>
      <c r="D604" s="9"/>
      <c r="E604" s="9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9.5" customHeight="1" x14ac:dyDescent="0.25">
      <c r="A605" s="2"/>
      <c r="B605" s="2"/>
      <c r="C605" s="9"/>
      <c r="D605" s="9"/>
      <c r="E605" s="9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9.5" customHeight="1" x14ac:dyDescent="0.25">
      <c r="A606" s="2"/>
      <c r="B606" s="2"/>
      <c r="C606" s="9"/>
      <c r="D606" s="9"/>
      <c r="E606" s="9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9.5" customHeight="1" x14ac:dyDescent="0.25">
      <c r="A607" s="2"/>
      <c r="B607" s="2"/>
      <c r="C607" s="9"/>
      <c r="D607" s="9"/>
      <c r="E607" s="9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9.5" customHeight="1" x14ac:dyDescent="0.25">
      <c r="A608" s="2"/>
      <c r="B608" s="2"/>
      <c r="C608" s="9"/>
      <c r="D608" s="9"/>
      <c r="E608" s="9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9.5" customHeight="1" x14ac:dyDescent="0.25">
      <c r="A609" s="2"/>
      <c r="B609" s="2"/>
      <c r="C609" s="9"/>
      <c r="D609" s="9"/>
      <c r="E609" s="9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9.5" customHeight="1" x14ac:dyDescent="0.25">
      <c r="A610" s="2"/>
      <c r="B610" s="2"/>
      <c r="C610" s="9"/>
      <c r="D610" s="9"/>
      <c r="E610" s="9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9.5" customHeight="1" x14ac:dyDescent="0.25">
      <c r="A611" s="2"/>
      <c r="B611" s="2"/>
      <c r="C611" s="9"/>
      <c r="D611" s="9"/>
      <c r="E611" s="9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9.5" customHeight="1" x14ac:dyDescent="0.25">
      <c r="A612" s="2"/>
      <c r="B612" s="2"/>
      <c r="C612" s="9"/>
      <c r="D612" s="9"/>
      <c r="E612" s="9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9.5" customHeight="1" x14ac:dyDescent="0.25">
      <c r="A613" s="2"/>
      <c r="B613" s="2"/>
      <c r="C613" s="9"/>
      <c r="D613" s="9"/>
      <c r="E613" s="9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9.5" customHeight="1" x14ac:dyDescent="0.25">
      <c r="A614" s="2"/>
      <c r="B614" s="2"/>
      <c r="C614" s="9"/>
      <c r="D614" s="9"/>
      <c r="E614" s="9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9.5" customHeight="1" x14ac:dyDescent="0.25">
      <c r="A615" s="2"/>
      <c r="B615" s="2"/>
      <c r="C615" s="9"/>
      <c r="D615" s="9"/>
      <c r="E615" s="9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9.5" customHeight="1" x14ac:dyDescent="0.25">
      <c r="A616" s="2"/>
      <c r="B616" s="2"/>
      <c r="C616" s="9"/>
      <c r="D616" s="9"/>
      <c r="E616" s="9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9.5" customHeight="1" x14ac:dyDescent="0.25">
      <c r="A617" s="2"/>
      <c r="B617" s="2"/>
      <c r="C617" s="9"/>
      <c r="D617" s="9"/>
      <c r="E617" s="9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9.5" customHeight="1" x14ac:dyDescent="0.25">
      <c r="A618" s="2"/>
      <c r="B618" s="2"/>
      <c r="C618" s="9"/>
      <c r="D618" s="9"/>
      <c r="E618" s="9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9.5" customHeight="1" x14ac:dyDescent="0.25">
      <c r="A619" s="2"/>
      <c r="B619" s="2"/>
      <c r="C619" s="9"/>
      <c r="D619" s="9"/>
      <c r="E619" s="9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9.5" customHeight="1" x14ac:dyDescent="0.25">
      <c r="A620" s="2"/>
      <c r="B620" s="2"/>
      <c r="C620" s="9"/>
      <c r="D620" s="9"/>
      <c r="E620" s="9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9.5" customHeight="1" x14ac:dyDescent="0.25">
      <c r="A621" s="2"/>
      <c r="B621" s="2"/>
      <c r="C621" s="9"/>
      <c r="D621" s="9"/>
      <c r="E621" s="9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9.5" customHeight="1" x14ac:dyDescent="0.25">
      <c r="A622" s="2"/>
      <c r="B622" s="2"/>
      <c r="C622" s="9"/>
      <c r="D622" s="9"/>
      <c r="E622" s="9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9.5" customHeight="1" x14ac:dyDescent="0.25">
      <c r="A623" s="2"/>
      <c r="B623" s="2"/>
      <c r="C623" s="9"/>
      <c r="D623" s="9"/>
      <c r="E623" s="9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9.5" customHeight="1" x14ac:dyDescent="0.25">
      <c r="A624" s="2"/>
      <c r="B624" s="2"/>
      <c r="C624" s="9"/>
      <c r="D624" s="9"/>
      <c r="E624" s="9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9.5" customHeight="1" x14ac:dyDescent="0.25">
      <c r="A625" s="2"/>
      <c r="B625" s="2"/>
      <c r="C625" s="9"/>
      <c r="D625" s="9"/>
      <c r="E625" s="9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9.5" customHeight="1" x14ac:dyDescent="0.25">
      <c r="A626" s="2"/>
      <c r="B626" s="2"/>
      <c r="C626" s="9"/>
      <c r="D626" s="9"/>
      <c r="E626" s="9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9.5" customHeight="1" x14ac:dyDescent="0.25">
      <c r="A627" s="2"/>
      <c r="B627" s="2"/>
      <c r="C627" s="9"/>
      <c r="D627" s="9"/>
      <c r="E627" s="9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9.5" customHeight="1" x14ac:dyDescent="0.25">
      <c r="A628" s="2"/>
      <c r="B628" s="2"/>
      <c r="C628" s="9"/>
      <c r="D628" s="9"/>
      <c r="E628" s="9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9.5" customHeight="1" x14ac:dyDescent="0.25">
      <c r="A629" s="2"/>
      <c r="B629" s="2"/>
      <c r="C629" s="9"/>
      <c r="D629" s="9"/>
      <c r="E629" s="9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9.5" customHeight="1" x14ac:dyDescent="0.25">
      <c r="A630" s="2"/>
      <c r="B630" s="2"/>
      <c r="C630" s="9"/>
      <c r="D630" s="9"/>
      <c r="E630" s="9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9.5" customHeight="1" x14ac:dyDescent="0.25">
      <c r="A631" s="2"/>
      <c r="B631" s="2"/>
      <c r="C631" s="9"/>
      <c r="D631" s="9"/>
      <c r="E631" s="9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9.5" customHeight="1" x14ac:dyDescent="0.25">
      <c r="A632" s="2"/>
      <c r="B632" s="2"/>
      <c r="C632" s="9"/>
      <c r="D632" s="9"/>
      <c r="E632" s="9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9.5" customHeight="1" x14ac:dyDescent="0.25">
      <c r="A633" s="2"/>
      <c r="B633" s="2"/>
      <c r="C633" s="9"/>
      <c r="D633" s="9"/>
      <c r="E633" s="9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9.5" customHeight="1" x14ac:dyDescent="0.25">
      <c r="A634" s="2"/>
      <c r="B634" s="2"/>
      <c r="C634" s="9"/>
      <c r="D634" s="9"/>
      <c r="E634" s="9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9.5" customHeight="1" x14ac:dyDescent="0.25">
      <c r="A635" s="2"/>
      <c r="B635" s="2"/>
      <c r="C635" s="9"/>
      <c r="D635" s="9"/>
      <c r="E635" s="9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9.5" customHeight="1" x14ac:dyDescent="0.25">
      <c r="A636" s="2"/>
      <c r="B636" s="2"/>
      <c r="C636" s="9"/>
      <c r="D636" s="9"/>
      <c r="E636" s="9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9.5" customHeight="1" x14ac:dyDescent="0.25">
      <c r="A637" s="2"/>
      <c r="B637" s="2"/>
      <c r="C637" s="9"/>
      <c r="D637" s="9"/>
      <c r="E637" s="9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9.5" customHeight="1" x14ac:dyDescent="0.25">
      <c r="A638" s="2"/>
      <c r="B638" s="2"/>
      <c r="C638" s="9"/>
      <c r="D638" s="9"/>
      <c r="E638" s="9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9.5" customHeight="1" x14ac:dyDescent="0.25">
      <c r="A639" s="2"/>
      <c r="B639" s="2"/>
      <c r="C639" s="9"/>
      <c r="D639" s="9"/>
      <c r="E639" s="9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9.5" customHeight="1" x14ac:dyDescent="0.25">
      <c r="A640" s="2"/>
      <c r="B640" s="2"/>
      <c r="C640" s="9"/>
      <c r="D640" s="9"/>
      <c r="E640" s="9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9.5" customHeight="1" x14ac:dyDescent="0.25">
      <c r="A641" s="2"/>
      <c r="B641" s="2"/>
      <c r="C641" s="9"/>
      <c r="D641" s="9"/>
      <c r="E641" s="9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9.5" customHeight="1" x14ac:dyDescent="0.25">
      <c r="A642" s="2"/>
      <c r="B642" s="2"/>
      <c r="C642" s="9"/>
      <c r="D642" s="9"/>
      <c r="E642" s="9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9.5" customHeight="1" x14ac:dyDescent="0.25">
      <c r="A643" s="2"/>
      <c r="B643" s="2"/>
      <c r="C643" s="9"/>
      <c r="D643" s="9"/>
      <c r="E643" s="9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9.5" customHeight="1" x14ac:dyDescent="0.25">
      <c r="A644" s="2"/>
      <c r="B644" s="2"/>
      <c r="C644" s="9"/>
      <c r="D644" s="9"/>
      <c r="E644" s="9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9.5" customHeight="1" x14ac:dyDescent="0.25">
      <c r="A645" s="2"/>
      <c r="B645" s="2"/>
      <c r="C645" s="9"/>
      <c r="D645" s="9"/>
      <c r="E645" s="9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9.5" customHeight="1" x14ac:dyDescent="0.25">
      <c r="A646" s="2"/>
      <c r="B646" s="2"/>
      <c r="C646" s="9"/>
      <c r="D646" s="9"/>
      <c r="E646" s="9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9.5" customHeight="1" x14ac:dyDescent="0.25">
      <c r="A647" s="2"/>
      <c r="B647" s="2"/>
      <c r="C647" s="9"/>
      <c r="D647" s="9"/>
      <c r="E647" s="9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9.5" customHeight="1" x14ac:dyDescent="0.25">
      <c r="A648" s="2"/>
      <c r="B648" s="2"/>
      <c r="C648" s="9"/>
      <c r="D648" s="9"/>
      <c r="E648" s="9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9.5" customHeight="1" x14ac:dyDescent="0.25">
      <c r="A649" s="2"/>
      <c r="B649" s="2"/>
      <c r="C649" s="9"/>
      <c r="D649" s="9"/>
      <c r="E649" s="9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9.5" customHeight="1" x14ac:dyDescent="0.25">
      <c r="A650" s="2"/>
      <c r="B650" s="2"/>
      <c r="C650" s="9"/>
      <c r="D650" s="9"/>
      <c r="E650" s="9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9.5" customHeight="1" x14ac:dyDescent="0.25">
      <c r="A651" s="2"/>
      <c r="B651" s="2"/>
      <c r="C651" s="9"/>
      <c r="D651" s="9"/>
      <c r="E651" s="9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9.5" customHeight="1" x14ac:dyDescent="0.25">
      <c r="A652" s="2"/>
      <c r="B652" s="2"/>
      <c r="C652" s="9"/>
      <c r="D652" s="9"/>
      <c r="E652" s="9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9.5" customHeight="1" x14ac:dyDescent="0.25">
      <c r="A653" s="2"/>
      <c r="B653" s="2"/>
      <c r="C653" s="9"/>
      <c r="D653" s="9"/>
      <c r="E653" s="9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9.5" customHeight="1" x14ac:dyDescent="0.25">
      <c r="A654" s="2"/>
      <c r="B654" s="2"/>
      <c r="C654" s="9"/>
      <c r="D654" s="9"/>
      <c r="E654" s="9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9.5" customHeight="1" x14ac:dyDescent="0.25">
      <c r="A655" s="2"/>
      <c r="B655" s="2"/>
      <c r="C655" s="9"/>
      <c r="D655" s="9"/>
      <c r="E655" s="9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9.5" customHeight="1" x14ac:dyDescent="0.25">
      <c r="A656" s="2"/>
      <c r="B656" s="2"/>
      <c r="C656" s="9"/>
      <c r="D656" s="9"/>
      <c r="E656" s="9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9.5" customHeight="1" x14ac:dyDescent="0.25">
      <c r="A657" s="2"/>
      <c r="B657" s="2"/>
      <c r="C657" s="9"/>
      <c r="D657" s="9"/>
      <c r="E657" s="9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9.5" customHeight="1" x14ac:dyDescent="0.25">
      <c r="A658" s="2"/>
      <c r="B658" s="2"/>
      <c r="C658" s="9"/>
      <c r="D658" s="9"/>
      <c r="E658" s="9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9.5" customHeight="1" x14ac:dyDescent="0.25">
      <c r="A659" s="2"/>
      <c r="B659" s="2"/>
      <c r="C659" s="9"/>
      <c r="D659" s="9"/>
      <c r="E659" s="9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9.5" customHeight="1" x14ac:dyDescent="0.25">
      <c r="A660" s="2"/>
      <c r="B660" s="2"/>
      <c r="C660" s="9"/>
      <c r="D660" s="9"/>
      <c r="E660" s="9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9.5" customHeight="1" x14ac:dyDescent="0.25">
      <c r="A661" s="2"/>
      <c r="B661" s="2"/>
      <c r="C661" s="9"/>
      <c r="D661" s="9"/>
      <c r="E661" s="9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9.5" customHeight="1" x14ac:dyDescent="0.25">
      <c r="A662" s="2"/>
      <c r="B662" s="2"/>
      <c r="C662" s="9"/>
      <c r="D662" s="9"/>
      <c r="E662" s="9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9.5" customHeight="1" x14ac:dyDescent="0.25">
      <c r="A663" s="2"/>
      <c r="B663" s="2"/>
      <c r="C663" s="9"/>
      <c r="D663" s="9"/>
      <c r="E663" s="9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9.5" customHeight="1" x14ac:dyDescent="0.25">
      <c r="A664" s="2"/>
      <c r="B664" s="2"/>
      <c r="C664" s="9"/>
      <c r="D664" s="9"/>
      <c r="E664" s="9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9.5" customHeight="1" x14ac:dyDescent="0.25">
      <c r="A665" s="2"/>
      <c r="B665" s="2"/>
      <c r="C665" s="9"/>
      <c r="D665" s="9"/>
      <c r="E665" s="9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9.5" customHeight="1" x14ac:dyDescent="0.25">
      <c r="A666" s="2"/>
      <c r="B666" s="2"/>
      <c r="C666" s="9"/>
      <c r="D666" s="9"/>
      <c r="E666" s="9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9.5" customHeight="1" x14ac:dyDescent="0.25">
      <c r="A667" s="2"/>
      <c r="B667" s="2"/>
      <c r="C667" s="9"/>
      <c r="D667" s="9"/>
      <c r="E667" s="9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9.5" customHeight="1" x14ac:dyDescent="0.25">
      <c r="A668" s="2"/>
      <c r="B668" s="2"/>
      <c r="C668" s="9"/>
      <c r="D668" s="9"/>
      <c r="E668" s="9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9.5" customHeight="1" x14ac:dyDescent="0.25">
      <c r="A669" s="2"/>
      <c r="B669" s="2"/>
      <c r="C669" s="9"/>
      <c r="D669" s="9"/>
      <c r="E669" s="9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9.5" customHeight="1" x14ac:dyDescent="0.25">
      <c r="A670" s="2"/>
      <c r="B670" s="2"/>
      <c r="C670" s="9"/>
      <c r="D670" s="9"/>
      <c r="E670" s="9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9.5" customHeight="1" x14ac:dyDescent="0.25">
      <c r="A671" s="2"/>
      <c r="B671" s="2"/>
      <c r="C671" s="9"/>
      <c r="D671" s="9"/>
      <c r="E671" s="9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9.5" customHeight="1" x14ac:dyDescent="0.25">
      <c r="A672" s="2"/>
      <c r="B672" s="2"/>
      <c r="C672" s="9"/>
      <c r="D672" s="9"/>
      <c r="E672" s="9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9.5" customHeight="1" x14ac:dyDescent="0.25">
      <c r="A673" s="2"/>
      <c r="B673" s="2"/>
      <c r="C673" s="9"/>
      <c r="D673" s="9"/>
      <c r="E673" s="9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9.5" customHeight="1" x14ac:dyDescent="0.25">
      <c r="A674" s="2"/>
      <c r="B674" s="2"/>
      <c r="C674" s="9"/>
      <c r="D674" s="9"/>
      <c r="E674" s="9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9.5" customHeight="1" x14ac:dyDescent="0.25">
      <c r="A675" s="2"/>
      <c r="B675" s="2"/>
      <c r="C675" s="9"/>
      <c r="D675" s="9"/>
      <c r="E675" s="9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9.5" customHeight="1" x14ac:dyDescent="0.25">
      <c r="A676" s="2"/>
      <c r="B676" s="2"/>
      <c r="C676" s="9"/>
      <c r="D676" s="9"/>
      <c r="E676" s="9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9.5" customHeight="1" x14ac:dyDescent="0.25">
      <c r="A677" s="2"/>
      <c r="B677" s="2"/>
      <c r="C677" s="9"/>
      <c r="D677" s="9"/>
      <c r="E677" s="9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9.5" customHeight="1" x14ac:dyDescent="0.25">
      <c r="A678" s="2"/>
      <c r="B678" s="2"/>
      <c r="C678" s="9"/>
      <c r="D678" s="9"/>
      <c r="E678" s="9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9.5" customHeight="1" x14ac:dyDescent="0.25">
      <c r="A679" s="2"/>
      <c r="B679" s="2"/>
      <c r="C679" s="9"/>
      <c r="D679" s="9"/>
      <c r="E679" s="9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9.5" customHeight="1" x14ac:dyDescent="0.25">
      <c r="A680" s="2"/>
      <c r="B680" s="2"/>
      <c r="C680" s="9"/>
      <c r="D680" s="9"/>
      <c r="E680" s="9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9.5" customHeight="1" x14ac:dyDescent="0.25">
      <c r="A681" s="2"/>
      <c r="B681" s="2"/>
      <c r="C681" s="9"/>
      <c r="D681" s="9"/>
      <c r="E681" s="9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9.5" customHeight="1" x14ac:dyDescent="0.25">
      <c r="A682" s="2"/>
      <c r="B682" s="2"/>
      <c r="C682" s="9"/>
      <c r="D682" s="9"/>
      <c r="E682" s="9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9.5" customHeight="1" x14ac:dyDescent="0.25">
      <c r="A683" s="2"/>
      <c r="B683" s="2"/>
      <c r="C683" s="9"/>
      <c r="D683" s="9"/>
      <c r="E683" s="9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9.5" customHeight="1" x14ac:dyDescent="0.25">
      <c r="A684" s="2"/>
      <c r="B684" s="2"/>
      <c r="C684" s="9"/>
      <c r="D684" s="9"/>
      <c r="E684" s="9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9.5" customHeight="1" x14ac:dyDescent="0.25">
      <c r="A685" s="2"/>
      <c r="B685" s="2"/>
      <c r="C685" s="9"/>
      <c r="D685" s="9"/>
      <c r="E685" s="9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9.5" customHeight="1" x14ac:dyDescent="0.25">
      <c r="A686" s="2"/>
      <c r="B686" s="2"/>
      <c r="C686" s="9"/>
      <c r="D686" s="9"/>
      <c r="E686" s="9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9.5" customHeight="1" x14ac:dyDescent="0.25">
      <c r="A687" s="2"/>
      <c r="B687" s="2"/>
      <c r="C687" s="9"/>
      <c r="D687" s="9"/>
      <c r="E687" s="9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9.5" customHeight="1" x14ac:dyDescent="0.25">
      <c r="A688" s="2"/>
      <c r="B688" s="2"/>
      <c r="C688" s="9"/>
      <c r="D688" s="9"/>
      <c r="E688" s="9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9.5" customHeight="1" x14ac:dyDescent="0.25">
      <c r="A689" s="2"/>
      <c r="B689" s="2"/>
      <c r="C689" s="9"/>
      <c r="D689" s="9"/>
      <c r="E689" s="9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9.5" customHeight="1" x14ac:dyDescent="0.25">
      <c r="A690" s="2"/>
      <c r="B690" s="2"/>
      <c r="C690" s="9"/>
      <c r="D690" s="9"/>
      <c r="E690" s="9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9.5" customHeight="1" x14ac:dyDescent="0.25">
      <c r="A691" s="2"/>
      <c r="B691" s="2"/>
      <c r="C691" s="9"/>
      <c r="D691" s="9"/>
      <c r="E691" s="9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9.5" customHeight="1" x14ac:dyDescent="0.25">
      <c r="A692" s="2"/>
      <c r="B692" s="2"/>
      <c r="C692" s="9"/>
      <c r="D692" s="9"/>
      <c r="E692" s="9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9.5" customHeight="1" x14ac:dyDescent="0.25">
      <c r="A693" s="2"/>
      <c r="B693" s="2"/>
      <c r="C693" s="9"/>
      <c r="D693" s="9"/>
      <c r="E693" s="9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9.5" customHeight="1" x14ac:dyDescent="0.25">
      <c r="A694" s="2"/>
      <c r="B694" s="2"/>
      <c r="C694" s="9"/>
      <c r="D694" s="9"/>
      <c r="E694" s="9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9.5" customHeight="1" x14ac:dyDescent="0.25">
      <c r="A695" s="2"/>
      <c r="B695" s="2"/>
      <c r="C695" s="9"/>
      <c r="D695" s="9"/>
      <c r="E695" s="9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9.5" customHeight="1" x14ac:dyDescent="0.25">
      <c r="A696" s="2"/>
      <c r="B696" s="2"/>
      <c r="C696" s="9"/>
      <c r="D696" s="9"/>
      <c r="E696" s="9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9.5" customHeight="1" x14ac:dyDescent="0.25">
      <c r="A697" s="2"/>
      <c r="B697" s="2"/>
      <c r="C697" s="9"/>
      <c r="D697" s="9"/>
      <c r="E697" s="9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9.5" customHeight="1" x14ac:dyDescent="0.25">
      <c r="A698" s="2"/>
      <c r="B698" s="2"/>
      <c r="C698" s="9"/>
      <c r="D698" s="9"/>
      <c r="E698" s="9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9.5" customHeight="1" x14ac:dyDescent="0.25">
      <c r="A699" s="2"/>
      <c r="B699" s="2"/>
      <c r="C699" s="9"/>
      <c r="D699" s="9"/>
      <c r="E699" s="9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9.5" customHeight="1" x14ac:dyDescent="0.25">
      <c r="A700" s="2"/>
      <c r="B700" s="2"/>
      <c r="C700" s="9"/>
      <c r="D700" s="9"/>
      <c r="E700" s="9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9.5" customHeight="1" x14ac:dyDescent="0.25">
      <c r="A701" s="2"/>
      <c r="B701" s="2"/>
      <c r="C701" s="9"/>
      <c r="D701" s="9"/>
      <c r="E701" s="9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9.5" customHeight="1" x14ac:dyDescent="0.25">
      <c r="A702" s="2"/>
      <c r="B702" s="2"/>
      <c r="C702" s="9"/>
      <c r="D702" s="9"/>
      <c r="E702" s="9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9.5" customHeight="1" x14ac:dyDescent="0.25">
      <c r="A703" s="2"/>
      <c r="B703" s="2"/>
      <c r="C703" s="9"/>
      <c r="D703" s="9"/>
      <c r="E703" s="9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9.5" customHeight="1" x14ac:dyDescent="0.25">
      <c r="A704" s="2"/>
      <c r="B704" s="2"/>
      <c r="C704" s="9"/>
      <c r="D704" s="9"/>
      <c r="E704" s="9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9.5" customHeight="1" x14ac:dyDescent="0.25">
      <c r="A705" s="2"/>
      <c r="B705" s="2"/>
      <c r="C705" s="9"/>
      <c r="D705" s="9"/>
      <c r="E705" s="9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9.5" customHeight="1" x14ac:dyDescent="0.25">
      <c r="A706" s="2"/>
      <c r="B706" s="2"/>
      <c r="C706" s="9"/>
      <c r="D706" s="9"/>
      <c r="E706" s="9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9.5" customHeight="1" x14ac:dyDescent="0.25">
      <c r="A707" s="2"/>
      <c r="B707" s="2"/>
      <c r="C707" s="9"/>
      <c r="D707" s="9"/>
      <c r="E707" s="9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9.5" customHeight="1" x14ac:dyDescent="0.25">
      <c r="A708" s="2"/>
      <c r="B708" s="2"/>
      <c r="C708" s="9"/>
      <c r="D708" s="9"/>
      <c r="E708" s="9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9.5" customHeight="1" x14ac:dyDescent="0.25">
      <c r="A709" s="2"/>
      <c r="B709" s="2"/>
      <c r="C709" s="9"/>
      <c r="D709" s="9"/>
      <c r="E709" s="9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9.5" customHeight="1" x14ac:dyDescent="0.25">
      <c r="A710" s="2"/>
      <c r="B710" s="2"/>
      <c r="C710" s="9"/>
      <c r="D710" s="9"/>
      <c r="E710" s="9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9.5" customHeight="1" x14ac:dyDescent="0.25">
      <c r="A711" s="2"/>
      <c r="B711" s="2"/>
      <c r="C711" s="9"/>
      <c r="D711" s="9"/>
      <c r="E711" s="9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9.5" customHeight="1" x14ac:dyDescent="0.25">
      <c r="A712" s="2"/>
      <c r="B712" s="2"/>
      <c r="C712" s="9"/>
      <c r="D712" s="9"/>
      <c r="E712" s="9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9.5" customHeight="1" x14ac:dyDescent="0.25">
      <c r="A713" s="2"/>
      <c r="B713" s="2"/>
      <c r="C713" s="9"/>
      <c r="D713" s="9"/>
      <c r="E713" s="9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9.5" customHeight="1" x14ac:dyDescent="0.25">
      <c r="A714" s="2"/>
      <c r="B714" s="2"/>
      <c r="C714" s="9"/>
      <c r="D714" s="9"/>
      <c r="E714" s="9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9.5" customHeight="1" x14ac:dyDescent="0.25">
      <c r="A715" s="2"/>
      <c r="B715" s="2"/>
      <c r="C715" s="9"/>
      <c r="D715" s="9"/>
      <c r="E715" s="9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9.5" customHeight="1" x14ac:dyDescent="0.25">
      <c r="A716" s="2"/>
      <c r="B716" s="2"/>
      <c r="C716" s="9"/>
      <c r="D716" s="9"/>
      <c r="E716" s="9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9.5" customHeight="1" x14ac:dyDescent="0.25">
      <c r="A717" s="2"/>
      <c r="B717" s="2"/>
      <c r="C717" s="9"/>
      <c r="D717" s="9"/>
      <c r="E717" s="9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9.5" customHeight="1" x14ac:dyDescent="0.25">
      <c r="A718" s="2"/>
      <c r="B718" s="2"/>
      <c r="C718" s="9"/>
      <c r="D718" s="9"/>
      <c r="E718" s="9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9.5" customHeight="1" x14ac:dyDescent="0.25">
      <c r="A719" s="2"/>
      <c r="B719" s="2"/>
      <c r="C719" s="9"/>
      <c r="D719" s="9"/>
      <c r="E719" s="9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9.5" customHeight="1" x14ac:dyDescent="0.25">
      <c r="A720" s="2"/>
      <c r="B720" s="2"/>
      <c r="C720" s="9"/>
      <c r="D720" s="9"/>
      <c r="E720" s="9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9.5" customHeight="1" x14ac:dyDescent="0.25">
      <c r="A721" s="2"/>
      <c r="B721" s="2"/>
      <c r="C721" s="9"/>
      <c r="D721" s="9"/>
      <c r="E721" s="9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9.5" customHeight="1" x14ac:dyDescent="0.25">
      <c r="A722" s="2"/>
      <c r="B722" s="2"/>
      <c r="C722" s="9"/>
      <c r="D722" s="9"/>
      <c r="E722" s="9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9.5" customHeight="1" x14ac:dyDescent="0.25">
      <c r="A723" s="2"/>
      <c r="B723" s="2"/>
      <c r="C723" s="9"/>
      <c r="D723" s="9"/>
      <c r="E723" s="9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9.5" customHeight="1" x14ac:dyDescent="0.25">
      <c r="A724" s="2"/>
      <c r="B724" s="2"/>
      <c r="C724" s="9"/>
      <c r="D724" s="9"/>
      <c r="E724" s="9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9.5" customHeight="1" x14ac:dyDescent="0.25">
      <c r="A725" s="2"/>
      <c r="B725" s="2"/>
      <c r="C725" s="9"/>
      <c r="D725" s="9"/>
      <c r="E725" s="9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9.5" customHeight="1" x14ac:dyDescent="0.25">
      <c r="A726" s="2"/>
      <c r="B726" s="2"/>
      <c r="C726" s="9"/>
      <c r="D726" s="9"/>
      <c r="E726" s="9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9.5" customHeight="1" x14ac:dyDescent="0.25">
      <c r="A727" s="2"/>
      <c r="B727" s="2"/>
      <c r="C727" s="9"/>
      <c r="D727" s="9"/>
      <c r="E727" s="9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9.5" customHeight="1" x14ac:dyDescent="0.25">
      <c r="A728" s="2"/>
      <c r="B728" s="2"/>
      <c r="C728" s="9"/>
      <c r="D728" s="9"/>
      <c r="E728" s="9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9.5" customHeight="1" x14ac:dyDescent="0.25">
      <c r="A729" s="2"/>
      <c r="B729" s="2"/>
      <c r="C729" s="9"/>
      <c r="D729" s="9"/>
      <c r="E729" s="9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9.5" customHeight="1" x14ac:dyDescent="0.25">
      <c r="A730" s="2"/>
      <c r="B730" s="2"/>
      <c r="C730" s="9"/>
      <c r="D730" s="9"/>
      <c r="E730" s="9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9.5" customHeight="1" x14ac:dyDescent="0.25">
      <c r="A731" s="2"/>
      <c r="B731" s="2"/>
      <c r="C731" s="9"/>
      <c r="D731" s="9"/>
      <c r="E731" s="9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9.5" customHeight="1" x14ac:dyDescent="0.25">
      <c r="A732" s="2"/>
      <c r="B732" s="2"/>
      <c r="C732" s="9"/>
      <c r="D732" s="9"/>
      <c r="E732" s="9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9.5" customHeight="1" x14ac:dyDescent="0.25">
      <c r="A733" s="2"/>
      <c r="B733" s="2"/>
      <c r="C733" s="9"/>
      <c r="D733" s="9"/>
      <c r="E733" s="9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9.5" customHeight="1" x14ac:dyDescent="0.25">
      <c r="A734" s="2"/>
      <c r="B734" s="2"/>
      <c r="C734" s="9"/>
      <c r="D734" s="9"/>
      <c r="E734" s="9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9.5" customHeight="1" x14ac:dyDescent="0.25">
      <c r="A735" s="2"/>
      <c r="B735" s="2"/>
      <c r="C735" s="9"/>
      <c r="D735" s="9"/>
      <c r="E735" s="9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9.5" customHeight="1" x14ac:dyDescent="0.25">
      <c r="A736" s="2"/>
      <c r="B736" s="2"/>
      <c r="C736" s="9"/>
      <c r="D736" s="9"/>
      <c r="E736" s="9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9.5" customHeight="1" x14ac:dyDescent="0.25">
      <c r="A737" s="2"/>
      <c r="B737" s="2"/>
      <c r="C737" s="9"/>
      <c r="D737" s="9"/>
      <c r="E737" s="9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9.5" customHeight="1" x14ac:dyDescent="0.25">
      <c r="A738" s="2"/>
      <c r="B738" s="2"/>
      <c r="C738" s="9"/>
      <c r="D738" s="9"/>
      <c r="E738" s="9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9.5" customHeight="1" x14ac:dyDescent="0.25">
      <c r="A739" s="2"/>
      <c r="B739" s="2"/>
      <c r="C739" s="9"/>
      <c r="D739" s="9"/>
      <c r="E739" s="9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9.5" customHeight="1" x14ac:dyDescent="0.25">
      <c r="A740" s="2"/>
      <c r="B740" s="2"/>
      <c r="C740" s="9"/>
      <c r="D740" s="9"/>
      <c r="E740" s="9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9.5" customHeight="1" x14ac:dyDescent="0.25">
      <c r="A741" s="2"/>
      <c r="B741" s="2"/>
      <c r="C741" s="9"/>
      <c r="D741" s="9"/>
      <c r="E741" s="9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9.5" customHeight="1" x14ac:dyDescent="0.25">
      <c r="A742" s="2"/>
      <c r="B742" s="2"/>
      <c r="C742" s="9"/>
      <c r="D742" s="9"/>
      <c r="E742" s="9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9.5" customHeight="1" x14ac:dyDescent="0.25">
      <c r="A743" s="2"/>
      <c r="B743" s="2"/>
      <c r="C743" s="9"/>
      <c r="D743" s="9"/>
      <c r="E743" s="9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9.5" customHeight="1" x14ac:dyDescent="0.25">
      <c r="A744" s="2"/>
      <c r="B744" s="2"/>
      <c r="C744" s="9"/>
      <c r="D744" s="9"/>
      <c r="E744" s="9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9.5" customHeight="1" x14ac:dyDescent="0.25">
      <c r="A745" s="2"/>
      <c r="B745" s="2"/>
      <c r="C745" s="9"/>
      <c r="D745" s="9"/>
      <c r="E745" s="9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9.5" customHeight="1" x14ac:dyDescent="0.25">
      <c r="A746" s="2"/>
      <c r="B746" s="2"/>
      <c r="C746" s="9"/>
      <c r="D746" s="9"/>
      <c r="E746" s="9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9.5" customHeight="1" x14ac:dyDescent="0.25">
      <c r="A747" s="2"/>
      <c r="B747" s="2"/>
      <c r="C747" s="9"/>
      <c r="D747" s="9"/>
      <c r="E747" s="9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9.5" customHeight="1" x14ac:dyDescent="0.25">
      <c r="A748" s="2"/>
      <c r="B748" s="2"/>
      <c r="C748" s="9"/>
      <c r="D748" s="9"/>
      <c r="E748" s="9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9.5" customHeight="1" x14ac:dyDescent="0.25">
      <c r="A749" s="2"/>
      <c r="B749" s="2"/>
      <c r="C749" s="9"/>
      <c r="D749" s="9"/>
      <c r="E749" s="9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9.5" customHeight="1" x14ac:dyDescent="0.25">
      <c r="A750" s="2"/>
      <c r="B750" s="2"/>
      <c r="C750" s="9"/>
      <c r="D750" s="9"/>
      <c r="E750" s="9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9.5" customHeight="1" x14ac:dyDescent="0.25">
      <c r="A751" s="2"/>
      <c r="B751" s="2"/>
      <c r="C751" s="9"/>
      <c r="D751" s="9"/>
      <c r="E751" s="9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9.5" customHeight="1" x14ac:dyDescent="0.25">
      <c r="A752" s="2"/>
      <c r="B752" s="2"/>
      <c r="C752" s="9"/>
      <c r="D752" s="9"/>
      <c r="E752" s="9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9.5" customHeight="1" x14ac:dyDescent="0.25">
      <c r="A753" s="2"/>
      <c r="B753" s="2"/>
      <c r="C753" s="9"/>
      <c r="D753" s="9"/>
      <c r="E753" s="9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9.5" customHeight="1" x14ac:dyDescent="0.25">
      <c r="A754" s="2"/>
      <c r="B754" s="2"/>
      <c r="C754" s="9"/>
      <c r="D754" s="9"/>
      <c r="E754" s="9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9.5" customHeight="1" x14ac:dyDescent="0.25">
      <c r="A755" s="2"/>
      <c r="B755" s="2"/>
      <c r="C755" s="9"/>
      <c r="D755" s="9"/>
      <c r="E755" s="9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9.5" customHeight="1" x14ac:dyDescent="0.25">
      <c r="A756" s="2"/>
      <c r="B756" s="2"/>
      <c r="C756" s="9"/>
      <c r="D756" s="9"/>
      <c r="E756" s="9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9.5" customHeight="1" x14ac:dyDescent="0.25">
      <c r="A757" s="2"/>
      <c r="B757" s="2"/>
      <c r="C757" s="9"/>
      <c r="D757" s="9"/>
      <c r="E757" s="9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9.5" customHeight="1" x14ac:dyDescent="0.25">
      <c r="A758" s="2"/>
      <c r="B758" s="2"/>
      <c r="C758" s="9"/>
      <c r="D758" s="9"/>
      <c r="E758" s="9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9.5" customHeight="1" x14ac:dyDescent="0.25">
      <c r="A759" s="2"/>
      <c r="B759" s="2"/>
      <c r="C759" s="9"/>
      <c r="D759" s="9"/>
      <c r="E759" s="9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9.5" customHeight="1" x14ac:dyDescent="0.25">
      <c r="A760" s="2"/>
      <c r="B760" s="2"/>
      <c r="C760" s="9"/>
      <c r="D760" s="9"/>
      <c r="E760" s="9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9.5" customHeight="1" x14ac:dyDescent="0.25">
      <c r="A761" s="2"/>
      <c r="B761" s="2"/>
      <c r="C761" s="9"/>
      <c r="D761" s="9"/>
      <c r="E761" s="9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9.5" customHeight="1" x14ac:dyDescent="0.25">
      <c r="A762" s="2"/>
      <c r="B762" s="2"/>
      <c r="C762" s="9"/>
      <c r="D762" s="9"/>
      <c r="E762" s="9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9.5" customHeight="1" x14ac:dyDescent="0.25">
      <c r="A763" s="2"/>
      <c r="B763" s="2"/>
      <c r="C763" s="9"/>
      <c r="D763" s="9"/>
      <c r="E763" s="9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9.5" customHeight="1" x14ac:dyDescent="0.25">
      <c r="A764" s="2"/>
      <c r="B764" s="2"/>
      <c r="C764" s="9"/>
      <c r="D764" s="9"/>
      <c r="E764" s="9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9.5" customHeight="1" x14ac:dyDescent="0.25">
      <c r="A765" s="2"/>
      <c r="B765" s="2"/>
      <c r="C765" s="9"/>
      <c r="D765" s="9"/>
      <c r="E765" s="9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9.5" customHeight="1" x14ac:dyDescent="0.25">
      <c r="A766" s="2"/>
      <c r="B766" s="2"/>
      <c r="C766" s="9"/>
      <c r="D766" s="9"/>
      <c r="E766" s="9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9.5" customHeight="1" x14ac:dyDescent="0.25">
      <c r="A767" s="2"/>
      <c r="B767" s="2"/>
      <c r="C767" s="9"/>
      <c r="D767" s="9"/>
      <c r="E767" s="9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9.5" customHeight="1" x14ac:dyDescent="0.25">
      <c r="A768" s="2"/>
      <c r="B768" s="2"/>
      <c r="C768" s="9"/>
      <c r="D768" s="9"/>
      <c r="E768" s="9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9.5" customHeight="1" x14ac:dyDescent="0.25">
      <c r="A769" s="2"/>
      <c r="B769" s="2"/>
      <c r="C769" s="9"/>
      <c r="D769" s="9"/>
      <c r="E769" s="9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9.5" customHeight="1" x14ac:dyDescent="0.25">
      <c r="A770" s="2"/>
      <c r="B770" s="2"/>
      <c r="C770" s="9"/>
      <c r="D770" s="9"/>
      <c r="E770" s="9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9.5" customHeight="1" x14ac:dyDescent="0.25">
      <c r="A771" s="2"/>
      <c r="B771" s="2"/>
      <c r="C771" s="9"/>
      <c r="D771" s="9"/>
      <c r="E771" s="9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9.5" customHeight="1" x14ac:dyDescent="0.25">
      <c r="A772" s="2"/>
      <c r="B772" s="2"/>
      <c r="C772" s="9"/>
      <c r="D772" s="9"/>
      <c r="E772" s="9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9.5" customHeight="1" x14ac:dyDescent="0.25">
      <c r="A773" s="2"/>
      <c r="B773" s="2"/>
      <c r="C773" s="9"/>
      <c r="D773" s="9"/>
      <c r="E773" s="9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9.5" customHeight="1" x14ac:dyDescent="0.25">
      <c r="A774" s="2"/>
      <c r="B774" s="2"/>
      <c r="C774" s="9"/>
      <c r="D774" s="9"/>
      <c r="E774" s="9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9.5" customHeight="1" x14ac:dyDescent="0.25">
      <c r="A775" s="2"/>
      <c r="B775" s="2"/>
      <c r="C775" s="9"/>
      <c r="D775" s="9"/>
      <c r="E775" s="9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9.5" customHeight="1" x14ac:dyDescent="0.25">
      <c r="A776" s="2"/>
      <c r="B776" s="2"/>
      <c r="C776" s="9"/>
      <c r="D776" s="9"/>
      <c r="E776" s="9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9.5" customHeight="1" x14ac:dyDescent="0.25">
      <c r="A777" s="2"/>
      <c r="B777" s="2"/>
      <c r="C777" s="9"/>
      <c r="D777" s="9"/>
      <c r="E777" s="9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9.5" customHeight="1" x14ac:dyDescent="0.25">
      <c r="A778" s="2"/>
      <c r="B778" s="2"/>
      <c r="C778" s="9"/>
      <c r="D778" s="9"/>
      <c r="E778" s="9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9.5" customHeight="1" x14ac:dyDescent="0.25">
      <c r="A779" s="2"/>
      <c r="B779" s="2"/>
      <c r="C779" s="9"/>
      <c r="D779" s="9"/>
      <c r="E779" s="9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9.5" customHeight="1" x14ac:dyDescent="0.25">
      <c r="A780" s="2"/>
      <c r="B780" s="2"/>
      <c r="C780" s="9"/>
      <c r="D780" s="9"/>
      <c r="E780" s="9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9.5" customHeight="1" x14ac:dyDescent="0.25">
      <c r="A781" s="2"/>
      <c r="B781" s="2"/>
      <c r="C781" s="9"/>
      <c r="D781" s="9"/>
      <c r="E781" s="9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9.5" customHeight="1" x14ac:dyDescent="0.25">
      <c r="A782" s="2"/>
      <c r="B782" s="2"/>
      <c r="C782" s="9"/>
      <c r="D782" s="9"/>
      <c r="E782" s="9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9.5" customHeight="1" x14ac:dyDescent="0.25">
      <c r="A783" s="2"/>
      <c r="B783" s="2"/>
      <c r="C783" s="9"/>
      <c r="D783" s="9"/>
      <c r="E783" s="9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9.5" customHeight="1" x14ac:dyDescent="0.25">
      <c r="A784" s="2"/>
      <c r="B784" s="2"/>
      <c r="C784" s="9"/>
      <c r="D784" s="9"/>
      <c r="E784" s="9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9.5" customHeight="1" x14ac:dyDescent="0.25">
      <c r="A785" s="2"/>
      <c r="B785" s="2"/>
      <c r="C785" s="9"/>
      <c r="D785" s="9"/>
      <c r="E785" s="9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9.5" customHeight="1" x14ac:dyDescent="0.25">
      <c r="A786" s="2"/>
      <c r="B786" s="2"/>
      <c r="C786" s="9"/>
      <c r="D786" s="9"/>
      <c r="E786" s="9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9.5" customHeight="1" x14ac:dyDescent="0.25">
      <c r="A787" s="2"/>
      <c r="B787" s="2"/>
      <c r="C787" s="9"/>
      <c r="D787" s="9"/>
      <c r="E787" s="9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9.5" customHeight="1" x14ac:dyDescent="0.25">
      <c r="A788" s="2"/>
      <c r="B788" s="2"/>
      <c r="C788" s="9"/>
      <c r="D788" s="9"/>
      <c r="E788" s="9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9.5" customHeight="1" x14ac:dyDescent="0.25">
      <c r="A789" s="2"/>
      <c r="B789" s="2"/>
      <c r="C789" s="9"/>
      <c r="D789" s="9"/>
      <c r="E789" s="9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9.5" customHeight="1" x14ac:dyDescent="0.25">
      <c r="A790" s="2"/>
      <c r="B790" s="2"/>
      <c r="C790" s="9"/>
      <c r="D790" s="9"/>
      <c r="E790" s="9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9.5" customHeight="1" x14ac:dyDescent="0.25">
      <c r="A791" s="2"/>
      <c r="B791" s="2"/>
      <c r="C791" s="9"/>
      <c r="D791" s="9"/>
      <c r="E791" s="9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9.5" customHeight="1" x14ac:dyDescent="0.25">
      <c r="A792" s="2"/>
      <c r="B792" s="2"/>
      <c r="C792" s="9"/>
      <c r="D792" s="9"/>
      <c r="E792" s="9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9.5" customHeight="1" x14ac:dyDescent="0.25">
      <c r="A793" s="2"/>
      <c r="B793" s="2"/>
      <c r="C793" s="9"/>
      <c r="D793" s="9"/>
      <c r="E793" s="9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9.5" customHeight="1" x14ac:dyDescent="0.25">
      <c r="A794" s="2"/>
      <c r="B794" s="2"/>
      <c r="C794" s="9"/>
      <c r="D794" s="9"/>
      <c r="E794" s="9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9.5" customHeight="1" x14ac:dyDescent="0.25">
      <c r="A795" s="2"/>
      <c r="B795" s="2"/>
      <c r="C795" s="9"/>
      <c r="D795" s="9"/>
      <c r="E795" s="9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9.5" customHeight="1" x14ac:dyDescent="0.25">
      <c r="A796" s="2"/>
      <c r="B796" s="2"/>
      <c r="C796" s="9"/>
      <c r="D796" s="9"/>
      <c r="E796" s="9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9.5" customHeight="1" x14ac:dyDescent="0.25">
      <c r="A797" s="2"/>
      <c r="B797" s="2"/>
      <c r="C797" s="9"/>
      <c r="D797" s="9"/>
      <c r="E797" s="9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9.5" customHeight="1" x14ac:dyDescent="0.25">
      <c r="A798" s="2"/>
      <c r="B798" s="2"/>
      <c r="C798" s="9"/>
      <c r="D798" s="9"/>
      <c r="E798" s="9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9.5" customHeight="1" x14ac:dyDescent="0.25">
      <c r="A799" s="2"/>
      <c r="B799" s="2"/>
      <c r="C799" s="9"/>
      <c r="D799" s="9"/>
      <c r="E799" s="9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9.5" customHeight="1" x14ac:dyDescent="0.25">
      <c r="A800" s="2"/>
      <c r="B800" s="2"/>
      <c r="C800" s="9"/>
      <c r="D800" s="9"/>
      <c r="E800" s="9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9.5" customHeight="1" x14ac:dyDescent="0.25">
      <c r="A801" s="2"/>
      <c r="B801" s="2"/>
      <c r="C801" s="9"/>
      <c r="D801" s="9"/>
      <c r="E801" s="9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9.5" customHeight="1" x14ac:dyDescent="0.25">
      <c r="A802" s="2"/>
      <c r="B802" s="2"/>
      <c r="C802" s="9"/>
      <c r="D802" s="9"/>
      <c r="E802" s="9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9.5" customHeight="1" x14ac:dyDescent="0.25">
      <c r="A803" s="2"/>
      <c r="B803" s="2"/>
      <c r="C803" s="9"/>
      <c r="D803" s="9"/>
      <c r="E803" s="9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9.5" customHeight="1" x14ac:dyDescent="0.25">
      <c r="A804" s="2"/>
      <c r="B804" s="2"/>
      <c r="C804" s="9"/>
      <c r="D804" s="9"/>
      <c r="E804" s="9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9.5" customHeight="1" x14ac:dyDescent="0.25">
      <c r="A805" s="2"/>
      <c r="B805" s="2"/>
      <c r="C805" s="9"/>
      <c r="D805" s="9"/>
      <c r="E805" s="9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9.5" customHeight="1" x14ac:dyDescent="0.25">
      <c r="A806" s="2"/>
      <c r="B806" s="2"/>
      <c r="C806" s="9"/>
      <c r="D806" s="9"/>
      <c r="E806" s="9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9.5" customHeight="1" x14ac:dyDescent="0.25">
      <c r="A807" s="2"/>
      <c r="B807" s="2"/>
      <c r="C807" s="9"/>
      <c r="D807" s="9"/>
      <c r="E807" s="9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9.5" customHeight="1" x14ac:dyDescent="0.25">
      <c r="A808" s="2"/>
      <c r="B808" s="2"/>
      <c r="C808" s="9"/>
      <c r="D808" s="9"/>
      <c r="E808" s="9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9.5" customHeight="1" x14ac:dyDescent="0.25">
      <c r="A809" s="2"/>
      <c r="B809" s="2"/>
      <c r="C809" s="9"/>
      <c r="D809" s="9"/>
      <c r="E809" s="9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9.5" customHeight="1" x14ac:dyDescent="0.25">
      <c r="A810" s="2"/>
      <c r="B810" s="2"/>
      <c r="C810" s="9"/>
      <c r="D810" s="9"/>
      <c r="E810" s="9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9.5" customHeight="1" x14ac:dyDescent="0.25">
      <c r="A811" s="2"/>
      <c r="B811" s="2"/>
      <c r="C811" s="9"/>
      <c r="D811" s="9"/>
      <c r="E811" s="9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9.5" customHeight="1" x14ac:dyDescent="0.25">
      <c r="A812" s="2"/>
      <c r="B812" s="2"/>
      <c r="C812" s="9"/>
      <c r="D812" s="9"/>
      <c r="E812" s="9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9.5" customHeight="1" x14ac:dyDescent="0.25">
      <c r="A813" s="2"/>
      <c r="B813" s="2"/>
      <c r="C813" s="9"/>
      <c r="D813" s="9"/>
      <c r="E813" s="9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9.5" customHeight="1" x14ac:dyDescent="0.25">
      <c r="A814" s="2"/>
      <c r="B814" s="2"/>
      <c r="C814" s="9"/>
      <c r="D814" s="9"/>
      <c r="E814" s="9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9.5" customHeight="1" x14ac:dyDescent="0.25">
      <c r="A815" s="2"/>
      <c r="B815" s="2"/>
      <c r="C815" s="9"/>
      <c r="D815" s="9"/>
      <c r="E815" s="9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9.5" customHeight="1" x14ac:dyDescent="0.25">
      <c r="A816" s="2"/>
      <c r="B816" s="2"/>
      <c r="C816" s="9"/>
      <c r="D816" s="9"/>
      <c r="E816" s="9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9.5" customHeight="1" x14ac:dyDescent="0.25">
      <c r="A817" s="2"/>
      <c r="B817" s="2"/>
      <c r="C817" s="9"/>
      <c r="D817" s="9"/>
      <c r="E817" s="9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9.5" customHeight="1" x14ac:dyDescent="0.25">
      <c r="A818" s="2"/>
      <c r="B818" s="2"/>
      <c r="C818" s="9"/>
      <c r="D818" s="9"/>
      <c r="E818" s="9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9.5" customHeight="1" x14ac:dyDescent="0.25">
      <c r="A819" s="2"/>
      <c r="B819" s="2"/>
      <c r="C819" s="9"/>
      <c r="D819" s="9"/>
      <c r="E819" s="9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9.5" customHeight="1" x14ac:dyDescent="0.25">
      <c r="A820" s="2"/>
      <c r="B820" s="2"/>
      <c r="C820" s="9"/>
      <c r="D820" s="9"/>
      <c r="E820" s="9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9.5" customHeight="1" x14ac:dyDescent="0.25">
      <c r="A821" s="2"/>
      <c r="B821" s="2"/>
      <c r="C821" s="9"/>
      <c r="D821" s="9"/>
      <c r="E821" s="9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9.5" customHeight="1" x14ac:dyDescent="0.25">
      <c r="A822" s="2"/>
      <c r="B822" s="2"/>
      <c r="C822" s="9"/>
      <c r="D822" s="9"/>
      <c r="E822" s="9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9.5" customHeight="1" x14ac:dyDescent="0.25">
      <c r="A823" s="2"/>
      <c r="B823" s="2"/>
      <c r="C823" s="9"/>
      <c r="D823" s="9"/>
      <c r="E823" s="9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9.5" customHeight="1" x14ac:dyDescent="0.25">
      <c r="A824" s="2"/>
      <c r="B824" s="2"/>
      <c r="C824" s="9"/>
      <c r="D824" s="9"/>
      <c r="E824" s="9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9.5" customHeight="1" x14ac:dyDescent="0.25">
      <c r="A825" s="2"/>
      <c r="B825" s="2"/>
      <c r="C825" s="9"/>
      <c r="D825" s="9"/>
      <c r="E825" s="9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9.5" customHeight="1" x14ac:dyDescent="0.25">
      <c r="A826" s="2"/>
      <c r="B826" s="2"/>
      <c r="C826" s="9"/>
      <c r="D826" s="9"/>
      <c r="E826" s="9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9.5" customHeight="1" x14ac:dyDescent="0.25">
      <c r="A827" s="2"/>
      <c r="B827" s="2"/>
      <c r="C827" s="9"/>
      <c r="D827" s="9"/>
      <c r="E827" s="9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9.5" customHeight="1" x14ac:dyDescent="0.25">
      <c r="A828" s="2"/>
      <c r="B828" s="2"/>
      <c r="C828" s="9"/>
      <c r="D828" s="9"/>
      <c r="E828" s="9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9.5" customHeight="1" x14ac:dyDescent="0.25">
      <c r="A829" s="2"/>
      <c r="B829" s="2"/>
      <c r="C829" s="9"/>
      <c r="D829" s="9"/>
      <c r="E829" s="9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9.5" customHeight="1" x14ac:dyDescent="0.25">
      <c r="A830" s="2"/>
      <c r="B830" s="2"/>
      <c r="C830" s="9"/>
      <c r="D830" s="9"/>
      <c r="E830" s="9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9.5" customHeight="1" x14ac:dyDescent="0.25">
      <c r="A831" s="2"/>
      <c r="B831" s="2"/>
      <c r="C831" s="9"/>
      <c r="D831" s="9"/>
      <c r="E831" s="9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9.5" customHeight="1" x14ac:dyDescent="0.25">
      <c r="A832" s="2"/>
      <c r="B832" s="2"/>
      <c r="C832" s="9"/>
      <c r="D832" s="9"/>
      <c r="E832" s="9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9.5" customHeight="1" x14ac:dyDescent="0.25">
      <c r="A833" s="2"/>
      <c r="B833" s="2"/>
      <c r="C833" s="9"/>
      <c r="D833" s="9"/>
      <c r="E833" s="9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9.5" customHeight="1" x14ac:dyDescent="0.25">
      <c r="A834" s="2"/>
      <c r="B834" s="2"/>
      <c r="C834" s="9"/>
      <c r="D834" s="9"/>
      <c r="E834" s="9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9.5" customHeight="1" x14ac:dyDescent="0.25">
      <c r="A835" s="2"/>
      <c r="B835" s="2"/>
      <c r="C835" s="9"/>
      <c r="D835" s="9"/>
      <c r="E835" s="9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9.5" customHeight="1" x14ac:dyDescent="0.25">
      <c r="A836" s="2"/>
      <c r="B836" s="2"/>
      <c r="C836" s="9"/>
      <c r="D836" s="9"/>
      <c r="E836" s="9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9.5" customHeight="1" x14ac:dyDescent="0.25">
      <c r="A837" s="2"/>
      <c r="B837" s="2"/>
      <c r="C837" s="9"/>
      <c r="D837" s="9"/>
      <c r="E837" s="9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9.5" customHeight="1" x14ac:dyDescent="0.25">
      <c r="A838" s="2"/>
      <c r="B838" s="2"/>
      <c r="C838" s="9"/>
      <c r="D838" s="9"/>
      <c r="E838" s="9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9.5" customHeight="1" x14ac:dyDescent="0.25">
      <c r="A839" s="2"/>
      <c r="B839" s="2"/>
      <c r="C839" s="9"/>
      <c r="D839" s="9"/>
      <c r="E839" s="9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9.5" customHeight="1" x14ac:dyDescent="0.25">
      <c r="A840" s="2"/>
      <c r="B840" s="2"/>
      <c r="C840" s="9"/>
      <c r="D840" s="9"/>
      <c r="E840" s="9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9.5" customHeight="1" x14ac:dyDescent="0.25">
      <c r="A841" s="2"/>
      <c r="B841" s="2"/>
      <c r="C841" s="9"/>
      <c r="D841" s="9"/>
      <c r="E841" s="9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9.5" customHeight="1" x14ac:dyDescent="0.25">
      <c r="A842" s="2"/>
      <c r="B842" s="2"/>
      <c r="C842" s="9"/>
      <c r="D842" s="9"/>
      <c r="E842" s="9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9.5" customHeight="1" x14ac:dyDescent="0.25">
      <c r="A843" s="2"/>
      <c r="B843" s="2"/>
      <c r="C843" s="9"/>
      <c r="D843" s="9"/>
      <c r="E843" s="9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9.5" customHeight="1" x14ac:dyDescent="0.25">
      <c r="A844" s="2"/>
      <c r="B844" s="2"/>
      <c r="C844" s="9"/>
      <c r="D844" s="9"/>
      <c r="E844" s="9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9.5" customHeight="1" x14ac:dyDescent="0.25">
      <c r="A845" s="2"/>
      <c r="B845" s="2"/>
      <c r="C845" s="9"/>
      <c r="D845" s="9"/>
      <c r="E845" s="9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9.5" customHeight="1" x14ac:dyDescent="0.25">
      <c r="A846" s="2"/>
      <c r="B846" s="2"/>
      <c r="C846" s="9"/>
      <c r="D846" s="9"/>
      <c r="E846" s="9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9.5" customHeight="1" x14ac:dyDescent="0.25">
      <c r="A847" s="2"/>
      <c r="B847" s="2"/>
      <c r="C847" s="9"/>
      <c r="D847" s="9"/>
      <c r="E847" s="9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9.5" customHeight="1" x14ac:dyDescent="0.25">
      <c r="A848" s="2"/>
      <c r="B848" s="2"/>
      <c r="C848" s="9"/>
      <c r="D848" s="9"/>
      <c r="E848" s="9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9.5" customHeight="1" x14ac:dyDescent="0.25">
      <c r="A849" s="2"/>
      <c r="B849" s="2"/>
      <c r="C849" s="9"/>
      <c r="D849" s="9"/>
      <c r="E849" s="9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9.5" customHeight="1" x14ac:dyDescent="0.25">
      <c r="A850" s="2"/>
      <c r="B850" s="2"/>
      <c r="C850" s="9"/>
      <c r="D850" s="9"/>
      <c r="E850" s="9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9.5" customHeight="1" x14ac:dyDescent="0.25">
      <c r="A851" s="2"/>
      <c r="B851" s="2"/>
      <c r="C851" s="9"/>
      <c r="D851" s="9"/>
      <c r="E851" s="9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9.5" customHeight="1" x14ac:dyDescent="0.25">
      <c r="A852" s="2"/>
      <c r="B852" s="2"/>
      <c r="C852" s="9"/>
      <c r="D852" s="9"/>
      <c r="E852" s="9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9.5" customHeight="1" x14ac:dyDescent="0.25">
      <c r="A853" s="2"/>
      <c r="B853" s="2"/>
      <c r="C853" s="9"/>
      <c r="D853" s="9"/>
      <c r="E853" s="9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9.5" customHeight="1" x14ac:dyDescent="0.25">
      <c r="A854" s="2"/>
      <c r="B854" s="2"/>
      <c r="C854" s="9"/>
      <c r="D854" s="9"/>
      <c r="E854" s="9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9.5" customHeight="1" x14ac:dyDescent="0.25">
      <c r="A855" s="2"/>
      <c r="B855" s="2"/>
      <c r="C855" s="9"/>
      <c r="D855" s="9"/>
      <c r="E855" s="9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9.5" customHeight="1" x14ac:dyDescent="0.25">
      <c r="A856" s="2"/>
      <c r="B856" s="2"/>
      <c r="C856" s="9"/>
      <c r="D856" s="9"/>
      <c r="E856" s="9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9.5" customHeight="1" x14ac:dyDescent="0.25">
      <c r="A857" s="2"/>
      <c r="B857" s="2"/>
      <c r="C857" s="9"/>
      <c r="D857" s="9"/>
      <c r="E857" s="9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9.5" customHeight="1" x14ac:dyDescent="0.25">
      <c r="A858" s="2"/>
      <c r="B858" s="2"/>
      <c r="C858" s="9"/>
      <c r="D858" s="9"/>
      <c r="E858" s="9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9.5" customHeight="1" x14ac:dyDescent="0.25">
      <c r="A859" s="2"/>
      <c r="B859" s="2"/>
      <c r="C859" s="9"/>
      <c r="D859" s="9"/>
      <c r="E859" s="9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9.5" customHeight="1" x14ac:dyDescent="0.25">
      <c r="A860" s="2"/>
      <c r="B860" s="2"/>
      <c r="C860" s="9"/>
      <c r="D860" s="9"/>
      <c r="E860" s="9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9.5" customHeight="1" x14ac:dyDescent="0.25">
      <c r="A861" s="2"/>
      <c r="B861" s="2"/>
      <c r="C861" s="9"/>
      <c r="D861" s="9"/>
      <c r="E861" s="9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9.5" customHeight="1" x14ac:dyDescent="0.25">
      <c r="A862" s="2"/>
      <c r="B862" s="2"/>
      <c r="C862" s="9"/>
      <c r="D862" s="9"/>
      <c r="E862" s="9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9.5" customHeight="1" x14ac:dyDescent="0.25">
      <c r="A863" s="2"/>
      <c r="B863" s="2"/>
      <c r="C863" s="9"/>
      <c r="D863" s="9"/>
      <c r="E863" s="9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9.5" customHeight="1" x14ac:dyDescent="0.25">
      <c r="A864" s="2"/>
      <c r="B864" s="2"/>
      <c r="C864" s="9"/>
      <c r="D864" s="9"/>
      <c r="E864" s="9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9.5" customHeight="1" x14ac:dyDescent="0.25">
      <c r="A865" s="2"/>
      <c r="B865" s="2"/>
      <c r="C865" s="9"/>
      <c r="D865" s="9"/>
      <c r="E865" s="9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9.5" customHeight="1" x14ac:dyDescent="0.25">
      <c r="A866" s="2"/>
      <c r="B866" s="2"/>
      <c r="C866" s="9"/>
      <c r="D866" s="9"/>
      <c r="E866" s="9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9.5" customHeight="1" x14ac:dyDescent="0.25">
      <c r="A867" s="2"/>
      <c r="B867" s="2"/>
      <c r="C867" s="9"/>
      <c r="D867" s="9"/>
      <c r="E867" s="9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9.5" customHeight="1" x14ac:dyDescent="0.25">
      <c r="A868" s="2"/>
      <c r="B868" s="2"/>
      <c r="C868" s="9"/>
      <c r="D868" s="9"/>
      <c r="E868" s="9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9.5" customHeight="1" x14ac:dyDescent="0.25">
      <c r="A869" s="2"/>
      <c r="B869" s="2"/>
      <c r="C869" s="9"/>
      <c r="D869" s="9"/>
      <c r="E869" s="9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9.5" customHeight="1" x14ac:dyDescent="0.25">
      <c r="A870" s="2"/>
      <c r="B870" s="2"/>
      <c r="C870" s="9"/>
      <c r="D870" s="9"/>
      <c r="E870" s="9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9.5" customHeight="1" x14ac:dyDescent="0.25">
      <c r="A871" s="2"/>
      <c r="B871" s="2"/>
      <c r="C871" s="9"/>
      <c r="D871" s="9"/>
      <c r="E871" s="9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9.5" customHeight="1" x14ac:dyDescent="0.25">
      <c r="A872" s="2"/>
      <c r="B872" s="2"/>
      <c r="C872" s="9"/>
      <c r="D872" s="9"/>
      <c r="E872" s="9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9.5" customHeight="1" x14ac:dyDescent="0.25">
      <c r="A873" s="2"/>
      <c r="B873" s="2"/>
      <c r="C873" s="9"/>
      <c r="D873" s="9"/>
      <c r="E873" s="9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9.5" customHeight="1" x14ac:dyDescent="0.25">
      <c r="A874" s="2"/>
      <c r="B874" s="2"/>
      <c r="C874" s="9"/>
      <c r="D874" s="9"/>
      <c r="E874" s="9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9.5" customHeight="1" x14ac:dyDescent="0.25">
      <c r="A875" s="2"/>
      <c r="B875" s="2"/>
      <c r="C875" s="9"/>
      <c r="D875" s="9"/>
      <c r="E875" s="9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9.5" customHeight="1" x14ac:dyDescent="0.25">
      <c r="A876" s="2"/>
      <c r="B876" s="2"/>
      <c r="C876" s="9"/>
      <c r="D876" s="9"/>
      <c r="E876" s="9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9.5" customHeight="1" x14ac:dyDescent="0.25">
      <c r="A877" s="2"/>
      <c r="B877" s="2"/>
      <c r="C877" s="9"/>
      <c r="D877" s="9"/>
      <c r="E877" s="9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9.5" customHeight="1" x14ac:dyDescent="0.25">
      <c r="A878" s="2"/>
      <c r="B878" s="2"/>
      <c r="C878" s="9"/>
      <c r="D878" s="9"/>
      <c r="E878" s="9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9.5" customHeight="1" x14ac:dyDescent="0.25">
      <c r="A879" s="2"/>
      <c r="B879" s="2"/>
      <c r="C879" s="9"/>
      <c r="D879" s="9"/>
      <c r="E879" s="9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9.5" customHeight="1" x14ac:dyDescent="0.25">
      <c r="A880" s="2"/>
      <c r="B880" s="2"/>
      <c r="C880" s="9"/>
      <c r="D880" s="9"/>
      <c r="E880" s="9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9.5" customHeight="1" x14ac:dyDescent="0.25">
      <c r="A881" s="2"/>
      <c r="B881" s="2"/>
      <c r="C881" s="9"/>
      <c r="D881" s="9"/>
      <c r="E881" s="9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9.5" customHeight="1" x14ac:dyDescent="0.25">
      <c r="A882" s="2"/>
      <c r="B882" s="2"/>
      <c r="C882" s="9"/>
      <c r="D882" s="9"/>
      <c r="E882" s="9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9.5" customHeight="1" x14ac:dyDescent="0.25">
      <c r="A883" s="2"/>
      <c r="B883" s="2"/>
      <c r="C883" s="9"/>
      <c r="D883" s="9"/>
      <c r="E883" s="9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9.5" customHeight="1" x14ac:dyDescent="0.25">
      <c r="A884" s="2"/>
      <c r="B884" s="2"/>
      <c r="C884" s="9"/>
      <c r="D884" s="9"/>
      <c r="E884" s="9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9.5" customHeight="1" x14ac:dyDescent="0.25">
      <c r="A885" s="2"/>
      <c r="B885" s="2"/>
      <c r="C885" s="9"/>
      <c r="D885" s="9"/>
      <c r="E885" s="9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9.5" customHeight="1" x14ac:dyDescent="0.25">
      <c r="A886" s="2"/>
      <c r="B886" s="2"/>
      <c r="C886" s="9"/>
      <c r="D886" s="9"/>
      <c r="E886" s="9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9.5" customHeight="1" x14ac:dyDescent="0.25">
      <c r="A887" s="2"/>
      <c r="B887" s="2"/>
      <c r="C887" s="9"/>
      <c r="D887" s="9"/>
      <c r="E887" s="9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9.5" customHeight="1" x14ac:dyDescent="0.25">
      <c r="A888" s="2"/>
      <c r="B888" s="2"/>
      <c r="C888" s="9"/>
      <c r="D888" s="9"/>
      <c r="E888" s="9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9.5" customHeight="1" x14ac:dyDescent="0.25">
      <c r="A889" s="2"/>
      <c r="B889" s="2"/>
      <c r="C889" s="9"/>
      <c r="D889" s="9"/>
      <c r="E889" s="9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9.5" customHeight="1" x14ac:dyDescent="0.25">
      <c r="A890" s="2"/>
      <c r="B890" s="2"/>
      <c r="C890" s="9"/>
      <c r="D890" s="9"/>
      <c r="E890" s="9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9.5" customHeight="1" x14ac:dyDescent="0.25">
      <c r="A891" s="2"/>
      <c r="B891" s="2"/>
      <c r="C891" s="9"/>
      <c r="D891" s="9"/>
      <c r="E891" s="9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9.5" customHeight="1" x14ac:dyDescent="0.25">
      <c r="A892" s="2"/>
      <c r="B892" s="2"/>
      <c r="C892" s="9"/>
      <c r="D892" s="9"/>
      <c r="E892" s="9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9.5" customHeight="1" x14ac:dyDescent="0.25">
      <c r="A893" s="2"/>
      <c r="B893" s="2"/>
      <c r="C893" s="9"/>
      <c r="D893" s="9"/>
      <c r="E893" s="9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9.5" customHeight="1" x14ac:dyDescent="0.25">
      <c r="A894" s="2"/>
      <c r="B894" s="2"/>
      <c r="C894" s="9"/>
      <c r="D894" s="9"/>
      <c r="E894" s="9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9.5" customHeight="1" x14ac:dyDescent="0.25">
      <c r="A895" s="2"/>
      <c r="B895" s="2"/>
      <c r="C895" s="9"/>
      <c r="D895" s="9"/>
      <c r="E895" s="9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9.5" customHeight="1" x14ac:dyDescent="0.25">
      <c r="A896" s="2"/>
      <c r="B896" s="2"/>
      <c r="C896" s="9"/>
      <c r="D896" s="9"/>
      <c r="E896" s="9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9.5" customHeight="1" x14ac:dyDescent="0.25">
      <c r="A897" s="2"/>
      <c r="B897" s="2"/>
      <c r="C897" s="9"/>
      <c r="D897" s="9"/>
      <c r="E897" s="9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9.5" customHeight="1" x14ac:dyDescent="0.25">
      <c r="A898" s="2"/>
      <c r="B898" s="2"/>
      <c r="C898" s="9"/>
      <c r="D898" s="9"/>
      <c r="E898" s="9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9.5" customHeight="1" x14ac:dyDescent="0.25">
      <c r="A899" s="2"/>
      <c r="B899" s="2"/>
      <c r="C899" s="9"/>
      <c r="D899" s="9"/>
      <c r="E899" s="9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9.5" customHeight="1" x14ac:dyDescent="0.25">
      <c r="A900" s="2"/>
      <c r="B900" s="2"/>
      <c r="C900" s="9"/>
      <c r="D900" s="9"/>
      <c r="E900" s="9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9.5" customHeight="1" x14ac:dyDescent="0.25">
      <c r="A901" s="2"/>
      <c r="B901" s="2"/>
      <c r="C901" s="9"/>
      <c r="D901" s="9"/>
      <c r="E901" s="9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9.5" customHeight="1" x14ac:dyDescent="0.25">
      <c r="A902" s="2"/>
      <c r="B902" s="2"/>
      <c r="C902" s="9"/>
      <c r="D902" s="9"/>
      <c r="E902" s="9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9.5" customHeight="1" x14ac:dyDescent="0.25">
      <c r="A903" s="2"/>
      <c r="B903" s="2"/>
      <c r="C903" s="9"/>
      <c r="D903" s="9"/>
      <c r="E903" s="9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9.5" customHeight="1" x14ac:dyDescent="0.25">
      <c r="A904" s="2"/>
      <c r="B904" s="2"/>
      <c r="C904" s="9"/>
      <c r="D904" s="9"/>
      <c r="E904" s="9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9.5" customHeight="1" x14ac:dyDescent="0.25">
      <c r="A905" s="2"/>
      <c r="B905" s="2"/>
      <c r="C905" s="9"/>
      <c r="D905" s="9"/>
      <c r="E905" s="9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9.5" customHeight="1" x14ac:dyDescent="0.25">
      <c r="A906" s="2"/>
      <c r="B906" s="2"/>
      <c r="C906" s="9"/>
      <c r="D906" s="9"/>
      <c r="E906" s="9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9.5" customHeight="1" x14ac:dyDescent="0.25">
      <c r="A907" s="2"/>
      <c r="B907" s="2"/>
      <c r="C907" s="9"/>
      <c r="D907" s="9"/>
      <c r="E907" s="9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9.5" customHeight="1" x14ac:dyDescent="0.25">
      <c r="A908" s="2"/>
      <c r="B908" s="2"/>
      <c r="C908" s="9"/>
      <c r="D908" s="9"/>
      <c r="E908" s="9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9.5" customHeight="1" x14ac:dyDescent="0.25">
      <c r="A909" s="2"/>
      <c r="B909" s="2"/>
      <c r="C909" s="9"/>
      <c r="D909" s="9"/>
      <c r="E909" s="9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9.5" customHeight="1" x14ac:dyDescent="0.25">
      <c r="A910" s="2"/>
      <c r="B910" s="2"/>
      <c r="C910" s="9"/>
      <c r="D910" s="9"/>
      <c r="E910" s="9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9.5" customHeight="1" x14ac:dyDescent="0.25">
      <c r="A911" s="2"/>
      <c r="B911" s="2"/>
      <c r="C911" s="9"/>
      <c r="D911" s="9"/>
      <c r="E911" s="9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9.5" customHeight="1" x14ac:dyDescent="0.25">
      <c r="A912" s="2"/>
      <c r="B912" s="2"/>
      <c r="C912" s="9"/>
      <c r="D912" s="9"/>
      <c r="E912" s="9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9.5" customHeight="1" x14ac:dyDescent="0.25">
      <c r="A913" s="2"/>
      <c r="B913" s="2"/>
      <c r="C913" s="9"/>
      <c r="D913" s="9"/>
      <c r="E913" s="9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9.5" customHeight="1" x14ac:dyDescent="0.25">
      <c r="A914" s="2"/>
      <c r="B914" s="2"/>
      <c r="C914" s="9"/>
      <c r="D914" s="9"/>
      <c r="E914" s="9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9.5" customHeight="1" x14ac:dyDescent="0.25">
      <c r="A915" s="2"/>
      <c r="B915" s="2"/>
      <c r="C915" s="9"/>
      <c r="D915" s="9"/>
      <c r="E915" s="9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9.5" customHeight="1" x14ac:dyDescent="0.25">
      <c r="A916" s="2"/>
      <c r="B916" s="2"/>
      <c r="C916" s="9"/>
      <c r="D916" s="9"/>
      <c r="E916" s="9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9.5" customHeight="1" x14ac:dyDescent="0.25">
      <c r="A917" s="2"/>
      <c r="B917" s="2"/>
      <c r="C917" s="9"/>
      <c r="D917" s="9"/>
      <c r="E917" s="9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9.5" customHeight="1" x14ac:dyDescent="0.25">
      <c r="A918" s="2"/>
      <c r="B918" s="2"/>
      <c r="C918" s="9"/>
      <c r="D918" s="9"/>
      <c r="E918" s="9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9.5" customHeight="1" x14ac:dyDescent="0.25">
      <c r="A919" s="2"/>
      <c r="B919" s="2"/>
      <c r="C919" s="9"/>
      <c r="D919" s="9"/>
      <c r="E919" s="9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9.5" customHeight="1" x14ac:dyDescent="0.25">
      <c r="A920" s="2"/>
      <c r="B920" s="2"/>
      <c r="C920" s="9"/>
      <c r="D920" s="9"/>
      <c r="E920" s="9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9.5" customHeight="1" x14ac:dyDescent="0.25">
      <c r="A921" s="2"/>
      <c r="B921" s="2"/>
      <c r="C921" s="9"/>
      <c r="D921" s="9"/>
      <c r="E921" s="9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9.5" customHeight="1" x14ac:dyDescent="0.25">
      <c r="A922" s="2"/>
      <c r="B922" s="2"/>
      <c r="C922" s="9"/>
      <c r="D922" s="9"/>
      <c r="E922" s="9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9.5" customHeight="1" x14ac:dyDescent="0.25">
      <c r="A923" s="2"/>
      <c r="B923" s="2"/>
      <c r="C923" s="9"/>
      <c r="D923" s="9"/>
      <c r="E923" s="9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9.5" customHeight="1" x14ac:dyDescent="0.25">
      <c r="A924" s="2"/>
      <c r="B924" s="2"/>
      <c r="C924" s="9"/>
      <c r="D924" s="9"/>
      <c r="E924" s="9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9.5" customHeight="1" x14ac:dyDescent="0.25">
      <c r="A925" s="2"/>
      <c r="B925" s="2"/>
      <c r="C925" s="9"/>
      <c r="D925" s="9"/>
      <c r="E925" s="9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9.5" customHeight="1" x14ac:dyDescent="0.25">
      <c r="A926" s="2"/>
      <c r="B926" s="2"/>
      <c r="C926" s="9"/>
      <c r="D926" s="9"/>
      <c r="E926" s="9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9.5" customHeight="1" x14ac:dyDescent="0.25">
      <c r="A927" s="2"/>
      <c r="B927" s="2"/>
      <c r="C927" s="9"/>
      <c r="D927" s="9"/>
      <c r="E927" s="9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9.5" customHeight="1" x14ac:dyDescent="0.25">
      <c r="A928" s="2"/>
      <c r="B928" s="2"/>
      <c r="C928" s="9"/>
      <c r="D928" s="9"/>
      <c r="E928" s="9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9.5" customHeight="1" x14ac:dyDescent="0.25">
      <c r="A929" s="2"/>
      <c r="B929" s="2"/>
      <c r="C929" s="9"/>
      <c r="D929" s="9"/>
      <c r="E929" s="9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9.5" customHeight="1" x14ac:dyDescent="0.25">
      <c r="A930" s="2"/>
      <c r="B930" s="2"/>
      <c r="C930" s="9"/>
      <c r="D930" s="9"/>
      <c r="E930" s="9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9.5" customHeight="1" x14ac:dyDescent="0.25">
      <c r="A931" s="2"/>
      <c r="B931" s="2"/>
      <c r="C931" s="9"/>
      <c r="D931" s="9"/>
      <c r="E931" s="9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9.5" customHeight="1" x14ac:dyDescent="0.25">
      <c r="A932" s="2"/>
      <c r="B932" s="2"/>
      <c r="C932" s="9"/>
      <c r="D932" s="9"/>
      <c r="E932" s="9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9.5" customHeight="1" x14ac:dyDescent="0.25">
      <c r="A933" s="2"/>
      <c r="B933" s="2"/>
      <c r="C933" s="9"/>
      <c r="D933" s="9"/>
      <c r="E933" s="9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9.5" customHeight="1" x14ac:dyDescent="0.25">
      <c r="A934" s="2"/>
      <c r="B934" s="2"/>
      <c r="C934" s="9"/>
      <c r="D934" s="9"/>
      <c r="E934" s="9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9.5" customHeight="1" x14ac:dyDescent="0.25">
      <c r="A935" s="2"/>
      <c r="B935" s="2"/>
      <c r="C935" s="9"/>
      <c r="D935" s="9"/>
      <c r="E935" s="9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9.5" customHeight="1" x14ac:dyDescent="0.25">
      <c r="A936" s="2"/>
      <c r="B936" s="2"/>
      <c r="C936" s="9"/>
      <c r="D936" s="9"/>
      <c r="E936" s="9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9.5" customHeight="1" x14ac:dyDescent="0.25">
      <c r="A937" s="2"/>
      <c r="B937" s="2"/>
      <c r="C937" s="9"/>
      <c r="D937" s="9"/>
      <c r="E937" s="9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9.5" customHeight="1" x14ac:dyDescent="0.25">
      <c r="A938" s="2"/>
      <c r="B938" s="2"/>
      <c r="C938" s="9"/>
      <c r="D938" s="9"/>
      <c r="E938" s="9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9.5" customHeight="1" x14ac:dyDescent="0.25">
      <c r="A939" s="2"/>
      <c r="B939" s="2"/>
      <c r="C939" s="9"/>
      <c r="D939" s="9"/>
      <c r="E939" s="9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9.5" customHeight="1" x14ac:dyDescent="0.25">
      <c r="A940" s="2"/>
      <c r="B940" s="2"/>
      <c r="C940" s="9"/>
      <c r="D940" s="9"/>
      <c r="E940" s="9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9.5" customHeight="1" x14ac:dyDescent="0.25">
      <c r="A941" s="2"/>
      <c r="B941" s="2"/>
      <c r="C941" s="9"/>
      <c r="D941" s="9"/>
      <c r="E941" s="9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9.5" customHeight="1" x14ac:dyDescent="0.25">
      <c r="A942" s="2"/>
      <c r="B942" s="2"/>
      <c r="C942" s="9"/>
      <c r="D942" s="9"/>
      <c r="E942" s="9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9.5" customHeight="1" x14ac:dyDescent="0.25">
      <c r="A943" s="2"/>
      <c r="B943" s="2"/>
      <c r="C943" s="9"/>
      <c r="D943" s="9"/>
      <c r="E943" s="9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9.5" customHeight="1" x14ac:dyDescent="0.25">
      <c r="A944" s="2"/>
      <c r="B944" s="2"/>
      <c r="C944" s="9"/>
      <c r="D944" s="9"/>
      <c r="E944" s="9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9.5" customHeight="1" x14ac:dyDescent="0.25">
      <c r="A945" s="2"/>
      <c r="B945" s="2"/>
      <c r="C945" s="9"/>
      <c r="D945" s="9"/>
      <c r="E945" s="9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9.5" customHeight="1" x14ac:dyDescent="0.25">
      <c r="A946" s="2"/>
      <c r="B946" s="2"/>
      <c r="C946" s="9"/>
      <c r="D946" s="9"/>
      <c r="E946" s="9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9.5" customHeight="1" x14ac:dyDescent="0.25">
      <c r="A947" s="2"/>
      <c r="B947" s="2"/>
      <c r="C947" s="9"/>
      <c r="D947" s="9"/>
      <c r="E947" s="9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9.5" customHeight="1" x14ac:dyDescent="0.25">
      <c r="A948" s="2"/>
      <c r="B948" s="2"/>
      <c r="C948" s="9"/>
      <c r="D948" s="9"/>
      <c r="E948" s="9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9.5" customHeight="1" x14ac:dyDescent="0.25">
      <c r="A949" s="2"/>
      <c r="B949" s="2"/>
      <c r="C949" s="9"/>
      <c r="D949" s="9"/>
      <c r="E949" s="9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9.5" customHeight="1" x14ac:dyDescent="0.25">
      <c r="A950" s="2"/>
      <c r="B950" s="2"/>
      <c r="C950" s="9"/>
      <c r="D950" s="9"/>
      <c r="E950" s="9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9.5" customHeight="1" x14ac:dyDescent="0.25">
      <c r="A951" s="2"/>
      <c r="B951" s="2"/>
      <c r="C951" s="9"/>
      <c r="D951" s="9"/>
      <c r="E951" s="9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9.5" customHeight="1" x14ac:dyDescent="0.25">
      <c r="A952" s="2"/>
      <c r="B952" s="2"/>
      <c r="C952" s="9"/>
      <c r="D952" s="9"/>
      <c r="E952" s="9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9.5" customHeight="1" x14ac:dyDescent="0.25">
      <c r="A953" s="2"/>
      <c r="B953" s="2"/>
      <c r="C953" s="9"/>
      <c r="D953" s="9"/>
      <c r="E953" s="9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9.5" customHeight="1" x14ac:dyDescent="0.25">
      <c r="A954" s="2"/>
      <c r="B954" s="2"/>
      <c r="C954" s="9"/>
      <c r="D954" s="9"/>
      <c r="E954" s="9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9.5" customHeight="1" x14ac:dyDescent="0.25">
      <c r="A955" s="2"/>
      <c r="B955" s="2"/>
      <c r="C955" s="9"/>
      <c r="D955" s="9"/>
      <c r="E955" s="9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9.5" customHeight="1" x14ac:dyDescent="0.25">
      <c r="A956" s="2"/>
      <c r="B956" s="2"/>
      <c r="C956" s="9"/>
      <c r="D956" s="9"/>
      <c r="E956" s="9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9.5" customHeight="1" x14ac:dyDescent="0.25">
      <c r="A957" s="2"/>
      <c r="B957" s="2"/>
      <c r="C957" s="9"/>
      <c r="D957" s="9"/>
      <c r="E957" s="9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9.5" customHeight="1" x14ac:dyDescent="0.25">
      <c r="A958" s="2"/>
      <c r="B958" s="2"/>
      <c r="C958" s="9"/>
      <c r="D958" s="9"/>
      <c r="E958" s="9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9.5" customHeight="1" x14ac:dyDescent="0.25">
      <c r="A959" s="2"/>
      <c r="B959" s="2"/>
      <c r="C959" s="9"/>
      <c r="D959" s="9"/>
      <c r="E959" s="9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9.5" customHeight="1" x14ac:dyDescent="0.25">
      <c r="A960" s="2"/>
      <c r="B960" s="2"/>
      <c r="C960" s="9"/>
      <c r="D960" s="9"/>
      <c r="E960" s="9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9.5" customHeight="1" x14ac:dyDescent="0.25">
      <c r="A961" s="2"/>
      <c r="B961" s="2"/>
      <c r="C961" s="9"/>
      <c r="D961" s="9"/>
      <c r="E961" s="9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9.5" customHeight="1" x14ac:dyDescent="0.25">
      <c r="A962" s="2"/>
      <c r="B962" s="2"/>
      <c r="C962" s="9"/>
      <c r="D962" s="9"/>
      <c r="E962" s="9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9.5" customHeight="1" x14ac:dyDescent="0.25">
      <c r="A963" s="2"/>
      <c r="B963" s="2"/>
      <c r="C963" s="9"/>
      <c r="D963" s="9"/>
      <c r="E963" s="9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9.5" customHeight="1" x14ac:dyDescent="0.25">
      <c r="A964" s="2"/>
      <c r="B964" s="2"/>
      <c r="C964" s="9"/>
      <c r="D964" s="9"/>
      <c r="E964" s="9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9.5" customHeight="1" x14ac:dyDescent="0.25">
      <c r="A965" s="2"/>
      <c r="B965" s="2"/>
      <c r="C965" s="9"/>
      <c r="D965" s="9"/>
      <c r="E965" s="9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9.5" customHeight="1" x14ac:dyDescent="0.25">
      <c r="A966" s="2"/>
      <c r="B966" s="2"/>
      <c r="C966" s="9"/>
      <c r="D966" s="9"/>
      <c r="E966" s="9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9.5" customHeight="1" x14ac:dyDescent="0.25">
      <c r="A967" s="2"/>
      <c r="B967" s="2"/>
      <c r="C967" s="9"/>
      <c r="D967" s="9"/>
      <c r="E967" s="9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9.5" customHeight="1" x14ac:dyDescent="0.25">
      <c r="A968" s="2"/>
      <c r="B968" s="2"/>
      <c r="C968" s="9"/>
      <c r="D968" s="9"/>
      <c r="E968" s="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9.5" customHeight="1" x14ac:dyDescent="0.25">
      <c r="A969" s="2"/>
      <c r="B969" s="2"/>
      <c r="C969" s="9"/>
      <c r="D969" s="9"/>
      <c r="E969" s="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9.5" customHeight="1" x14ac:dyDescent="0.25">
      <c r="A970" s="2"/>
      <c r="B970" s="2"/>
      <c r="C970" s="9"/>
      <c r="D970" s="9"/>
      <c r="E970" s="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9.5" customHeight="1" x14ac:dyDescent="0.25">
      <c r="A971" s="2"/>
      <c r="B971" s="2"/>
      <c r="C971" s="9"/>
      <c r="D971" s="9"/>
      <c r="E971" s="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9.5" customHeight="1" x14ac:dyDescent="0.25">
      <c r="A972" s="2"/>
      <c r="B972" s="2"/>
      <c r="C972" s="9"/>
      <c r="D972" s="9"/>
      <c r="E972" s="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9.5" customHeight="1" x14ac:dyDescent="0.25">
      <c r="A973" s="2"/>
      <c r="B973" s="2"/>
      <c r="C973" s="9"/>
      <c r="D973" s="9"/>
      <c r="E973" s="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9.5" customHeight="1" x14ac:dyDescent="0.25">
      <c r="A974" s="2"/>
      <c r="B974" s="2"/>
      <c r="C974" s="9"/>
      <c r="D974" s="9"/>
      <c r="E974" s="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9.5" customHeight="1" x14ac:dyDescent="0.25">
      <c r="A975" s="2"/>
      <c r="B975" s="2"/>
      <c r="C975" s="9"/>
      <c r="D975" s="9"/>
      <c r="E975" s="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9.5" customHeight="1" x14ac:dyDescent="0.25">
      <c r="A976" s="2"/>
      <c r="B976" s="2"/>
      <c r="C976" s="9"/>
      <c r="D976" s="9"/>
      <c r="E976" s="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9.5" customHeight="1" x14ac:dyDescent="0.25">
      <c r="A977" s="2"/>
      <c r="B977" s="2"/>
      <c r="C977" s="9"/>
      <c r="D977" s="9"/>
      <c r="E977" s="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9.5" customHeight="1" x14ac:dyDescent="0.25">
      <c r="A978" s="2"/>
      <c r="B978" s="2"/>
      <c r="C978" s="9"/>
      <c r="D978" s="9"/>
      <c r="E978" s="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9.5" customHeight="1" x14ac:dyDescent="0.25">
      <c r="A979" s="2"/>
      <c r="B979" s="2"/>
      <c r="C979" s="9"/>
      <c r="D979" s="9"/>
      <c r="E979" s="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9.5" customHeight="1" x14ac:dyDescent="0.25">
      <c r="A980" s="2"/>
      <c r="B980" s="2"/>
      <c r="C980" s="9"/>
      <c r="D980" s="9"/>
      <c r="E980" s="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9.5" customHeight="1" x14ac:dyDescent="0.25">
      <c r="A981" s="2"/>
      <c r="B981" s="2"/>
      <c r="C981" s="9"/>
      <c r="D981" s="9"/>
      <c r="E981" s="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9.5" customHeight="1" x14ac:dyDescent="0.25">
      <c r="A982" s="2"/>
      <c r="B982" s="2"/>
      <c r="C982" s="9"/>
      <c r="D982" s="9"/>
      <c r="E982" s="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9.5" customHeight="1" x14ac:dyDescent="0.25">
      <c r="A983" s="2"/>
      <c r="B983" s="2"/>
      <c r="C983" s="9"/>
      <c r="D983" s="9"/>
      <c r="E983" s="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9.5" customHeight="1" x14ac:dyDescent="0.25">
      <c r="A984" s="2"/>
      <c r="B984" s="2"/>
      <c r="C984" s="9"/>
      <c r="D984" s="9"/>
      <c r="E984" s="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9.5" customHeight="1" x14ac:dyDescent="0.25">
      <c r="A985" s="2"/>
      <c r="B985" s="2"/>
      <c r="C985" s="9"/>
      <c r="D985" s="9"/>
      <c r="E985" s="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9.5" customHeight="1" x14ac:dyDescent="0.25">
      <c r="A986" s="2"/>
      <c r="B986" s="2"/>
      <c r="C986" s="9"/>
      <c r="D986" s="9"/>
      <c r="E986" s="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9.5" customHeight="1" x14ac:dyDescent="0.25">
      <c r="A987" s="2"/>
      <c r="B987" s="2"/>
      <c r="C987" s="9"/>
      <c r="D987" s="9"/>
      <c r="E987" s="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9.5" customHeight="1" x14ac:dyDescent="0.25">
      <c r="A988" s="2"/>
      <c r="B988" s="2"/>
      <c r="C988" s="9"/>
      <c r="D988" s="9"/>
      <c r="E988" s="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9.5" customHeight="1" x14ac:dyDescent="0.25">
      <c r="A989" s="2"/>
      <c r="B989" s="2"/>
      <c r="C989" s="9"/>
      <c r="D989" s="9"/>
      <c r="E989" s="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9.5" customHeight="1" x14ac:dyDescent="0.25">
      <c r="A990" s="2"/>
      <c r="B990" s="2"/>
      <c r="C990" s="9"/>
      <c r="D990" s="9"/>
      <c r="E990" s="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9.5" customHeight="1" x14ac:dyDescent="0.25">
      <c r="A991" s="2"/>
      <c r="B991" s="2"/>
      <c r="C991" s="9"/>
      <c r="D991" s="9"/>
      <c r="E991" s="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9.5" customHeight="1" x14ac:dyDescent="0.25">
      <c r="A992" s="2"/>
      <c r="B992" s="2"/>
      <c r="C992" s="9"/>
      <c r="D992" s="9"/>
      <c r="E992" s="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ht="19.5" customHeight="1" x14ac:dyDescent="0.25">
      <c r="A993" s="2"/>
      <c r="B993" s="2"/>
      <c r="C993" s="9"/>
      <c r="D993" s="9"/>
      <c r="E993" s="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ht="19.5" customHeight="1" x14ac:dyDescent="0.25">
      <c r="A994" s="2"/>
      <c r="B994" s="2"/>
      <c r="C994" s="9"/>
      <c r="D994" s="9"/>
      <c r="E994" s="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ht="19.5" customHeight="1" x14ac:dyDescent="0.25">
      <c r="A995" s="2"/>
      <c r="B995" s="2"/>
      <c r="C995" s="9"/>
      <c r="D995" s="9"/>
      <c r="E995" s="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ht="19.5" customHeight="1" x14ac:dyDescent="0.25"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</sheetData>
  <pageMargins left="0.511811024" right="0.511811024" top="0.78740157499999996" bottom="0.78740157499999996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99"/>
  <sheetViews>
    <sheetView topLeftCell="A3" zoomScale="91" zoomScaleNormal="91" workbookViewId="0">
      <selection sqref="A1:D19"/>
    </sheetView>
  </sheetViews>
  <sheetFormatPr defaultColWidth="14.42578125" defaultRowHeight="15" customHeight="1" x14ac:dyDescent="0.25"/>
  <cols>
    <col min="1" max="1" width="64.42578125" customWidth="1"/>
    <col min="2" max="2" width="21.7109375" customWidth="1"/>
    <col min="3" max="3" width="14.28515625" style="23" customWidth="1"/>
    <col min="4" max="4" width="21.85546875" style="23" customWidth="1"/>
    <col min="5" max="5" width="21.7109375" style="23" hidden="1" customWidth="1"/>
    <col min="6" max="6" width="32.140625" customWidth="1"/>
    <col min="7" max="7" width="19.28515625" bestFit="1" customWidth="1"/>
    <col min="8" max="8" width="14.28515625" customWidth="1"/>
    <col min="9" max="18" width="9.140625" customWidth="1"/>
  </cols>
  <sheetData>
    <row r="1" spans="1:18" ht="21.75" x14ac:dyDescent="0.25">
      <c r="A1" s="146" t="s">
        <v>0</v>
      </c>
      <c r="B1" s="148" t="s">
        <v>107</v>
      </c>
      <c r="C1" s="149"/>
      <c r="D1" s="150"/>
      <c r="E1" s="66" t="s">
        <v>1</v>
      </c>
    </row>
    <row r="2" spans="1:18" ht="22.5" customHeight="1" thickBot="1" x14ac:dyDescent="0.3">
      <c r="A2" s="147"/>
      <c r="B2" s="56" t="s">
        <v>15</v>
      </c>
      <c r="C2" s="57" t="s">
        <v>16</v>
      </c>
      <c r="D2" s="57" t="s">
        <v>136</v>
      </c>
      <c r="E2" s="67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2.5" customHeight="1" thickBot="1" x14ac:dyDescent="0.3">
      <c r="A3" s="30" t="s">
        <v>64</v>
      </c>
      <c r="B3" s="5">
        <f>Relatório!C24</f>
        <v>167974.53</v>
      </c>
      <c r="C3" s="6">
        <f t="shared" ref="C3:C17" si="0">B3/B$18</f>
        <v>0.13415032782047354</v>
      </c>
      <c r="D3" s="129">
        <f>B3/ORÇAMENTO_EXECUTIVO_EDIFICAÇÕES!H$3</f>
        <v>359.24233286282566</v>
      </c>
      <c r="E3" s="130" t="str">
        <f>FIXED(CÁLCULO_MÉDIAS!M10,2,FALSE)&amp;" "&amp;"-"&amp;FIXED(CÁLCULO_MÉDIAS!N10,2,FALSE)</f>
        <v>945,00 -960,00</v>
      </c>
      <c r="F3" s="131"/>
      <c r="G3" s="26" t="s">
        <v>25</v>
      </c>
      <c r="H3" s="27">
        <v>467.57999999999993</v>
      </c>
      <c r="I3" s="28" t="s">
        <v>26</v>
      </c>
      <c r="J3" s="2"/>
      <c r="K3" s="2"/>
      <c r="L3" s="2"/>
      <c r="M3" s="2"/>
      <c r="N3" s="2"/>
      <c r="O3" s="2"/>
      <c r="P3" s="2"/>
      <c r="Q3" s="2"/>
      <c r="R3" s="2"/>
    </row>
    <row r="4" spans="1:18" ht="19.5" customHeight="1" x14ac:dyDescent="0.25">
      <c r="A4" s="29" t="s">
        <v>5</v>
      </c>
      <c r="B4" s="19">
        <f>Relatório!C25</f>
        <v>350716.47</v>
      </c>
      <c r="C4" s="4">
        <f t="shared" si="0"/>
        <v>0.28009442516397731</v>
      </c>
      <c r="D4" s="132">
        <f>B4/ORÇAMENTO_EXECUTIVO_EDIFICAÇÕES!H$3</f>
        <v>750.06730399076105</v>
      </c>
      <c r="E4" s="133" t="str">
        <f>FIXED(CÁLCULO_MÉDIAS!M11,2,FALSE)&amp;" "&amp;"-"&amp;FIXED(CÁLCULO_MÉDIAS!N11,2,FALSE)</f>
        <v>545,00 -555,00</v>
      </c>
      <c r="F4" s="131"/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9.5" customHeight="1" x14ac:dyDescent="0.25">
      <c r="A5" s="30" t="s">
        <v>67</v>
      </c>
      <c r="B5" s="5">
        <f>Relatório!C26</f>
        <v>60847.27</v>
      </c>
      <c r="C5" s="6">
        <f t="shared" si="0"/>
        <v>4.8594755511331772E-2</v>
      </c>
      <c r="D5" s="129">
        <f>B5/ORÇAMENTO_EXECUTIVO_EDIFICAÇÕES!H$3</f>
        <v>130.1323196030626</v>
      </c>
      <c r="E5" s="130" t="str">
        <f>FIXED(CÁLCULO_MÉDIAS!M12,2,FALSE)&amp;" "&amp;"-"&amp;FIXED(CÁLCULO_MÉDIAS!N12,2,FALSE)</f>
        <v>250,00 -260,00</v>
      </c>
      <c r="F5" s="131"/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9.5" customHeight="1" x14ac:dyDescent="0.25">
      <c r="A6" s="29" t="s">
        <v>7</v>
      </c>
      <c r="B6" s="19">
        <f>Relatório!C27+Relatório!C28+Relatório!C29</f>
        <v>84002.18</v>
      </c>
      <c r="C6" s="4">
        <f t="shared" si="0"/>
        <v>6.7087075550289824E-2</v>
      </c>
      <c r="D6" s="132">
        <f>B6/ORÇAMENTO_EXECUTIVO_EDIFICAÇÕES!H$3</f>
        <v>179.65306471619832</v>
      </c>
      <c r="E6" s="133" t="str">
        <f>FIXED(CÁLCULO_MÉDIAS!M13,2,FALSE)&amp;" "&amp;"-"&amp;FIXED(CÁLCULO_MÉDIAS!N13,2,FALSE)</f>
        <v>670,00 -680,00</v>
      </c>
      <c r="F6" s="13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9.5" customHeight="1" x14ac:dyDescent="0.25">
      <c r="A7" s="30" t="s">
        <v>21</v>
      </c>
      <c r="B7" s="5">
        <f>Relatório!C30+Relatório!C31</f>
        <v>9234</v>
      </c>
      <c r="C7" s="6">
        <f t="shared" si="0"/>
        <v>7.374594988265498E-3</v>
      </c>
      <c r="D7" s="129">
        <f>B7/ORÇAMENTO_EXECUTIVO_EDIFICAÇÕES!H$3</f>
        <v>19.748492236622614</v>
      </c>
      <c r="E7" s="130" t="str">
        <f>FIXED(CÁLCULO_MÉDIAS!M14,2,FALSE)&amp;" "&amp;"-"&amp;FIXED(CÁLCULO_MÉDIAS!N14,2,FALSE)</f>
        <v>90,00 -100,00</v>
      </c>
      <c r="F7" s="134"/>
      <c r="G7" s="9"/>
      <c r="H7" s="24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9.5" customHeight="1" x14ac:dyDescent="0.25">
      <c r="A8" s="29" t="s">
        <v>8</v>
      </c>
      <c r="B8" s="19">
        <f>Relatório!C32</f>
        <v>52563.45</v>
      </c>
      <c r="C8" s="4">
        <f t="shared" si="0"/>
        <v>4.19790074654477E-2</v>
      </c>
      <c r="D8" s="132">
        <f>B8/ORÇAMENTO_EXECUTIVO_EDIFICAÇÕES!H$3</f>
        <v>112.41595021172849</v>
      </c>
      <c r="E8" s="133" t="str">
        <f>FIXED(CÁLCULO_MÉDIAS!M15,2,FALSE)&amp;" "&amp;"-"&amp;FIXED(CÁLCULO_MÉDIAS!N15,2,FALSE)</f>
        <v>330,00 -340,00</v>
      </c>
      <c r="F8" s="131"/>
      <c r="G8" s="2"/>
      <c r="H8" s="25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9.5" customHeight="1" x14ac:dyDescent="0.25">
      <c r="A9" s="30" t="s">
        <v>80</v>
      </c>
      <c r="B9" s="5">
        <f>Relatório!C33</f>
        <v>69720.98</v>
      </c>
      <c r="C9" s="6">
        <f t="shared" si="0"/>
        <v>5.5681610318925601E-2</v>
      </c>
      <c r="D9" s="129">
        <f>B9/ORÇAMENTO_EXECUTIVO_EDIFICAÇÕES!H$3</f>
        <v>149.11026990033793</v>
      </c>
      <c r="E9" s="130" t="str">
        <f>FIXED(CÁLCULO_MÉDIAS!M16,2,FALSE)&amp;" "&amp;"-"&amp;FIXED(CÁLCULO_MÉDIAS!N16,2,FALSE)</f>
        <v>240,00 -250,00</v>
      </c>
      <c r="F9" s="131"/>
      <c r="G9" s="2"/>
      <c r="H9" s="8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9.5" customHeight="1" x14ac:dyDescent="0.25">
      <c r="A10" s="29" t="s">
        <v>82</v>
      </c>
      <c r="B10" s="19">
        <f>Relatório!C34</f>
        <v>73129.240000000005</v>
      </c>
      <c r="C10" s="4">
        <f t="shared" si="0"/>
        <v>5.8403565821926018E-2</v>
      </c>
      <c r="D10" s="132">
        <f>B10/ORÇAMENTO_EXECUTIVO_EDIFICAÇÕES!H$3</f>
        <v>156.39941828136367</v>
      </c>
      <c r="E10" s="133" t="str">
        <f>FIXED(CÁLCULO_MÉDIAS!M17,2,FALSE)&amp;" "&amp;"-"&amp;FIXED(CÁLCULO_MÉDIAS!N17,2,FALSE)</f>
        <v>340,00 -350,00</v>
      </c>
      <c r="F10" s="131"/>
      <c r="G10" s="2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9.5" customHeight="1" x14ac:dyDescent="0.25">
      <c r="A11" s="30" t="s">
        <v>84</v>
      </c>
      <c r="B11" s="5">
        <f>Relatório!C35</f>
        <v>9770.91</v>
      </c>
      <c r="C11" s="6">
        <f t="shared" si="0"/>
        <v>7.8033900711277065E-3</v>
      </c>
      <c r="D11" s="129">
        <f>B11/ORÇAMENTO_EXECUTIVO_EDIFICAÇÕES!H$3</f>
        <v>20.896766328756581</v>
      </c>
      <c r="E11" s="130" t="str">
        <f>FIXED(CÁLCULO_MÉDIAS!M18,2,FALSE)&amp;" "&amp;"-"&amp;FIXED(CÁLCULO_MÉDIAS!N18,2,FALSE)</f>
        <v>180,00 -190,00</v>
      </c>
      <c r="F11" s="131"/>
      <c r="G11" s="2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9.5" customHeight="1" x14ac:dyDescent="0.25">
      <c r="A12" s="29" t="s">
        <v>86</v>
      </c>
      <c r="B12" s="19">
        <f>Relatório!C36</f>
        <v>52909.4</v>
      </c>
      <c r="C12" s="4">
        <f t="shared" si="0"/>
        <v>4.2255295221153844E-2</v>
      </c>
      <c r="D12" s="132">
        <f>B12/ORÇAMENTO_EXECUTIVO_EDIFICAÇÕES!H$3</f>
        <v>113.15582360237822</v>
      </c>
      <c r="E12" s="133" t="str">
        <f>FIXED(CÁLCULO_MÉDIAS!M19,2,FALSE)&amp;" "&amp;"-"&amp;FIXED(CÁLCULO_MÉDIAS!N19,2,FALSE)</f>
        <v>50,00 -55,00</v>
      </c>
      <c r="F12" s="13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9.5" customHeight="1" x14ac:dyDescent="0.25">
      <c r="A13" s="30" t="s">
        <v>10</v>
      </c>
      <c r="B13" s="5">
        <f>Relatório!C37</f>
        <v>37948.97</v>
      </c>
      <c r="C13" s="6">
        <f t="shared" si="0"/>
        <v>3.0307373183001706E-2</v>
      </c>
      <c r="D13" s="129">
        <f>B13/ORÇAMENTO_EXECUTIVO_EDIFICAÇÕES!H$3</f>
        <v>81.160378972582251</v>
      </c>
      <c r="E13" s="130" t="str">
        <f>FIXED(CÁLCULO_MÉDIAS!M20,2,FALSE)&amp;" "&amp;"-"&amp;FIXED(CÁLCULO_MÉDIAS!N20,2,FALSE)</f>
        <v>260,00 -270,00</v>
      </c>
      <c r="F13" s="13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9.5" customHeight="1" x14ac:dyDescent="0.25">
      <c r="A14" s="29" t="s">
        <v>89</v>
      </c>
      <c r="B14" s="19">
        <f>Relatório!C38</f>
        <v>160231.53</v>
      </c>
      <c r="C14" s="4">
        <f t="shared" si="0"/>
        <v>0.12796649752004688</v>
      </c>
      <c r="D14" s="132">
        <f>B14/ORÇAMENTO_EXECUTIVO_EDIFICAÇÕES!H$3</f>
        <v>342.68259976902351</v>
      </c>
      <c r="E14" s="133" t="str">
        <f>FIXED(CÁLCULO_MÉDIAS!M21,2,FALSE)&amp;" "&amp;"-"&amp;FIXED(CÁLCULO_MÉDIAS!N21,2,FALSE)</f>
        <v>630,00 -640,00</v>
      </c>
      <c r="F14" s="13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9.5" customHeight="1" x14ac:dyDescent="0.25">
      <c r="A15" s="30" t="s">
        <v>91</v>
      </c>
      <c r="B15" s="5">
        <f>Relatório!C39</f>
        <v>7922.55</v>
      </c>
      <c r="C15" s="6">
        <f t="shared" si="0"/>
        <v>6.327225202976264E-3</v>
      </c>
      <c r="D15" s="129">
        <f>B15/ORÇAMENTO_EXECUTIVO_EDIFICAÇÕES!H$3</f>
        <v>16.943731553958685</v>
      </c>
      <c r="E15" s="130" t="str">
        <f>FIXED(CÁLCULO_MÉDIAS!M22,2,FALSE)&amp;" "&amp;"-"&amp;FIXED(CÁLCULO_MÉDIAS!N22,2,FALSE)</f>
        <v>10,00 -20,00</v>
      </c>
      <c r="F15" s="13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9.5" customHeight="1" x14ac:dyDescent="0.25">
      <c r="A16" s="29" t="s">
        <v>20</v>
      </c>
      <c r="B16" s="19">
        <f>Relatório!C40</f>
        <v>63023.18</v>
      </c>
      <c r="C16" s="4">
        <f t="shared" si="0"/>
        <v>5.033251325238839E-2</v>
      </c>
      <c r="D16" s="132">
        <f>B16/ORÇAMENTO_EXECUTIVO_EDIFICAÇÕES!H$3</f>
        <v>134.78587621369607</v>
      </c>
      <c r="E16" s="133" t="str">
        <f>FIXED(CÁLCULO_MÉDIAS!M23,2,FALSE)&amp;" "&amp;"-"&amp;FIXED(CÁLCULO_MÉDIAS!N23,2,FALSE)</f>
        <v>270,00 -280,00</v>
      </c>
      <c r="F16" s="13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9.5" customHeight="1" x14ac:dyDescent="0.25">
      <c r="A17" s="30" t="s">
        <v>12</v>
      </c>
      <c r="B17" s="5">
        <f>Relatório!C41</f>
        <v>52141.9</v>
      </c>
      <c r="C17" s="6">
        <f t="shared" si="0"/>
        <v>4.1642342908668049E-2</v>
      </c>
      <c r="D17" s="129">
        <f>B17/ORÇAMENTO_EXECUTIVO_EDIFICAÇÕES!H$3</f>
        <v>111.51439325890759</v>
      </c>
      <c r="E17" s="130" t="str">
        <f>FIXED(CÁLCULO_MÉDIAS!M24,2,FALSE)&amp;" "&amp;"-"&amp;FIXED(CÁLCULO_MÉDIAS!N24,2,FALSE)</f>
        <v>305,00 -315,00</v>
      </c>
      <c r="F17" s="13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9.5" customHeight="1" x14ac:dyDescent="0.25">
      <c r="A18" s="97" t="s">
        <v>14</v>
      </c>
      <c r="B18" s="58">
        <f>SUM(B3:B17)</f>
        <v>1252136.5599999998</v>
      </c>
      <c r="C18" s="59">
        <f>SUM(C3:C17)</f>
        <v>1</v>
      </c>
      <c r="D18" s="60">
        <f>SUM(D3:D17)</f>
        <v>2677.9087215022028</v>
      </c>
      <c r="E18" s="144" t="str">
        <f>FIXED(CÁLCULO_MÉDIAS!M26,2,FALSE)&amp;" "&amp;"-"&amp;FIXED(CÁLCULO_MÉDIAS!N26,2,FALSE)</f>
        <v>5.115,00 -5.265,00</v>
      </c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9.5" customHeight="1" thickBot="1" x14ac:dyDescent="0.3">
      <c r="A19" s="98" t="s">
        <v>103</v>
      </c>
      <c r="B19" s="99">
        <v>2232.64</v>
      </c>
      <c r="C19" s="100">
        <v>45047</v>
      </c>
      <c r="D19" s="101">
        <f>+D18/B19</f>
        <v>1.1994359688540037</v>
      </c>
      <c r="E19" s="145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22.5" customHeight="1" x14ac:dyDescent="0.25">
      <c r="A20" s="2"/>
      <c r="B20" s="2"/>
      <c r="C20" s="9"/>
      <c r="D20" s="9"/>
      <c r="E20" s="9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22.5" customHeight="1" x14ac:dyDescent="0.25">
      <c r="A21" s="2"/>
      <c r="B21" s="8"/>
      <c r="C21" s="9"/>
      <c r="D21" s="9"/>
      <c r="E21" s="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" customHeight="1" x14ac:dyDescent="0.25">
      <c r="A22" s="2"/>
      <c r="B22" s="2"/>
      <c r="C22" s="9"/>
      <c r="D22" s="9"/>
      <c r="E22" s="9"/>
      <c r="F22" s="2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9.5" customHeight="1" x14ac:dyDescent="0.25">
      <c r="A23" s="2"/>
      <c r="B23" s="2"/>
      <c r="C23" s="9"/>
      <c r="D23" s="9"/>
      <c r="E23" s="9"/>
      <c r="F23" s="10"/>
      <c r="G23" s="2"/>
      <c r="H23" s="8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9.5" customHeight="1" x14ac:dyDescent="0.45">
      <c r="A24" s="2"/>
      <c r="B24" s="2"/>
      <c r="C24" s="9"/>
      <c r="D24" s="9"/>
      <c r="E24" s="9"/>
      <c r="F24" s="11"/>
      <c r="G24" s="8"/>
      <c r="H24" s="8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9.5" customHeight="1" x14ac:dyDescent="0.25">
      <c r="A25" s="2"/>
      <c r="B25" s="2"/>
      <c r="C25" s="9"/>
      <c r="D25" s="9"/>
      <c r="E25" s="9"/>
      <c r="F25" s="12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9.5" customHeight="1" x14ac:dyDescent="0.25">
      <c r="A26" s="2"/>
      <c r="B26" s="2"/>
      <c r="C26" s="9"/>
      <c r="D26" s="9"/>
      <c r="E26" s="9"/>
      <c r="F26" s="2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9.5" customHeight="1" x14ac:dyDescent="0.25">
      <c r="A27" s="2"/>
      <c r="B27" s="2"/>
      <c r="C27" s="9"/>
      <c r="D27" s="9"/>
      <c r="E27" s="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9.5" customHeight="1" x14ac:dyDescent="0.25">
      <c r="A28" s="2"/>
      <c r="B28" s="2"/>
      <c r="C28" s="9"/>
      <c r="D28" s="9"/>
      <c r="E28" s="9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9.5" customHeight="1" x14ac:dyDescent="0.25">
      <c r="A29" s="2"/>
      <c r="B29" s="2"/>
      <c r="C29" s="9"/>
      <c r="D29" s="9"/>
      <c r="E29" s="9"/>
      <c r="F29" s="2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9.5" customHeight="1" x14ac:dyDescent="0.25">
      <c r="A30" s="2"/>
      <c r="B30" s="2"/>
      <c r="C30" s="9"/>
      <c r="D30" s="9"/>
      <c r="E30" s="9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9.5" customHeight="1" x14ac:dyDescent="0.25">
      <c r="A31" s="2"/>
      <c r="B31" s="2"/>
      <c r="C31" s="9"/>
      <c r="D31" s="9"/>
      <c r="E31" s="9"/>
      <c r="F31" s="2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9.5" customHeight="1" x14ac:dyDescent="0.25">
      <c r="A32" s="2"/>
      <c r="B32" s="2"/>
      <c r="C32" s="9"/>
      <c r="D32" s="9"/>
      <c r="E32" s="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9.5" customHeight="1" x14ac:dyDescent="0.25">
      <c r="A33" s="2"/>
      <c r="B33" s="2"/>
      <c r="C33" s="9"/>
      <c r="D33" s="9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9.5" customHeight="1" x14ac:dyDescent="0.25">
      <c r="A34" s="2"/>
      <c r="B34" s="2"/>
      <c r="C34" s="9"/>
      <c r="D34" s="9"/>
      <c r="E34" s="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9.5" customHeight="1" x14ac:dyDescent="0.25">
      <c r="A35" s="2"/>
      <c r="B35" s="2"/>
      <c r="C35" s="9"/>
      <c r="D35" s="9"/>
      <c r="E35" s="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9.5" customHeight="1" x14ac:dyDescent="0.25">
      <c r="A36" s="2"/>
      <c r="B36" s="2"/>
      <c r="C36" s="9"/>
      <c r="D36" s="9"/>
      <c r="E36" s="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9.5" customHeight="1" x14ac:dyDescent="0.25">
      <c r="A37" s="2"/>
      <c r="B37" s="2"/>
      <c r="C37" s="9"/>
      <c r="D37" s="9"/>
      <c r="E37" s="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9.5" customHeight="1" x14ac:dyDescent="0.25">
      <c r="A38" s="2"/>
      <c r="B38" s="2"/>
      <c r="C38" s="9"/>
      <c r="D38" s="9"/>
      <c r="E38" s="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9.5" customHeight="1" x14ac:dyDescent="0.25">
      <c r="A39" s="2"/>
      <c r="B39" s="2"/>
      <c r="C39" s="9"/>
      <c r="D39" s="9"/>
      <c r="E39" s="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9.5" customHeight="1" x14ac:dyDescent="0.25">
      <c r="A40" s="2"/>
      <c r="B40" s="2"/>
      <c r="C40" s="9"/>
      <c r="D40" s="9"/>
      <c r="E40" s="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9.5" customHeight="1" x14ac:dyDescent="0.25">
      <c r="A41" s="2"/>
      <c r="B41" s="2"/>
      <c r="C41" s="9"/>
      <c r="D41" s="9"/>
      <c r="E41" s="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9.5" customHeight="1" x14ac:dyDescent="0.25">
      <c r="A42" s="2"/>
      <c r="B42" s="2"/>
      <c r="C42" s="9"/>
      <c r="D42" s="9"/>
      <c r="E42" s="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9.5" customHeight="1" x14ac:dyDescent="0.25">
      <c r="A43" s="2"/>
      <c r="B43" s="2"/>
      <c r="C43" s="9"/>
      <c r="D43" s="9"/>
      <c r="E43" s="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9.5" customHeight="1" x14ac:dyDescent="0.25">
      <c r="A44" s="2"/>
      <c r="B44" s="2"/>
      <c r="C44" s="9"/>
      <c r="D44" s="9"/>
      <c r="E44" s="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9.5" customHeight="1" x14ac:dyDescent="0.25">
      <c r="A45" s="2"/>
      <c r="B45" s="2"/>
      <c r="C45" s="9"/>
      <c r="D45" s="9"/>
      <c r="E45" s="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9.5" customHeight="1" x14ac:dyDescent="0.25">
      <c r="A46" s="2"/>
      <c r="B46" s="2"/>
      <c r="C46" s="9"/>
      <c r="D46" s="9"/>
      <c r="E46" s="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9.5" customHeight="1" x14ac:dyDescent="0.25">
      <c r="A47" s="2"/>
      <c r="B47" s="2"/>
      <c r="C47" s="9"/>
      <c r="D47" s="9"/>
      <c r="E47" s="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9.5" customHeight="1" x14ac:dyDescent="0.25">
      <c r="A48" s="2"/>
      <c r="B48" s="2"/>
      <c r="C48" s="9"/>
      <c r="D48" s="9"/>
      <c r="E48" s="9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9.5" customHeight="1" x14ac:dyDescent="0.25">
      <c r="A49" s="2"/>
      <c r="B49" s="2"/>
      <c r="C49" s="9"/>
      <c r="D49" s="9"/>
      <c r="E49" s="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9.5" customHeight="1" x14ac:dyDescent="0.25">
      <c r="A50" s="2"/>
      <c r="B50" s="2"/>
      <c r="C50" s="9"/>
      <c r="D50" s="9"/>
      <c r="E50" s="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9.5" customHeight="1" x14ac:dyDescent="0.25">
      <c r="A51" s="2"/>
      <c r="B51" s="2"/>
      <c r="C51" s="9"/>
      <c r="D51" s="9"/>
      <c r="E51" s="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9.5" customHeight="1" x14ac:dyDescent="0.25">
      <c r="A52" s="2"/>
      <c r="B52" s="2"/>
      <c r="C52" s="9"/>
      <c r="D52" s="9"/>
      <c r="E52" s="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9.5" customHeight="1" x14ac:dyDescent="0.25">
      <c r="A53" s="2"/>
      <c r="B53" s="2"/>
      <c r="C53" s="9"/>
      <c r="D53" s="9"/>
      <c r="E53" s="9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9.5" customHeight="1" x14ac:dyDescent="0.25">
      <c r="A54" s="2"/>
      <c r="B54" s="2"/>
      <c r="C54" s="9"/>
      <c r="D54" s="9"/>
      <c r="E54" s="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9.5" customHeight="1" x14ac:dyDescent="0.25">
      <c r="A55" s="2"/>
      <c r="B55" s="2"/>
      <c r="C55" s="9"/>
      <c r="D55" s="9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9.5" customHeight="1" x14ac:dyDescent="0.25">
      <c r="A56" s="2"/>
      <c r="B56" s="2"/>
      <c r="C56" s="9"/>
      <c r="D56" s="9"/>
      <c r="E56" s="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9.5" customHeight="1" x14ac:dyDescent="0.25">
      <c r="A57" s="2"/>
      <c r="B57" s="2"/>
      <c r="C57" s="9"/>
      <c r="D57" s="9"/>
      <c r="E57" s="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9.5" customHeight="1" x14ac:dyDescent="0.25">
      <c r="A58" s="2"/>
      <c r="B58" s="2"/>
      <c r="C58" s="9"/>
      <c r="D58" s="9"/>
      <c r="E58" s="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9.5" customHeight="1" x14ac:dyDescent="0.25">
      <c r="A59" s="2"/>
      <c r="B59" s="2"/>
      <c r="C59" s="9"/>
      <c r="D59" s="9"/>
      <c r="E59" s="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9.5" customHeight="1" x14ac:dyDescent="0.25">
      <c r="A60" s="2"/>
      <c r="B60" s="2"/>
      <c r="C60" s="9"/>
      <c r="D60" s="9"/>
      <c r="E60" s="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9.5" customHeight="1" x14ac:dyDescent="0.25">
      <c r="A61" s="2"/>
      <c r="B61" s="2"/>
      <c r="C61" s="9"/>
      <c r="D61" s="9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9.5" customHeight="1" x14ac:dyDescent="0.25">
      <c r="A62" s="2"/>
      <c r="B62" s="2"/>
      <c r="C62" s="9"/>
      <c r="D62" s="9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9.5" customHeight="1" x14ac:dyDescent="0.25">
      <c r="A63" s="2"/>
      <c r="B63" s="2"/>
      <c r="C63" s="9"/>
      <c r="D63" s="9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9.5" customHeight="1" x14ac:dyDescent="0.25">
      <c r="A64" s="2"/>
      <c r="B64" s="2"/>
      <c r="C64" s="9"/>
      <c r="D64" s="9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9.5" customHeight="1" x14ac:dyDescent="0.25">
      <c r="A65" s="2"/>
      <c r="B65" s="2"/>
      <c r="C65" s="9"/>
      <c r="D65" s="9"/>
      <c r="E65" s="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9.5" customHeight="1" x14ac:dyDescent="0.25">
      <c r="A66" s="2"/>
      <c r="B66" s="2"/>
      <c r="C66" s="9"/>
      <c r="D66" s="9"/>
      <c r="E66" s="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9.5" customHeight="1" x14ac:dyDescent="0.25">
      <c r="A67" s="2"/>
      <c r="B67" s="2"/>
      <c r="C67" s="9"/>
      <c r="D67" s="9"/>
      <c r="E67" s="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9.5" customHeight="1" x14ac:dyDescent="0.25">
      <c r="A68" s="2"/>
      <c r="B68" s="2"/>
      <c r="C68" s="9"/>
      <c r="D68" s="9"/>
      <c r="E68" s="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9.5" customHeight="1" x14ac:dyDescent="0.25">
      <c r="A69" s="2"/>
      <c r="B69" s="2"/>
      <c r="C69" s="9"/>
      <c r="D69" s="9"/>
      <c r="E69" s="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9.5" customHeight="1" x14ac:dyDescent="0.25">
      <c r="A70" s="2"/>
      <c r="B70" s="2"/>
      <c r="C70" s="9"/>
      <c r="D70" s="9"/>
      <c r="E70" s="9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9.5" customHeight="1" x14ac:dyDescent="0.25">
      <c r="A71" s="2"/>
      <c r="B71" s="2"/>
      <c r="C71" s="9"/>
      <c r="D71" s="9"/>
      <c r="E71" s="9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9.5" customHeight="1" x14ac:dyDescent="0.25">
      <c r="A72" s="2"/>
      <c r="B72" s="2"/>
      <c r="C72" s="9"/>
      <c r="D72" s="9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9.5" customHeight="1" x14ac:dyDescent="0.25">
      <c r="A73" s="2"/>
      <c r="B73" s="2"/>
      <c r="C73" s="9"/>
      <c r="D73" s="9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9.5" customHeight="1" x14ac:dyDescent="0.25">
      <c r="A74" s="2"/>
      <c r="B74" s="2"/>
      <c r="C74" s="9"/>
      <c r="D74" s="9"/>
      <c r="E74" s="9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9.5" customHeight="1" x14ac:dyDescent="0.25">
      <c r="A75" s="2"/>
      <c r="B75" s="2"/>
      <c r="C75" s="9"/>
      <c r="D75" s="9"/>
      <c r="E75" s="9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9.5" customHeight="1" x14ac:dyDescent="0.25">
      <c r="A76" s="2"/>
      <c r="B76" s="2"/>
      <c r="C76" s="9"/>
      <c r="D76" s="9"/>
      <c r="E76" s="9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9.5" customHeight="1" x14ac:dyDescent="0.25">
      <c r="A77" s="2"/>
      <c r="B77" s="2"/>
      <c r="C77" s="9"/>
      <c r="D77" s="9"/>
      <c r="E77" s="9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9.5" customHeight="1" x14ac:dyDescent="0.25">
      <c r="A78" s="2"/>
      <c r="B78" s="2"/>
      <c r="C78" s="9"/>
      <c r="D78" s="9"/>
      <c r="E78" s="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9.5" customHeight="1" x14ac:dyDescent="0.25">
      <c r="A79" s="2"/>
      <c r="B79" s="2"/>
      <c r="C79" s="9"/>
      <c r="D79" s="9"/>
      <c r="E79" s="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9.5" customHeight="1" x14ac:dyDescent="0.25">
      <c r="A80" s="2"/>
      <c r="B80" s="2"/>
      <c r="C80" s="9"/>
      <c r="D80" s="9"/>
      <c r="E80" s="9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9.5" customHeight="1" x14ac:dyDescent="0.25">
      <c r="A81" s="2"/>
      <c r="B81" s="2"/>
      <c r="C81" s="9"/>
      <c r="D81" s="9"/>
      <c r="E81" s="9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9.5" customHeight="1" x14ac:dyDescent="0.25">
      <c r="A82" s="2"/>
      <c r="B82" s="2"/>
      <c r="C82" s="9"/>
      <c r="D82" s="9"/>
      <c r="E82" s="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9.5" customHeight="1" x14ac:dyDescent="0.25">
      <c r="A83" s="2"/>
      <c r="B83" s="2"/>
      <c r="C83" s="9"/>
      <c r="D83" s="9"/>
      <c r="E83" s="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9.5" customHeight="1" x14ac:dyDescent="0.25">
      <c r="A84" s="2"/>
      <c r="B84" s="2"/>
      <c r="C84" s="9"/>
      <c r="D84" s="9"/>
      <c r="E84" s="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9.5" customHeight="1" x14ac:dyDescent="0.25">
      <c r="A85" s="2"/>
      <c r="B85" s="2"/>
      <c r="C85" s="9"/>
      <c r="D85" s="9"/>
      <c r="E85" s="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9.5" customHeight="1" x14ac:dyDescent="0.25">
      <c r="A86" s="2"/>
      <c r="B86" s="2"/>
      <c r="C86" s="9"/>
      <c r="D86" s="9"/>
      <c r="E86" s="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9.5" customHeight="1" x14ac:dyDescent="0.25">
      <c r="A87" s="2"/>
      <c r="B87" s="2"/>
      <c r="C87" s="9"/>
      <c r="D87" s="9"/>
      <c r="E87" s="9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9.5" customHeight="1" x14ac:dyDescent="0.25">
      <c r="A88" s="2"/>
      <c r="B88" s="2"/>
      <c r="C88" s="9"/>
      <c r="D88" s="9"/>
      <c r="E88" s="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9.5" customHeight="1" x14ac:dyDescent="0.25">
      <c r="A89" s="2"/>
      <c r="B89" s="2"/>
      <c r="C89" s="9"/>
      <c r="D89" s="9"/>
      <c r="E89" s="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9.5" customHeight="1" x14ac:dyDescent="0.25">
      <c r="A90" s="2"/>
      <c r="B90" s="2"/>
      <c r="C90" s="9"/>
      <c r="D90" s="9"/>
      <c r="E90" s="9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9.5" customHeight="1" x14ac:dyDescent="0.25">
      <c r="A91" s="2"/>
      <c r="B91" s="2"/>
      <c r="C91" s="9"/>
      <c r="D91" s="9"/>
      <c r="E91" s="9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9.5" customHeight="1" x14ac:dyDescent="0.25">
      <c r="A92" s="2"/>
      <c r="B92" s="2"/>
      <c r="C92" s="9"/>
      <c r="D92" s="9"/>
      <c r="E92" s="9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9.5" customHeight="1" x14ac:dyDescent="0.25">
      <c r="A93" s="2"/>
      <c r="B93" s="2"/>
      <c r="C93" s="9"/>
      <c r="D93" s="9"/>
      <c r="E93" s="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9.5" customHeight="1" x14ac:dyDescent="0.25">
      <c r="A94" s="2"/>
      <c r="B94" s="2"/>
      <c r="C94" s="9"/>
      <c r="D94" s="9"/>
      <c r="E94" s="9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9.5" customHeight="1" x14ac:dyDescent="0.25">
      <c r="A95" s="2"/>
      <c r="B95" s="2"/>
      <c r="C95" s="9"/>
      <c r="D95" s="9"/>
      <c r="E95" s="9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9.5" customHeight="1" x14ac:dyDescent="0.25">
      <c r="A96" s="2"/>
      <c r="B96" s="2"/>
      <c r="C96" s="9"/>
      <c r="D96" s="9"/>
      <c r="E96" s="9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9.5" customHeight="1" x14ac:dyDescent="0.25">
      <c r="A97" s="2"/>
      <c r="B97" s="2"/>
      <c r="C97" s="9"/>
      <c r="D97" s="9"/>
      <c r="E97" s="9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9.5" customHeight="1" x14ac:dyDescent="0.25">
      <c r="A98" s="2"/>
      <c r="B98" s="2"/>
      <c r="C98" s="9"/>
      <c r="D98" s="9"/>
      <c r="E98" s="9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9.5" customHeight="1" x14ac:dyDescent="0.25">
      <c r="A99" s="2"/>
      <c r="B99" s="2"/>
      <c r="C99" s="9"/>
      <c r="D99" s="9"/>
      <c r="E99" s="9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9.5" customHeight="1" x14ac:dyDescent="0.25">
      <c r="A100" s="2"/>
      <c r="B100" s="2"/>
      <c r="C100" s="9"/>
      <c r="D100" s="9"/>
      <c r="E100" s="9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9.5" customHeight="1" x14ac:dyDescent="0.25">
      <c r="A101" s="2"/>
      <c r="B101" s="2"/>
      <c r="C101" s="9"/>
      <c r="D101" s="9"/>
      <c r="E101" s="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9.5" customHeight="1" x14ac:dyDescent="0.25">
      <c r="A102" s="2"/>
      <c r="B102" s="2"/>
      <c r="C102" s="9"/>
      <c r="D102" s="9"/>
      <c r="E102" s="9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9.5" customHeight="1" x14ac:dyDescent="0.25">
      <c r="A103" s="2"/>
      <c r="B103" s="2"/>
      <c r="C103" s="9"/>
      <c r="D103" s="9"/>
      <c r="E103" s="9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9.5" customHeight="1" x14ac:dyDescent="0.25">
      <c r="A104" s="2"/>
      <c r="B104" s="2"/>
      <c r="C104" s="9"/>
      <c r="D104" s="9"/>
      <c r="E104" s="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9.5" customHeight="1" x14ac:dyDescent="0.25">
      <c r="A105" s="2"/>
      <c r="B105" s="2"/>
      <c r="C105" s="9"/>
      <c r="D105" s="9"/>
      <c r="E105" s="9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9.5" customHeight="1" x14ac:dyDescent="0.25">
      <c r="A106" s="2"/>
      <c r="B106" s="2"/>
      <c r="C106" s="9"/>
      <c r="D106" s="9"/>
      <c r="E106" s="9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9.5" customHeight="1" x14ac:dyDescent="0.25">
      <c r="A107" s="2"/>
      <c r="B107" s="2"/>
      <c r="C107" s="9"/>
      <c r="D107" s="9"/>
      <c r="E107" s="9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9.5" customHeight="1" x14ac:dyDescent="0.25">
      <c r="A108" s="2"/>
      <c r="B108" s="2"/>
      <c r="C108" s="9"/>
      <c r="D108" s="9"/>
      <c r="E108" s="9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9.5" customHeight="1" x14ac:dyDescent="0.25">
      <c r="A109" s="2"/>
      <c r="B109" s="2"/>
      <c r="C109" s="9"/>
      <c r="D109" s="9"/>
      <c r="E109" s="9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9.5" customHeight="1" x14ac:dyDescent="0.25">
      <c r="A110" s="2"/>
      <c r="B110" s="2"/>
      <c r="C110" s="9"/>
      <c r="D110" s="9"/>
      <c r="E110" s="9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9.5" customHeight="1" x14ac:dyDescent="0.25">
      <c r="A111" s="2"/>
      <c r="B111" s="2"/>
      <c r="C111" s="9"/>
      <c r="D111" s="9"/>
      <c r="E111" s="9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9.5" customHeight="1" x14ac:dyDescent="0.25">
      <c r="A112" s="2"/>
      <c r="B112" s="2"/>
      <c r="C112" s="9"/>
      <c r="D112" s="9"/>
      <c r="E112" s="9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9.5" customHeight="1" x14ac:dyDescent="0.25">
      <c r="A113" s="2"/>
      <c r="B113" s="2"/>
      <c r="C113" s="9"/>
      <c r="D113" s="9"/>
      <c r="E113" s="9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9.5" customHeight="1" x14ac:dyDescent="0.25">
      <c r="A114" s="2"/>
      <c r="B114" s="2"/>
      <c r="C114" s="9"/>
      <c r="D114" s="9"/>
      <c r="E114" s="9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9.5" customHeight="1" x14ac:dyDescent="0.25">
      <c r="A115" s="2"/>
      <c r="B115" s="2"/>
      <c r="C115" s="9"/>
      <c r="D115" s="9"/>
      <c r="E115" s="9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9.5" customHeight="1" x14ac:dyDescent="0.25">
      <c r="A116" s="2"/>
      <c r="B116" s="2"/>
      <c r="C116" s="9"/>
      <c r="D116" s="9"/>
      <c r="E116" s="9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9.5" customHeight="1" x14ac:dyDescent="0.25">
      <c r="A117" s="2"/>
      <c r="B117" s="2"/>
      <c r="C117" s="9"/>
      <c r="D117" s="9"/>
      <c r="E117" s="9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9.5" customHeight="1" x14ac:dyDescent="0.25">
      <c r="A118" s="2"/>
      <c r="B118" s="2"/>
      <c r="C118" s="9"/>
      <c r="D118" s="9"/>
      <c r="E118" s="9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9.5" customHeight="1" x14ac:dyDescent="0.25">
      <c r="A119" s="2"/>
      <c r="B119" s="2"/>
      <c r="C119" s="9"/>
      <c r="D119" s="9"/>
      <c r="E119" s="9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9.5" customHeight="1" x14ac:dyDescent="0.25">
      <c r="A120" s="2"/>
      <c r="B120" s="2"/>
      <c r="C120" s="9"/>
      <c r="D120" s="9"/>
      <c r="E120" s="9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9.5" customHeight="1" x14ac:dyDescent="0.25">
      <c r="A121" s="2"/>
      <c r="B121" s="2"/>
      <c r="C121" s="9"/>
      <c r="D121" s="9"/>
      <c r="E121" s="9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9.5" customHeight="1" x14ac:dyDescent="0.25">
      <c r="A122" s="2"/>
      <c r="B122" s="2"/>
      <c r="C122" s="9"/>
      <c r="D122" s="9"/>
      <c r="E122" s="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9.5" customHeight="1" x14ac:dyDescent="0.25">
      <c r="A123" s="2"/>
      <c r="B123" s="2"/>
      <c r="C123" s="9"/>
      <c r="D123" s="9"/>
      <c r="E123" s="9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9.5" customHeight="1" x14ac:dyDescent="0.25">
      <c r="A124" s="2"/>
      <c r="B124" s="2"/>
      <c r="C124" s="9"/>
      <c r="D124" s="9"/>
      <c r="E124" s="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9.5" customHeight="1" x14ac:dyDescent="0.25">
      <c r="A125" s="2"/>
      <c r="B125" s="2"/>
      <c r="C125" s="9"/>
      <c r="D125" s="9"/>
      <c r="E125" s="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9.5" customHeight="1" x14ac:dyDescent="0.25">
      <c r="A126" s="2"/>
      <c r="B126" s="2"/>
      <c r="C126" s="9"/>
      <c r="D126" s="9"/>
      <c r="E126" s="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9.5" customHeight="1" x14ac:dyDescent="0.25">
      <c r="A127" s="2"/>
      <c r="B127" s="2"/>
      <c r="C127" s="9"/>
      <c r="D127" s="9"/>
      <c r="E127" s="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9.5" customHeight="1" x14ac:dyDescent="0.25">
      <c r="A128" s="2"/>
      <c r="B128" s="2"/>
      <c r="C128" s="9"/>
      <c r="D128" s="9"/>
      <c r="E128" s="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9.5" customHeight="1" x14ac:dyDescent="0.25">
      <c r="A129" s="2"/>
      <c r="B129" s="2"/>
      <c r="C129" s="9"/>
      <c r="D129" s="9"/>
      <c r="E129" s="9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9.5" customHeight="1" x14ac:dyDescent="0.25">
      <c r="A130" s="2"/>
      <c r="B130" s="2"/>
      <c r="C130" s="9"/>
      <c r="D130" s="9"/>
      <c r="E130" s="9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9.5" customHeight="1" x14ac:dyDescent="0.25">
      <c r="A131" s="2"/>
      <c r="B131" s="2"/>
      <c r="C131" s="9"/>
      <c r="D131" s="9"/>
      <c r="E131" s="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9.5" customHeight="1" x14ac:dyDescent="0.25">
      <c r="A132" s="2"/>
      <c r="B132" s="2"/>
      <c r="C132" s="9"/>
      <c r="D132" s="9"/>
      <c r="E132" s="9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9.5" customHeight="1" x14ac:dyDescent="0.25">
      <c r="A133" s="2"/>
      <c r="B133" s="2"/>
      <c r="C133" s="9"/>
      <c r="D133" s="9"/>
      <c r="E133" s="9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9.5" customHeight="1" x14ac:dyDescent="0.25">
      <c r="A134" s="2"/>
      <c r="B134" s="2"/>
      <c r="C134" s="9"/>
      <c r="D134" s="9"/>
      <c r="E134" s="9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9.5" customHeight="1" x14ac:dyDescent="0.25">
      <c r="A135" s="2"/>
      <c r="B135" s="2"/>
      <c r="C135" s="9"/>
      <c r="D135" s="9"/>
      <c r="E135" s="9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9.5" customHeight="1" x14ac:dyDescent="0.25">
      <c r="A136" s="2"/>
      <c r="B136" s="2"/>
      <c r="C136" s="9"/>
      <c r="D136" s="9"/>
      <c r="E136" s="9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9.5" customHeight="1" x14ac:dyDescent="0.25">
      <c r="A137" s="2"/>
      <c r="B137" s="2"/>
      <c r="C137" s="9"/>
      <c r="D137" s="9"/>
      <c r="E137" s="9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9.5" customHeight="1" x14ac:dyDescent="0.25">
      <c r="A138" s="2"/>
      <c r="B138" s="2"/>
      <c r="C138" s="9"/>
      <c r="D138" s="9"/>
      <c r="E138" s="9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9.5" customHeight="1" x14ac:dyDescent="0.25">
      <c r="A139" s="2"/>
      <c r="B139" s="2"/>
      <c r="C139" s="9"/>
      <c r="D139" s="9"/>
      <c r="E139" s="9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9.5" customHeight="1" x14ac:dyDescent="0.25">
      <c r="A140" s="2"/>
      <c r="B140" s="2"/>
      <c r="C140" s="9"/>
      <c r="D140" s="9"/>
      <c r="E140" s="9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9.5" customHeight="1" x14ac:dyDescent="0.25">
      <c r="A141" s="2"/>
      <c r="B141" s="2"/>
      <c r="C141" s="9"/>
      <c r="D141" s="9"/>
      <c r="E141" s="9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9.5" customHeight="1" x14ac:dyDescent="0.25">
      <c r="A142" s="2"/>
      <c r="B142" s="2"/>
      <c r="C142" s="9"/>
      <c r="D142" s="9"/>
      <c r="E142" s="9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9.5" customHeight="1" x14ac:dyDescent="0.25">
      <c r="A143" s="2"/>
      <c r="B143" s="2"/>
      <c r="C143" s="9"/>
      <c r="D143" s="9"/>
      <c r="E143" s="9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9.5" customHeight="1" x14ac:dyDescent="0.25">
      <c r="A144" s="2"/>
      <c r="B144" s="2"/>
      <c r="C144" s="9"/>
      <c r="D144" s="9"/>
      <c r="E144" s="9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9.5" customHeight="1" x14ac:dyDescent="0.25">
      <c r="A145" s="2"/>
      <c r="B145" s="2"/>
      <c r="C145" s="9"/>
      <c r="D145" s="9"/>
      <c r="E145" s="9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9.5" customHeight="1" x14ac:dyDescent="0.25">
      <c r="A146" s="2"/>
      <c r="B146" s="2"/>
      <c r="C146" s="9"/>
      <c r="D146" s="9"/>
      <c r="E146" s="9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9.5" customHeight="1" x14ac:dyDescent="0.25">
      <c r="A147" s="2"/>
      <c r="B147" s="2"/>
      <c r="C147" s="9"/>
      <c r="D147" s="9"/>
      <c r="E147" s="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9.5" customHeight="1" x14ac:dyDescent="0.25">
      <c r="A148" s="2"/>
      <c r="B148" s="2"/>
      <c r="C148" s="9"/>
      <c r="D148" s="9"/>
      <c r="E148" s="9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9.5" customHeight="1" x14ac:dyDescent="0.25">
      <c r="A149" s="2"/>
      <c r="B149" s="2"/>
      <c r="C149" s="9"/>
      <c r="D149" s="9"/>
      <c r="E149" s="9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9.5" customHeight="1" x14ac:dyDescent="0.25">
      <c r="A150" s="2"/>
      <c r="B150" s="2"/>
      <c r="C150" s="9"/>
      <c r="D150" s="9"/>
      <c r="E150" s="9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9.5" customHeight="1" x14ac:dyDescent="0.25">
      <c r="A151" s="2"/>
      <c r="B151" s="2"/>
      <c r="C151" s="9"/>
      <c r="D151" s="9"/>
      <c r="E151" s="9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9.5" customHeight="1" x14ac:dyDescent="0.25">
      <c r="A152" s="2"/>
      <c r="B152" s="2"/>
      <c r="C152" s="9"/>
      <c r="D152" s="9"/>
      <c r="E152" s="9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9.5" customHeight="1" x14ac:dyDescent="0.25">
      <c r="A153" s="2"/>
      <c r="B153" s="2"/>
      <c r="C153" s="9"/>
      <c r="D153" s="9"/>
      <c r="E153" s="9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9.5" customHeight="1" x14ac:dyDescent="0.25">
      <c r="A154" s="2"/>
      <c r="B154" s="2"/>
      <c r="C154" s="9"/>
      <c r="D154" s="9"/>
      <c r="E154" s="9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9.5" customHeight="1" x14ac:dyDescent="0.25">
      <c r="A155" s="2"/>
      <c r="B155" s="2"/>
      <c r="C155" s="9"/>
      <c r="D155" s="9"/>
      <c r="E155" s="9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9.5" customHeight="1" x14ac:dyDescent="0.25">
      <c r="A156" s="2"/>
      <c r="B156" s="2"/>
      <c r="C156" s="9"/>
      <c r="D156" s="9"/>
      <c r="E156" s="9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9.5" customHeight="1" x14ac:dyDescent="0.25">
      <c r="A157" s="2"/>
      <c r="B157" s="2"/>
      <c r="C157" s="9"/>
      <c r="D157" s="9"/>
      <c r="E157" s="9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9.5" customHeight="1" x14ac:dyDescent="0.25">
      <c r="A158" s="2"/>
      <c r="B158" s="2"/>
      <c r="C158" s="9"/>
      <c r="D158" s="9"/>
      <c r="E158" s="9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9.5" customHeight="1" x14ac:dyDescent="0.25">
      <c r="A159" s="2"/>
      <c r="B159" s="2"/>
      <c r="C159" s="9"/>
      <c r="D159" s="9"/>
      <c r="E159" s="9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9.5" customHeight="1" x14ac:dyDescent="0.25">
      <c r="A160" s="2"/>
      <c r="B160" s="2"/>
      <c r="C160" s="9"/>
      <c r="D160" s="9"/>
      <c r="E160" s="9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9.5" customHeight="1" x14ac:dyDescent="0.25">
      <c r="A161" s="2"/>
      <c r="B161" s="2"/>
      <c r="C161" s="9"/>
      <c r="D161" s="9"/>
      <c r="E161" s="9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9.5" customHeight="1" x14ac:dyDescent="0.25">
      <c r="A162" s="2"/>
      <c r="B162" s="2"/>
      <c r="C162" s="9"/>
      <c r="D162" s="9"/>
      <c r="E162" s="9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9.5" customHeight="1" x14ac:dyDescent="0.25">
      <c r="A163" s="2"/>
      <c r="B163" s="2"/>
      <c r="C163" s="9"/>
      <c r="D163" s="9"/>
      <c r="E163" s="9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9.5" customHeight="1" x14ac:dyDescent="0.25">
      <c r="A164" s="2"/>
      <c r="B164" s="2"/>
      <c r="C164" s="9"/>
      <c r="D164" s="9"/>
      <c r="E164" s="9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9.5" customHeight="1" x14ac:dyDescent="0.25">
      <c r="A165" s="2"/>
      <c r="B165" s="2"/>
      <c r="C165" s="9"/>
      <c r="D165" s="9"/>
      <c r="E165" s="9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9.5" customHeight="1" x14ac:dyDescent="0.25">
      <c r="A166" s="2"/>
      <c r="B166" s="2"/>
      <c r="C166" s="9"/>
      <c r="D166" s="9"/>
      <c r="E166" s="9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9.5" customHeight="1" x14ac:dyDescent="0.25">
      <c r="A167" s="2"/>
      <c r="B167" s="2"/>
      <c r="C167" s="9"/>
      <c r="D167" s="9"/>
      <c r="E167" s="9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9.5" customHeight="1" x14ac:dyDescent="0.25">
      <c r="A168" s="2"/>
      <c r="B168" s="2"/>
      <c r="C168" s="9"/>
      <c r="D168" s="9"/>
      <c r="E168" s="9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9.5" customHeight="1" x14ac:dyDescent="0.25">
      <c r="A169" s="2"/>
      <c r="B169" s="2"/>
      <c r="C169" s="9"/>
      <c r="D169" s="9"/>
      <c r="E169" s="9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9.5" customHeight="1" x14ac:dyDescent="0.25">
      <c r="A170" s="2"/>
      <c r="B170" s="2"/>
      <c r="C170" s="9"/>
      <c r="D170" s="9"/>
      <c r="E170" s="9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9.5" customHeight="1" x14ac:dyDescent="0.25">
      <c r="A171" s="2"/>
      <c r="B171" s="2"/>
      <c r="C171" s="9"/>
      <c r="D171" s="9"/>
      <c r="E171" s="9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9.5" customHeight="1" x14ac:dyDescent="0.25">
      <c r="A172" s="2"/>
      <c r="B172" s="2"/>
      <c r="C172" s="9"/>
      <c r="D172" s="9"/>
      <c r="E172" s="9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9.5" customHeight="1" x14ac:dyDescent="0.25">
      <c r="A173" s="2"/>
      <c r="B173" s="2"/>
      <c r="C173" s="9"/>
      <c r="D173" s="9"/>
      <c r="E173" s="9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9.5" customHeight="1" x14ac:dyDescent="0.25">
      <c r="A174" s="2"/>
      <c r="B174" s="2"/>
      <c r="C174" s="9"/>
      <c r="D174" s="9"/>
      <c r="E174" s="9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9.5" customHeight="1" x14ac:dyDescent="0.25">
      <c r="A175" s="2"/>
      <c r="B175" s="2"/>
      <c r="C175" s="9"/>
      <c r="D175" s="9"/>
      <c r="E175" s="9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9.5" customHeight="1" x14ac:dyDescent="0.25">
      <c r="A176" s="2"/>
      <c r="B176" s="2"/>
      <c r="C176" s="9"/>
      <c r="D176" s="9"/>
      <c r="E176" s="9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9.5" customHeight="1" x14ac:dyDescent="0.25">
      <c r="A177" s="2"/>
      <c r="B177" s="2"/>
      <c r="C177" s="9"/>
      <c r="D177" s="9"/>
      <c r="E177" s="9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9.5" customHeight="1" x14ac:dyDescent="0.25">
      <c r="A178" s="2"/>
      <c r="B178" s="2"/>
      <c r="C178" s="9"/>
      <c r="D178" s="9"/>
      <c r="E178" s="9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9.5" customHeight="1" x14ac:dyDescent="0.25">
      <c r="A179" s="2"/>
      <c r="B179" s="2"/>
      <c r="C179" s="9"/>
      <c r="D179" s="9"/>
      <c r="E179" s="9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9.5" customHeight="1" x14ac:dyDescent="0.25">
      <c r="A180" s="2"/>
      <c r="B180" s="2"/>
      <c r="C180" s="9"/>
      <c r="D180" s="9"/>
      <c r="E180" s="9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9.5" customHeight="1" x14ac:dyDescent="0.25">
      <c r="A181" s="2"/>
      <c r="B181" s="2"/>
      <c r="C181" s="9"/>
      <c r="D181" s="9"/>
      <c r="E181" s="9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9.5" customHeight="1" x14ac:dyDescent="0.25">
      <c r="A182" s="2"/>
      <c r="B182" s="2"/>
      <c r="C182" s="9"/>
      <c r="D182" s="9"/>
      <c r="E182" s="9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9.5" customHeight="1" x14ac:dyDescent="0.25">
      <c r="A183" s="2"/>
      <c r="B183" s="2"/>
      <c r="C183" s="9"/>
      <c r="D183" s="9"/>
      <c r="E183" s="9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9.5" customHeight="1" x14ac:dyDescent="0.25">
      <c r="A184" s="2"/>
      <c r="B184" s="2"/>
      <c r="C184" s="9"/>
      <c r="D184" s="9"/>
      <c r="E184" s="9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9.5" customHeight="1" x14ac:dyDescent="0.25">
      <c r="A185" s="2"/>
      <c r="B185" s="2"/>
      <c r="C185" s="9"/>
      <c r="D185" s="9"/>
      <c r="E185" s="9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9.5" customHeight="1" x14ac:dyDescent="0.25">
      <c r="A186" s="2"/>
      <c r="B186" s="2"/>
      <c r="C186" s="9"/>
      <c r="D186" s="9"/>
      <c r="E186" s="9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9.5" customHeight="1" x14ac:dyDescent="0.25">
      <c r="A187" s="2"/>
      <c r="B187" s="2"/>
      <c r="C187" s="9"/>
      <c r="D187" s="9"/>
      <c r="E187" s="9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9.5" customHeight="1" x14ac:dyDescent="0.25">
      <c r="A188" s="2"/>
      <c r="B188" s="2"/>
      <c r="C188" s="9"/>
      <c r="D188" s="9"/>
      <c r="E188" s="9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9.5" customHeight="1" x14ac:dyDescent="0.25">
      <c r="A189" s="2"/>
      <c r="B189" s="2"/>
      <c r="C189" s="9"/>
      <c r="D189" s="9"/>
      <c r="E189" s="9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9.5" customHeight="1" x14ac:dyDescent="0.25">
      <c r="A190" s="2"/>
      <c r="B190" s="2"/>
      <c r="C190" s="9"/>
      <c r="D190" s="9"/>
      <c r="E190" s="9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9.5" customHeight="1" x14ac:dyDescent="0.25">
      <c r="A191" s="2"/>
      <c r="B191" s="2"/>
      <c r="C191" s="9"/>
      <c r="D191" s="9"/>
      <c r="E191" s="9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9.5" customHeight="1" x14ac:dyDescent="0.25">
      <c r="A192" s="2"/>
      <c r="B192" s="2"/>
      <c r="C192" s="9"/>
      <c r="D192" s="9"/>
      <c r="E192" s="9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9.5" customHeight="1" x14ac:dyDescent="0.25">
      <c r="A193" s="2"/>
      <c r="B193" s="2"/>
      <c r="C193" s="9"/>
      <c r="D193" s="9"/>
      <c r="E193" s="9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9.5" customHeight="1" x14ac:dyDescent="0.25">
      <c r="A194" s="2"/>
      <c r="B194" s="2"/>
      <c r="C194" s="9"/>
      <c r="D194" s="9"/>
      <c r="E194" s="9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9.5" customHeight="1" x14ac:dyDescent="0.25">
      <c r="A195" s="2"/>
      <c r="B195" s="2"/>
      <c r="C195" s="9"/>
      <c r="D195" s="9"/>
      <c r="E195" s="9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9.5" customHeight="1" x14ac:dyDescent="0.25">
      <c r="A196" s="2"/>
      <c r="B196" s="2"/>
      <c r="C196" s="9"/>
      <c r="D196" s="9"/>
      <c r="E196" s="9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9.5" customHeight="1" x14ac:dyDescent="0.25">
      <c r="A197" s="2"/>
      <c r="B197" s="2"/>
      <c r="C197" s="9"/>
      <c r="D197" s="9"/>
      <c r="E197" s="9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9.5" customHeight="1" x14ac:dyDescent="0.25">
      <c r="A198" s="2"/>
      <c r="B198" s="2"/>
      <c r="C198" s="9"/>
      <c r="D198" s="9"/>
      <c r="E198" s="9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9.5" customHeight="1" x14ac:dyDescent="0.25">
      <c r="A199" s="2"/>
      <c r="B199" s="2"/>
      <c r="C199" s="9"/>
      <c r="D199" s="9"/>
      <c r="E199" s="9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9.5" customHeight="1" x14ac:dyDescent="0.25">
      <c r="A200" s="2"/>
      <c r="B200" s="2"/>
      <c r="C200" s="9"/>
      <c r="D200" s="9"/>
      <c r="E200" s="9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9.5" customHeight="1" x14ac:dyDescent="0.25">
      <c r="A201" s="2"/>
      <c r="B201" s="2"/>
      <c r="C201" s="9"/>
      <c r="D201" s="9"/>
      <c r="E201" s="9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9.5" customHeight="1" x14ac:dyDescent="0.25">
      <c r="A202" s="2"/>
      <c r="B202" s="2"/>
      <c r="C202" s="9"/>
      <c r="D202" s="9"/>
      <c r="E202" s="9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9.5" customHeight="1" x14ac:dyDescent="0.25">
      <c r="A203" s="2"/>
      <c r="B203" s="2"/>
      <c r="C203" s="9"/>
      <c r="D203" s="9"/>
      <c r="E203" s="9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9.5" customHeight="1" x14ac:dyDescent="0.25">
      <c r="A204" s="2"/>
      <c r="B204" s="2"/>
      <c r="C204" s="9"/>
      <c r="D204" s="9"/>
      <c r="E204" s="9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9.5" customHeight="1" x14ac:dyDescent="0.25">
      <c r="A205" s="2"/>
      <c r="B205" s="2"/>
      <c r="C205" s="9"/>
      <c r="D205" s="9"/>
      <c r="E205" s="9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9.5" customHeight="1" x14ac:dyDescent="0.25">
      <c r="A206" s="2"/>
      <c r="B206" s="2"/>
      <c r="C206" s="9"/>
      <c r="D206" s="9"/>
      <c r="E206" s="9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9.5" customHeight="1" x14ac:dyDescent="0.25">
      <c r="A207" s="2"/>
      <c r="B207" s="2"/>
      <c r="C207" s="9"/>
      <c r="D207" s="9"/>
      <c r="E207" s="9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9.5" customHeight="1" x14ac:dyDescent="0.25">
      <c r="A208" s="2"/>
      <c r="B208" s="2"/>
      <c r="C208" s="9"/>
      <c r="D208" s="9"/>
      <c r="E208" s="9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9.5" customHeight="1" x14ac:dyDescent="0.25">
      <c r="A209" s="2"/>
      <c r="B209" s="2"/>
      <c r="C209" s="9"/>
      <c r="D209" s="9"/>
      <c r="E209" s="9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9.5" customHeight="1" x14ac:dyDescent="0.25">
      <c r="A210" s="2"/>
      <c r="B210" s="2"/>
      <c r="C210" s="9"/>
      <c r="D210" s="9"/>
      <c r="E210" s="9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9.5" customHeight="1" x14ac:dyDescent="0.25">
      <c r="A211" s="2"/>
      <c r="B211" s="2"/>
      <c r="C211" s="9"/>
      <c r="D211" s="9"/>
      <c r="E211" s="9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9.5" customHeight="1" x14ac:dyDescent="0.25">
      <c r="A212" s="2"/>
      <c r="B212" s="2"/>
      <c r="C212" s="9"/>
      <c r="D212" s="9"/>
      <c r="E212" s="9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9.5" customHeight="1" x14ac:dyDescent="0.25">
      <c r="A213" s="2"/>
      <c r="B213" s="2"/>
      <c r="C213" s="9"/>
      <c r="D213" s="9"/>
      <c r="E213" s="9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9.5" customHeight="1" x14ac:dyDescent="0.25">
      <c r="A214" s="2"/>
      <c r="B214" s="2"/>
      <c r="C214" s="9"/>
      <c r="D214" s="9"/>
      <c r="E214" s="9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9.5" customHeight="1" x14ac:dyDescent="0.25">
      <c r="A215" s="2"/>
      <c r="B215" s="2"/>
      <c r="C215" s="9"/>
      <c r="D215" s="9"/>
      <c r="E215" s="9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9.5" customHeight="1" x14ac:dyDescent="0.25">
      <c r="A216" s="2"/>
      <c r="B216" s="2"/>
      <c r="C216" s="9"/>
      <c r="D216" s="9"/>
      <c r="E216" s="9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9.5" customHeight="1" x14ac:dyDescent="0.25">
      <c r="A217" s="2"/>
      <c r="B217" s="2"/>
      <c r="C217" s="9"/>
      <c r="D217" s="9"/>
      <c r="E217" s="9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9.5" customHeight="1" x14ac:dyDescent="0.25">
      <c r="A218" s="2"/>
      <c r="B218" s="2"/>
      <c r="C218" s="9"/>
      <c r="D218" s="9"/>
      <c r="E218" s="9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9.5" customHeight="1" x14ac:dyDescent="0.25">
      <c r="A219" s="2"/>
      <c r="B219" s="2"/>
      <c r="C219" s="9"/>
      <c r="D219" s="9"/>
      <c r="E219" s="9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9.5" customHeight="1" x14ac:dyDescent="0.25">
      <c r="A220" s="2"/>
      <c r="B220" s="2"/>
      <c r="C220" s="9"/>
      <c r="D220" s="9"/>
      <c r="E220" s="9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9.5" customHeight="1" x14ac:dyDescent="0.25">
      <c r="A221" s="2"/>
      <c r="B221" s="2"/>
      <c r="C221" s="9"/>
      <c r="D221" s="9"/>
      <c r="E221" s="9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9.5" customHeight="1" x14ac:dyDescent="0.25">
      <c r="A222" s="2"/>
      <c r="B222" s="2"/>
      <c r="C222" s="9"/>
      <c r="D222" s="9"/>
      <c r="E222" s="9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9.5" customHeight="1" x14ac:dyDescent="0.25">
      <c r="A223" s="2"/>
      <c r="B223" s="2"/>
      <c r="C223" s="9"/>
      <c r="D223" s="9"/>
      <c r="E223" s="9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9.5" customHeight="1" x14ac:dyDescent="0.25">
      <c r="A224" s="2"/>
      <c r="B224" s="2"/>
      <c r="C224" s="9"/>
      <c r="D224" s="9"/>
      <c r="E224" s="9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9.5" customHeight="1" x14ac:dyDescent="0.25">
      <c r="A225" s="2"/>
      <c r="B225" s="2"/>
      <c r="C225" s="9"/>
      <c r="D225" s="9"/>
      <c r="E225" s="9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9.5" customHeight="1" x14ac:dyDescent="0.25">
      <c r="A226" s="2"/>
      <c r="B226" s="2"/>
      <c r="C226" s="9"/>
      <c r="D226" s="9"/>
      <c r="E226" s="9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9.5" customHeight="1" x14ac:dyDescent="0.25">
      <c r="A227" s="2"/>
      <c r="B227" s="2"/>
      <c r="C227" s="9"/>
      <c r="D227" s="9"/>
      <c r="E227" s="9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9.5" customHeight="1" x14ac:dyDescent="0.25">
      <c r="A228" s="2"/>
      <c r="B228" s="2"/>
      <c r="C228" s="9"/>
      <c r="D228" s="9"/>
      <c r="E228" s="9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9.5" customHeight="1" x14ac:dyDescent="0.25">
      <c r="A229" s="2"/>
      <c r="B229" s="2"/>
      <c r="C229" s="9"/>
      <c r="D229" s="9"/>
      <c r="E229" s="9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9.5" customHeight="1" x14ac:dyDescent="0.25">
      <c r="A230" s="2"/>
      <c r="B230" s="2"/>
      <c r="C230" s="9"/>
      <c r="D230" s="9"/>
      <c r="E230" s="9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9.5" customHeight="1" x14ac:dyDescent="0.25">
      <c r="A231" s="2"/>
      <c r="B231" s="2"/>
      <c r="C231" s="9"/>
      <c r="D231" s="9"/>
      <c r="E231" s="9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9.5" customHeight="1" x14ac:dyDescent="0.25">
      <c r="A232" s="2"/>
      <c r="B232" s="2"/>
      <c r="C232" s="9"/>
      <c r="D232" s="9"/>
      <c r="E232" s="9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9.5" customHeight="1" x14ac:dyDescent="0.25">
      <c r="A233" s="2"/>
      <c r="B233" s="2"/>
      <c r="C233" s="9"/>
      <c r="D233" s="9"/>
      <c r="E233" s="9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9.5" customHeight="1" x14ac:dyDescent="0.25">
      <c r="A234" s="2"/>
      <c r="B234" s="2"/>
      <c r="C234" s="9"/>
      <c r="D234" s="9"/>
      <c r="E234" s="9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9.5" customHeight="1" x14ac:dyDescent="0.25">
      <c r="A235" s="2"/>
      <c r="B235" s="2"/>
      <c r="C235" s="9"/>
      <c r="D235" s="9"/>
      <c r="E235" s="9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9.5" customHeight="1" x14ac:dyDescent="0.25">
      <c r="A236" s="2"/>
      <c r="B236" s="2"/>
      <c r="C236" s="9"/>
      <c r="D236" s="9"/>
      <c r="E236" s="9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9.5" customHeight="1" x14ac:dyDescent="0.25">
      <c r="A237" s="2"/>
      <c r="B237" s="2"/>
      <c r="C237" s="9"/>
      <c r="D237" s="9"/>
      <c r="E237" s="9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9.5" customHeight="1" x14ac:dyDescent="0.25">
      <c r="A238" s="2"/>
      <c r="B238" s="2"/>
      <c r="C238" s="9"/>
      <c r="D238" s="9"/>
      <c r="E238" s="9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9.5" customHeight="1" x14ac:dyDescent="0.25">
      <c r="A239" s="2"/>
      <c r="B239" s="2"/>
      <c r="C239" s="9"/>
      <c r="D239" s="9"/>
      <c r="E239" s="9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9.5" customHeight="1" x14ac:dyDescent="0.25">
      <c r="A240" s="2"/>
      <c r="B240" s="2"/>
      <c r="C240" s="9"/>
      <c r="D240" s="9"/>
      <c r="E240" s="9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9.5" customHeight="1" x14ac:dyDescent="0.25">
      <c r="A241" s="2"/>
      <c r="B241" s="2"/>
      <c r="C241" s="9"/>
      <c r="D241" s="9"/>
      <c r="E241" s="9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9.5" customHeight="1" x14ac:dyDescent="0.25">
      <c r="A242" s="2"/>
      <c r="B242" s="2"/>
      <c r="C242" s="9"/>
      <c r="D242" s="9"/>
      <c r="E242" s="9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9.5" customHeight="1" x14ac:dyDescent="0.25">
      <c r="A243" s="2"/>
      <c r="B243" s="2"/>
      <c r="C243" s="9"/>
      <c r="D243" s="9"/>
      <c r="E243" s="9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9.5" customHeight="1" x14ac:dyDescent="0.25">
      <c r="A244" s="2"/>
      <c r="B244" s="2"/>
      <c r="C244" s="9"/>
      <c r="D244" s="9"/>
      <c r="E244" s="9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9.5" customHeight="1" x14ac:dyDescent="0.25">
      <c r="A245" s="2"/>
      <c r="B245" s="2"/>
      <c r="C245" s="9"/>
      <c r="D245" s="9"/>
      <c r="E245" s="9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9.5" customHeight="1" x14ac:dyDescent="0.25">
      <c r="A246" s="2"/>
      <c r="B246" s="2"/>
      <c r="C246" s="9"/>
      <c r="D246" s="9"/>
      <c r="E246" s="9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9.5" customHeight="1" x14ac:dyDescent="0.25">
      <c r="A247" s="2"/>
      <c r="B247" s="2"/>
      <c r="C247" s="9"/>
      <c r="D247" s="9"/>
      <c r="E247" s="9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9.5" customHeight="1" x14ac:dyDescent="0.25">
      <c r="A248" s="2"/>
      <c r="B248" s="2"/>
      <c r="C248" s="9"/>
      <c r="D248" s="9"/>
      <c r="E248" s="9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9.5" customHeight="1" x14ac:dyDescent="0.25">
      <c r="A249" s="2"/>
      <c r="B249" s="2"/>
      <c r="C249" s="9"/>
      <c r="D249" s="9"/>
      <c r="E249" s="9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9.5" customHeight="1" x14ac:dyDescent="0.25">
      <c r="A250" s="2"/>
      <c r="B250" s="2"/>
      <c r="C250" s="9"/>
      <c r="D250" s="9"/>
      <c r="E250" s="9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9.5" customHeight="1" x14ac:dyDescent="0.25">
      <c r="A251" s="2"/>
      <c r="B251" s="2"/>
      <c r="C251" s="9"/>
      <c r="D251" s="9"/>
      <c r="E251" s="9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9.5" customHeight="1" x14ac:dyDescent="0.25">
      <c r="A252" s="2"/>
      <c r="B252" s="2"/>
      <c r="C252" s="9"/>
      <c r="D252" s="9"/>
      <c r="E252" s="9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9.5" customHeight="1" x14ac:dyDescent="0.25">
      <c r="A253" s="2"/>
      <c r="B253" s="2"/>
      <c r="C253" s="9"/>
      <c r="D253" s="9"/>
      <c r="E253" s="9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9.5" customHeight="1" x14ac:dyDescent="0.25">
      <c r="A254" s="2"/>
      <c r="B254" s="2"/>
      <c r="C254" s="9"/>
      <c r="D254" s="9"/>
      <c r="E254" s="9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9.5" customHeight="1" x14ac:dyDescent="0.25">
      <c r="A255" s="2"/>
      <c r="B255" s="2"/>
      <c r="C255" s="9"/>
      <c r="D255" s="9"/>
      <c r="E255" s="9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9.5" customHeight="1" x14ac:dyDescent="0.25">
      <c r="A256" s="2"/>
      <c r="B256" s="2"/>
      <c r="C256" s="9"/>
      <c r="D256" s="9"/>
      <c r="E256" s="9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9.5" customHeight="1" x14ac:dyDescent="0.25">
      <c r="A257" s="2"/>
      <c r="B257" s="2"/>
      <c r="C257" s="9"/>
      <c r="D257" s="9"/>
      <c r="E257" s="9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9.5" customHeight="1" x14ac:dyDescent="0.25">
      <c r="A258" s="2"/>
      <c r="B258" s="2"/>
      <c r="C258" s="9"/>
      <c r="D258" s="9"/>
      <c r="E258" s="9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9.5" customHeight="1" x14ac:dyDescent="0.25">
      <c r="A259" s="2"/>
      <c r="B259" s="2"/>
      <c r="C259" s="9"/>
      <c r="D259" s="9"/>
      <c r="E259" s="9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9.5" customHeight="1" x14ac:dyDescent="0.25">
      <c r="A260" s="2"/>
      <c r="B260" s="2"/>
      <c r="C260" s="9"/>
      <c r="D260" s="9"/>
      <c r="E260" s="9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9.5" customHeight="1" x14ac:dyDescent="0.25">
      <c r="A261" s="2"/>
      <c r="B261" s="2"/>
      <c r="C261" s="9"/>
      <c r="D261" s="9"/>
      <c r="E261" s="9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9.5" customHeight="1" x14ac:dyDescent="0.25">
      <c r="A262" s="2"/>
      <c r="B262" s="2"/>
      <c r="C262" s="9"/>
      <c r="D262" s="9"/>
      <c r="E262" s="9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9.5" customHeight="1" x14ac:dyDescent="0.25">
      <c r="A263" s="2"/>
      <c r="B263" s="2"/>
      <c r="C263" s="9"/>
      <c r="D263" s="9"/>
      <c r="E263" s="9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9.5" customHeight="1" x14ac:dyDescent="0.25">
      <c r="A264" s="2"/>
      <c r="B264" s="2"/>
      <c r="C264" s="9"/>
      <c r="D264" s="9"/>
      <c r="E264" s="9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9.5" customHeight="1" x14ac:dyDescent="0.25">
      <c r="A265" s="2"/>
      <c r="B265" s="2"/>
      <c r="C265" s="9"/>
      <c r="D265" s="9"/>
      <c r="E265" s="9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9.5" customHeight="1" x14ac:dyDescent="0.25">
      <c r="A266" s="2"/>
      <c r="B266" s="2"/>
      <c r="C266" s="9"/>
      <c r="D266" s="9"/>
      <c r="E266" s="9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9.5" customHeight="1" x14ac:dyDescent="0.25">
      <c r="A267" s="2"/>
      <c r="B267" s="2"/>
      <c r="C267" s="9"/>
      <c r="D267" s="9"/>
      <c r="E267" s="9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9.5" customHeight="1" x14ac:dyDescent="0.25">
      <c r="A268" s="2"/>
      <c r="B268" s="2"/>
      <c r="C268" s="9"/>
      <c r="D268" s="9"/>
      <c r="E268" s="9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9.5" customHeight="1" x14ac:dyDescent="0.25">
      <c r="A269" s="2"/>
      <c r="B269" s="2"/>
      <c r="C269" s="9"/>
      <c r="D269" s="9"/>
      <c r="E269" s="9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9.5" customHeight="1" x14ac:dyDescent="0.25">
      <c r="A270" s="2"/>
      <c r="B270" s="2"/>
      <c r="C270" s="9"/>
      <c r="D270" s="9"/>
      <c r="E270" s="9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9.5" customHeight="1" x14ac:dyDescent="0.25">
      <c r="A271" s="2"/>
      <c r="B271" s="2"/>
      <c r="C271" s="9"/>
      <c r="D271" s="9"/>
      <c r="E271" s="9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9.5" customHeight="1" x14ac:dyDescent="0.25">
      <c r="A272" s="2"/>
      <c r="B272" s="2"/>
      <c r="C272" s="9"/>
      <c r="D272" s="9"/>
      <c r="E272" s="9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9.5" customHeight="1" x14ac:dyDescent="0.25">
      <c r="A273" s="2"/>
      <c r="B273" s="2"/>
      <c r="C273" s="9"/>
      <c r="D273" s="9"/>
      <c r="E273" s="9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9.5" customHeight="1" x14ac:dyDescent="0.25">
      <c r="A274" s="2"/>
      <c r="B274" s="2"/>
      <c r="C274" s="9"/>
      <c r="D274" s="9"/>
      <c r="E274" s="9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9.5" customHeight="1" x14ac:dyDescent="0.25">
      <c r="A275" s="2"/>
      <c r="B275" s="2"/>
      <c r="C275" s="9"/>
      <c r="D275" s="9"/>
      <c r="E275" s="9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9.5" customHeight="1" x14ac:dyDescent="0.25">
      <c r="A276" s="2"/>
      <c r="B276" s="2"/>
      <c r="C276" s="9"/>
      <c r="D276" s="9"/>
      <c r="E276" s="9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9.5" customHeight="1" x14ac:dyDescent="0.25">
      <c r="A277" s="2"/>
      <c r="B277" s="2"/>
      <c r="C277" s="9"/>
      <c r="D277" s="9"/>
      <c r="E277" s="9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9.5" customHeight="1" x14ac:dyDescent="0.25">
      <c r="A278" s="2"/>
      <c r="B278" s="2"/>
      <c r="C278" s="9"/>
      <c r="D278" s="9"/>
      <c r="E278" s="9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9.5" customHeight="1" x14ac:dyDescent="0.25">
      <c r="A279" s="2"/>
      <c r="B279" s="2"/>
      <c r="C279" s="9"/>
      <c r="D279" s="9"/>
      <c r="E279" s="9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9.5" customHeight="1" x14ac:dyDescent="0.25">
      <c r="A280" s="2"/>
      <c r="B280" s="2"/>
      <c r="C280" s="9"/>
      <c r="D280" s="9"/>
      <c r="E280" s="9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9.5" customHeight="1" x14ac:dyDescent="0.25">
      <c r="A281" s="2"/>
      <c r="B281" s="2"/>
      <c r="C281" s="9"/>
      <c r="D281" s="9"/>
      <c r="E281" s="9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9.5" customHeight="1" x14ac:dyDescent="0.25">
      <c r="A282" s="2"/>
      <c r="B282" s="2"/>
      <c r="C282" s="9"/>
      <c r="D282" s="9"/>
      <c r="E282" s="9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9.5" customHeight="1" x14ac:dyDescent="0.25">
      <c r="A283" s="2"/>
      <c r="B283" s="2"/>
      <c r="C283" s="9"/>
      <c r="D283" s="9"/>
      <c r="E283" s="9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9.5" customHeight="1" x14ac:dyDescent="0.25">
      <c r="A284" s="2"/>
      <c r="B284" s="2"/>
      <c r="C284" s="9"/>
      <c r="D284" s="9"/>
      <c r="E284" s="9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9.5" customHeight="1" x14ac:dyDescent="0.25">
      <c r="A285" s="2"/>
      <c r="B285" s="2"/>
      <c r="C285" s="9"/>
      <c r="D285" s="9"/>
      <c r="E285" s="9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9.5" customHeight="1" x14ac:dyDescent="0.25">
      <c r="A286" s="2"/>
      <c r="B286" s="2"/>
      <c r="C286" s="9"/>
      <c r="D286" s="9"/>
      <c r="E286" s="9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9.5" customHeight="1" x14ac:dyDescent="0.25">
      <c r="A287" s="2"/>
      <c r="B287" s="2"/>
      <c r="C287" s="9"/>
      <c r="D287" s="9"/>
      <c r="E287" s="9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9.5" customHeight="1" x14ac:dyDescent="0.25">
      <c r="A288" s="2"/>
      <c r="B288" s="2"/>
      <c r="C288" s="9"/>
      <c r="D288" s="9"/>
      <c r="E288" s="9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9.5" customHeight="1" x14ac:dyDescent="0.25">
      <c r="A289" s="2"/>
      <c r="B289" s="2"/>
      <c r="C289" s="9"/>
      <c r="D289" s="9"/>
      <c r="E289" s="9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9.5" customHeight="1" x14ac:dyDescent="0.25">
      <c r="A290" s="2"/>
      <c r="B290" s="2"/>
      <c r="C290" s="9"/>
      <c r="D290" s="9"/>
      <c r="E290" s="9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9.5" customHeight="1" x14ac:dyDescent="0.25">
      <c r="A291" s="2"/>
      <c r="B291" s="2"/>
      <c r="C291" s="9"/>
      <c r="D291" s="9"/>
      <c r="E291" s="9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9.5" customHeight="1" x14ac:dyDescent="0.25">
      <c r="A292" s="2"/>
      <c r="B292" s="2"/>
      <c r="C292" s="9"/>
      <c r="D292" s="9"/>
      <c r="E292" s="9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9.5" customHeight="1" x14ac:dyDescent="0.25">
      <c r="A293" s="2"/>
      <c r="B293" s="2"/>
      <c r="C293" s="9"/>
      <c r="D293" s="9"/>
      <c r="E293" s="9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9.5" customHeight="1" x14ac:dyDescent="0.25">
      <c r="A294" s="2"/>
      <c r="B294" s="2"/>
      <c r="C294" s="9"/>
      <c r="D294" s="9"/>
      <c r="E294" s="9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9.5" customHeight="1" x14ac:dyDescent="0.25">
      <c r="A295" s="2"/>
      <c r="B295" s="2"/>
      <c r="C295" s="9"/>
      <c r="D295" s="9"/>
      <c r="E295" s="9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9.5" customHeight="1" x14ac:dyDescent="0.25">
      <c r="A296" s="2"/>
      <c r="B296" s="2"/>
      <c r="C296" s="9"/>
      <c r="D296" s="9"/>
      <c r="E296" s="9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9.5" customHeight="1" x14ac:dyDescent="0.25">
      <c r="A297" s="2"/>
      <c r="B297" s="2"/>
      <c r="C297" s="9"/>
      <c r="D297" s="9"/>
      <c r="E297" s="9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9.5" customHeight="1" x14ac:dyDescent="0.25">
      <c r="A298" s="2"/>
      <c r="B298" s="2"/>
      <c r="C298" s="9"/>
      <c r="D298" s="9"/>
      <c r="E298" s="9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9.5" customHeight="1" x14ac:dyDescent="0.25">
      <c r="A299" s="2"/>
      <c r="B299" s="2"/>
      <c r="C299" s="9"/>
      <c r="D299" s="9"/>
      <c r="E299" s="9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9.5" customHeight="1" x14ac:dyDescent="0.25">
      <c r="A300" s="2"/>
      <c r="B300" s="2"/>
      <c r="C300" s="9"/>
      <c r="D300" s="9"/>
      <c r="E300" s="9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9.5" customHeight="1" x14ac:dyDescent="0.25">
      <c r="A301" s="2"/>
      <c r="B301" s="2"/>
      <c r="C301" s="9"/>
      <c r="D301" s="9"/>
      <c r="E301" s="9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9.5" customHeight="1" x14ac:dyDescent="0.25">
      <c r="A302" s="2"/>
      <c r="B302" s="2"/>
      <c r="C302" s="9"/>
      <c r="D302" s="9"/>
      <c r="E302" s="9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9.5" customHeight="1" x14ac:dyDescent="0.25">
      <c r="A303" s="2"/>
      <c r="B303" s="2"/>
      <c r="C303" s="9"/>
      <c r="D303" s="9"/>
      <c r="E303" s="9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9.5" customHeight="1" x14ac:dyDescent="0.25">
      <c r="A304" s="2"/>
      <c r="B304" s="2"/>
      <c r="C304" s="9"/>
      <c r="D304" s="9"/>
      <c r="E304" s="9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9.5" customHeight="1" x14ac:dyDescent="0.25">
      <c r="A305" s="2"/>
      <c r="B305" s="2"/>
      <c r="C305" s="9"/>
      <c r="D305" s="9"/>
      <c r="E305" s="9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9.5" customHeight="1" x14ac:dyDescent="0.25">
      <c r="A306" s="2"/>
      <c r="B306" s="2"/>
      <c r="C306" s="9"/>
      <c r="D306" s="9"/>
      <c r="E306" s="9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9.5" customHeight="1" x14ac:dyDescent="0.25">
      <c r="A307" s="2"/>
      <c r="B307" s="2"/>
      <c r="C307" s="9"/>
      <c r="D307" s="9"/>
      <c r="E307" s="9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9.5" customHeight="1" x14ac:dyDescent="0.25">
      <c r="A308" s="2"/>
      <c r="B308" s="2"/>
      <c r="C308" s="9"/>
      <c r="D308" s="9"/>
      <c r="E308" s="9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9.5" customHeight="1" x14ac:dyDescent="0.25">
      <c r="A309" s="2"/>
      <c r="B309" s="2"/>
      <c r="C309" s="9"/>
      <c r="D309" s="9"/>
      <c r="E309" s="9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9.5" customHeight="1" x14ac:dyDescent="0.25">
      <c r="A310" s="2"/>
      <c r="B310" s="2"/>
      <c r="C310" s="9"/>
      <c r="D310" s="9"/>
      <c r="E310" s="9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9.5" customHeight="1" x14ac:dyDescent="0.25">
      <c r="A311" s="2"/>
      <c r="B311" s="2"/>
      <c r="C311" s="9"/>
      <c r="D311" s="9"/>
      <c r="E311" s="9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9.5" customHeight="1" x14ac:dyDescent="0.25">
      <c r="A312" s="2"/>
      <c r="B312" s="2"/>
      <c r="C312" s="9"/>
      <c r="D312" s="9"/>
      <c r="E312" s="9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9.5" customHeight="1" x14ac:dyDescent="0.25">
      <c r="A313" s="2"/>
      <c r="B313" s="2"/>
      <c r="C313" s="9"/>
      <c r="D313" s="9"/>
      <c r="E313" s="9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9.5" customHeight="1" x14ac:dyDescent="0.25">
      <c r="A314" s="2"/>
      <c r="B314" s="2"/>
      <c r="C314" s="9"/>
      <c r="D314" s="9"/>
      <c r="E314" s="9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9.5" customHeight="1" x14ac:dyDescent="0.25">
      <c r="A315" s="2"/>
      <c r="B315" s="2"/>
      <c r="C315" s="9"/>
      <c r="D315" s="9"/>
      <c r="E315" s="9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9.5" customHeight="1" x14ac:dyDescent="0.25">
      <c r="A316" s="2"/>
      <c r="B316" s="2"/>
      <c r="C316" s="9"/>
      <c r="D316" s="9"/>
      <c r="E316" s="9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9.5" customHeight="1" x14ac:dyDescent="0.25">
      <c r="A317" s="2"/>
      <c r="B317" s="2"/>
      <c r="C317" s="9"/>
      <c r="D317" s="9"/>
      <c r="E317" s="9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9.5" customHeight="1" x14ac:dyDescent="0.25">
      <c r="A318" s="2"/>
      <c r="B318" s="2"/>
      <c r="C318" s="9"/>
      <c r="D318" s="9"/>
      <c r="E318" s="9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9.5" customHeight="1" x14ac:dyDescent="0.25">
      <c r="A319" s="2"/>
      <c r="B319" s="2"/>
      <c r="C319" s="9"/>
      <c r="D319" s="9"/>
      <c r="E319" s="9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9.5" customHeight="1" x14ac:dyDescent="0.25">
      <c r="A320" s="2"/>
      <c r="B320" s="2"/>
      <c r="C320" s="9"/>
      <c r="D320" s="9"/>
      <c r="E320" s="9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9.5" customHeight="1" x14ac:dyDescent="0.25">
      <c r="A321" s="2"/>
      <c r="B321" s="2"/>
      <c r="C321" s="9"/>
      <c r="D321" s="9"/>
      <c r="E321" s="9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9.5" customHeight="1" x14ac:dyDescent="0.25">
      <c r="A322" s="2"/>
      <c r="B322" s="2"/>
      <c r="C322" s="9"/>
      <c r="D322" s="9"/>
      <c r="E322" s="9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9.5" customHeight="1" x14ac:dyDescent="0.25">
      <c r="A323" s="2"/>
      <c r="B323" s="2"/>
      <c r="C323" s="9"/>
      <c r="D323" s="9"/>
      <c r="E323" s="9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9.5" customHeight="1" x14ac:dyDescent="0.25">
      <c r="A324" s="2"/>
      <c r="B324" s="2"/>
      <c r="C324" s="9"/>
      <c r="D324" s="9"/>
      <c r="E324" s="9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9.5" customHeight="1" x14ac:dyDescent="0.25">
      <c r="A325" s="2"/>
      <c r="B325" s="2"/>
      <c r="C325" s="9"/>
      <c r="D325" s="9"/>
      <c r="E325" s="9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9.5" customHeight="1" x14ac:dyDescent="0.25">
      <c r="A326" s="2"/>
      <c r="B326" s="2"/>
      <c r="C326" s="9"/>
      <c r="D326" s="9"/>
      <c r="E326" s="9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9.5" customHeight="1" x14ac:dyDescent="0.25">
      <c r="A327" s="2"/>
      <c r="B327" s="2"/>
      <c r="C327" s="9"/>
      <c r="D327" s="9"/>
      <c r="E327" s="9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9.5" customHeight="1" x14ac:dyDescent="0.25">
      <c r="A328" s="2"/>
      <c r="B328" s="2"/>
      <c r="C328" s="9"/>
      <c r="D328" s="9"/>
      <c r="E328" s="9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9.5" customHeight="1" x14ac:dyDescent="0.25">
      <c r="A329" s="2"/>
      <c r="B329" s="2"/>
      <c r="C329" s="9"/>
      <c r="D329" s="9"/>
      <c r="E329" s="9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9.5" customHeight="1" x14ac:dyDescent="0.25">
      <c r="A330" s="2"/>
      <c r="B330" s="2"/>
      <c r="C330" s="9"/>
      <c r="D330" s="9"/>
      <c r="E330" s="9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9.5" customHeight="1" x14ac:dyDescent="0.25">
      <c r="A331" s="2"/>
      <c r="B331" s="2"/>
      <c r="C331" s="9"/>
      <c r="D331" s="9"/>
      <c r="E331" s="9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9.5" customHeight="1" x14ac:dyDescent="0.25">
      <c r="A332" s="2"/>
      <c r="B332" s="2"/>
      <c r="C332" s="9"/>
      <c r="D332" s="9"/>
      <c r="E332" s="9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9.5" customHeight="1" x14ac:dyDescent="0.25">
      <c r="A333" s="2"/>
      <c r="B333" s="2"/>
      <c r="C333" s="9"/>
      <c r="D333" s="9"/>
      <c r="E333" s="9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9.5" customHeight="1" x14ac:dyDescent="0.25">
      <c r="A334" s="2"/>
      <c r="B334" s="2"/>
      <c r="C334" s="9"/>
      <c r="D334" s="9"/>
      <c r="E334" s="9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9.5" customHeight="1" x14ac:dyDescent="0.25">
      <c r="A335" s="2"/>
      <c r="B335" s="2"/>
      <c r="C335" s="9"/>
      <c r="D335" s="9"/>
      <c r="E335" s="9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9.5" customHeight="1" x14ac:dyDescent="0.25">
      <c r="A336" s="2"/>
      <c r="B336" s="2"/>
      <c r="C336" s="9"/>
      <c r="D336" s="9"/>
      <c r="E336" s="9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9.5" customHeight="1" x14ac:dyDescent="0.25">
      <c r="A337" s="2"/>
      <c r="B337" s="2"/>
      <c r="C337" s="9"/>
      <c r="D337" s="9"/>
      <c r="E337" s="9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9.5" customHeight="1" x14ac:dyDescent="0.25">
      <c r="A338" s="2"/>
      <c r="B338" s="2"/>
      <c r="C338" s="9"/>
      <c r="D338" s="9"/>
      <c r="E338" s="9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9.5" customHeight="1" x14ac:dyDescent="0.25">
      <c r="A339" s="2"/>
      <c r="B339" s="2"/>
      <c r="C339" s="9"/>
      <c r="D339" s="9"/>
      <c r="E339" s="9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9.5" customHeight="1" x14ac:dyDescent="0.25">
      <c r="A340" s="2"/>
      <c r="B340" s="2"/>
      <c r="C340" s="9"/>
      <c r="D340" s="9"/>
      <c r="E340" s="9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9.5" customHeight="1" x14ac:dyDescent="0.25">
      <c r="A341" s="2"/>
      <c r="B341" s="2"/>
      <c r="C341" s="9"/>
      <c r="D341" s="9"/>
      <c r="E341" s="9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9.5" customHeight="1" x14ac:dyDescent="0.25">
      <c r="A342" s="2"/>
      <c r="B342" s="2"/>
      <c r="C342" s="9"/>
      <c r="D342" s="9"/>
      <c r="E342" s="9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9.5" customHeight="1" x14ac:dyDescent="0.25">
      <c r="A343" s="2"/>
      <c r="B343" s="2"/>
      <c r="C343" s="9"/>
      <c r="D343" s="9"/>
      <c r="E343" s="9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9.5" customHeight="1" x14ac:dyDescent="0.25">
      <c r="A344" s="2"/>
      <c r="B344" s="2"/>
      <c r="C344" s="9"/>
      <c r="D344" s="9"/>
      <c r="E344" s="9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9.5" customHeight="1" x14ac:dyDescent="0.25">
      <c r="A345" s="2"/>
      <c r="B345" s="2"/>
      <c r="C345" s="9"/>
      <c r="D345" s="9"/>
      <c r="E345" s="9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9.5" customHeight="1" x14ac:dyDescent="0.25">
      <c r="A346" s="2"/>
      <c r="B346" s="2"/>
      <c r="C346" s="9"/>
      <c r="D346" s="9"/>
      <c r="E346" s="9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9.5" customHeight="1" x14ac:dyDescent="0.25">
      <c r="A347" s="2"/>
      <c r="B347" s="2"/>
      <c r="C347" s="9"/>
      <c r="D347" s="9"/>
      <c r="E347" s="9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9.5" customHeight="1" x14ac:dyDescent="0.25">
      <c r="A348" s="2"/>
      <c r="B348" s="2"/>
      <c r="C348" s="9"/>
      <c r="D348" s="9"/>
      <c r="E348" s="9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9.5" customHeight="1" x14ac:dyDescent="0.25">
      <c r="A349" s="2"/>
      <c r="B349" s="2"/>
      <c r="C349" s="9"/>
      <c r="D349" s="9"/>
      <c r="E349" s="9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9.5" customHeight="1" x14ac:dyDescent="0.25">
      <c r="A350" s="2"/>
      <c r="B350" s="2"/>
      <c r="C350" s="9"/>
      <c r="D350" s="9"/>
      <c r="E350" s="9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9.5" customHeight="1" x14ac:dyDescent="0.25">
      <c r="A351" s="2"/>
      <c r="B351" s="2"/>
      <c r="C351" s="9"/>
      <c r="D351" s="9"/>
      <c r="E351" s="9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9.5" customHeight="1" x14ac:dyDescent="0.25">
      <c r="A352" s="2"/>
      <c r="B352" s="2"/>
      <c r="C352" s="9"/>
      <c r="D352" s="9"/>
      <c r="E352" s="9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9.5" customHeight="1" x14ac:dyDescent="0.25">
      <c r="A353" s="2"/>
      <c r="B353" s="2"/>
      <c r="C353" s="9"/>
      <c r="D353" s="9"/>
      <c r="E353" s="9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9.5" customHeight="1" x14ac:dyDescent="0.25">
      <c r="A354" s="2"/>
      <c r="B354" s="2"/>
      <c r="C354" s="9"/>
      <c r="D354" s="9"/>
      <c r="E354" s="9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9.5" customHeight="1" x14ac:dyDescent="0.25">
      <c r="A355" s="2"/>
      <c r="B355" s="2"/>
      <c r="C355" s="9"/>
      <c r="D355" s="9"/>
      <c r="E355" s="9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9.5" customHeight="1" x14ac:dyDescent="0.25">
      <c r="A356" s="2"/>
      <c r="B356" s="2"/>
      <c r="C356" s="9"/>
      <c r="D356" s="9"/>
      <c r="E356" s="9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9.5" customHeight="1" x14ac:dyDescent="0.25">
      <c r="A357" s="2"/>
      <c r="B357" s="2"/>
      <c r="C357" s="9"/>
      <c r="D357" s="9"/>
      <c r="E357" s="9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9.5" customHeight="1" x14ac:dyDescent="0.25">
      <c r="A358" s="2"/>
      <c r="B358" s="2"/>
      <c r="C358" s="9"/>
      <c r="D358" s="9"/>
      <c r="E358" s="9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9.5" customHeight="1" x14ac:dyDescent="0.25">
      <c r="A359" s="2"/>
      <c r="B359" s="2"/>
      <c r="C359" s="9"/>
      <c r="D359" s="9"/>
      <c r="E359" s="9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9.5" customHeight="1" x14ac:dyDescent="0.25">
      <c r="A360" s="2"/>
      <c r="B360" s="2"/>
      <c r="C360" s="9"/>
      <c r="D360" s="9"/>
      <c r="E360" s="9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9.5" customHeight="1" x14ac:dyDescent="0.25">
      <c r="A361" s="2"/>
      <c r="B361" s="2"/>
      <c r="C361" s="9"/>
      <c r="D361" s="9"/>
      <c r="E361" s="9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9.5" customHeight="1" x14ac:dyDescent="0.25">
      <c r="A362" s="2"/>
      <c r="B362" s="2"/>
      <c r="C362" s="9"/>
      <c r="D362" s="9"/>
      <c r="E362" s="9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9.5" customHeight="1" x14ac:dyDescent="0.25">
      <c r="A363" s="2"/>
      <c r="B363" s="2"/>
      <c r="C363" s="9"/>
      <c r="D363" s="9"/>
      <c r="E363" s="9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9.5" customHeight="1" x14ac:dyDescent="0.25">
      <c r="A364" s="2"/>
      <c r="B364" s="2"/>
      <c r="C364" s="9"/>
      <c r="D364" s="9"/>
      <c r="E364" s="9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9.5" customHeight="1" x14ac:dyDescent="0.25">
      <c r="A365" s="2"/>
      <c r="B365" s="2"/>
      <c r="C365" s="9"/>
      <c r="D365" s="9"/>
      <c r="E365" s="9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9.5" customHeight="1" x14ac:dyDescent="0.25">
      <c r="A366" s="2"/>
      <c r="B366" s="2"/>
      <c r="C366" s="9"/>
      <c r="D366" s="9"/>
      <c r="E366" s="9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9.5" customHeight="1" x14ac:dyDescent="0.25">
      <c r="A367" s="2"/>
      <c r="B367" s="2"/>
      <c r="C367" s="9"/>
      <c r="D367" s="9"/>
      <c r="E367" s="9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9.5" customHeight="1" x14ac:dyDescent="0.25">
      <c r="A368" s="2"/>
      <c r="B368" s="2"/>
      <c r="C368" s="9"/>
      <c r="D368" s="9"/>
      <c r="E368" s="9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9.5" customHeight="1" x14ac:dyDescent="0.25">
      <c r="A369" s="2"/>
      <c r="B369" s="2"/>
      <c r="C369" s="9"/>
      <c r="D369" s="9"/>
      <c r="E369" s="9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9.5" customHeight="1" x14ac:dyDescent="0.25">
      <c r="A370" s="2"/>
      <c r="B370" s="2"/>
      <c r="C370" s="9"/>
      <c r="D370" s="9"/>
      <c r="E370" s="9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9.5" customHeight="1" x14ac:dyDescent="0.25">
      <c r="A371" s="2"/>
      <c r="B371" s="2"/>
      <c r="C371" s="9"/>
      <c r="D371" s="9"/>
      <c r="E371" s="9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9.5" customHeight="1" x14ac:dyDescent="0.25">
      <c r="A372" s="2"/>
      <c r="B372" s="2"/>
      <c r="C372" s="9"/>
      <c r="D372" s="9"/>
      <c r="E372" s="9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9.5" customHeight="1" x14ac:dyDescent="0.25">
      <c r="A373" s="2"/>
      <c r="B373" s="2"/>
      <c r="C373" s="9"/>
      <c r="D373" s="9"/>
      <c r="E373" s="9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9.5" customHeight="1" x14ac:dyDescent="0.25">
      <c r="A374" s="2"/>
      <c r="B374" s="2"/>
      <c r="C374" s="9"/>
      <c r="D374" s="9"/>
      <c r="E374" s="9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9.5" customHeight="1" x14ac:dyDescent="0.25">
      <c r="A375" s="2"/>
      <c r="B375" s="2"/>
      <c r="C375" s="9"/>
      <c r="D375" s="9"/>
      <c r="E375" s="9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9.5" customHeight="1" x14ac:dyDescent="0.25">
      <c r="A376" s="2"/>
      <c r="B376" s="2"/>
      <c r="C376" s="9"/>
      <c r="D376" s="9"/>
      <c r="E376" s="9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9.5" customHeight="1" x14ac:dyDescent="0.25">
      <c r="A377" s="2"/>
      <c r="B377" s="2"/>
      <c r="C377" s="9"/>
      <c r="D377" s="9"/>
      <c r="E377" s="9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9.5" customHeight="1" x14ac:dyDescent="0.25">
      <c r="A378" s="2"/>
      <c r="B378" s="2"/>
      <c r="C378" s="9"/>
      <c r="D378" s="9"/>
      <c r="E378" s="9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9.5" customHeight="1" x14ac:dyDescent="0.25">
      <c r="A379" s="2"/>
      <c r="B379" s="2"/>
      <c r="C379" s="9"/>
      <c r="D379" s="9"/>
      <c r="E379" s="9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9.5" customHeight="1" x14ac:dyDescent="0.25">
      <c r="A380" s="2"/>
      <c r="B380" s="2"/>
      <c r="C380" s="9"/>
      <c r="D380" s="9"/>
      <c r="E380" s="9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9.5" customHeight="1" x14ac:dyDescent="0.25">
      <c r="A381" s="2"/>
      <c r="B381" s="2"/>
      <c r="C381" s="9"/>
      <c r="D381" s="9"/>
      <c r="E381" s="9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9.5" customHeight="1" x14ac:dyDescent="0.25">
      <c r="A382" s="2"/>
      <c r="B382" s="2"/>
      <c r="C382" s="9"/>
      <c r="D382" s="9"/>
      <c r="E382" s="9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9.5" customHeight="1" x14ac:dyDescent="0.25">
      <c r="A383" s="2"/>
      <c r="B383" s="2"/>
      <c r="C383" s="9"/>
      <c r="D383" s="9"/>
      <c r="E383" s="9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9.5" customHeight="1" x14ac:dyDescent="0.25">
      <c r="A384" s="2"/>
      <c r="B384" s="2"/>
      <c r="C384" s="9"/>
      <c r="D384" s="9"/>
      <c r="E384" s="9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9.5" customHeight="1" x14ac:dyDescent="0.25">
      <c r="A385" s="2"/>
      <c r="B385" s="2"/>
      <c r="C385" s="9"/>
      <c r="D385" s="9"/>
      <c r="E385" s="9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9.5" customHeight="1" x14ac:dyDescent="0.25">
      <c r="A386" s="2"/>
      <c r="B386" s="2"/>
      <c r="C386" s="9"/>
      <c r="D386" s="9"/>
      <c r="E386" s="9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9.5" customHeight="1" x14ac:dyDescent="0.25">
      <c r="A387" s="2"/>
      <c r="B387" s="2"/>
      <c r="C387" s="9"/>
      <c r="D387" s="9"/>
      <c r="E387" s="9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9.5" customHeight="1" x14ac:dyDescent="0.25">
      <c r="A388" s="2"/>
      <c r="B388" s="2"/>
      <c r="C388" s="9"/>
      <c r="D388" s="9"/>
      <c r="E388" s="9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9.5" customHeight="1" x14ac:dyDescent="0.25">
      <c r="A389" s="2"/>
      <c r="B389" s="2"/>
      <c r="C389" s="9"/>
      <c r="D389" s="9"/>
      <c r="E389" s="9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9.5" customHeight="1" x14ac:dyDescent="0.25">
      <c r="A390" s="2"/>
      <c r="B390" s="2"/>
      <c r="C390" s="9"/>
      <c r="D390" s="9"/>
      <c r="E390" s="9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9.5" customHeight="1" x14ac:dyDescent="0.25">
      <c r="A391" s="2"/>
      <c r="B391" s="2"/>
      <c r="C391" s="9"/>
      <c r="D391" s="9"/>
      <c r="E391" s="9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9.5" customHeight="1" x14ac:dyDescent="0.25">
      <c r="A392" s="2"/>
      <c r="B392" s="2"/>
      <c r="C392" s="9"/>
      <c r="D392" s="9"/>
      <c r="E392" s="9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9.5" customHeight="1" x14ac:dyDescent="0.25">
      <c r="A393" s="2"/>
      <c r="B393" s="2"/>
      <c r="C393" s="9"/>
      <c r="D393" s="9"/>
      <c r="E393" s="9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9.5" customHeight="1" x14ac:dyDescent="0.25">
      <c r="A394" s="2"/>
      <c r="B394" s="2"/>
      <c r="C394" s="9"/>
      <c r="D394" s="9"/>
      <c r="E394" s="9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9.5" customHeight="1" x14ac:dyDescent="0.25">
      <c r="A395" s="2"/>
      <c r="B395" s="2"/>
      <c r="C395" s="9"/>
      <c r="D395" s="9"/>
      <c r="E395" s="9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9.5" customHeight="1" x14ac:dyDescent="0.25">
      <c r="A396" s="2"/>
      <c r="B396" s="2"/>
      <c r="C396" s="9"/>
      <c r="D396" s="9"/>
      <c r="E396" s="9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9.5" customHeight="1" x14ac:dyDescent="0.25">
      <c r="A397" s="2"/>
      <c r="B397" s="2"/>
      <c r="C397" s="9"/>
      <c r="D397" s="9"/>
      <c r="E397" s="9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9.5" customHeight="1" x14ac:dyDescent="0.25">
      <c r="A398" s="2"/>
      <c r="B398" s="2"/>
      <c r="C398" s="9"/>
      <c r="D398" s="9"/>
      <c r="E398" s="9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9.5" customHeight="1" x14ac:dyDescent="0.25">
      <c r="A399" s="2"/>
      <c r="B399" s="2"/>
      <c r="C399" s="9"/>
      <c r="D399" s="9"/>
      <c r="E399" s="9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9.5" customHeight="1" x14ac:dyDescent="0.25">
      <c r="A400" s="2"/>
      <c r="B400" s="2"/>
      <c r="C400" s="9"/>
      <c r="D400" s="9"/>
      <c r="E400" s="9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9.5" customHeight="1" x14ac:dyDescent="0.25">
      <c r="A401" s="2"/>
      <c r="B401" s="2"/>
      <c r="C401" s="9"/>
      <c r="D401" s="9"/>
      <c r="E401" s="9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9.5" customHeight="1" x14ac:dyDescent="0.25">
      <c r="A402" s="2"/>
      <c r="B402" s="2"/>
      <c r="C402" s="9"/>
      <c r="D402" s="9"/>
      <c r="E402" s="9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9.5" customHeight="1" x14ac:dyDescent="0.25">
      <c r="A403" s="2"/>
      <c r="B403" s="2"/>
      <c r="C403" s="9"/>
      <c r="D403" s="9"/>
      <c r="E403" s="9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9.5" customHeight="1" x14ac:dyDescent="0.25">
      <c r="A404" s="2"/>
      <c r="B404" s="2"/>
      <c r="C404" s="9"/>
      <c r="D404" s="9"/>
      <c r="E404" s="9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9.5" customHeight="1" x14ac:dyDescent="0.25">
      <c r="A405" s="2"/>
      <c r="B405" s="2"/>
      <c r="C405" s="9"/>
      <c r="D405" s="9"/>
      <c r="E405" s="9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9.5" customHeight="1" x14ac:dyDescent="0.25">
      <c r="A406" s="2"/>
      <c r="B406" s="2"/>
      <c r="C406" s="9"/>
      <c r="D406" s="9"/>
      <c r="E406" s="9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9.5" customHeight="1" x14ac:dyDescent="0.25">
      <c r="A407" s="2"/>
      <c r="B407" s="2"/>
      <c r="C407" s="9"/>
      <c r="D407" s="9"/>
      <c r="E407" s="9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9.5" customHeight="1" x14ac:dyDescent="0.25">
      <c r="A408" s="2"/>
      <c r="B408" s="2"/>
      <c r="C408" s="9"/>
      <c r="D408" s="9"/>
      <c r="E408" s="9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9.5" customHeight="1" x14ac:dyDescent="0.25">
      <c r="A409" s="2"/>
      <c r="B409" s="2"/>
      <c r="C409" s="9"/>
      <c r="D409" s="9"/>
      <c r="E409" s="9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9.5" customHeight="1" x14ac:dyDescent="0.25">
      <c r="A410" s="2"/>
      <c r="B410" s="2"/>
      <c r="C410" s="9"/>
      <c r="D410" s="9"/>
      <c r="E410" s="9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9.5" customHeight="1" x14ac:dyDescent="0.25">
      <c r="A411" s="2"/>
      <c r="B411" s="2"/>
      <c r="C411" s="9"/>
      <c r="D411" s="9"/>
      <c r="E411" s="9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9.5" customHeight="1" x14ac:dyDescent="0.25">
      <c r="A412" s="2"/>
      <c r="B412" s="2"/>
      <c r="C412" s="9"/>
      <c r="D412" s="9"/>
      <c r="E412" s="9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9.5" customHeight="1" x14ac:dyDescent="0.25">
      <c r="A413" s="2"/>
      <c r="B413" s="2"/>
      <c r="C413" s="9"/>
      <c r="D413" s="9"/>
      <c r="E413" s="9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9.5" customHeight="1" x14ac:dyDescent="0.25">
      <c r="A414" s="2"/>
      <c r="B414" s="2"/>
      <c r="C414" s="9"/>
      <c r="D414" s="9"/>
      <c r="E414" s="9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9.5" customHeight="1" x14ac:dyDescent="0.25">
      <c r="A415" s="2"/>
      <c r="B415" s="2"/>
      <c r="C415" s="9"/>
      <c r="D415" s="9"/>
      <c r="E415" s="9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9.5" customHeight="1" x14ac:dyDescent="0.25">
      <c r="A416" s="2"/>
      <c r="B416" s="2"/>
      <c r="C416" s="9"/>
      <c r="D416" s="9"/>
      <c r="E416" s="9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9.5" customHeight="1" x14ac:dyDescent="0.25">
      <c r="A417" s="2"/>
      <c r="B417" s="2"/>
      <c r="C417" s="9"/>
      <c r="D417" s="9"/>
      <c r="E417" s="9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9.5" customHeight="1" x14ac:dyDescent="0.25">
      <c r="A418" s="2"/>
      <c r="B418" s="2"/>
      <c r="C418" s="9"/>
      <c r="D418" s="9"/>
      <c r="E418" s="9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9.5" customHeight="1" x14ac:dyDescent="0.25">
      <c r="A419" s="2"/>
      <c r="B419" s="2"/>
      <c r="C419" s="9"/>
      <c r="D419" s="9"/>
      <c r="E419" s="9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9.5" customHeight="1" x14ac:dyDescent="0.25">
      <c r="A420" s="2"/>
      <c r="B420" s="2"/>
      <c r="C420" s="9"/>
      <c r="D420" s="9"/>
      <c r="E420" s="9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9.5" customHeight="1" x14ac:dyDescent="0.25">
      <c r="A421" s="2"/>
      <c r="B421" s="2"/>
      <c r="C421" s="9"/>
      <c r="D421" s="9"/>
      <c r="E421" s="9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9.5" customHeight="1" x14ac:dyDescent="0.25">
      <c r="A422" s="2"/>
      <c r="B422" s="2"/>
      <c r="C422" s="9"/>
      <c r="D422" s="9"/>
      <c r="E422" s="9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9.5" customHeight="1" x14ac:dyDescent="0.25">
      <c r="A423" s="2"/>
      <c r="B423" s="2"/>
      <c r="C423" s="9"/>
      <c r="D423" s="9"/>
      <c r="E423" s="9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9.5" customHeight="1" x14ac:dyDescent="0.25">
      <c r="A424" s="2"/>
      <c r="B424" s="2"/>
      <c r="C424" s="9"/>
      <c r="D424" s="9"/>
      <c r="E424" s="9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9.5" customHeight="1" x14ac:dyDescent="0.25">
      <c r="A425" s="2"/>
      <c r="B425" s="2"/>
      <c r="C425" s="9"/>
      <c r="D425" s="9"/>
      <c r="E425" s="9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9.5" customHeight="1" x14ac:dyDescent="0.25">
      <c r="A426" s="2"/>
      <c r="B426" s="2"/>
      <c r="C426" s="9"/>
      <c r="D426" s="9"/>
      <c r="E426" s="9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9.5" customHeight="1" x14ac:dyDescent="0.25">
      <c r="A427" s="2"/>
      <c r="B427" s="2"/>
      <c r="C427" s="9"/>
      <c r="D427" s="9"/>
      <c r="E427" s="9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9.5" customHeight="1" x14ac:dyDescent="0.25">
      <c r="A428" s="2"/>
      <c r="B428" s="2"/>
      <c r="C428" s="9"/>
      <c r="D428" s="9"/>
      <c r="E428" s="9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9.5" customHeight="1" x14ac:dyDescent="0.25">
      <c r="A429" s="2"/>
      <c r="B429" s="2"/>
      <c r="C429" s="9"/>
      <c r="D429" s="9"/>
      <c r="E429" s="9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9.5" customHeight="1" x14ac:dyDescent="0.25">
      <c r="A430" s="2"/>
      <c r="B430" s="2"/>
      <c r="C430" s="9"/>
      <c r="D430" s="9"/>
      <c r="E430" s="9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9.5" customHeight="1" x14ac:dyDescent="0.25">
      <c r="A431" s="2"/>
      <c r="B431" s="2"/>
      <c r="C431" s="9"/>
      <c r="D431" s="9"/>
      <c r="E431" s="9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9.5" customHeight="1" x14ac:dyDescent="0.25">
      <c r="A432" s="2"/>
      <c r="B432" s="2"/>
      <c r="C432" s="9"/>
      <c r="D432" s="9"/>
      <c r="E432" s="9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9.5" customHeight="1" x14ac:dyDescent="0.25">
      <c r="A433" s="2"/>
      <c r="B433" s="2"/>
      <c r="C433" s="9"/>
      <c r="D433" s="9"/>
      <c r="E433" s="9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9.5" customHeight="1" x14ac:dyDescent="0.25">
      <c r="A434" s="2"/>
      <c r="B434" s="2"/>
      <c r="C434" s="9"/>
      <c r="D434" s="9"/>
      <c r="E434" s="9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9.5" customHeight="1" x14ac:dyDescent="0.25">
      <c r="A435" s="2"/>
      <c r="B435" s="2"/>
      <c r="C435" s="9"/>
      <c r="D435" s="9"/>
      <c r="E435" s="9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9.5" customHeight="1" x14ac:dyDescent="0.25">
      <c r="A436" s="2"/>
      <c r="B436" s="2"/>
      <c r="C436" s="9"/>
      <c r="D436" s="9"/>
      <c r="E436" s="9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9.5" customHeight="1" x14ac:dyDescent="0.25">
      <c r="A437" s="2"/>
      <c r="B437" s="2"/>
      <c r="C437" s="9"/>
      <c r="D437" s="9"/>
      <c r="E437" s="9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9.5" customHeight="1" x14ac:dyDescent="0.25">
      <c r="A438" s="2"/>
      <c r="B438" s="2"/>
      <c r="C438" s="9"/>
      <c r="D438" s="9"/>
      <c r="E438" s="9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9.5" customHeight="1" x14ac:dyDescent="0.25">
      <c r="A439" s="2"/>
      <c r="B439" s="2"/>
      <c r="C439" s="9"/>
      <c r="D439" s="9"/>
      <c r="E439" s="9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9.5" customHeight="1" x14ac:dyDescent="0.25">
      <c r="A440" s="2"/>
      <c r="B440" s="2"/>
      <c r="C440" s="9"/>
      <c r="D440" s="9"/>
      <c r="E440" s="9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9.5" customHeight="1" x14ac:dyDescent="0.25">
      <c r="A441" s="2"/>
      <c r="B441" s="2"/>
      <c r="C441" s="9"/>
      <c r="D441" s="9"/>
      <c r="E441" s="9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9.5" customHeight="1" x14ac:dyDescent="0.25">
      <c r="A442" s="2"/>
      <c r="B442" s="2"/>
      <c r="C442" s="9"/>
      <c r="D442" s="9"/>
      <c r="E442" s="9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9.5" customHeight="1" x14ac:dyDescent="0.25">
      <c r="A443" s="2"/>
      <c r="B443" s="2"/>
      <c r="C443" s="9"/>
      <c r="D443" s="9"/>
      <c r="E443" s="9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9.5" customHeight="1" x14ac:dyDescent="0.25">
      <c r="A444" s="2"/>
      <c r="B444" s="2"/>
      <c r="C444" s="9"/>
      <c r="D444" s="9"/>
      <c r="E444" s="9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9.5" customHeight="1" x14ac:dyDescent="0.25">
      <c r="A445" s="2"/>
      <c r="B445" s="2"/>
      <c r="C445" s="9"/>
      <c r="D445" s="9"/>
      <c r="E445" s="9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9.5" customHeight="1" x14ac:dyDescent="0.25">
      <c r="A446" s="2"/>
      <c r="B446" s="2"/>
      <c r="C446" s="9"/>
      <c r="D446" s="9"/>
      <c r="E446" s="9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9.5" customHeight="1" x14ac:dyDescent="0.25">
      <c r="A447" s="2"/>
      <c r="B447" s="2"/>
      <c r="C447" s="9"/>
      <c r="D447" s="9"/>
      <c r="E447" s="9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9.5" customHeight="1" x14ac:dyDescent="0.25">
      <c r="A448" s="2"/>
      <c r="B448" s="2"/>
      <c r="C448" s="9"/>
      <c r="D448" s="9"/>
      <c r="E448" s="9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9.5" customHeight="1" x14ac:dyDescent="0.25">
      <c r="A449" s="2"/>
      <c r="B449" s="2"/>
      <c r="C449" s="9"/>
      <c r="D449" s="9"/>
      <c r="E449" s="9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9.5" customHeight="1" x14ac:dyDescent="0.25">
      <c r="A450" s="2"/>
      <c r="B450" s="2"/>
      <c r="C450" s="9"/>
      <c r="D450" s="9"/>
      <c r="E450" s="9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9.5" customHeight="1" x14ac:dyDescent="0.25">
      <c r="A451" s="2"/>
      <c r="B451" s="2"/>
      <c r="C451" s="9"/>
      <c r="D451" s="9"/>
      <c r="E451" s="9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9.5" customHeight="1" x14ac:dyDescent="0.25">
      <c r="A452" s="2"/>
      <c r="B452" s="2"/>
      <c r="C452" s="9"/>
      <c r="D452" s="9"/>
      <c r="E452" s="9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9.5" customHeight="1" x14ac:dyDescent="0.25">
      <c r="A453" s="2"/>
      <c r="B453" s="2"/>
      <c r="C453" s="9"/>
      <c r="D453" s="9"/>
      <c r="E453" s="9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9.5" customHeight="1" x14ac:dyDescent="0.25">
      <c r="A454" s="2"/>
      <c r="B454" s="2"/>
      <c r="C454" s="9"/>
      <c r="D454" s="9"/>
      <c r="E454" s="9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9.5" customHeight="1" x14ac:dyDescent="0.25">
      <c r="A455" s="2"/>
      <c r="B455" s="2"/>
      <c r="C455" s="9"/>
      <c r="D455" s="9"/>
      <c r="E455" s="9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9.5" customHeight="1" x14ac:dyDescent="0.25">
      <c r="A456" s="2"/>
      <c r="B456" s="2"/>
      <c r="C456" s="9"/>
      <c r="D456" s="9"/>
      <c r="E456" s="9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9.5" customHeight="1" x14ac:dyDescent="0.25">
      <c r="A457" s="2"/>
      <c r="B457" s="2"/>
      <c r="C457" s="9"/>
      <c r="D457" s="9"/>
      <c r="E457" s="9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9.5" customHeight="1" x14ac:dyDescent="0.25">
      <c r="A458" s="2"/>
      <c r="B458" s="2"/>
      <c r="C458" s="9"/>
      <c r="D458" s="9"/>
      <c r="E458" s="9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9.5" customHeight="1" x14ac:dyDescent="0.25">
      <c r="A459" s="2"/>
      <c r="B459" s="2"/>
      <c r="C459" s="9"/>
      <c r="D459" s="9"/>
      <c r="E459" s="9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9.5" customHeight="1" x14ac:dyDescent="0.25">
      <c r="A460" s="2"/>
      <c r="B460" s="2"/>
      <c r="C460" s="9"/>
      <c r="D460" s="9"/>
      <c r="E460" s="9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9.5" customHeight="1" x14ac:dyDescent="0.25">
      <c r="A461" s="2"/>
      <c r="B461" s="2"/>
      <c r="C461" s="9"/>
      <c r="D461" s="9"/>
      <c r="E461" s="9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9.5" customHeight="1" x14ac:dyDescent="0.25">
      <c r="A462" s="2"/>
      <c r="B462" s="2"/>
      <c r="C462" s="9"/>
      <c r="D462" s="9"/>
      <c r="E462" s="9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9.5" customHeight="1" x14ac:dyDescent="0.25">
      <c r="A463" s="2"/>
      <c r="B463" s="2"/>
      <c r="C463" s="9"/>
      <c r="D463" s="9"/>
      <c r="E463" s="9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9.5" customHeight="1" x14ac:dyDescent="0.25">
      <c r="A464" s="2"/>
      <c r="B464" s="2"/>
      <c r="C464" s="9"/>
      <c r="D464" s="9"/>
      <c r="E464" s="9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9.5" customHeight="1" x14ac:dyDescent="0.25">
      <c r="A465" s="2"/>
      <c r="B465" s="2"/>
      <c r="C465" s="9"/>
      <c r="D465" s="9"/>
      <c r="E465" s="9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9.5" customHeight="1" x14ac:dyDescent="0.25">
      <c r="A466" s="2"/>
      <c r="B466" s="2"/>
      <c r="C466" s="9"/>
      <c r="D466" s="9"/>
      <c r="E466" s="9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9.5" customHeight="1" x14ac:dyDescent="0.25">
      <c r="A467" s="2"/>
      <c r="B467" s="2"/>
      <c r="C467" s="9"/>
      <c r="D467" s="9"/>
      <c r="E467" s="9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9.5" customHeight="1" x14ac:dyDescent="0.25">
      <c r="A468" s="2"/>
      <c r="B468" s="2"/>
      <c r="C468" s="9"/>
      <c r="D468" s="9"/>
      <c r="E468" s="9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9.5" customHeight="1" x14ac:dyDescent="0.25">
      <c r="A469" s="2"/>
      <c r="B469" s="2"/>
      <c r="C469" s="9"/>
      <c r="D469" s="9"/>
      <c r="E469" s="9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9.5" customHeight="1" x14ac:dyDescent="0.25">
      <c r="A470" s="2"/>
      <c r="B470" s="2"/>
      <c r="C470" s="9"/>
      <c r="D470" s="9"/>
      <c r="E470" s="9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9.5" customHeight="1" x14ac:dyDescent="0.25">
      <c r="A471" s="2"/>
      <c r="B471" s="2"/>
      <c r="C471" s="9"/>
      <c r="D471" s="9"/>
      <c r="E471" s="9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9.5" customHeight="1" x14ac:dyDescent="0.25">
      <c r="A472" s="2"/>
      <c r="B472" s="2"/>
      <c r="C472" s="9"/>
      <c r="D472" s="9"/>
      <c r="E472" s="9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9.5" customHeight="1" x14ac:dyDescent="0.25">
      <c r="A473" s="2"/>
      <c r="B473" s="2"/>
      <c r="C473" s="9"/>
      <c r="D473" s="9"/>
      <c r="E473" s="9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9.5" customHeight="1" x14ac:dyDescent="0.25">
      <c r="A474" s="2"/>
      <c r="B474" s="2"/>
      <c r="C474" s="9"/>
      <c r="D474" s="9"/>
      <c r="E474" s="9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9.5" customHeight="1" x14ac:dyDescent="0.25">
      <c r="A475" s="2"/>
      <c r="B475" s="2"/>
      <c r="C475" s="9"/>
      <c r="D475" s="9"/>
      <c r="E475" s="9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9.5" customHeight="1" x14ac:dyDescent="0.25">
      <c r="A476" s="2"/>
      <c r="B476" s="2"/>
      <c r="C476" s="9"/>
      <c r="D476" s="9"/>
      <c r="E476" s="9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9.5" customHeight="1" x14ac:dyDescent="0.25">
      <c r="A477" s="2"/>
      <c r="B477" s="2"/>
      <c r="C477" s="9"/>
      <c r="D477" s="9"/>
      <c r="E477" s="9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9.5" customHeight="1" x14ac:dyDescent="0.25">
      <c r="A478" s="2"/>
      <c r="B478" s="2"/>
      <c r="C478" s="9"/>
      <c r="D478" s="9"/>
      <c r="E478" s="9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9.5" customHeight="1" x14ac:dyDescent="0.25">
      <c r="A479" s="2"/>
      <c r="B479" s="2"/>
      <c r="C479" s="9"/>
      <c r="D479" s="9"/>
      <c r="E479" s="9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9.5" customHeight="1" x14ac:dyDescent="0.25">
      <c r="A480" s="2"/>
      <c r="B480" s="2"/>
      <c r="C480" s="9"/>
      <c r="D480" s="9"/>
      <c r="E480" s="9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9.5" customHeight="1" x14ac:dyDescent="0.25">
      <c r="A481" s="2"/>
      <c r="B481" s="2"/>
      <c r="C481" s="9"/>
      <c r="D481" s="9"/>
      <c r="E481" s="9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9.5" customHeight="1" x14ac:dyDescent="0.25">
      <c r="A482" s="2"/>
      <c r="B482" s="2"/>
      <c r="C482" s="9"/>
      <c r="D482" s="9"/>
      <c r="E482" s="9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9.5" customHeight="1" x14ac:dyDescent="0.25">
      <c r="A483" s="2"/>
      <c r="B483" s="2"/>
      <c r="C483" s="9"/>
      <c r="D483" s="9"/>
      <c r="E483" s="9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9.5" customHeight="1" x14ac:dyDescent="0.25">
      <c r="A484" s="2"/>
      <c r="B484" s="2"/>
      <c r="C484" s="9"/>
      <c r="D484" s="9"/>
      <c r="E484" s="9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9.5" customHeight="1" x14ac:dyDescent="0.25">
      <c r="A485" s="2"/>
      <c r="B485" s="2"/>
      <c r="C485" s="9"/>
      <c r="D485" s="9"/>
      <c r="E485" s="9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9.5" customHeight="1" x14ac:dyDescent="0.25">
      <c r="A486" s="2"/>
      <c r="B486" s="2"/>
      <c r="C486" s="9"/>
      <c r="D486" s="9"/>
      <c r="E486" s="9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9.5" customHeight="1" x14ac:dyDescent="0.25">
      <c r="A487" s="2"/>
      <c r="B487" s="2"/>
      <c r="C487" s="9"/>
      <c r="D487" s="9"/>
      <c r="E487" s="9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9.5" customHeight="1" x14ac:dyDescent="0.25">
      <c r="A488" s="2"/>
      <c r="B488" s="2"/>
      <c r="C488" s="9"/>
      <c r="D488" s="9"/>
      <c r="E488" s="9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9.5" customHeight="1" x14ac:dyDescent="0.25">
      <c r="A489" s="2"/>
      <c r="B489" s="2"/>
      <c r="C489" s="9"/>
      <c r="D489" s="9"/>
      <c r="E489" s="9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9.5" customHeight="1" x14ac:dyDescent="0.25">
      <c r="A490" s="2"/>
      <c r="B490" s="2"/>
      <c r="C490" s="9"/>
      <c r="D490" s="9"/>
      <c r="E490" s="9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9.5" customHeight="1" x14ac:dyDescent="0.25">
      <c r="A491" s="2"/>
      <c r="B491" s="2"/>
      <c r="C491" s="9"/>
      <c r="D491" s="9"/>
      <c r="E491" s="9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9.5" customHeight="1" x14ac:dyDescent="0.25">
      <c r="A492" s="2"/>
      <c r="B492" s="2"/>
      <c r="C492" s="9"/>
      <c r="D492" s="9"/>
      <c r="E492" s="9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9.5" customHeight="1" x14ac:dyDescent="0.25">
      <c r="A493" s="2"/>
      <c r="B493" s="2"/>
      <c r="C493" s="9"/>
      <c r="D493" s="9"/>
      <c r="E493" s="9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9.5" customHeight="1" x14ac:dyDescent="0.25">
      <c r="A494" s="2"/>
      <c r="B494" s="2"/>
      <c r="C494" s="9"/>
      <c r="D494" s="9"/>
      <c r="E494" s="9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9.5" customHeight="1" x14ac:dyDescent="0.25">
      <c r="A495" s="2"/>
      <c r="B495" s="2"/>
      <c r="C495" s="9"/>
      <c r="D495" s="9"/>
      <c r="E495" s="9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9.5" customHeight="1" x14ac:dyDescent="0.25">
      <c r="A496" s="2"/>
      <c r="B496" s="2"/>
      <c r="C496" s="9"/>
      <c r="D496" s="9"/>
      <c r="E496" s="9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9.5" customHeight="1" x14ac:dyDescent="0.25">
      <c r="A497" s="2"/>
      <c r="B497" s="2"/>
      <c r="C497" s="9"/>
      <c r="D497" s="9"/>
      <c r="E497" s="9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9.5" customHeight="1" x14ac:dyDescent="0.25">
      <c r="A498" s="2"/>
      <c r="B498" s="2"/>
      <c r="C498" s="9"/>
      <c r="D498" s="9"/>
      <c r="E498" s="9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9.5" customHeight="1" x14ac:dyDescent="0.25">
      <c r="A499" s="2"/>
      <c r="B499" s="2"/>
      <c r="C499" s="9"/>
      <c r="D499" s="9"/>
      <c r="E499" s="9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9.5" customHeight="1" x14ac:dyDescent="0.25">
      <c r="A500" s="2"/>
      <c r="B500" s="2"/>
      <c r="C500" s="9"/>
      <c r="D500" s="9"/>
      <c r="E500" s="9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9.5" customHeight="1" x14ac:dyDescent="0.25">
      <c r="A501" s="2"/>
      <c r="B501" s="2"/>
      <c r="C501" s="9"/>
      <c r="D501" s="9"/>
      <c r="E501" s="9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9.5" customHeight="1" x14ac:dyDescent="0.25">
      <c r="A502" s="2"/>
      <c r="B502" s="2"/>
      <c r="C502" s="9"/>
      <c r="D502" s="9"/>
      <c r="E502" s="9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9.5" customHeight="1" x14ac:dyDescent="0.25">
      <c r="A503" s="2"/>
      <c r="B503" s="2"/>
      <c r="C503" s="9"/>
      <c r="D503" s="9"/>
      <c r="E503" s="9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9.5" customHeight="1" x14ac:dyDescent="0.25">
      <c r="A504" s="2"/>
      <c r="B504" s="2"/>
      <c r="C504" s="9"/>
      <c r="D504" s="9"/>
      <c r="E504" s="9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9.5" customHeight="1" x14ac:dyDescent="0.25">
      <c r="A505" s="2"/>
      <c r="B505" s="2"/>
      <c r="C505" s="9"/>
      <c r="D505" s="9"/>
      <c r="E505" s="9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9.5" customHeight="1" x14ac:dyDescent="0.25">
      <c r="A506" s="2"/>
      <c r="B506" s="2"/>
      <c r="C506" s="9"/>
      <c r="D506" s="9"/>
      <c r="E506" s="9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9.5" customHeight="1" x14ac:dyDescent="0.25">
      <c r="A507" s="2"/>
      <c r="B507" s="2"/>
      <c r="C507" s="9"/>
      <c r="D507" s="9"/>
      <c r="E507" s="9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9.5" customHeight="1" x14ac:dyDescent="0.25">
      <c r="A508" s="2"/>
      <c r="B508" s="2"/>
      <c r="C508" s="9"/>
      <c r="D508" s="9"/>
      <c r="E508" s="9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9.5" customHeight="1" x14ac:dyDescent="0.25">
      <c r="A509" s="2"/>
      <c r="B509" s="2"/>
      <c r="C509" s="9"/>
      <c r="D509" s="9"/>
      <c r="E509" s="9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9.5" customHeight="1" x14ac:dyDescent="0.25">
      <c r="A510" s="2"/>
      <c r="B510" s="2"/>
      <c r="C510" s="9"/>
      <c r="D510" s="9"/>
      <c r="E510" s="9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9.5" customHeight="1" x14ac:dyDescent="0.25">
      <c r="A511" s="2"/>
      <c r="B511" s="2"/>
      <c r="C511" s="9"/>
      <c r="D511" s="9"/>
      <c r="E511" s="9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9.5" customHeight="1" x14ac:dyDescent="0.25">
      <c r="A512" s="2"/>
      <c r="B512" s="2"/>
      <c r="C512" s="9"/>
      <c r="D512" s="9"/>
      <c r="E512" s="9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9.5" customHeight="1" x14ac:dyDescent="0.25">
      <c r="A513" s="2"/>
      <c r="B513" s="2"/>
      <c r="C513" s="9"/>
      <c r="D513" s="9"/>
      <c r="E513" s="9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9.5" customHeight="1" x14ac:dyDescent="0.25">
      <c r="A514" s="2"/>
      <c r="B514" s="2"/>
      <c r="C514" s="9"/>
      <c r="D514" s="9"/>
      <c r="E514" s="9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9.5" customHeight="1" x14ac:dyDescent="0.25">
      <c r="A515" s="2"/>
      <c r="B515" s="2"/>
      <c r="C515" s="9"/>
      <c r="D515" s="9"/>
      <c r="E515" s="9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9.5" customHeight="1" x14ac:dyDescent="0.25">
      <c r="A516" s="2"/>
      <c r="B516" s="2"/>
      <c r="C516" s="9"/>
      <c r="D516" s="9"/>
      <c r="E516" s="9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9.5" customHeight="1" x14ac:dyDescent="0.25">
      <c r="A517" s="2"/>
      <c r="B517" s="2"/>
      <c r="C517" s="9"/>
      <c r="D517" s="9"/>
      <c r="E517" s="9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9.5" customHeight="1" x14ac:dyDescent="0.25">
      <c r="A518" s="2"/>
      <c r="B518" s="2"/>
      <c r="C518" s="9"/>
      <c r="D518" s="9"/>
      <c r="E518" s="9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9.5" customHeight="1" x14ac:dyDescent="0.25">
      <c r="A519" s="2"/>
      <c r="B519" s="2"/>
      <c r="C519" s="9"/>
      <c r="D519" s="9"/>
      <c r="E519" s="9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9.5" customHeight="1" x14ac:dyDescent="0.25">
      <c r="A520" s="2"/>
      <c r="B520" s="2"/>
      <c r="C520" s="9"/>
      <c r="D520" s="9"/>
      <c r="E520" s="9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9.5" customHeight="1" x14ac:dyDescent="0.25">
      <c r="A521" s="2"/>
      <c r="B521" s="2"/>
      <c r="C521" s="9"/>
      <c r="D521" s="9"/>
      <c r="E521" s="9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9.5" customHeight="1" x14ac:dyDescent="0.25">
      <c r="A522" s="2"/>
      <c r="B522" s="2"/>
      <c r="C522" s="9"/>
      <c r="D522" s="9"/>
      <c r="E522" s="9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9.5" customHeight="1" x14ac:dyDescent="0.25">
      <c r="A523" s="2"/>
      <c r="B523" s="2"/>
      <c r="C523" s="9"/>
      <c r="D523" s="9"/>
      <c r="E523" s="9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9.5" customHeight="1" x14ac:dyDescent="0.25">
      <c r="A524" s="2"/>
      <c r="B524" s="2"/>
      <c r="C524" s="9"/>
      <c r="D524" s="9"/>
      <c r="E524" s="9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9.5" customHeight="1" x14ac:dyDescent="0.25">
      <c r="A525" s="2"/>
      <c r="B525" s="2"/>
      <c r="C525" s="9"/>
      <c r="D525" s="9"/>
      <c r="E525" s="9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9.5" customHeight="1" x14ac:dyDescent="0.25">
      <c r="A526" s="2"/>
      <c r="B526" s="2"/>
      <c r="C526" s="9"/>
      <c r="D526" s="9"/>
      <c r="E526" s="9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9.5" customHeight="1" x14ac:dyDescent="0.25">
      <c r="A527" s="2"/>
      <c r="B527" s="2"/>
      <c r="C527" s="9"/>
      <c r="D527" s="9"/>
      <c r="E527" s="9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9.5" customHeight="1" x14ac:dyDescent="0.25">
      <c r="A528" s="2"/>
      <c r="B528" s="2"/>
      <c r="C528" s="9"/>
      <c r="D528" s="9"/>
      <c r="E528" s="9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9.5" customHeight="1" x14ac:dyDescent="0.25">
      <c r="A529" s="2"/>
      <c r="B529" s="2"/>
      <c r="C529" s="9"/>
      <c r="D529" s="9"/>
      <c r="E529" s="9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9.5" customHeight="1" x14ac:dyDescent="0.25">
      <c r="A530" s="2"/>
      <c r="B530" s="2"/>
      <c r="C530" s="9"/>
      <c r="D530" s="9"/>
      <c r="E530" s="9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9.5" customHeight="1" x14ac:dyDescent="0.25">
      <c r="A531" s="2"/>
      <c r="B531" s="2"/>
      <c r="C531" s="9"/>
      <c r="D531" s="9"/>
      <c r="E531" s="9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9.5" customHeight="1" x14ac:dyDescent="0.25">
      <c r="A532" s="2"/>
      <c r="B532" s="2"/>
      <c r="C532" s="9"/>
      <c r="D532" s="9"/>
      <c r="E532" s="9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9.5" customHeight="1" x14ac:dyDescent="0.25">
      <c r="A533" s="2"/>
      <c r="B533" s="2"/>
      <c r="C533" s="9"/>
      <c r="D533" s="9"/>
      <c r="E533" s="9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9.5" customHeight="1" x14ac:dyDescent="0.25">
      <c r="A534" s="2"/>
      <c r="B534" s="2"/>
      <c r="C534" s="9"/>
      <c r="D534" s="9"/>
      <c r="E534" s="9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9.5" customHeight="1" x14ac:dyDescent="0.25">
      <c r="A535" s="2"/>
      <c r="B535" s="2"/>
      <c r="C535" s="9"/>
      <c r="D535" s="9"/>
      <c r="E535" s="9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9.5" customHeight="1" x14ac:dyDescent="0.25">
      <c r="A536" s="2"/>
      <c r="B536" s="2"/>
      <c r="C536" s="9"/>
      <c r="D536" s="9"/>
      <c r="E536" s="9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9.5" customHeight="1" x14ac:dyDescent="0.25">
      <c r="A537" s="2"/>
      <c r="B537" s="2"/>
      <c r="C537" s="9"/>
      <c r="D537" s="9"/>
      <c r="E537" s="9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9.5" customHeight="1" x14ac:dyDescent="0.25">
      <c r="A538" s="2"/>
      <c r="B538" s="2"/>
      <c r="C538" s="9"/>
      <c r="D538" s="9"/>
      <c r="E538" s="9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9.5" customHeight="1" x14ac:dyDescent="0.25">
      <c r="A539" s="2"/>
      <c r="B539" s="2"/>
      <c r="C539" s="9"/>
      <c r="D539" s="9"/>
      <c r="E539" s="9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9.5" customHeight="1" x14ac:dyDescent="0.25">
      <c r="A540" s="2"/>
      <c r="B540" s="2"/>
      <c r="C540" s="9"/>
      <c r="D540" s="9"/>
      <c r="E540" s="9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9.5" customHeight="1" x14ac:dyDescent="0.25">
      <c r="A541" s="2"/>
      <c r="B541" s="2"/>
      <c r="C541" s="9"/>
      <c r="D541" s="9"/>
      <c r="E541" s="9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9.5" customHeight="1" x14ac:dyDescent="0.25">
      <c r="A542" s="2"/>
      <c r="B542" s="2"/>
      <c r="C542" s="9"/>
      <c r="D542" s="9"/>
      <c r="E542" s="9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9.5" customHeight="1" x14ac:dyDescent="0.25">
      <c r="A543" s="2"/>
      <c r="B543" s="2"/>
      <c r="C543" s="9"/>
      <c r="D543" s="9"/>
      <c r="E543" s="9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9.5" customHeight="1" x14ac:dyDescent="0.25">
      <c r="A544" s="2"/>
      <c r="B544" s="2"/>
      <c r="C544" s="9"/>
      <c r="D544" s="9"/>
      <c r="E544" s="9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9.5" customHeight="1" x14ac:dyDescent="0.25">
      <c r="A545" s="2"/>
      <c r="B545" s="2"/>
      <c r="C545" s="9"/>
      <c r="D545" s="9"/>
      <c r="E545" s="9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9.5" customHeight="1" x14ac:dyDescent="0.25">
      <c r="A546" s="2"/>
      <c r="B546" s="2"/>
      <c r="C546" s="9"/>
      <c r="D546" s="9"/>
      <c r="E546" s="9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9.5" customHeight="1" x14ac:dyDescent="0.25">
      <c r="A547" s="2"/>
      <c r="B547" s="2"/>
      <c r="C547" s="9"/>
      <c r="D547" s="9"/>
      <c r="E547" s="9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9.5" customHeight="1" x14ac:dyDescent="0.25">
      <c r="A548" s="2"/>
      <c r="B548" s="2"/>
      <c r="C548" s="9"/>
      <c r="D548" s="9"/>
      <c r="E548" s="9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9.5" customHeight="1" x14ac:dyDescent="0.25">
      <c r="A549" s="2"/>
      <c r="B549" s="2"/>
      <c r="C549" s="9"/>
      <c r="D549" s="9"/>
      <c r="E549" s="9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9.5" customHeight="1" x14ac:dyDescent="0.25">
      <c r="A550" s="2"/>
      <c r="B550" s="2"/>
      <c r="C550" s="9"/>
      <c r="D550" s="9"/>
      <c r="E550" s="9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9.5" customHeight="1" x14ac:dyDescent="0.25">
      <c r="A551" s="2"/>
      <c r="B551" s="2"/>
      <c r="C551" s="9"/>
      <c r="D551" s="9"/>
      <c r="E551" s="9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9.5" customHeight="1" x14ac:dyDescent="0.25">
      <c r="A552" s="2"/>
      <c r="B552" s="2"/>
      <c r="C552" s="9"/>
      <c r="D552" s="9"/>
      <c r="E552" s="9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9.5" customHeight="1" x14ac:dyDescent="0.25">
      <c r="A553" s="2"/>
      <c r="B553" s="2"/>
      <c r="C553" s="9"/>
      <c r="D553" s="9"/>
      <c r="E553" s="9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9.5" customHeight="1" x14ac:dyDescent="0.25">
      <c r="A554" s="2"/>
      <c r="B554" s="2"/>
      <c r="C554" s="9"/>
      <c r="D554" s="9"/>
      <c r="E554" s="9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9.5" customHeight="1" x14ac:dyDescent="0.25">
      <c r="A555" s="2"/>
      <c r="B555" s="2"/>
      <c r="C555" s="9"/>
      <c r="D555" s="9"/>
      <c r="E555" s="9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9.5" customHeight="1" x14ac:dyDescent="0.25">
      <c r="A556" s="2"/>
      <c r="B556" s="2"/>
      <c r="C556" s="9"/>
      <c r="D556" s="9"/>
      <c r="E556" s="9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9.5" customHeight="1" x14ac:dyDescent="0.25">
      <c r="A557" s="2"/>
      <c r="B557" s="2"/>
      <c r="C557" s="9"/>
      <c r="D557" s="9"/>
      <c r="E557" s="9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9.5" customHeight="1" x14ac:dyDescent="0.25">
      <c r="A558" s="2"/>
      <c r="B558" s="2"/>
      <c r="C558" s="9"/>
      <c r="D558" s="9"/>
      <c r="E558" s="9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9.5" customHeight="1" x14ac:dyDescent="0.25">
      <c r="A559" s="2"/>
      <c r="B559" s="2"/>
      <c r="C559" s="9"/>
      <c r="D559" s="9"/>
      <c r="E559" s="9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9.5" customHeight="1" x14ac:dyDescent="0.25">
      <c r="A560" s="2"/>
      <c r="B560" s="2"/>
      <c r="C560" s="9"/>
      <c r="D560" s="9"/>
      <c r="E560" s="9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9.5" customHeight="1" x14ac:dyDescent="0.25">
      <c r="A561" s="2"/>
      <c r="B561" s="2"/>
      <c r="C561" s="9"/>
      <c r="D561" s="9"/>
      <c r="E561" s="9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9.5" customHeight="1" x14ac:dyDescent="0.25">
      <c r="A562" s="2"/>
      <c r="B562" s="2"/>
      <c r="C562" s="9"/>
      <c r="D562" s="9"/>
      <c r="E562" s="9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9.5" customHeight="1" x14ac:dyDescent="0.25">
      <c r="A563" s="2"/>
      <c r="B563" s="2"/>
      <c r="C563" s="9"/>
      <c r="D563" s="9"/>
      <c r="E563" s="9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9.5" customHeight="1" x14ac:dyDescent="0.25">
      <c r="A564" s="2"/>
      <c r="B564" s="2"/>
      <c r="C564" s="9"/>
      <c r="D564" s="9"/>
      <c r="E564" s="9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9.5" customHeight="1" x14ac:dyDescent="0.25">
      <c r="A565" s="2"/>
      <c r="B565" s="2"/>
      <c r="C565" s="9"/>
      <c r="D565" s="9"/>
      <c r="E565" s="9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9.5" customHeight="1" x14ac:dyDescent="0.25">
      <c r="A566" s="2"/>
      <c r="B566" s="2"/>
      <c r="C566" s="9"/>
      <c r="D566" s="9"/>
      <c r="E566" s="9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9.5" customHeight="1" x14ac:dyDescent="0.25">
      <c r="A567" s="2"/>
      <c r="B567" s="2"/>
      <c r="C567" s="9"/>
      <c r="D567" s="9"/>
      <c r="E567" s="9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9.5" customHeight="1" x14ac:dyDescent="0.25">
      <c r="A568" s="2"/>
      <c r="B568" s="2"/>
      <c r="C568" s="9"/>
      <c r="D568" s="9"/>
      <c r="E568" s="9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9.5" customHeight="1" x14ac:dyDescent="0.25">
      <c r="A569" s="2"/>
      <c r="B569" s="2"/>
      <c r="C569" s="9"/>
      <c r="D569" s="9"/>
      <c r="E569" s="9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9.5" customHeight="1" x14ac:dyDescent="0.25">
      <c r="A570" s="2"/>
      <c r="B570" s="2"/>
      <c r="C570" s="9"/>
      <c r="D570" s="9"/>
      <c r="E570" s="9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9.5" customHeight="1" x14ac:dyDescent="0.25">
      <c r="A571" s="2"/>
      <c r="B571" s="2"/>
      <c r="C571" s="9"/>
      <c r="D571" s="9"/>
      <c r="E571" s="9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9.5" customHeight="1" x14ac:dyDescent="0.25">
      <c r="A572" s="2"/>
      <c r="B572" s="2"/>
      <c r="C572" s="9"/>
      <c r="D572" s="9"/>
      <c r="E572" s="9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9.5" customHeight="1" x14ac:dyDescent="0.25">
      <c r="A573" s="2"/>
      <c r="B573" s="2"/>
      <c r="C573" s="9"/>
      <c r="D573" s="9"/>
      <c r="E573" s="9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9.5" customHeight="1" x14ac:dyDescent="0.25">
      <c r="A574" s="2"/>
      <c r="B574" s="2"/>
      <c r="C574" s="9"/>
      <c r="D574" s="9"/>
      <c r="E574" s="9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9.5" customHeight="1" x14ac:dyDescent="0.25">
      <c r="A575" s="2"/>
      <c r="B575" s="2"/>
      <c r="C575" s="9"/>
      <c r="D575" s="9"/>
      <c r="E575" s="9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9.5" customHeight="1" x14ac:dyDescent="0.25">
      <c r="A576" s="2"/>
      <c r="B576" s="2"/>
      <c r="C576" s="9"/>
      <c r="D576" s="9"/>
      <c r="E576" s="9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9.5" customHeight="1" x14ac:dyDescent="0.25">
      <c r="A577" s="2"/>
      <c r="B577" s="2"/>
      <c r="C577" s="9"/>
      <c r="D577" s="9"/>
      <c r="E577" s="9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9.5" customHeight="1" x14ac:dyDescent="0.25">
      <c r="A578" s="2"/>
      <c r="B578" s="2"/>
      <c r="C578" s="9"/>
      <c r="D578" s="9"/>
      <c r="E578" s="9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9.5" customHeight="1" x14ac:dyDescent="0.25">
      <c r="A579" s="2"/>
      <c r="B579" s="2"/>
      <c r="C579" s="9"/>
      <c r="D579" s="9"/>
      <c r="E579" s="9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9.5" customHeight="1" x14ac:dyDescent="0.25">
      <c r="A580" s="2"/>
      <c r="B580" s="2"/>
      <c r="C580" s="9"/>
      <c r="D580" s="9"/>
      <c r="E580" s="9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9.5" customHeight="1" x14ac:dyDescent="0.25">
      <c r="A581" s="2"/>
      <c r="B581" s="2"/>
      <c r="C581" s="9"/>
      <c r="D581" s="9"/>
      <c r="E581" s="9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9.5" customHeight="1" x14ac:dyDescent="0.25">
      <c r="A582" s="2"/>
      <c r="B582" s="2"/>
      <c r="C582" s="9"/>
      <c r="D582" s="9"/>
      <c r="E582" s="9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9.5" customHeight="1" x14ac:dyDescent="0.25">
      <c r="A583" s="2"/>
      <c r="B583" s="2"/>
      <c r="C583" s="9"/>
      <c r="D583" s="9"/>
      <c r="E583" s="9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9.5" customHeight="1" x14ac:dyDescent="0.25">
      <c r="A584" s="2"/>
      <c r="B584" s="2"/>
      <c r="C584" s="9"/>
      <c r="D584" s="9"/>
      <c r="E584" s="9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9.5" customHeight="1" x14ac:dyDescent="0.25">
      <c r="A585" s="2"/>
      <c r="B585" s="2"/>
      <c r="C585" s="9"/>
      <c r="D585" s="9"/>
      <c r="E585" s="9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9.5" customHeight="1" x14ac:dyDescent="0.25">
      <c r="A586" s="2"/>
      <c r="B586" s="2"/>
      <c r="C586" s="9"/>
      <c r="D586" s="9"/>
      <c r="E586" s="9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9.5" customHeight="1" x14ac:dyDescent="0.25">
      <c r="A587" s="2"/>
      <c r="B587" s="2"/>
      <c r="C587" s="9"/>
      <c r="D587" s="9"/>
      <c r="E587" s="9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9.5" customHeight="1" x14ac:dyDescent="0.25">
      <c r="A588" s="2"/>
      <c r="B588" s="2"/>
      <c r="C588" s="9"/>
      <c r="D588" s="9"/>
      <c r="E588" s="9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9.5" customHeight="1" x14ac:dyDescent="0.25">
      <c r="A589" s="2"/>
      <c r="B589" s="2"/>
      <c r="C589" s="9"/>
      <c r="D589" s="9"/>
      <c r="E589" s="9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9.5" customHeight="1" x14ac:dyDescent="0.25">
      <c r="A590" s="2"/>
      <c r="B590" s="2"/>
      <c r="C590" s="9"/>
      <c r="D590" s="9"/>
      <c r="E590" s="9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9.5" customHeight="1" x14ac:dyDescent="0.25">
      <c r="A591" s="2"/>
      <c r="B591" s="2"/>
      <c r="C591" s="9"/>
      <c r="D591" s="9"/>
      <c r="E591" s="9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9.5" customHeight="1" x14ac:dyDescent="0.25">
      <c r="A592" s="2"/>
      <c r="B592" s="2"/>
      <c r="C592" s="9"/>
      <c r="D592" s="9"/>
      <c r="E592" s="9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9.5" customHeight="1" x14ac:dyDescent="0.25">
      <c r="A593" s="2"/>
      <c r="B593" s="2"/>
      <c r="C593" s="9"/>
      <c r="D593" s="9"/>
      <c r="E593" s="9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9.5" customHeight="1" x14ac:dyDescent="0.25">
      <c r="A594" s="2"/>
      <c r="B594" s="2"/>
      <c r="C594" s="9"/>
      <c r="D594" s="9"/>
      <c r="E594" s="9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9.5" customHeight="1" x14ac:dyDescent="0.25">
      <c r="A595" s="2"/>
      <c r="B595" s="2"/>
      <c r="C595" s="9"/>
      <c r="D595" s="9"/>
      <c r="E595" s="9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9.5" customHeight="1" x14ac:dyDescent="0.25">
      <c r="A596" s="2"/>
      <c r="B596" s="2"/>
      <c r="C596" s="9"/>
      <c r="D596" s="9"/>
      <c r="E596" s="9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9.5" customHeight="1" x14ac:dyDescent="0.25">
      <c r="A597" s="2"/>
      <c r="B597" s="2"/>
      <c r="C597" s="9"/>
      <c r="D597" s="9"/>
      <c r="E597" s="9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9.5" customHeight="1" x14ac:dyDescent="0.25">
      <c r="A598" s="2"/>
      <c r="B598" s="2"/>
      <c r="C598" s="9"/>
      <c r="D598" s="9"/>
      <c r="E598" s="9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9.5" customHeight="1" x14ac:dyDescent="0.25">
      <c r="A599" s="2"/>
      <c r="B599" s="2"/>
      <c r="C599" s="9"/>
      <c r="D599" s="9"/>
      <c r="E599" s="9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9.5" customHeight="1" x14ac:dyDescent="0.25">
      <c r="A600" s="2"/>
      <c r="B600" s="2"/>
      <c r="C600" s="9"/>
      <c r="D600" s="9"/>
      <c r="E600" s="9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9.5" customHeight="1" x14ac:dyDescent="0.25">
      <c r="A601" s="2"/>
      <c r="B601" s="2"/>
      <c r="C601" s="9"/>
      <c r="D601" s="9"/>
      <c r="E601" s="9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9.5" customHeight="1" x14ac:dyDescent="0.25">
      <c r="A602" s="2"/>
      <c r="B602" s="2"/>
      <c r="C602" s="9"/>
      <c r="D602" s="9"/>
      <c r="E602" s="9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9.5" customHeight="1" x14ac:dyDescent="0.25">
      <c r="A603" s="2"/>
      <c r="B603" s="2"/>
      <c r="C603" s="9"/>
      <c r="D603" s="9"/>
      <c r="E603" s="9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9.5" customHeight="1" x14ac:dyDescent="0.25">
      <c r="A604" s="2"/>
      <c r="B604" s="2"/>
      <c r="C604" s="9"/>
      <c r="D604" s="9"/>
      <c r="E604" s="9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9.5" customHeight="1" x14ac:dyDescent="0.25">
      <c r="A605" s="2"/>
      <c r="B605" s="2"/>
      <c r="C605" s="9"/>
      <c r="D605" s="9"/>
      <c r="E605" s="9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9.5" customHeight="1" x14ac:dyDescent="0.25">
      <c r="A606" s="2"/>
      <c r="B606" s="2"/>
      <c r="C606" s="9"/>
      <c r="D606" s="9"/>
      <c r="E606" s="9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9.5" customHeight="1" x14ac:dyDescent="0.25">
      <c r="A607" s="2"/>
      <c r="B607" s="2"/>
      <c r="C607" s="9"/>
      <c r="D607" s="9"/>
      <c r="E607" s="9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9.5" customHeight="1" x14ac:dyDescent="0.25">
      <c r="A608" s="2"/>
      <c r="B608" s="2"/>
      <c r="C608" s="9"/>
      <c r="D608" s="9"/>
      <c r="E608" s="9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9.5" customHeight="1" x14ac:dyDescent="0.25">
      <c r="A609" s="2"/>
      <c r="B609" s="2"/>
      <c r="C609" s="9"/>
      <c r="D609" s="9"/>
      <c r="E609" s="9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9.5" customHeight="1" x14ac:dyDescent="0.25">
      <c r="A610" s="2"/>
      <c r="B610" s="2"/>
      <c r="C610" s="9"/>
      <c r="D610" s="9"/>
      <c r="E610" s="9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9.5" customHeight="1" x14ac:dyDescent="0.25">
      <c r="A611" s="2"/>
      <c r="B611" s="2"/>
      <c r="C611" s="9"/>
      <c r="D611" s="9"/>
      <c r="E611" s="9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9.5" customHeight="1" x14ac:dyDescent="0.25">
      <c r="A612" s="2"/>
      <c r="B612" s="2"/>
      <c r="C612" s="9"/>
      <c r="D612" s="9"/>
      <c r="E612" s="9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9.5" customHeight="1" x14ac:dyDescent="0.25">
      <c r="A613" s="2"/>
      <c r="B613" s="2"/>
      <c r="C613" s="9"/>
      <c r="D613" s="9"/>
      <c r="E613" s="9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9.5" customHeight="1" x14ac:dyDescent="0.25">
      <c r="A614" s="2"/>
      <c r="B614" s="2"/>
      <c r="C614" s="9"/>
      <c r="D614" s="9"/>
      <c r="E614" s="9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9.5" customHeight="1" x14ac:dyDescent="0.25">
      <c r="A615" s="2"/>
      <c r="B615" s="2"/>
      <c r="C615" s="9"/>
      <c r="D615" s="9"/>
      <c r="E615" s="9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9.5" customHeight="1" x14ac:dyDescent="0.25">
      <c r="A616" s="2"/>
      <c r="B616" s="2"/>
      <c r="C616" s="9"/>
      <c r="D616" s="9"/>
      <c r="E616" s="9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9.5" customHeight="1" x14ac:dyDescent="0.25">
      <c r="A617" s="2"/>
      <c r="B617" s="2"/>
      <c r="C617" s="9"/>
      <c r="D617" s="9"/>
      <c r="E617" s="9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9.5" customHeight="1" x14ac:dyDescent="0.25">
      <c r="A618" s="2"/>
      <c r="B618" s="2"/>
      <c r="C618" s="9"/>
      <c r="D618" s="9"/>
      <c r="E618" s="9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9.5" customHeight="1" x14ac:dyDescent="0.25">
      <c r="A619" s="2"/>
      <c r="B619" s="2"/>
      <c r="C619" s="9"/>
      <c r="D619" s="9"/>
      <c r="E619" s="9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9.5" customHeight="1" x14ac:dyDescent="0.25">
      <c r="A620" s="2"/>
      <c r="B620" s="2"/>
      <c r="C620" s="9"/>
      <c r="D620" s="9"/>
      <c r="E620" s="9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9.5" customHeight="1" x14ac:dyDescent="0.25">
      <c r="A621" s="2"/>
      <c r="B621" s="2"/>
      <c r="C621" s="9"/>
      <c r="D621" s="9"/>
      <c r="E621" s="9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9.5" customHeight="1" x14ac:dyDescent="0.25">
      <c r="A622" s="2"/>
      <c r="B622" s="2"/>
      <c r="C622" s="9"/>
      <c r="D622" s="9"/>
      <c r="E622" s="9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9.5" customHeight="1" x14ac:dyDescent="0.25">
      <c r="A623" s="2"/>
      <c r="B623" s="2"/>
      <c r="C623" s="9"/>
      <c r="D623" s="9"/>
      <c r="E623" s="9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9.5" customHeight="1" x14ac:dyDescent="0.25">
      <c r="A624" s="2"/>
      <c r="B624" s="2"/>
      <c r="C624" s="9"/>
      <c r="D624" s="9"/>
      <c r="E624" s="9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9.5" customHeight="1" x14ac:dyDescent="0.25">
      <c r="A625" s="2"/>
      <c r="B625" s="2"/>
      <c r="C625" s="9"/>
      <c r="D625" s="9"/>
      <c r="E625" s="9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9.5" customHeight="1" x14ac:dyDescent="0.25">
      <c r="A626" s="2"/>
      <c r="B626" s="2"/>
      <c r="C626" s="9"/>
      <c r="D626" s="9"/>
      <c r="E626" s="9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9.5" customHeight="1" x14ac:dyDescent="0.25">
      <c r="A627" s="2"/>
      <c r="B627" s="2"/>
      <c r="C627" s="9"/>
      <c r="D627" s="9"/>
      <c r="E627" s="9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9.5" customHeight="1" x14ac:dyDescent="0.25">
      <c r="A628" s="2"/>
      <c r="B628" s="2"/>
      <c r="C628" s="9"/>
      <c r="D628" s="9"/>
      <c r="E628" s="9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9.5" customHeight="1" x14ac:dyDescent="0.25">
      <c r="A629" s="2"/>
      <c r="B629" s="2"/>
      <c r="C629" s="9"/>
      <c r="D629" s="9"/>
      <c r="E629" s="9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9.5" customHeight="1" x14ac:dyDescent="0.25">
      <c r="A630" s="2"/>
      <c r="B630" s="2"/>
      <c r="C630" s="9"/>
      <c r="D630" s="9"/>
      <c r="E630" s="9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9.5" customHeight="1" x14ac:dyDescent="0.25">
      <c r="A631" s="2"/>
      <c r="B631" s="2"/>
      <c r="C631" s="9"/>
      <c r="D631" s="9"/>
      <c r="E631" s="9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9.5" customHeight="1" x14ac:dyDescent="0.25">
      <c r="A632" s="2"/>
      <c r="B632" s="2"/>
      <c r="C632" s="9"/>
      <c r="D632" s="9"/>
      <c r="E632" s="9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9.5" customHeight="1" x14ac:dyDescent="0.25">
      <c r="A633" s="2"/>
      <c r="B633" s="2"/>
      <c r="C633" s="9"/>
      <c r="D633" s="9"/>
      <c r="E633" s="9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9.5" customHeight="1" x14ac:dyDescent="0.25">
      <c r="A634" s="2"/>
      <c r="B634" s="2"/>
      <c r="C634" s="9"/>
      <c r="D634" s="9"/>
      <c r="E634" s="9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9.5" customHeight="1" x14ac:dyDescent="0.25">
      <c r="A635" s="2"/>
      <c r="B635" s="2"/>
      <c r="C635" s="9"/>
      <c r="D635" s="9"/>
      <c r="E635" s="9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9.5" customHeight="1" x14ac:dyDescent="0.25">
      <c r="A636" s="2"/>
      <c r="B636" s="2"/>
      <c r="C636" s="9"/>
      <c r="D636" s="9"/>
      <c r="E636" s="9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9.5" customHeight="1" x14ac:dyDescent="0.25">
      <c r="A637" s="2"/>
      <c r="B637" s="2"/>
      <c r="C637" s="9"/>
      <c r="D637" s="9"/>
      <c r="E637" s="9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9.5" customHeight="1" x14ac:dyDescent="0.25">
      <c r="A638" s="2"/>
      <c r="B638" s="2"/>
      <c r="C638" s="9"/>
      <c r="D638" s="9"/>
      <c r="E638" s="9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9.5" customHeight="1" x14ac:dyDescent="0.25">
      <c r="A639" s="2"/>
      <c r="B639" s="2"/>
      <c r="C639" s="9"/>
      <c r="D639" s="9"/>
      <c r="E639" s="9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9.5" customHeight="1" x14ac:dyDescent="0.25">
      <c r="A640" s="2"/>
      <c r="B640" s="2"/>
      <c r="C640" s="9"/>
      <c r="D640" s="9"/>
      <c r="E640" s="9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9.5" customHeight="1" x14ac:dyDescent="0.25">
      <c r="A641" s="2"/>
      <c r="B641" s="2"/>
      <c r="C641" s="9"/>
      <c r="D641" s="9"/>
      <c r="E641" s="9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9.5" customHeight="1" x14ac:dyDescent="0.25">
      <c r="A642" s="2"/>
      <c r="B642" s="2"/>
      <c r="C642" s="9"/>
      <c r="D642" s="9"/>
      <c r="E642" s="9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9.5" customHeight="1" x14ac:dyDescent="0.25">
      <c r="A643" s="2"/>
      <c r="B643" s="2"/>
      <c r="C643" s="9"/>
      <c r="D643" s="9"/>
      <c r="E643" s="9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9.5" customHeight="1" x14ac:dyDescent="0.25">
      <c r="A644" s="2"/>
      <c r="B644" s="2"/>
      <c r="C644" s="9"/>
      <c r="D644" s="9"/>
      <c r="E644" s="9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9.5" customHeight="1" x14ac:dyDescent="0.25">
      <c r="A645" s="2"/>
      <c r="B645" s="2"/>
      <c r="C645" s="9"/>
      <c r="D645" s="9"/>
      <c r="E645" s="9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9.5" customHeight="1" x14ac:dyDescent="0.25">
      <c r="A646" s="2"/>
      <c r="B646" s="2"/>
      <c r="C646" s="9"/>
      <c r="D646" s="9"/>
      <c r="E646" s="9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9.5" customHeight="1" x14ac:dyDescent="0.25">
      <c r="A647" s="2"/>
      <c r="B647" s="2"/>
      <c r="C647" s="9"/>
      <c r="D647" s="9"/>
      <c r="E647" s="9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9.5" customHeight="1" x14ac:dyDescent="0.25">
      <c r="A648" s="2"/>
      <c r="B648" s="2"/>
      <c r="C648" s="9"/>
      <c r="D648" s="9"/>
      <c r="E648" s="9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9.5" customHeight="1" x14ac:dyDescent="0.25">
      <c r="A649" s="2"/>
      <c r="B649" s="2"/>
      <c r="C649" s="9"/>
      <c r="D649" s="9"/>
      <c r="E649" s="9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9.5" customHeight="1" x14ac:dyDescent="0.25">
      <c r="A650" s="2"/>
      <c r="B650" s="2"/>
      <c r="C650" s="9"/>
      <c r="D650" s="9"/>
      <c r="E650" s="9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9.5" customHeight="1" x14ac:dyDescent="0.25">
      <c r="A651" s="2"/>
      <c r="B651" s="2"/>
      <c r="C651" s="9"/>
      <c r="D651" s="9"/>
      <c r="E651" s="9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9.5" customHeight="1" x14ac:dyDescent="0.25">
      <c r="A652" s="2"/>
      <c r="B652" s="2"/>
      <c r="C652" s="9"/>
      <c r="D652" s="9"/>
      <c r="E652" s="9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9.5" customHeight="1" x14ac:dyDescent="0.25">
      <c r="A653" s="2"/>
      <c r="B653" s="2"/>
      <c r="C653" s="9"/>
      <c r="D653" s="9"/>
      <c r="E653" s="9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9.5" customHeight="1" x14ac:dyDescent="0.25">
      <c r="A654" s="2"/>
      <c r="B654" s="2"/>
      <c r="C654" s="9"/>
      <c r="D654" s="9"/>
      <c r="E654" s="9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9.5" customHeight="1" x14ac:dyDescent="0.25">
      <c r="A655" s="2"/>
      <c r="B655" s="2"/>
      <c r="C655" s="9"/>
      <c r="D655" s="9"/>
      <c r="E655" s="9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9.5" customHeight="1" x14ac:dyDescent="0.25">
      <c r="A656" s="2"/>
      <c r="B656" s="2"/>
      <c r="C656" s="9"/>
      <c r="D656" s="9"/>
      <c r="E656" s="9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9.5" customHeight="1" x14ac:dyDescent="0.25">
      <c r="A657" s="2"/>
      <c r="B657" s="2"/>
      <c r="C657" s="9"/>
      <c r="D657" s="9"/>
      <c r="E657" s="9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9.5" customHeight="1" x14ac:dyDescent="0.25">
      <c r="A658" s="2"/>
      <c r="B658" s="2"/>
      <c r="C658" s="9"/>
      <c r="D658" s="9"/>
      <c r="E658" s="9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9.5" customHeight="1" x14ac:dyDescent="0.25">
      <c r="A659" s="2"/>
      <c r="B659" s="2"/>
      <c r="C659" s="9"/>
      <c r="D659" s="9"/>
      <c r="E659" s="9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9.5" customHeight="1" x14ac:dyDescent="0.25">
      <c r="A660" s="2"/>
      <c r="B660" s="2"/>
      <c r="C660" s="9"/>
      <c r="D660" s="9"/>
      <c r="E660" s="9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9.5" customHeight="1" x14ac:dyDescent="0.25">
      <c r="A661" s="2"/>
      <c r="B661" s="2"/>
      <c r="C661" s="9"/>
      <c r="D661" s="9"/>
      <c r="E661" s="9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9.5" customHeight="1" x14ac:dyDescent="0.25">
      <c r="A662" s="2"/>
      <c r="B662" s="2"/>
      <c r="C662" s="9"/>
      <c r="D662" s="9"/>
      <c r="E662" s="9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9.5" customHeight="1" x14ac:dyDescent="0.25">
      <c r="A663" s="2"/>
      <c r="B663" s="2"/>
      <c r="C663" s="9"/>
      <c r="D663" s="9"/>
      <c r="E663" s="9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9.5" customHeight="1" x14ac:dyDescent="0.25">
      <c r="A664" s="2"/>
      <c r="B664" s="2"/>
      <c r="C664" s="9"/>
      <c r="D664" s="9"/>
      <c r="E664" s="9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9.5" customHeight="1" x14ac:dyDescent="0.25">
      <c r="A665" s="2"/>
      <c r="B665" s="2"/>
      <c r="C665" s="9"/>
      <c r="D665" s="9"/>
      <c r="E665" s="9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9.5" customHeight="1" x14ac:dyDescent="0.25">
      <c r="A666" s="2"/>
      <c r="B666" s="2"/>
      <c r="C666" s="9"/>
      <c r="D666" s="9"/>
      <c r="E666" s="9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9.5" customHeight="1" x14ac:dyDescent="0.25">
      <c r="A667" s="2"/>
      <c r="B667" s="2"/>
      <c r="C667" s="9"/>
      <c r="D667" s="9"/>
      <c r="E667" s="9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9.5" customHeight="1" x14ac:dyDescent="0.25">
      <c r="A668" s="2"/>
      <c r="B668" s="2"/>
      <c r="C668" s="9"/>
      <c r="D668" s="9"/>
      <c r="E668" s="9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9.5" customHeight="1" x14ac:dyDescent="0.25">
      <c r="A669" s="2"/>
      <c r="B669" s="2"/>
      <c r="C669" s="9"/>
      <c r="D669" s="9"/>
      <c r="E669" s="9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9.5" customHeight="1" x14ac:dyDescent="0.25">
      <c r="A670" s="2"/>
      <c r="B670" s="2"/>
      <c r="C670" s="9"/>
      <c r="D670" s="9"/>
      <c r="E670" s="9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9.5" customHeight="1" x14ac:dyDescent="0.25">
      <c r="A671" s="2"/>
      <c r="B671" s="2"/>
      <c r="C671" s="9"/>
      <c r="D671" s="9"/>
      <c r="E671" s="9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9.5" customHeight="1" x14ac:dyDescent="0.25">
      <c r="A672" s="2"/>
      <c r="B672" s="2"/>
      <c r="C672" s="9"/>
      <c r="D672" s="9"/>
      <c r="E672" s="9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9.5" customHeight="1" x14ac:dyDescent="0.25">
      <c r="A673" s="2"/>
      <c r="B673" s="2"/>
      <c r="C673" s="9"/>
      <c r="D673" s="9"/>
      <c r="E673" s="9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9.5" customHeight="1" x14ac:dyDescent="0.25">
      <c r="A674" s="2"/>
      <c r="B674" s="2"/>
      <c r="C674" s="9"/>
      <c r="D674" s="9"/>
      <c r="E674" s="9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9.5" customHeight="1" x14ac:dyDescent="0.25">
      <c r="A675" s="2"/>
      <c r="B675" s="2"/>
      <c r="C675" s="9"/>
      <c r="D675" s="9"/>
      <c r="E675" s="9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9.5" customHeight="1" x14ac:dyDescent="0.25">
      <c r="A676" s="2"/>
      <c r="B676" s="2"/>
      <c r="C676" s="9"/>
      <c r="D676" s="9"/>
      <c r="E676" s="9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9.5" customHeight="1" x14ac:dyDescent="0.25">
      <c r="A677" s="2"/>
      <c r="B677" s="2"/>
      <c r="C677" s="9"/>
      <c r="D677" s="9"/>
      <c r="E677" s="9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9.5" customHeight="1" x14ac:dyDescent="0.25">
      <c r="A678" s="2"/>
      <c r="B678" s="2"/>
      <c r="C678" s="9"/>
      <c r="D678" s="9"/>
      <c r="E678" s="9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9.5" customHeight="1" x14ac:dyDescent="0.25">
      <c r="A679" s="2"/>
      <c r="B679" s="2"/>
      <c r="C679" s="9"/>
      <c r="D679" s="9"/>
      <c r="E679" s="9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9.5" customHeight="1" x14ac:dyDescent="0.25">
      <c r="A680" s="2"/>
      <c r="B680" s="2"/>
      <c r="C680" s="9"/>
      <c r="D680" s="9"/>
      <c r="E680" s="9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9.5" customHeight="1" x14ac:dyDescent="0.25">
      <c r="A681" s="2"/>
      <c r="B681" s="2"/>
      <c r="C681" s="9"/>
      <c r="D681" s="9"/>
      <c r="E681" s="9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9.5" customHeight="1" x14ac:dyDescent="0.25">
      <c r="A682" s="2"/>
      <c r="B682" s="2"/>
      <c r="C682" s="9"/>
      <c r="D682" s="9"/>
      <c r="E682" s="9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9.5" customHeight="1" x14ac:dyDescent="0.25">
      <c r="A683" s="2"/>
      <c r="B683" s="2"/>
      <c r="C683" s="9"/>
      <c r="D683" s="9"/>
      <c r="E683" s="9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9.5" customHeight="1" x14ac:dyDescent="0.25">
      <c r="A684" s="2"/>
      <c r="B684" s="2"/>
      <c r="C684" s="9"/>
      <c r="D684" s="9"/>
      <c r="E684" s="9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9.5" customHeight="1" x14ac:dyDescent="0.25">
      <c r="A685" s="2"/>
      <c r="B685" s="2"/>
      <c r="C685" s="9"/>
      <c r="D685" s="9"/>
      <c r="E685" s="9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9.5" customHeight="1" x14ac:dyDescent="0.25">
      <c r="A686" s="2"/>
      <c r="B686" s="2"/>
      <c r="C686" s="9"/>
      <c r="D686" s="9"/>
      <c r="E686" s="9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9.5" customHeight="1" x14ac:dyDescent="0.25">
      <c r="A687" s="2"/>
      <c r="B687" s="2"/>
      <c r="C687" s="9"/>
      <c r="D687" s="9"/>
      <c r="E687" s="9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9.5" customHeight="1" x14ac:dyDescent="0.25">
      <c r="A688" s="2"/>
      <c r="B688" s="2"/>
      <c r="C688" s="9"/>
      <c r="D688" s="9"/>
      <c r="E688" s="9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9.5" customHeight="1" x14ac:dyDescent="0.25">
      <c r="A689" s="2"/>
      <c r="B689" s="2"/>
      <c r="C689" s="9"/>
      <c r="D689" s="9"/>
      <c r="E689" s="9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9.5" customHeight="1" x14ac:dyDescent="0.25">
      <c r="A690" s="2"/>
      <c r="B690" s="2"/>
      <c r="C690" s="9"/>
      <c r="D690" s="9"/>
      <c r="E690" s="9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9.5" customHeight="1" x14ac:dyDescent="0.25">
      <c r="A691" s="2"/>
      <c r="B691" s="2"/>
      <c r="C691" s="9"/>
      <c r="D691" s="9"/>
      <c r="E691" s="9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9.5" customHeight="1" x14ac:dyDescent="0.25">
      <c r="A692" s="2"/>
      <c r="B692" s="2"/>
      <c r="C692" s="9"/>
      <c r="D692" s="9"/>
      <c r="E692" s="9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9.5" customHeight="1" x14ac:dyDescent="0.25">
      <c r="A693" s="2"/>
      <c r="B693" s="2"/>
      <c r="C693" s="9"/>
      <c r="D693" s="9"/>
      <c r="E693" s="9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9.5" customHeight="1" x14ac:dyDescent="0.25">
      <c r="A694" s="2"/>
      <c r="B694" s="2"/>
      <c r="C694" s="9"/>
      <c r="D694" s="9"/>
      <c r="E694" s="9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9.5" customHeight="1" x14ac:dyDescent="0.25">
      <c r="A695" s="2"/>
      <c r="B695" s="2"/>
      <c r="C695" s="9"/>
      <c r="D695" s="9"/>
      <c r="E695" s="9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9.5" customHeight="1" x14ac:dyDescent="0.25">
      <c r="A696" s="2"/>
      <c r="B696" s="2"/>
      <c r="C696" s="9"/>
      <c r="D696" s="9"/>
      <c r="E696" s="9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9.5" customHeight="1" x14ac:dyDescent="0.25">
      <c r="A697" s="2"/>
      <c r="B697" s="2"/>
      <c r="C697" s="9"/>
      <c r="D697" s="9"/>
      <c r="E697" s="9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9.5" customHeight="1" x14ac:dyDescent="0.25">
      <c r="A698" s="2"/>
      <c r="B698" s="2"/>
      <c r="C698" s="9"/>
      <c r="D698" s="9"/>
      <c r="E698" s="9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9.5" customHeight="1" x14ac:dyDescent="0.25">
      <c r="A699" s="2"/>
      <c r="B699" s="2"/>
      <c r="C699" s="9"/>
      <c r="D699" s="9"/>
      <c r="E699" s="9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9.5" customHeight="1" x14ac:dyDescent="0.25">
      <c r="A700" s="2"/>
      <c r="B700" s="2"/>
      <c r="C700" s="9"/>
      <c r="D700" s="9"/>
      <c r="E700" s="9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9.5" customHeight="1" x14ac:dyDescent="0.25">
      <c r="A701" s="2"/>
      <c r="B701" s="2"/>
      <c r="C701" s="9"/>
      <c r="D701" s="9"/>
      <c r="E701" s="9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9.5" customHeight="1" x14ac:dyDescent="0.25">
      <c r="A702" s="2"/>
      <c r="B702" s="2"/>
      <c r="C702" s="9"/>
      <c r="D702" s="9"/>
      <c r="E702" s="9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9.5" customHeight="1" x14ac:dyDescent="0.25">
      <c r="A703" s="2"/>
      <c r="B703" s="2"/>
      <c r="C703" s="9"/>
      <c r="D703" s="9"/>
      <c r="E703" s="9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9.5" customHeight="1" x14ac:dyDescent="0.25">
      <c r="A704" s="2"/>
      <c r="B704" s="2"/>
      <c r="C704" s="9"/>
      <c r="D704" s="9"/>
      <c r="E704" s="9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9.5" customHeight="1" x14ac:dyDescent="0.25">
      <c r="A705" s="2"/>
      <c r="B705" s="2"/>
      <c r="C705" s="9"/>
      <c r="D705" s="9"/>
      <c r="E705" s="9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9.5" customHeight="1" x14ac:dyDescent="0.25">
      <c r="A706" s="2"/>
      <c r="B706" s="2"/>
      <c r="C706" s="9"/>
      <c r="D706" s="9"/>
      <c r="E706" s="9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9.5" customHeight="1" x14ac:dyDescent="0.25">
      <c r="A707" s="2"/>
      <c r="B707" s="2"/>
      <c r="C707" s="9"/>
      <c r="D707" s="9"/>
      <c r="E707" s="9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9.5" customHeight="1" x14ac:dyDescent="0.25">
      <c r="A708" s="2"/>
      <c r="B708" s="2"/>
      <c r="C708" s="9"/>
      <c r="D708" s="9"/>
      <c r="E708" s="9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9.5" customHeight="1" x14ac:dyDescent="0.25">
      <c r="A709" s="2"/>
      <c r="B709" s="2"/>
      <c r="C709" s="9"/>
      <c r="D709" s="9"/>
      <c r="E709" s="9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9.5" customHeight="1" x14ac:dyDescent="0.25">
      <c r="A710" s="2"/>
      <c r="B710" s="2"/>
      <c r="C710" s="9"/>
      <c r="D710" s="9"/>
      <c r="E710" s="9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9.5" customHeight="1" x14ac:dyDescent="0.25">
      <c r="A711" s="2"/>
      <c r="B711" s="2"/>
      <c r="C711" s="9"/>
      <c r="D711" s="9"/>
      <c r="E711" s="9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9.5" customHeight="1" x14ac:dyDescent="0.25">
      <c r="A712" s="2"/>
      <c r="B712" s="2"/>
      <c r="C712" s="9"/>
      <c r="D712" s="9"/>
      <c r="E712" s="9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9.5" customHeight="1" x14ac:dyDescent="0.25">
      <c r="A713" s="2"/>
      <c r="B713" s="2"/>
      <c r="C713" s="9"/>
      <c r="D713" s="9"/>
      <c r="E713" s="9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9.5" customHeight="1" x14ac:dyDescent="0.25">
      <c r="A714" s="2"/>
      <c r="B714" s="2"/>
      <c r="C714" s="9"/>
      <c r="D714" s="9"/>
      <c r="E714" s="9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9.5" customHeight="1" x14ac:dyDescent="0.25">
      <c r="A715" s="2"/>
      <c r="B715" s="2"/>
      <c r="C715" s="9"/>
      <c r="D715" s="9"/>
      <c r="E715" s="9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9.5" customHeight="1" x14ac:dyDescent="0.25">
      <c r="A716" s="2"/>
      <c r="B716" s="2"/>
      <c r="C716" s="9"/>
      <c r="D716" s="9"/>
      <c r="E716" s="9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9.5" customHeight="1" x14ac:dyDescent="0.25">
      <c r="A717" s="2"/>
      <c r="B717" s="2"/>
      <c r="C717" s="9"/>
      <c r="D717" s="9"/>
      <c r="E717" s="9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9.5" customHeight="1" x14ac:dyDescent="0.25">
      <c r="A718" s="2"/>
      <c r="B718" s="2"/>
      <c r="C718" s="9"/>
      <c r="D718" s="9"/>
      <c r="E718" s="9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9.5" customHeight="1" x14ac:dyDescent="0.25">
      <c r="A719" s="2"/>
      <c r="B719" s="2"/>
      <c r="C719" s="9"/>
      <c r="D719" s="9"/>
      <c r="E719" s="9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9.5" customHeight="1" x14ac:dyDescent="0.25">
      <c r="A720" s="2"/>
      <c r="B720" s="2"/>
      <c r="C720" s="9"/>
      <c r="D720" s="9"/>
      <c r="E720" s="9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9.5" customHeight="1" x14ac:dyDescent="0.25">
      <c r="A721" s="2"/>
      <c r="B721" s="2"/>
      <c r="C721" s="9"/>
      <c r="D721" s="9"/>
      <c r="E721" s="9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9.5" customHeight="1" x14ac:dyDescent="0.25">
      <c r="A722" s="2"/>
      <c r="B722" s="2"/>
      <c r="C722" s="9"/>
      <c r="D722" s="9"/>
      <c r="E722" s="9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9.5" customHeight="1" x14ac:dyDescent="0.25">
      <c r="A723" s="2"/>
      <c r="B723" s="2"/>
      <c r="C723" s="9"/>
      <c r="D723" s="9"/>
      <c r="E723" s="9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9.5" customHeight="1" x14ac:dyDescent="0.25">
      <c r="A724" s="2"/>
      <c r="B724" s="2"/>
      <c r="C724" s="9"/>
      <c r="D724" s="9"/>
      <c r="E724" s="9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9.5" customHeight="1" x14ac:dyDescent="0.25">
      <c r="A725" s="2"/>
      <c r="B725" s="2"/>
      <c r="C725" s="9"/>
      <c r="D725" s="9"/>
      <c r="E725" s="9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9.5" customHeight="1" x14ac:dyDescent="0.25">
      <c r="A726" s="2"/>
      <c r="B726" s="2"/>
      <c r="C726" s="9"/>
      <c r="D726" s="9"/>
      <c r="E726" s="9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9.5" customHeight="1" x14ac:dyDescent="0.25">
      <c r="A727" s="2"/>
      <c r="B727" s="2"/>
      <c r="C727" s="9"/>
      <c r="D727" s="9"/>
      <c r="E727" s="9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9.5" customHeight="1" x14ac:dyDescent="0.25">
      <c r="A728" s="2"/>
      <c r="B728" s="2"/>
      <c r="C728" s="9"/>
      <c r="D728" s="9"/>
      <c r="E728" s="9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9.5" customHeight="1" x14ac:dyDescent="0.25">
      <c r="A729" s="2"/>
      <c r="B729" s="2"/>
      <c r="C729" s="9"/>
      <c r="D729" s="9"/>
      <c r="E729" s="9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9.5" customHeight="1" x14ac:dyDescent="0.25">
      <c r="A730" s="2"/>
      <c r="B730" s="2"/>
      <c r="C730" s="9"/>
      <c r="D730" s="9"/>
      <c r="E730" s="9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9.5" customHeight="1" x14ac:dyDescent="0.25">
      <c r="A731" s="2"/>
      <c r="B731" s="2"/>
      <c r="C731" s="9"/>
      <c r="D731" s="9"/>
      <c r="E731" s="9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9.5" customHeight="1" x14ac:dyDescent="0.25">
      <c r="A732" s="2"/>
      <c r="B732" s="2"/>
      <c r="C732" s="9"/>
      <c r="D732" s="9"/>
      <c r="E732" s="9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9.5" customHeight="1" x14ac:dyDescent="0.25">
      <c r="A733" s="2"/>
      <c r="B733" s="2"/>
      <c r="C733" s="9"/>
      <c r="D733" s="9"/>
      <c r="E733" s="9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9.5" customHeight="1" x14ac:dyDescent="0.25">
      <c r="A734" s="2"/>
      <c r="B734" s="2"/>
      <c r="C734" s="9"/>
      <c r="D734" s="9"/>
      <c r="E734" s="9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9.5" customHeight="1" x14ac:dyDescent="0.25">
      <c r="A735" s="2"/>
      <c r="B735" s="2"/>
      <c r="C735" s="9"/>
      <c r="D735" s="9"/>
      <c r="E735" s="9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9.5" customHeight="1" x14ac:dyDescent="0.25">
      <c r="A736" s="2"/>
      <c r="B736" s="2"/>
      <c r="C736" s="9"/>
      <c r="D736" s="9"/>
      <c r="E736" s="9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9.5" customHeight="1" x14ac:dyDescent="0.25">
      <c r="A737" s="2"/>
      <c r="B737" s="2"/>
      <c r="C737" s="9"/>
      <c r="D737" s="9"/>
      <c r="E737" s="9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9.5" customHeight="1" x14ac:dyDescent="0.25">
      <c r="A738" s="2"/>
      <c r="B738" s="2"/>
      <c r="C738" s="9"/>
      <c r="D738" s="9"/>
      <c r="E738" s="9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9.5" customHeight="1" x14ac:dyDescent="0.25">
      <c r="A739" s="2"/>
      <c r="B739" s="2"/>
      <c r="C739" s="9"/>
      <c r="D739" s="9"/>
      <c r="E739" s="9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9.5" customHeight="1" x14ac:dyDescent="0.25">
      <c r="A740" s="2"/>
      <c r="B740" s="2"/>
      <c r="C740" s="9"/>
      <c r="D740" s="9"/>
      <c r="E740" s="9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9.5" customHeight="1" x14ac:dyDescent="0.25">
      <c r="A741" s="2"/>
      <c r="B741" s="2"/>
      <c r="C741" s="9"/>
      <c r="D741" s="9"/>
      <c r="E741" s="9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9.5" customHeight="1" x14ac:dyDescent="0.25">
      <c r="A742" s="2"/>
      <c r="B742" s="2"/>
      <c r="C742" s="9"/>
      <c r="D742" s="9"/>
      <c r="E742" s="9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9.5" customHeight="1" x14ac:dyDescent="0.25">
      <c r="A743" s="2"/>
      <c r="B743" s="2"/>
      <c r="C743" s="9"/>
      <c r="D743" s="9"/>
      <c r="E743" s="9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9.5" customHeight="1" x14ac:dyDescent="0.25">
      <c r="A744" s="2"/>
      <c r="B744" s="2"/>
      <c r="C744" s="9"/>
      <c r="D744" s="9"/>
      <c r="E744" s="9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9.5" customHeight="1" x14ac:dyDescent="0.25">
      <c r="A745" s="2"/>
      <c r="B745" s="2"/>
      <c r="C745" s="9"/>
      <c r="D745" s="9"/>
      <c r="E745" s="9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9.5" customHeight="1" x14ac:dyDescent="0.25">
      <c r="A746" s="2"/>
      <c r="B746" s="2"/>
      <c r="C746" s="9"/>
      <c r="D746" s="9"/>
      <c r="E746" s="9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9.5" customHeight="1" x14ac:dyDescent="0.25">
      <c r="A747" s="2"/>
      <c r="B747" s="2"/>
      <c r="C747" s="9"/>
      <c r="D747" s="9"/>
      <c r="E747" s="9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9.5" customHeight="1" x14ac:dyDescent="0.25">
      <c r="A748" s="2"/>
      <c r="B748" s="2"/>
      <c r="C748" s="9"/>
      <c r="D748" s="9"/>
      <c r="E748" s="9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9.5" customHeight="1" x14ac:dyDescent="0.25">
      <c r="A749" s="2"/>
      <c r="B749" s="2"/>
      <c r="C749" s="9"/>
      <c r="D749" s="9"/>
      <c r="E749" s="9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9.5" customHeight="1" x14ac:dyDescent="0.25">
      <c r="A750" s="2"/>
      <c r="B750" s="2"/>
      <c r="C750" s="9"/>
      <c r="D750" s="9"/>
      <c r="E750" s="9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9.5" customHeight="1" x14ac:dyDescent="0.25">
      <c r="A751" s="2"/>
      <c r="B751" s="2"/>
      <c r="C751" s="9"/>
      <c r="D751" s="9"/>
      <c r="E751" s="9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9.5" customHeight="1" x14ac:dyDescent="0.25">
      <c r="A752" s="2"/>
      <c r="B752" s="2"/>
      <c r="C752" s="9"/>
      <c r="D752" s="9"/>
      <c r="E752" s="9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9.5" customHeight="1" x14ac:dyDescent="0.25">
      <c r="A753" s="2"/>
      <c r="B753" s="2"/>
      <c r="C753" s="9"/>
      <c r="D753" s="9"/>
      <c r="E753" s="9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9.5" customHeight="1" x14ac:dyDescent="0.25">
      <c r="A754" s="2"/>
      <c r="B754" s="2"/>
      <c r="C754" s="9"/>
      <c r="D754" s="9"/>
      <c r="E754" s="9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9.5" customHeight="1" x14ac:dyDescent="0.25">
      <c r="A755" s="2"/>
      <c r="B755" s="2"/>
      <c r="C755" s="9"/>
      <c r="D755" s="9"/>
      <c r="E755" s="9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9.5" customHeight="1" x14ac:dyDescent="0.25">
      <c r="A756" s="2"/>
      <c r="B756" s="2"/>
      <c r="C756" s="9"/>
      <c r="D756" s="9"/>
      <c r="E756" s="9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9.5" customHeight="1" x14ac:dyDescent="0.25">
      <c r="A757" s="2"/>
      <c r="B757" s="2"/>
      <c r="C757" s="9"/>
      <c r="D757" s="9"/>
      <c r="E757" s="9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9.5" customHeight="1" x14ac:dyDescent="0.25">
      <c r="A758" s="2"/>
      <c r="B758" s="2"/>
      <c r="C758" s="9"/>
      <c r="D758" s="9"/>
      <c r="E758" s="9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9.5" customHeight="1" x14ac:dyDescent="0.25">
      <c r="A759" s="2"/>
      <c r="B759" s="2"/>
      <c r="C759" s="9"/>
      <c r="D759" s="9"/>
      <c r="E759" s="9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9.5" customHeight="1" x14ac:dyDescent="0.25">
      <c r="A760" s="2"/>
      <c r="B760" s="2"/>
      <c r="C760" s="9"/>
      <c r="D760" s="9"/>
      <c r="E760" s="9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9.5" customHeight="1" x14ac:dyDescent="0.25">
      <c r="A761" s="2"/>
      <c r="B761" s="2"/>
      <c r="C761" s="9"/>
      <c r="D761" s="9"/>
      <c r="E761" s="9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9.5" customHeight="1" x14ac:dyDescent="0.25">
      <c r="A762" s="2"/>
      <c r="B762" s="2"/>
      <c r="C762" s="9"/>
      <c r="D762" s="9"/>
      <c r="E762" s="9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9.5" customHeight="1" x14ac:dyDescent="0.25">
      <c r="A763" s="2"/>
      <c r="B763" s="2"/>
      <c r="C763" s="9"/>
      <c r="D763" s="9"/>
      <c r="E763" s="9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9.5" customHeight="1" x14ac:dyDescent="0.25">
      <c r="A764" s="2"/>
      <c r="B764" s="2"/>
      <c r="C764" s="9"/>
      <c r="D764" s="9"/>
      <c r="E764" s="9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9.5" customHeight="1" x14ac:dyDescent="0.25">
      <c r="A765" s="2"/>
      <c r="B765" s="2"/>
      <c r="C765" s="9"/>
      <c r="D765" s="9"/>
      <c r="E765" s="9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9.5" customHeight="1" x14ac:dyDescent="0.25">
      <c r="A766" s="2"/>
      <c r="B766" s="2"/>
      <c r="C766" s="9"/>
      <c r="D766" s="9"/>
      <c r="E766" s="9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9.5" customHeight="1" x14ac:dyDescent="0.25">
      <c r="A767" s="2"/>
      <c r="B767" s="2"/>
      <c r="C767" s="9"/>
      <c r="D767" s="9"/>
      <c r="E767" s="9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9.5" customHeight="1" x14ac:dyDescent="0.25">
      <c r="A768" s="2"/>
      <c r="B768" s="2"/>
      <c r="C768" s="9"/>
      <c r="D768" s="9"/>
      <c r="E768" s="9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9.5" customHeight="1" x14ac:dyDescent="0.25">
      <c r="A769" s="2"/>
      <c r="B769" s="2"/>
      <c r="C769" s="9"/>
      <c r="D769" s="9"/>
      <c r="E769" s="9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9.5" customHeight="1" x14ac:dyDescent="0.25">
      <c r="A770" s="2"/>
      <c r="B770" s="2"/>
      <c r="C770" s="9"/>
      <c r="D770" s="9"/>
      <c r="E770" s="9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9.5" customHeight="1" x14ac:dyDescent="0.25">
      <c r="A771" s="2"/>
      <c r="B771" s="2"/>
      <c r="C771" s="9"/>
      <c r="D771" s="9"/>
      <c r="E771" s="9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9.5" customHeight="1" x14ac:dyDescent="0.25">
      <c r="A772" s="2"/>
      <c r="B772" s="2"/>
      <c r="C772" s="9"/>
      <c r="D772" s="9"/>
      <c r="E772" s="9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9.5" customHeight="1" x14ac:dyDescent="0.25">
      <c r="A773" s="2"/>
      <c r="B773" s="2"/>
      <c r="C773" s="9"/>
      <c r="D773" s="9"/>
      <c r="E773" s="9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9.5" customHeight="1" x14ac:dyDescent="0.25">
      <c r="A774" s="2"/>
      <c r="B774" s="2"/>
      <c r="C774" s="9"/>
      <c r="D774" s="9"/>
      <c r="E774" s="9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9.5" customHeight="1" x14ac:dyDescent="0.25">
      <c r="A775" s="2"/>
      <c r="B775" s="2"/>
      <c r="C775" s="9"/>
      <c r="D775" s="9"/>
      <c r="E775" s="9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9.5" customHeight="1" x14ac:dyDescent="0.25">
      <c r="A776" s="2"/>
      <c r="B776" s="2"/>
      <c r="C776" s="9"/>
      <c r="D776" s="9"/>
      <c r="E776" s="9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9.5" customHeight="1" x14ac:dyDescent="0.25">
      <c r="A777" s="2"/>
      <c r="B777" s="2"/>
      <c r="C777" s="9"/>
      <c r="D777" s="9"/>
      <c r="E777" s="9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9.5" customHeight="1" x14ac:dyDescent="0.25">
      <c r="A778" s="2"/>
      <c r="B778" s="2"/>
      <c r="C778" s="9"/>
      <c r="D778" s="9"/>
      <c r="E778" s="9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9.5" customHeight="1" x14ac:dyDescent="0.25">
      <c r="A779" s="2"/>
      <c r="B779" s="2"/>
      <c r="C779" s="9"/>
      <c r="D779" s="9"/>
      <c r="E779" s="9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9.5" customHeight="1" x14ac:dyDescent="0.25">
      <c r="A780" s="2"/>
      <c r="B780" s="2"/>
      <c r="C780" s="9"/>
      <c r="D780" s="9"/>
      <c r="E780" s="9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9.5" customHeight="1" x14ac:dyDescent="0.25">
      <c r="A781" s="2"/>
      <c r="B781" s="2"/>
      <c r="C781" s="9"/>
      <c r="D781" s="9"/>
      <c r="E781" s="9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9.5" customHeight="1" x14ac:dyDescent="0.25">
      <c r="A782" s="2"/>
      <c r="B782" s="2"/>
      <c r="C782" s="9"/>
      <c r="D782" s="9"/>
      <c r="E782" s="9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9.5" customHeight="1" x14ac:dyDescent="0.25">
      <c r="A783" s="2"/>
      <c r="B783" s="2"/>
      <c r="C783" s="9"/>
      <c r="D783" s="9"/>
      <c r="E783" s="9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9.5" customHeight="1" x14ac:dyDescent="0.25">
      <c r="A784" s="2"/>
      <c r="B784" s="2"/>
      <c r="C784" s="9"/>
      <c r="D784" s="9"/>
      <c r="E784" s="9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9.5" customHeight="1" x14ac:dyDescent="0.25">
      <c r="A785" s="2"/>
      <c r="B785" s="2"/>
      <c r="C785" s="9"/>
      <c r="D785" s="9"/>
      <c r="E785" s="9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9.5" customHeight="1" x14ac:dyDescent="0.25">
      <c r="A786" s="2"/>
      <c r="B786" s="2"/>
      <c r="C786" s="9"/>
      <c r="D786" s="9"/>
      <c r="E786" s="9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9.5" customHeight="1" x14ac:dyDescent="0.25">
      <c r="A787" s="2"/>
      <c r="B787" s="2"/>
      <c r="C787" s="9"/>
      <c r="D787" s="9"/>
      <c r="E787" s="9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9.5" customHeight="1" x14ac:dyDescent="0.25">
      <c r="A788" s="2"/>
      <c r="B788" s="2"/>
      <c r="C788" s="9"/>
      <c r="D788" s="9"/>
      <c r="E788" s="9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9.5" customHeight="1" x14ac:dyDescent="0.25">
      <c r="A789" s="2"/>
      <c r="B789" s="2"/>
      <c r="C789" s="9"/>
      <c r="D789" s="9"/>
      <c r="E789" s="9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9.5" customHeight="1" x14ac:dyDescent="0.25">
      <c r="A790" s="2"/>
      <c r="B790" s="2"/>
      <c r="C790" s="9"/>
      <c r="D790" s="9"/>
      <c r="E790" s="9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9.5" customHeight="1" x14ac:dyDescent="0.25">
      <c r="A791" s="2"/>
      <c r="B791" s="2"/>
      <c r="C791" s="9"/>
      <c r="D791" s="9"/>
      <c r="E791" s="9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9.5" customHeight="1" x14ac:dyDescent="0.25">
      <c r="A792" s="2"/>
      <c r="B792" s="2"/>
      <c r="C792" s="9"/>
      <c r="D792" s="9"/>
      <c r="E792" s="9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9.5" customHeight="1" x14ac:dyDescent="0.25">
      <c r="A793" s="2"/>
      <c r="B793" s="2"/>
      <c r="C793" s="9"/>
      <c r="D793" s="9"/>
      <c r="E793" s="9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9.5" customHeight="1" x14ac:dyDescent="0.25">
      <c r="A794" s="2"/>
      <c r="B794" s="2"/>
      <c r="C794" s="9"/>
      <c r="D794" s="9"/>
      <c r="E794" s="9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9.5" customHeight="1" x14ac:dyDescent="0.25">
      <c r="A795" s="2"/>
      <c r="B795" s="2"/>
      <c r="C795" s="9"/>
      <c r="D795" s="9"/>
      <c r="E795" s="9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9.5" customHeight="1" x14ac:dyDescent="0.25">
      <c r="A796" s="2"/>
      <c r="B796" s="2"/>
      <c r="C796" s="9"/>
      <c r="D796" s="9"/>
      <c r="E796" s="9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9.5" customHeight="1" x14ac:dyDescent="0.25">
      <c r="A797" s="2"/>
      <c r="B797" s="2"/>
      <c r="C797" s="9"/>
      <c r="D797" s="9"/>
      <c r="E797" s="9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9.5" customHeight="1" x14ac:dyDescent="0.25">
      <c r="A798" s="2"/>
      <c r="B798" s="2"/>
      <c r="C798" s="9"/>
      <c r="D798" s="9"/>
      <c r="E798" s="9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9.5" customHeight="1" x14ac:dyDescent="0.25">
      <c r="A799" s="2"/>
      <c r="B799" s="2"/>
      <c r="C799" s="9"/>
      <c r="D799" s="9"/>
      <c r="E799" s="9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9.5" customHeight="1" x14ac:dyDescent="0.25">
      <c r="A800" s="2"/>
      <c r="B800" s="2"/>
      <c r="C800" s="9"/>
      <c r="D800" s="9"/>
      <c r="E800" s="9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9.5" customHeight="1" x14ac:dyDescent="0.25">
      <c r="A801" s="2"/>
      <c r="B801" s="2"/>
      <c r="C801" s="9"/>
      <c r="D801" s="9"/>
      <c r="E801" s="9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9.5" customHeight="1" x14ac:dyDescent="0.25">
      <c r="A802" s="2"/>
      <c r="B802" s="2"/>
      <c r="C802" s="9"/>
      <c r="D802" s="9"/>
      <c r="E802" s="9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9.5" customHeight="1" x14ac:dyDescent="0.25">
      <c r="A803" s="2"/>
      <c r="B803" s="2"/>
      <c r="C803" s="9"/>
      <c r="D803" s="9"/>
      <c r="E803" s="9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9.5" customHeight="1" x14ac:dyDescent="0.25">
      <c r="A804" s="2"/>
      <c r="B804" s="2"/>
      <c r="C804" s="9"/>
      <c r="D804" s="9"/>
      <c r="E804" s="9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9.5" customHeight="1" x14ac:dyDescent="0.25">
      <c r="A805" s="2"/>
      <c r="B805" s="2"/>
      <c r="C805" s="9"/>
      <c r="D805" s="9"/>
      <c r="E805" s="9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9.5" customHeight="1" x14ac:dyDescent="0.25">
      <c r="A806" s="2"/>
      <c r="B806" s="2"/>
      <c r="C806" s="9"/>
      <c r="D806" s="9"/>
      <c r="E806" s="9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9.5" customHeight="1" x14ac:dyDescent="0.25">
      <c r="A807" s="2"/>
      <c r="B807" s="2"/>
      <c r="C807" s="9"/>
      <c r="D807" s="9"/>
      <c r="E807" s="9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9.5" customHeight="1" x14ac:dyDescent="0.25">
      <c r="A808" s="2"/>
      <c r="B808" s="2"/>
      <c r="C808" s="9"/>
      <c r="D808" s="9"/>
      <c r="E808" s="9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9.5" customHeight="1" x14ac:dyDescent="0.25">
      <c r="A809" s="2"/>
      <c r="B809" s="2"/>
      <c r="C809" s="9"/>
      <c r="D809" s="9"/>
      <c r="E809" s="9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9.5" customHeight="1" x14ac:dyDescent="0.25">
      <c r="A810" s="2"/>
      <c r="B810" s="2"/>
      <c r="C810" s="9"/>
      <c r="D810" s="9"/>
      <c r="E810" s="9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9.5" customHeight="1" x14ac:dyDescent="0.25">
      <c r="A811" s="2"/>
      <c r="B811" s="2"/>
      <c r="C811" s="9"/>
      <c r="D811" s="9"/>
      <c r="E811" s="9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9.5" customHeight="1" x14ac:dyDescent="0.25">
      <c r="A812" s="2"/>
      <c r="B812" s="2"/>
      <c r="C812" s="9"/>
      <c r="D812" s="9"/>
      <c r="E812" s="9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9.5" customHeight="1" x14ac:dyDescent="0.25">
      <c r="A813" s="2"/>
      <c r="B813" s="2"/>
      <c r="C813" s="9"/>
      <c r="D813" s="9"/>
      <c r="E813" s="9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9.5" customHeight="1" x14ac:dyDescent="0.25">
      <c r="A814" s="2"/>
      <c r="B814" s="2"/>
      <c r="C814" s="9"/>
      <c r="D814" s="9"/>
      <c r="E814" s="9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9.5" customHeight="1" x14ac:dyDescent="0.25">
      <c r="A815" s="2"/>
      <c r="B815" s="2"/>
      <c r="C815" s="9"/>
      <c r="D815" s="9"/>
      <c r="E815" s="9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9.5" customHeight="1" x14ac:dyDescent="0.25">
      <c r="A816" s="2"/>
      <c r="B816" s="2"/>
      <c r="C816" s="9"/>
      <c r="D816" s="9"/>
      <c r="E816" s="9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9.5" customHeight="1" x14ac:dyDescent="0.25">
      <c r="A817" s="2"/>
      <c r="B817" s="2"/>
      <c r="C817" s="9"/>
      <c r="D817" s="9"/>
      <c r="E817" s="9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9.5" customHeight="1" x14ac:dyDescent="0.25">
      <c r="A818" s="2"/>
      <c r="B818" s="2"/>
      <c r="C818" s="9"/>
      <c r="D818" s="9"/>
      <c r="E818" s="9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9.5" customHeight="1" x14ac:dyDescent="0.25">
      <c r="A819" s="2"/>
      <c r="B819" s="2"/>
      <c r="C819" s="9"/>
      <c r="D819" s="9"/>
      <c r="E819" s="9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9.5" customHeight="1" x14ac:dyDescent="0.25">
      <c r="A820" s="2"/>
      <c r="B820" s="2"/>
      <c r="C820" s="9"/>
      <c r="D820" s="9"/>
      <c r="E820" s="9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9.5" customHeight="1" x14ac:dyDescent="0.25">
      <c r="A821" s="2"/>
      <c r="B821" s="2"/>
      <c r="C821" s="9"/>
      <c r="D821" s="9"/>
      <c r="E821" s="9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9.5" customHeight="1" x14ac:dyDescent="0.25">
      <c r="A822" s="2"/>
      <c r="B822" s="2"/>
      <c r="C822" s="9"/>
      <c r="D822" s="9"/>
      <c r="E822" s="9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9.5" customHeight="1" x14ac:dyDescent="0.25">
      <c r="A823" s="2"/>
      <c r="B823" s="2"/>
      <c r="C823" s="9"/>
      <c r="D823" s="9"/>
      <c r="E823" s="9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9.5" customHeight="1" x14ac:dyDescent="0.25">
      <c r="A824" s="2"/>
      <c r="B824" s="2"/>
      <c r="C824" s="9"/>
      <c r="D824" s="9"/>
      <c r="E824" s="9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9.5" customHeight="1" x14ac:dyDescent="0.25">
      <c r="A825" s="2"/>
      <c r="B825" s="2"/>
      <c r="C825" s="9"/>
      <c r="D825" s="9"/>
      <c r="E825" s="9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9.5" customHeight="1" x14ac:dyDescent="0.25">
      <c r="A826" s="2"/>
      <c r="B826" s="2"/>
      <c r="C826" s="9"/>
      <c r="D826" s="9"/>
      <c r="E826" s="9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9.5" customHeight="1" x14ac:dyDescent="0.25">
      <c r="A827" s="2"/>
      <c r="B827" s="2"/>
      <c r="C827" s="9"/>
      <c r="D827" s="9"/>
      <c r="E827" s="9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9.5" customHeight="1" x14ac:dyDescent="0.25">
      <c r="A828" s="2"/>
      <c r="B828" s="2"/>
      <c r="C828" s="9"/>
      <c r="D828" s="9"/>
      <c r="E828" s="9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9.5" customHeight="1" x14ac:dyDescent="0.25">
      <c r="A829" s="2"/>
      <c r="B829" s="2"/>
      <c r="C829" s="9"/>
      <c r="D829" s="9"/>
      <c r="E829" s="9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9.5" customHeight="1" x14ac:dyDescent="0.25">
      <c r="A830" s="2"/>
      <c r="B830" s="2"/>
      <c r="C830" s="9"/>
      <c r="D830" s="9"/>
      <c r="E830" s="9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9.5" customHeight="1" x14ac:dyDescent="0.25">
      <c r="A831" s="2"/>
      <c r="B831" s="2"/>
      <c r="C831" s="9"/>
      <c r="D831" s="9"/>
      <c r="E831" s="9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9.5" customHeight="1" x14ac:dyDescent="0.25">
      <c r="A832" s="2"/>
      <c r="B832" s="2"/>
      <c r="C832" s="9"/>
      <c r="D832" s="9"/>
      <c r="E832" s="9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9.5" customHeight="1" x14ac:dyDescent="0.25">
      <c r="A833" s="2"/>
      <c r="B833" s="2"/>
      <c r="C833" s="9"/>
      <c r="D833" s="9"/>
      <c r="E833" s="9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9.5" customHeight="1" x14ac:dyDescent="0.25">
      <c r="A834" s="2"/>
      <c r="B834" s="2"/>
      <c r="C834" s="9"/>
      <c r="D834" s="9"/>
      <c r="E834" s="9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9.5" customHeight="1" x14ac:dyDescent="0.25">
      <c r="A835" s="2"/>
      <c r="B835" s="2"/>
      <c r="C835" s="9"/>
      <c r="D835" s="9"/>
      <c r="E835" s="9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9.5" customHeight="1" x14ac:dyDescent="0.25">
      <c r="A836" s="2"/>
      <c r="B836" s="2"/>
      <c r="C836" s="9"/>
      <c r="D836" s="9"/>
      <c r="E836" s="9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9.5" customHeight="1" x14ac:dyDescent="0.25">
      <c r="A837" s="2"/>
      <c r="B837" s="2"/>
      <c r="C837" s="9"/>
      <c r="D837" s="9"/>
      <c r="E837" s="9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9.5" customHeight="1" x14ac:dyDescent="0.25">
      <c r="A838" s="2"/>
      <c r="B838" s="2"/>
      <c r="C838" s="9"/>
      <c r="D838" s="9"/>
      <c r="E838" s="9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9.5" customHeight="1" x14ac:dyDescent="0.25">
      <c r="A839" s="2"/>
      <c r="B839" s="2"/>
      <c r="C839" s="9"/>
      <c r="D839" s="9"/>
      <c r="E839" s="9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9.5" customHeight="1" x14ac:dyDescent="0.25">
      <c r="A840" s="2"/>
      <c r="B840" s="2"/>
      <c r="C840" s="9"/>
      <c r="D840" s="9"/>
      <c r="E840" s="9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9.5" customHeight="1" x14ac:dyDescent="0.25">
      <c r="A841" s="2"/>
      <c r="B841" s="2"/>
      <c r="C841" s="9"/>
      <c r="D841" s="9"/>
      <c r="E841" s="9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9.5" customHeight="1" x14ac:dyDescent="0.25">
      <c r="A842" s="2"/>
      <c r="B842" s="2"/>
      <c r="C842" s="9"/>
      <c r="D842" s="9"/>
      <c r="E842" s="9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9.5" customHeight="1" x14ac:dyDescent="0.25">
      <c r="A843" s="2"/>
      <c r="B843" s="2"/>
      <c r="C843" s="9"/>
      <c r="D843" s="9"/>
      <c r="E843" s="9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9.5" customHeight="1" x14ac:dyDescent="0.25">
      <c r="A844" s="2"/>
      <c r="B844" s="2"/>
      <c r="C844" s="9"/>
      <c r="D844" s="9"/>
      <c r="E844" s="9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9.5" customHeight="1" x14ac:dyDescent="0.25">
      <c r="A845" s="2"/>
      <c r="B845" s="2"/>
      <c r="C845" s="9"/>
      <c r="D845" s="9"/>
      <c r="E845" s="9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9.5" customHeight="1" x14ac:dyDescent="0.25">
      <c r="A846" s="2"/>
      <c r="B846" s="2"/>
      <c r="C846" s="9"/>
      <c r="D846" s="9"/>
      <c r="E846" s="9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9.5" customHeight="1" x14ac:dyDescent="0.25">
      <c r="A847" s="2"/>
      <c r="B847" s="2"/>
      <c r="C847" s="9"/>
      <c r="D847" s="9"/>
      <c r="E847" s="9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9.5" customHeight="1" x14ac:dyDescent="0.25">
      <c r="A848" s="2"/>
      <c r="B848" s="2"/>
      <c r="C848" s="9"/>
      <c r="D848" s="9"/>
      <c r="E848" s="9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9.5" customHeight="1" x14ac:dyDescent="0.25">
      <c r="A849" s="2"/>
      <c r="B849" s="2"/>
      <c r="C849" s="9"/>
      <c r="D849" s="9"/>
      <c r="E849" s="9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9.5" customHeight="1" x14ac:dyDescent="0.25">
      <c r="A850" s="2"/>
      <c r="B850" s="2"/>
      <c r="C850" s="9"/>
      <c r="D850" s="9"/>
      <c r="E850" s="9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9.5" customHeight="1" x14ac:dyDescent="0.25">
      <c r="A851" s="2"/>
      <c r="B851" s="2"/>
      <c r="C851" s="9"/>
      <c r="D851" s="9"/>
      <c r="E851" s="9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9.5" customHeight="1" x14ac:dyDescent="0.25">
      <c r="A852" s="2"/>
      <c r="B852" s="2"/>
      <c r="C852" s="9"/>
      <c r="D852" s="9"/>
      <c r="E852" s="9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9.5" customHeight="1" x14ac:dyDescent="0.25">
      <c r="A853" s="2"/>
      <c r="B853" s="2"/>
      <c r="C853" s="9"/>
      <c r="D853" s="9"/>
      <c r="E853" s="9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9.5" customHeight="1" x14ac:dyDescent="0.25">
      <c r="A854" s="2"/>
      <c r="B854" s="2"/>
      <c r="C854" s="9"/>
      <c r="D854" s="9"/>
      <c r="E854" s="9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9.5" customHeight="1" x14ac:dyDescent="0.25">
      <c r="A855" s="2"/>
      <c r="B855" s="2"/>
      <c r="C855" s="9"/>
      <c r="D855" s="9"/>
      <c r="E855" s="9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9.5" customHeight="1" x14ac:dyDescent="0.25">
      <c r="A856" s="2"/>
      <c r="B856" s="2"/>
      <c r="C856" s="9"/>
      <c r="D856" s="9"/>
      <c r="E856" s="9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9.5" customHeight="1" x14ac:dyDescent="0.25">
      <c r="A857" s="2"/>
      <c r="B857" s="2"/>
      <c r="C857" s="9"/>
      <c r="D857" s="9"/>
      <c r="E857" s="9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9.5" customHeight="1" x14ac:dyDescent="0.25">
      <c r="A858" s="2"/>
      <c r="B858" s="2"/>
      <c r="C858" s="9"/>
      <c r="D858" s="9"/>
      <c r="E858" s="9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9.5" customHeight="1" x14ac:dyDescent="0.25">
      <c r="A859" s="2"/>
      <c r="B859" s="2"/>
      <c r="C859" s="9"/>
      <c r="D859" s="9"/>
      <c r="E859" s="9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9.5" customHeight="1" x14ac:dyDescent="0.25">
      <c r="A860" s="2"/>
      <c r="B860" s="2"/>
      <c r="C860" s="9"/>
      <c r="D860" s="9"/>
      <c r="E860" s="9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9.5" customHeight="1" x14ac:dyDescent="0.25">
      <c r="A861" s="2"/>
      <c r="B861" s="2"/>
      <c r="C861" s="9"/>
      <c r="D861" s="9"/>
      <c r="E861" s="9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9.5" customHeight="1" x14ac:dyDescent="0.25">
      <c r="A862" s="2"/>
      <c r="B862" s="2"/>
      <c r="C862" s="9"/>
      <c r="D862" s="9"/>
      <c r="E862" s="9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9.5" customHeight="1" x14ac:dyDescent="0.25">
      <c r="A863" s="2"/>
      <c r="B863" s="2"/>
      <c r="C863" s="9"/>
      <c r="D863" s="9"/>
      <c r="E863" s="9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9.5" customHeight="1" x14ac:dyDescent="0.25">
      <c r="A864" s="2"/>
      <c r="B864" s="2"/>
      <c r="C864" s="9"/>
      <c r="D864" s="9"/>
      <c r="E864" s="9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9.5" customHeight="1" x14ac:dyDescent="0.25">
      <c r="A865" s="2"/>
      <c r="B865" s="2"/>
      <c r="C865" s="9"/>
      <c r="D865" s="9"/>
      <c r="E865" s="9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9.5" customHeight="1" x14ac:dyDescent="0.25">
      <c r="A866" s="2"/>
      <c r="B866" s="2"/>
      <c r="C866" s="9"/>
      <c r="D866" s="9"/>
      <c r="E866" s="9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9.5" customHeight="1" x14ac:dyDescent="0.25">
      <c r="A867" s="2"/>
      <c r="B867" s="2"/>
      <c r="C867" s="9"/>
      <c r="D867" s="9"/>
      <c r="E867" s="9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9.5" customHeight="1" x14ac:dyDescent="0.25">
      <c r="A868" s="2"/>
      <c r="B868" s="2"/>
      <c r="C868" s="9"/>
      <c r="D868" s="9"/>
      <c r="E868" s="9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9.5" customHeight="1" x14ac:dyDescent="0.25">
      <c r="A869" s="2"/>
      <c r="B869" s="2"/>
      <c r="C869" s="9"/>
      <c r="D869" s="9"/>
      <c r="E869" s="9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9.5" customHeight="1" x14ac:dyDescent="0.25">
      <c r="A870" s="2"/>
      <c r="B870" s="2"/>
      <c r="C870" s="9"/>
      <c r="D870" s="9"/>
      <c r="E870" s="9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9.5" customHeight="1" x14ac:dyDescent="0.25">
      <c r="A871" s="2"/>
      <c r="B871" s="2"/>
      <c r="C871" s="9"/>
      <c r="D871" s="9"/>
      <c r="E871" s="9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9.5" customHeight="1" x14ac:dyDescent="0.25">
      <c r="A872" s="2"/>
      <c r="B872" s="2"/>
      <c r="C872" s="9"/>
      <c r="D872" s="9"/>
      <c r="E872" s="9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9.5" customHeight="1" x14ac:dyDescent="0.25">
      <c r="A873" s="2"/>
      <c r="B873" s="2"/>
      <c r="C873" s="9"/>
      <c r="D873" s="9"/>
      <c r="E873" s="9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9.5" customHeight="1" x14ac:dyDescent="0.25">
      <c r="A874" s="2"/>
      <c r="B874" s="2"/>
      <c r="C874" s="9"/>
      <c r="D874" s="9"/>
      <c r="E874" s="9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9.5" customHeight="1" x14ac:dyDescent="0.25">
      <c r="A875" s="2"/>
      <c r="B875" s="2"/>
      <c r="C875" s="9"/>
      <c r="D875" s="9"/>
      <c r="E875" s="9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9.5" customHeight="1" x14ac:dyDescent="0.25">
      <c r="A876" s="2"/>
      <c r="B876" s="2"/>
      <c r="C876" s="9"/>
      <c r="D876" s="9"/>
      <c r="E876" s="9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9.5" customHeight="1" x14ac:dyDescent="0.25">
      <c r="A877" s="2"/>
      <c r="B877" s="2"/>
      <c r="C877" s="9"/>
      <c r="D877" s="9"/>
      <c r="E877" s="9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9.5" customHeight="1" x14ac:dyDescent="0.25">
      <c r="A878" s="2"/>
      <c r="B878" s="2"/>
      <c r="C878" s="9"/>
      <c r="D878" s="9"/>
      <c r="E878" s="9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9.5" customHeight="1" x14ac:dyDescent="0.25">
      <c r="A879" s="2"/>
      <c r="B879" s="2"/>
      <c r="C879" s="9"/>
      <c r="D879" s="9"/>
      <c r="E879" s="9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9.5" customHeight="1" x14ac:dyDescent="0.25">
      <c r="A880" s="2"/>
      <c r="B880" s="2"/>
      <c r="C880" s="9"/>
      <c r="D880" s="9"/>
      <c r="E880" s="9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9.5" customHeight="1" x14ac:dyDescent="0.25">
      <c r="A881" s="2"/>
      <c r="B881" s="2"/>
      <c r="C881" s="9"/>
      <c r="D881" s="9"/>
      <c r="E881" s="9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9.5" customHeight="1" x14ac:dyDescent="0.25">
      <c r="A882" s="2"/>
      <c r="B882" s="2"/>
      <c r="C882" s="9"/>
      <c r="D882" s="9"/>
      <c r="E882" s="9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9.5" customHeight="1" x14ac:dyDescent="0.25">
      <c r="A883" s="2"/>
      <c r="B883" s="2"/>
      <c r="C883" s="9"/>
      <c r="D883" s="9"/>
      <c r="E883" s="9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9.5" customHeight="1" x14ac:dyDescent="0.25">
      <c r="A884" s="2"/>
      <c r="B884" s="2"/>
      <c r="C884" s="9"/>
      <c r="D884" s="9"/>
      <c r="E884" s="9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9.5" customHeight="1" x14ac:dyDescent="0.25">
      <c r="A885" s="2"/>
      <c r="B885" s="2"/>
      <c r="C885" s="9"/>
      <c r="D885" s="9"/>
      <c r="E885" s="9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9.5" customHeight="1" x14ac:dyDescent="0.25">
      <c r="A886" s="2"/>
      <c r="B886" s="2"/>
      <c r="C886" s="9"/>
      <c r="D886" s="9"/>
      <c r="E886" s="9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9.5" customHeight="1" x14ac:dyDescent="0.25">
      <c r="A887" s="2"/>
      <c r="B887" s="2"/>
      <c r="C887" s="9"/>
      <c r="D887" s="9"/>
      <c r="E887" s="9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9.5" customHeight="1" x14ac:dyDescent="0.25">
      <c r="A888" s="2"/>
      <c r="B888" s="2"/>
      <c r="C888" s="9"/>
      <c r="D888" s="9"/>
      <c r="E888" s="9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9.5" customHeight="1" x14ac:dyDescent="0.25">
      <c r="A889" s="2"/>
      <c r="B889" s="2"/>
      <c r="C889" s="9"/>
      <c r="D889" s="9"/>
      <c r="E889" s="9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9.5" customHeight="1" x14ac:dyDescent="0.25">
      <c r="A890" s="2"/>
      <c r="B890" s="2"/>
      <c r="C890" s="9"/>
      <c r="D890" s="9"/>
      <c r="E890" s="9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9.5" customHeight="1" x14ac:dyDescent="0.25">
      <c r="A891" s="2"/>
      <c r="B891" s="2"/>
      <c r="C891" s="9"/>
      <c r="D891" s="9"/>
      <c r="E891" s="9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9.5" customHeight="1" x14ac:dyDescent="0.25">
      <c r="A892" s="2"/>
      <c r="B892" s="2"/>
      <c r="C892" s="9"/>
      <c r="D892" s="9"/>
      <c r="E892" s="9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9.5" customHeight="1" x14ac:dyDescent="0.25">
      <c r="A893" s="2"/>
      <c r="B893" s="2"/>
      <c r="C893" s="9"/>
      <c r="D893" s="9"/>
      <c r="E893" s="9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9.5" customHeight="1" x14ac:dyDescent="0.25">
      <c r="A894" s="2"/>
      <c r="B894" s="2"/>
      <c r="C894" s="9"/>
      <c r="D894" s="9"/>
      <c r="E894" s="9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9.5" customHeight="1" x14ac:dyDescent="0.25">
      <c r="A895" s="2"/>
      <c r="B895" s="2"/>
      <c r="C895" s="9"/>
      <c r="D895" s="9"/>
      <c r="E895" s="9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9.5" customHeight="1" x14ac:dyDescent="0.25">
      <c r="A896" s="2"/>
      <c r="B896" s="2"/>
      <c r="C896" s="9"/>
      <c r="D896" s="9"/>
      <c r="E896" s="9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9.5" customHeight="1" x14ac:dyDescent="0.25">
      <c r="A897" s="2"/>
      <c r="B897" s="2"/>
      <c r="C897" s="9"/>
      <c r="D897" s="9"/>
      <c r="E897" s="9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9.5" customHeight="1" x14ac:dyDescent="0.25">
      <c r="A898" s="2"/>
      <c r="B898" s="2"/>
      <c r="C898" s="9"/>
      <c r="D898" s="9"/>
      <c r="E898" s="9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9.5" customHeight="1" x14ac:dyDescent="0.25">
      <c r="A899" s="2"/>
      <c r="B899" s="2"/>
      <c r="C899" s="9"/>
      <c r="D899" s="9"/>
      <c r="E899" s="9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9.5" customHeight="1" x14ac:dyDescent="0.25">
      <c r="A900" s="2"/>
      <c r="B900" s="2"/>
      <c r="C900" s="9"/>
      <c r="D900" s="9"/>
      <c r="E900" s="9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9.5" customHeight="1" x14ac:dyDescent="0.25">
      <c r="A901" s="2"/>
      <c r="B901" s="2"/>
      <c r="C901" s="9"/>
      <c r="D901" s="9"/>
      <c r="E901" s="9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9.5" customHeight="1" x14ac:dyDescent="0.25">
      <c r="A902" s="2"/>
      <c r="B902" s="2"/>
      <c r="C902" s="9"/>
      <c r="D902" s="9"/>
      <c r="E902" s="9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9.5" customHeight="1" x14ac:dyDescent="0.25">
      <c r="A903" s="2"/>
      <c r="B903" s="2"/>
      <c r="C903" s="9"/>
      <c r="D903" s="9"/>
      <c r="E903" s="9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9.5" customHeight="1" x14ac:dyDescent="0.25">
      <c r="A904" s="2"/>
      <c r="B904" s="2"/>
      <c r="C904" s="9"/>
      <c r="D904" s="9"/>
      <c r="E904" s="9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9.5" customHeight="1" x14ac:dyDescent="0.25">
      <c r="A905" s="2"/>
      <c r="B905" s="2"/>
      <c r="C905" s="9"/>
      <c r="D905" s="9"/>
      <c r="E905" s="9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9.5" customHeight="1" x14ac:dyDescent="0.25">
      <c r="A906" s="2"/>
      <c r="B906" s="2"/>
      <c r="C906" s="9"/>
      <c r="D906" s="9"/>
      <c r="E906" s="9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9.5" customHeight="1" x14ac:dyDescent="0.25">
      <c r="A907" s="2"/>
      <c r="B907" s="2"/>
      <c r="C907" s="9"/>
      <c r="D907" s="9"/>
      <c r="E907" s="9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9.5" customHeight="1" x14ac:dyDescent="0.25">
      <c r="A908" s="2"/>
      <c r="B908" s="2"/>
      <c r="C908" s="9"/>
      <c r="D908" s="9"/>
      <c r="E908" s="9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9.5" customHeight="1" x14ac:dyDescent="0.25">
      <c r="A909" s="2"/>
      <c r="B909" s="2"/>
      <c r="C909" s="9"/>
      <c r="D909" s="9"/>
      <c r="E909" s="9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9.5" customHeight="1" x14ac:dyDescent="0.25">
      <c r="A910" s="2"/>
      <c r="B910" s="2"/>
      <c r="C910" s="9"/>
      <c r="D910" s="9"/>
      <c r="E910" s="9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9.5" customHeight="1" x14ac:dyDescent="0.25">
      <c r="A911" s="2"/>
      <c r="B911" s="2"/>
      <c r="C911" s="9"/>
      <c r="D911" s="9"/>
      <c r="E911" s="9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9.5" customHeight="1" x14ac:dyDescent="0.25">
      <c r="A912" s="2"/>
      <c r="B912" s="2"/>
      <c r="C912" s="9"/>
      <c r="D912" s="9"/>
      <c r="E912" s="9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9.5" customHeight="1" x14ac:dyDescent="0.25">
      <c r="A913" s="2"/>
      <c r="B913" s="2"/>
      <c r="C913" s="9"/>
      <c r="D913" s="9"/>
      <c r="E913" s="9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9.5" customHeight="1" x14ac:dyDescent="0.25">
      <c r="A914" s="2"/>
      <c r="B914" s="2"/>
      <c r="C914" s="9"/>
      <c r="D914" s="9"/>
      <c r="E914" s="9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9.5" customHeight="1" x14ac:dyDescent="0.25">
      <c r="A915" s="2"/>
      <c r="B915" s="2"/>
      <c r="C915" s="9"/>
      <c r="D915" s="9"/>
      <c r="E915" s="9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9.5" customHeight="1" x14ac:dyDescent="0.25">
      <c r="A916" s="2"/>
      <c r="B916" s="2"/>
      <c r="C916" s="9"/>
      <c r="D916" s="9"/>
      <c r="E916" s="9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9.5" customHeight="1" x14ac:dyDescent="0.25">
      <c r="A917" s="2"/>
      <c r="B917" s="2"/>
      <c r="C917" s="9"/>
      <c r="D917" s="9"/>
      <c r="E917" s="9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9.5" customHeight="1" x14ac:dyDescent="0.25">
      <c r="A918" s="2"/>
      <c r="B918" s="2"/>
      <c r="C918" s="9"/>
      <c r="D918" s="9"/>
      <c r="E918" s="9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9.5" customHeight="1" x14ac:dyDescent="0.25">
      <c r="A919" s="2"/>
      <c r="B919" s="2"/>
      <c r="C919" s="9"/>
      <c r="D919" s="9"/>
      <c r="E919" s="9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9.5" customHeight="1" x14ac:dyDescent="0.25">
      <c r="A920" s="2"/>
      <c r="B920" s="2"/>
      <c r="C920" s="9"/>
      <c r="D920" s="9"/>
      <c r="E920" s="9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9.5" customHeight="1" x14ac:dyDescent="0.25">
      <c r="A921" s="2"/>
      <c r="B921" s="2"/>
      <c r="C921" s="9"/>
      <c r="D921" s="9"/>
      <c r="E921" s="9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9.5" customHeight="1" x14ac:dyDescent="0.25">
      <c r="A922" s="2"/>
      <c r="B922" s="2"/>
      <c r="C922" s="9"/>
      <c r="D922" s="9"/>
      <c r="E922" s="9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9.5" customHeight="1" x14ac:dyDescent="0.25">
      <c r="A923" s="2"/>
      <c r="B923" s="2"/>
      <c r="C923" s="9"/>
      <c r="D923" s="9"/>
      <c r="E923" s="9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9.5" customHeight="1" x14ac:dyDescent="0.25">
      <c r="A924" s="2"/>
      <c r="B924" s="2"/>
      <c r="C924" s="9"/>
      <c r="D924" s="9"/>
      <c r="E924" s="9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9.5" customHeight="1" x14ac:dyDescent="0.25">
      <c r="A925" s="2"/>
      <c r="B925" s="2"/>
      <c r="C925" s="9"/>
      <c r="D925" s="9"/>
      <c r="E925" s="9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9.5" customHeight="1" x14ac:dyDescent="0.25">
      <c r="A926" s="2"/>
      <c r="B926" s="2"/>
      <c r="C926" s="9"/>
      <c r="D926" s="9"/>
      <c r="E926" s="9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9.5" customHeight="1" x14ac:dyDescent="0.25">
      <c r="A927" s="2"/>
      <c r="B927" s="2"/>
      <c r="C927" s="9"/>
      <c r="D927" s="9"/>
      <c r="E927" s="9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9.5" customHeight="1" x14ac:dyDescent="0.25">
      <c r="A928" s="2"/>
      <c r="B928" s="2"/>
      <c r="C928" s="9"/>
      <c r="D928" s="9"/>
      <c r="E928" s="9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9.5" customHeight="1" x14ac:dyDescent="0.25">
      <c r="A929" s="2"/>
      <c r="B929" s="2"/>
      <c r="C929" s="9"/>
      <c r="D929" s="9"/>
      <c r="E929" s="9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9.5" customHeight="1" x14ac:dyDescent="0.25">
      <c r="A930" s="2"/>
      <c r="B930" s="2"/>
      <c r="C930" s="9"/>
      <c r="D930" s="9"/>
      <c r="E930" s="9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9.5" customHeight="1" x14ac:dyDescent="0.25">
      <c r="A931" s="2"/>
      <c r="B931" s="2"/>
      <c r="C931" s="9"/>
      <c r="D931" s="9"/>
      <c r="E931" s="9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9.5" customHeight="1" x14ac:dyDescent="0.25">
      <c r="A932" s="2"/>
      <c r="B932" s="2"/>
      <c r="C932" s="9"/>
      <c r="D932" s="9"/>
      <c r="E932" s="9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9.5" customHeight="1" x14ac:dyDescent="0.25">
      <c r="A933" s="2"/>
      <c r="B933" s="2"/>
      <c r="C933" s="9"/>
      <c r="D933" s="9"/>
      <c r="E933" s="9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9.5" customHeight="1" x14ac:dyDescent="0.25">
      <c r="A934" s="2"/>
      <c r="B934" s="2"/>
      <c r="C934" s="9"/>
      <c r="D934" s="9"/>
      <c r="E934" s="9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9.5" customHeight="1" x14ac:dyDescent="0.25">
      <c r="A935" s="2"/>
      <c r="B935" s="2"/>
      <c r="C935" s="9"/>
      <c r="D935" s="9"/>
      <c r="E935" s="9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9.5" customHeight="1" x14ac:dyDescent="0.25">
      <c r="A936" s="2"/>
      <c r="B936" s="2"/>
      <c r="C936" s="9"/>
      <c r="D936" s="9"/>
      <c r="E936" s="9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9.5" customHeight="1" x14ac:dyDescent="0.25">
      <c r="A937" s="2"/>
      <c r="B937" s="2"/>
      <c r="C937" s="9"/>
      <c r="D937" s="9"/>
      <c r="E937" s="9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9.5" customHeight="1" x14ac:dyDescent="0.25">
      <c r="A938" s="2"/>
      <c r="B938" s="2"/>
      <c r="C938" s="9"/>
      <c r="D938" s="9"/>
      <c r="E938" s="9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9.5" customHeight="1" x14ac:dyDescent="0.25">
      <c r="A939" s="2"/>
      <c r="B939" s="2"/>
      <c r="C939" s="9"/>
      <c r="D939" s="9"/>
      <c r="E939" s="9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9.5" customHeight="1" x14ac:dyDescent="0.25">
      <c r="A940" s="2"/>
      <c r="B940" s="2"/>
      <c r="C940" s="9"/>
      <c r="D940" s="9"/>
      <c r="E940" s="9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9.5" customHeight="1" x14ac:dyDescent="0.25">
      <c r="A941" s="2"/>
      <c r="B941" s="2"/>
      <c r="C941" s="9"/>
      <c r="D941" s="9"/>
      <c r="E941" s="9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9.5" customHeight="1" x14ac:dyDescent="0.25">
      <c r="A942" s="2"/>
      <c r="B942" s="2"/>
      <c r="C942" s="9"/>
      <c r="D942" s="9"/>
      <c r="E942" s="9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9.5" customHeight="1" x14ac:dyDescent="0.25">
      <c r="A943" s="2"/>
      <c r="B943" s="2"/>
      <c r="C943" s="9"/>
      <c r="D943" s="9"/>
      <c r="E943" s="9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9.5" customHeight="1" x14ac:dyDescent="0.25">
      <c r="A944" s="2"/>
      <c r="B944" s="2"/>
      <c r="C944" s="9"/>
      <c r="D944" s="9"/>
      <c r="E944" s="9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9.5" customHeight="1" x14ac:dyDescent="0.25">
      <c r="A945" s="2"/>
      <c r="B945" s="2"/>
      <c r="C945" s="9"/>
      <c r="D945" s="9"/>
      <c r="E945" s="9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9.5" customHeight="1" x14ac:dyDescent="0.25">
      <c r="A946" s="2"/>
      <c r="B946" s="2"/>
      <c r="C946" s="9"/>
      <c r="D946" s="9"/>
      <c r="E946" s="9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9.5" customHeight="1" x14ac:dyDescent="0.25">
      <c r="A947" s="2"/>
      <c r="B947" s="2"/>
      <c r="C947" s="9"/>
      <c r="D947" s="9"/>
      <c r="E947" s="9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9.5" customHeight="1" x14ac:dyDescent="0.25">
      <c r="A948" s="2"/>
      <c r="B948" s="2"/>
      <c r="C948" s="9"/>
      <c r="D948" s="9"/>
      <c r="E948" s="9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9.5" customHeight="1" x14ac:dyDescent="0.25">
      <c r="A949" s="2"/>
      <c r="B949" s="2"/>
      <c r="C949" s="9"/>
      <c r="D949" s="9"/>
      <c r="E949" s="9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9.5" customHeight="1" x14ac:dyDescent="0.25">
      <c r="A950" s="2"/>
      <c r="B950" s="2"/>
      <c r="C950" s="9"/>
      <c r="D950" s="9"/>
      <c r="E950" s="9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9.5" customHeight="1" x14ac:dyDescent="0.25">
      <c r="A951" s="2"/>
      <c r="B951" s="2"/>
      <c r="C951" s="9"/>
      <c r="D951" s="9"/>
      <c r="E951" s="9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9.5" customHeight="1" x14ac:dyDescent="0.25">
      <c r="A952" s="2"/>
      <c r="B952" s="2"/>
      <c r="C952" s="9"/>
      <c r="D952" s="9"/>
      <c r="E952" s="9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9.5" customHeight="1" x14ac:dyDescent="0.25">
      <c r="A953" s="2"/>
      <c r="B953" s="2"/>
      <c r="C953" s="9"/>
      <c r="D953" s="9"/>
      <c r="E953" s="9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9.5" customHeight="1" x14ac:dyDescent="0.25">
      <c r="A954" s="2"/>
      <c r="B954" s="2"/>
      <c r="C954" s="9"/>
      <c r="D954" s="9"/>
      <c r="E954" s="9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9.5" customHeight="1" x14ac:dyDescent="0.25">
      <c r="A955" s="2"/>
      <c r="B955" s="2"/>
      <c r="C955" s="9"/>
      <c r="D955" s="9"/>
      <c r="E955" s="9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9.5" customHeight="1" x14ac:dyDescent="0.25">
      <c r="A956" s="2"/>
      <c r="B956" s="2"/>
      <c r="C956" s="9"/>
      <c r="D956" s="9"/>
      <c r="E956" s="9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9.5" customHeight="1" x14ac:dyDescent="0.25">
      <c r="A957" s="2"/>
      <c r="B957" s="2"/>
      <c r="C957" s="9"/>
      <c r="D957" s="9"/>
      <c r="E957" s="9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9.5" customHeight="1" x14ac:dyDescent="0.25">
      <c r="A958" s="2"/>
      <c r="B958" s="2"/>
      <c r="C958" s="9"/>
      <c r="D958" s="9"/>
      <c r="E958" s="9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9.5" customHeight="1" x14ac:dyDescent="0.25">
      <c r="A959" s="2"/>
      <c r="B959" s="2"/>
      <c r="C959" s="9"/>
      <c r="D959" s="9"/>
      <c r="E959" s="9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9.5" customHeight="1" x14ac:dyDescent="0.25">
      <c r="A960" s="2"/>
      <c r="B960" s="2"/>
      <c r="C960" s="9"/>
      <c r="D960" s="9"/>
      <c r="E960" s="9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9.5" customHeight="1" x14ac:dyDescent="0.25">
      <c r="A961" s="2"/>
      <c r="B961" s="2"/>
      <c r="C961" s="9"/>
      <c r="D961" s="9"/>
      <c r="E961" s="9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9.5" customHeight="1" x14ac:dyDescent="0.25">
      <c r="A962" s="2"/>
      <c r="B962" s="2"/>
      <c r="C962" s="9"/>
      <c r="D962" s="9"/>
      <c r="E962" s="9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9.5" customHeight="1" x14ac:dyDescent="0.25">
      <c r="A963" s="2"/>
      <c r="B963" s="2"/>
      <c r="C963" s="9"/>
      <c r="D963" s="9"/>
      <c r="E963" s="9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9.5" customHeight="1" x14ac:dyDescent="0.25">
      <c r="A964" s="2"/>
      <c r="B964" s="2"/>
      <c r="C964" s="9"/>
      <c r="D964" s="9"/>
      <c r="E964" s="9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9.5" customHeight="1" x14ac:dyDescent="0.25">
      <c r="A965" s="2"/>
      <c r="B965" s="2"/>
      <c r="C965" s="9"/>
      <c r="D965" s="9"/>
      <c r="E965" s="9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9.5" customHeight="1" x14ac:dyDescent="0.25">
      <c r="A966" s="2"/>
      <c r="B966" s="2"/>
      <c r="C966" s="9"/>
      <c r="D966" s="9"/>
      <c r="E966" s="9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9.5" customHeight="1" x14ac:dyDescent="0.25">
      <c r="A967" s="2"/>
      <c r="B967" s="2"/>
      <c r="C967" s="9"/>
      <c r="D967" s="9"/>
      <c r="E967" s="9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9.5" customHeight="1" x14ac:dyDescent="0.25">
      <c r="A968" s="2"/>
      <c r="B968" s="2"/>
      <c r="C968" s="9"/>
      <c r="D968" s="9"/>
      <c r="E968" s="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9.5" customHeight="1" x14ac:dyDescent="0.25">
      <c r="A969" s="2"/>
      <c r="B969" s="2"/>
      <c r="C969" s="9"/>
      <c r="D969" s="9"/>
      <c r="E969" s="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9.5" customHeight="1" x14ac:dyDescent="0.25">
      <c r="A970" s="2"/>
      <c r="B970" s="2"/>
      <c r="C970" s="9"/>
      <c r="D970" s="9"/>
      <c r="E970" s="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9.5" customHeight="1" x14ac:dyDescent="0.25">
      <c r="A971" s="2"/>
      <c r="B971" s="2"/>
      <c r="C971" s="9"/>
      <c r="D971" s="9"/>
      <c r="E971" s="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9.5" customHeight="1" x14ac:dyDescent="0.25">
      <c r="A972" s="2"/>
      <c r="B972" s="2"/>
      <c r="C972" s="9"/>
      <c r="D972" s="9"/>
      <c r="E972" s="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9.5" customHeight="1" x14ac:dyDescent="0.25">
      <c r="A973" s="2"/>
      <c r="B973" s="2"/>
      <c r="C973" s="9"/>
      <c r="D973" s="9"/>
      <c r="E973" s="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9.5" customHeight="1" x14ac:dyDescent="0.25">
      <c r="A974" s="2"/>
      <c r="B974" s="2"/>
      <c r="C974" s="9"/>
      <c r="D974" s="9"/>
      <c r="E974" s="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9.5" customHeight="1" x14ac:dyDescent="0.25">
      <c r="A975" s="2"/>
      <c r="B975" s="2"/>
      <c r="C975" s="9"/>
      <c r="D975" s="9"/>
      <c r="E975" s="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9.5" customHeight="1" x14ac:dyDescent="0.25">
      <c r="A976" s="2"/>
      <c r="B976" s="2"/>
      <c r="C976" s="9"/>
      <c r="D976" s="9"/>
      <c r="E976" s="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9.5" customHeight="1" x14ac:dyDescent="0.25">
      <c r="A977" s="2"/>
      <c r="B977" s="2"/>
      <c r="C977" s="9"/>
      <c r="D977" s="9"/>
      <c r="E977" s="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9.5" customHeight="1" x14ac:dyDescent="0.25">
      <c r="A978" s="2"/>
      <c r="B978" s="2"/>
      <c r="C978" s="9"/>
      <c r="D978" s="9"/>
      <c r="E978" s="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9.5" customHeight="1" x14ac:dyDescent="0.25">
      <c r="A979" s="2"/>
      <c r="B979" s="2"/>
      <c r="C979" s="9"/>
      <c r="D979" s="9"/>
      <c r="E979" s="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9.5" customHeight="1" x14ac:dyDescent="0.25">
      <c r="A980" s="2"/>
      <c r="B980" s="2"/>
      <c r="C980" s="9"/>
      <c r="D980" s="9"/>
      <c r="E980" s="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9.5" customHeight="1" x14ac:dyDescent="0.25">
      <c r="A981" s="2"/>
      <c r="B981" s="2"/>
      <c r="C981" s="9"/>
      <c r="D981" s="9"/>
      <c r="E981" s="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9.5" customHeight="1" x14ac:dyDescent="0.25">
      <c r="A982" s="2"/>
      <c r="B982" s="2"/>
      <c r="C982" s="9"/>
      <c r="D982" s="9"/>
      <c r="E982" s="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9.5" customHeight="1" x14ac:dyDescent="0.25">
      <c r="A983" s="2"/>
      <c r="B983" s="2"/>
      <c r="C983" s="9"/>
      <c r="D983" s="9"/>
      <c r="E983" s="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9.5" customHeight="1" x14ac:dyDescent="0.25">
      <c r="A984" s="2"/>
      <c r="B984" s="2"/>
      <c r="C984" s="9"/>
      <c r="D984" s="9"/>
      <c r="E984" s="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9.5" customHeight="1" x14ac:dyDescent="0.25">
      <c r="A985" s="2"/>
      <c r="B985" s="2"/>
      <c r="C985" s="9"/>
      <c r="D985" s="9"/>
      <c r="E985" s="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9.5" customHeight="1" x14ac:dyDescent="0.25">
      <c r="A986" s="2"/>
      <c r="B986" s="2"/>
      <c r="C986" s="9"/>
      <c r="D986" s="9"/>
      <c r="E986" s="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9.5" customHeight="1" x14ac:dyDescent="0.25">
      <c r="A987" s="2"/>
      <c r="B987" s="2"/>
      <c r="C987" s="9"/>
      <c r="D987" s="9"/>
      <c r="E987" s="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9.5" customHeight="1" x14ac:dyDescent="0.25">
      <c r="A988" s="2"/>
      <c r="B988" s="2"/>
      <c r="C988" s="9"/>
      <c r="D988" s="9"/>
      <c r="E988" s="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9.5" customHeight="1" x14ac:dyDescent="0.25">
      <c r="A989" s="2"/>
      <c r="B989" s="2"/>
      <c r="C989" s="9"/>
      <c r="D989" s="9"/>
      <c r="E989" s="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9.5" customHeight="1" x14ac:dyDescent="0.25">
      <c r="A990" s="2"/>
      <c r="B990" s="2"/>
      <c r="C990" s="9"/>
      <c r="D990" s="9"/>
      <c r="E990" s="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9.5" customHeight="1" x14ac:dyDescent="0.25">
      <c r="A991" s="2"/>
      <c r="B991" s="2"/>
      <c r="C991" s="9"/>
      <c r="D991" s="9"/>
      <c r="E991" s="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9.5" customHeight="1" x14ac:dyDescent="0.25">
      <c r="A992" s="2"/>
      <c r="B992" s="2"/>
      <c r="C992" s="9"/>
      <c r="D992" s="9"/>
      <c r="E992" s="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ht="19.5" customHeight="1" x14ac:dyDescent="0.25">
      <c r="A993" s="2"/>
      <c r="B993" s="2"/>
      <c r="C993" s="9"/>
      <c r="D993" s="9"/>
      <c r="E993" s="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ht="19.5" customHeight="1" x14ac:dyDescent="0.25">
      <c r="A994" s="2"/>
      <c r="B994" s="2"/>
      <c r="C994" s="9"/>
      <c r="D994" s="9"/>
      <c r="E994" s="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ht="19.5" customHeight="1" x14ac:dyDescent="0.25">
      <c r="A995" s="2"/>
      <c r="B995" s="2"/>
      <c r="C995" s="9"/>
      <c r="D995" s="9"/>
      <c r="E995" s="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ht="19.5" customHeight="1" x14ac:dyDescent="0.25">
      <c r="A996" s="2"/>
      <c r="B996" s="2"/>
      <c r="C996" s="9"/>
      <c r="D996" s="9"/>
      <c r="E996" s="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9.5" customHeight="1" x14ac:dyDescent="0.25">
      <c r="A997" s="2"/>
      <c r="B997" s="2"/>
      <c r="C997" s="9"/>
      <c r="D997" s="9"/>
      <c r="E997" s="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ht="19.5" customHeight="1" x14ac:dyDescent="0.25">
      <c r="A998" s="2"/>
      <c r="B998" s="2"/>
      <c r="C998" s="9"/>
      <c r="D998" s="9"/>
      <c r="E998" s="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ht="19.5" customHeight="1" x14ac:dyDescent="0.25">
      <c r="A999" s="2"/>
      <c r="B999" s="2"/>
      <c r="C999" s="9"/>
      <c r="D999" s="9"/>
      <c r="E999" s="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</sheetData>
  <mergeCells count="3">
    <mergeCell ref="E18:E19"/>
    <mergeCell ref="A1:A2"/>
    <mergeCell ref="B1:D1"/>
  </mergeCells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N41"/>
  <sheetViews>
    <sheetView topLeftCell="B11" zoomScale="70" zoomScaleNormal="70" workbookViewId="0">
      <selection activeCell="C37" sqref="C37"/>
    </sheetView>
  </sheetViews>
  <sheetFormatPr defaultRowHeight="15" x14ac:dyDescent="0.25"/>
  <cols>
    <col min="2" max="2" width="66.140625" customWidth="1"/>
    <col min="3" max="3" width="22.140625" customWidth="1"/>
    <col min="4" max="5" width="24" customWidth="1"/>
    <col min="6" max="6" width="18.85546875" customWidth="1"/>
    <col min="7" max="7" width="20.28515625" bestFit="1" customWidth="1"/>
    <col min="8" max="8" width="19" customWidth="1"/>
    <col min="9" max="9" width="21.28515625" bestFit="1" customWidth="1"/>
    <col min="10" max="10" width="17" bestFit="1" customWidth="1"/>
    <col min="11" max="11" width="21.28515625" bestFit="1" customWidth="1"/>
    <col min="13" max="14" width="17" style="51" customWidth="1"/>
  </cols>
  <sheetData>
    <row r="1" spans="2:14" ht="13.9" customHeight="1" x14ac:dyDescent="0.25"/>
    <row r="2" spans="2:14" ht="13.9" customHeight="1" thickBot="1" x14ac:dyDescent="0.3"/>
    <row r="3" spans="2:14" ht="13.9" customHeight="1" x14ac:dyDescent="0.25">
      <c r="C3" s="49" t="s">
        <v>24</v>
      </c>
      <c r="D3" s="68">
        <v>44531</v>
      </c>
      <c r="E3" s="118"/>
      <c r="F3" s="49" t="s">
        <v>24</v>
      </c>
      <c r="G3" s="68">
        <v>44531</v>
      </c>
      <c r="H3" s="49" t="s">
        <v>24</v>
      </c>
      <c r="I3" s="68">
        <v>44256</v>
      </c>
      <c r="J3" s="49" t="s">
        <v>24</v>
      </c>
      <c r="K3" s="20"/>
    </row>
    <row r="4" spans="2:14" ht="13.9" customHeight="1" thickBot="1" x14ac:dyDescent="0.3">
      <c r="C4" s="50" t="s">
        <v>27</v>
      </c>
      <c r="D4" s="43">
        <v>2003.3</v>
      </c>
      <c r="E4" s="119"/>
      <c r="F4" s="50" t="s">
        <v>27</v>
      </c>
      <c r="G4" s="43">
        <v>2003.3</v>
      </c>
      <c r="H4" s="50" t="s">
        <v>27</v>
      </c>
      <c r="I4" s="43">
        <v>2140.56</v>
      </c>
      <c r="J4" s="50" t="s">
        <v>27</v>
      </c>
      <c r="K4" s="43"/>
    </row>
    <row r="5" spans="2:14" ht="13.9" customHeight="1" thickBot="1" x14ac:dyDescent="0.3"/>
    <row r="6" spans="2:14" ht="19.149999999999999" customHeight="1" thickBot="1" x14ac:dyDescent="0.3">
      <c r="C6" s="151" t="s">
        <v>124</v>
      </c>
      <c r="D6" s="152"/>
      <c r="E6" s="151" t="s">
        <v>125</v>
      </c>
      <c r="F6" s="153"/>
      <c r="G6" s="152"/>
      <c r="H6" s="151"/>
      <c r="I6" s="152"/>
      <c r="J6" s="153" t="s">
        <v>23</v>
      </c>
      <c r="K6" s="152"/>
      <c r="M6" s="154" t="s">
        <v>30</v>
      </c>
      <c r="N6" s="154"/>
    </row>
    <row r="7" spans="2:14" ht="19.149999999999999" customHeight="1" thickBot="1" x14ac:dyDescent="0.3">
      <c r="B7" s="14"/>
      <c r="C7" s="46" t="s">
        <v>28</v>
      </c>
      <c r="D7" s="46" t="s">
        <v>29</v>
      </c>
      <c r="E7" s="46"/>
      <c r="F7" s="46" t="s">
        <v>28</v>
      </c>
      <c r="G7" s="46" t="s">
        <v>29</v>
      </c>
      <c r="H7" s="47" t="s">
        <v>28</v>
      </c>
      <c r="I7" s="48" t="s">
        <v>29</v>
      </c>
      <c r="J7" s="46" t="s">
        <v>28</v>
      </c>
      <c r="K7" s="46" t="s">
        <v>29</v>
      </c>
      <c r="M7" s="52" t="s">
        <v>31</v>
      </c>
      <c r="N7" s="52" t="s">
        <v>32</v>
      </c>
    </row>
    <row r="8" spans="2:14" ht="19.149999999999999" customHeight="1" x14ac:dyDescent="0.25">
      <c r="B8" s="31" t="s">
        <v>22</v>
      </c>
      <c r="C8" s="36">
        <v>271.69728006216997</v>
      </c>
      <c r="D8" s="61">
        <f>(ORÇAMENTO_EXECUTIVO_EDIFICAÇÕES!$B$19/CÁLCULO_MÉDIAS!D$4)*C8</f>
        <v>302.8014852283747</v>
      </c>
      <c r="E8" s="37"/>
      <c r="F8" s="37"/>
      <c r="G8" s="61">
        <f>(ORÇAMENTO_EXECUTIVO_EDIFICAÇÕES!$B$19/CÁLCULO_MÉDIAS!G$4)*F8</f>
        <v>0</v>
      </c>
      <c r="H8" s="37"/>
      <c r="I8" s="62">
        <f>(ORÇAMENTO_EXECUTIVO_EDIFICAÇÕES!$B$19/CÁLCULO_MÉDIAS!I$4)*H8</f>
        <v>0</v>
      </c>
      <c r="J8" s="38"/>
      <c r="K8" s="62" t="e">
        <f>ORÇAMENTO_EXECUTIVO_EDIFICAÇÕES!$B$19/CÁLCULO_MÉDIAS!K$4</f>
        <v>#DIV/0!</v>
      </c>
      <c r="M8" s="53"/>
      <c r="N8" s="53"/>
    </row>
    <row r="9" spans="2:14" ht="19.149999999999999" customHeight="1" x14ac:dyDescent="0.25">
      <c r="B9" s="32" t="s">
        <v>3</v>
      </c>
      <c r="C9" s="37">
        <v>14.076688532833534</v>
      </c>
      <c r="D9" s="61">
        <f>(ORÇAMENTO_EXECUTIVO_EDIFICAÇÕES!$B$19/CÁLCULO_MÉDIAS!D$4)*C9</f>
        <v>15.688203407350601</v>
      </c>
      <c r="E9" s="37">
        <f>539.08+375.23+10937.7</f>
        <v>11852.01</v>
      </c>
      <c r="F9" s="37">
        <f>E9/(67.58+5.94)</f>
        <v>161.20797062023939</v>
      </c>
      <c r="G9" s="61">
        <f>(ORÇAMENTO_EXECUTIVO_EDIFICAÇÕES!$B$19/CÁLCULO_MÉDIAS!G$4)*F9</f>
        <v>179.66323742104089</v>
      </c>
      <c r="H9" s="37"/>
      <c r="I9" s="62">
        <f>(ORÇAMENTO_EXECUTIVO_EDIFICAÇÕES!$B$19/CÁLCULO_MÉDIAS!I$4)*H9</f>
        <v>0</v>
      </c>
      <c r="J9" s="39"/>
      <c r="K9" s="63" t="e">
        <f>ORÇAMENTO_EXECUTIVO_EDIFICAÇÕES!$B$19/CÁLCULO_MÉDIAS!K$4</f>
        <v>#DIV/0!</v>
      </c>
      <c r="M9" s="53"/>
      <c r="N9" s="53"/>
    </row>
    <row r="10" spans="2:14" ht="19.149999999999999" customHeight="1" x14ac:dyDescent="0.25">
      <c r="B10" s="33" t="s">
        <v>4</v>
      </c>
      <c r="C10" s="15">
        <v>249.12200635414044</v>
      </c>
      <c r="D10" s="61">
        <f>(ORÇAMENTO_EXECUTIVO_EDIFICAÇÕES!$B$19/CÁLCULO_MÉDIAS!D$4)*C10</f>
        <v>277.64176921405084</v>
      </c>
      <c r="E10" s="37">
        <f>26125.08+14079.64+10937.7</f>
        <v>51142.42</v>
      </c>
      <c r="F10" s="37">
        <f t="shared" ref="F10:F24" si="0">E10/(67.58+5.94)</f>
        <v>695.62595212187159</v>
      </c>
      <c r="G10" s="61">
        <f>(ORÇAMENTO_EXECUTIVO_EDIFICAÇÕES!$B$19/CÁLCULO_MÉDIAS!G$4)*F10</f>
        <v>775.26198060468982</v>
      </c>
      <c r="H10" s="37"/>
      <c r="I10" s="62">
        <f>(ORÇAMENTO_EXECUTIVO_EDIFICAÇÕES!$B$19/CÁLCULO_MÉDIAS!I$4)*H10</f>
        <v>0</v>
      </c>
      <c r="J10" s="39"/>
      <c r="K10" s="63" t="e">
        <f>ORÇAMENTO_EXECUTIVO_EDIFICAÇÕES!$B$19/CÁLCULO_MÉDIAS!K$4</f>
        <v>#DIV/0!</v>
      </c>
      <c r="M10" s="53">
        <f>770+175</f>
        <v>945</v>
      </c>
      <c r="N10" s="53">
        <f>780+180</f>
        <v>960</v>
      </c>
    </row>
    <row r="11" spans="2:14" ht="19.149999999999999" customHeight="1" x14ac:dyDescent="0.25">
      <c r="B11" s="32" t="s">
        <v>5</v>
      </c>
      <c r="C11" s="15">
        <v>519.09833146670928</v>
      </c>
      <c r="D11" s="61">
        <f>(ORÇAMENTO_EXECUTIVO_EDIFICAÇÕES!$B$19/CÁLCULO_MÉDIAS!D$4)*C11</f>
        <v>578.52528266651711</v>
      </c>
      <c r="E11" s="37">
        <f>18039.8+7191.17+10937.7</f>
        <v>36168.67</v>
      </c>
      <c r="F11" s="37">
        <f t="shared" si="0"/>
        <v>491.95688248095757</v>
      </c>
      <c r="G11" s="61">
        <f>(ORÇAMENTO_EXECUTIVO_EDIFICAÇÕES!$B$19/CÁLCULO_MÉDIAS!G$4)*F11</f>
        <v>548.27665057768934</v>
      </c>
      <c r="H11" s="37"/>
      <c r="I11" s="62">
        <f>(ORÇAMENTO_EXECUTIVO_EDIFICAÇÕES!$B$19/CÁLCULO_MÉDIAS!I$4)*H11</f>
        <v>0</v>
      </c>
      <c r="J11" s="39"/>
      <c r="K11" s="63" t="e">
        <f>ORÇAMENTO_EXECUTIVO_EDIFICAÇÕES!$B$19/CÁLCULO_MÉDIAS!K$4</f>
        <v>#DIV/0!</v>
      </c>
      <c r="M11" s="53">
        <v>545</v>
      </c>
      <c r="N11" s="53">
        <v>555</v>
      </c>
    </row>
    <row r="12" spans="2:14" ht="19.149999999999999" customHeight="1" x14ac:dyDescent="0.25">
      <c r="B12" s="34" t="s">
        <v>6</v>
      </c>
      <c r="C12" s="15">
        <v>129.65028685058627</v>
      </c>
      <c r="D12" s="61">
        <f>(ORÇAMENTO_EXECUTIVO_EDIFICAÇÕES!$B$19/CÁLCULO_MÉDIAS!D$4)*C12</f>
        <v>144.49279510512301</v>
      </c>
      <c r="E12" s="37">
        <f>4952.11+972.08+10937.7</f>
        <v>16861.89</v>
      </c>
      <c r="F12" s="37">
        <f t="shared" si="0"/>
        <v>229.35106093579978</v>
      </c>
      <c r="G12" s="61">
        <f>(ORÇAMENTO_EXECUTIVO_EDIFICAÇÕES!$B$19/CÁLCULO_MÉDIAS!G$4)*F12</f>
        <v>255.60742409409673</v>
      </c>
      <c r="H12" s="37"/>
      <c r="I12" s="62">
        <f>(ORÇAMENTO_EXECUTIVO_EDIFICAÇÕES!$B$19/CÁLCULO_MÉDIAS!I$4)*H12</f>
        <v>0</v>
      </c>
      <c r="J12" s="39"/>
      <c r="K12" s="63" t="e">
        <f>ORÇAMENTO_EXECUTIVO_EDIFICAÇÕES!$B$19/CÁLCULO_MÉDIAS!K$4</f>
        <v>#DIV/0!</v>
      </c>
      <c r="M12" s="53">
        <v>250</v>
      </c>
      <c r="N12" s="53">
        <v>260</v>
      </c>
    </row>
    <row r="13" spans="2:14" ht="19.149999999999999" customHeight="1" x14ac:dyDescent="0.25">
      <c r="B13" s="32" t="s">
        <v>7</v>
      </c>
      <c r="C13" s="15">
        <v>273.78972594912119</v>
      </c>
      <c r="D13" s="61">
        <f>(ORÇAMENTO_EXECUTIVO_EDIFICAÇÕES!$B$19/CÁLCULO_MÉDIAS!D$4)*C13</f>
        <v>305.13347663507506</v>
      </c>
      <c r="E13" s="37">
        <f>10629+18893.82+1587+2276.33+10937.7</f>
        <v>44323.850000000006</v>
      </c>
      <c r="F13" s="37">
        <f t="shared" si="0"/>
        <v>602.88152883569103</v>
      </c>
      <c r="G13" s="61">
        <f>(ORÇAMENTO_EXECUTIVO_EDIFICAÇÕES!$B$19/CÁLCULO_MÉDIAS!G$4)*F13</f>
        <v>671.90007314916238</v>
      </c>
      <c r="H13" s="37"/>
      <c r="I13" s="62">
        <f>(ORÇAMENTO_EXECUTIVO_EDIFICAÇÕES!$B$19/CÁLCULO_MÉDIAS!I$4)*H13</f>
        <v>0</v>
      </c>
      <c r="J13" s="39"/>
      <c r="K13" s="63" t="e">
        <f>ORÇAMENTO_EXECUTIVO_EDIFICAÇÕES!$B$19/CÁLCULO_MÉDIAS!K$4</f>
        <v>#DIV/0!</v>
      </c>
      <c r="M13" s="53">
        <v>670</v>
      </c>
      <c r="N13" s="53">
        <v>680</v>
      </c>
    </row>
    <row r="14" spans="2:14" ht="19.149999999999999" customHeight="1" x14ac:dyDescent="0.25">
      <c r="B14" s="33" t="s">
        <v>21</v>
      </c>
      <c r="C14" s="15">
        <v>83.157104980457589</v>
      </c>
      <c r="D14" s="61">
        <f>(ORÇAMENTO_EXECUTIVO_EDIFICAÇÕES!$B$19/CÁLCULO_MÉDIAS!D$4)*C14</f>
        <v>92.677022344915301</v>
      </c>
      <c r="E14" s="37">
        <f>5800+436.44</f>
        <v>6236.44</v>
      </c>
      <c r="F14" s="37">
        <f t="shared" si="0"/>
        <v>84.826441784548422</v>
      </c>
      <c r="G14" s="61">
        <f>(ORÇAMENTO_EXECUTIVO_EDIFICAÇÕES!$B$19/CÁLCULO_MÉDIAS!G$4)*F14</f>
        <v>94.537466672916779</v>
      </c>
      <c r="H14" s="37"/>
      <c r="I14" s="62">
        <f>(ORÇAMENTO_EXECUTIVO_EDIFICAÇÕES!$B$19/CÁLCULO_MÉDIAS!I$4)*H14</f>
        <v>0</v>
      </c>
      <c r="J14" s="40"/>
      <c r="K14" s="63" t="e">
        <f>ORÇAMENTO_EXECUTIVO_EDIFICAÇÕES!$B$19/CÁLCULO_MÉDIAS!K$4</f>
        <v>#DIV/0!</v>
      </c>
      <c r="M14" s="53">
        <v>90</v>
      </c>
      <c r="N14" s="53">
        <v>100</v>
      </c>
    </row>
    <row r="15" spans="2:14" ht="19.149999999999999" customHeight="1" x14ac:dyDescent="0.25">
      <c r="B15" s="32" t="s">
        <v>8</v>
      </c>
      <c r="C15" s="15">
        <v>18.430102169093274</v>
      </c>
      <c r="D15" s="61">
        <f>(ORÇAMENTO_EXECUTIVO_EDIFICAÇÕES!$B$19/CÁLCULO_MÉDIAS!D$4)*C15</f>
        <v>20.540000652325865</v>
      </c>
      <c r="E15" s="37">
        <f>4066.14+6849.59+10937.7</f>
        <v>21853.43</v>
      </c>
      <c r="F15" s="37">
        <f t="shared" si="0"/>
        <v>297.24469532100113</v>
      </c>
      <c r="G15" s="61">
        <f>(ORÇAMENTO_EXECUTIVO_EDIFICAÇÕES!$B$19/CÁLCULO_MÉDIAS!G$4)*F15</f>
        <v>331.27359684594416</v>
      </c>
      <c r="H15" s="37"/>
      <c r="I15" s="62">
        <f>(ORÇAMENTO_EXECUTIVO_EDIFICAÇÕES!$B$19/CÁLCULO_MÉDIAS!I$4)*H15</f>
        <v>0</v>
      </c>
      <c r="J15" s="39"/>
      <c r="K15" s="63" t="e">
        <f>ORÇAMENTO_EXECUTIVO_EDIFICAÇÕES!$B$19/CÁLCULO_MÉDIAS!K$4</f>
        <v>#DIV/0!</v>
      </c>
      <c r="M15" s="53">
        <v>330</v>
      </c>
      <c r="N15" s="53">
        <v>340</v>
      </c>
    </row>
    <row r="16" spans="2:14" ht="19.149999999999999" customHeight="1" x14ac:dyDescent="0.25">
      <c r="B16" s="33" t="s">
        <v>123</v>
      </c>
      <c r="C16" s="15">
        <v>140.90874265731068</v>
      </c>
      <c r="D16" s="61">
        <f>(ORÇAMENTO_EXECUTIVO_EDIFICAÇÕES!$B$19/CÁLCULO_MÉDIAS!D$4)*C16</f>
        <v>157.04013138642145</v>
      </c>
      <c r="E16" s="37">
        <f>4305.58+478.6+325.89+10937.7</f>
        <v>16047.77</v>
      </c>
      <c r="F16" s="37">
        <f t="shared" si="0"/>
        <v>218.27761153427642</v>
      </c>
      <c r="G16" s="61">
        <f>(ORÇAMENTO_EXECUTIVO_EDIFICAÇÕES!$B$19/CÁLCULO_MÉDIAS!G$4)*F16</f>
        <v>243.26627395591618</v>
      </c>
      <c r="H16" s="37"/>
      <c r="I16" s="62"/>
      <c r="J16" s="39"/>
      <c r="K16" s="63"/>
      <c r="M16" s="53">
        <v>240</v>
      </c>
      <c r="N16" s="53">
        <v>250</v>
      </c>
    </row>
    <row r="17" spans="2:14" ht="19.149999999999999" customHeight="1" x14ac:dyDescent="0.25">
      <c r="B17" s="32" t="s">
        <v>82</v>
      </c>
      <c r="C17" s="15">
        <v>112.47675710269479</v>
      </c>
      <c r="D17" s="61">
        <f>(ORÇAMENTO_EXECUTIVO_EDIFICAÇÕES!$B$19/CÁLCULO_MÉDIAS!D$4)*C17</f>
        <v>125.35322067476687</v>
      </c>
      <c r="E17" s="37">
        <f>8900.4+85.56+2409.63+14.85+411.99+111.54+10937.7</f>
        <v>22871.670000000002</v>
      </c>
      <c r="F17" s="37">
        <f t="shared" si="0"/>
        <v>311.09453210010884</v>
      </c>
      <c r="G17" s="61">
        <f>(ORÇAMENTO_EXECUTIVO_EDIFICAÇÕES!$B$19/CÁLCULO_MÉDIAS!G$4)*F17</f>
        <v>346.70897825986469</v>
      </c>
      <c r="H17" s="37"/>
      <c r="I17" s="62">
        <f>(ORÇAMENTO_EXECUTIVO_EDIFICAÇÕES!$B$19/CÁLCULO_MÉDIAS!I$4)*H17</f>
        <v>0</v>
      </c>
      <c r="J17" s="39"/>
      <c r="K17" s="63" t="e">
        <f>ORÇAMENTO_EXECUTIVO_EDIFICAÇÕES!$B$19/CÁLCULO_MÉDIAS!K$4</f>
        <v>#DIV/0!</v>
      </c>
      <c r="M17" s="53">
        <v>340</v>
      </c>
      <c r="N17" s="53">
        <v>350</v>
      </c>
    </row>
    <row r="18" spans="2:14" ht="19.149999999999999" customHeight="1" x14ac:dyDescent="0.25">
      <c r="B18" s="33" t="s">
        <v>84</v>
      </c>
      <c r="C18" s="15">
        <v>132.07319604123333</v>
      </c>
      <c r="D18" s="61">
        <f>(ORÇAMENTO_EXECUTIVO_EDIFICAÇÕES!$B$19/CÁLCULO_MÉDIAS!D$4)*C18</f>
        <v>147.19308162007644</v>
      </c>
      <c r="E18" s="37">
        <f>279.89+515.25+111.41+99+51.52+9.9+10937.7</f>
        <v>12004.67</v>
      </c>
      <c r="F18" s="37">
        <f t="shared" si="0"/>
        <v>163.28441240478782</v>
      </c>
      <c r="G18" s="61">
        <f>(ORÇAMENTO_EXECUTIVO_EDIFICAÇÕES!$B$19/CÁLCULO_MÉDIAS!G$4)*F18</f>
        <v>181.97739255799203</v>
      </c>
      <c r="H18" s="37"/>
      <c r="I18" s="62">
        <f>(ORÇAMENTO_EXECUTIVO_EDIFICAÇÕES!$B$19/CÁLCULO_MÉDIAS!I$4)*H18</f>
        <v>0</v>
      </c>
      <c r="J18" s="39"/>
      <c r="K18" s="63" t="e">
        <f>ORÇAMENTO_EXECUTIVO_EDIFICAÇÕES!$B$19/CÁLCULO_MÉDIAS!K$4</f>
        <v>#DIV/0!</v>
      </c>
      <c r="M18" s="53">
        <v>180</v>
      </c>
      <c r="N18" s="53">
        <v>190</v>
      </c>
    </row>
    <row r="19" spans="2:14" ht="19.149999999999999" customHeight="1" x14ac:dyDescent="0.25">
      <c r="B19" s="32" t="s">
        <v>86</v>
      </c>
      <c r="C19" s="15">
        <v>8.9166876185687176</v>
      </c>
      <c r="D19" s="61">
        <f>(ORÇAMENTO_EXECUTIVO_EDIFICAÇÕES!$B$19/CÁLCULO_MÉDIAS!D$4)*C19</f>
        <v>9.93747988055771</v>
      </c>
      <c r="E19" s="37">
        <f>3160.92+221.81</f>
        <v>3382.73</v>
      </c>
      <c r="F19" s="37">
        <f t="shared" si="0"/>
        <v>46.011017410228511</v>
      </c>
      <c r="G19" s="61">
        <f>(ORÇAMENTO_EXECUTIVO_EDIFICAÇÕES!$B$19/CÁLCULO_MÉDIAS!G$4)*F19</f>
        <v>51.278409579579979</v>
      </c>
      <c r="H19" s="37"/>
      <c r="I19" s="62">
        <f>(ORÇAMENTO_EXECUTIVO_EDIFICAÇÕES!$B$19/CÁLCULO_MÉDIAS!I$4)*H19</f>
        <v>0</v>
      </c>
      <c r="J19" s="39"/>
      <c r="K19" s="63" t="e">
        <f>ORÇAMENTO_EXECUTIVO_EDIFICAÇÕES!$B$19/CÁLCULO_MÉDIAS!K$4</f>
        <v>#DIV/0!</v>
      </c>
      <c r="M19" s="53">
        <v>50</v>
      </c>
      <c r="N19" s="53">
        <v>55</v>
      </c>
    </row>
    <row r="20" spans="2:14" ht="19.149999999999999" customHeight="1" x14ac:dyDescent="0.25">
      <c r="B20" s="33" t="s">
        <v>10</v>
      </c>
      <c r="C20" s="15">
        <v>93.70143082443829</v>
      </c>
      <c r="D20" s="61">
        <f>(ORÇAMENTO_EXECUTIVO_EDIFICAÇÕES!$B$19/CÁLCULO_MÉDIAS!D$4)*C20</f>
        <v>104.42847427538256</v>
      </c>
      <c r="E20" s="37">
        <f>4795.11+1431.72+10937.7</f>
        <v>17164.53</v>
      </c>
      <c r="F20" s="37">
        <f t="shared" si="0"/>
        <v>233.4674918389554</v>
      </c>
      <c r="G20" s="61">
        <f>(ORÇAMENTO_EXECUTIVO_EDIFICAÇÕES!$B$19/CÁLCULO_MÉDIAS!G$4)*F20</f>
        <v>260.19510856053779</v>
      </c>
      <c r="H20" s="37"/>
      <c r="I20" s="62">
        <f>(ORÇAMENTO_EXECUTIVO_EDIFICAÇÕES!$B$19/CÁLCULO_MÉDIAS!I$4)*H20</f>
        <v>0</v>
      </c>
      <c r="J20" s="39"/>
      <c r="K20" s="63" t="e">
        <f>ORÇAMENTO_EXECUTIVO_EDIFICAÇÕES!$B$19/CÁLCULO_MÉDIAS!K$4</f>
        <v>#DIV/0!</v>
      </c>
      <c r="M20" s="53">
        <v>260</v>
      </c>
      <c r="N20" s="53">
        <v>270</v>
      </c>
    </row>
    <row r="21" spans="2:14" ht="19.149999999999999" customHeight="1" x14ac:dyDescent="0.25">
      <c r="B21" s="32" t="s">
        <v>11</v>
      </c>
      <c r="C21" s="15">
        <v>281.20219652122233</v>
      </c>
      <c r="D21" s="61">
        <f>(ORÇAMENTO_EXECUTIVO_EDIFICAÇÕES!$B$19/CÁLCULO_MÉDIAS!D$4)*C21</f>
        <v>313.3945350377586</v>
      </c>
      <c r="E21" s="37">
        <f>22539.48+19438.13</f>
        <v>41977.61</v>
      </c>
      <c r="F21" s="37">
        <f>E21/(67.58+5.94)</f>
        <v>570.96857997823724</v>
      </c>
      <c r="G21" s="61">
        <f>(ORÇAMENTO_EXECUTIVO_EDIFICAÇÕES!$B$19/CÁLCULO_MÉDIAS!G$4)*F21</f>
        <v>636.33369460520714</v>
      </c>
      <c r="H21" s="37"/>
      <c r="I21" s="62">
        <f>(ORÇAMENTO_EXECUTIVO_EDIFICAÇÕES!$B$19/CÁLCULO_MÉDIAS!I$4)*H21</f>
        <v>0</v>
      </c>
      <c r="J21" s="41"/>
      <c r="K21" s="63" t="e">
        <f>ORÇAMENTO_EXECUTIVO_EDIFICAÇÕES!$B$19/CÁLCULO_MÉDIAS!K$4</f>
        <v>#DIV/0!</v>
      </c>
      <c r="M21" s="53">
        <v>630</v>
      </c>
      <c r="N21" s="53">
        <v>640</v>
      </c>
    </row>
    <row r="22" spans="2:14" ht="19.149999999999999" customHeight="1" x14ac:dyDescent="0.25">
      <c r="B22" s="33" t="s">
        <v>117</v>
      </c>
      <c r="C22" s="15">
        <v>5.7241685904322184</v>
      </c>
      <c r="D22" s="61">
        <f>(ORÇAMENTO_EXECUTIVO_EDIFICAÇÕES!$B$19/CÁLCULO_MÉDIAS!D$4)*C22</f>
        <v>6.3794777425960101</v>
      </c>
      <c r="E22" s="37">
        <f>424.82+445.34+112.49+117.92</f>
        <v>1100.57</v>
      </c>
      <c r="F22" s="37">
        <f t="shared" si="0"/>
        <v>14.969668117519042</v>
      </c>
      <c r="G22" s="61">
        <f>(ORÇAMENTO_EXECUTIVO_EDIFICAÇÕES!$B$19/CÁLCULO_MÉDIAS!G$4)*F22</f>
        <v>16.683412282682429</v>
      </c>
      <c r="H22" s="37"/>
      <c r="I22" s="62"/>
      <c r="J22" s="41"/>
      <c r="K22" s="63"/>
      <c r="M22" s="53">
        <v>10</v>
      </c>
      <c r="N22" s="53">
        <v>20</v>
      </c>
    </row>
    <row r="23" spans="2:14" ht="19.149999999999999" customHeight="1" x14ac:dyDescent="0.25">
      <c r="B23" s="32" t="s">
        <v>20</v>
      </c>
      <c r="C23" s="15">
        <v>61.471260085483749</v>
      </c>
      <c r="D23" s="61">
        <f>(ORÇAMENTO_EXECUTIVO_EDIFICAÇÕES!$B$19/CÁLCULO_MÉDIAS!D$4)*C23</f>
        <v>68.508557938029469</v>
      </c>
      <c r="E23" s="37">
        <f>5763.68+10937.7</f>
        <v>16701.38</v>
      </c>
      <c r="F23" s="37">
        <f>E23/(67.58)</f>
        <v>247.13495116898494</v>
      </c>
      <c r="G23" s="61">
        <f>(ORÇAMENTO_EXECUTIVO_EDIFICAÇÕES!$B$19/CÁLCULO_MÉDIAS!G$4)*F23</f>
        <v>275.42723375326835</v>
      </c>
      <c r="H23" s="37"/>
      <c r="I23" s="62">
        <f>(ORÇAMENTO_EXECUTIVO_EDIFICAÇÕES!$B$19/CÁLCULO_MÉDIAS!I$4)*H23</f>
        <v>0</v>
      </c>
      <c r="J23" s="41"/>
      <c r="K23" s="63" t="e">
        <f>ORÇAMENTO_EXECUTIVO_EDIFICAÇÕES!$B$19/CÁLCULO_MÉDIAS!K$4</f>
        <v>#DIV/0!</v>
      </c>
      <c r="M23" s="53">
        <v>270</v>
      </c>
      <c r="N23" s="53">
        <v>280</v>
      </c>
    </row>
    <row r="24" spans="2:14" ht="19.149999999999999" customHeight="1" x14ac:dyDescent="0.25">
      <c r="B24" s="32" t="s">
        <v>12</v>
      </c>
      <c r="C24" s="15">
        <v>117.33029645036684</v>
      </c>
      <c r="D24" s="61">
        <f>(ORÇAMENTO_EXECUTIVO_EDIFICAÇÕES!$B$19/CÁLCULO_MÉDIAS!D$4)*C24</f>
        <v>130.7623985758234</v>
      </c>
      <c r="E24" s="37">
        <f>6204.97+3351.21+10937.7</f>
        <v>20493.88</v>
      </c>
      <c r="F24" s="37">
        <f t="shared" si="0"/>
        <v>278.75244831338415</v>
      </c>
      <c r="G24" s="61">
        <f>(ORÇAMENTO_EXECUTIVO_EDIFICAÇÕES!$B$19/CÁLCULO_MÉDIAS!G$4)*F24</f>
        <v>310.66433694523732</v>
      </c>
      <c r="H24" s="37"/>
      <c r="I24" s="62">
        <f>(ORÇAMENTO_EXECUTIVO_EDIFICAÇÕES!$B$19/CÁLCULO_MÉDIAS!I$4)*H24</f>
        <v>0</v>
      </c>
      <c r="J24" s="39"/>
      <c r="K24" s="63" t="e">
        <f>ORÇAMENTO_EXECUTIVO_EDIFICAÇÕES!$B$19/CÁLCULO_MÉDIAS!K$4</f>
        <v>#DIV/0!</v>
      </c>
      <c r="M24" s="53">
        <v>305</v>
      </c>
      <c r="N24" s="53">
        <v>315</v>
      </c>
    </row>
    <row r="25" spans="2:14" ht="19.149999999999999" customHeight="1" thickBot="1" x14ac:dyDescent="0.3">
      <c r="B25" s="35" t="s">
        <v>13</v>
      </c>
      <c r="C25" s="15">
        <v>88.23</v>
      </c>
      <c r="D25" s="61">
        <f>(ORÇAMENTO_EXECUTIVO_EDIFICAÇÕES!$B$19/CÁLCULO_MÉDIAS!D$4)*C25</f>
        <v>98.330667997803616</v>
      </c>
      <c r="E25" s="17"/>
      <c r="F25" s="17"/>
      <c r="G25" s="61">
        <f>(ORÇAMENTO_EXECUTIVO_EDIFICAÇÕES!$B$19/CÁLCULO_MÉDIAS!G$4)*F25</f>
        <v>0</v>
      </c>
      <c r="H25" s="37"/>
      <c r="I25" s="62">
        <f>(ORÇAMENTO_EXECUTIVO_EDIFICAÇÕES!$B$19/CÁLCULO_MÉDIAS!I$4)*H25</f>
        <v>0</v>
      </c>
      <c r="J25" s="42"/>
      <c r="K25" s="64" t="e">
        <f>ORÇAMENTO_EXECUTIVO_EDIFICAÇÕES!$B$19/CÁLCULO_MÉDIAS!K$4</f>
        <v>#DIV/0!</v>
      </c>
      <c r="M25" s="54">
        <v>0</v>
      </c>
      <c r="N25" s="54">
        <v>0</v>
      </c>
    </row>
    <row r="26" spans="2:14" ht="19.149999999999999" customHeight="1" thickBot="1" x14ac:dyDescent="0.3">
      <c r="B26" s="44" t="s">
        <v>14</v>
      </c>
      <c r="C26" s="45">
        <f>SUM(C8:C25)</f>
        <v>2601.0562622568632</v>
      </c>
      <c r="D26" s="65">
        <f t="shared" ref="D26:K26" si="1">SUM(D8:D25)</f>
        <v>2898.8280603829485</v>
      </c>
      <c r="E26" s="45">
        <f>SUM(E8:E25)</f>
        <v>340183.52000000008</v>
      </c>
      <c r="F26" s="45">
        <f>SUM(F8:F25)</f>
        <v>4647.0552449665911</v>
      </c>
      <c r="G26" s="65">
        <f t="shared" si="1"/>
        <v>5179.0552698658257</v>
      </c>
      <c r="H26" s="45">
        <f t="shared" si="1"/>
        <v>0</v>
      </c>
      <c r="I26" s="65">
        <f t="shared" si="1"/>
        <v>0</v>
      </c>
      <c r="J26" s="45">
        <f t="shared" si="1"/>
        <v>0</v>
      </c>
      <c r="K26" s="65" t="e">
        <f t="shared" si="1"/>
        <v>#DIV/0!</v>
      </c>
      <c r="M26" s="55">
        <f>SUM(M8:M25)</f>
        <v>5115</v>
      </c>
      <c r="N26" s="55">
        <f>SUM(N8:N25)</f>
        <v>5265</v>
      </c>
    </row>
    <row r="28" spans="2:14" x14ac:dyDescent="0.25">
      <c r="B28" s="16"/>
      <c r="C28" s="18"/>
      <c r="F28" s="16"/>
      <c r="G28" s="18"/>
      <c r="H28" s="70">
        <f>H26/I4</f>
        <v>0</v>
      </c>
      <c r="J28" s="16"/>
      <c r="K28" s="18"/>
    </row>
    <row r="29" spans="2:14" x14ac:dyDescent="0.25">
      <c r="C29" s="18"/>
      <c r="G29" s="18"/>
      <c r="K29" s="18"/>
    </row>
    <row r="30" spans="2:14" ht="21.75" x14ac:dyDescent="0.25">
      <c r="B30" s="32" t="s">
        <v>18</v>
      </c>
      <c r="F30" t="s">
        <v>121</v>
      </c>
      <c r="G30">
        <f>C31+C32+C38</f>
        <v>616489.84</v>
      </c>
      <c r="H30">
        <f>G30/$G$36</f>
        <v>140.90874265731068</v>
      </c>
    </row>
    <row r="31" spans="2:14" x14ac:dyDescent="0.25">
      <c r="B31" t="s">
        <v>108</v>
      </c>
      <c r="C31">
        <f>95017.32+21835.8+5458.95+3899.25+1559.7</f>
        <v>127771.02</v>
      </c>
      <c r="F31" t="s">
        <v>113</v>
      </c>
      <c r="G31">
        <f>C34</f>
        <v>364326.04</v>
      </c>
      <c r="H31">
        <f>G31/$G$36</f>
        <v>83.272620054398743</v>
      </c>
    </row>
    <row r="32" spans="2:14" x14ac:dyDescent="0.25">
      <c r="B32" t="s">
        <v>109</v>
      </c>
      <c r="C32">
        <f>147143.7+120610.56+30152.64+21537.6+8615.04</f>
        <v>328059.53999999998</v>
      </c>
      <c r="F32" t="s">
        <v>114</v>
      </c>
      <c r="G32">
        <f>C35</f>
        <v>249773.89999999997</v>
      </c>
      <c r="H32">
        <f>G32/$G$36</f>
        <v>57.089872231491839</v>
      </c>
    </row>
    <row r="33" spans="2:8" ht="21.75" x14ac:dyDescent="0.25">
      <c r="B33" s="32" t="s">
        <v>9</v>
      </c>
      <c r="F33" t="s">
        <v>115</v>
      </c>
      <c r="G33">
        <f>C36</f>
        <v>25043.81</v>
      </c>
      <c r="H33">
        <f>G33/$G$36</f>
        <v>5.7241685904322184</v>
      </c>
    </row>
    <row r="34" spans="2:8" x14ac:dyDescent="0.25">
      <c r="B34" t="s">
        <v>110</v>
      </c>
      <c r="C34">
        <f>251235.58+21137.08+36199.15+6944+9049.92+1736+8186.38+1240+3087.22+496+2448.6+612.15+437.25+174.9+14227.85+3556.91+2540.65+1016.4</f>
        <v>364326.04</v>
      </c>
      <c r="F34" t="s">
        <v>122</v>
      </c>
      <c r="G34">
        <f>C39</f>
        <v>39011.4</v>
      </c>
      <c r="H34">
        <f>G34/$G$36</f>
        <v>8.9166876185687176</v>
      </c>
    </row>
    <row r="35" spans="2:8" x14ac:dyDescent="0.25">
      <c r="B35" t="s">
        <v>111</v>
      </c>
      <c r="C35">
        <f>147604.28+36419.51+39140.64+4527.6+9785.16+1131.9+7015.8+1014.8+2810.81+323.4</f>
        <v>249773.89999999997</v>
      </c>
    </row>
    <row r="36" spans="2:8" x14ac:dyDescent="0.25">
      <c r="B36" t="s">
        <v>112</v>
      </c>
      <c r="C36">
        <f>10105.72+2067.41+8269.76+4010.18+590.74</f>
        <v>25043.81</v>
      </c>
      <c r="F36" t="s">
        <v>116</v>
      </c>
      <c r="G36">
        <v>4375.1000000000004</v>
      </c>
    </row>
    <row r="37" spans="2:8" ht="21.75" x14ac:dyDescent="0.25">
      <c r="B37" s="32" t="s">
        <v>118</v>
      </c>
    </row>
    <row r="38" spans="2:8" x14ac:dyDescent="0.25">
      <c r="B38" t="s">
        <v>119</v>
      </c>
      <c r="C38">
        <f>40048.72+120610.56</f>
        <v>160659.28</v>
      </c>
    </row>
    <row r="39" spans="2:8" x14ac:dyDescent="0.25">
      <c r="B39" t="s">
        <v>120</v>
      </c>
      <c r="C39">
        <v>39011.4</v>
      </c>
      <c r="E39">
        <v>105002.4</v>
      </c>
    </row>
    <row r="40" spans="2:8" x14ac:dyDescent="0.25">
      <c r="E40">
        <v>26250</v>
      </c>
    </row>
    <row r="41" spans="2:8" x14ac:dyDescent="0.25">
      <c r="E41" s="128">
        <f>E39+E40</f>
        <v>131252.4</v>
      </c>
      <c r="F41">
        <f>E41/12</f>
        <v>10937.699999999999</v>
      </c>
    </row>
  </sheetData>
  <mergeCells count="5">
    <mergeCell ref="C6:D6"/>
    <mergeCell ref="H6:I6"/>
    <mergeCell ref="J6:K6"/>
    <mergeCell ref="M6:N6"/>
    <mergeCell ref="E6:G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Relatório</vt:lpstr>
      <vt:lpstr>RESUMO</vt:lpstr>
      <vt:lpstr>ORÇAMENTO_EXECUTIVO_TOTAL</vt:lpstr>
      <vt:lpstr>ORÇAMENTO_EXECUTIVO_EDIFICAÇÕES</vt:lpstr>
      <vt:lpstr>CÁLCULO_MÉDIAS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2023-06-22T20:49:24Z</dcterms:modified>
</cp:coreProperties>
</file>