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quiria Vansquelhe\Desktop\Cartesian Engenharia\Empreendimentos\Cacupé\"/>
    </mc:Choice>
  </mc:AlternateContent>
  <xr:revisionPtr revIDLastSave="0" documentId="13_ncr:1_{5D7E211D-DC26-441A-B205-F139B57D8C4D}" xr6:coauthVersionLast="47" xr6:coauthVersionMax="47" xr10:uidLastSave="{00000000-0000-0000-0000-000000000000}"/>
  <bookViews>
    <workbookView xWindow="20370" yWindow="765" windowWidth="24240" windowHeight="13020" tabRatio="849" activeTab="3" xr2:uid="{00000000-000D-0000-FFFF-FFFF00000000}"/>
  </bookViews>
  <sheets>
    <sheet name="DADOS_INICIAIS" sheetId="46" r:id="rId1"/>
    <sheet name="MOVIMENTAÇÃO_DE_TERRA" sheetId="47" r:id="rId2"/>
    <sheet name="INFRAESTRUTURA" sheetId="21" r:id="rId3"/>
    <sheet name="SUPRAESTRUTURA" sheetId="48" r:id="rId4"/>
    <sheet name="INSTALAÇÕES" sheetId="58" r:id="rId5"/>
    <sheet name="SISTEMAS ESPECIAIS" sheetId="59" r:id="rId6"/>
    <sheet name="COMPLEMENTARES" sheetId="60" r:id="rId7"/>
    <sheet name="ALVENARIA" sheetId="61" state="hidden" r:id="rId8"/>
    <sheet name="Rev. Fachada" sheetId="55" state="hidden" r:id="rId9"/>
    <sheet name="IMPERMEABILIZAÇÃO" sheetId="62" state="hidden" r:id="rId10"/>
    <sheet name="Rev. Internos Piso e Parede" sheetId="51" state="hidden" r:id="rId11"/>
    <sheet name="TETO" sheetId="63" state="hidden" r:id="rId12"/>
    <sheet name="Acabamentos de Piso e Parede" sheetId="53" state="hidden" r:id="rId13"/>
    <sheet name="PINTURA INTERNA" sheetId="64" state="hidden" r:id="rId14"/>
    <sheet name="ESQUADRIAS" sheetId="65" state="hidden" r:id="rId15"/>
    <sheet name="COBERTURA" sheetId="66" state="hidden" r:id="rId16"/>
  </sheets>
  <externalReferences>
    <externalReference r:id="rId17"/>
    <externalReference r:id="rId18"/>
    <externalReference r:id="rId19"/>
  </externalReferences>
  <definedNames>
    <definedName name="\0" localSheetId="15">#REF!</definedName>
    <definedName name="\0" localSheetId="6">#REF!</definedName>
    <definedName name="\0" localSheetId="0">#REF!</definedName>
    <definedName name="\0" localSheetId="4">#REF!</definedName>
    <definedName name="\0" localSheetId="1">#REF!</definedName>
    <definedName name="\0" localSheetId="5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0" hidden="1">DADOS_INICIAIS!#REF!</definedName>
    <definedName name="aa" localSheetId="0">#REF!</definedName>
    <definedName name="aa">#REF!</definedName>
    <definedName name="aaaa" localSheetId="15">'[1]M.O.'!#REF!</definedName>
    <definedName name="aaaa" localSheetId="6">'[1]M.O.'!#REF!</definedName>
    <definedName name="aaaa" localSheetId="0">'[1]M.O.'!#REF!</definedName>
    <definedName name="aaaa" localSheetId="4">'[1]M.O.'!#REF!</definedName>
    <definedName name="aaaa" localSheetId="1">'[1]M.O.'!#REF!</definedName>
    <definedName name="aaaa" localSheetId="5">'[1]M.O.'!#REF!</definedName>
    <definedName name="aaaa">'[1]M.O.'!#REF!</definedName>
    <definedName name="angelo" localSheetId="15">[2]Geral!#REF!</definedName>
    <definedName name="angelo" localSheetId="6">[2]Geral!#REF!</definedName>
    <definedName name="angelo" localSheetId="0">[2]Geral!#REF!</definedName>
    <definedName name="angelo" localSheetId="4">[2]Geral!#REF!</definedName>
    <definedName name="angelo" localSheetId="1">[2]Geral!#REF!</definedName>
    <definedName name="angelo" localSheetId="5">[2]Geral!#REF!</definedName>
    <definedName name="angelo">[2]Geral!#REF!</definedName>
    <definedName name="area">#REF!</definedName>
    <definedName name="_xlnm.Print_Area" localSheetId="12">'Acabamentos de Piso e Parede'!$A$1:$H$24</definedName>
    <definedName name="_xlnm.Print_Area" localSheetId="7">ALVENARIA!$A$1:$I$19</definedName>
    <definedName name="_xlnm.Print_Area" localSheetId="15">COBERTURA!$A$1:$H$14</definedName>
    <definedName name="_xlnm.Print_Area" localSheetId="6">COMPLEMENTARES!$A$1:$G$16</definedName>
    <definedName name="_xlnm.Print_Area" localSheetId="0">DADOS_INICIAIS!$A$1:$G$28</definedName>
    <definedName name="_xlnm.Print_Area" localSheetId="14">ESQUADRIAS!$A$1:$I$22</definedName>
    <definedName name="_xlnm.Print_Area" localSheetId="9">IMPERMEABILIZAÇÃO!$A$1:$I$19</definedName>
    <definedName name="_xlnm.Print_Area" localSheetId="2">INFRAESTRUTURA!$A$1:$I$35</definedName>
    <definedName name="_xlnm.Print_Area" localSheetId="4">INSTALAÇÕES!$A$1:$E$35</definedName>
    <definedName name="_xlnm.Print_Area" localSheetId="1">MOVIMENTAÇÃO_DE_TERRA!$A$1:$G$25</definedName>
    <definedName name="_xlnm.Print_Area" localSheetId="13">'PINTURA INTERNA'!$A$1:$I$15</definedName>
    <definedName name="_xlnm.Print_Area" localSheetId="8">'Rev. Fachada'!$A$1:$H$23</definedName>
    <definedName name="_xlnm.Print_Area" localSheetId="10">'Rev. Internos Piso e Parede'!$A$1:$H$22</definedName>
    <definedName name="_xlnm.Print_Area" localSheetId="5">'SISTEMAS ESPECIAIS'!$A$1:$E$31</definedName>
    <definedName name="_xlnm.Print_Area" localSheetId="3">SUPRAESTRUTURA!$A$1:$I$18</definedName>
    <definedName name="_xlnm.Print_Area" localSheetId="11">TETO!$A$1:$I$15</definedName>
    <definedName name="_xlnm.Print_Area">#REF!</definedName>
    <definedName name="aux" localSheetId="15">#REF!</definedName>
    <definedName name="aux" localSheetId="6">#REF!</definedName>
    <definedName name="aux" localSheetId="0">#REF!</definedName>
    <definedName name="aux" localSheetId="4">#REF!</definedName>
    <definedName name="aux" localSheetId="1">#REF!</definedName>
    <definedName name="aux" localSheetId="5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4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5">#REF!</definedName>
    <definedName name="FFFFFFF" localSheetId="6">#REF!</definedName>
    <definedName name="FFFFFFF" localSheetId="0">#REF!</definedName>
    <definedName name="FFFFFFF" localSheetId="4">#REF!</definedName>
    <definedName name="FFFFFFF" localSheetId="1">#REF!</definedName>
    <definedName name="FFFFFFF" localSheetId="5">#REF!</definedName>
    <definedName name="FFFFFFF">#REF!</definedName>
    <definedName name="item_1" localSheetId="15">#REF!</definedName>
    <definedName name="item_1" localSheetId="6">#REF!</definedName>
    <definedName name="item_1" localSheetId="0">#REF!</definedName>
    <definedName name="item_1" localSheetId="4">#REF!</definedName>
    <definedName name="item_1" localSheetId="1">#REF!</definedName>
    <definedName name="item_1" localSheetId="5">#REF!</definedName>
    <definedName name="item_1">#REF!</definedName>
    <definedName name="LS" localSheetId="15">'[1]M.O.'!#REF!</definedName>
    <definedName name="LS" localSheetId="6">'[1]M.O.'!#REF!</definedName>
    <definedName name="LS" localSheetId="0">'[1]M.O.'!#REF!</definedName>
    <definedName name="LS" localSheetId="4">'[1]M.O.'!#REF!</definedName>
    <definedName name="LS" localSheetId="1">'[1]M.O.'!#REF!</definedName>
    <definedName name="LS" localSheetId="5">'[1]M.O.'!#REF!</definedName>
    <definedName name="LS">'[1]M.O.'!#REF!</definedName>
    <definedName name="MENU" localSheetId="15">#REF!</definedName>
    <definedName name="MENU" localSheetId="6">#REF!</definedName>
    <definedName name="MENU" localSheetId="0">#REF!</definedName>
    <definedName name="MENU" localSheetId="4">#REF!</definedName>
    <definedName name="MENU" localSheetId="1">#REF!</definedName>
    <definedName name="MENU" localSheetId="5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5">#REF!</definedName>
    <definedName name="PAV" localSheetId="6">#REF!</definedName>
    <definedName name="PAV" localSheetId="0">#REF!</definedName>
    <definedName name="PAV" localSheetId="4">#REF!</definedName>
    <definedName name="PAV" localSheetId="1">#REF!</definedName>
    <definedName name="PAV" localSheetId="5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2">'Acabamentos de Piso e Parede'!$7:$11</definedName>
    <definedName name="_xlnm.Print_Titles" localSheetId="7">ALVENARIA!$2:$2</definedName>
    <definedName name="_xlnm.Print_Titles" localSheetId="15">COBERTURA!#REF!</definedName>
    <definedName name="_xlnm.Print_Titles" localSheetId="6">COMPLEMENTARES!#REF!</definedName>
    <definedName name="_xlnm.Print_Titles" localSheetId="0">DADOS_INICIAIS!$1:$6</definedName>
    <definedName name="_xlnm.Print_Titles" localSheetId="14">ESQUADRIAS!$2:$2</definedName>
    <definedName name="_xlnm.Print_Titles" localSheetId="9">IMPERMEABILIZAÇÃO!$2:$2</definedName>
    <definedName name="_xlnm.Print_Titles" localSheetId="2">INFRAESTRUTURA!$2:$2</definedName>
    <definedName name="_xlnm.Print_Titles" localSheetId="4">INSTALAÇÕES!#REF!</definedName>
    <definedName name="_xlnm.Print_Titles" localSheetId="1">MOVIMENTAÇÃO_DE_TERRA!#REF!</definedName>
    <definedName name="_xlnm.Print_Titles" localSheetId="13">'PINTURA INTERNA'!$2:$2</definedName>
    <definedName name="_xlnm.Print_Titles" localSheetId="8">'Rev. Fachada'!$7:$11</definedName>
    <definedName name="_xlnm.Print_Titles" localSheetId="10">'Rev. Internos Piso e Parede'!$7:$11</definedName>
    <definedName name="_xlnm.Print_Titles" localSheetId="5">'SISTEMAS ESPECIAIS'!#REF!</definedName>
    <definedName name="_xlnm.Print_Titles" localSheetId="3">SUPRAESTRUTURA!$2:$2</definedName>
    <definedName name="_xlnm.Print_Titles" localSheetId="11">TETO!$2:$2</definedName>
    <definedName name="_xlnm.Print_Titles">#REF!</definedName>
    <definedName name="TOT" localSheetId="15">#REF!</definedName>
    <definedName name="TOT" localSheetId="6">#REF!</definedName>
    <definedName name="TOT" localSheetId="0">#REF!</definedName>
    <definedName name="TOT" localSheetId="4">#REF!</definedName>
    <definedName name="TOT" localSheetId="1">#REF!</definedName>
    <definedName name="TOT" localSheetId="5">#REF!</definedName>
    <definedName name="TOT">#REF!</definedName>
    <definedName name="Total" localSheetId="0">#REF!</definedName>
    <definedName name="Total">#REF!</definedName>
    <definedName name="TRP">#REF!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4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5">#REF!</definedName>
    <definedName name="xxxx" localSheetId="6">#REF!</definedName>
    <definedName name="xxxx" localSheetId="0">#REF!</definedName>
    <definedName name="xxxx" localSheetId="4">#REF!</definedName>
    <definedName name="xxxx" localSheetId="1">#REF!</definedName>
    <definedName name="xxxx" localSheetId="5">#REF!</definedName>
    <definedName name="xxxx">#REF!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48" l="1"/>
  <c r="E19" i="61"/>
  <c r="G16" i="59" l="1"/>
  <c r="J15" i="65"/>
  <c r="I20" i="65"/>
  <c r="I19" i="65"/>
  <c r="I18" i="65"/>
  <c r="I17" i="65"/>
  <c r="I16" i="65"/>
  <c r="I15" i="65"/>
  <c r="I14" i="65"/>
  <c r="I12" i="65"/>
  <c r="I11" i="65"/>
  <c r="I10" i="65"/>
  <c r="I13" i="65"/>
  <c r="D7" i="61" l="1"/>
  <c r="N16" i="59"/>
  <c r="M16" i="59"/>
  <c r="L16" i="59"/>
  <c r="K16" i="59"/>
  <c r="J16" i="59"/>
  <c r="I16" i="59"/>
  <c r="H16" i="59"/>
  <c r="M9" i="59"/>
  <c r="L10" i="59"/>
  <c r="K10" i="59"/>
  <c r="J10" i="59"/>
  <c r="I10" i="59"/>
  <c r="B10" i="59" s="1"/>
  <c r="L9" i="59"/>
  <c r="K9" i="59"/>
  <c r="J9" i="59"/>
  <c r="I9" i="59"/>
  <c r="B9" i="59"/>
  <c r="B8" i="59"/>
  <c r="M7" i="59"/>
  <c r="L7" i="59"/>
  <c r="K7" i="59"/>
  <c r="J7" i="59"/>
  <c r="I7" i="59"/>
  <c r="L12" i="59"/>
  <c r="K12" i="59"/>
  <c r="J12" i="59"/>
  <c r="I12" i="59"/>
  <c r="B7" i="59"/>
  <c r="D32" i="58"/>
  <c r="D31" i="58"/>
  <c r="E31" i="58"/>
  <c r="E32" i="58" l="1"/>
  <c r="E33" i="58"/>
  <c r="I15" i="48" l="1"/>
  <c r="D12" i="48" l="1"/>
  <c r="D26" i="48"/>
  <c r="D13" i="48"/>
  <c r="D27" i="48"/>
  <c r="F16" i="48"/>
  <c r="D15" i="48"/>
  <c r="D11" i="48"/>
  <c r="D23" i="48"/>
  <c r="F25" i="48"/>
  <c r="D14" i="48" l="1"/>
  <c r="G21" i="21" l="1"/>
  <c r="J12" i="47"/>
  <c r="D9" i="47"/>
  <c r="E14" i="46"/>
  <c r="E12" i="46"/>
  <c r="E11" i="46"/>
  <c r="D9" i="60" l="1"/>
  <c r="D9" i="66"/>
  <c r="D10" i="66" s="1"/>
  <c r="D11" i="65"/>
  <c r="D19" i="65"/>
  <c r="G19" i="65" s="1"/>
  <c r="D14" i="65"/>
  <c r="G14" i="65" s="1"/>
  <c r="D13" i="65"/>
  <c r="D15" i="65"/>
  <c r="D18" i="65"/>
  <c r="D17" i="65"/>
  <c r="D10" i="65"/>
  <c r="D13" i="63"/>
  <c r="G13" i="63" s="1"/>
  <c r="B13" i="63"/>
  <c r="D11" i="63"/>
  <c r="G11" i="63" s="1"/>
  <c r="D10" i="63"/>
  <c r="B18" i="51"/>
  <c r="B16" i="51"/>
  <c r="B15" i="51"/>
  <c r="B18" i="53"/>
  <c r="B17" i="53"/>
  <c r="B16" i="53"/>
  <c r="B15" i="53"/>
  <c r="D29" i="59"/>
  <c r="D11" i="62"/>
  <c r="C25" i="59"/>
  <c r="D12" i="63" l="1"/>
  <c r="G12" i="63" s="1"/>
  <c r="B27" i="55"/>
  <c r="L22" i="55"/>
  <c r="L20" i="55"/>
  <c r="L19" i="55"/>
  <c r="L18" i="55"/>
  <c r="C30" i="59" l="1"/>
  <c r="D30" i="59" s="1"/>
  <c r="D29" i="61"/>
  <c r="D28" i="61"/>
  <c r="D27" i="61"/>
  <c r="D26" i="61"/>
  <c r="D25" i="61"/>
  <c r="D24" i="61"/>
  <c r="D23" i="61"/>
  <c r="D53" i="48"/>
  <c r="D31" i="21"/>
  <c r="G31" i="21" s="1"/>
  <c r="D10" i="21"/>
  <c r="D17" i="21" s="1"/>
  <c r="G17" i="21" s="1"/>
  <c r="D30" i="61" l="1"/>
  <c r="D11" i="21"/>
  <c r="D13" i="21"/>
  <c r="G13" i="21" s="1"/>
  <c r="D15" i="21"/>
  <c r="G15" i="21" s="1"/>
  <c r="F56" i="48"/>
  <c r="G56" i="48" s="1"/>
  <c r="F55" i="48"/>
  <c r="F53" i="48"/>
  <c r="G53" i="48" s="1"/>
  <c r="D55" i="48"/>
  <c r="D54" i="48"/>
  <c r="G54" i="48" s="1"/>
  <c r="F50" i="48"/>
  <c r="D50" i="48"/>
  <c r="D51" i="48" s="1"/>
  <c r="G51" i="48" s="1"/>
  <c r="D52" i="48"/>
  <c r="D49" i="48"/>
  <c r="G49" i="48" s="1"/>
  <c r="D48" i="48"/>
  <c r="F52" i="48"/>
  <c r="G52" i="48" l="1"/>
  <c r="G50" i="48"/>
  <c r="G55" i="48"/>
  <c r="D47" i="48"/>
  <c r="G47" i="48" s="1"/>
  <c r="G48" i="48"/>
  <c r="G57" i="48"/>
  <c r="D18" i="21" l="1"/>
  <c r="G18" i="21" s="1"/>
  <c r="B20" i="51" l="1"/>
  <c r="D20" i="58"/>
  <c r="D21" i="58"/>
  <c r="G28" i="61" l="1"/>
  <c r="G27" i="61"/>
  <c r="F30" i="61"/>
  <c r="D15" i="61"/>
  <c r="D14" i="61"/>
  <c r="D13" i="61"/>
  <c r="D12" i="61"/>
  <c r="D11" i="61"/>
  <c r="D10" i="61"/>
  <c r="D31" i="61" l="1"/>
  <c r="G30" i="61"/>
  <c r="G26" i="61"/>
  <c r="F26" i="48"/>
  <c r="F24" i="48"/>
  <c r="D22" i="48"/>
  <c r="J26" i="61" l="1"/>
  <c r="J27" i="61" s="1"/>
  <c r="F9" i="60"/>
  <c r="G11" i="65"/>
  <c r="D15" i="55"/>
  <c r="D21" i="55"/>
  <c r="G15" i="65" l="1"/>
  <c r="G12" i="65"/>
  <c r="F13" i="64"/>
  <c r="G13" i="64" s="1"/>
  <c r="F12" i="64"/>
  <c r="G16" i="51"/>
  <c r="G18" i="51"/>
  <c r="G17" i="51"/>
  <c r="B19" i="53"/>
  <c r="G19" i="53" s="1"/>
  <c r="D18" i="51"/>
  <c r="D17" i="51"/>
  <c r="D10" i="64"/>
  <c r="G21" i="53"/>
  <c r="G22" i="53"/>
  <c r="G20" i="53"/>
  <c r="G15" i="51" l="1"/>
  <c r="D11" i="64"/>
  <c r="G17" i="53"/>
  <c r="G16" i="53"/>
  <c r="G18" i="53"/>
  <c r="G15" i="53"/>
  <c r="G20" i="51"/>
  <c r="G11" i="62"/>
  <c r="D27" i="59"/>
  <c r="D26" i="59"/>
  <c r="D25" i="59"/>
  <c r="G23" i="53" l="1"/>
  <c r="G18" i="65"/>
  <c r="K19" i="55"/>
  <c r="K20" i="55" s="1"/>
  <c r="K18" i="55"/>
  <c r="G10" i="66"/>
  <c r="G11" i="66"/>
  <c r="G12" i="66"/>
  <c r="G9" i="66"/>
  <c r="G13" i="66" s="1"/>
  <c r="D11" i="60"/>
  <c r="F11" i="60" s="1"/>
  <c r="D12" i="60"/>
  <c r="F12" i="60" s="1"/>
  <c r="D13" i="60"/>
  <c r="F13" i="60" s="1"/>
  <c r="D14" i="60"/>
  <c r="F14" i="60" s="1"/>
  <c r="D10" i="60"/>
  <c r="F10" i="60" s="1"/>
  <c r="F16" i="65"/>
  <c r="G16" i="65" s="1"/>
  <c r="F13" i="65"/>
  <c r="G10" i="65"/>
  <c r="G20" i="65"/>
  <c r="G17" i="65"/>
  <c r="K21" i="65"/>
  <c r="L21" i="65" s="1"/>
  <c r="G12" i="64"/>
  <c r="G11" i="64"/>
  <c r="G10" i="64"/>
  <c r="K14" i="64"/>
  <c r="L14" i="64" s="1"/>
  <c r="G10" i="63"/>
  <c r="K14" i="63"/>
  <c r="L14" i="63" s="1"/>
  <c r="B15" i="55" l="1"/>
  <c r="H10" i="65"/>
  <c r="G21" i="65"/>
  <c r="F15" i="60"/>
  <c r="L23" i="55"/>
  <c r="G15" i="55"/>
  <c r="G27" i="55"/>
  <c r="G13" i="65"/>
  <c r="G15" i="66"/>
  <c r="G14" i="64"/>
  <c r="G16" i="64" s="1"/>
  <c r="G23" i="65" l="1"/>
  <c r="B21" i="55"/>
  <c r="G21" i="55" s="1"/>
  <c r="G22" i="55" s="1"/>
  <c r="G16" i="55"/>
  <c r="H15" i="66"/>
  <c r="G14" i="63"/>
  <c r="G16" i="63" s="1"/>
  <c r="H16" i="64"/>
  <c r="H18" i="64" s="1"/>
  <c r="H23" i="65" l="1"/>
  <c r="H16" i="63"/>
  <c r="H19" i="63" s="1"/>
  <c r="D36" i="59"/>
  <c r="D28" i="59"/>
  <c r="D31" i="59" s="1"/>
  <c r="D33" i="58"/>
  <c r="D34" i="58"/>
  <c r="D30" i="58"/>
  <c r="D24" i="58"/>
  <c r="D22" i="58"/>
  <c r="D23" i="58"/>
  <c r="D19" i="58"/>
  <c r="D8" i="58"/>
  <c r="D9" i="58"/>
  <c r="D10" i="58"/>
  <c r="D11" i="58"/>
  <c r="D12" i="58"/>
  <c r="D13" i="58"/>
  <c r="D7" i="58"/>
  <c r="D19" i="59"/>
  <c r="D18" i="59"/>
  <c r="D17" i="59"/>
  <c r="D16" i="59"/>
  <c r="D9" i="59"/>
  <c r="D8" i="59"/>
  <c r="F12" i="48"/>
  <c r="G12" i="48"/>
  <c r="D10" i="59" l="1"/>
  <c r="G29" i="61"/>
  <c r="D7" i="59"/>
  <c r="D11" i="59" s="1"/>
  <c r="D25" i="58"/>
  <c r="D29" i="21" l="1"/>
  <c r="D30" i="21" l="1"/>
  <c r="D21" i="47"/>
  <c r="D22" i="47" s="1"/>
  <c r="D23" i="47" s="1"/>
  <c r="F16" i="62" l="1"/>
  <c r="G16" i="62" s="1"/>
  <c r="F13" i="62"/>
  <c r="G13" i="62" s="1"/>
  <c r="D15" i="62"/>
  <c r="D14" i="62"/>
  <c r="G14" i="62" s="1"/>
  <c r="K18" i="62"/>
  <c r="L18" i="62" s="1"/>
  <c r="F16" i="61"/>
  <c r="G15" i="61"/>
  <c r="G14" i="61"/>
  <c r="G13" i="61"/>
  <c r="G12" i="61"/>
  <c r="G11" i="61"/>
  <c r="G25" i="61"/>
  <c r="G24" i="61"/>
  <c r="K18" i="61"/>
  <c r="L18" i="61" s="1"/>
  <c r="F13" i="48"/>
  <c r="G13" i="48" s="1"/>
  <c r="G11" i="48"/>
  <c r="F41" i="48"/>
  <c r="G41" i="48" s="1"/>
  <c r="F40" i="48"/>
  <c r="D40" i="48"/>
  <c r="F38" i="48"/>
  <c r="D38" i="48"/>
  <c r="D39" i="48" s="1"/>
  <c r="G39" i="48" s="1"/>
  <c r="F37" i="48"/>
  <c r="D37" i="48"/>
  <c r="D36" i="48"/>
  <c r="G36" i="48" s="1"/>
  <c r="D35" i="48"/>
  <c r="G35" i="48" s="1"/>
  <c r="D34" i="48"/>
  <c r="G34" i="48" s="1"/>
  <c r="G27" i="48"/>
  <c r="G24" i="48"/>
  <c r="G23" i="48"/>
  <c r="G16" i="48"/>
  <c r="F29" i="21"/>
  <c r="G29" i="21" s="1"/>
  <c r="I29" i="21" s="1"/>
  <c r="F19" i="21"/>
  <c r="F15" i="47"/>
  <c r="E30" i="47"/>
  <c r="D30" i="47"/>
  <c r="F30" i="47" s="1"/>
  <c r="G10" i="61"/>
  <c r="D20" i="59"/>
  <c r="D37" i="59"/>
  <c r="D14" i="58"/>
  <c r="D35" i="58"/>
  <c r="D39" i="59" l="1"/>
  <c r="D16" i="61"/>
  <c r="G16" i="61" s="1"/>
  <c r="D17" i="61"/>
  <c r="G17" i="61" s="1"/>
  <c r="D10" i="62"/>
  <c r="G10" i="62" s="1"/>
  <c r="G15" i="62"/>
  <c r="D17" i="62"/>
  <c r="G17" i="62" s="1"/>
  <c r="F17" i="60"/>
  <c r="F31" i="47"/>
  <c r="H30" i="47"/>
  <c r="G23" i="61"/>
  <c r="G31" i="61"/>
  <c r="G40" i="48"/>
  <c r="G37" i="48"/>
  <c r="D33" i="48"/>
  <c r="G33" i="48" s="1"/>
  <c r="G22" i="48"/>
  <c r="G28" i="48" s="1"/>
  <c r="G38" i="48"/>
  <c r="G25" i="48"/>
  <c r="G26" i="48"/>
  <c r="D10" i="48"/>
  <c r="G10" i="48" s="1"/>
  <c r="D37" i="58"/>
  <c r="G32" i="61" l="1"/>
  <c r="G18" i="61"/>
  <c r="G17" i="60"/>
  <c r="E39" i="59"/>
  <c r="E37" i="58"/>
  <c r="E39" i="58" s="1"/>
  <c r="G42" i="48"/>
  <c r="G28" i="55"/>
  <c r="J29" i="55"/>
  <c r="A23" i="53"/>
  <c r="G35" i="61" l="1"/>
  <c r="G31" i="55"/>
  <c r="G26" i="53"/>
  <c r="H35" i="61" l="1"/>
  <c r="G38" i="61"/>
  <c r="H38" i="61" s="1"/>
  <c r="H26" i="53"/>
  <c r="H28" i="53" s="1"/>
  <c r="J13" i="51"/>
  <c r="H31" i="55" l="1"/>
  <c r="H32" i="55" s="1"/>
  <c r="B32" i="21" l="1"/>
  <c r="F32" i="21" s="1"/>
  <c r="D32" i="21"/>
  <c r="F15" i="48"/>
  <c r="D28" i="21"/>
  <c r="G28" i="21" s="1"/>
  <c r="I28" i="21" s="1"/>
  <c r="D14" i="21"/>
  <c r="G14" i="21" s="1"/>
  <c r="F16" i="47"/>
  <c r="B9" i="47"/>
  <c r="D12" i="62" l="1"/>
  <c r="G15" i="48"/>
  <c r="G32" i="21"/>
  <c r="G30" i="21"/>
  <c r="D16" i="21"/>
  <c r="G16" i="21" s="1"/>
  <c r="G12" i="62" l="1"/>
  <c r="G18" i="62" s="1"/>
  <c r="G20" i="62" s="1"/>
  <c r="F22" i="47"/>
  <c r="F21" i="47"/>
  <c r="F9" i="47"/>
  <c r="F10" i="47" s="1"/>
  <c r="H20" i="62" l="1"/>
  <c r="H23" i="62" s="1"/>
  <c r="F23" i="47"/>
  <c r="G33" i="21"/>
  <c r="G14" i="48" l="1"/>
  <c r="G17" i="48" s="1"/>
  <c r="G60" i="48" s="1"/>
  <c r="H60" i="48" l="1"/>
  <c r="H62" i="48" s="1"/>
  <c r="D12" i="21"/>
  <c r="G12" i="21" s="1"/>
  <c r="D22" i="21"/>
  <c r="G22" i="21" s="1"/>
  <c r="D19" i="21" l="1"/>
  <c r="D24" i="47" l="1"/>
  <c r="G19" i="21"/>
  <c r="D20" i="21"/>
  <c r="G20" i="21" s="1"/>
  <c r="F24" i="47" l="1"/>
  <c r="F25" i="47" s="1"/>
  <c r="F33" i="47" s="1"/>
  <c r="G33" i="47" s="1"/>
  <c r="G23" i="21"/>
  <c r="G36" i="21" l="1"/>
  <c r="H36" i="21" s="1"/>
  <c r="H38" i="21" s="1"/>
  <c r="B19" i="51" l="1"/>
  <c r="G19" i="51" s="1"/>
  <c r="G21" i="51" l="1"/>
  <c r="G24" i="51" s="1"/>
  <c r="H24" i="51" s="1"/>
  <c r="H26" i="51" s="1"/>
  <c r="J14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3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3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38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7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7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49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3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4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0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5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<sst xmlns="http://schemas.openxmlformats.org/spreadsheetml/2006/main" count="844" uniqueCount="342">
  <si>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</si>
  <si>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</si>
  <si>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</si>
  <si>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</si>
  <si>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</si>
  <si>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</si>
  <si>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</si>
  <si>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</si>
  <si>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</si>
  <si>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</si>
  <si>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</si>
  <si>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</si>
  <si>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</si>
  <si>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</si>
  <si>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</si>
  <si>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</si>
  <si>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</si>
  <si>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</si>
  <si>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</si>
  <si>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</si>
  <si>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</si>
  <si>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</si>
  <si>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</si>
  <si>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</si>
  <si>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</si>
  <si>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</si>
  <si>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</si>
  <si>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</si>
  <si>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</si>
  <si>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</si>
  <si>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</si>
  <si>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</si>
  <si>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</si>
  <si>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</si>
  <si>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</si>
  <si>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</si>
  <si>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</si>
  <si>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</si>
  <si>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</si>
  <si>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</si>
  <si>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</si>
  <si>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</si>
  <si>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</si>
  <si>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</si>
  <si>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</si>
  <si>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</si>
  <si>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</si>
  <si>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</si>
  <si>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</si>
  <si>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</si>
  <si>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</si>
  <si>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</si>
  <si>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</si>
  <si>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</si>
  <si>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</si>
  <si>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</si>
  <si>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</si>
  <si>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</si>
  <si>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</si>
  <si>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</si>
  <si>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</si>
  <si>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</si>
  <si>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</si>
  <si>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</si>
  <si>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</si>
  <si>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</si>
  <si>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</si>
  <si>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</si>
  <si>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</si>
  <si>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</si>
  <si>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</si>
  <si>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</si>
  <si>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</si>
  <si>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</si>
  <si>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</si>
  <si>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</si>
  <si>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</si>
  <si>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</si>
  <si>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</si>
  <si>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</si>
  <si>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</si>
  <si>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</si>
  <si>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</si>
  <si>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</si>
  <si>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</si>
  <si>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</si>
  <si>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</si>
  <si>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</si>
  <si>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</si>
  <si>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</si>
  <si>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</si>
  <si>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</si>
  <si>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</si>
  <si>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</si>
  <si>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</si>
  <si>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</si>
  <si>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</si>
  <si>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</si>
  <si>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</si>
  <si>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</si>
  <si>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</si>
  <si>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</si>
  <si>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</si>
  <si>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</si>
  <si>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</si>
  <si>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</si>
  <si>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</si>
  <si>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</si>
  <si>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</si>
  <si>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</si>
  <si>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</si>
  <si>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</si>
  <si>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</si>
  <si>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</si>
  <si>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</si>
  <si>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</si>
  <si>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</si>
  <si>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</si>
  <si>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</si>
  <si>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</si>
  <si>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</si>
  <si>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</si>
  <si>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</si>
  <si>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</si>
  <si>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</si>
  <si>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</si>
  <si>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</si>
  <si>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</si>
  <si>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</si>
  <si>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</si>
  <si>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</si>
  <si>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</si>
  <si>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</si>
  <si>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</si>
  <si>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</si>
  <si>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</si>
  <si>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</si>
  <si>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PAVER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</si>
  <si>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</si>
  <si>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</si>
  <si>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</si>
  <si>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</si>
  <si>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</si>
  <si>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</si>
  <si>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</si>
  <si>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</si>
  <si>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</si>
  <si>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</si>
  <si>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</si>
  <si>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</si>
  <si>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</si>
  <si>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</si>
  <si>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</si>
  <si>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</si>
  <si>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</si>
  <si>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</si>
  <si>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</si>
  <si>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</si>
  <si>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</si>
  <si>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</si>
  <si>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</si>
  <si>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</si>
  <si>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</si>
  <si>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</si>
  <si>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</si>
  <si>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</si>
  <si>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</si>
  <si>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</si>
  <si>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</si>
  <si>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</si>
  <si>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</si>
  <si>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</si>
  <si>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</si>
  <si>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</si>
  <si>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</si>
  <si>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</si>
  <si>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</si>
  <si>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</si>
  <si>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</si>
  <si>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</si>
  <si>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</si>
  <si>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</si>
  <si>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</si>
  <si>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</si>
  <si>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</si>
  <si>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</si>
  <si>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</si>
  <si>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</si>
  <si>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</si>
  <si>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</si>
  <si>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</si>
  <si>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</si>
  <si>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</si>
  <si>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</si>
  <si>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</si>
  <si>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</si>
  <si>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</si>
  <si>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</si>
  <si>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</si>
  <si>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</si>
  <si>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</si>
  <si>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</si>
  <si>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</si>
  <si>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</si>
  <si>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</si>
  <si>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</si>
  <si>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</si>
  <si>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</si>
  <si>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</si>
  <si>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</si>
  <si>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</si>
  <si>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</si>
  <si>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</si>
  <si>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</si>
  <si>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</si>
  <si>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</si>
  <si>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</si>
  <si>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</si>
  <si>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</si>
  <si>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</si>
  <si>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</si>
  <si>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</si>
  <si>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</si>
  <si>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</si>
  <si>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</si>
  <si>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</si>
  <si>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</si>
  <si>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</si>
  <si>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</si>
  <si>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</si>
  <si>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</si>
  <si>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</si>
  <si>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</si>
  <si>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</si>
  <si>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</si>
  <si>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</si>
  <si>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</si>
  <si>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</si>
  <si>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</si>
  <si>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</si>
  <si>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</si>
  <si>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</si>
  <si>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</si>
  <si>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</si>
  <si>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</si>
  <si>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</si>
  <si>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</si>
  <si>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</si>
  <si>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</si>
  <si>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</si>
  <si>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</si>
  <si>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</si>
  <si>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</si>
  <si>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</si>
  <si>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</si>
  <si>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</si>
  <si>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</si>
  <si>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ATICO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</si>
  <si>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</si>
  <si>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</si>
  <si>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</si>
  <si>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</si>
  <si>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</si>
  <si>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</si>
  <si>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</si>
  <si>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</si>
  <si>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</si>
  <si>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</si>
  <si>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TORRE 2</t>
  </si>
  <si>
    <t>Textura</t>
  </si>
  <si>
    <t>Corrimão inox</t>
  </si>
  <si>
    <t>DECK</t>
  </si>
  <si>
    <t>PASTILHA</t>
  </si>
  <si>
    <t>Deck</t>
  </si>
  <si>
    <t>Polimento de concreto</t>
  </si>
  <si>
    <t>Ladrilho hidaraulico</t>
  </si>
  <si>
    <t>Piso alisado</t>
  </si>
  <si>
    <t>TOTAL ESQUADRIAS</t>
  </si>
  <si>
    <t>M²</t>
  </si>
  <si>
    <t>Brise de aluminio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</si>
  <si>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</si>
  <si>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</si>
  <si>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</si>
  <si>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</si>
  <si>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</si>
  <si>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</si>
  <si>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</si>
  <si>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</si>
  <si>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</si>
  <si>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</si>
  <si>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</si>
  <si>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</si>
  <si>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ALVENARIA - DRYWALL</t>
  </si>
  <si>
    <t>Sistema de aquecimento</t>
  </si>
  <si>
    <t xml:space="preserve">Brise </t>
  </si>
  <si>
    <t>CIMENTADO</t>
  </si>
  <si>
    <t>Equipamento de piscina</t>
  </si>
  <si>
    <t>LADRILHO</t>
  </si>
  <si>
    <t>CIMENTADO ESCADA</t>
  </si>
  <si>
    <t>Forro gesso acartonado st</t>
  </si>
  <si>
    <t>Forro gesso acartonado ru</t>
  </si>
  <si>
    <t>TOTAL FORRO</t>
  </si>
  <si>
    <t>Gradil - BRISE</t>
  </si>
  <si>
    <t>Fechadura Biometrica</t>
  </si>
  <si>
    <t>XXX</t>
  </si>
  <si>
    <t xml:space="preserve">Cacupé </t>
  </si>
  <si>
    <t>Adore Incorporações</t>
  </si>
  <si>
    <t>Nível 1</t>
  </si>
  <si>
    <t>Cozinhas</t>
  </si>
  <si>
    <t>Nível 2</t>
  </si>
  <si>
    <t>Nível 3</t>
  </si>
  <si>
    <t>Nível 4</t>
  </si>
  <si>
    <t>Nível 5</t>
  </si>
  <si>
    <t>Nível 6</t>
  </si>
  <si>
    <t>Nível 7</t>
  </si>
  <si>
    <t>Considerado o tempo de 6 meses para fundação</t>
  </si>
  <si>
    <t>Volume de terraplenagem conforme projeto recebido do cliente</t>
  </si>
  <si>
    <t>Corte</t>
  </si>
  <si>
    <t>Atetto</t>
  </si>
  <si>
    <t>Bota fora</t>
  </si>
  <si>
    <t>Não tem estacas</t>
  </si>
  <si>
    <t xml:space="preserve">Base obra Barra4 </t>
  </si>
  <si>
    <t>Não tem fundação profunda</t>
  </si>
  <si>
    <r>
      <t>SUPRAESTRUTURA - LAJE CUBETAS</t>
    </r>
    <r>
      <rPr>
        <b/>
        <sz val="8.8000000000000007"/>
        <color rgb="FFFF0000"/>
        <rFont val="Poppins"/>
      </rPr>
      <t xml:space="preserve"> (somente Embasamento)</t>
    </r>
  </si>
  <si>
    <t>ok</t>
  </si>
  <si>
    <t>Instalações de GLP - Medidores, reguladores e registro</t>
  </si>
  <si>
    <t xml:space="preserve">Instalações de GLP - Rede primária </t>
  </si>
  <si>
    <t>Instalações de GLP - Rede Secundária</t>
  </si>
  <si>
    <t>área construída do Atlântia</t>
  </si>
  <si>
    <t>NÍVEL 1 - (PAV.01 e PAV. SUBSOLO 02)</t>
  </si>
  <si>
    <t>NÍVEL 2 - (SL/MEZ e PAV. SUBSOLO 01)</t>
  </si>
  <si>
    <t>NÍVEL 3 - (PAV02 e PAV01)</t>
  </si>
  <si>
    <t>NÍVEL 4 - (PAV03 e PAV02)</t>
  </si>
  <si>
    <t>NÍVEL 5 - (PAV04 e PAV03)</t>
  </si>
  <si>
    <t>NÍVEL 6 - (PAV05 e PAV04)</t>
  </si>
  <si>
    <t>RESERVATÓRIOS</t>
  </si>
  <si>
    <t>NÍVEL 7 - (PAV
COBERTURA)</t>
  </si>
  <si>
    <t>Banheiros comuns</t>
  </si>
  <si>
    <t>Banheiros privativos</t>
  </si>
  <si>
    <t>Cozinhas comuns</t>
  </si>
  <si>
    <t>Cozinhas privativas</t>
  </si>
  <si>
    <t>Varanda Gourmet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</si>
</sst>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b/>
      <sz val="8"/>
      <color rgb="FF121212"/>
      <name val="Poppins"/>
    </font>
    <font>
      <sz val="8"/>
      <name val="Calibri"/>
      <family val="2"/>
      <scheme val="minor"/>
    </font>
    <font>
      <b/>
      <sz val="8.8000000000000007"/>
      <color rgb="FFFF0000"/>
      <name val="Poppins"/>
    </font>
    <font>
      <sz val="8"/>
      <color rgb="FF1212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25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0" fontId="0" fillId="0" borderId="0" xfId="0"/>
    <xf numFmtId="43" fontId="38" fillId="2" borderId="24" xfId="1" applyFont="1" applyFill="1" applyBorder="1" applyAlignment="1">
      <alignment vertical="center" wrapText="1"/>
    </xf>
    <xf numFmtId="43" fontId="10" fillId="14" borderId="0" xfId="1" applyFont="1" applyFill="1" applyBorder="1" applyAlignment="1">
      <alignment horizontal="left" vertical="center" wrapText="1"/>
    </xf>
    <xf numFmtId="44" fontId="10" fillId="14" borderId="1" xfId="10" applyFont="1" applyFill="1" applyBorder="1" applyAlignment="1">
      <alignment horizontal="left" vertical="center" wrapText="1"/>
    </xf>
    <xf numFmtId="44" fontId="10" fillId="14" borderId="34" xfId="1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67" fontId="41" fillId="15" borderId="82" xfId="11" applyNumberFormat="1" applyFont="1" applyFill="1" applyBorder="1" applyAlignment="1">
      <alignment vertical="center" wrapText="1"/>
    </xf>
    <xf numFmtId="43" fontId="18" fillId="0" borderId="0" xfId="0" applyNumberFormat="1" applyFont="1" applyAlignment="1">
      <alignment vertical="center"/>
    </xf>
    <xf numFmtId="43" fontId="19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9" fontId="3" fillId="0" borderId="0" xfId="6" applyFont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4" fontId="18" fillId="0" borderId="1" xfId="10" applyFont="1" applyBorder="1" applyAlignment="1">
      <alignment vertical="center" wrapText="1"/>
    </xf>
    <xf numFmtId="43" fontId="10" fillId="0" borderId="33" xfId="0" applyNumberFormat="1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43" fontId="37" fillId="0" borderId="35" xfId="1" applyFont="1" applyBorder="1" applyAlignment="1">
      <alignment horizontal="center" vertical="center" wrapText="1"/>
    </xf>
    <xf numFmtId="43" fontId="37" fillId="0" borderId="81" xfId="1" applyFont="1" applyBorder="1" applyAlignment="1">
      <alignment horizontal="center" vertical="center" wrapText="1"/>
    </xf>
    <xf numFmtId="43" fontId="37" fillId="0" borderId="11" xfId="1" applyFont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center" vertical="center" wrapText="1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</cellXfs>
  <cellStyles count="12">
    <cellStyle name="Moeda" xfId="10" builtinId="4"/>
    <cellStyle name="Normal" xfId="0" builtinId="0"/>
    <cellStyle name="Normal 2" xfId="2" xr:uid="{00000000-0005-0000-0000-000001000000}"/>
    <cellStyle name="Normal 2 4" xfId="11" xr:uid="{424020BA-4D2A-4B3C-8D97-659EEE01608F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75183</xdr:colOff>
      <xdr:row>1</xdr:row>
      <xdr:rowOff>158255</xdr:rowOff>
    </xdr:from>
    <xdr:to>
      <xdr:col>6</xdr:col>
      <xdr:colOff>1499245</xdr:colOff>
      <xdr:row>2</xdr:row>
      <xdr:rowOff>161223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154" y="382373"/>
          <a:ext cx="1424062" cy="227085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5</xdr:row>
      <xdr:rowOff>123265</xdr:rowOff>
    </xdr:from>
    <xdr:to>
      <xdr:col>6</xdr:col>
      <xdr:colOff>1378323</xdr:colOff>
      <xdr:row>10</xdr:row>
      <xdr:rowOff>173503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505A88-F341-4B60-ADDE-2434ECB51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8073"/>
        <a:stretch/>
      </xdr:blipFill>
      <xdr:spPr>
        <a:xfrm>
          <a:off x="9334500" y="1333500"/>
          <a:ext cx="1893794" cy="1350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126176</xdr:colOff>
      <xdr:row>0</xdr:row>
      <xdr:rowOff>214005</xdr:rowOff>
    </xdr:from>
    <xdr:to>
      <xdr:col>9</xdr:col>
      <xdr:colOff>467591</xdr:colOff>
      <xdr:row>7</xdr:row>
      <xdr:rowOff>434571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35B1B3-0BF2-48D4-9284-840B86C57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3494" y="214005"/>
          <a:ext cx="1016824" cy="2350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36</xdr:row>
      <xdr:rowOff>59531</xdr:rowOff>
    </xdr:from>
    <xdr:to>
      <xdr:col>5</xdr:col>
      <xdr:colOff>286986</xdr:colOff>
      <xdr:row>59</xdr:row>
      <xdr:rowOff>88722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5C14A8-6DCD-4C2C-942C-BA3683C6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148602"/>
          <a:ext cx="8832272" cy="44106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137128</xdr:colOff>
      <xdr:row>27</xdr:row>
      <xdr:rowOff>212914</xdr:rowOff>
    </xdr:from>
    <xdr:to>
      <xdr:col>11</xdr:col>
      <xdr:colOff>330051</xdr:colOff>
      <xdr:row>33</xdr:row>
      <xdr:rowOff>246531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D9BC93-0686-4F82-943A-18C6A126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4628" y="8303561"/>
          <a:ext cx="3218511" cy="24092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6oaQUYgx8kiowDwLhg-oO1zGZ777DJUb\2.%20Projetos%20em%20Andamento\AS%20Ramos%20-%2001.2022\02.%20Paessaggio\02.%20Escopo\02.4%20Escopo%20-%20Extra&#231;&#227;o%20de%20quantitativos\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P28"/>
  <sheetViews>
    <sheetView view="pageBreakPreview" topLeftCell="A10" zoomScale="85" zoomScaleNormal="115" zoomScaleSheetLayoutView="85" workbookViewId="0">
      <selection activeCell="E25" sqref="E25"/>
    </sheetView>
  </sheetViews>
  <sheetFormatPr defaultRowHeight="21.75" x14ac:dyDescent="0.6"/>
  <cols>
    <col min="1" max="1" width="19.140625" style="39" customWidth="1"/>
    <col min="2" max="2" width="83.7109375" style="40" customWidth="1"/>
    <col min="3" max="4" width="11.28515625" style="40" customWidth="1"/>
    <col min="5" max="5" width="11.28515625" style="41" customWidth="1"/>
    <col min="6" max="6" width="11.140625" style="42" customWidth="1"/>
    <col min="7" max="7" width="24" style="39" customWidth="1"/>
    <col min="8" max="9" width="9.28515625" bestFit="1" customWidth="1"/>
  </cols>
  <sheetData>
    <row r="1" spans="1:16" ht="18" customHeight="1" x14ac:dyDescent="0.6">
      <c r="A1" s="3" t="s">
        <v>0</v>
      </c>
      <c r="B1" s="4" t="s">
        <v>305</v>
      </c>
      <c r="C1" s="5"/>
      <c r="D1" s="5"/>
      <c r="E1" s="6"/>
      <c r="F1" s="7"/>
      <c r="G1" s="8"/>
    </row>
    <row r="2" spans="1:16" ht="18" customHeight="1" x14ac:dyDescent="0.6">
      <c r="A2" s="9" t="s">
        <v>58</v>
      </c>
      <c r="B2" s="10" t="s">
        <v>306</v>
      </c>
      <c r="C2" s="11"/>
      <c r="D2" s="11"/>
      <c r="E2" s="12"/>
      <c r="F2" s="13"/>
      <c r="G2" s="14"/>
    </row>
    <row r="3" spans="1:16" ht="18" customHeight="1" x14ac:dyDescent="0.6">
      <c r="A3" s="9" t="s">
        <v>1</v>
      </c>
      <c r="B3" s="10" t="s">
        <v>122</v>
      </c>
      <c r="C3" s="11"/>
      <c r="D3" s="11"/>
      <c r="E3" s="12"/>
      <c r="F3" s="13"/>
      <c r="G3" s="14"/>
    </row>
    <row r="4" spans="1:16" ht="18" customHeight="1" x14ac:dyDescent="0.6">
      <c r="A4" s="9" t="s">
        <v>228</v>
      </c>
      <c r="B4" s="10" t="s">
        <v>304</v>
      </c>
      <c r="C4" s="11"/>
      <c r="D4" s="11"/>
      <c r="E4" s="12"/>
      <c r="F4" s="13"/>
      <c r="G4" s="14"/>
    </row>
    <row r="5" spans="1:16" ht="25.15" customHeight="1" x14ac:dyDescent="0.25">
      <c r="A5" s="218" t="s">
        <v>66</v>
      </c>
      <c r="B5" s="219"/>
      <c r="C5" s="219"/>
      <c r="D5" s="219"/>
      <c r="E5" s="219"/>
      <c r="F5" s="219"/>
      <c r="G5" s="220"/>
      <c r="I5" t="s">
        <v>232</v>
      </c>
    </row>
    <row r="6" spans="1:16" ht="14.45" customHeight="1" thickBot="1" x14ac:dyDescent="0.65">
      <c r="A6" s="15"/>
      <c r="B6" s="16"/>
      <c r="C6" s="16"/>
      <c r="D6" s="16"/>
      <c r="E6" s="17"/>
      <c r="F6" s="18"/>
      <c r="G6" s="19"/>
    </row>
    <row r="7" spans="1:16" x14ac:dyDescent="0.6">
      <c r="A7" s="21"/>
      <c r="B7" s="22" t="s">
        <v>14</v>
      </c>
      <c r="C7" s="23" t="s">
        <v>15</v>
      </c>
      <c r="D7" s="23" t="s">
        <v>67</v>
      </c>
      <c r="E7" s="24" t="s">
        <v>18</v>
      </c>
      <c r="F7" s="25"/>
      <c r="G7" s="20"/>
      <c r="I7" s="202"/>
      <c r="J7" t="s">
        <v>307</v>
      </c>
      <c r="K7" s="202" t="s">
        <v>309</v>
      </c>
      <c r="L7" s="202" t="s">
        <v>310</v>
      </c>
      <c r="M7" s="202" t="s">
        <v>311</v>
      </c>
      <c r="N7" s="202" t="s">
        <v>312</v>
      </c>
      <c r="O7" s="202" t="s">
        <v>313</v>
      </c>
      <c r="P7" s="202" t="s">
        <v>314</v>
      </c>
    </row>
    <row r="8" spans="1:16" x14ac:dyDescent="0.6">
      <c r="A8" s="21"/>
      <c r="B8" s="26" t="s">
        <v>68</v>
      </c>
      <c r="C8" s="27" t="s">
        <v>7</v>
      </c>
      <c r="D8" s="27" t="s">
        <v>61</v>
      </c>
      <c r="E8" s="203">
        <v>1502.83</v>
      </c>
      <c r="F8" s="25"/>
      <c r="G8" s="20"/>
      <c r="I8" s="202" t="s">
        <v>232</v>
      </c>
      <c r="J8">
        <v>2</v>
      </c>
      <c r="L8" s="202">
        <v>25</v>
      </c>
      <c r="M8">
        <v>25</v>
      </c>
      <c r="N8" s="202">
        <v>25</v>
      </c>
      <c r="O8" s="202">
        <v>25</v>
      </c>
      <c r="P8">
        <v>9</v>
      </c>
    </row>
    <row r="9" spans="1:16" x14ac:dyDescent="0.6">
      <c r="A9" s="21"/>
      <c r="B9" s="28" t="s">
        <v>69</v>
      </c>
      <c r="C9" s="29" t="s">
        <v>8</v>
      </c>
      <c r="D9" s="29" t="s">
        <v>61</v>
      </c>
      <c r="E9" s="30">
        <v>6494.63</v>
      </c>
      <c r="F9" s="25"/>
      <c r="G9" s="20"/>
      <c r="I9" t="s">
        <v>308</v>
      </c>
      <c r="J9">
        <v>2</v>
      </c>
      <c r="L9">
        <v>11</v>
      </c>
      <c r="M9">
        <v>11</v>
      </c>
      <c r="N9" s="202">
        <v>11</v>
      </c>
      <c r="O9" s="202">
        <v>11</v>
      </c>
      <c r="P9">
        <v>3</v>
      </c>
    </row>
    <row r="10" spans="1:16" x14ac:dyDescent="0.6">
      <c r="A10" s="21"/>
      <c r="B10" s="28" t="s">
        <v>229</v>
      </c>
      <c r="C10" s="29" t="s">
        <v>230</v>
      </c>
      <c r="D10" s="29" t="s">
        <v>64</v>
      </c>
      <c r="E10" s="30">
        <v>46</v>
      </c>
      <c r="F10" s="199"/>
      <c r="G10" s="20"/>
      <c r="I10" t="s">
        <v>231</v>
      </c>
      <c r="L10" s="202">
        <v>24</v>
      </c>
      <c r="M10" s="202">
        <v>24</v>
      </c>
      <c r="N10" s="202">
        <v>24</v>
      </c>
      <c r="O10">
        <v>24</v>
      </c>
      <c r="P10">
        <v>5</v>
      </c>
    </row>
    <row r="11" spans="1:16" x14ac:dyDescent="0.6">
      <c r="A11" s="21"/>
      <c r="B11" s="28" t="s">
        <v>231</v>
      </c>
      <c r="C11" s="29" t="s">
        <v>235</v>
      </c>
      <c r="D11" s="29" t="s">
        <v>64</v>
      </c>
      <c r="E11" s="30">
        <f>SUM($J$10:$Q$10)</f>
        <v>101</v>
      </c>
      <c r="F11" s="25"/>
      <c r="G11" s="20"/>
    </row>
    <row r="12" spans="1:16" x14ac:dyDescent="0.6">
      <c r="A12" s="21"/>
      <c r="B12" s="28" t="s">
        <v>232</v>
      </c>
      <c r="C12" s="29" t="s">
        <v>236</v>
      </c>
      <c r="D12" s="29" t="s">
        <v>64</v>
      </c>
      <c r="E12" s="30">
        <f>SUM($J$8:$Q$8)</f>
        <v>111</v>
      </c>
      <c r="F12" s="25"/>
      <c r="G12" s="20"/>
    </row>
    <row r="13" spans="1:16" x14ac:dyDescent="0.6">
      <c r="A13" s="21"/>
      <c r="B13" s="28" t="s">
        <v>233</v>
      </c>
      <c r="C13" s="29" t="s">
        <v>234</v>
      </c>
      <c r="D13" s="29" t="s">
        <v>64</v>
      </c>
      <c r="E13" s="30">
        <v>1</v>
      </c>
      <c r="F13" s="25"/>
      <c r="G13" s="20"/>
    </row>
    <row r="14" spans="1:16" x14ac:dyDescent="0.6">
      <c r="A14" s="21"/>
      <c r="B14" s="28" t="s">
        <v>210</v>
      </c>
      <c r="C14" s="29" t="s">
        <v>252</v>
      </c>
      <c r="D14" s="29" t="s">
        <v>64</v>
      </c>
      <c r="E14" s="30">
        <f>11*4</f>
        <v>44</v>
      </c>
      <c r="F14" s="25"/>
      <c r="G14" s="20"/>
    </row>
    <row r="15" spans="1:16" x14ac:dyDescent="0.6">
      <c r="A15" s="21"/>
      <c r="B15" s="28" t="s">
        <v>70</v>
      </c>
      <c r="C15" s="29" t="s">
        <v>9</v>
      </c>
      <c r="D15" s="29" t="s">
        <v>64</v>
      </c>
      <c r="E15" s="30">
        <v>8</v>
      </c>
      <c r="F15" s="25"/>
      <c r="G15" s="20"/>
    </row>
    <row r="16" spans="1:16" x14ac:dyDescent="0.6">
      <c r="A16" s="21"/>
      <c r="B16" s="28" t="s">
        <v>71</v>
      </c>
      <c r="C16" s="29" t="s">
        <v>10</v>
      </c>
      <c r="D16" s="29" t="s">
        <v>64</v>
      </c>
      <c r="E16" s="30">
        <v>4</v>
      </c>
      <c r="F16" s="25"/>
      <c r="G16" s="20"/>
    </row>
    <row r="17" spans="1:7" x14ac:dyDescent="0.6">
      <c r="A17" s="21"/>
      <c r="B17" s="28" t="s">
        <v>72</v>
      </c>
      <c r="C17" s="29" t="s">
        <v>39</v>
      </c>
      <c r="D17" s="29" t="s">
        <v>64</v>
      </c>
      <c r="E17" s="30">
        <v>1</v>
      </c>
      <c r="F17" s="25"/>
      <c r="G17" s="20"/>
    </row>
    <row r="18" spans="1:7" x14ac:dyDescent="0.6">
      <c r="A18" s="21"/>
      <c r="B18" s="28" t="s">
        <v>73</v>
      </c>
      <c r="C18" s="29" t="s">
        <v>40</v>
      </c>
      <c r="D18" s="29" t="s">
        <v>64</v>
      </c>
      <c r="E18" s="30"/>
      <c r="F18" s="25"/>
      <c r="G18" s="20"/>
    </row>
    <row r="19" spans="1:7" x14ac:dyDescent="0.6">
      <c r="A19" s="21"/>
      <c r="B19" s="28" t="s">
        <v>74</v>
      </c>
      <c r="C19" s="29" t="s">
        <v>11</v>
      </c>
      <c r="D19" s="29" t="s">
        <v>61</v>
      </c>
      <c r="E19" s="30">
        <v>888.9615</v>
      </c>
      <c r="F19" s="25"/>
      <c r="G19" s="20"/>
    </row>
    <row r="20" spans="1:7" x14ac:dyDescent="0.6">
      <c r="A20" s="21"/>
      <c r="B20" s="28" t="s">
        <v>75</v>
      </c>
      <c r="C20" s="29" t="s">
        <v>12</v>
      </c>
      <c r="D20" s="29" t="s">
        <v>60</v>
      </c>
      <c r="E20" s="30">
        <v>177.07</v>
      </c>
      <c r="F20" s="25"/>
      <c r="G20" s="20"/>
    </row>
    <row r="21" spans="1:7" x14ac:dyDescent="0.6">
      <c r="A21" s="21"/>
      <c r="B21" s="28" t="s">
        <v>76</v>
      </c>
      <c r="C21" s="29" t="s">
        <v>35</v>
      </c>
      <c r="D21" s="29" t="s">
        <v>61</v>
      </c>
      <c r="E21" s="30">
        <v>347.69479999999999</v>
      </c>
      <c r="F21" s="25"/>
      <c r="G21" s="20"/>
    </row>
    <row r="22" spans="1:7" x14ac:dyDescent="0.6">
      <c r="A22" s="21"/>
      <c r="B22" s="28" t="s">
        <v>77</v>
      </c>
      <c r="C22" s="29" t="s">
        <v>34</v>
      </c>
      <c r="D22" s="29" t="s">
        <v>61</v>
      </c>
      <c r="E22" s="30">
        <v>1143.0899999999999</v>
      </c>
      <c r="F22" s="25"/>
      <c r="G22" s="20"/>
    </row>
    <row r="23" spans="1:7" x14ac:dyDescent="0.6">
      <c r="A23" s="21"/>
      <c r="B23" s="28" t="s">
        <v>78</v>
      </c>
      <c r="C23" s="29" t="s">
        <v>79</v>
      </c>
      <c r="D23" s="29" t="s">
        <v>61</v>
      </c>
      <c r="E23" s="30"/>
      <c r="F23" s="25"/>
      <c r="G23" s="20"/>
    </row>
    <row r="24" spans="1:7" x14ac:dyDescent="0.6">
      <c r="A24" s="21"/>
      <c r="B24" s="28" t="s">
        <v>80</v>
      </c>
      <c r="C24" s="29" t="s">
        <v>13</v>
      </c>
      <c r="D24" s="29" t="s">
        <v>64</v>
      </c>
      <c r="E24" s="30"/>
      <c r="F24" s="25"/>
      <c r="G24" s="20"/>
    </row>
    <row r="25" spans="1:7" x14ac:dyDescent="0.6">
      <c r="A25" s="21"/>
      <c r="B25" s="28" t="s">
        <v>81</v>
      </c>
      <c r="C25" s="29" t="s">
        <v>38</v>
      </c>
      <c r="D25" s="29" t="s">
        <v>61</v>
      </c>
      <c r="E25" s="30">
        <v>1193.28</v>
      </c>
      <c r="F25" s="25"/>
      <c r="G25" s="20"/>
    </row>
    <row r="26" spans="1:7" x14ac:dyDescent="0.6">
      <c r="A26" s="21"/>
      <c r="B26" s="28" t="s">
        <v>82</v>
      </c>
      <c r="C26" s="29" t="s">
        <v>94</v>
      </c>
      <c r="D26" s="29" t="s">
        <v>60</v>
      </c>
      <c r="E26" s="30">
        <v>185.03</v>
      </c>
      <c r="F26" s="25"/>
      <c r="G26" s="20"/>
    </row>
    <row r="27" spans="1:7" ht="22.5" thickBot="1" x14ac:dyDescent="0.65">
      <c r="A27" s="21"/>
      <c r="B27" s="31" t="s">
        <v>83</v>
      </c>
      <c r="C27" s="32" t="s">
        <v>95</v>
      </c>
      <c r="D27" s="32" t="s">
        <v>64</v>
      </c>
      <c r="E27" s="33">
        <v>2</v>
      </c>
      <c r="F27" s="25"/>
      <c r="G27" s="20"/>
    </row>
    <row r="28" spans="1:7" ht="22.5" thickBot="1" x14ac:dyDescent="0.65">
      <c r="A28" s="34"/>
      <c r="B28" s="35"/>
      <c r="C28" s="35"/>
      <c r="D28" s="35"/>
      <c r="E28" s="36"/>
      <c r="F28" s="37"/>
      <c r="G28" s="38"/>
    </row>
  </sheetData>
  <mergeCells count="1">
    <mergeCell ref="A5:G5"/>
  </mergeCells>
  <phoneticPr fontId="39" type="noConversion"/>
  <pageMargins left="0.51181102362204722" right="0.51181102362204722" top="0.78740157480314965" bottom="0.78740157480314965" header="0.31496062992125984" footer="0.31496062992125984"/>
  <pageSetup paperSize="9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00B050"/>
  </sheetPr>
  <dimension ref="A1:K33"/>
  <sheetViews>
    <sheetView showGridLines="0" topLeftCell="A19" zoomScale="70" zoomScaleNormal="70" zoomScaleSheetLayoutView="95" workbookViewId="0">
      <selection activeCell="L8" sqref="L8"/>
    </sheetView>
  </sheetViews>
  <sheetFormatPr defaultColWidth="9.140625" defaultRowHeight="19.5" x14ac:dyDescent="0.25"/>
  <cols>
    <col min="1" max="1" width="53" style="43" bestFit="1" customWidth="1"/>
    <col min="2" max="3" width="27" style="43" customWidth="1"/>
    <col min="4" max="4" width="27" style="44" customWidth="1"/>
    <col min="5" max="6" width="27" style="104" customWidth="1"/>
    <col min="7" max="7" width="31.7109375" style="104" customWidth="1"/>
    <col min="8" max="8" width="9.140625" style="1"/>
    <col min="9" max="9" width="10" style="1" bestFit="1" customWidth="1"/>
    <col min="10" max="10" width="8.7109375" style="1" bestFit="1" customWidth="1"/>
    <col min="11" max="16384" width="9.140625" style="1"/>
  </cols>
  <sheetData>
    <row r="1" spans="1:10" x14ac:dyDescent="0.25">
      <c r="A1" s="46"/>
      <c r="B1" s="46"/>
      <c r="C1" s="46"/>
      <c r="D1" s="49"/>
      <c r="E1" s="101"/>
      <c r="F1" s="101"/>
      <c r="G1" s="101"/>
      <c r="I1" s="2"/>
    </row>
    <row r="2" spans="1:10" ht="28.5" x14ac:dyDescent="0.25">
      <c r="A2" s="227" t="s">
        <v>62</v>
      </c>
      <c r="B2" s="228"/>
      <c r="C2" s="228"/>
      <c r="D2" s="228"/>
      <c r="E2" s="228"/>
      <c r="F2" s="228"/>
      <c r="G2" s="229"/>
      <c r="I2" s="2"/>
    </row>
    <row r="3" spans="1:10" ht="28.5" customHeight="1" x14ac:dyDescent="0.25">
      <c r="A3" s="186" t="s">
        <v>123</v>
      </c>
      <c r="B3" s="191">
        <v>45668</v>
      </c>
      <c r="C3" s="189"/>
      <c r="D3" s="189"/>
      <c r="E3" s="189"/>
      <c r="F3" s="189"/>
      <c r="G3" s="190"/>
      <c r="I3" s="2"/>
    </row>
    <row r="4" spans="1:10" ht="28.5" customHeight="1" x14ac:dyDescent="0.25">
      <c r="A4" s="186" t="s">
        <v>237</v>
      </c>
      <c r="B4" s="192" t="s">
        <v>153</v>
      </c>
      <c r="C4" s="187"/>
      <c r="D4" s="187"/>
      <c r="E4" s="187"/>
      <c r="F4" s="187"/>
      <c r="G4" s="188"/>
      <c r="I4" s="2"/>
    </row>
    <row r="5" spans="1:10" x14ac:dyDescent="0.25">
      <c r="A5" s="48"/>
      <c r="B5" s="48"/>
      <c r="C5" s="48"/>
      <c r="D5" s="47"/>
      <c r="E5" s="102"/>
      <c r="F5" s="101"/>
      <c r="G5" s="101"/>
      <c r="I5" s="2"/>
    </row>
    <row r="6" spans="1:10" s="53" customFormat="1" ht="21.75" x14ac:dyDescent="0.25">
      <c r="A6" s="50" t="s">
        <v>90</v>
      </c>
      <c r="B6" s="51"/>
      <c r="C6" s="51"/>
      <c r="D6" s="52"/>
      <c r="E6" s="95"/>
      <c r="F6" s="95"/>
      <c r="G6" s="95"/>
    </row>
    <row r="7" spans="1:10" s="53" customFormat="1" ht="21.75" x14ac:dyDescent="0.25">
      <c r="A7" s="54"/>
      <c r="B7" s="55"/>
      <c r="C7" s="55"/>
      <c r="D7" s="56"/>
      <c r="E7" s="96"/>
      <c r="F7" s="97"/>
      <c r="G7" s="97"/>
    </row>
    <row r="8" spans="1:10" s="53" customFormat="1" ht="42" customHeight="1" x14ac:dyDescent="0.25">
      <c r="A8" s="61" t="s">
        <v>14</v>
      </c>
      <c r="B8" s="62" t="s">
        <v>89</v>
      </c>
      <c r="C8" s="62" t="s">
        <v>88</v>
      </c>
      <c r="D8" s="63" t="s">
        <v>87</v>
      </c>
      <c r="E8" s="98" t="s">
        <v>86</v>
      </c>
      <c r="F8" s="87" t="s">
        <v>16</v>
      </c>
      <c r="G8" s="87" t="s">
        <v>239</v>
      </c>
    </row>
    <row r="9" spans="1:10" s="53" customFormat="1" ht="65.25" x14ac:dyDescent="0.25">
      <c r="A9" s="64" t="s">
        <v>85</v>
      </c>
      <c r="B9" s="65">
        <f>DADOS_INICIAIS!E23</f>
        <v>0</v>
      </c>
      <c r="C9" s="65"/>
      <c r="D9" s="66">
        <f>J10</f>
        <v>3527</v>
      </c>
      <c r="E9" s="85">
        <v>0</v>
      </c>
      <c r="F9" s="86">
        <f>E9*D9*1.1</f>
        <v>0</v>
      </c>
      <c r="G9" s="65" t="s">
        <v>316</v>
      </c>
      <c r="I9" s="221" t="s">
        <v>316</v>
      </c>
      <c r="J9" s="222"/>
    </row>
    <row r="10" spans="1:10" s="53" customFormat="1" ht="21.75" x14ac:dyDescent="0.25">
      <c r="A10" s="226" t="s">
        <v>17</v>
      </c>
      <c r="B10" s="226"/>
      <c r="C10" s="226"/>
      <c r="D10" s="226"/>
      <c r="E10" s="226"/>
      <c r="F10" s="87">
        <f>SUM(F9:F9)</f>
        <v>0</v>
      </c>
      <c r="G10" s="87"/>
      <c r="I10" s="207" t="s">
        <v>317</v>
      </c>
      <c r="J10" s="207">
        <v>3527</v>
      </c>
    </row>
    <row r="11" spans="1:10" s="53" customFormat="1" ht="21.75" x14ac:dyDescent="0.25">
      <c r="A11" s="230"/>
      <c r="B11" s="230"/>
      <c r="C11" s="230"/>
      <c r="D11" s="230"/>
      <c r="E11" s="230"/>
      <c r="F11" s="97"/>
      <c r="G11" s="97"/>
      <c r="I11" s="207" t="s">
        <v>318</v>
      </c>
      <c r="J11" s="207">
        <v>163</v>
      </c>
    </row>
    <row r="12" spans="1:10" s="53" customFormat="1" ht="21.75" x14ac:dyDescent="0.25">
      <c r="A12" s="50" t="s">
        <v>93</v>
      </c>
      <c r="B12" s="51"/>
      <c r="C12" s="51"/>
      <c r="D12" s="52"/>
      <c r="E12" s="95"/>
      <c r="F12" s="95"/>
      <c r="G12" s="95"/>
      <c r="I12" s="207" t="s">
        <v>319</v>
      </c>
      <c r="J12" s="207">
        <f>(J10-J11)*1.3</f>
        <v>4373.2</v>
      </c>
    </row>
    <row r="13" spans="1:10" s="53" customFormat="1" ht="21.75" x14ac:dyDescent="0.25">
      <c r="A13" s="54"/>
      <c r="B13" s="55"/>
      <c r="C13" s="55"/>
      <c r="D13" s="56"/>
      <c r="E13" s="96"/>
      <c r="F13" s="97"/>
      <c r="G13" s="97"/>
    </row>
    <row r="14" spans="1:10" s="53" customFormat="1" ht="42" customHeight="1" x14ac:dyDescent="0.25">
      <c r="A14" s="61" t="s">
        <v>14</v>
      </c>
      <c r="B14" s="62" t="s">
        <v>92</v>
      </c>
      <c r="C14" s="62"/>
      <c r="D14" s="63"/>
      <c r="E14" s="98" t="s">
        <v>91</v>
      </c>
      <c r="F14" s="87" t="s">
        <v>16</v>
      </c>
      <c r="G14" s="87" t="s">
        <v>239</v>
      </c>
    </row>
    <row r="15" spans="1:10" s="53" customFormat="1" ht="43.5" x14ac:dyDescent="0.25">
      <c r="A15" s="64" t="s">
        <v>65</v>
      </c>
      <c r="B15" s="65">
        <v>180</v>
      </c>
      <c r="C15" s="71"/>
      <c r="D15" s="72"/>
      <c r="E15" s="85">
        <v>200</v>
      </c>
      <c r="F15" s="86">
        <f>B15*E15*1.1</f>
        <v>39600</v>
      </c>
      <c r="G15" s="65" t="s">
        <v>315</v>
      </c>
    </row>
    <row r="16" spans="1:10" s="53" customFormat="1" ht="21.75" x14ac:dyDescent="0.25">
      <c r="A16" s="226" t="s">
        <v>17</v>
      </c>
      <c r="B16" s="226"/>
      <c r="C16" s="226"/>
      <c r="D16" s="226"/>
      <c r="E16" s="226"/>
      <c r="F16" s="87">
        <f>SUM(F15:F15)</f>
        <v>39600</v>
      </c>
      <c r="G16" s="87"/>
    </row>
    <row r="17" spans="1:11" s="53" customFormat="1" ht="21.75" x14ac:dyDescent="0.25">
      <c r="A17" s="230"/>
      <c r="B17" s="230"/>
      <c r="C17" s="230"/>
      <c r="D17" s="230"/>
      <c r="E17" s="230"/>
      <c r="F17" s="97"/>
      <c r="G17" s="97"/>
    </row>
    <row r="18" spans="1:11" s="53" customFormat="1" ht="21.75" x14ac:dyDescent="0.25">
      <c r="A18" s="50" t="s">
        <v>19</v>
      </c>
      <c r="B18" s="51"/>
      <c r="C18" s="51"/>
      <c r="D18" s="52"/>
      <c r="E18" s="95"/>
      <c r="F18" s="95"/>
      <c r="G18" s="95"/>
    </row>
    <row r="19" spans="1:11" s="53" customFormat="1" ht="21.75" x14ac:dyDescent="0.25">
      <c r="A19" s="54"/>
      <c r="B19" s="55"/>
      <c r="C19" s="55"/>
      <c r="D19" s="56"/>
      <c r="E19" s="96"/>
      <c r="F19" s="97"/>
      <c r="G19" s="97"/>
    </row>
    <row r="20" spans="1:11" s="53" customFormat="1" ht="42" customHeight="1" x14ac:dyDescent="0.25">
      <c r="A20" s="61" t="s">
        <v>14</v>
      </c>
      <c r="B20" s="231" t="s">
        <v>5</v>
      </c>
      <c r="C20" s="232"/>
      <c r="D20" s="63" t="s">
        <v>87</v>
      </c>
      <c r="E20" s="98" t="s">
        <v>100</v>
      </c>
      <c r="F20" s="87" t="s">
        <v>16</v>
      </c>
      <c r="G20" s="87" t="s">
        <v>239</v>
      </c>
    </row>
    <row r="21" spans="1:11" s="53" customFormat="1" ht="43.5" x14ac:dyDescent="0.25">
      <c r="A21" s="68" t="s">
        <v>20</v>
      </c>
      <c r="B21" s="60">
        <v>1.3</v>
      </c>
      <c r="C21" s="60" t="s">
        <v>255</v>
      </c>
      <c r="D21" s="70">
        <f>B21*INFRAESTRUTURA!D29</f>
        <v>1008.3216000000001</v>
      </c>
      <c r="E21" s="85">
        <v>60</v>
      </c>
      <c r="F21" s="103">
        <f>E21*D21*1.1</f>
        <v>66549.22560000002</v>
      </c>
      <c r="G21" s="65"/>
    </row>
    <row r="22" spans="1:11" s="53" customFormat="1" ht="26.25" customHeight="1" x14ac:dyDescent="0.25">
      <c r="A22" s="68" t="s">
        <v>21</v>
      </c>
      <c r="B22" s="60">
        <v>0.6</v>
      </c>
      <c r="C22" s="60" t="s">
        <v>97</v>
      </c>
      <c r="D22" s="70">
        <f>D21-INFRAESTRUTURA!D29</f>
        <v>232.68960000000004</v>
      </c>
      <c r="E22" s="85">
        <v>20</v>
      </c>
      <c r="F22" s="103">
        <f>E22*D22*1.1</f>
        <v>5119.1712000000016</v>
      </c>
      <c r="G22" s="65"/>
    </row>
    <row r="23" spans="1:11" s="53" customFormat="1" ht="21.75" x14ac:dyDescent="0.25">
      <c r="A23" s="68" t="s">
        <v>96</v>
      </c>
      <c r="B23" s="60">
        <v>1.3</v>
      </c>
      <c r="C23" s="60"/>
      <c r="D23" s="70">
        <f>(D21-D22)*B23</f>
        <v>1008.3216000000001</v>
      </c>
      <c r="E23" s="85">
        <v>40</v>
      </c>
      <c r="F23" s="103">
        <f>E23*D23*1.1</f>
        <v>44366.150400000006</v>
      </c>
      <c r="G23" s="65"/>
    </row>
    <row r="24" spans="1:11" s="53" customFormat="1" ht="21.75" x14ac:dyDescent="0.25">
      <c r="A24" s="67" t="s">
        <v>84</v>
      </c>
      <c r="B24" s="59">
        <v>1</v>
      </c>
      <c r="C24" s="59" t="s">
        <v>22</v>
      </c>
      <c r="D24" s="204">
        <f>INFRAESTRUTURA!D19</f>
        <v>1163.771582595803</v>
      </c>
      <c r="E24" s="205">
        <v>40</v>
      </c>
      <c r="F24" s="206">
        <f>E24*D24*1.1*0</f>
        <v>0</v>
      </c>
      <c r="G24" s="65" t="s">
        <v>320</v>
      </c>
    </row>
    <row r="25" spans="1:11" s="53" customFormat="1" ht="21.75" x14ac:dyDescent="0.25">
      <c r="A25" s="226" t="s">
        <v>17</v>
      </c>
      <c r="B25" s="226"/>
      <c r="C25" s="226"/>
      <c r="D25" s="226"/>
      <c r="E25" s="226"/>
      <c r="F25" s="87">
        <f>SUM(F21:F24)</f>
        <v>116034.54720000003</v>
      </c>
      <c r="G25" s="87"/>
    </row>
    <row r="26" spans="1:11" x14ac:dyDescent="0.25">
      <c r="K26" s="45"/>
    </row>
    <row r="27" spans="1:11" ht="21.75" x14ac:dyDescent="0.25">
      <c r="A27" s="50" t="s">
        <v>42</v>
      </c>
      <c r="B27" s="51"/>
      <c r="C27" s="51"/>
      <c r="D27" s="52"/>
      <c r="E27" s="95"/>
      <c r="F27" s="95"/>
      <c r="G27" s="95"/>
    </row>
    <row r="28" spans="1:11" ht="21.75" x14ac:dyDescent="0.25">
      <c r="A28" s="54"/>
      <c r="B28" s="55"/>
      <c r="C28" s="55"/>
      <c r="D28" s="56"/>
      <c r="E28" s="96"/>
      <c r="F28" s="97"/>
      <c r="G28" s="97"/>
    </row>
    <row r="29" spans="1:11" ht="43.5" x14ac:dyDescent="0.25">
      <c r="A29" s="61" t="s">
        <v>14</v>
      </c>
      <c r="B29" s="231" t="s">
        <v>5</v>
      </c>
      <c r="C29" s="232"/>
      <c r="D29" s="63" t="s">
        <v>98</v>
      </c>
      <c r="E29" s="98" t="s">
        <v>99</v>
      </c>
      <c r="F29" s="87" t="s">
        <v>16</v>
      </c>
      <c r="G29" s="87" t="s">
        <v>239</v>
      </c>
    </row>
    <row r="30" spans="1:11" ht="43.5" x14ac:dyDescent="0.25">
      <c r="A30" s="68" t="s">
        <v>238</v>
      </c>
      <c r="B30" s="60">
        <v>0.8</v>
      </c>
      <c r="C30" s="60" t="s">
        <v>55</v>
      </c>
      <c r="D30" s="70">
        <f>B30*DADOS_INICIAIS!E25</f>
        <v>954.62400000000002</v>
      </c>
      <c r="E30" s="85">
        <f>370*0.05</f>
        <v>18.5</v>
      </c>
      <c r="F30" s="103">
        <f>E30*D30*1.1</f>
        <v>19426.598400000003</v>
      </c>
      <c r="G30" s="65" t="s">
        <v>240</v>
      </c>
      <c r="H30" s="1">
        <f>F30/DADOS_INICIAIS!E25</f>
        <v>16.28</v>
      </c>
      <c r="I30" s="97"/>
    </row>
    <row r="31" spans="1:11" ht="21.75" x14ac:dyDescent="0.25">
      <c r="A31" s="226" t="s">
        <v>17</v>
      </c>
      <c r="B31" s="226"/>
      <c r="C31" s="226"/>
      <c r="D31" s="226"/>
      <c r="E31" s="226"/>
      <c r="F31" s="87">
        <f>SUM(F30:F30)</f>
        <v>19426.598400000003</v>
      </c>
      <c r="G31" s="87"/>
    </row>
    <row r="33" spans="1:7" ht="23.25" customHeight="1" x14ac:dyDescent="0.25">
      <c r="A33" s="223" t="s">
        <v>45</v>
      </c>
      <c r="B33" s="224"/>
      <c r="C33" s="224"/>
      <c r="D33" s="224"/>
      <c r="E33" s="225"/>
      <c r="F33" s="105">
        <f>F10+F16+F25+F31</f>
        <v>175061.14560000005</v>
      </c>
      <c r="G33" s="105">
        <f>F33/DADOS_INICIAIS!E9</f>
        <v>26.954752711085934</v>
      </c>
    </row>
  </sheetData>
  <mergeCells count="11">
    <mergeCell ref="I9:J9"/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J38"/>
  <sheetViews>
    <sheetView showGridLines="0" topLeftCell="A37" zoomScale="70" zoomScaleNormal="70" zoomScaleSheetLayoutView="95" workbookViewId="0">
      <selection activeCell="D28" sqref="D28"/>
    </sheetView>
  </sheetViews>
  <sheetFormatPr defaultColWidth="9.140625" defaultRowHeight="15" x14ac:dyDescent="0.25"/>
  <cols>
    <col min="1" max="1" width="50.140625" style="53" customWidth="1"/>
    <col min="2" max="3" width="21.7109375" style="53" customWidth="1"/>
    <col min="4" max="4" width="16.5703125" style="78" customWidth="1"/>
    <col min="5" max="5" width="19.5703125" style="79" customWidth="1"/>
    <col min="6" max="6" width="20.85546875" style="91" customWidth="1"/>
    <col min="7" max="7" width="22.85546875" style="91" bestFit="1" customWidth="1"/>
    <col min="8" max="8" width="69.42578125" style="91" customWidth="1"/>
    <col min="9" max="9" width="11.28515625" style="53" customWidth="1"/>
    <col min="10" max="10" width="9.140625" style="53"/>
    <col min="11" max="11" width="11" style="53" bestFit="1" customWidth="1"/>
    <col min="12" max="13" width="9.140625" style="53"/>
    <col min="14" max="15" width="11" style="53" bestFit="1" customWidth="1"/>
    <col min="16" max="16384" width="9.140625" style="53"/>
  </cols>
  <sheetData>
    <row r="1" spans="1:10" x14ac:dyDescent="0.25">
      <c r="D1" s="76"/>
      <c r="E1" s="53"/>
      <c r="H1" s="92"/>
      <c r="I1" s="77"/>
      <c r="J1" s="76"/>
    </row>
    <row r="3" spans="1:10" ht="28.5" x14ac:dyDescent="0.25">
      <c r="A3" s="227" t="s">
        <v>63</v>
      </c>
      <c r="B3" s="236"/>
      <c r="C3" s="236"/>
      <c r="D3" s="228"/>
      <c r="E3" s="228"/>
      <c r="F3" s="228"/>
      <c r="G3" s="228"/>
      <c r="H3" s="229"/>
      <c r="J3" s="76"/>
    </row>
    <row r="4" spans="1:10" ht="19.5" x14ac:dyDescent="0.25">
      <c r="A4" s="186" t="s">
        <v>123</v>
      </c>
      <c r="B4" s="191">
        <v>45668</v>
      </c>
      <c r="C4" s="189"/>
      <c r="D4" s="189"/>
      <c r="E4" s="189"/>
      <c r="F4" s="189"/>
      <c r="G4" s="189"/>
      <c r="H4" s="190"/>
      <c r="J4" s="76"/>
    </row>
    <row r="5" spans="1:10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0" ht="21.75" x14ac:dyDescent="0.25">
      <c r="A6" s="80"/>
      <c r="B6" s="80"/>
      <c r="C6" s="80"/>
      <c r="D6" s="80"/>
      <c r="E6" s="80"/>
      <c r="F6" s="93"/>
      <c r="G6" s="94"/>
      <c r="H6" s="94"/>
      <c r="J6" s="76"/>
    </row>
    <row r="7" spans="1:10" ht="21.75" hidden="1" x14ac:dyDescent="0.25">
      <c r="A7" s="50" t="s">
        <v>48</v>
      </c>
      <c r="B7" s="50"/>
      <c r="C7" s="50"/>
      <c r="D7" s="51"/>
      <c r="E7" s="51"/>
      <c r="F7" s="95"/>
      <c r="G7" s="95"/>
      <c r="H7" s="95"/>
    </row>
    <row r="8" spans="1:10" ht="21.75" hidden="1" x14ac:dyDescent="0.25">
      <c r="A8" s="54"/>
      <c r="B8" s="54"/>
      <c r="C8" s="54"/>
      <c r="D8" s="55"/>
      <c r="E8" s="55"/>
      <c r="F8" s="96"/>
      <c r="G8" s="97"/>
      <c r="H8" s="97"/>
    </row>
    <row r="9" spans="1:10" ht="21.75" hidden="1" x14ac:dyDescent="0.25">
      <c r="A9" s="61" t="s">
        <v>14</v>
      </c>
      <c r="B9" s="231" t="s">
        <v>5</v>
      </c>
      <c r="C9" s="232"/>
      <c r="D9" s="231" t="s">
        <v>18</v>
      </c>
      <c r="E9" s="232"/>
      <c r="F9" s="98" t="s">
        <v>59</v>
      </c>
      <c r="G9" s="87" t="s">
        <v>16</v>
      </c>
      <c r="H9" s="87" t="s">
        <v>239</v>
      </c>
    </row>
    <row r="10" spans="1:10" ht="21.75" hidden="1" x14ac:dyDescent="0.25">
      <c r="A10" s="64" t="s">
        <v>49</v>
      </c>
      <c r="B10" s="60">
        <v>0.15</v>
      </c>
      <c r="C10" s="60" t="s">
        <v>50</v>
      </c>
      <c r="D10" s="65">
        <f>ROUNDUP(B10*DADOS_INICIAIS!$E$25,0)</f>
        <v>179</v>
      </c>
      <c r="E10" s="65" t="s">
        <v>3</v>
      </c>
      <c r="F10" s="89"/>
      <c r="G10" s="90"/>
      <c r="H10" s="239" t="s">
        <v>322</v>
      </c>
    </row>
    <row r="11" spans="1:10" ht="21.75" hidden="1" x14ac:dyDescent="0.25">
      <c r="A11" s="237" t="s">
        <v>102</v>
      </c>
      <c r="B11" s="73">
        <v>0</v>
      </c>
      <c r="C11" s="60"/>
      <c r="D11" s="65">
        <f>ROUNDUP(B11*$D$10,0)</f>
        <v>0</v>
      </c>
      <c r="E11" s="65" t="s">
        <v>3</v>
      </c>
      <c r="F11" s="89"/>
      <c r="G11" s="90"/>
      <c r="H11" s="240"/>
    </row>
    <row r="12" spans="1:10" ht="21.75" hidden="1" x14ac:dyDescent="0.25">
      <c r="A12" s="238"/>
      <c r="B12" s="74">
        <v>28</v>
      </c>
      <c r="C12" s="60" t="s">
        <v>103</v>
      </c>
      <c r="D12" s="65">
        <f>B12*D11</f>
        <v>0</v>
      </c>
      <c r="E12" s="65" t="s">
        <v>4</v>
      </c>
      <c r="F12" s="85">
        <v>70</v>
      </c>
      <c r="G12" s="86">
        <f>F12*D12*1.1*0</f>
        <v>0</v>
      </c>
      <c r="H12" s="240"/>
    </row>
    <row r="13" spans="1:10" ht="21.75" hidden="1" x14ac:dyDescent="0.25">
      <c r="A13" s="237" t="s">
        <v>101</v>
      </c>
      <c r="B13" s="73">
        <v>0.6</v>
      </c>
      <c r="C13" s="60"/>
      <c r="D13" s="65">
        <f>ROUNDUP(B13*D10,0)</f>
        <v>108</v>
      </c>
      <c r="E13" s="65" t="s">
        <v>3</v>
      </c>
      <c r="F13" s="89"/>
      <c r="G13" s="90">
        <f t="shared" ref="G13:G22" si="0">F13*D13*1.1*0</f>
        <v>0</v>
      </c>
      <c r="H13" s="240"/>
    </row>
    <row r="14" spans="1:10" ht="21.75" hidden="1" x14ac:dyDescent="0.25">
      <c r="A14" s="238"/>
      <c r="B14" s="74">
        <v>28</v>
      </c>
      <c r="C14" s="60" t="s">
        <v>103</v>
      </c>
      <c r="D14" s="65">
        <f>B14*D13</f>
        <v>3024</v>
      </c>
      <c r="E14" s="65" t="s">
        <v>4</v>
      </c>
      <c r="F14" s="85">
        <v>90</v>
      </c>
      <c r="G14" s="86">
        <f t="shared" si="0"/>
        <v>0</v>
      </c>
      <c r="H14" s="240"/>
    </row>
    <row r="15" spans="1:10" ht="21.75" hidden="1" x14ac:dyDescent="0.25">
      <c r="A15" s="237" t="s">
        <v>56</v>
      </c>
      <c r="B15" s="73">
        <v>0.4</v>
      </c>
      <c r="C15" s="60" t="s">
        <v>50</v>
      </c>
      <c r="D15" s="65">
        <f>ROUNDUP(B15*$D$10,0)</f>
        <v>72</v>
      </c>
      <c r="E15" s="65" t="s">
        <v>3</v>
      </c>
      <c r="F15" s="89"/>
      <c r="G15" s="90">
        <f t="shared" si="0"/>
        <v>0</v>
      </c>
      <c r="H15" s="240"/>
    </row>
    <row r="16" spans="1:10" ht="21.75" hidden="1" x14ac:dyDescent="0.25">
      <c r="A16" s="238"/>
      <c r="B16" s="74">
        <v>28</v>
      </c>
      <c r="C16" s="60" t="s">
        <v>103</v>
      </c>
      <c r="D16" s="65">
        <f>B16*D15</f>
        <v>2016</v>
      </c>
      <c r="E16" s="65" t="s">
        <v>4</v>
      </c>
      <c r="F16" s="85">
        <v>105</v>
      </c>
      <c r="G16" s="86">
        <f t="shared" si="0"/>
        <v>0</v>
      </c>
      <c r="H16" s="240"/>
    </row>
    <row r="17" spans="1:9" ht="21.75" hidden="1" x14ac:dyDescent="0.25">
      <c r="A17" s="237" t="s">
        <v>281</v>
      </c>
      <c r="B17" s="73">
        <v>0</v>
      </c>
      <c r="C17" s="60" t="s">
        <v>50</v>
      </c>
      <c r="D17" s="65">
        <f>ROUNDUP(B17*$D$10,0)</f>
        <v>0</v>
      </c>
      <c r="E17" s="65" t="s">
        <v>3</v>
      </c>
      <c r="F17" s="89"/>
      <c r="G17" s="90">
        <f t="shared" si="0"/>
        <v>0</v>
      </c>
      <c r="H17" s="240"/>
    </row>
    <row r="18" spans="1:9" ht="21.75" hidden="1" x14ac:dyDescent="0.25">
      <c r="A18" s="238"/>
      <c r="B18" s="74">
        <v>30</v>
      </c>
      <c r="C18" s="60" t="s">
        <v>103</v>
      </c>
      <c r="D18" s="65">
        <f>B18*D17</f>
        <v>0</v>
      </c>
      <c r="E18" s="65" t="s">
        <v>4</v>
      </c>
      <c r="F18" s="85">
        <v>120</v>
      </c>
      <c r="G18" s="86">
        <f t="shared" si="0"/>
        <v>0</v>
      </c>
      <c r="H18" s="240"/>
    </row>
    <row r="19" spans="1:9" ht="21.75" hidden="1" x14ac:dyDescent="0.25">
      <c r="A19" s="64" t="s">
        <v>241</v>
      </c>
      <c r="B19" s="60">
        <v>1.3</v>
      </c>
      <c r="C19" s="60" t="s">
        <v>254</v>
      </c>
      <c r="D19" s="65">
        <f>(PI()*((0.4^2)/4)*D12+PI()*((0.5^2)/4)*D14+PI()*((0.6^2)/4)*D16)</f>
        <v>1163.771582595803</v>
      </c>
      <c r="E19" s="65" t="s">
        <v>22</v>
      </c>
      <c r="F19" s="85">
        <f>535+45</f>
        <v>580</v>
      </c>
      <c r="G19" s="86">
        <f t="shared" si="0"/>
        <v>0</v>
      </c>
      <c r="H19" s="240"/>
    </row>
    <row r="20" spans="1:9" ht="21.75" hidden="1" x14ac:dyDescent="0.25">
      <c r="A20" s="64" t="s">
        <v>282</v>
      </c>
      <c r="B20" s="60">
        <v>12</v>
      </c>
      <c r="C20" s="60" t="s">
        <v>33</v>
      </c>
      <c r="D20" s="65">
        <f>B20*D19</f>
        <v>13965.258991149636</v>
      </c>
      <c r="E20" s="65" t="s">
        <v>25</v>
      </c>
      <c r="F20" s="85">
        <v>7.62</v>
      </c>
      <c r="G20" s="86">
        <f t="shared" si="0"/>
        <v>0</v>
      </c>
      <c r="H20" s="240"/>
    </row>
    <row r="21" spans="1:9" ht="21.75" hidden="1" x14ac:dyDescent="0.25">
      <c r="A21" s="64" t="s">
        <v>51</v>
      </c>
      <c r="B21" s="60">
        <v>1</v>
      </c>
      <c r="C21" s="60" t="s">
        <v>26</v>
      </c>
      <c r="D21" s="65">
        <v>1</v>
      </c>
      <c r="E21" s="65" t="s">
        <v>26</v>
      </c>
      <c r="F21" s="85">
        <v>14500</v>
      </c>
      <c r="G21" s="86">
        <f t="shared" si="0"/>
        <v>0</v>
      </c>
      <c r="H21" s="240"/>
    </row>
    <row r="22" spans="1:9" ht="21.75" hidden="1" x14ac:dyDescent="0.25">
      <c r="A22" s="64" t="s">
        <v>242</v>
      </c>
      <c r="B22" s="60"/>
      <c r="C22" s="60"/>
      <c r="D22" s="65">
        <f>D10</f>
        <v>179</v>
      </c>
      <c r="E22" s="65" t="s">
        <v>3</v>
      </c>
      <c r="F22" s="85">
        <v>300</v>
      </c>
      <c r="G22" s="86">
        <f t="shared" si="0"/>
        <v>0</v>
      </c>
      <c r="H22" s="241"/>
    </row>
    <row r="23" spans="1:9" ht="21.75" hidden="1" x14ac:dyDescent="0.25">
      <c r="A23" s="226" t="s">
        <v>17</v>
      </c>
      <c r="B23" s="226"/>
      <c r="C23" s="226"/>
      <c r="D23" s="226"/>
      <c r="E23" s="226"/>
      <c r="F23" s="226"/>
      <c r="G23" s="87">
        <f>SUM(G10:G22)</f>
        <v>0</v>
      </c>
      <c r="H23" s="87"/>
    </row>
    <row r="25" spans="1:9" ht="21.75" x14ac:dyDescent="0.25">
      <c r="A25" s="50" t="s">
        <v>52</v>
      </c>
      <c r="B25" s="50"/>
      <c r="C25" s="50"/>
      <c r="D25" s="51"/>
      <c r="E25" s="51"/>
      <c r="F25" s="95"/>
      <c r="G25" s="95"/>
      <c r="H25" s="95"/>
    </row>
    <row r="26" spans="1:9" ht="21.75" x14ac:dyDescent="0.25">
      <c r="A26" s="54"/>
      <c r="B26" s="54"/>
      <c r="C26" s="54"/>
      <c r="D26" s="55"/>
      <c r="E26" s="55"/>
      <c r="F26" s="96"/>
      <c r="G26" s="97"/>
      <c r="H26" s="97"/>
    </row>
    <row r="27" spans="1:9" ht="21.75" x14ac:dyDescent="0.25">
      <c r="A27" s="61" t="s">
        <v>14</v>
      </c>
      <c r="B27" s="231" t="s">
        <v>5</v>
      </c>
      <c r="C27" s="232"/>
      <c r="D27" s="231" t="s">
        <v>18</v>
      </c>
      <c r="E27" s="232"/>
      <c r="F27" s="98" t="s">
        <v>59</v>
      </c>
      <c r="G27" s="87" t="s">
        <v>16</v>
      </c>
      <c r="H27" s="87" t="s">
        <v>239</v>
      </c>
    </row>
    <row r="28" spans="1:9" ht="43.5" x14ac:dyDescent="0.25">
      <c r="A28" s="64" t="s">
        <v>53</v>
      </c>
      <c r="B28" s="60">
        <v>1.1000000000000001</v>
      </c>
      <c r="C28" s="60" t="s">
        <v>55</v>
      </c>
      <c r="D28" s="65">
        <f>B28*DADOS_INICIAIS!E25</f>
        <v>1312.6080000000002</v>
      </c>
      <c r="E28" s="65" t="s">
        <v>2</v>
      </c>
      <c r="F28" s="85">
        <v>68</v>
      </c>
      <c r="G28" s="86">
        <f>F28*D28*1.1</f>
        <v>98183.078400000028</v>
      </c>
      <c r="H28" s="65"/>
      <c r="I28" s="53">
        <f>G28/D28</f>
        <v>74.800000000000011</v>
      </c>
    </row>
    <row r="29" spans="1:9" ht="21.75" x14ac:dyDescent="0.25">
      <c r="A29" s="64" t="s">
        <v>241</v>
      </c>
      <c r="B29" s="60">
        <v>0.65</v>
      </c>
      <c r="C29" s="60" t="s">
        <v>54</v>
      </c>
      <c r="D29" s="65">
        <f>B29*DADOS_INICIAIS!E25</f>
        <v>775.63200000000006</v>
      </c>
      <c r="E29" s="65" t="s">
        <v>22</v>
      </c>
      <c r="F29" s="85">
        <f>535+45</f>
        <v>580</v>
      </c>
      <c r="G29" s="86">
        <f>F29*D29*1.05*1.1</f>
        <v>519595.87680000014</v>
      </c>
      <c r="H29" s="65"/>
      <c r="I29" s="53">
        <f>G29/D29</f>
        <v>669.90000000000009</v>
      </c>
    </row>
    <row r="30" spans="1:9" ht="21.75" x14ac:dyDescent="0.25">
      <c r="A30" s="64" t="s">
        <v>23</v>
      </c>
      <c r="B30" s="60">
        <v>80</v>
      </c>
      <c r="C30" s="60" t="s">
        <v>33</v>
      </c>
      <c r="D30" s="65">
        <f>B30*D29</f>
        <v>62050.560000000005</v>
      </c>
      <c r="E30" s="65" t="s">
        <v>25</v>
      </c>
      <c r="F30" s="85">
        <v>8.42</v>
      </c>
      <c r="G30" s="86">
        <f>F30*D30*1.1</f>
        <v>574712.28672000009</v>
      </c>
      <c r="H30" s="65" t="s">
        <v>321</v>
      </c>
    </row>
    <row r="31" spans="1:9" ht="21.75" x14ac:dyDescent="0.25">
      <c r="A31" s="64" t="s">
        <v>291</v>
      </c>
      <c r="B31" s="60">
        <v>1</v>
      </c>
      <c r="C31" s="60" t="s">
        <v>55</v>
      </c>
      <c r="D31" s="65">
        <f>B31*DADOS_INICIAIS!E25</f>
        <v>1193.28</v>
      </c>
      <c r="E31" s="65" t="s">
        <v>2</v>
      </c>
      <c r="F31" s="85">
        <v>180</v>
      </c>
      <c r="G31" s="86">
        <f>F31*D31*1.1</f>
        <v>236269.44</v>
      </c>
      <c r="H31" s="65"/>
    </row>
    <row r="32" spans="1:9" ht="21.75" x14ac:dyDescent="0.25">
      <c r="A32" s="64" t="s">
        <v>24</v>
      </c>
      <c r="B32" s="60">
        <f>SUPRAESTRUTURA!B15*1.5</f>
        <v>360</v>
      </c>
      <c r="C32" s="60" t="s">
        <v>44</v>
      </c>
      <c r="D32" s="65">
        <f>DADOS_INICIAIS!E25</f>
        <v>1193.28</v>
      </c>
      <c r="E32" s="65" t="s">
        <v>2</v>
      </c>
      <c r="F32" s="85">
        <f>B32</f>
        <v>360</v>
      </c>
      <c r="G32" s="86">
        <f>F32*D32*1.1</f>
        <v>472538.88</v>
      </c>
      <c r="H32" s="65"/>
    </row>
    <row r="33" spans="1:8" ht="21.75" x14ac:dyDescent="0.25">
      <c r="A33" s="226" t="s">
        <v>17</v>
      </c>
      <c r="B33" s="226"/>
      <c r="C33" s="226"/>
      <c r="D33" s="226"/>
      <c r="E33" s="226"/>
      <c r="F33" s="226"/>
      <c r="G33" s="87">
        <f>SUM(G28:G32)</f>
        <v>1901299.5619200002</v>
      </c>
      <c r="H33" s="87"/>
    </row>
    <row r="35" spans="1:8" x14ac:dyDescent="0.25">
      <c r="D35" s="83"/>
      <c r="E35" s="84"/>
    </row>
    <row r="36" spans="1:8" ht="21.75" x14ac:dyDescent="0.25">
      <c r="A36" s="233" t="s">
        <v>46</v>
      </c>
      <c r="B36" s="234"/>
      <c r="C36" s="234"/>
      <c r="D36" s="234"/>
      <c r="E36" s="234"/>
      <c r="F36" s="235"/>
      <c r="G36" s="88">
        <f>G23+G33</f>
        <v>1901299.5619200002</v>
      </c>
      <c r="H36" s="88">
        <f>G36/DADOS_INICIAIS!E9</f>
        <v>292.74948102047387</v>
      </c>
    </row>
    <row r="38" spans="1:8" x14ac:dyDescent="0.25">
      <c r="H38" s="91">
        <f>H36/1.1</f>
        <v>266.13589183679443</v>
      </c>
    </row>
  </sheetData>
  <mergeCells count="13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  <mergeCell ref="H10:H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00B050"/>
  </sheetPr>
  <dimension ref="A1:J62"/>
  <sheetViews>
    <sheetView showGridLines="0" tabSelected="1" topLeftCell="A7" zoomScale="80" zoomScaleNormal="80" zoomScaleSheetLayoutView="95" workbookViewId="0">
      <selection activeCell="D16" sqref="D16"/>
    </sheetView>
  </sheetViews>
  <sheetFormatPr defaultColWidth="9.140625" defaultRowHeight="15" x14ac:dyDescent="0.25"/>
  <cols>
    <col min="1" max="1" width="50.140625" style="53" customWidth="1"/>
    <col min="2" max="3" width="21.7109375" style="53" customWidth="1"/>
    <col min="4" max="4" width="16.5703125" style="78" customWidth="1"/>
    <col min="5" max="5" width="19.5703125" style="79" customWidth="1"/>
    <col min="6" max="6" width="20.85546875" style="53" customWidth="1"/>
    <col min="7" max="7" width="26.85546875" style="53" customWidth="1"/>
    <col min="8" max="8" width="58.28515625" style="53" customWidth="1"/>
    <col min="9" max="9" width="14.57031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0" x14ac:dyDescent="0.25">
      <c r="D1" s="76"/>
      <c r="E1" s="53"/>
      <c r="H1" s="77"/>
      <c r="I1" s="77"/>
      <c r="J1" s="76"/>
    </row>
    <row r="3" spans="1:10" ht="28.5" x14ac:dyDescent="0.25">
      <c r="A3" s="227" t="s">
        <v>27</v>
      </c>
      <c r="B3" s="236"/>
      <c r="C3" s="236"/>
      <c r="D3" s="228"/>
      <c r="E3" s="228"/>
      <c r="F3" s="228"/>
      <c r="G3" s="228"/>
      <c r="H3" s="229"/>
      <c r="J3" s="76"/>
    </row>
    <row r="4" spans="1:10" ht="19.5" x14ac:dyDescent="0.25">
      <c r="A4" s="186" t="s">
        <v>123</v>
      </c>
      <c r="B4" s="191">
        <v>45469</v>
      </c>
      <c r="C4" s="189"/>
      <c r="D4" s="189"/>
      <c r="E4" s="189"/>
      <c r="F4" s="189"/>
      <c r="G4" s="189"/>
      <c r="H4" s="190"/>
      <c r="J4" s="76"/>
    </row>
    <row r="5" spans="1:10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0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0" ht="21.75" x14ac:dyDescent="0.25">
      <c r="A7" s="201" t="s">
        <v>247</v>
      </c>
      <c r="B7" s="50"/>
      <c r="C7" s="50"/>
      <c r="D7" s="51"/>
      <c r="E7" s="51"/>
      <c r="F7" s="52"/>
      <c r="G7" s="51"/>
      <c r="H7" s="51"/>
    </row>
    <row r="8" spans="1:10" ht="21.75" x14ac:dyDescent="0.25">
      <c r="A8" s="54"/>
      <c r="B8" s="54"/>
      <c r="C8" s="54"/>
      <c r="D8" s="55"/>
      <c r="E8" s="55"/>
      <c r="F8" s="56"/>
      <c r="G8" s="57"/>
      <c r="H8" s="57"/>
    </row>
    <row r="9" spans="1:10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 t="s">
        <v>59</v>
      </c>
      <c r="G9" s="69" t="s">
        <v>16</v>
      </c>
      <c r="H9" s="87" t="s">
        <v>239</v>
      </c>
    </row>
    <row r="10" spans="1:10" ht="21.75" x14ac:dyDescent="0.25">
      <c r="A10" s="64" t="s">
        <v>28</v>
      </c>
      <c r="B10" s="60">
        <v>2</v>
      </c>
      <c r="C10" s="60" t="s">
        <v>246</v>
      </c>
      <c r="D10" s="65">
        <f>(D11/DADOS_INICIAIS!$E$15)*B10</f>
        <v>4059.1437500000002</v>
      </c>
      <c r="E10" s="65" t="s">
        <v>2</v>
      </c>
      <c r="F10" s="85">
        <v>110</v>
      </c>
      <c r="G10" s="86">
        <f t="shared" ref="G10:G16" si="0">F10*D10*1.1</f>
        <v>491156.39375000005</v>
      </c>
      <c r="H10" s="65"/>
    </row>
    <row r="11" spans="1:10" ht="21.75" x14ac:dyDescent="0.25">
      <c r="A11" s="75" t="s">
        <v>29</v>
      </c>
      <c r="B11" s="60">
        <v>2.5</v>
      </c>
      <c r="C11" s="60" t="s">
        <v>36</v>
      </c>
      <c r="D11" s="65">
        <f>B11*(DADOS_INICIAIS!$E$9)</f>
        <v>16236.575000000001</v>
      </c>
      <c r="E11" s="65" t="s">
        <v>2</v>
      </c>
      <c r="F11" s="85">
        <v>2.5</v>
      </c>
      <c r="G11" s="86">
        <f t="shared" si="0"/>
        <v>44650.581250000003</v>
      </c>
      <c r="H11" s="65"/>
    </row>
    <row r="12" spans="1:10" ht="21.75" x14ac:dyDescent="0.25">
      <c r="A12" s="75" t="s">
        <v>256</v>
      </c>
      <c r="B12" s="60">
        <v>2</v>
      </c>
      <c r="C12" s="60" t="s">
        <v>105</v>
      </c>
      <c r="D12" s="65">
        <f>ROUNDUP(B12*DADOS_INICIAIS!$E$25*B10,0)</f>
        <v>4774</v>
      </c>
      <c r="E12" s="65" t="s">
        <v>3</v>
      </c>
      <c r="F12" s="85">
        <f>17</f>
        <v>17</v>
      </c>
      <c r="G12" s="86">
        <f t="shared" si="0"/>
        <v>89273.8</v>
      </c>
      <c r="H12" s="65"/>
      <c r="I12" s="194"/>
    </row>
    <row r="13" spans="1:10" ht="21.75" x14ac:dyDescent="0.25">
      <c r="A13" s="64" t="s">
        <v>41</v>
      </c>
      <c r="B13" s="60">
        <v>0.22</v>
      </c>
      <c r="C13" s="60" t="s">
        <v>37</v>
      </c>
      <c r="D13" s="65">
        <f>B13*((DADOS_INICIAIS!$E$9-DADOS_INICIAIS!E25*1.5))</f>
        <v>1035.0362</v>
      </c>
      <c r="E13" s="65" t="s">
        <v>22</v>
      </c>
      <c r="F13" s="85">
        <f>535+45</f>
        <v>580</v>
      </c>
      <c r="G13" s="86">
        <f t="shared" si="0"/>
        <v>660353.09560000012</v>
      </c>
      <c r="H13" s="65"/>
    </row>
    <row r="14" spans="1:10" ht="21.75" x14ac:dyDescent="0.25">
      <c r="A14" s="64" t="s">
        <v>30</v>
      </c>
      <c r="B14" s="60">
        <v>110</v>
      </c>
      <c r="C14" s="60" t="s">
        <v>33</v>
      </c>
      <c r="D14" s="65">
        <f>D13*B14</f>
        <v>113853.982</v>
      </c>
      <c r="E14" s="65" t="s">
        <v>25</v>
      </c>
      <c r="F14" s="85">
        <v>7.62</v>
      </c>
      <c r="G14" s="86">
        <f t="shared" si="0"/>
        <v>954324.07712400018</v>
      </c>
      <c r="H14" s="65"/>
    </row>
    <row r="15" spans="1:10" ht="43.5" x14ac:dyDescent="0.25">
      <c r="A15" s="64" t="s">
        <v>43</v>
      </c>
      <c r="B15" s="60">
        <v>240</v>
      </c>
      <c r="C15" s="60" t="s">
        <v>6</v>
      </c>
      <c r="D15" s="65">
        <f>DADOS_INICIAIS!$E$9</f>
        <v>6494.63</v>
      </c>
      <c r="E15" s="65" t="s">
        <v>2</v>
      </c>
      <c r="F15" s="85">
        <f>B15</f>
        <v>240</v>
      </c>
      <c r="G15" s="86">
        <f t="shared" si="0"/>
        <v>1714582.32</v>
      </c>
      <c r="H15" s="65"/>
      <c r="I15" s="53">
        <f>G15/D15</f>
        <v>264</v>
      </c>
    </row>
    <row r="16" spans="1:10" ht="43.5" x14ac:dyDescent="0.25">
      <c r="A16" s="64" t="s">
        <v>243</v>
      </c>
      <c r="B16" s="60">
        <v>5300</v>
      </c>
      <c r="C16" s="60" t="s">
        <v>244</v>
      </c>
      <c r="D16" s="65">
        <v>1</v>
      </c>
      <c r="E16" s="65" t="s">
        <v>26</v>
      </c>
      <c r="F16" s="85">
        <f>B16*(DADOS_INICIAIS!$E$15)</f>
        <v>42400</v>
      </c>
      <c r="G16" s="86">
        <f t="shared" si="0"/>
        <v>46640.000000000007</v>
      </c>
      <c r="H16" s="65" t="s">
        <v>245</v>
      </c>
      <c r="I16" s="53" t="s">
        <v>249</v>
      </c>
    </row>
    <row r="17" spans="1:8" ht="21.75" x14ac:dyDescent="0.25">
      <c r="A17" s="226" t="s">
        <v>17</v>
      </c>
      <c r="B17" s="226"/>
      <c r="C17" s="226"/>
      <c r="D17" s="226"/>
      <c r="E17" s="226"/>
      <c r="F17" s="226"/>
      <c r="G17" s="87">
        <f>SUM(G10:G16)</f>
        <v>4000980.2677240008</v>
      </c>
      <c r="H17" s="87"/>
    </row>
    <row r="19" spans="1:8" ht="21.75" x14ac:dyDescent="0.25">
      <c r="A19" s="50" t="s">
        <v>323</v>
      </c>
      <c r="B19" s="50"/>
      <c r="C19" s="50"/>
      <c r="D19" s="51"/>
      <c r="E19" s="51"/>
      <c r="F19" s="52"/>
      <c r="G19" s="51"/>
      <c r="H19" s="51"/>
    </row>
    <row r="20" spans="1:8" ht="21.75" x14ac:dyDescent="0.25">
      <c r="A20" s="54"/>
      <c r="B20" s="54"/>
      <c r="C20" s="54"/>
      <c r="D20" s="55"/>
      <c r="E20" s="55"/>
      <c r="F20" s="56"/>
      <c r="G20" s="57"/>
      <c r="H20" s="57"/>
    </row>
    <row r="21" spans="1:8" ht="21.75" x14ac:dyDescent="0.25">
      <c r="A21" s="61" t="s">
        <v>14</v>
      </c>
      <c r="B21" s="231" t="s">
        <v>5</v>
      </c>
      <c r="C21" s="232"/>
      <c r="D21" s="231" t="s">
        <v>18</v>
      </c>
      <c r="E21" s="232"/>
      <c r="F21" s="63" t="s">
        <v>59</v>
      </c>
      <c r="G21" s="69" t="s">
        <v>16</v>
      </c>
      <c r="H21" s="87" t="s">
        <v>239</v>
      </c>
    </row>
    <row r="22" spans="1:8" ht="21.75" x14ac:dyDescent="0.25">
      <c r="A22" s="64" t="s">
        <v>28</v>
      </c>
      <c r="B22" s="60">
        <v>2</v>
      </c>
      <c r="C22" s="60" t="s">
        <v>246</v>
      </c>
      <c r="D22" s="65">
        <f>(D23/DADOS_INICIAIS!$E$15)*B22</f>
        <v>939.70800000000008</v>
      </c>
      <c r="E22" s="65" t="s">
        <v>2</v>
      </c>
      <c r="F22" s="85">
        <v>110</v>
      </c>
      <c r="G22" s="86">
        <f>F22*D22*1.1</f>
        <v>113704.66800000002</v>
      </c>
      <c r="H22" s="65"/>
    </row>
    <row r="23" spans="1:8" ht="21.75" x14ac:dyDescent="0.25">
      <c r="A23" s="75" t="s">
        <v>29</v>
      </c>
      <c r="B23" s="60">
        <v>2.1</v>
      </c>
      <c r="C23" s="60" t="s">
        <v>36</v>
      </c>
      <c r="D23" s="65">
        <f>B23*(DADOS_INICIAIS!$E$25+DADOS_INICIAIS!$E$25/2)</f>
        <v>3758.8320000000003</v>
      </c>
      <c r="E23" s="65" t="s">
        <v>2</v>
      </c>
      <c r="F23" s="85">
        <v>2.5</v>
      </c>
      <c r="G23" s="86">
        <f>F23*D23*1.1</f>
        <v>10336.788000000002</v>
      </c>
      <c r="H23" s="65"/>
    </row>
    <row r="24" spans="1:8" ht="21.75" x14ac:dyDescent="0.25">
      <c r="A24" s="75" t="s">
        <v>256</v>
      </c>
      <c r="B24" s="60">
        <v>2</v>
      </c>
      <c r="C24" s="60" t="s">
        <v>104</v>
      </c>
      <c r="D24" s="65">
        <f>ROUNDUP(B24*DADOS_INICIAIS!$E$25*B22,0)</f>
        <v>4774</v>
      </c>
      <c r="E24" s="65" t="s">
        <v>3</v>
      </c>
      <c r="F24" s="85">
        <f>17</f>
        <v>17</v>
      </c>
      <c r="G24" s="86">
        <f>F24*D24*1.1</f>
        <v>89273.8</v>
      </c>
      <c r="H24" s="65"/>
    </row>
    <row r="25" spans="1:8" ht="21.75" x14ac:dyDescent="0.25">
      <c r="A25" s="64" t="s">
        <v>57</v>
      </c>
      <c r="B25" s="60">
        <v>25</v>
      </c>
      <c r="C25" s="60" t="s">
        <v>6</v>
      </c>
      <c r="D25" s="65">
        <v>1</v>
      </c>
      <c r="E25" s="65" t="s">
        <v>26</v>
      </c>
      <c r="F25" s="85">
        <f>B25*((DADOS_INICIAIS!$E$25+DADOS_INICIAIS!$E$25/2))</f>
        <v>44748</v>
      </c>
      <c r="G25" s="86">
        <f>F25*D25*1.1</f>
        <v>49222.8</v>
      </c>
      <c r="H25" s="65"/>
    </row>
    <row r="26" spans="1:8" ht="21.75" x14ac:dyDescent="0.25">
      <c r="A26" s="64" t="s">
        <v>41</v>
      </c>
      <c r="B26" s="60">
        <v>0.25</v>
      </c>
      <c r="C26" s="60" t="s">
        <v>37</v>
      </c>
      <c r="D26" s="65">
        <f>B26*(DADOS_INICIAIS!E25*1.5)</f>
        <v>447.48</v>
      </c>
      <c r="E26" s="65" t="s">
        <v>22</v>
      </c>
      <c r="F26" s="85">
        <f>535+45</f>
        <v>580</v>
      </c>
      <c r="G26" s="86">
        <f>F26*D26*1.05*1.1</f>
        <v>299766.85200000001</v>
      </c>
      <c r="H26" s="65"/>
    </row>
    <row r="27" spans="1:8" ht="21.75" x14ac:dyDescent="0.25">
      <c r="A27" s="64" t="s">
        <v>30</v>
      </c>
      <c r="B27" s="60">
        <v>110</v>
      </c>
      <c r="C27" s="60" t="s">
        <v>33</v>
      </c>
      <c r="D27" s="65">
        <f>D26*B27</f>
        <v>49222.8</v>
      </c>
      <c r="E27" s="65" t="s">
        <v>25</v>
      </c>
      <c r="F27" s="85">
        <v>7.62</v>
      </c>
      <c r="G27" s="86">
        <f>F27*D27*1.1</f>
        <v>412585.50960000005</v>
      </c>
      <c r="H27" s="65"/>
    </row>
    <row r="28" spans="1:8" ht="21.75" x14ac:dyDescent="0.25">
      <c r="A28" s="226" t="s">
        <v>17</v>
      </c>
      <c r="B28" s="226"/>
      <c r="C28" s="226"/>
      <c r="D28" s="226"/>
      <c r="E28" s="226"/>
      <c r="F28" s="226"/>
      <c r="G28" s="87">
        <f>SUM(G22:G27)</f>
        <v>974890.41760000004</v>
      </c>
      <c r="H28" s="87"/>
    </row>
    <row r="29" spans="1:8" hidden="1" x14ac:dyDescent="0.25"/>
    <row r="30" spans="1:8" ht="21.75" hidden="1" x14ac:dyDescent="0.25">
      <c r="A30" s="50" t="s">
        <v>248</v>
      </c>
      <c r="B30" s="50"/>
      <c r="C30" s="50"/>
      <c r="D30" s="51"/>
      <c r="E30" s="51"/>
      <c r="F30" s="52"/>
      <c r="G30" s="51"/>
      <c r="H30" s="51"/>
    </row>
    <row r="31" spans="1:8" ht="21.75" hidden="1" x14ac:dyDescent="0.25">
      <c r="A31" s="54"/>
      <c r="B31" s="54"/>
      <c r="C31" s="54"/>
      <c r="D31" s="55"/>
      <c r="E31" s="55"/>
      <c r="F31" s="56"/>
      <c r="G31" s="57"/>
      <c r="H31" s="57"/>
    </row>
    <row r="32" spans="1:8" ht="21.75" hidden="1" x14ac:dyDescent="0.25">
      <c r="A32" s="61" t="s">
        <v>14</v>
      </c>
      <c r="B32" s="231" t="s">
        <v>5</v>
      </c>
      <c r="C32" s="232"/>
      <c r="D32" s="231" t="s">
        <v>18</v>
      </c>
      <c r="E32" s="232"/>
      <c r="F32" s="63" t="s">
        <v>59</v>
      </c>
      <c r="G32" s="69" t="s">
        <v>16</v>
      </c>
      <c r="H32" s="87" t="s">
        <v>239</v>
      </c>
    </row>
    <row r="33" spans="1:8" ht="21.75" hidden="1" x14ac:dyDescent="0.25">
      <c r="A33" s="64" t="s">
        <v>28</v>
      </c>
      <c r="B33" s="193">
        <v>2</v>
      </c>
      <c r="C33" s="193" t="s">
        <v>246</v>
      </c>
      <c r="D33" s="65">
        <f>(D34/DADOS_INICIAIS!$E$15)*B33</f>
        <v>0</v>
      </c>
      <c r="E33" s="65" t="s">
        <v>2</v>
      </c>
      <c r="F33" s="85">
        <v>85</v>
      </c>
      <c r="G33" s="86">
        <f>F33*D33*1.1</f>
        <v>0</v>
      </c>
      <c r="H33" s="65"/>
    </row>
    <row r="34" spans="1:8" ht="21.75" hidden="1" x14ac:dyDescent="0.25">
      <c r="A34" s="75" t="s">
        <v>29</v>
      </c>
      <c r="B34" s="193">
        <v>2.1</v>
      </c>
      <c r="C34" s="193" t="s">
        <v>36</v>
      </c>
      <c r="D34" s="65">
        <f>B34*DADOS_INICIAIS!E38</f>
        <v>0</v>
      </c>
      <c r="E34" s="65" t="s">
        <v>2</v>
      </c>
      <c r="F34" s="85">
        <v>1.5</v>
      </c>
      <c r="G34" s="86">
        <f>F34*D34*1.1</f>
        <v>0</v>
      </c>
      <c r="H34" s="65"/>
    </row>
    <row r="35" spans="1:8" ht="21.75" hidden="1" x14ac:dyDescent="0.25">
      <c r="A35" s="75" t="s">
        <v>31</v>
      </c>
      <c r="B35" s="193">
        <v>2</v>
      </c>
      <c r="C35" s="193" t="s">
        <v>104</v>
      </c>
      <c r="D35" s="65">
        <f>B35*DADOS_INICIAIS!E47*DADOS_INICIAIS!E44</f>
        <v>0</v>
      </c>
      <c r="E35" s="65" t="s">
        <v>3</v>
      </c>
      <c r="F35" s="85">
        <v>17</v>
      </c>
      <c r="G35" s="86">
        <f>F35*D35*1.1</f>
        <v>0</v>
      </c>
      <c r="H35" s="65"/>
    </row>
    <row r="36" spans="1:8" ht="21.75" hidden="1" x14ac:dyDescent="0.25">
      <c r="A36" s="75" t="s">
        <v>32</v>
      </c>
      <c r="B36" s="193">
        <v>2</v>
      </c>
      <c r="C36" s="193" t="s">
        <v>105</v>
      </c>
      <c r="D36" s="65">
        <f>B36*DADOS_INICIAIS!E50</f>
        <v>0</v>
      </c>
      <c r="E36" s="65" t="s">
        <v>3</v>
      </c>
      <c r="F36" s="85">
        <v>17</v>
      </c>
      <c r="G36" s="86">
        <f>F36*D36*1.1</f>
        <v>0</v>
      </c>
      <c r="H36" s="65"/>
    </row>
    <row r="37" spans="1:8" ht="21.75" hidden="1" x14ac:dyDescent="0.25">
      <c r="A37" s="64" t="s">
        <v>57</v>
      </c>
      <c r="B37" s="193">
        <v>25</v>
      </c>
      <c r="C37" s="193" t="s">
        <v>6</v>
      </c>
      <c r="D37" s="65">
        <f>B37*DADOS_INICIAIS!E38</f>
        <v>0</v>
      </c>
      <c r="E37" s="65" t="s">
        <v>22</v>
      </c>
      <c r="F37" s="85">
        <f>B37</f>
        <v>25</v>
      </c>
      <c r="G37" s="86">
        <f>F37*D37*1.1</f>
        <v>0</v>
      </c>
      <c r="H37" s="65"/>
    </row>
    <row r="38" spans="1:8" ht="21.75" hidden="1" x14ac:dyDescent="0.25">
      <c r="A38" s="64" t="s">
        <v>41</v>
      </c>
      <c r="B38" s="193">
        <v>0.25</v>
      </c>
      <c r="C38" s="193" t="s">
        <v>37</v>
      </c>
      <c r="D38" s="65">
        <f>B38*DADOS_INICIAIS!E38</f>
        <v>0</v>
      </c>
      <c r="E38" s="65" t="s">
        <v>22</v>
      </c>
      <c r="F38" s="85">
        <f>575</f>
        <v>575</v>
      </c>
      <c r="G38" s="86">
        <f>F38*D38*1.05*1.1</f>
        <v>0</v>
      </c>
      <c r="H38" s="65"/>
    </row>
    <row r="39" spans="1:8" ht="21.75" hidden="1" x14ac:dyDescent="0.25">
      <c r="A39" s="64" t="s">
        <v>30</v>
      </c>
      <c r="B39" s="193">
        <v>110</v>
      </c>
      <c r="C39" s="193" t="s">
        <v>33</v>
      </c>
      <c r="D39" s="65">
        <f>D38*B39</f>
        <v>0</v>
      </c>
      <c r="E39" s="65" t="s">
        <v>25</v>
      </c>
      <c r="F39" s="85">
        <v>7.25</v>
      </c>
      <c r="G39" s="86">
        <f>F39*D39*1.1</f>
        <v>0</v>
      </c>
      <c r="H39" s="65"/>
    </row>
    <row r="40" spans="1:8" ht="43.5" hidden="1" x14ac:dyDescent="0.25">
      <c r="A40" s="64" t="s">
        <v>43</v>
      </c>
      <c r="B40" s="193">
        <v>240</v>
      </c>
      <c r="C40" s="193" t="s">
        <v>6</v>
      </c>
      <c r="D40" s="65">
        <f>DADOS_INICIAIS!E38</f>
        <v>0</v>
      </c>
      <c r="E40" s="65" t="s">
        <v>2</v>
      </c>
      <c r="F40" s="85">
        <f>B40</f>
        <v>240</v>
      </c>
      <c r="G40" s="86">
        <f>F40*D40*1.1</f>
        <v>0</v>
      </c>
      <c r="H40" s="65"/>
    </row>
    <row r="41" spans="1:8" ht="43.5" hidden="1" x14ac:dyDescent="0.25">
      <c r="A41" s="64" t="s">
        <v>243</v>
      </c>
      <c r="B41" s="193">
        <v>5300</v>
      </c>
      <c r="C41" s="193" t="s">
        <v>244</v>
      </c>
      <c r="D41" s="65">
        <v>1</v>
      </c>
      <c r="E41" s="65" t="s">
        <v>26</v>
      </c>
      <c r="F41" s="85">
        <f>B41*DADOS_INICIAIS!E43</f>
        <v>0</v>
      </c>
      <c r="G41" s="86">
        <f>F41*D41*1.1</f>
        <v>0</v>
      </c>
      <c r="H41" s="65" t="s">
        <v>245</v>
      </c>
    </row>
    <row r="42" spans="1:8" ht="21.75" hidden="1" x14ac:dyDescent="0.25">
      <c r="A42" s="226" t="s">
        <v>17</v>
      </c>
      <c r="B42" s="226"/>
      <c r="C42" s="226"/>
      <c r="D42" s="226"/>
      <c r="E42" s="226"/>
      <c r="F42" s="226"/>
      <c r="G42" s="87">
        <f>SUM(G33:G41)</f>
        <v>0</v>
      </c>
      <c r="H42" s="87"/>
    </row>
    <row r="43" spans="1:8" hidden="1" x14ac:dyDescent="0.25"/>
    <row r="44" spans="1:8" ht="21.75" hidden="1" x14ac:dyDescent="0.25">
      <c r="A44" s="50" t="s">
        <v>283</v>
      </c>
      <c r="B44" s="50"/>
      <c r="C44" s="50"/>
      <c r="D44" s="51"/>
      <c r="E44" s="51"/>
      <c r="F44" s="52"/>
      <c r="G44" s="51"/>
      <c r="H44" s="51"/>
    </row>
    <row r="45" spans="1:8" ht="21.75" hidden="1" x14ac:dyDescent="0.25">
      <c r="A45" s="54"/>
      <c r="B45" s="54"/>
      <c r="C45" s="54"/>
      <c r="D45" s="55"/>
      <c r="E45" s="55"/>
      <c r="F45" s="56"/>
      <c r="G45" s="57"/>
      <c r="H45" s="57"/>
    </row>
    <row r="46" spans="1:8" ht="21.75" hidden="1" x14ac:dyDescent="0.25">
      <c r="A46" s="61" t="s">
        <v>14</v>
      </c>
      <c r="B46" s="231" t="s">
        <v>5</v>
      </c>
      <c r="C46" s="232"/>
      <c r="D46" s="231" t="s">
        <v>18</v>
      </c>
      <c r="E46" s="232"/>
      <c r="F46" s="63" t="s">
        <v>59</v>
      </c>
      <c r="G46" s="69" t="s">
        <v>16</v>
      </c>
      <c r="H46" s="87" t="s">
        <v>239</v>
      </c>
    </row>
    <row r="47" spans="1:8" ht="21.75" hidden="1" x14ac:dyDescent="0.25">
      <c r="A47" s="64" t="s">
        <v>28</v>
      </c>
      <c r="B47" s="60">
        <v>3</v>
      </c>
      <c r="C47" s="60" t="s">
        <v>246</v>
      </c>
      <c r="D47" s="65">
        <f>(D48/DADOS_INICIAIS!$E$15)*B47</f>
        <v>5114.5211250000002</v>
      </c>
      <c r="E47" s="65" t="s">
        <v>2</v>
      </c>
      <c r="F47" s="85">
        <v>110</v>
      </c>
      <c r="G47" s="86">
        <f>F47*D47*1.1*0</f>
        <v>0</v>
      </c>
      <c r="H47" s="65"/>
    </row>
    <row r="48" spans="1:8" ht="21.75" hidden="1" x14ac:dyDescent="0.25">
      <c r="A48" s="75" t="s">
        <v>29</v>
      </c>
      <c r="B48" s="60">
        <v>2.1</v>
      </c>
      <c r="C48" s="60" t="s">
        <v>36</v>
      </c>
      <c r="D48" s="65">
        <f>B48*DADOS_INICIAIS!$E$9</f>
        <v>13638.723</v>
      </c>
      <c r="E48" s="65" t="s">
        <v>2</v>
      </c>
      <c r="F48" s="85">
        <v>2.5</v>
      </c>
      <c r="G48" s="86">
        <f t="shared" ref="G48:G56" si="1">F48*D48*1.1*0</f>
        <v>0</v>
      </c>
      <c r="H48" s="65"/>
    </row>
    <row r="49" spans="1:8" ht="21.75" hidden="1" x14ac:dyDescent="0.25">
      <c r="A49" s="75" t="s">
        <v>256</v>
      </c>
      <c r="B49" s="60">
        <v>3</v>
      </c>
      <c r="C49" s="60" t="s">
        <v>105</v>
      </c>
      <c r="D49" s="65">
        <f>ROUNDUP(B49*DADOS_INICIAIS!$E$25*B47,0)</f>
        <v>10740</v>
      </c>
      <c r="E49" s="65" t="s">
        <v>3</v>
      </c>
      <c r="F49" s="85">
        <v>17</v>
      </c>
      <c r="G49" s="86">
        <f t="shared" si="1"/>
        <v>0</v>
      </c>
      <c r="H49" s="65"/>
    </row>
    <row r="50" spans="1:8" ht="21.75" hidden="1" x14ac:dyDescent="0.25">
      <c r="A50" s="75" t="s">
        <v>286</v>
      </c>
      <c r="B50" s="200">
        <v>12.3</v>
      </c>
      <c r="C50" s="200" t="s">
        <v>284</v>
      </c>
      <c r="D50" s="65">
        <f>(DADOS_INICIAIS!$E$16+DADOS_INICIAIS!$E$17)*DADOS_INICIAIS!$E$19+DADOS_INICIAIS!$E$22</f>
        <v>5587.8975</v>
      </c>
      <c r="E50" s="65" t="s">
        <v>2</v>
      </c>
      <c r="F50" s="85">
        <f>B50</f>
        <v>12.3</v>
      </c>
      <c r="G50" s="86">
        <f t="shared" si="1"/>
        <v>0</v>
      </c>
      <c r="H50" s="65"/>
    </row>
    <row r="51" spans="1:8" ht="21.75" hidden="1" x14ac:dyDescent="0.25">
      <c r="A51" s="75" t="s">
        <v>287</v>
      </c>
      <c r="B51" s="200">
        <v>2.83</v>
      </c>
      <c r="C51" s="200" t="s">
        <v>285</v>
      </c>
      <c r="D51" s="65">
        <f>B51*D50</f>
        <v>15813.749925</v>
      </c>
      <c r="E51" s="65" t="s">
        <v>25</v>
      </c>
      <c r="F51" s="85">
        <v>12.3</v>
      </c>
      <c r="G51" s="86">
        <f t="shared" si="1"/>
        <v>0</v>
      </c>
      <c r="H51" s="65"/>
    </row>
    <row r="52" spans="1:8" ht="21.75" hidden="1" x14ac:dyDescent="0.25">
      <c r="A52" s="64" t="s">
        <v>288</v>
      </c>
      <c r="B52" s="200">
        <v>9000</v>
      </c>
      <c r="C52" s="200" t="s">
        <v>289</v>
      </c>
      <c r="D52" s="65">
        <f>DADOS_INICIAIS!E15</f>
        <v>8</v>
      </c>
      <c r="E52" s="65" t="s">
        <v>290</v>
      </c>
      <c r="F52" s="85">
        <f>B52</f>
        <v>9000</v>
      </c>
      <c r="G52" s="86">
        <f t="shared" si="1"/>
        <v>0</v>
      </c>
      <c r="H52" s="65"/>
    </row>
    <row r="53" spans="1:8" ht="21.75" hidden="1" x14ac:dyDescent="0.25">
      <c r="A53" s="64" t="s">
        <v>41</v>
      </c>
      <c r="B53" s="200">
        <v>0.25</v>
      </c>
      <c r="C53" s="200" t="s">
        <v>37</v>
      </c>
      <c r="D53" s="65">
        <f>B53*DADOS_INICIAIS!$E$9</f>
        <v>1623.6575</v>
      </c>
      <c r="E53" s="65" t="s">
        <v>22</v>
      </c>
      <c r="F53" s="85">
        <f>535+45</f>
        <v>580</v>
      </c>
      <c r="G53" s="86">
        <f t="shared" si="1"/>
        <v>0</v>
      </c>
      <c r="H53" s="65"/>
    </row>
    <row r="54" spans="1:8" ht="21.75" hidden="1" x14ac:dyDescent="0.25">
      <c r="A54" s="64" t="s">
        <v>30</v>
      </c>
      <c r="B54" s="200">
        <v>90</v>
      </c>
      <c r="C54" s="200" t="s">
        <v>33</v>
      </c>
      <c r="D54" s="65">
        <f>D53*B54</f>
        <v>146129.17499999999</v>
      </c>
      <c r="E54" s="65" t="s">
        <v>25</v>
      </c>
      <c r="F54" s="85">
        <v>7.62</v>
      </c>
      <c r="G54" s="86">
        <f t="shared" si="1"/>
        <v>0</v>
      </c>
      <c r="H54" s="65"/>
    </row>
    <row r="55" spans="1:8" ht="43.5" hidden="1" x14ac:dyDescent="0.25">
      <c r="A55" s="64" t="s">
        <v>43</v>
      </c>
      <c r="B55" s="60">
        <v>240</v>
      </c>
      <c r="C55" s="60" t="s">
        <v>6</v>
      </c>
      <c r="D55" s="65">
        <f>DADOS_INICIAIS!$E$9</f>
        <v>6494.63</v>
      </c>
      <c r="E55" s="65" t="s">
        <v>2</v>
      </c>
      <c r="F55" s="85">
        <f>B55</f>
        <v>240</v>
      </c>
      <c r="G55" s="86">
        <f t="shared" si="1"/>
        <v>0</v>
      </c>
      <c r="H55" s="65"/>
    </row>
    <row r="56" spans="1:8" ht="43.5" hidden="1" x14ac:dyDescent="0.25">
      <c r="A56" s="64" t="s">
        <v>243</v>
      </c>
      <c r="B56" s="60">
        <v>5300</v>
      </c>
      <c r="C56" s="60" t="s">
        <v>244</v>
      </c>
      <c r="D56" s="65">
        <v>1</v>
      </c>
      <c r="E56" s="65" t="s">
        <v>26</v>
      </c>
      <c r="F56" s="85">
        <f>B56*DADOS_INICIAIS!$E$15</f>
        <v>42400</v>
      </c>
      <c r="G56" s="86">
        <f t="shared" si="1"/>
        <v>0</v>
      </c>
      <c r="H56" s="65" t="s">
        <v>245</v>
      </c>
    </row>
    <row r="57" spans="1:8" ht="21.75" hidden="1" x14ac:dyDescent="0.25">
      <c r="A57" s="226" t="s">
        <v>17</v>
      </c>
      <c r="B57" s="226"/>
      <c r="C57" s="226"/>
      <c r="D57" s="226"/>
      <c r="E57" s="226"/>
      <c r="F57" s="226"/>
      <c r="G57" s="87">
        <f>SUM(G47:G56)</f>
        <v>0</v>
      </c>
      <c r="H57" s="87"/>
    </row>
    <row r="60" spans="1:8" ht="21.75" x14ac:dyDescent="0.25">
      <c r="A60" s="233" t="s">
        <v>47</v>
      </c>
      <c r="B60" s="234"/>
      <c r="C60" s="234"/>
      <c r="D60" s="234"/>
      <c r="E60" s="234"/>
      <c r="F60" s="235"/>
      <c r="G60" s="88">
        <f>G17+G28</f>
        <v>4975870.6853240011</v>
      </c>
      <c r="H60" s="88">
        <f>G60/DADOS_INICIAIS!E9</f>
        <v>766.15152600286717</v>
      </c>
    </row>
    <row r="62" spans="1:8" x14ac:dyDescent="0.25">
      <c r="G62" s="194"/>
      <c r="H62" s="194">
        <f>H60/1.1</f>
        <v>696.50138727533374</v>
      </c>
    </row>
  </sheetData>
  <mergeCells count="14">
    <mergeCell ref="A17:F17"/>
    <mergeCell ref="A60:F60"/>
    <mergeCell ref="A3:H3"/>
    <mergeCell ref="B9:C9"/>
    <mergeCell ref="D9:E9"/>
    <mergeCell ref="B21:C21"/>
    <mergeCell ref="D21:E21"/>
    <mergeCell ref="A28:F28"/>
    <mergeCell ref="B32:C32"/>
    <mergeCell ref="D32:E32"/>
    <mergeCell ref="A42:F42"/>
    <mergeCell ref="B46:C46"/>
    <mergeCell ref="D46:E46"/>
    <mergeCell ref="A57:F5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00B050"/>
  </sheetPr>
  <dimension ref="A1:I39"/>
  <sheetViews>
    <sheetView showGridLines="0" zoomScale="85" zoomScaleNormal="85" zoomScaleSheetLayoutView="95" workbookViewId="0">
      <selection activeCell="I20" sqref="I20"/>
    </sheetView>
  </sheetViews>
  <sheetFormatPr defaultColWidth="9.140625" defaultRowHeight="19.5" x14ac:dyDescent="0.25"/>
  <cols>
    <col min="1" max="1" width="53" style="43" bestFit="1" customWidth="1"/>
    <col min="2" max="4" width="27" style="43" customWidth="1"/>
    <col min="5" max="5" width="14" style="43" customWidth="1"/>
    <col min="6" max="16384" width="9.140625" style="1"/>
  </cols>
  <sheetData>
    <row r="1" spans="1:7" x14ac:dyDescent="0.25">
      <c r="A1" s="46"/>
      <c r="B1" s="46"/>
      <c r="C1" s="46"/>
      <c r="D1" s="46"/>
      <c r="E1" s="46"/>
      <c r="G1" s="2"/>
    </row>
    <row r="2" spans="1:7" ht="28.5" x14ac:dyDescent="0.25">
      <c r="A2" s="227" t="s">
        <v>196</v>
      </c>
      <c r="B2" s="228"/>
      <c r="C2" s="228"/>
      <c r="D2" s="228"/>
      <c r="E2" s="229"/>
      <c r="G2" s="2"/>
    </row>
    <row r="3" spans="1:7" x14ac:dyDescent="0.25">
      <c r="A3" s="48"/>
      <c r="B3" s="48"/>
      <c r="C3" s="48"/>
      <c r="D3" s="46"/>
      <c r="E3" s="46"/>
      <c r="G3" s="2"/>
    </row>
    <row r="4" spans="1:7" s="53" customFormat="1" ht="21.75" x14ac:dyDescent="0.25">
      <c r="A4" s="50" t="s">
        <v>195</v>
      </c>
      <c r="B4" s="51"/>
      <c r="C4" s="51"/>
      <c r="D4" s="51"/>
      <c r="E4" s="51"/>
    </row>
    <row r="5" spans="1:7" s="53" customFormat="1" ht="21.75" x14ac:dyDescent="0.25">
      <c r="A5" s="54"/>
      <c r="B5" s="55"/>
      <c r="C5" s="55"/>
      <c r="D5" s="57"/>
      <c r="E5" s="57"/>
    </row>
    <row r="6" spans="1:7" s="53" customFormat="1" ht="42" customHeight="1" x14ac:dyDescent="0.25">
      <c r="A6" s="61" t="s">
        <v>14</v>
      </c>
      <c r="B6" s="231" t="s">
        <v>5</v>
      </c>
      <c r="C6" s="232"/>
      <c r="D6" s="69" t="s">
        <v>16</v>
      </c>
      <c r="E6" s="57"/>
    </row>
    <row r="7" spans="1:7" s="53" customFormat="1" ht="21.75" x14ac:dyDescent="0.25">
      <c r="A7" s="64" t="s">
        <v>194</v>
      </c>
      <c r="B7" s="60">
        <v>5.5</v>
      </c>
      <c r="C7" s="60" t="s">
        <v>6</v>
      </c>
      <c r="D7" s="86">
        <f>B7*DADOS_INICIAIS!$E$9*1.1</f>
        <v>39292.511500000008</v>
      </c>
      <c r="E7" s="55"/>
    </row>
    <row r="8" spans="1:7" s="53" customFormat="1" ht="21.75" x14ac:dyDescent="0.25">
      <c r="A8" s="64" t="s">
        <v>193</v>
      </c>
      <c r="B8" s="60">
        <v>10</v>
      </c>
      <c r="C8" s="60" t="s">
        <v>6</v>
      </c>
      <c r="D8" s="86">
        <f>B8*DADOS_INICIAIS!$E$9*1.1</f>
        <v>71440.930000000008</v>
      </c>
      <c r="E8" s="55"/>
    </row>
    <row r="9" spans="1:7" s="53" customFormat="1" ht="21.75" x14ac:dyDescent="0.25">
      <c r="A9" s="64" t="s">
        <v>192</v>
      </c>
      <c r="B9" s="60">
        <v>30</v>
      </c>
      <c r="C9" s="60" t="s">
        <v>6</v>
      </c>
      <c r="D9" s="86">
        <f>B9*DADOS_INICIAIS!$E$9*1.1</f>
        <v>214322.79</v>
      </c>
      <c r="E9" s="55"/>
    </row>
    <row r="10" spans="1:7" s="53" customFormat="1" ht="21.75" x14ac:dyDescent="0.25">
      <c r="A10" s="64" t="s">
        <v>191</v>
      </c>
      <c r="B10" s="60">
        <v>15</v>
      </c>
      <c r="C10" s="60" t="s">
        <v>6</v>
      </c>
      <c r="D10" s="86">
        <f>B10*DADOS_INICIAIS!$E$9*1.1</f>
        <v>107161.395</v>
      </c>
      <c r="E10" s="55"/>
    </row>
    <row r="11" spans="1:7" s="53" customFormat="1" ht="21.75" x14ac:dyDescent="0.25">
      <c r="A11" s="64" t="s">
        <v>190</v>
      </c>
      <c r="B11" s="60">
        <v>10</v>
      </c>
      <c r="C11" s="60" t="s">
        <v>6</v>
      </c>
      <c r="D11" s="86">
        <f>B11*DADOS_INICIAIS!$E$9*1.1</f>
        <v>71440.930000000008</v>
      </c>
      <c r="E11" s="55"/>
    </row>
    <row r="12" spans="1:7" s="53" customFormat="1" ht="21.75" x14ac:dyDescent="0.25">
      <c r="A12" s="64" t="s">
        <v>189</v>
      </c>
      <c r="B12" s="60">
        <v>10</v>
      </c>
      <c r="C12" s="60" t="s">
        <v>6</v>
      </c>
      <c r="D12" s="86">
        <f>B12*DADOS_INICIAIS!$E$9*1.1</f>
        <v>71440.930000000008</v>
      </c>
      <c r="E12" s="55"/>
    </row>
    <row r="13" spans="1:7" s="53" customFormat="1" ht="21.75" x14ac:dyDescent="0.25">
      <c r="A13" s="64" t="s">
        <v>188</v>
      </c>
      <c r="B13" s="60">
        <v>60</v>
      </c>
      <c r="C13" s="60" t="s">
        <v>6</v>
      </c>
      <c r="D13" s="86">
        <f>B13*DADOS_INICIAIS!$E$9*1.1</f>
        <v>428645.58</v>
      </c>
      <c r="E13" s="55"/>
    </row>
    <row r="14" spans="1:7" s="53" customFormat="1" ht="21.75" x14ac:dyDescent="0.25">
      <c r="A14" s="226" t="s">
        <v>17</v>
      </c>
      <c r="B14" s="226"/>
      <c r="C14" s="226"/>
      <c r="D14" s="87">
        <f>SUM(D7:D13)</f>
        <v>1003745.0665</v>
      </c>
      <c r="E14" s="58" t="s">
        <v>324</v>
      </c>
    </row>
    <row r="15" spans="1:7" s="53" customFormat="1" ht="21.75" x14ac:dyDescent="0.25">
      <c r="A15" s="230"/>
      <c r="B15" s="230"/>
      <c r="C15" s="230"/>
      <c r="D15" s="97"/>
      <c r="E15" s="57"/>
    </row>
    <row r="16" spans="1:7" s="53" customFormat="1" ht="21.75" x14ac:dyDescent="0.25">
      <c r="A16" s="50" t="s">
        <v>187</v>
      </c>
      <c r="B16" s="51"/>
      <c r="C16" s="51"/>
      <c r="D16" s="95"/>
      <c r="E16" s="51"/>
    </row>
    <row r="17" spans="1:6" s="53" customFormat="1" ht="21.75" x14ac:dyDescent="0.25">
      <c r="A17" s="54"/>
      <c r="B17" s="55"/>
      <c r="C17" s="55"/>
      <c r="D17" s="97"/>
      <c r="E17" s="57"/>
    </row>
    <row r="18" spans="1:6" s="53" customFormat="1" ht="42" customHeight="1" x14ac:dyDescent="0.25">
      <c r="A18" s="61" t="s">
        <v>14</v>
      </c>
      <c r="B18" s="231" t="s">
        <v>5</v>
      </c>
      <c r="C18" s="232"/>
      <c r="D18" s="87" t="s">
        <v>16</v>
      </c>
      <c r="E18" s="57"/>
    </row>
    <row r="19" spans="1:6" s="53" customFormat="1" ht="21.75" x14ac:dyDescent="0.25">
      <c r="A19" s="64" t="s">
        <v>186</v>
      </c>
      <c r="B19" s="60">
        <v>20</v>
      </c>
      <c r="C19" s="60" t="s">
        <v>6</v>
      </c>
      <c r="D19" s="86">
        <f>B19*DADOS_INICIAIS!$E$9*1.1</f>
        <v>142881.86000000002</v>
      </c>
      <c r="E19" s="55"/>
    </row>
    <row r="20" spans="1:6" s="53" customFormat="1" ht="21.75" x14ac:dyDescent="0.25">
      <c r="A20" s="64" t="s">
        <v>185</v>
      </c>
      <c r="B20" s="60">
        <v>18</v>
      </c>
      <c r="C20" s="60" t="s">
        <v>6</v>
      </c>
      <c r="D20" s="86">
        <f>B20*DADOS_INICIAIS!$E$9*1.1</f>
        <v>128593.67400000001</v>
      </c>
      <c r="E20" s="55"/>
    </row>
    <row r="21" spans="1:6" s="53" customFormat="1" ht="21.75" x14ac:dyDescent="0.25">
      <c r="A21" s="64" t="s">
        <v>184</v>
      </c>
      <c r="B21" s="60">
        <v>10</v>
      </c>
      <c r="C21" s="60" t="s">
        <v>6</v>
      </c>
      <c r="D21" s="86">
        <f>B21*DADOS_INICIAIS!$E$9*1.1</f>
        <v>71440.930000000008</v>
      </c>
      <c r="E21" s="55"/>
    </row>
    <row r="22" spans="1:6" s="53" customFormat="1" ht="21.75" x14ac:dyDescent="0.25">
      <c r="A22" s="64" t="s">
        <v>183</v>
      </c>
      <c r="B22" s="60">
        <v>15</v>
      </c>
      <c r="C22" s="60" t="s">
        <v>6</v>
      </c>
      <c r="D22" s="86">
        <f>B22*DADOS_INICIAIS!$E$9*1.1</f>
        <v>107161.395</v>
      </c>
      <c r="E22" s="55"/>
    </row>
    <row r="23" spans="1:6" s="53" customFormat="1" ht="21.75" x14ac:dyDescent="0.25">
      <c r="A23" s="64" t="s">
        <v>182</v>
      </c>
      <c r="B23" s="60">
        <v>45</v>
      </c>
      <c r="C23" s="60" t="s">
        <v>6</v>
      </c>
      <c r="D23" s="86">
        <f>B23*DADOS_INICIAIS!$E$9*1.1</f>
        <v>321484.185</v>
      </c>
      <c r="E23" s="55"/>
    </row>
    <row r="24" spans="1:6" s="53" customFormat="1" ht="21.75" x14ac:dyDescent="0.25">
      <c r="A24" s="64" t="s">
        <v>181</v>
      </c>
      <c r="B24" s="60">
        <v>55</v>
      </c>
      <c r="C24" s="60" t="s">
        <v>6</v>
      </c>
      <c r="D24" s="86">
        <f>B24*DADOS_INICIAIS!$E$9*1.1</f>
        <v>392925.11500000005</v>
      </c>
      <c r="E24" s="55"/>
    </row>
    <row r="25" spans="1:6" s="53" customFormat="1" ht="21.75" x14ac:dyDescent="0.25">
      <c r="A25" s="226" t="s">
        <v>17</v>
      </c>
      <c r="B25" s="226"/>
      <c r="C25" s="226"/>
      <c r="D25" s="87">
        <f>SUM(D19:D24)</f>
        <v>1164487.159</v>
      </c>
      <c r="E25" s="58" t="s">
        <v>324</v>
      </c>
    </row>
    <row r="26" spans="1:6" s="53" customFormat="1" ht="21.75" x14ac:dyDescent="0.25">
      <c r="A26" s="230"/>
      <c r="B26" s="230"/>
      <c r="C26" s="230"/>
      <c r="D26" s="97"/>
      <c r="E26" s="57"/>
    </row>
    <row r="27" spans="1:6" s="53" customFormat="1" ht="21.75" x14ac:dyDescent="0.25">
      <c r="A27" s="50" t="s">
        <v>180</v>
      </c>
      <c r="B27" s="51"/>
      <c r="C27" s="51"/>
      <c r="D27" s="95"/>
      <c r="E27" s="51"/>
    </row>
    <row r="28" spans="1:6" s="53" customFormat="1" ht="21.75" x14ac:dyDescent="0.25">
      <c r="A28" s="54"/>
      <c r="B28" s="55"/>
      <c r="C28" s="55"/>
      <c r="D28" s="97"/>
      <c r="E28" s="57"/>
    </row>
    <row r="29" spans="1:6" s="53" customFormat="1" ht="42" customHeight="1" x14ac:dyDescent="0.25">
      <c r="A29" s="61" t="s">
        <v>14</v>
      </c>
      <c r="B29" s="231" t="s">
        <v>5</v>
      </c>
      <c r="C29" s="232"/>
      <c r="D29" s="87" t="s">
        <v>16</v>
      </c>
      <c r="E29" s="209"/>
    </row>
    <row r="30" spans="1:6" s="53" customFormat="1" ht="26.25" customHeight="1" x14ac:dyDescent="0.25">
      <c r="A30" s="68" t="s">
        <v>179</v>
      </c>
      <c r="B30" s="60">
        <v>10</v>
      </c>
      <c r="C30" s="60" t="s">
        <v>6</v>
      </c>
      <c r="D30" s="86">
        <f>B30*DADOS_INICIAIS!$E$9*1.1</f>
        <v>71440.930000000008</v>
      </c>
      <c r="E30" s="208">
        <v>12828.330000000002</v>
      </c>
      <c r="F30" s="53" t="s">
        <v>328</v>
      </c>
    </row>
    <row r="31" spans="1:6" s="53" customFormat="1" ht="43.5" x14ac:dyDescent="0.25">
      <c r="A31" s="68" t="s">
        <v>325</v>
      </c>
      <c r="B31" s="60">
        <v>4.78</v>
      </c>
      <c r="C31" s="60" t="s">
        <v>6</v>
      </c>
      <c r="D31" s="86">
        <f>B31*DADOS_INICIAIS!$E$9*1.1</f>
        <v>34148.764540000004</v>
      </c>
      <c r="E31" s="210">
        <f>61265.61/E30</f>
        <v>4.7758055803054642</v>
      </c>
    </row>
    <row r="32" spans="1:6" s="53" customFormat="1" ht="26.25" customHeight="1" x14ac:dyDescent="0.25">
      <c r="A32" s="68" t="s">
        <v>326</v>
      </c>
      <c r="B32" s="60">
        <v>9.11</v>
      </c>
      <c r="C32" s="60" t="s">
        <v>6</v>
      </c>
      <c r="D32" s="86">
        <f>B32*DADOS_INICIAIS!$E$9*1.1</f>
        <v>65082.687230000003</v>
      </c>
      <c r="E32" s="210">
        <f>116889.55/E30</f>
        <v>9.1118290533530075</v>
      </c>
    </row>
    <row r="33" spans="1:9" s="53" customFormat="1" ht="26.25" customHeight="1" x14ac:dyDescent="0.25">
      <c r="A33" s="68" t="s">
        <v>327</v>
      </c>
      <c r="B33" s="60">
        <v>7.05</v>
      </c>
      <c r="C33" s="60" t="s">
        <v>6</v>
      </c>
      <c r="D33" s="86">
        <f>B33*DADOS_INICIAIS!$E$9*1.1</f>
        <v>50365.855650000005</v>
      </c>
      <c r="E33" s="210">
        <f>90478.11/E30</f>
        <v>7.0529920886038937</v>
      </c>
    </row>
    <row r="34" spans="1:9" s="53" customFormat="1" ht="21.75" x14ac:dyDescent="0.25">
      <c r="A34" s="68" t="s">
        <v>178</v>
      </c>
      <c r="B34" s="60">
        <v>4</v>
      </c>
      <c r="C34" s="60" t="s">
        <v>6</v>
      </c>
      <c r="D34" s="86">
        <f>B34*DADOS_INICIAIS!$E$9*1.1</f>
        <v>28576.372000000003</v>
      </c>
    </row>
    <row r="35" spans="1:9" s="53" customFormat="1" ht="21.75" x14ac:dyDescent="0.25">
      <c r="A35" s="226" t="s">
        <v>17</v>
      </c>
      <c r="B35" s="226"/>
      <c r="C35" s="226"/>
      <c r="D35" s="87">
        <f>SUM(D30:D34)</f>
        <v>249614.60942000002</v>
      </c>
      <c r="E35" s="58"/>
    </row>
    <row r="36" spans="1:9" x14ac:dyDescent="0.25">
      <c r="D36" s="104"/>
      <c r="I36" s="45"/>
    </row>
    <row r="37" spans="1:9" ht="23.25" customHeight="1" x14ac:dyDescent="0.25">
      <c r="A37" s="223" t="s">
        <v>177</v>
      </c>
      <c r="B37" s="224"/>
      <c r="C37" s="224"/>
      <c r="D37" s="105">
        <f>D14+D25+D35</f>
        <v>2417846.8349199998</v>
      </c>
      <c r="E37" s="105">
        <f>D37/DADOS_INICIAIS!E9</f>
        <v>372.28399999999999</v>
      </c>
    </row>
    <row r="39" spans="1:9" x14ac:dyDescent="0.25">
      <c r="E39" s="195">
        <f>E37/1.1</f>
        <v>338.43999999999994</v>
      </c>
    </row>
  </sheetData>
  <mergeCells count="10">
    <mergeCell ref="A37:C37"/>
    <mergeCell ref="A35:C35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00B050"/>
  </sheetPr>
  <dimension ref="A1:O39"/>
  <sheetViews>
    <sheetView showGridLines="0" topLeftCell="D7" zoomScale="85" zoomScaleNormal="85" zoomScaleSheetLayoutView="95" workbookViewId="0">
      <selection activeCell="I18" sqref="I18"/>
    </sheetView>
  </sheetViews>
  <sheetFormatPr defaultColWidth="9.140625" defaultRowHeight="19.5" x14ac:dyDescent="0.25"/>
  <cols>
    <col min="1" max="1" width="53" style="43" bestFit="1" customWidth="1"/>
    <col min="2" max="4" width="27" style="43" customWidth="1"/>
    <col min="5" max="5" width="14" style="43" customWidth="1"/>
    <col min="6" max="6" width="49.85546875" style="1" bestFit="1" customWidth="1"/>
    <col min="7" max="12" width="15.140625" style="212" customWidth="1"/>
    <col min="13" max="15" width="12.7109375" style="212" customWidth="1"/>
    <col min="16" max="16384" width="9.140625" style="1"/>
  </cols>
  <sheetData>
    <row r="1" spans="1:15" x14ac:dyDescent="0.25">
      <c r="A1" s="46"/>
      <c r="B1" s="46"/>
      <c r="C1" s="46"/>
      <c r="D1" s="46"/>
      <c r="E1" s="46"/>
      <c r="G1" s="211"/>
    </row>
    <row r="2" spans="1:15" ht="28.5" x14ac:dyDescent="0.25">
      <c r="A2" s="227" t="s">
        <v>215</v>
      </c>
      <c r="B2" s="228"/>
      <c r="C2" s="228"/>
      <c r="D2" s="228"/>
      <c r="E2" s="229"/>
      <c r="G2" s="211"/>
    </row>
    <row r="3" spans="1:15" x14ac:dyDescent="0.25">
      <c r="A3" s="48"/>
      <c r="B3" s="48"/>
      <c r="C3" s="48"/>
      <c r="D3" s="46"/>
      <c r="E3" s="46"/>
      <c r="G3" s="211"/>
    </row>
    <row r="4" spans="1:15" s="53" customFormat="1" ht="21.75" x14ac:dyDescent="0.25">
      <c r="A4" s="50" t="s">
        <v>214</v>
      </c>
      <c r="B4" s="51"/>
      <c r="C4" s="51"/>
      <c r="D4" s="51"/>
      <c r="E4" s="51"/>
      <c r="G4" s="213"/>
      <c r="H4" s="213"/>
      <c r="I4" s="213"/>
      <c r="J4" s="213"/>
      <c r="K4" s="213"/>
      <c r="L4" s="213"/>
      <c r="M4" s="213"/>
      <c r="N4" s="213"/>
      <c r="O4" s="213"/>
    </row>
    <row r="5" spans="1:15" s="53" customFormat="1" ht="21.75" x14ac:dyDescent="0.25">
      <c r="A5" s="54"/>
      <c r="B5" s="55"/>
      <c r="C5" s="55"/>
      <c r="D5" s="57"/>
      <c r="E5" s="57"/>
      <c r="G5" s="213"/>
      <c r="H5" s="213"/>
      <c r="I5" s="213"/>
      <c r="J5" s="213"/>
      <c r="K5" s="213"/>
      <c r="L5" s="213"/>
      <c r="M5" s="213"/>
      <c r="N5" s="213"/>
      <c r="O5" s="213"/>
    </row>
    <row r="6" spans="1:15" s="53" customFormat="1" ht="60" x14ac:dyDescent="0.25">
      <c r="A6" s="61" t="s">
        <v>14</v>
      </c>
      <c r="B6" s="63" t="s">
        <v>18</v>
      </c>
      <c r="C6" s="69" t="s">
        <v>203</v>
      </c>
      <c r="D6" s="69" t="s">
        <v>16</v>
      </c>
      <c r="E6" s="57"/>
      <c r="G6" s="215" t="s">
        <v>329</v>
      </c>
      <c r="H6" s="215" t="s">
        <v>330</v>
      </c>
      <c r="I6" s="215" t="s">
        <v>331</v>
      </c>
      <c r="J6" s="215" t="s">
        <v>332</v>
      </c>
      <c r="K6" s="215" t="s">
        <v>333</v>
      </c>
      <c r="L6" s="215" t="s">
        <v>334</v>
      </c>
      <c r="M6" s="215" t="s">
        <v>336</v>
      </c>
      <c r="N6" s="215" t="s">
        <v>335</v>
      </c>
      <c r="O6" s="213"/>
    </row>
    <row r="7" spans="1:15" s="53" customFormat="1" ht="43.5" x14ac:dyDescent="0.25">
      <c r="A7" s="64" t="s">
        <v>213</v>
      </c>
      <c r="B7" s="65">
        <f>SUM(G7:N7)</f>
        <v>155</v>
      </c>
      <c r="C7" s="216">
        <v>1200</v>
      </c>
      <c r="D7" s="86">
        <f>B7*C7*1.1</f>
        <v>204600.00000000003</v>
      </c>
      <c r="E7" s="55"/>
      <c r="F7" s="53" t="s">
        <v>213</v>
      </c>
      <c r="G7" s="215">
        <v>2</v>
      </c>
      <c r="H7" s="215"/>
      <c r="I7" s="215">
        <f>12+12+11</f>
        <v>35</v>
      </c>
      <c r="J7" s="215">
        <f t="shared" ref="J7:L7" si="0">12+12+11</f>
        <v>35</v>
      </c>
      <c r="K7" s="215">
        <f t="shared" si="0"/>
        <v>35</v>
      </c>
      <c r="L7" s="215">
        <f t="shared" si="0"/>
        <v>35</v>
      </c>
      <c r="M7" s="215">
        <f>7+6</f>
        <v>13</v>
      </c>
      <c r="N7" s="215"/>
      <c r="O7" s="213"/>
    </row>
    <row r="8" spans="1:15" s="53" customFormat="1" ht="21.75" x14ac:dyDescent="0.25">
      <c r="A8" s="64" t="s">
        <v>212</v>
      </c>
      <c r="B8" s="65">
        <f t="shared" ref="B8:B10" si="1">SUM(G8:N8)</f>
        <v>6</v>
      </c>
      <c r="C8" s="185">
        <v>5000</v>
      </c>
      <c r="D8" s="86">
        <f>B8*C8*1.1</f>
        <v>33000</v>
      </c>
      <c r="E8" s="55"/>
      <c r="F8" s="53" t="s">
        <v>212</v>
      </c>
      <c r="G8" s="215"/>
      <c r="H8" s="215"/>
      <c r="I8" s="215"/>
      <c r="J8" s="215"/>
      <c r="K8" s="215"/>
      <c r="L8" s="215"/>
      <c r="M8" s="215">
        <v>6</v>
      </c>
      <c r="N8" s="215"/>
      <c r="O8" s="213"/>
    </row>
    <row r="9" spans="1:15" s="53" customFormat="1" ht="21.75" x14ac:dyDescent="0.25">
      <c r="A9" s="64" t="s">
        <v>211</v>
      </c>
      <c r="B9" s="65">
        <f t="shared" si="1"/>
        <v>107</v>
      </c>
      <c r="C9" s="185">
        <v>900</v>
      </c>
      <c r="D9" s="86">
        <f>B9*C9*1.1</f>
        <v>105930.00000000001</v>
      </c>
      <c r="E9" s="55"/>
      <c r="F9" s="53" t="s">
        <v>211</v>
      </c>
      <c r="G9" s="215"/>
      <c r="H9" s="215"/>
      <c r="I9" s="215">
        <f>I12</f>
        <v>25</v>
      </c>
      <c r="J9" s="215">
        <f>J12</f>
        <v>25</v>
      </c>
      <c r="K9" s="215">
        <f>K12</f>
        <v>25</v>
      </c>
      <c r="L9" s="215">
        <f>L12</f>
        <v>25</v>
      </c>
      <c r="M9" s="215">
        <f>M12+M13</f>
        <v>7</v>
      </c>
      <c r="N9" s="215"/>
      <c r="O9" s="213"/>
    </row>
    <row r="10" spans="1:15" s="53" customFormat="1" ht="21.75" x14ac:dyDescent="0.25">
      <c r="A10" s="64" t="s">
        <v>210</v>
      </c>
      <c r="B10" s="65">
        <f t="shared" si="1"/>
        <v>45</v>
      </c>
      <c r="C10" s="185">
        <v>2600</v>
      </c>
      <c r="D10" s="86">
        <f>B10*C10*1.1</f>
        <v>128700.00000000001</v>
      </c>
      <c r="E10" s="55"/>
      <c r="F10" s="53" t="s">
        <v>210</v>
      </c>
      <c r="G10" s="215"/>
      <c r="H10" s="215"/>
      <c r="I10" s="215">
        <f>I14</f>
        <v>11</v>
      </c>
      <c r="J10" s="215">
        <f>J14</f>
        <v>11</v>
      </c>
      <c r="K10" s="215">
        <f>K14</f>
        <v>11</v>
      </c>
      <c r="L10" s="215">
        <f>L14</f>
        <v>11</v>
      </c>
      <c r="M10" s="215">
        <v>1</v>
      </c>
      <c r="N10" s="215"/>
      <c r="O10" s="213"/>
    </row>
    <row r="11" spans="1:15" s="53" customFormat="1" ht="21.75" x14ac:dyDescent="0.25">
      <c r="A11" s="226" t="s">
        <v>17</v>
      </c>
      <c r="B11" s="226"/>
      <c r="C11" s="226"/>
      <c r="D11" s="87">
        <f>SUM(D7:D10)</f>
        <v>472230.00000000006</v>
      </c>
      <c r="E11" s="58"/>
      <c r="F11" s="53" t="s">
        <v>337</v>
      </c>
      <c r="G11" s="215">
        <v>1</v>
      </c>
      <c r="H11" s="215"/>
      <c r="I11" s="215"/>
      <c r="J11" s="215"/>
      <c r="K11" s="215"/>
      <c r="L11" s="215"/>
      <c r="M11" s="215">
        <v>3</v>
      </c>
      <c r="N11" s="215"/>
      <c r="O11" s="213"/>
    </row>
    <row r="12" spans="1:15" s="53" customFormat="1" ht="21.75" x14ac:dyDescent="0.25">
      <c r="A12" s="230"/>
      <c r="B12" s="230"/>
      <c r="C12" s="230"/>
      <c r="D12" s="57"/>
      <c r="E12" s="57"/>
      <c r="F12" s="53" t="s">
        <v>338</v>
      </c>
      <c r="G12" s="215">
        <v>1</v>
      </c>
      <c r="H12" s="215"/>
      <c r="I12" s="215">
        <f>3+8+8+2+2+2</f>
        <v>25</v>
      </c>
      <c r="J12" s="215">
        <f t="shared" ref="J12:L12" si="2">3+8+8+2+2+2</f>
        <v>25</v>
      </c>
      <c r="K12" s="215">
        <f t="shared" si="2"/>
        <v>25</v>
      </c>
      <c r="L12" s="215">
        <f t="shared" si="2"/>
        <v>25</v>
      </c>
      <c r="M12" s="215">
        <v>6</v>
      </c>
      <c r="N12" s="215"/>
      <c r="O12" s="213"/>
    </row>
    <row r="13" spans="1:15" s="53" customFormat="1" ht="21.75" x14ac:dyDescent="0.25">
      <c r="A13" s="50" t="s">
        <v>209</v>
      </c>
      <c r="B13" s="51"/>
      <c r="C13" s="51"/>
      <c r="D13" s="51"/>
      <c r="E13" s="51"/>
      <c r="F13" s="53" t="s">
        <v>339</v>
      </c>
      <c r="G13" s="215">
        <v>1</v>
      </c>
      <c r="H13" s="215"/>
      <c r="I13" s="215"/>
      <c r="J13" s="215"/>
      <c r="K13" s="215"/>
      <c r="L13" s="215"/>
      <c r="M13" s="215">
        <v>1</v>
      </c>
      <c r="N13" s="215"/>
      <c r="O13" s="213"/>
    </row>
    <row r="14" spans="1:15" s="53" customFormat="1" ht="21.75" x14ac:dyDescent="0.25">
      <c r="A14" s="54"/>
      <c r="B14" s="55"/>
      <c r="C14" s="55"/>
      <c r="D14" s="57"/>
      <c r="E14" s="57"/>
      <c r="F14" s="53" t="s">
        <v>340</v>
      </c>
      <c r="G14" s="215">
        <v>1</v>
      </c>
      <c r="H14" s="215"/>
      <c r="I14" s="215">
        <v>11</v>
      </c>
      <c r="J14" s="215">
        <v>11</v>
      </c>
      <c r="K14" s="215">
        <v>11</v>
      </c>
      <c r="L14" s="215">
        <v>11</v>
      </c>
      <c r="M14" s="215">
        <v>2</v>
      </c>
      <c r="N14" s="215"/>
      <c r="O14" s="213"/>
    </row>
    <row r="15" spans="1:15" s="53" customFormat="1" ht="42" customHeight="1" x14ac:dyDescent="0.25">
      <c r="A15" s="61" t="s">
        <v>14</v>
      </c>
      <c r="B15" s="231" t="s">
        <v>5</v>
      </c>
      <c r="C15" s="232"/>
      <c r="D15" s="69" t="s">
        <v>16</v>
      </c>
      <c r="E15" s="57"/>
      <c r="F15" s="53" t="s">
        <v>341</v>
      </c>
      <c r="G15" s="215">
        <v>1</v>
      </c>
      <c r="H15" s="215"/>
      <c r="I15" s="215">
        <v>11</v>
      </c>
      <c r="J15" s="215">
        <v>11</v>
      </c>
      <c r="K15" s="215">
        <v>11</v>
      </c>
      <c r="L15" s="215">
        <v>11</v>
      </c>
      <c r="M15" s="215"/>
      <c r="N15" s="215"/>
      <c r="O15" s="213"/>
    </row>
    <row r="16" spans="1:15" s="53" customFormat="1" ht="21.75" x14ac:dyDescent="0.25">
      <c r="A16" s="64" t="s">
        <v>208</v>
      </c>
      <c r="B16" s="60">
        <v>2</v>
      </c>
      <c r="C16" s="60" t="s">
        <v>6</v>
      </c>
      <c r="D16" s="86">
        <f>B16*DADOS_INICIAIS!$E$9*1.1</f>
        <v>14288.186000000002</v>
      </c>
      <c r="E16" s="55"/>
      <c r="F16" s="53" t="s">
        <v>164</v>
      </c>
      <c r="G16" s="215">
        <f>G15+SUM(G11:G14)*2</f>
        <v>9</v>
      </c>
      <c r="H16" s="215">
        <f t="shared" ref="H16:N16" si="3">H15+SUM(H11:H14)*2</f>
        <v>0</v>
      </c>
      <c r="I16" s="215">
        <f t="shared" si="3"/>
        <v>83</v>
      </c>
      <c r="J16" s="215">
        <f t="shared" si="3"/>
        <v>83</v>
      </c>
      <c r="K16" s="215">
        <f t="shared" si="3"/>
        <v>83</v>
      </c>
      <c r="L16" s="215">
        <f t="shared" si="3"/>
        <v>83</v>
      </c>
      <c r="M16" s="215">
        <f t="shared" si="3"/>
        <v>24</v>
      </c>
      <c r="N16" s="215">
        <f t="shared" si="3"/>
        <v>0</v>
      </c>
      <c r="O16" s="213"/>
    </row>
    <row r="17" spans="1:15" s="53" customFormat="1" ht="21.75" x14ac:dyDescent="0.25">
      <c r="A17" s="64" t="s">
        <v>207</v>
      </c>
      <c r="B17" s="60">
        <v>5</v>
      </c>
      <c r="C17" s="60" t="s">
        <v>6</v>
      </c>
      <c r="D17" s="86">
        <f>B17*DADOS_INICIAIS!$E$9*1.1</f>
        <v>35720.465000000004</v>
      </c>
      <c r="E17" s="55"/>
      <c r="G17" s="213"/>
      <c r="H17" s="213"/>
      <c r="I17" s="213"/>
      <c r="J17" s="213"/>
      <c r="K17" s="213"/>
      <c r="L17" s="213"/>
      <c r="M17" s="213"/>
      <c r="N17" s="213"/>
      <c r="O17" s="213"/>
    </row>
    <row r="18" spans="1:15" s="53" customFormat="1" ht="21.75" x14ac:dyDescent="0.25">
      <c r="A18" s="64" t="s">
        <v>206</v>
      </c>
      <c r="B18" s="60">
        <v>3</v>
      </c>
      <c r="C18" s="60" t="s">
        <v>6</v>
      </c>
      <c r="D18" s="86">
        <f>B18*DADOS_INICIAIS!$E$9*1.1</f>
        <v>21432.279000000002</v>
      </c>
      <c r="E18" s="55"/>
      <c r="G18" s="213"/>
      <c r="H18" s="213"/>
      <c r="I18" s="213"/>
      <c r="J18" s="213"/>
      <c r="K18" s="213"/>
      <c r="L18" s="213"/>
      <c r="M18" s="213"/>
      <c r="N18" s="213"/>
      <c r="O18" s="213"/>
    </row>
    <row r="19" spans="1:15" s="53" customFormat="1" ht="43.5" x14ac:dyDescent="0.25">
      <c r="A19" s="64" t="s">
        <v>205</v>
      </c>
      <c r="B19" s="60">
        <v>5</v>
      </c>
      <c r="C19" s="60" t="s">
        <v>6</v>
      </c>
      <c r="D19" s="86">
        <f>B19*DADOS_INICIAIS!$E$9*1.1</f>
        <v>35720.465000000004</v>
      </c>
      <c r="E19" s="55"/>
      <c r="G19" s="213"/>
      <c r="H19" s="213"/>
      <c r="I19" s="213"/>
      <c r="J19" s="213"/>
      <c r="K19" s="213"/>
      <c r="L19" s="213"/>
      <c r="M19" s="213"/>
      <c r="N19" s="213"/>
      <c r="O19" s="213"/>
    </row>
    <row r="20" spans="1:15" s="53" customFormat="1" ht="21.75" x14ac:dyDescent="0.25">
      <c r="A20" s="226" t="s">
        <v>17</v>
      </c>
      <c r="B20" s="226"/>
      <c r="C20" s="226"/>
      <c r="D20" s="87">
        <f>SUM(D16:D19)</f>
        <v>107161.39500000002</v>
      </c>
      <c r="E20" s="58"/>
      <c r="G20" s="213"/>
      <c r="H20" s="213"/>
      <c r="I20" s="213"/>
      <c r="J20" s="213"/>
      <c r="K20" s="213"/>
      <c r="L20" s="213"/>
      <c r="M20" s="213"/>
      <c r="N20" s="213"/>
      <c r="O20" s="213"/>
    </row>
    <row r="21" spans="1:15" s="53" customFormat="1" ht="21.75" x14ac:dyDescent="0.25">
      <c r="A21" s="230"/>
      <c r="B21" s="230"/>
      <c r="C21" s="230"/>
      <c r="D21" s="57"/>
      <c r="E21" s="57"/>
      <c r="G21" s="213"/>
      <c r="H21" s="213"/>
      <c r="I21" s="213"/>
      <c r="J21" s="213"/>
      <c r="K21" s="213"/>
      <c r="L21" s="213"/>
      <c r="M21" s="213"/>
      <c r="N21" s="213"/>
      <c r="O21" s="213"/>
    </row>
    <row r="22" spans="1:15" s="53" customFormat="1" ht="21.75" x14ac:dyDescent="0.25">
      <c r="A22" s="50" t="s">
        <v>204</v>
      </c>
      <c r="B22" s="51"/>
      <c r="C22" s="51"/>
      <c r="D22" s="51"/>
      <c r="E22" s="51"/>
      <c r="G22" s="213"/>
      <c r="H22" s="213"/>
      <c r="I22" s="213"/>
      <c r="J22" s="213"/>
      <c r="K22" s="213"/>
      <c r="L22" s="213"/>
      <c r="M22" s="213"/>
      <c r="N22" s="213"/>
      <c r="O22" s="213"/>
    </row>
    <row r="23" spans="1:15" s="53" customFormat="1" ht="21.75" x14ac:dyDescent="0.25">
      <c r="A23" s="54"/>
      <c r="B23" s="55"/>
      <c r="C23" s="55"/>
      <c r="D23" s="57"/>
      <c r="E23" s="57"/>
      <c r="G23" s="213"/>
      <c r="H23" s="213"/>
      <c r="I23" s="213"/>
      <c r="J23" s="213"/>
      <c r="K23" s="213"/>
      <c r="L23" s="213"/>
      <c r="M23" s="213"/>
      <c r="N23" s="213"/>
      <c r="O23" s="213"/>
    </row>
    <row r="24" spans="1:15" s="53" customFormat="1" ht="42" customHeight="1" x14ac:dyDescent="0.25">
      <c r="A24" s="61" t="s">
        <v>14</v>
      </c>
      <c r="B24" s="63" t="s">
        <v>18</v>
      </c>
      <c r="C24" s="69" t="s">
        <v>203</v>
      </c>
      <c r="D24" s="69" t="s">
        <v>16</v>
      </c>
      <c r="E24" s="57"/>
      <c r="G24" s="213"/>
      <c r="H24" s="213"/>
      <c r="I24" s="213"/>
      <c r="J24" s="213"/>
      <c r="K24" s="213"/>
      <c r="L24" s="213"/>
      <c r="M24" s="213"/>
      <c r="N24" s="213"/>
      <c r="O24" s="213"/>
    </row>
    <row r="25" spans="1:15" s="53" customFormat="1" ht="26.25" customHeight="1" x14ac:dyDescent="0.25">
      <c r="A25" s="68" t="s">
        <v>202</v>
      </c>
      <c r="B25" s="65">
        <v>2</v>
      </c>
      <c r="C25" s="185">
        <f>(768900/2)*0.85</f>
        <v>326782.5</v>
      </c>
      <c r="D25" s="86">
        <f t="shared" ref="D25:D29" si="4">B25*C25*1.1</f>
        <v>718921.5</v>
      </c>
      <c r="E25" s="55"/>
      <c r="G25" s="213"/>
      <c r="H25" s="213"/>
      <c r="I25" s="213"/>
      <c r="J25" s="213"/>
      <c r="K25" s="213"/>
      <c r="L25" s="213"/>
      <c r="M25" s="213"/>
      <c r="N25" s="213"/>
      <c r="O25" s="213"/>
    </row>
    <row r="26" spans="1:15" s="53" customFormat="1" ht="26.25" customHeight="1" x14ac:dyDescent="0.25">
      <c r="A26" s="68" t="s">
        <v>201</v>
      </c>
      <c r="B26" s="65">
        <v>1</v>
      </c>
      <c r="C26" s="185">
        <v>18000</v>
      </c>
      <c r="D26" s="86">
        <f t="shared" si="4"/>
        <v>19800</v>
      </c>
      <c r="E26" s="55"/>
      <c r="G26" s="213"/>
      <c r="H26" s="213"/>
      <c r="I26" s="213"/>
      <c r="J26" s="213"/>
      <c r="K26" s="213"/>
      <c r="L26" s="213"/>
      <c r="M26" s="213"/>
      <c r="N26" s="213"/>
      <c r="O26" s="213"/>
    </row>
    <row r="27" spans="1:15" s="53" customFormat="1" ht="26.25" customHeight="1" x14ac:dyDescent="0.25">
      <c r="A27" s="68" t="s">
        <v>258</v>
      </c>
      <c r="B27" s="65">
        <v>1</v>
      </c>
      <c r="C27" s="185">
        <v>8000</v>
      </c>
      <c r="D27" s="86">
        <f t="shared" si="4"/>
        <v>8800</v>
      </c>
      <c r="E27" s="55"/>
      <c r="G27" s="213"/>
      <c r="H27" s="213"/>
      <c r="I27" s="213"/>
      <c r="J27" s="213"/>
      <c r="K27" s="213"/>
      <c r="L27" s="213"/>
      <c r="M27" s="213"/>
      <c r="N27" s="213"/>
      <c r="O27" s="213"/>
    </row>
    <row r="28" spans="1:15" s="53" customFormat="1" ht="26.25" customHeight="1" x14ac:dyDescent="0.25">
      <c r="A28" s="68" t="s">
        <v>200</v>
      </c>
      <c r="B28" s="65">
        <v>2</v>
      </c>
      <c r="C28" s="185">
        <v>560</v>
      </c>
      <c r="D28" s="86">
        <f t="shared" si="4"/>
        <v>1232</v>
      </c>
      <c r="E28" s="55"/>
      <c r="G28" s="213"/>
      <c r="H28" s="213"/>
      <c r="I28" s="213"/>
      <c r="J28" s="213"/>
      <c r="K28" s="213"/>
      <c r="L28" s="213"/>
      <c r="M28" s="213"/>
      <c r="N28" s="213"/>
      <c r="O28" s="213"/>
    </row>
    <row r="29" spans="1:15" s="53" customFormat="1" ht="26.25" customHeight="1" x14ac:dyDescent="0.25">
      <c r="A29" s="68" t="s">
        <v>296</v>
      </c>
      <c r="B29" s="65">
        <v>1</v>
      </c>
      <c r="C29" s="185">
        <v>25000</v>
      </c>
      <c r="D29" s="86">
        <f t="shared" si="4"/>
        <v>27500.000000000004</v>
      </c>
      <c r="E29" s="55"/>
      <c r="G29" s="213"/>
      <c r="H29" s="213"/>
      <c r="I29" s="213"/>
      <c r="J29" s="213"/>
      <c r="K29" s="213"/>
      <c r="L29" s="213"/>
      <c r="M29" s="213"/>
      <c r="N29" s="213"/>
      <c r="O29" s="213"/>
    </row>
    <row r="30" spans="1:15" s="53" customFormat="1" ht="26.25" customHeight="1" x14ac:dyDescent="0.25">
      <c r="A30" s="68" t="s">
        <v>293</v>
      </c>
      <c r="B30" s="65">
        <v>0</v>
      </c>
      <c r="C30" s="185">
        <f>55*DADOS_INICIAIS!E9</f>
        <v>357204.65</v>
      </c>
      <c r="D30" s="86">
        <f>B30*C30</f>
        <v>0</v>
      </c>
      <c r="E30" s="55"/>
      <c r="G30" s="213"/>
      <c r="H30" s="213"/>
      <c r="I30" s="213"/>
      <c r="J30" s="213"/>
      <c r="K30" s="213"/>
      <c r="L30" s="213"/>
      <c r="M30" s="213"/>
      <c r="N30" s="213"/>
      <c r="O30" s="213"/>
    </row>
    <row r="31" spans="1:15" s="53" customFormat="1" ht="21.75" x14ac:dyDescent="0.25">
      <c r="A31" s="226" t="s">
        <v>17</v>
      </c>
      <c r="B31" s="226"/>
      <c r="C31" s="226"/>
      <c r="D31" s="87">
        <f>SUM(D25:D30)</f>
        <v>776253.5</v>
      </c>
      <c r="E31" s="58"/>
      <c r="G31" s="213"/>
      <c r="H31" s="213"/>
      <c r="I31" s="213"/>
      <c r="J31" s="213"/>
      <c r="K31" s="213"/>
      <c r="L31" s="213"/>
      <c r="M31" s="213"/>
      <c r="N31" s="213"/>
      <c r="O31" s="213"/>
    </row>
    <row r="32" spans="1:15" x14ac:dyDescent="0.25">
      <c r="I32" s="214"/>
    </row>
    <row r="33" spans="1:15" s="53" customFormat="1" ht="21.75" x14ac:dyDescent="0.25">
      <c r="A33" s="50" t="s">
        <v>199</v>
      </c>
      <c r="B33" s="51"/>
      <c r="C33" s="51"/>
      <c r="D33" s="51"/>
      <c r="E33" s="51"/>
      <c r="G33" s="213"/>
      <c r="H33" s="213"/>
      <c r="I33" s="213"/>
      <c r="J33" s="213"/>
      <c r="K33" s="213"/>
      <c r="L33" s="213"/>
      <c r="M33" s="213"/>
      <c r="N33" s="213"/>
      <c r="O33" s="213"/>
    </row>
    <row r="34" spans="1:15" s="53" customFormat="1" ht="21.75" x14ac:dyDescent="0.25">
      <c r="A34" s="54"/>
      <c r="B34" s="55"/>
      <c r="C34" s="55"/>
      <c r="D34" s="57"/>
      <c r="E34" s="57"/>
      <c r="G34" s="213"/>
      <c r="H34" s="213"/>
      <c r="I34" s="213"/>
      <c r="J34" s="213"/>
      <c r="K34" s="213"/>
      <c r="L34" s="213"/>
      <c r="M34" s="213"/>
      <c r="N34" s="213"/>
      <c r="O34" s="213"/>
    </row>
    <row r="35" spans="1:15" s="53" customFormat="1" ht="40.5" customHeight="1" x14ac:dyDescent="0.25">
      <c r="A35" s="61" t="s">
        <v>14</v>
      </c>
      <c r="B35" s="231" t="s">
        <v>5</v>
      </c>
      <c r="C35" s="232"/>
      <c r="D35" s="69" t="s">
        <v>16</v>
      </c>
      <c r="E35" s="57"/>
      <c r="G35" s="213"/>
      <c r="H35" s="213"/>
      <c r="I35" s="213"/>
      <c r="J35" s="213"/>
      <c r="K35" s="213"/>
      <c r="L35" s="213"/>
      <c r="M35" s="213"/>
      <c r="N35" s="213"/>
      <c r="O35" s="213"/>
    </row>
    <row r="36" spans="1:15" s="53" customFormat="1" ht="26.25" customHeight="1" x14ac:dyDescent="0.25">
      <c r="A36" s="68" t="s">
        <v>198</v>
      </c>
      <c r="B36" s="60">
        <v>20</v>
      </c>
      <c r="C36" s="60" t="s">
        <v>6</v>
      </c>
      <c r="D36" s="86">
        <f>B36*DADOS_INICIAIS!E9*1.1</f>
        <v>142881.86000000002</v>
      </c>
      <c r="E36" s="99"/>
      <c r="G36" s="213"/>
      <c r="H36" s="213"/>
      <c r="I36" s="213"/>
      <c r="J36" s="213"/>
      <c r="K36" s="213"/>
      <c r="L36" s="213"/>
      <c r="M36" s="213"/>
      <c r="N36" s="213"/>
      <c r="O36" s="213"/>
    </row>
    <row r="37" spans="1:15" s="53" customFormat="1" ht="21.75" x14ac:dyDescent="0.25">
      <c r="A37" s="226" t="s">
        <v>17</v>
      </c>
      <c r="B37" s="226"/>
      <c r="C37" s="226"/>
      <c r="D37" s="87">
        <f>SUM(D36:D36)</f>
        <v>142881.86000000002</v>
      </c>
      <c r="E37" s="100"/>
      <c r="G37" s="213"/>
      <c r="H37" s="213"/>
      <c r="I37" s="213"/>
      <c r="J37" s="213"/>
      <c r="K37" s="213"/>
      <c r="L37" s="213"/>
      <c r="M37" s="213"/>
      <c r="N37" s="213"/>
      <c r="O37" s="213"/>
    </row>
    <row r="38" spans="1:15" x14ac:dyDescent="0.25">
      <c r="D38" s="104"/>
      <c r="E38" s="104"/>
      <c r="I38" s="214"/>
    </row>
    <row r="39" spans="1:15" ht="23.25" customHeight="1" x14ac:dyDescent="0.25">
      <c r="A39" s="223" t="s">
        <v>197</v>
      </c>
      <c r="B39" s="224"/>
      <c r="C39" s="225"/>
      <c r="D39" s="105">
        <f>D11+D20+D31+D37</f>
        <v>1498526.7550000001</v>
      </c>
      <c r="E39" s="105">
        <f>D39/DADOS_INICIAIS!E9</f>
        <v>230.73319881194158</v>
      </c>
    </row>
  </sheetData>
  <mergeCells count="10">
    <mergeCell ref="A31:C31"/>
    <mergeCell ref="A39:C39"/>
    <mergeCell ref="B35:C35"/>
    <mergeCell ref="A37:C37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00B050"/>
  </sheetPr>
  <dimension ref="A1:I17"/>
  <sheetViews>
    <sheetView showGridLines="0" zoomScale="85" zoomScaleNormal="85" zoomScaleSheetLayoutView="95" workbookViewId="0">
      <selection activeCell="E20" sqref="E20"/>
    </sheetView>
  </sheetViews>
  <sheetFormatPr defaultColWidth="9.140625" defaultRowHeight="19.5" x14ac:dyDescent="0.25"/>
  <cols>
    <col min="1" max="1" width="53" style="43" bestFit="1" customWidth="1"/>
    <col min="2" max="6" width="27" style="43" customWidth="1"/>
    <col min="7" max="7" width="14" style="43" customWidth="1"/>
    <col min="8" max="16384" width="9.140625" style="1"/>
  </cols>
  <sheetData>
    <row r="1" spans="1:9" x14ac:dyDescent="0.25">
      <c r="A1" s="46"/>
      <c r="B1" s="46"/>
      <c r="C1" s="46"/>
      <c r="D1" s="46"/>
      <c r="E1" s="46"/>
      <c r="F1" s="46"/>
      <c r="G1" s="46"/>
      <c r="H1" s="2"/>
    </row>
    <row r="2" spans="1:9" ht="28.5" x14ac:dyDescent="0.25">
      <c r="A2" s="227" t="s">
        <v>225</v>
      </c>
      <c r="B2" s="228"/>
      <c r="C2" s="228"/>
      <c r="D2" s="228"/>
      <c r="E2" s="228"/>
      <c r="F2" s="228"/>
      <c r="G2" s="229"/>
      <c r="H2" s="2"/>
    </row>
    <row r="3" spans="1:9" s="53" customFormat="1" x14ac:dyDescent="0.25">
      <c r="A3" s="186" t="s">
        <v>123</v>
      </c>
      <c r="B3" s="191">
        <v>45460</v>
      </c>
      <c r="C3" s="189"/>
      <c r="D3" s="189"/>
      <c r="E3" s="189"/>
      <c r="F3" s="189"/>
      <c r="G3" s="189"/>
      <c r="I3" s="76"/>
    </row>
    <row r="4" spans="1:9" s="53" customFormat="1" x14ac:dyDescent="0.25">
      <c r="A4" s="186" t="s">
        <v>237</v>
      </c>
      <c r="B4" s="192" t="s">
        <v>153</v>
      </c>
      <c r="C4" s="187"/>
      <c r="D4" s="187"/>
      <c r="E4" s="187"/>
      <c r="F4" s="187"/>
      <c r="G4" s="187"/>
      <c r="I4" s="76"/>
    </row>
    <row r="5" spans="1:9" x14ac:dyDescent="0.25">
      <c r="A5" s="48"/>
      <c r="B5" s="48"/>
      <c r="C5" s="48"/>
      <c r="D5" s="48"/>
      <c r="E5" s="48"/>
      <c r="F5" s="46"/>
      <c r="G5" s="46"/>
      <c r="H5" s="2"/>
    </row>
    <row r="6" spans="1:9" s="53" customFormat="1" ht="21.75" x14ac:dyDescent="0.25">
      <c r="A6" s="50" t="s">
        <v>224</v>
      </c>
      <c r="B6" s="51"/>
      <c r="C6" s="51"/>
      <c r="D6" s="51"/>
      <c r="E6" s="51"/>
      <c r="F6" s="51"/>
      <c r="G6" s="51"/>
    </row>
    <row r="7" spans="1:9" s="53" customFormat="1" ht="21.75" x14ac:dyDescent="0.25">
      <c r="A7" s="54"/>
      <c r="B7" s="55"/>
      <c r="C7" s="55"/>
      <c r="D7" s="55"/>
      <c r="E7" s="55"/>
      <c r="F7" s="57"/>
      <c r="G7" s="57"/>
    </row>
    <row r="8" spans="1:9" s="53" customFormat="1" ht="42" customHeight="1" x14ac:dyDescent="0.25">
      <c r="A8" s="61" t="s">
        <v>14</v>
      </c>
      <c r="B8" s="231" t="s">
        <v>5</v>
      </c>
      <c r="C8" s="232"/>
      <c r="D8" s="231" t="s">
        <v>18</v>
      </c>
      <c r="E8" s="232"/>
      <c r="F8" s="69" t="s">
        <v>16</v>
      </c>
      <c r="G8" s="57"/>
    </row>
    <row r="9" spans="1:9" s="53" customFormat="1" ht="21.75" x14ac:dyDescent="0.25">
      <c r="A9" s="64" t="s">
        <v>223</v>
      </c>
      <c r="B9" s="60">
        <v>1900</v>
      </c>
      <c r="C9" s="60" t="s">
        <v>222</v>
      </c>
      <c r="D9" s="65">
        <f>DADOS_INICIAIS!E21-184.89*0.5</f>
        <v>255.24979999999999</v>
      </c>
      <c r="E9" s="65" t="s">
        <v>2</v>
      </c>
      <c r="F9" s="86">
        <f>D9*B9*1.1</f>
        <v>533472.08200000005</v>
      </c>
      <c r="G9" s="55"/>
    </row>
    <row r="10" spans="1:9" s="53" customFormat="1" ht="21.75" x14ac:dyDescent="0.25">
      <c r="A10" s="64" t="s">
        <v>221</v>
      </c>
      <c r="B10" s="60">
        <v>10</v>
      </c>
      <c r="C10" s="60" t="s">
        <v>6</v>
      </c>
      <c r="D10" s="65">
        <f>B10*DADOS_INICIAIS!$E$9</f>
        <v>64946.3</v>
      </c>
      <c r="E10" s="65" t="s">
        <v>26</v>
      </c>
      <c r="F10" s="86">
        <f>D10*1.1</f>
        <v>71440.930000000008</v>
      </c>
      <c r="G10" s="55"/>
    </row>
    <row r="11" spans="1:9" s="53" customFormat="1" ht="21.75" x14ac:dyDescent="0.25">
      <c r="A11" s="64" t="s">
        <v>220</v>
      </c>
      <c r="B11" s="60">
        <v>12</v>
      </c>
      <c r="C11" s="60" t="s">
        <v>6</v>
      </c>
      <c r="D11" s="65">
        <f>B11*DADOS_INICIAIS!$E$9</f>
        <v>77935.56</v>
      </c>
      <c r="E11" s="65" t="s">
        <v>26</v>
      </c>
      <c r="F11" s="86">
        <f t="shared" ref="F11:F14" si="0">D11*1.1</f>
        <v>85729.116000000009</v>
      </c>
      <c r="G11" s="55"/>
    </row>
    <row r="12" spans="1:9" s="53" customFormat="1" ht="21.75" x14ac:dyDescent="0.25">
      <c r="A12" s="64" t="s">
        <v>219</v>
      </c>
      <c r="B12" s="60">
        <v>4</v>
      </c>
      <c r="C12" s="60" t="s">
        <v>6</v>
      </c>
      <c r="D12" s="65">
        <f>B12*DADOS_INICIAIS!$E$9</f>
        <v>25978.52</v>
      </c>
      <c r="E12" s="65" t="s">
        <v>26</v>
      </c>
      <c r="F12" s="86">
        <f t="shared" si="0"/>
        <v>28576.372000000003</v>
      </c>
      <c r="G12" s="55"/>
    </row>
    <row r="13" spans="1:9" s="53" customFormat="1" ht="21.75" x14ac:dyDescent="0.25">
      <c r="A13" s="64" t="s">
        <v>218</v>
      </c>
      <c r="B13" s="60">
        <v>5</v>
      </c>
      <c r="C13" s="60" t="s">
        <v>6</v>
      </c>
      <c r="D13" s="65">
        <f>B13*DADOS_INICIAIS!$E$9</f>
        <v>32473.15</v>
      </c>
      <c r="E13" s="65" t="s">
        <v>26</v>
      </c>
      <c r="F13" s="86">
        <f t="shared" si="0"/>
        <v>35720.465000000004</v>
      </c>
      <c r="G13" s="55"/>
    </row>
    <row r="14" spans="1:9" s="53" customFormat="1" ht="21.75" x14ac:dyDescent="0.25">
      <c r="A14" s="64" t="s">
        <v>217</v>
      </c>
      <c r="B14" s="60">
        <v>15</v>
      </c>
      <c r="C14" s="60" t="s">
        <v>6</v>
      </c>
      <c r="D14" s="65">
        <f>B14*DADOS_INICIAIS!$E$9</f>
        <v>97419.45</v>
      </c>
      <c r="E14" s="65" t="s">
        <v>26</v>
      </c>
      <c r="F14" s="86">
        <f t="shared" si="0"/>
        <v>107161.395</v>
      </c>
      <c r="G14" s="55"/>
    </row>
    <row r="15" spans="1:9" s="53" customFormat="1" ht="21.75" x14ac:dyDescent="0.25">
      <c r="A15" s="226" t="s">
        <v>17</v>
      </c>
      <c r="B15" s="226"/>
      <c r="C15" s="226"/>
      <c r="D15" s="107"/>
      <c r="E15" s="107"/>
      <c r="F15" s="87">
        <f>SUM(F9:F14)</f>
        <v>862100.3600000001</v>
      </c>
      <c r="G15" s="58"/>
    </row>
    <row r="16" spans="1:9" s="53" customFormat="1" ht="21.75" x14ac:dyDescent="0.25">
      <c r="A16" s="230"/>
      <c r="B16" s="230"/>
      <c r="C16" s="230"/>
      <c r="D16" s="108"/>
      <c r="E16" s="108"/>
      <c r="F16" s="57"/>
      <c r="G16" s="57"/>
    </row>
    <row r="17" spans="1:7" ht="23.25" customHeight="1" x14ac:dyDescent="0.25">
      <c r="A17" s="223" t="s">
        <v>216</v>
      </c>
      <c r="B17" s="224"/>
      <c r="C17" s="225"/>
      <c r="D17" s="106"/>
      <c r="E17" s="106"/>
      <c r="F17" s="105">
        <f>F15</f>
        <v>862100.3600000001</v>
      </c>
      <c r="G17" s="105">
        <f>F17/DADOS_INICIAIS!$E$9</f>
        <v>132.7404886806485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FF0000"/>
  </sheetPr>
  <dimension ref="A1:L38"/>
  <sheetViews>
    <sheetView showGridLines="0" topLeftCell="A4" zoomScale="80" zoomScaleNormal="80" zoomScaleSheetLayoutView="95" workbookViewId="0">
      <selection activeCell="E19" sqref="E19"/>
    </sheetView>
  </sheetViews>
  <sheetFormatPr defaultColWidth="9.140625" defaultRowHeight="15" x14ac:dyDescent="0.25"/>
  <cols>
    <col min="1" max="1" width="50.140625" style="53" customWidth="1"/>
    <col min="2" max="2" width="21.7109375" style="53" customWidth="1"/>
    <col min="3" max="3" width="26.5703125" style="53" customWidth="1"/>
    <col min="4" max="4" width="16.5703125" style="78" customWidth="1"/>
    <col min="5" max="5" width="19.5703125" style="79" customWidth="1"/>
    <col min="6" max="6" width="20.85546875" style="53" customWidth="1"/>
    <col min="7" max="7" width="23.5703125" style="53" customWidth="1"/>
    <col min="8" max="8" width="58.28515625" style="53" customWidth="1"/>
    <col min="9" max="9" width="11.285156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0" x14ac:dyDescent="0.25">
      <c r="D1" s="76"/>
      <c r="E1" s="53"/>
      <c r="H1" s="77"/>
      <c r="I1" s="77"/>
      <c r="J1" s="76"/>
    </row>
    <row r="3" spans="1:10" ht="28.5" x14ac:dyDescent="0.25">
      <c r="A3" s="227" t="s">
        <v>250</v>
      </c>
      <c r="B3" s="236"/>
      <c r="C3" s="236"/>
      <c r="D3" s="228"/>
      <c r="E3" s="228"/>
      <c r="F3" s="228"/>
      <c r="G3" s="228"/>
      <c r="H3" s="229"/>
      <c r="J3" s="76"/>
    </row>
    <row r="4" spans="1:10" ht="19.5" x14ac:dyDescent="0.25">
      <c r="A4" s="186" t="s">
        <v>123</v>
      </c>
      <c r="B4" s="191">
        <v>45469</v>
      </c>
      <c r="C4" s="189"/>
      <c r="D4" s="189"/>
      <c r="E4" s="189"/>
      <c r="F4" s="189"/>
      <c r="G4" s="189"/>
      <c r="H4" s="190"/>
      <c r="J4" s="76"/>
    </row>
    <row r="5" spans="1:10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0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0" ht="21.75" x14ac:dyDescent="0.25">
      <c r="A7" s="50" t="s">
        <v>121</v>
      </c>
      <c r="B7" s="50"/>
      <c r="C7" s="50"/>
      <c r="D7" s="217">
        <f>D16/2.91</f>
        <v>3651.6135721649484</v>
      </c>
      <c r="E7" s="51">
        <v>2.86</v>
      </c>
      <c r="F7" s="52">
        <v>2.91</v>
      </c>
      <c r="G7" s="51">
        <v>2.97</v>
      </c>
      <c r="H7" s="51"/>
    </row>
    <row r="8" spans="1:10" ht="21.75" x14ac:dyDescent="0.25">
      <c r="A8" s="54"/>
      <c r="B8" s="54"/>
      <c r="C8" s="54"/>
      <c r="D8" s="55"/>
      <c r="E8" s="55"/>
      <c r="F8" s="56"/>
      <c r="G8" s="57"/>
      <c r="H8" s="57"/>
    </row>
    <row r="9" spans="1:10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 t="s">
        <v>59</v>
      </c>
      <c r="G9" s="69" t="s">
        <v>16</v>
      </c>
      <c r="H9" s="87" t="s">
        <v>239</v>
      </c>
    </row>
    <row r="10" spans="1:10" ht="21.75" x14ac:dyDescent="0.25">
      <c r="A10" s="64" t="s">
        <v>119</v>
      </c>
      <c r="B10" s="60">
        <v>1</v>
      </c>
      <c r="C10" s="60" t="s">
        <v>118</v>
      </c>
      <c r="D10" s="65">
        <f>B10*DADOS_INICIAIS!$E$22</f>
        <v>1143.0899999999999</v>
      </c>
      <c r="E10" s="65" t="s">
        <v>2</v>
      </c>
      <c r="F10" s="85">
        <v>45</v>
      </c>
      <c r="G10" s="86">
        <f>F10*D10*1.1</f>
        <v>56582.955000000002</v>
      </c>
      <c r="H10" s="65"/>
    </row>
    <row r="11" spans="1:10" ht="21.75" x14ac:dyDescent="0.25">
      <c r="A11" s="75" t="s">
        <v>117</v>
      </c>
      <c r="B11" s="60">
        <v>0.4</v>
      </c>
      <c r="C11" s="60" t="s">
        <v>116</v>
      </c>
      <c r="D11" s="65">
        <f>B11*DADOS_INICIAIS!$E$21</f>
        <v>139.07792000000001</v>
      </c>
      <c r="E11" s="65" t="s">
        <v>2</v>
      </c>
      <c r="F11" s="85">
        <v>45</v>
      </c>
      <c r="G11" s="86">
        <f>F11*D11*1.1</f>
        <v>6884.3570400000008</v>
      </c>
      <c r="H11" s="65"/>
    </row>
    <row r="12" spans="1:10" ht="21.75" x14ac:dyDescent="0.25">
      <c r="A12" s="75" t="s">
        <v>115</v>
      </c>
      <c r="B12" s="60">
        <v>1.65</v>
      </c>
      <c r="C12" s="60" t="s">
        <v>114</v>
      </c>
      <c r="D12" s="65">
        <f>B12*(DADOS_INICIAIS!$E$19*(DADOS_INICIAIS!$E$16+DADOS_INICIAIS!$E$17))</f>
        <v>7333.9323749999994</v>
      </c>
      <c r="E12" s="65" t="s">
        <v>2</v>
      </c>
      <c r="F12" s="85">
        <v>45</v>
      </c>
      <c r="G12" s="86">
        <f>F12*D12*1.1</f>
        <v>363029.65256249998</v>
      </c>
      <c r="H12" s="65"/>
    </row>
    <row r="13" spans="1:10" ht="21.75" x14ac:dyDescent="0.25">
      <c r="A13" s="64" t="s">
        <v>113</v>
      </c>
      <c r="B13" s="60">
        <v>0.2</v>
      </c>
      <c r="C13" s="60" t="s">
        <v>36</v>
      </c>
      <c r="D13" s="65">
        <f>B13*DADOS_INICIAIS!$E$9</f>
        <v>1298.9260000000002</v>
      </c>
      <c r="E13" s="65" t="s">
        <v>2</v>
      </c>
      <c r="F13" s="85">
        <v>70</v>
      </c>
      <c r="G13" s="86">
        <f>F13*D13*1.05*1.1</f>
        <v>105018.16710000002</v>
      </c>
      <c r="H13" s="65"/>
    </row>
    <row r="14" spans="1:10" ht="21.75" x14ac:dyDescent="0.25">
      <c r="A14" s="64" t="s">
        <v>112</v>
      </c>
      <c r="B14" s="60">
        <v>0.8</v>
      </c>
      <c r="C14" s="60" t="s">
        <v>111</v>
      </c>
      <c r="D14" s="65">
        <f>B14*DADOS_INICIAIS!$E$19</f>
        <v>711.16920000000005</v>
      </c>
      <c r="E14" s="65" t="s">
        <v>2</v>
      </c>
      <c r="F14" s="85">
        <v>45</v>
      </c>
      <c r="G14" s="86">
        <f>F14*D14*1.1</f>
        <v>35202.875400000004</v>
      </c>
      <c r="H14" s="65"/>
    </row>
    <row r="15" spans="1:10" ht="21.75" x14ac:dyDescent="0.25">
      <c r="A15" s="64" t="s">
        <v>110</v>
      </c>
      <c r="B15" s="60">
        <v>1.75</v>
      </c>
      <c r="C15" s="60" t="s">
        <v>253</v>
      </c>
      <c r="D15" s="65">
        <f>B15*DADOS_INICIAIS!$E$14</f>
        <v>77</v>
      </c>
      <c r="E15" s="65" t="s">
        <v>280</v>
      </c>
      <c r="F15" s="85">
        <v>210</v>
      </c>
      <c r="G15" s="86">
        <f>F15*D15*1.1</f>
        <v>17787</v>
      </c>
      <c r="H15" s="65"/>
    </row>
    <row r="16" spans="1:10" ht="21.75" x14ac:dyDescent="0.25">
      <c r="A16" s="64" t="s">
        <v>109</v>
      </c>
      <c r="B16" s="60">
        <v>12.5</v>
      </c>
      <c r="C16" s="60" t="s">
        <v>108</v>
      </c>
      <c r="D16" s="65">
        <f>D10+D11+D12+D13+D14</f>
        <v>10626.195495</v>
      </c>
      <c r="E16" s="65" t="s">
        <v>2</v>
      </c>
      <c r="F16" s="85">
        <f>B16</f>
        <v>12.5</v>
      </c>
      <c r="G16" s="86">
        <f>F16*D16*1.1</f>
        <v>146110.18805625002</v>
      </c>
      <c r="H16" s="65"/>
    </row>
    <row r="17" spans="1:12" ht="21.75" x14ac:dyDescent="0.25">
      <c r="A17" s="64" t="s">
        <v>24</v>
      </c>
      <c r="B17" s="60">
        <v>35</v>
      </c>
      <c r="C17" s="60" t="s">
        <v>108</v>
      </c>
      <c r="D17" s="65">
        <f>D10+D11+D12+D13+D14</f>
        <v>10626.195495</v>
      </c>
      <c r="E17" s="65" t="s">
        <v>2</v>
      </c>
      <c r="F17" s="85">
        <v>35</v>
      </c>
      <c r="G17" s="86">
        <f>F17*D17*1.1</f>
        <v>409108.52655750001</v>
      </c>
      <c r="H17" s="65"/>
    </row>
    <row r="18" spans="1:12" ht="21.75" x14ac:dyDescent="0.25">
      <c r="A18" s="226" t="s">
        <v>17</v>
      </c>
      <c r="B18" s="226"/>
      <c r="C18" s="226"/>
      <c r="D18" s="226"/>
      <c r="E18" s="226"/>
      <c r="F18" s="226"/>
      <c r="G18" s="87">
        <f>SUM(G10:G17)</f>
        <v>1139723.7217162498</v>
      </c>
      <c r="H18" s="87"/>
      <c r="K18" s="53">
        <f>4160+1440+1120+2880+4800+91680+4000</f>
        <v>110080</v>
      </c>
      <c r="L18" s="53">
        <f>K18/21</f>
        <v>5241.9047619047615</v>
      </c>
    </row>
    <row r="19" spans="1:12" x14ac:dyDescent="0.25">
      <c r="E19" s="79">
        <f>G17/D17</f>
        <v>38.5</v>
      </c>
    </row>
    <row r="20" spans="1:12" ht="21.75" x14ac:dyDescent="0.25">
      <c r="A20" s="50" t="s">
        <v>292</v>
      </c>
      <c r="B20" s="50"/>
      <c r="C20" s="50"/>
      <c r="D20" s="51"/>
      <c r="E20" s="51"/>
      <c r="F20" s="52"/>
      <c r="G20" s="51"/>
      <c r="H20" s="51"/>
    </row>
    <row r="21" spans="1:12" ht="21.75" x14ac:dyDescent="0.25">
      <c r="A21" s="54"/>
      <c r="B21" s="54"/>
      <c r="C21" s="54"/>
      <c r="D21" s="55"/>
      <c r="E21" s="55"/>
      <c r="F21" s="56"/>
      <c r="G21" s="57"/>
      <c r="H21" s="57"/>
    </row>
    <row r="22" spans="1:12" ht="21.75" x14ac:dyDescent="0.25">
      <c r="A22" s="61" t="s">
        <v>14</v>
      </c>
      <c r="B22" s="231" t="s">
        <v>5</v>
      </c>
      <c r="C22" s="232"/>
      <c r="D22" s="231" t="s">
        <v>18</v>
      </c>
      <c r="E22" s="232"/>
      <c r="F22" s="63" t="s">
        <v>59</v>
      </c>
      <c r="G22" s="69" t="s">
        <v>16</v>
      </c>
      <c r="H22" s="87" t="s">
        <v>239</v>
      </c>
    </row>
    <row r="23" spans="1:12" ht="21.75" x14ac:dyDescent="0.25">
      <c r="A23" s="64" t="s">
        <v>119</v>
      </c>
      <c r="B23" s="60">
        <v>1</v>
      </c>
      <c r="C23" s="60" t="s">
        <v>118</v>
      </c>
      <c r="D23" s="65">
        <f>B23*DADOS_INICIAIS!$E$22</f>
        <v>1143.0899999999999</v>
      </c>
      <c r="E23" s="65" t="s">
        <v>2</v>
      </c>
      <c r="F23" s="85">
        <v>45</v>
      </c>
      <c r="G23" s="86">
        <f>F23*D23*1.1</f>
        <v>56582.955000000002</v>
      </c>
      <c r="H23" s="65"/>
    </row>
    <row r="24" spans="1:12" ht="21.75" x14ac:dyDescent="0.25">
      <c r="A24" s="75" t="s">
        <v>117</v>
      </c>
      <c r="B24" s="60">
        <v>0.4</v>
      </c>
      <c r="C24" s="60" t="s">
        <v>116</v>
      </c>
      <c r="D24" s="65">
        <f>B24*DADOS_INICIAIS!$E$21</f>
        <v>139.07792000000001</v>
      </c>
      <c r="E24" s="65" t="s">
        <v>2</v>
      </c>
      <c r="F24" s="85">
        <v>45</v>
      </c>
      <c r="G24" s="86">
        <f>F24*D24*1.1</f>
        <v>6884.3570400000008</v>
      </c>
      <c r="H24" s="65"/>
    </row>
    <row r="25" spans="1:12" ht="21.75" x14ac:dyDescent="0.25">
      <c r="A25" s="75" t="s">
        <v>115</v>
      </c>
      <c r="B25" s="60">
        <v>1.65</v>
      </c>
      <c r="C25" s="60" t="s">
        <v>114</v>
      </c>
      <c r="D25" s="65">
        <f>B25*(DADOS_INICIAIS!$E$19*(DADOS_INICIAIS!$E$16+DADOS_INICIAIS!$E$17))*0.4</f>
        <v>2933.5729499999998</v>
      </c>
      <c r="E25" s="65" t="s">
        <v>2</v>
      </c>
      <c r="F25" s="85">
        <v>45</v>
      </c>
      <c r="G25" s="86">
        <f>F25*D25*1.1</f>
        <v>145211.86102499999</v>
      </c>
      <c r="H25" s="65"/>
    </row>
    <row r="26" spans="1:12" ht="21.75" x14ac:dyDescent="0.25">
      <c r="A26" s="75" t="s">
        <v>251</v>
      </c>
      <c r="B26" s="60">
        <v>1.65</v>
      </c>
      <c r="C26" s="60" t="s">
        <v>114</v>
      </c>
      <c r="D26" s="65">
        <f>B26*(DADOS_INICIAIS!$E$19*(DADOS_INICIAIS!$E$16+DADOS_INICIAIS!$E$17))*0.6</f>
        <v>4400.3594249999996</v>
      </c>
      <c r="E26" s="65" t="s">
        <v>2</v>
      </c>
      <c r="F26" s="85">
        <v>220</v>
      </c>
      <c r="G26" s="86">
        <f t="shared" ref="G26:G30" si="0">F26*D26*1.1</f>
        <v>1064886.9808499999</v>
      </c>
      <c r="H26" s="65"/>
      <c r="J26" s="53">
        <f>D26/(D30+D26)</f>
        <v>0.41410488138210183</v>
      </c>
    </row>
    <row r="27" spans="1:12" ht="21.75" x14ac:dyDescent="0.25">
      <c r="A27" s="75" t="s">
        <v>113</v>
      </c>
      <c r="B27" s="60">
        <v>0.2</v>
      </c>
      <c r="C27" s="60" t="s">
        <v>36</v>
      </c>
      <c r="D27" s="65">
        <f>B27*DADOS_INICIAIS!$E$9</f>
        <v>1298.9260000000002</v>
      </c>
      <c r="E27" s="65" t="s">
        <v>2</v>
      </c>
      <c r="F27" s="85">
        <v>70</v>
      </c>
      <c r="G27" s="86">
        <f t="shared" si="0"/>
        <v>100017.30200000001</v>
      </c>
      <c r="H27" s="65"/>
      <c r="J27" s="53">
        <f>1-J26</f>
        <v>0.58589511861789823</v>
      </c>
    </row>
    <row r="28" spans="1:12" ht="21.75" x14ac:dyDescent="0.25">
      <c r="A28" s="64" t="s">
        <v>112</v>
      </c>
      <c r="B28" s="60">
        <v>0.8</v>
      </c>
      <c r="C28" s="60" t="s">
        <v>111</v>
      </c>
      <c r="D28" s="65">
        <f>B28*DADOS_INICIAIS!$E$19</f>
        <v>711.16920000000005</v>
      </c>
      <c r="E28" s="65" t="s">
        <v>22</v>
      </c>
      <c r="F28" s="85">
        <v>45</v>
      </c>
      <c r="G28" s="86">
        <f t="shared" si="0"/>
        <v>35202.875400000004</v>
      </c>
      <c r="H28" s="65"/>
    </row>
    <row r="29" spans="1:12" ht="21.75" x14ac:dyDescent="0.25">
      <c r="A29" s="64" t="s">
        <v>110</v>
      </c>
      <c r="B29" s="60">
        <v>1.75</v>
      </c>
      <c r="C29" s="60" t="s">
        <v>253</v>
      </c>
      <c r="D29" s="65">
        <f>'SISTEMAS ESPECIAIS'!B10</f>
        <v>45</v>
      </c>
      <c r="E29" s="65" t="s">
        <v>280</v>
      </c>
      <c r="F29" s="85">
        <v>210</v>
      </c>
      <c r="G29" s="86">
        <f t="shared" si="0"/>
        <v>10395</v>
      </c>
      <c r="H29" s="65"/>
    </row>
    <row r="30" spans="1:12" ht="21.75" x14ac:dyDescent="0.25">
      <c r="A30" s="64" t="s">
        <v>109</v>
      </c>
      <c r="B30" s="60">
        <v>12.5</v>
      </c>
      <c r="C30" s="60" t="s">
        <v>108</v>
      </c>
      <c r="D30" s="65">
        <f>D24+D25+D23+D27+D28</f>
        <v>6225.8360700000003</v>
      </c>
      <c r="E30" s="65" t="s">
        <v>2</v>
      </c>
      <c r="F30" s="85">
        <f>B30</f>
        <v>12.5</v>
      </c>
      <c r="G30" s="86">
        <f t="shared" si="0"/>
        <v>85605.245962500019</v>
      </c>
      <c r="H30" s="65"/>
    </row>
    <row r="31" spans="1:12" ht="21.75" x14ac:dyDescent="0.25">
      <c r="A31" s="64" t="s">
        <v>24</v>
      </c>
      <c r="B31" s="60">
        <v>35</v>
      </c>
      <c r="C31" s="60" t="s">
        <v>108</v>
      </c>
      <c r="D31" s="65">
        <f>D24+D25+D23+D27+D28</f>
        <v>6225.8360700000003</v>
      </c>
      <c r="E31" s="65" t="s">
        <v>2</v>
      </c>
      <c r="F31" s="85">
        <v>35</v>
      </c>
      <c r="G31" s="86">
        <f>F31*D31*1.1</f>
        <v>239694.68869500002</v>
      </c>
      <c r="H31" s="65"/>
    </row>
    <row r="32" spans="1:12" ht="21.75" x14ac:dyDescent="0.25">
      <c r="A32" s="226" t="s">
        <v>17</v>
      </c>
      <c r="B32" s="226"/>
      <c r="C32" s="226"/>
      <c r="D32" s="226"/>
      <c r="E32" s="226"/>
      <c r="F32" s="226"/>
      <c r="G32" s="87">
        <f>SUM(G23:G31)</f>
        <v>1744481.2659725</v>
      </c>
      <c r="H32" s="87"/>
    </row>
    <row r="35" spans="1:8" ht="21.75" x14ac:dyDescent="0.25">
      <c r="A35" s="233" t="s">
        <v>106</v>
      </c>
      <c r="B35" s="234"/>
      <c r="C35" s="234"/>
      <c r="D35" s="234"/>
      <c r="E35" s="234"/>
      <c r="F35" s="235"/>
      <c r="G35" s="88">
        <f>G32</f>
        <v>1744481.2659725</v>
      </c>
      <c r="H35" s="88">
        <f>G35/DADOS_INICIAIS!E9</f>
        <v>268.60364115777185</v>
      </c>
    </row>
    <row r="38" spans="1:8" x14ac:dyDescent="0.25">
      <c r="G38" s="194">
        <f>G35/1.1</f>
        <v>1585892.0599749999</v>
      </c>
      <c r="H38" s="53">
        <f>G38/DADOS_INICIAIS!E9</f>
        <v>244.18512832524715</v>
      </c>
    </row>
  </sheetData>
  <mergeCells count="8">
    <mergeCell ref="A32:F32"/>
    <mergeCell ref="A35:F35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FF0000"/>
  </sheetPr>
  <dimension ref="A1:L39"/>
  <sheetViews>
    <sheetView showGridLines="0" topLeftCell="A10" zoomScale="130" zoomScaleNormal="130" zoomScaleSheetLayoutView="95" workbookViewId="0">
      <selection activeCell="E19" sqref="E19"/>
    </sheetView>
  </sheetViews>
  <sheetFormatPr defaultColWidth="9.140625" defaultRowHeight="12.75" x14ac:dyDescent="0.25"/>
  <cols>
    <col min="1" max="1" width="48.7109375" style="1" customWidth="1"/>
    <col min="2" max="2" width="15.85546875" style="111" customWidth="1"/>
    <col min="3" max="3" width="7.5703125" style="110" customWidth="1"/>
    <col min="4" max="4" width="11.5703125" style="109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58"/>
      <c r="H1" s="158"/>
      <c r="I1" s="2"/>
    </row>
    <row r="2" spans="1:12" ht="12.75" customHeight="1" x14ac:dyDescent="0.25">
      <c r="A2" s="253" t="s">
        <v>125</v>
      </c>
      <c r="B2" s="2"/>
      <c r="C2" s="1"/>
      <c r="D2" s="1"/>
      <c r="G2" s="163"/>
      <c r="H2" s="163"/>
      <c r="I2" s="2"/>
    </row>
    <row r="3" spans="1:12" ht="12.75" customHeight="1" x14ac:dyDescent="0.25">
      <c r="A3" s="254"/>
      <c r="B3" s="2"/>
      <c r="C3" s="1"/>
      <c r="D3" s="1"/>
      <c r="G3" s="163"/>
      <c r="H3" s="163"/>
      <c r="I3" s="2"/>
    </row>
    <row r="4" spans="1:12" ht="12.75" customHeight="1" x14ac:dyDescent="0.25">
      <c r="A4" s="254"/>
      <c r="B4" s="2"/>
      <c r="C4" s="1"/>
      <c r="D4" s="1"/>
      <c r="G4" s="163"/>
      <c r="H4" s="163"/>
      <c r="I4" s="2"/>
    </row>
    <row r="5" spans="1:12" ht="13.5" thickBot="1" x14ac:dyDescent="0.3">
      <c r="A5" s="162"/>
      <c r="B5" s="161"/>
      <c r="C5" s="161"/>
      <c r="D5" s="161"/>
      <c r="E5" s="161"/>
      <c r="F5" s="161"/>
      <c r="G5" s="160"/>
      <c r="H5" s="160"/>
      <c r="I5" s="2"/>
    </row>
    <row r="6" spans="1:12" x14ac:dyDescent="0.25">
      <c r="A6" s="159"/>
      <c r="B6" s="2"/>
      <c r="C6" s="1"/>
      <c r="D6" s="1"/>
      <c r="G6" s="158"/>
      <c r="H6" s="158"/>
      <c r="I6" s="2"/>
    </row>
    <row r="7" spans="1:12" x14ac:dyDescent="0.25">
      <c r="A7" s="157" t="s">
        <v>124</v>
      </c>
      <c r="B7" s="156" t="s">
        <v>227</v>
      </c>
      <c r="C7" s="155"/>
      <c r="D7" s="155"/>
      <c r="E7" s="155"/>
      <c r="F7" s="155"/>
      <c r="G7" s="155"/>
      <c r="H7" s="154"/>
      <c r="I7" s="2"/>
    </row>
    <row r="8" spans="1:12" x14ac:dyDescent="0.25">
      <c r="A8" s="153" t="s">
        <v>0</v>
      </c>
      <c r="B8" s="152" t="s">
        <v>226</v>
      </c>
      <c r="C8" s="151"/>
      <c r="D8" s="151"/>
      <c r="E8" s="151"/>
      <c r="F8" s="151"/>
      <c r="G8" s="151"/>
      <c r="H8" s="150"/>
      <c r="I8" s="2"/>
    </row>
    <row r="9" spans="1:12" ht="15" customHeight="1" x14ac:dyDescent="0.25">
      <c r="A9" s="149" t="s">
        <v>123</v>
      </c>
      <c r="B9" s="148">
        <v>45460</v>
      </c>
      <c r="C9" s="147"/>
      <c r="D9" s="147"/>
      <c r="E9" s="147"/>
      <c r="F9" s="147"/>
      <c r="G9" s="147"/>
      <c r="H9" s="146"/>
    </row>
    <row r="10" spans="1:12" x14ac:dyDescent="0.25">
      <c r="A10" s="145" t="s">
        <v>1</v>
      </c>
      <c r="B10" s="144" t="s">
        <v>122</v>
      </c>
      <c r="C10" s="143"/>
      <c r="D10" s="143"/>
      <c r="E10" s="143"/>
      <c r="F10" s="143"/>
      <c r="G10" s="143"/>
      <c r="H10" s="142"/>
    </row>
    <row r="12" spans="1:12" ht="15.75" customHeight="1" x14ac:dyDescent="0.25">
      <c r="A12" s="141" t="s">
        <v>158</v>
      </c>
      <c r="B12" s="140"/>
      <c r="C12" s="139"/>
      <c r="D12" s="138"/>
      <c r="E12" s="137"/>
      <c r="F12" s="137"/>
      <c r="G12" s="137"/>
      <c r="H12" s="136"/>
    </row>
    <row r="13" spans="1:12" ht="15.75" customHeight="1" x14ac:dyDescent="0.25">
      <c r="A13" s="135"/>
      <c r="B13" s="134"/>
      <c r="C13" s="133"/>
      <c r="D13" s="132"/>
      <c r="E13" s="132"/>
      <c r="F13" s="132"/>
      <c r="H13" s="128"/>
    </row>
    <row r="14" spans="1:12" ht="15.75" customHeight="1" x14ac:dyDescent="0.25">
      <c r="A14" s="131" t="s">
        <v>14</v>
      </c>
      <c r="B14" s="242" t="s">
        <v>18</v>
      </c>
      <c r="C14" s="243"/>
      <c r="D14" s="244" t="s">
        <v>5</v>
      </c>
      <c r="E14" s="245"/>
      <c r="F14" s="130" t="s">
        <v>120</v>
      </c>
      <c r="G14" s="129" t="s">
        <v>16</v>
      </c>
      <c r="H14" s="128"/>
      <c r="L14" s="112"/>
    </row>
    <row r="15" spans="1:12" x14ac:dyDescent="0.25">
      <c r="A15" s="169" t="s">
        <v>133</v>
      </c>
      <c r="B15" s="172">
        <f>(K18*L18+K19*L19+K21*L21+K20*L20+K22*L22-ESQUADRIAS!D10)</f>
        <v>8687.7295000000013</v>
      </c>
      <c r="C15" s="126" t="s">
        <v>2</v>
      </c>
      <c r="D15" s="121">
        <f>25+70</f>
        <v>95</v>
      </c>
      <c r="E15" s="127" t="s">
        <v>108</v>
      </c>
      <c r="F15" s="123" t="s">
        <v>153</v>
      </c>
      <c r="G15" s="122">
        <f>B15*D15*1.1</f>
        <v>907867.7327500002</v>
      </c>
      <c r="H15" s="128"/>
      <c r="K15" s="184"/>
      <c r="L15" s="112"/>
    </row>
    <row r="16" spans="1:12" x14ac:dyDescent="0.25">
      <c r="A16" s="247" t="s">
        <v>17</v>
      </c>
      <c r="B16" s="248"/>
      <c r="C16" s="248"/>
      <c r="D16" s="248"/>
      <c r="E16" s="248"/>
      <c r="F16" s="248"/>
      <c r="G16" s="119">
        <f>SUM(G15:G15)</f>
        <v>907867.7327500002</v>
      </c>
      <c r="H16" s="118"/>
      <c r="K16" s="183"/>
    </row>
    <row r="17" spans="1:12" ht="15.75" customHeight="1" x14ac:dyDescent="0.25">
      <c r="A17" s="251"/>
      <c r="B17" s="252"/>
      <c r="C17" s="252"/>
      <c r="D17" s="252"/>
      <c r="E17" s="252"/>
      <c r="F17" s="252"/>
      <c r="G17" s="164"/>
      <c r="H17" s="115"/>
    </row>
    <row r="18" spans="1:12" ht="15.75" customHeight="1" x14ac:dyDescent="0.25">
      <c r="A18" s="141" t="s">
        <v>157</v>
      </c>
      <c r="B18" s="140"/>
      <c r="C18" s="139"/>
      <c r="D18" s="138"/>
      <c r="E18" s="137"/>
      <c r="F18" s="137"/>
      <c r="G18" s="137"/>
      <c r="H18" s="136"/>
      <c r="J18" s="1" t="s">
        <v>156</v>
      </c>
      <c r="K18" s="112">
        <f>DADOS_INICIAIS!E26</f>
        <v>185.03</v>
      </c>
      <c r="L18" s="1">
        <f>3.2*3</f>
        <v>9.6000000000000014</v>
      </c>
    </row>
    <row r="19" spans="1:12" ht="15.75" customHeight="1" x14ac:dyDescent="0.25">
      <c r="A19" s="135"/>
      <c r="B19" s="182"/>
      <c r="C19" s="133"/>
      <c r="D19" s="132"/>
      <c r="E19" s="132"/>
      <c r="F19" s="132"/>
      <c r="H19" s="128"/>
      <c r="J19" s="1" t="s">
        <v>267</v>
      </c>
      <c r="K19" s="112">
        <f>DADOS_INICIAIS!E20</f>
        <v>177.07</v>
      </c>
      <c r="L19" s="1">
        <f>3.2*9</f>
        <v>28.8</v>
      </c>
    </row>
    <row r="20" spans="1:12" ht="15.75" customHeight="1" x14ac:dyDescent="0.25">
      <c r="A20" s="131" t="s">
        <v>14</v>
      </c>
      <c r="B20" s="242" t="s">
        <v>18</v>
      </c>
      <c r="C20" s="243"/>
      <c r="D20" s="244" t="s">
        <v>5</v>
      </c>
      <c r="E20" s="245"/>
      <c r="F20" s="130" t="s">
        <v>120</v>
      </c>
      <c r="G20" s="129" t="s">
        <v>16</v>
      </c>
      <c r="H20" s="128"/>
      <c r="J20" s="1" t="s">
        <v>268</v>
      </c>
      <c r="K20" s="112">
        <f>K19</f>
        <v>177.07</v>
      </c>
      <c r="L20" s="1">
        <f>3.2*4+1.2</f>
        <v>14</v>
      </c>
    </row>
    <row r="21" spans="1:12" ht="15.75" customHeight="1" x14ac:dyDescent="0.25">
      <c r="A21" s="169" t="s">
        <v>269</v>
      </c>
      <c r="B21" s="172">
        <f>B15</f>
        <v>8687.7295000000013</v>
      </c>
      <c r="C21" s="126" t="s">
        <v>2</v>
      </c>
      <c r="D21" s="121">
        <f>70+15</f>
        <v>85</v>
      </c>
      <c r="E21" s="127" t="s">
        <v>108</v>
      </c>
      <c r="F21" s="123" t="s">
        <v>153</v>
      </c>
      <c r="G21" s="122">
        <f>B21*D21*1.1</f>
        <v>812302.70825000014</v>
      </c>
      <c r="H21" s="128"/>
      <c r="J21" s="1" t="s">
        <v>257</v>
      </c>
      <c r="K21" s="1">
        <v>44.25</v>
      </c>
      <c r="L21" s="1">
        <v>3.2</v>
      </c>
    </row>
    <row r="22" spans="1:12" x14ac:dyDescent="0.25">
      <c r="A22" s="247" t="s">
        <v>17</v>
      </c>
      <c r="B22" s="248"/>
      <c r="C22" s="248"/>
      <c r="D22" s="248"/>
      <c r="E22" s="248"/>
      <c r="F22" s="248"/>
      <c r="G22" s="119">
        <f>SUM(G21:G21)</f>
        <v>812302.70825000014</v>
      </c>
      <c r="H22" s="118"/>
      <c r="J22" s="1" t="s">
        <v>155</v>
      </c>
      <c r="K22" s="1">
        <v>25.85</v>
      </c>
      <c r="L22" s="1">
        <f>6.4</f>
        <v>6.4</v>
      </c>
    </row>
    <row r="23" spans="1:12" x14ac:dyDescent="0.25">
      <c r="A23" s="249"/>
      <c r="B23" s="250"/>
      <c r="C23" s="250"/>
      <c r="D23" s="250"/>
      <c r="E23" s="250"/>
      <c r="F23" s="250"/>
      <c r="G23" s="164"/>
      <c r="H23" s="115"/>
      <c r="L23" s="112">
        <f>K18*L18+K19*L19+K20*L20+K21*L21+K22*L22</f>
        <v>9661.9240000000009</v>
      </c>
    </row>
    <row r="24" spans="1:12" ht="15.75" customHeight="1" x14ac:dyDescent="0.25">
      <c r="A24" s="141" t="s">
        <v>154</v>
      </c>
      <c r="B24" s="140"/>
      <c r="C24" s="139"/>
      <c r="D24" s="138"/>
      <c r="E24" s="137"/>
      <c r="F24" s="137"/>
      <c r="G24" s="137"/>
      <c r="H24" s="136"/>
    </row>
    <row r="25" spans="1:12" ht="15.75" customHeight="1" x14ac:dyDescent="0.25">
      <c r="A25" s="135"/>
      <c r="B25" s="134"/>
      <c r="C25" s="133"/>
      <c r="D25" s="132"/>
      <c r="E25" s="132"/>
      <c r="F25" s="132"/>
      <c r="H25" s="128"/>
    </row>
    <row r="26" spans="1:12" ht="15.75" customHeight="1" x14ac:dyDescent="0.25">
      <c r="A26" s="131" t="s">
        <v>14</v>
      </c>
      <c r="B26" s="242" t="s">
        <v>18</v>
      </c>
      <c r="C26" s="243"/>
      <c r="D26" s="244" t="s">
        <v>5</v>
      </c>
      <c r="E26" s="245"/>
      <c r="F26" s="130" t="s">
        <v>120</v>
      </c>
      <c r="G26" s="129" t="s">
        <v>16</v>
      </c>
      <c r="H26" s="128"/>
    </row>
    <row r="27" spans="1:12" ht="15.75" customHeight="1" x14ac:dyDescent="0.25">
      <c r="A27" s="169" t="s">
        <v>294</v>
      </c>
      <c r="B27" s="172">
        <f>16.56*3.2*2</f>
        <v>105.98399999999999</v>
      </c>
      <c r="C27" s="126" t="s">
        <v>278</v>
      </c>
      <c r="D27" s="121"/>
      <c r="E27" s="127" t="s">
        <v>108</v>
      </c>
      <c r="F27" s="123" t="s">
        <v>153</v>
      </c>
      <c r="G27" s="122">
        <f>B27*D27*1.1</f>
        <v>0</v>
      </c>
      <c r="H27" s="128"/>
    </row>
    <row r="28" spans="1:12" ht="15.75" customHeight="1" x14ac:dyDescent="0.25">
      <c r="A28" s="247"/>
      <c r="B28" s="248"/>
      <c r="C28" s="248"/>
      <c r="D28" s="248"/>
      <c r="E28" s="248"/>
      <c r="F28" s="248"/>
      <c r="G28" s="119">
        <f>SUM(G27:G27)</f>
        <v>0</v>
      </c>
      <c r="H28" s="118"/>
    </row>
    <row r="29" spans="1:12" x14ac:dyDescent="0.25">
      <c r="A29" s="251"/>
      <c r="B29" s="252"/>
      <c r="C29" s="252"/>
      <c r="D29" s="252"/>
      <c r="E29" s="252"/>
      <c r="F29" s="252"/>
      <c r="G29" s="164"/>
      <c r="H29" s="115"/>
      <c r="J29" s="1">
        <f>25.78*2</f>
        <v>51.56</v>
      </c>
    </row>
    <row r="30" spans="1:12" ht="15.75" customHeight="1" x14ac:dyDescent="0.25">
      <c r="G30" s="112"/>
    </row>
    <row r="31" spans="1:12" ht="15.75" customHeight="1" x14ac:dyDescent="0.25">
      <c r="A31" s="246" t="s">
        <v>152</v>
      </c>
      <c r="B31" s="246"/>
      <c r="C31" s="246"/>
      <c r="D31" s="246"/>
      <c r="E31" s="246"/>
      <c r="F31" s="246"/>
      <c r="G31" s="114">
        <f>G22+G16+G28</f>
        <v>1720170.4410000003</v>
      </c>
      <c r="H31" s="113">
        <f>G31/DADOS_INICIAIS!E9</f>
        <v>264.86042176382648</v>
      </c>
    </row>
    <row r="32" spans="1:12" ht="15.75" customHeight="1" x14ac:dyDescent="0.25">
      <c r="H32" s="112">
        <f>H31/1.1</f>
        <v>240.7822016034786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</sheetData>
  <mergeCells count="14">
    <mergeCell ref="B14:C14"/>
    <mergeCell ref="D14:E14"/>
    <mergeCell ref="A2:A4"/>
    <mergeCell ref="A16:F16"/>
    <mergeCell ref="A17:F17"/>
    <mergeCell ref="B20:C20"/>
    <mergeCell ref="D20:E20"/>
    <mergeCell ref="A31:F31"/>
    <mergeCell ref="A22:F22"/>
    <mergeCell ref="A23:F23"/>
    <mergeCell ref="A29:F29"/>
    <mergeCell ref="B26:C26"/>
    <mergeCell ref="D26:E26"/>
    <mergeCell ref="A28:F2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FF0000"/>
  </sheetPr>
  <dimension ref="A1:L23"/>
  <sheetViews>
    <sheetView showGridLines="0" zoomScale="80" zoomScaleNormal="80" zoomScaleSheetLayoutView="95" workbookViewId="0">
      <selection activeCell="E19" sqref="E19"/>
    </sheetView>
  </sheetViews>
  <sheetFormatPr defaultColWidth="9.140625" defaultRowHeight="15" x14ac:dyDescent="0.25"/>
  <cols>
    <col min="1" max="1" width="50.140625" style="53" customWidth="1"/>
    <col min="2" max="2" width="21.7109375" style="53" customWidth="1"/>
    <col min="3" max="3" width="26.5703125" style="53" customWidth="1"/>
    <col min="4" max="4" width="16.5703125" style="78" customWidth="1"/>
    <col min="5" max="5" width="19.5703125" style="79" customWidth="1"/>
    <col min="6" max="6" width="20.85546875" style="53" customWidth="1"/>
    <col min="7" max="7" width="23.5703125" style="53" customWidth="1"/>
    <col min="8" max="8" width="58.28515625" style="53" customWidth="1"/>
    <col min="9" max="9" width="11.285156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0" x14ac:dyDescent="0.25">
      <c r="D1" s="76"/>
      <c r="E1" s="53"/>
      <c r="H1" s="77"/>
      <c r="I1" s="77"/>
      <c r="J1" s="76"/>
    </row>
    <row r="3" spans="1:10" ht="28.5" x14ac:dyDescent="0.25">
      <c r="A3" s="227" t="s">
        <v>168</v>
      </c>
      <c r="B3" s="236"/>
      <c r="C3" s="236"/>
      <c r="D3" s="228"/>
      <c r="E3" s="228"/>
      <c r="F3" s="228"/>
      <c r="G3" s="228"/>
      <c r="H3" s="229"/>
      <c r="J3" s="76"/>
    </row>
    <row r="4" spans="1:10" ht="19.5" x14ac:dyDescent="0.25">
      <c r="A4" s="186" t="s">
        <v>123</v>
      </c>
      <c r="B4" s="191">
        <v>45471</v>
      </c>
      <c r="C4" s="189"/>
      <c r="D4" s="189"/>
      <c r="E4" s="189"/>
      <c r="F4" s="189"/>
      <c r="G4" s="189"/>
      <c r="H4" s="190"/>
      <c r="J4" s="76"/>
    </row>
    <row r="5" spans="1:10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0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0" ht="21.75" x14ac:dyDescent="0.25">
      <c r="A7" s="50" t="s">
        <v>121</v>
      </c>
      <c r="B7" s="50"/>
      <c r="C7" s="50"/>
      <c r="D7" s="51"/>
      <c r="E7" s="51"/>
      <c r="F7" s="52"/>
      <c r="G7" s="51"/>
      <c r="H7" s="51"/>
    </row>
    <row r="8" spans="1:10" ht="21.75" x14ac:dyDescent="0.25">
      <c r="A8" s="54"/>
      <c r="B8" s="54"/>
      <c r="C8" s="54"/>
      <c r="D8" s="55"/>
      <c r="E8" s="55"/>
      <c r="F8" s="56"/>
      <c r="G8" s="57"/>
      <c r="H8" s="57"/>
    </row>
    <row r="9" spans="1:10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 t="s">
        <v>59</v>
      </c>
      <c r="G9" s="69" t="s">
        <v>16</v>
      </c>
      <c r="H9" s="87" t="s">
        <v>239</v>
      </c>
    </row>
    <row r="10" spans="1:10" ht="21.75" x14ac:dyDescent="0.25">
      <c r="A10" s="64" t="s">
        <v>167</v>
      </c>
      <c r="B10" s="60">
        <v>25</v>
      </c>
      <c r="C10" s="60" t="s">
        <v>108</v>
      </c>
      <c r="D10" s="65">
        <f>D14+D15</f>
        <v>2666.045615</v>
      </c>
      <c r="E10" s="65" t="s">
        <v>2</v>
      </c>
      <c r="F10" s="85">
        <v>22</v>
      </c>
      <c r="G10" s="86">
        <f t="shared" ref="G10:G17" si="0">F10*D10*1.1</f>
        <v>64518.303883000008</v>
      </c>
      <c r="H10" s="65"/>
    </row>
    <row r="11" spans="1:10" ht="21.75" x14ac:dyDescent="0.25">
      <c r="A11" s="75" t="s">
        <v>166</v>
      </c>
      <c r="B11" s="60">
        <v>45</v>
      </c>
      <c r="C11" s="60" t="s">
        <v>108</v>
      </c>
      <c r="D11" s="65">
        <f>(3.24+(7.2)*1.8)*2</f>
        <v>32.400000000000006</v>
      </c>
      <c r="E11" s="65" t="s">
        <v>2</v>
      </c>
      <c r="F11" s="85">
        <v>41</v>
      </c>
      <c r="G11" s="86">
        <f t="shared" si="0"/>
        <v>1461.2400000000005</v>
      </c>
      <c r="H11" s="65"/>
    </row>
    <row r="12" spans="1:10" ht="21.75" x14ac:dyDescent="0.25">
      <c r="A12" s="75" t="s">
        <v>165</v>
      </c>
      <c r="B12" s="60">
        <v>30</v>
      </c>
      <c r="C12" s="60" t="s">
        <v>108</v>
      </c>
      <c r="D12" s="65">
        <f>INFRAESTRUTURA!D28</f>
        <v>1312.6080000000002</v>
      </c>
      <c r="E12" s="65" t="s">
        <v>2</v>
      </c>
      <c r="F12" s="85">
        <v>35</v>
      </c>
      <c r="G12" s="86">
        <f t="shared" si="0"/>
        <v>50535.40800000001</v>
      </c>
      <c r="H12" s="65"/>
    </row>
    <row r="13" spans="1:10" ht="21.75" x14ac:dyDescent="0.25">
      <c r="A13" s="64" t="s">
        <v>164</v>
      </c>
      <c r="B13" s="60">
        <v>1</v>
      </c>
      <c r="C13" s="60" t="s">
        <v>6</v>
      </c>
      <c r="D13" s="65">
        <v>1</v>
      </c>
      <c r="E13" s="65" t="s">
        <v>26</v>
      </c>
      <c r="F13" s="85">
        <f>B13*DADOS_INICIAIS!$E$9</f>
        <v>6494.63</v>
      </c>
      <c r="G13" s="86">
        <f t="shared" si="0"/>
        <v>7144.0930000000008</v>
      </c>
      <c r="H13" s="65"/>
    </row>
    <row r="14" spans="1:10" ht="21.75" x14ac:dyDescent="0.25">
      <c r="A14" s="64" t="s">
        <v>163</v>
      </c>
      <c r="B14" s="60">
        <v>0.25</v>
      </c>
      <c r="C14" s="60" t="s">
        <v>36</v>
      </c>
      <c r="D14" s="65">
        <f>B14*DADOS_INICIAIS!E9</f>
        <v>1623.6575</v>
      </c>
      <c r="E14" s="65" t="s">
        <v>2</v>
      </c>
      <c r="F14" s="85">
        <v>60</v>
      </c>
      <c r="G14" s="86">
        <f t="shared" si="0"/>
        <v>107161.395</v>
      </c>
      <c r="H14" s="65"/>
    </row>
    <row r="15" spans="1:10" ht="21.75" x14ac:dyDescent="0.25">
      <c r="A15" s="64" t="s">
        <v>162</v>
      </c>
      <c r="B15" s="60">
        <v>0.1605</v>
      </c>
      <c r="C15" s="60" t="s">
        <v>36</v>
      </c>
      <c r="D15" s="65">
        <f>B15*DADOS_INICIAIS!E9</f>
        <v>1042.388115</v>
      </c>
      <c r="E15" s="65" t="s">
        <v>2</v>
      </c>
      <c r="F15" s="85">
        <v>110</v>
      </c>
      <c r="G15" s="86">
        <f t="shared" si="0"/>
        <v>126128.96191500001</v>
      </c>
      <c r="H15" s="65"/>
    </row>
    <row r="16" spans="1:10" ht="21.75" x14ac:dyDescent="0.25">
      <c r="A16" s="64" t="s">
        <v>161</v>
      </c>
      <c r="B16" s="60">
        <v>0.6</v>
      </c>
      <c r="C16" s="60" t="s">
        <v>6</v>
      </c>
      <c r="D16" s="65">
        <v>1</v>
      </c>
      <c r="E16" s="65" t="s">
        <v>26</v>
      </c>
      <c r="F16" s="85">
        <f>B16*DADOS_INICIAIS!$E$9</f>
        <v>3896.7779999999998</v>
      </c>
      <c r="G16" s="86">
        <f t="shared" si="0"/>
        <v>4286.4557999999997</v>
      </c>
      <c r="H16" s="65"/>
    </row>
    <row r="17" spans="1:12" ht="21.75" x14ac:dyDescent="0.25">
      <c r="A17" s="64" t="s">
        <v>160</v>
      </c>
      <c r="B17" s="60">
        <v>28</v>
      </c>
      <c r="C17" s="60" t="s">
        <v>108</v>
      </c>
      <c r="D17" s="65">
        <f>D15</f>
        <v>1042.388115</v>
      </c>
      <c r="E17" s="65" t="s">
        <v>2</v>
      </c>
      <c r="F17" s="85">
        <v>28</v>
      </c>
      <c r="G17" s="86">
        <f t="shared" si="0"/>
        <v>32105.553942000002</v>
      </c>
      <c r="H17" s="65"/>
    </row>
    <row r="18" spans="1:12" ht="21.75" x14ac:dyDescent="0.25">
      <c r="A18" s="226" t="s">
        <v>17</v>
      </c>
      <c r="B18" s="226"/>
      <c r="C18" s="226"/>
      <c r="D18" s="226"/>
      <c r="E18" s="226"/>
      <c r="F18" s="226"/>
      <c r="G18" s="87">
        <f>SUM(G10:G17)</f>
        <v>393341.41154000006</v>
      </c>
      <c r="H18" s="87"/>
      <c r="K18" s="53">
        <f>4160+1440+1120+2880+4800+91680+4000</f>
        <v>110080</v>
      </c>
      <c r="L18" s="53">
        <f>K18/21</f>
        <v>5241.9047619047615</v>
      </c>
    </row>
    <row r="20" spans="1:12" ht="21.75" x14ac:dyDescent="0.25">
      <c r="A20" s="233" t="s">
        <v>159</v>
      </c>
      <c r="B20" s="234"/>
      <c r="C20" s="234"/>
      <c r="D20" s="234"/>
      <c r="E20" s="234"/>
      <c r="F20" s="235"/>
      <c r="G20" s="88">
        <f>G18</f>
        <v>393341.41154000006</v>
      </c>
      <c r="H20" s="88">
        <f>G20/DADOS_INICIAIS!E9</f>
        <v>60.564098576824243</v>
      </c>
    </row>
    <row r="23" spans="1:12" x14ac:dyDescent="0.25">
      <c r="H23" s="194">
        <f>H20/1.1</f>
        <v>55.058271433476577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FF0000"/>
  </sheetPr>
  <dimension ref="A1:J26"/>
  <sheetViews>
    <sheetView showGridLines="0" zoomScale="87" zoomScaleNormal="87" zoomScaleSheetLayoutView="95" workbookViewId="0">
      <selection activeCell="E19" sqref="E19"/>
    </sheetView>
  </sheetViews>
  <sheetFormatPr defaultColWidth="9.140625" defaultRowHeight="12.75" x14ac:dyDescent="0.25"/>
  <cols>
    <col min="1" max="1" width="45" style="1" bestFit="1" customWidth="1"/>
    <col min="2" max="2" width="14" style="111" customWidth="1"/>
    <col min="3" max="3" width="7.5703125" style="110" customWidth="1"/>
    <col min="4" max="4" width="10.7109375" style="109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58"/>
      <c r="H1" s="158"/>
      <c r="I1" s="2"/>
    </row>
    <row r="2" spans="1:10" ht="12.75" customHeight="1" x14ac:dyDescent="0.25">
      <c r="A2" s="253" t="s">
        <v>125</v>
      </c>
      <c r="B2" s="2"/>
      <c r="C2" s="1"/>
      <c r="D2" s="1"/>
      <c r="G2" s="163"/>
      <c r="H2" s="163"/>
      <c r="I2" s="2"/>
    </row>
    <row r="3" spans="1:10" ht="12.75" customHeight="1" x14ac:dyDescent="0.25">
      <c r="A3" s="254"/>
      <c r="B3" s="2"/>
      <c r="C3" s="1"/>
      <c r="D3" s="1"/>
      <c r="G3" s="163"/>
      <c r="H3" s="163"/>
      <c r="I3" s="2"/>
    </row>
    <row r="4" spans="1:10" ht="12.75" customHeight="1" x14ac:dyDescent="0.25">
      <c r="A4" s="254"/>
      <c r="B4" s="2"/>
      <c r="C4" s="1"/>
      <c r="D4" s="1"/>
      <c r="G4" s="163"/>
      <c r="H4" s="163"/>
      <c r="I4" s="2"/>
    </row>
    <row r="5" spans="1:10" ht="13.5" thickBot="1" x14ac:dyDescent="0.3">
      <c r="A5" s="162"/>
      <c r="B5" s="161"/>
      <c r="C5" s="161"/>
      <c r="D5" s="161"/>
      <c r="E5" s="161"/>
      <c r="F5" s="161"/>
      <c r="G5" s="160"/>
      <c r="H5" s="160"/>
      <c r="I5" s="2"/>
    </row>
    <row r="6" spans="1:10" x14ac:dyDescent="0.25">
      <c r="A6" s="159"/>
      <c r="B6" s="2"/>
      <c r="C6" s="1"/>
      <c r="D6" s="1"/>
      <c r="G6" s="158"/>
      <c r="H6" s="158"/>
      <c r="I6" s="2"/>
    </row>
    <row r="7" spans="1:10" x14ac:dyDescent="0.25">
      <c r="A7" s="157" t="s">
        <v>124</v>
      </c>
      <c r="B7" s="156"/>
      <c r="C7" s="155"/>
      <c r="D7" s="155"/>
      <c r="E7" s="155"/>
      <c r="F7" s="155"/>
      <c r="G7" s="155"/>
      <c r="H7" s="154"/>
      <c r="I7" s="2"/>
    </row>
    <row r="8" spans="1:10" x14ac:dyDescent="0.25">
      <c r="A8" s="153" t="s">
        <v>0</v>
      </c>
      <c r="B8" s="152"/>
      <c r="C8" s="151"/>
      <c r="D8" s="151"/>
      <c r="E8" s="151"/>
      <c r="F8" s="151"/>
      <c r="G8" s="151"/>
      <c r="H8" s="150"/>
      <c r="I8" s="2"/>
    </row>
    <row r="9" spans="1:10" ht="15" customHeight="1" x14ac:dyDescent="0.25">
      <c r="A9" s="149" t="s">
        <v>123</v>
      </c>
      <c r="B9" s="148">
        <v>45471</v>
      </c>
      <c r="C9" s="147"/>
      <c r="D9" s="147"/>
      <c r="E9" s="147"/>
      <c r="F9" s="147"/>
      <c r="G9" s="147"/>
      <c r="H9" s="146"/>
    </row>
    <row r="10" spans="1:10" x14ac:dyDescent="0.25">
      <c r="A10" s="145" t="s">
        <v>1</v>
      </c>
      <c r="B10" s="144" t="s">
        <v>122</v>
      </c>
      <c r="C10" s="143"/>
      <c r="D10" s="143"/>
      <c r="E10" s="143"/>
      <c r="F10" s="143"/>
      <c r="G10" s="143"/>
      <c r="H10" s="142"/>
    </row>
    <row r="12" spans="1:10" x14ac:dyDescent="0.25">
      <c r="A12" s="141" t="s">
        <v>132</v>
      </c>
      <c r="B12" s="140"/>
      <c r="C12" s="139"/>
      <c r="D12" s="138"/>
      <c r="E12" s="137"/>
      <c r="F12" s="137"/>
      <c r="G12" s="137"/>
      <c r="H12" s="136"/>
    </row>
    <row r="13" spans="1:10" ht="15.95" customHeight="1" x14ac:dyDescent="0.25">
      <c r="A13" s="135"/>
      <c r="B13" s="134"/>
      <c r="C13" s="133"/>
      <c r="D13" s="132"/>
      <c r="E13" s="132"/>
      <c r="F13" s="132"/>
      <c r="H13" s="128"/>
      <c r="J13" s="112">
        <f>SUM(G15:G18)</f>
        <v>328608.77500000008</v>
      </c>
    </row>
    <row r="14" spans="1:10" ht="15.95" customHeight="1" x14ac:dyDescent="0.25">
      <c r="A14" s="131" t="s">
        <v>14</v>
      </c>
      <c r="B14" s="242" t="s">
        <v>18</v>
      </c>
      <c r="C14" s="243"/>
      <c r="D14" s="244" t="s">
        <v>5</v>
      </c>
      <c r="E14" s="245"/>
      <c r="F14" s="130" t="s">
        <v>120</v>
      </c>
      <c r="G14" s="129" t="s">
        <v>16</v>
      </c>
      <c r="H14" s="128"/>
      <c r="J14" s="112">
        <f>G19+G20</f>
        <v>438504.42834000004</v>
      </c>
    </row>
    <row r="15" spans="1:10" ht="15.95" customHeight="1" x14ac:dyDescent="0.25">
      <c r="A15" s="171" t="s">
        <v>274</v>
      </c>
      <c r="B15" s="121">
        <f>'Acabamentos de Piso e Parede'!B30</f>
        <v>1250.1000000000001</v>
      </c>
      <c r="C15" s="126" t="s">
        <v>2</v>
      </c>
      <c r="D15" s="125">
        <v>16.5</v>
      </c>
      <c r="E15" s="127" t="s">
        <v>108</v>
      </c>
      <c r="F15" s="123" t="s">
        <v>107</v>
      </c>
      <c r="G15" s="122">
        <f>D15*B15*1.1</f>
        <v>22689.315000000002</v>
      </c>
      <c r="H15" s="128"/>
    </row>
    <row r="16" spans="1:10" ht="15.95" customHeight="1" x14ac:dyDescent="0.25">
      <c r="A16" s="171" t="s">
        <v>276</v>
      </c>
      <c r="B16" s="121">
        <f>'Acabamentos de Piso e Parede'!B35</f>
        <v>345.47399999999999</v>
      </c>
      <c r="C16" s="126" t="s">
        <v>2</v>
      </c>
      <c r="D16" s="125">
        <v>25</v>
      </c>
      <c r="E16" s="127" t="s">
        <v>108</v>
      </c>
      <c r="F16" s="123" t="s">
        <v>107</v>
      </c>
      <c r="G16" s="122">
        <f>D16*B16*1.1</f>
        <v>9500.5350000000017</v>
      </c>
      <c r="H16" s="128"/>
    </row>
    <row r="17" spans="1:8" ht="15.95" customHeight="1" x14ac:dyDescent="0.25">
      <c r="A17" s="169" t="s">
        <v>131</v>
      </c>
      <c r="B17" s="121">
        <v>3047.1000000000004</v>
      </c>
      <c r="C17" s="126" t="s">
        <v>2</v>
      </c>
      <c r="D17" s="125">
        <f>B17/DADOS_INICIAIS!E9</f>
        <v>0.46917222382183438</v>
      </c>
      <c r="E17" s="127" t="s">
        <v>127</v>
      </c>
      <c r="F17" s="123" t="s">
        <v>107</v>
      </c>
      <c r="G17" s="122">
        <f>+B17*65*1.1</f>
        <v>217867.65000000005</v>
      </c>
      <c r="H17" s="128"/>
    </row>
    <row r="18" spans="1:8" ht="15.95" customHeight="1" x14ac:dyDescent="0.25">
      <c r="A18" s="169" t="s">
        <v>130</v>
      </c>
      <c r="B18" s="121">
        <f>B17-190.69</f>
        <v>2856.4100000000003</v>
      </c>
      <c r="C18" s="126" t="s">
        <v>2</v>
      </c>
      <c r="D18" s="125">
        <f>B18/DADOS_INICIAIS!E9</f>
        <v>0.43981104389318565</v>
      </c>
      <c r="E18" s="127" t="s">
        <v>127</v>
      </c>
      <c r="F18" s="123" t="s">
        <v>107</v>
      </c>
      <c r="G18" s="122">
        <f>+B18*25*1.1</f>
        <v>78551.275000000023</v>
      </c>
      <c r="H18" s="128"/>
    </row>
    <row r="19" spans="1:8" ht="27" customHeight="1" x14ac:dyDescent="0.25">
      <c r="A19" s="170" t="s">
        <v>129</v>
      </c>
      <c r="B19" s="168">
        <f>DADOS_INICIAIS!E9*'Rev. Internos Piso e Parede'!D19*0.62</f>
        <v>7248.0070800000003</v>
      </c>
      <c r="C19" s="167" t="s">
        <v>2</v>
      </c>
      <c r="D19" s="166">
        <v>1.8</v>
      </c>
      <c r="E19" s="124" t="s">
        <v>127</v>
      </c>
      <c r="F19" s="165" t="s">
        <v>107</v>
      </c>
      <c r="G19" s="122">
        <f>+B19*5*1.1</f>
        <v>39864.038940000006</v>
      </c>
      <c r="H19" s="120"/>
    </row>
    <row r="20" spans="1:8" ht="27" customHeight="1" x14ac:dyDescent="0.25">
      <c r="A20" s="169" t="s">
        <v>128</v>
      </c>
      <c r="B20" s="168">
        <f>DADOS_INICIAIS!E9*'Rev. Internos Piso e Parede'!D20*0.62</f>
        <v>7248.0070800000003</v>
      </c>
      <c r="C20" s="167" t="s">
        <v>2</v>
      </c>
      <c r="D20" s="166">
        <v>1.8</v>
      </c>
      <c r="E20" s="124" t="s">
        <v>127</v>
      </c>
      <c r="F20" s="165" t="s">
        <v>107</v>
      </c>
      <c r="G20" s="122">
        <f>50*B20*1.1</f>
        <v>398640.38940000004</v>
      </c>
      <c r="H20" s="120"/>
    </row>
    <row r="21" spans="1:8" ht="15.95" customHeight="1" x14ac:dyDescent="0.25">
      <c r="A21" s="247" t="s">
        <v>17</v>
      </c>
      <c r="B21" s="248"/>
      <c r="C21" s="248"/>
      <c r="D21" s="248"/>
      <c r="E21" s="248"/>
      <c r="F21" s="248"/>
      <c r="G21" s="119">
        <f>SUM(G15:G20)</f>
        <v>767113.20334000012</v>
      </c>
      <c r="H21" s="118"/>
    </row>
    <row r="22" spans="1:8" ht="15.95" customHeight="1" x14ac:dyDescent="0.25">
      <c r="A22" s="251"/>
      <c r="B22" s="252"/>
      <c r="C22" s="252"/>
      <c r="D22" s="252"/>
      <c r="E22" s="252"/>
      <c r="F22" s="252"/>
      <c r="G22" s="164"/>
      <c r="H22" s="115"/>
    </row>
    <row r="24" spans="1:8" x14ac:dyDescent="0.25">
      <c r="A24" s="246" t="s">
        <v>126</v>
      </c>
      <c r="B24" s="246"/>
      <c r="C24" s="246"/>
      <c r="D24" s="246"/>
      <c r="E24" s="246"/>
      <c r="F24" s="246"/>
      <c r="G24" s="114">
        <f>G21</f>
        <v>767113.20334000012</v>
      </c>
      <c r="H24" s="113">
        <f>G24/DADOS_INICIAIS!E9</f>
        <v>118.11499705756911</v>
      </c>
    </row>
    <row r="26" spans="1:8" x14ac:dyDescent="0.25">
      <c r="H26" s="112">
        <f>H24/1.1</f>
        <v>107.37727005233555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FF0000"/>
  </sheetPr>
  <dimension ref="A1:L19"/>
  <sheetViews>
    <sheetView showGridLines="0" zoomScale="80" zoomScaleNormal="80" zoomScaleSheetLayoutView="95" workbookViewId="0">
      <selection activeCell="E19" sqref="E19"/>
    </sheetView>
  </sheetViews>
  <sheetFormatPr defaultColWidth="9.140625" defaultRowHeight="15" x14ac:dyDescent="0.25"/>
  <cols>
    <col min="1" max="1" width="50.140625" style="53" customWidth="1"/>
    <col min="2" max="2" width="21.7109375" style="53" customWidth="1"/>
    <col min="3" max="3" width="26.5703125" style="53" customWidth="1"/>
    <col min="4" max="4" width="16.5703125" style="78" customWidth="1"/>
    <col min="5" max="5" width="19.5703125" style="79" customWidth="1"/>
    <col min="6" max="6" width="20.85546875" style="53" customWidth="1"/>
    <col min="7" max="7" width="23.5703125" style="53" customWidth="1"/>
    <col min="8" max="8" width="58.28515625" style="53" customWidth="1"/>
    <col min="9" max="9" width="11.285156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2" x14ac:dyDescent="0.25">
      <c r="D1" s="76"/>
      <c r="E1" s="53"/>
      <c r="H1" s="77"/>
      <c r="I1" s="77"/>
      <c r="J1" s="76"/>
    </row>
    <row r="3" spans="1:12" ht="28.5" x14ac:dyDescent="0.25">
      <c r="A3" s="227" t="s">
        <v>261</v>
      </c>
      <c r="B3" s="236"/>
      <c r="C3" s="236"/>
      <c r="D3" s="228"/>
      <c r="E3" s="228"/>
      <c r="F3" s="228"/>
      <c r="G3" s="228"/>
      <c r="H3" s="229"/>
      <c r="J3" s="76"/>
    </row>
    <row r="4" spans="1:12" ht="19.5" x14ac:dyDescent="0.25">
      <c r="A4" s="186" t="s">
        <v>123</v>
      </c>
      <c r="B4" s="191">
        <v>45471</v>
      </c>
      <c r="C4" s="189"/>
      <c r="D4" s="189"/>
      <c r="E4" s="189"/>
      <c r="F4" s="189"/>
      <c r="G4" s="189"/>
      <c r="H4" s="190"/>
      <c r="J4" s="76"/>
    </row>
    <row r="5" spans="1:12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2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2" ht="21.75" x14ac:dyDescent="0.25">
      <c r="A7" s="50" t="s">
        <v>121</v>
      </c>
      <c r="B7" s="50"/>
      <c r="C7" s="50"/>
      <c r="D7" s="51"/>
      <c r="E7" s="51"/>
      <c r="F7" s="52"/>
      <c r="G7" s="51"/>
      <c r="H7" s="51"/>
    </row>
    <row r="8" spans="1:12" ht="21.75" x14ac:dyDescent="0.25">
      <c r="A8" s="54"/>
      <c r="B8" s="54"/>
      <c r="C8" s="54"/>
      <c r="D8" s="55"/>
      <c r="E8" s="55"/>
      <c r="F8" s="56"/>
      <c r="G8" s="57"/>
      <c r="H8" s="57"/>
    </row>
    <row r="9" spans="1:12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 t="s">
        <v>59</v>
      </c>
      <c r="G9" s="69" t="s">
        <v>16</v>
      </c>
      <c r="H9" s="87" t="s">
        <v>239</v>
      </c>
    </row>
    <row r="10" spans="1:12" ht="21.75" x14ac:dyDescent="0.25">
      <c r="A10" s="64" t="s">
        <v>299</v>
      </c>
      <c r="B10" s="60">
        <v>0.5</v>
      </c>
      <c r="C10" s="60" t="s">
        <v>36</v>
      </c>
      <c r="D10" s="65">
        <f>B10*DADOS_INICIAIS!$E$9</f>
        <v>3247.3150000000001</v>
      </c>
      <c r="E10" s="65" t="s">
        <v>2</v>
      </c>
      <c r="F10" s="85">
        <v>110</v>
      </c>
      <c r="G10" s="86">
        <f>F10*D10*1.1</f>
        <v>392925.11500000005</v>
      </c>
      <c r="H10" s="65"/>
    </row>
    <row r="11" spans="1:12" ht="21.75" x14ac:dyDescent="0.25">
      <c r="A11" s="198" t="s">
        <v>300</v>
      </c>
      <c r="B11" s="60">
        <v>0.2</v>
      </c>
      <c r="C11" s="60" t="s">
        <v>36</v>
      </c>
      <c r="D11" s="65">
        <f>B11*DADOS_INICIAIS!$E$9</f>
        <v>1298.9260000000002</v>
      </c>
      <c r="E11" s="65" t="s">
        <v>2</v>
      </c>
      <c r="F11" s="85">
        <v>120</v>
      </c>
      <c r="G11" s="86">
        <f>F11*D11*1.1</f>
        <v>171458.23200000005</v>
      </c>
      <c r="H11" s="65"/>
    </row>
    <row r="12" spans="1:12" ht="21.75" x14ac:dyDescent="0.25">
      <c r="A12" s="75" t="s">
        <v>135</v>
      </c>
      <c r="B12" s="60">
        <v>1.2</v>
      </c>
      <c r="C12" s="60" t="s">
        <v>259</v>
      </c>
      <c r="D12" s="65">
        <f>(D10+D11)*B12</f>
        <v>5455.4892</v>
      </c>
      <c r="E12" s="65" t="s">
        <v>2</v>
      </c>
      <c r="F12" s="85">
        <v>22</v>
      </c>
      <c r="G12" s="86">
        <f>F12*D12*1.1</f>
        <v>132022.83864000003</v>
      </c>
      <c r="H12" s="65"/>
    </row>
    <row r="13" spans="1:12" ht="21.75" x14ac:dyDescent="0.25">
      <c r="A13" s="75" t="s">
        <v>134</v>
      </c>
      <c r="B13" s="60">
        <f>1-B10-B11</f>
        <v>0.3</v>
      </c>
      <c r="C13" s="60" t="s">
        <v>36</v>
      </c>
      <c r="D13" s="65">
        <f>B13*DADOS_INICIAIS!$E$9</f>
        <v>1948.3889999999999</v>
      </c>
      <c r="E13" s="65" t="s">
        <v>2</v>
      </c>
      <c r="F13" s="85">
        <v>24</v>
      </c>
      <c r="G13" s="86">
        <f>F13*D13*1.1</f>
        <v>51437.469599999997</v>
      </c>
      <c r="H13" s="65"/>
    </row>
    <row r="14" spans="1:12" ht="21.75" x14ac:dyDescent="0.25">
      <c r="A14" s="226" t="s">
        <v>17</v>
      </c>
      <c r="B14" s="226"/>
      <c r="C14" s="226"/>
      <c r="D14" s="226"/>
      <c r="E14" s="226"/>
      <c r="F14" s="226"/>
      <c r="G14" s="87">
        <f>SUM(G10:G13)</f>
        <v>747843.65523999999</v>
      </c>
      <c r="H14" s="87"/>
      <c r="K14" s="53">
        <f>4160+1440+1120+2880+4800+91680+4000</f>
        <v>110080</v>
      </c>
      <c r="L14" s="53">
        <f>K14/21</f>
        <v>5241.9047619047615</v>
      </c>
    </row>
    <row r="16" spans="1:12" ht="21.75" x14ac:dyDescent="0.25">
      <c r="A16" s="233" t="s">
        <v>301</v>
      </c>
      <c r="B16" s="234"/>
      <c r="C16" s="234"/>
      <c r="D16" s="234"/>
      <c r="E16" s="234"/>
      <c r="F16" s="235"/>
      <c r="G16" s="88">
        <f>G14</f>
        <v>747843.65523999999</v>
      </c>
      <c r="H16" s="88">
        <f>G16/DADOS_INICIAIS!E9</f>
        <v>115.148</v>
      </c>
    </row>
    <row r="19" spans="8:8" x14ac:dyDescent="0.25">
      <c r="H19" s="194">
        <f>H16/1.1</f>
        <v>104.67999999999999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FF0000"/>
  </sheetPr>
  <dimension ref="A1:K81"/>
  <sheetViews>
    <sheetView showGridLines="0" zoomScaleNormal="100" zoomScaleSheetLayoutView="95" workbookViewId="0">
      <selection activeCell="E19" sqref="E19"/>
    </sheetView>
  </sheetViews>
  <sheetFormatPr defaultColWidth="9.140625" defaultRowHeight="12.75" x14ac:dyDescent="0.25"/>
  <cols>
    <col min="1" max="1" width="47.42578125" style="1" customWidth="1"/>
    <col min="2" max="2" width="14" style="111" customWidth="1"/>
    <col min="3" max="3" width="7.5703125" style="110" customWidth="1"/>
    <col min="4" max="4" width="10.7109375" style="109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58"/>
      <c r="H1" s="158"/>
      <c r="I1" s="2"/>
    </row>
    <row r="2" spans="1:11" ht="12.75" customHeight="1" x14ac:dyDescent="0.25">
      <c r="A2" s="253" t="s">
        <v>125</v>
      </c>
      <c r="B2" s="2"/>
      <c r="C2" s="1"/>
      <c r="D2" s="1"/>
      <c r="G2" s="163"/>
      <c r="H2" s="163"/>
      <c r="I2" s="2"/>
    </row>
    <row r="3" spans="1:11" ht="12.75" customHeight="1" x14ac:dyDescent="0.25">
      <c r="A3" s="254"/>
      <c r="B3" s="2"/>
      <c r="C3" s="1"/>
      <c r="D3" s="1"/>
      <c r="G3" s="163"/>
      <c r="H3" s="163"/>
      <c r="I3" s="2"/>
    </row>
    <row r="4" spans="1:11" ht="12.75" customHeight="1" x14ac:dyDescent="0.25">
      <c r="A4" s="254"/>
      <c r="B4" s="2"/>
      <c r="C4" s="1"/>
      <c r="D4" s="1"/>
      <c r="G4" s="163"/>
      <c r="H4" s="163"/>
      <c r="I4" s="2"/>
    </row>
    <row r="5" spans="1:11" ht="13.5" thickBot="1" x14ac:dyDescent="0.3">
      <c r="A5" s="162"/>
      <c r="B5" s="161"/>
      <c r="C5" s="161"/>
      <c r="D5" s="161"/>
      <c r="E5" s="161"/>
      <c r="F5" s="161"/>
      <c r="G5" s="160"/>
      <c r="H5" s="160"/>
      <c r="I5" s="2"/>
    </row>
    <row r="6" spans="1:11" x14ac:dyDescent="0.25">
      <c r="A6" s="159"/>
      <c r="B6" s="2"/>
      <c r="C6" s="1"/>
      <c r="D6" s="1"/>
      <c r="G6" s="158"/>
      <c r="H6" s="158"/>
      <c r="I6" s="2"/>
    </row>
    <row r="7" spans="1:11" x14ac:dyDescent="0.25">
      <c r="A7" s="157" t="s">
        <v>124</v>
      </c>
      <c r="B7" s="156"/>
      <c r="C7" s="155"/>
      <c r="D7" s="155"/>
      <c r="E7" s="155"/>
      <c r="F7" s="155"/>
      <c r="G7" s="155"/>
      <c r="H7" s="154"/>
      <c r="I7" s="2"/>
    </row>
    <row r="8" spans="1:11" x14ac:dyDescent="0.25">
      <c r="A8" s="153" t="s">
        <v>0</v>
      </c>
      <c r="B8" s="152"/>
      <c r="C8" s="151"/>
      <c r="D8" s="151"/>
      <c r="E8" s="151"/>
      <c r="F8" s="151"/>
      <c r="G8" s="151"/>
      <c r="H8" s="150"/>
      <c r="I8" s="2"/>
    </row>
    <row r="9" spans="1:11" ht="15" customHeight="1" x14ac:dyDescent="0.25">
      <c r="A9" s="149" t="s">
        <v>123</v>
      </c>
      <c r="B9" s="148">
        <v>45471</v>
      </c>
      <c r="C9" s="147"/>
      <c r="D9" s="147"/>
      <c r="E9" s="147"/>
      <c r="F9" s="147"/>
      <c r="G9" s="147"/>
      <c r="H9" s="146"/>
    </row>
    <row r="10" spans="1:11" x14ac:dyDescent="0.25">
      <c r="A10" s="145" t="s">
        <v>1</v>
      </c>
      <c r="B10" s="144" t="s">
        <v>122</v>
      </c>
      <c r="C10" s="143"/>
      <c r="D10" s="143"/>
      <c r="E10" s="143"/>
      <c r="F10" s="143"/>
      <c r="G10" s="143"/>
      <c r="H10" s="142"/>
    </row>
    <row r="12" spans="1:11" x14ac:dyDescent="0.25">
      <c r="A12" s="141" t="s">
        <v>147</v>
      </c>
      <c r="B12" s="140"/>
      <c r="C12" s="139"/>
      <c r="D12" s="138"/>
      <c r="E12" s="137"/>
      <c r="F12" s="137"/>
      <c r="G12" s="137"/>
      <c r="H12" s="136"/>
    </row>
    <row r="13" spans="1:11" ht="15.95" customHeight="1" x14ac:dyDescent="0.25">
      <c r="A13" s="135"/>
      <c r="B13" s="134"/>
      <c r="C13" s="133"/>
      <c r="D13" s="132"/>
      <c r="E13" s="132"/>
      <c r="F13" s="132"/>
      <c r="H13" s="128"/>
    </row>
    <row r="14" spans="1:11" ht="15.95" customHeight="1" x14ac:dyDescent="0.25">
      <c r="A14" s="131" t="s">
        <v>14</v>
      </c>
      <c r="B14" s="242" t="s">
        <v>18</v>
      </c>
      <c r="C14" s="243"/>
      <c r="D14" s="244" t="s">
        <v>5</v>
      </c>
      <c r="E14" s="245"/>
      <c r="F14" s="130" t="s">
        <v>120</v>
      </c>
      <c r="G14" s="129" t="s">
        <v>16</v>
      </c>
      <c r="H14" s="128"/>
      <c r="I14" s="2"/>
    </row>
    <row r="15" spans="1:11" ht="15.95" customHeight="1" x14ac:dyDescent="0.25">
      <c r="A15" s="169" t="s">
        <v>146</v>
      </c>
      <c r="B15" s="177">
        <f>B29</f>
        <v>3047.1000000000004</v>
      </c>
      <c r="C15" s="167" t="s">
        <v>143</v>
      </c>
      <c r="D15" s="175">
        <v>125</v>
      </c>
      <c r="E15" s="124" t="s">
        <v>108</v>
      </c>
      <c r="F15" s="165" t="s">
        <v>107</v>
      </c>
      <c r="G15" s="122">
        <f>+D15*B15*1.1</f>
        <v>418976.25000000012</v>
      </c>
      <c r="H15" s="128"/>
      <c r="K15" s="112"/>
    </row>
    <row r="16" spans="1:11" ht="15.95" customHeight="1" x14ac:dyDescent="0.25">
      <c r="A16" s="179" t="s">
        <v>145</v>
      </c>
      <c r="B16" s="177">
        <f>B33</f>
        <v>34.979999999999997</v>
      </c>
      <c r="C16" s="167" t="s">
        <v>143</v>
      </c>
      <c r="D16" s="175">
        <v>250</v>
      </c>
      <c r="E16" s="124" t="s">
        <v>108</v>
      </c>
      <c r="F16" s="165" t="s">
        <v>107</v>
      </c>
      <c r="G16" s="122">
        <f t="shared" ref="G16:G19" si="0">+D16*B16*1.1</f>
        <v>9619.5</v>
      </c>
      <c r="H16" s="128"/>
    </row>
    <row r="17" spans="1:11" ht="15.95" customHeight="1" x14ac:dyDescent="0.25">
      <c r="A17" s="179" t="s">
        <v>273</v>
      </c>
      <c r="B17" s="177">
        <f>B32</f>
        <v>18</v>
      </c>
      <c r="C17" s="167" t="s">
        <v>143</v>
      </c>
      <c r="D17" s="175">
        <v>450</v>
      </c>
      <c r="E17" s="124" t="s">
        <v>108</v>
      </c>
      <c r="F17" s="165" t="s">
        <v>107</v>
      </c>
      <c r="G17" s="122">
        <f t="shared" si="0"/>
        <v>8910</v>
      </c>
      <c r="H17" s="128"/>
    </row>
    <row r="18" spans="1:11" ht="15.95" customHeight="1" x14ac:dyDescent="0.25">
      <c r="A18" s="169" t="s">
        <v>144</v>
      </c>
      <c r="B18" s="177">
        <f>B31</f>
        <v>79.64</v>
      </c>
      <c r="C18" s="167" t="s">
        <v>143</v>
      </c>
      <c r="D18" s="175">
        <v>60</v>
      </c>
      <c r="E18" s="124" t="s">
        <v>108</v>
      </c>
      <c r="F18" s="165" t="s">
        <v>107</v>
      </c>
      <c r="G18" s="122">
        <f t="shared" si="0"/>
        <v>5256.24</v>
      </c>
      <c r="H18" s="128"/>
    </row>
    <row r="19" spans="1:11" ht="15.95" customHeight="1" x14ac:dyDescent="0.25">
      <c r="A19" s="169" t="s">
        <v>275</v>
      </c>
      <c r="B19" s="177">
        <f>B34</f>
        <v>103.08449999999999</v>
      </c>
      <c r="C19" s="167" t="s">
        <v>143</v>
      </c>
      <c r="D19" s="175">
        <v>180</v>
      </c>
      <c r="E19" s="124" t="s">
        <v>108</v>
      </c>
      <c r="F19" s="165" t="s">
        <v>107</v>
      </c>
      <c r="G19" s="122">
        <f t="shared" si="0"/>
        <v>20410.731</v>
      </c>
      <c r="H19" s="128"/>
    </row>
    <row r="20" spans="1:11" ht="15.95" customHeight="1" x14ac:dyDescent="0.25">
      <c r="A20" s="179" t="s">
        <v>142</v>
      </c>
      <c r="B20" s="177">
        <v>1</v>
      </c>
      <c r="C20" s="167" t="s">
        <v>26</v>
      </c>
      <c r="D20" s="175">
        <v>30</v>
      </c>
      <c r="E20" s="124" t="s">
        <v>6</v>
      </c>
      <c r="F20" s="165" t="s">
        <v>107</v>
      </c>
      <c r="G20" s="122">
        <f>D20*DADOS_INICIAIS!$E$9*1.1</f>
        <v>214322.79</v>
      </c>
      <c r="H20" s="128"/>
    </row>
    <row r="21" spans="1:11" ht="15.95" customHeight="1" x14ac:dyDescent="0.25">
      <c r="A21" s="178" t="s">
        <v>141</v>
      </c>
      <c r="B21" s="177">
        <v>1</v>
      </c>
      <c r="C21" s="167" t="s">
        <v>26</v>
      </c>
      <c r="D21" s="175">
        <v>20</v>
      </c>
      <c r="E21" s="124" t="s">
        <v>6</v>
      </c>
      <c r="F21" s="165" t="s">
        <v>107</v>
      </c>
      <c r="G21" s="122">
        <f>D21*DADOS_INICIAIS!$E$9*1.1</f>
        <v>142881.86000000002</v>
      </c>
      <c r="H21" s="128"/>
    </row>
    <row r="22" spans="1:11" ht="15.95" customHeight="1" x14ac:dyDescent="0.25">
      <c r="A22" s="176" t="s">
        <v>140</v>
      </c>
      <c r="B22" s="168">
        <v>1</v>
      </c>
      <c r="C22" s="167" t="s">
        <v>26</v>
      </c>
      <c r="D22" s="175">
        <v>50</v>
      </c>
      <c r="E22" s="124" t="s">
        <v>6</v>
      </c>
      <c r="F22" s="165" t="s">
        <v>107</v>
      </c>
      <c r="G22" s="122">
        <f>D22*DADOS_INICIAIS!$E$9*1.1</f>
        <v>357204.65</v>
      </c>
      <c r="H22" s="120"/>
    </row>
    <row r="23" spans="1:11" ht="15.95" customHeight="1" x14ac:dyDescent="0.25">
      <c r="A23" s="257">
        <f>20*40</f>
        <v>800</v>
      </c>
      <c r="B23" s="246"/>
      <c r="C23" s="246"/>
      <c r="D23" s="246"/>
      <c r="E23" s="246"/>
      <c r="F23" s="246"/>
      <c r="G23" s="174">
        <f>SUM(G15:G22)</f>
        <v>1177582.0210000002</v>
      </c>
      <c r="H23" s="118"/>
    </row>
    <row r="24" spans="1:11" ht="15.95" customHeight="1" x14ac:dyDescent="0.25">
      <c r="A24" s="255"/>
      <c r="B24" s="256"/>
      <c r="C24" s="256"/>
      <c r="D24" s="256"/>
      <c r="E24" s="256"/>
      <c r="F24" s="256"/>
      <c r="G24" s="164"/>
      <c r="H24" s="115"/>
    </row>
    <row r="25" spans="1:11" ht="15.95" customHeight="1" x14ac:dyDescent="0.25">
      <c r="A25" s="117"/>
      <c r="B25" s="116"/>
      <c r="C25" s="116"/>
      <c r="D25" s="116"/>
      <c r="E25" s="116"/>
      <c r="F25" s="116"/>
      <c r="G25" s="164"/>
      <c r="H25" s="115"/>
    </row>
    <row r="26" spans="1:11" x14ac:dyDescent="0.25">
      <c r="A26" s="246" t="s">
        <v>139</v>
      </c>
      <c r="B26" s="246"/>
      <c r="C26" s="246"/>
      <c r="D26" s="246"/>
      <c r="E26" s="246"/>
      <c r="F26" s="246"/>
      <c r="G26" s="114">
        <f>G23</f>
        <v>1177582.0210000002</v>
      </c>
      <c r="H26" s="113">
        <f>G26/DADOS_INICIAIS!E9</f>
        <v>181.31625989471303</v>
      </c>
    </row>
    <row r="28" spans="1:11" ht="15" x14ac:dyDescent="0.25">
      <c r="B28"/>
      <c r="C28"/>
      <c r="D28"/>
      <c r="E28"/>
      <c r="F28"/>
      <c r="G28"/>
      <c r="H28" s="173">
        <f>H26/1.1</f>
        <v>164.83296354064819</v>
      </c>
    </row>
    <row r="29" spans="1:11" ht="15" x14ac:dyDescent="0.25">
      <c r="A29" s="196" t="s">
        <v>138</v>
      </c>
      <c r="B29" s="112">
        <v>3047.1000000000004</v>
      </c>
      <c r="D29"/>
      <c r="E29"/>
      <c r="F29"/>
      <c r="G29"/>
      <c r="H29" s="110"/>
    </row>
    <row r="30" spans="1:11" ht="15" x14ac:dyDescent="0.25">
      <c r="A30" s="181" t="s">
        <v>295</v>
      </c>
      <c r="B30" s="112">
        <v>1250.1000000000001</v>
      </c>
      <c r="D30"/>
      <c r="E30"/>
      <c r="F30"/>
      <c r="G30"/>
      <c r="H30"/>
    </row>
    <row r="31" spans="1:11" ht="15" x14ac:dyDescent="0.25">
      <c r="A31" s="180" t="s">
        <v>137</v>
      </c>
      <c r="B31" s="1">
        <v>79.64</v>
      </c>
      <c r="D31"/>
      <c r="E31"/>
      <c r="F31"/>
      <c r="G31"/>
      <c r="H31" s="173"/>
      <c r="K31" s="112"/>
    </row>
    <row r="32" spans="1:11" ht="15" x14ac:dyDescent="0.25">
      <c r="A32" s="1" t="s">
        <v>271</v>
      </c>
      <c r="B32" s="2">
        <v>18</v>
      </c>
      <c r="D32"/>
      <c r="E32"/>
      <c r="F32"/>
      <c r="G32"/>
      <c r="H32" s="173"/>
    </row>
    <row r="33" spans="1:8" ht="15" x14ac:dyDescent="0.25">
      <c r="A33" s="1" t="s">
        <v>272</v>
      </c>
      <c r="B33" s="1">
        <v>34.979999999999997</v>
      </c>
      <c r="D33"/>
      <c r="E33"/>
      <c r="F33"/>
      <c r="G33"/>
      <c r="H33" s="173"/>
    </row>
    <row r="34" spans="1:8" ht="15" x14ac:dyDescent="0.25">
      <c r="A34" s="1" t="s">
        <v>297</v>
      </c>
      <c r="B34" s="2">
        <v>103.08449999999999</v>
      </c>
      <c r="D34"/>
      <c r="E34"/>
      <c r="F34"/>
      <c r="G34"/>
      <c r="H34"/>
    </row>
    <row r="35" spans="1:8" ht="15" x14ac:dyDescent="0.25">
      <c r="A35" s="1" t="s">
        <v>298</v>
      </c>
      <c r="B35" s="1">
        <v>345.47399999999999</v>
      </c>
      <c r="D35"/>
      <c r="E35"/>
      <c r="F35"/>
      <c r="G35"/>
      <c r="H35"/>
    </row>
    <row r="36" spans="1:8" ht="15" x14ac:dyDescent="0.25">
      <c r="B36" s="1"/>
      <c r="C36"/>
      <c r="D36"/>
      <c r="E36"/>
      <c r="F36"/>
      <c r="G36"/>
      <c r="H36"/>
    </row>
    <row r="37" spans="1:8" ht="15" x14ac:dyDescent="0.25">
      <c r="B37" s="1"/>
      <c r="C37"/>
      <c r="D37"/>
      <c r="E37"/>
      <c r="F37"/>
      <c r="G37"/>
      <c r="H37"/>
    </row>
    <row r="38" spans="1:8" ht="15" x14ac:dyDescent="0.25">
      <c r="C38"/>
      <c r="D38"/>
      <c r="E38"/>
      <c r="F38"/>
      <c r="G38"/>
      <c r="H38"/>
    </row>
    <row r="39" spans="1:8" ht="15" x14ac:dyDescent="0.25">
      <c r="C39"/>
      <c r="D39"/>
      <c r="E39"/>
      <c r="F39"/>
      <c r="G39"/>
      <c r="H39"/>
    </row>
    <row r="40" spans="1:8" ht="15" x14ac:dyDescent="0.25">
      <c r="B40"/>
      <c r="C40"/>
      <c r="D40"/>
      <c r="E40"/>
      <c r="F40"/>
      <c r="G40"/>
      <c r="H40"/>
    </row>
    <row r="41" spans="1:8" ht="15" x14ac:dyDescent="0.25">
      <c r="C41"/>
      <c r="D41"/>
      <c r="E41"/>
      <c r="F41"/>
      <c r="G41"/>
      <c r="H41"/>
    </row>
    <row r="42" spans="1:8" ht="15" x14ac:dyDescent="0.25">
      <c r="C42"/>
      <c r="D42"/>
      <c r="E42"/>
      <c r="F42"/>
      <c r="G42"/>
      <c r="H42"/>
    </row>
    <row r="43" spans="1:8" ht="15" x14ac:dyDescent="0.25">
      <c r="C43"/>
      <c r="D43"/>
      <c r="E43"/>
      <c r="F43"/>
      <c r="G43"/>
      <c r="H43"/>
    </row>
    <row r="44" spans="1:8" ht="15" x14ac:dyDescent="0.25">
      <c r="C44"/>
      <c r="D44"/>
      <c r="E44"/>
      <c r="F44"/>
      <c r="G44"/>
      <c r="H44"/>
    </row>
    <row r="45" spans="1:8" ht="15" x14ac:dyDescent="0.25">
      <c r="C45"/>
      <c r="D45"/>
      <c r="E45"/>
      <c r="F45"/>
      <c r="G45"/>
      <c r="H45"/>
    </row>
    <row r="46" spans="1:8" ht="15" x14ac:dyDescent="0.25">
      <c r="C46"/>
      <c r="D46"/>
      <c r="E46"/>
      <c r="F46"/>
      <c r="G46"/>
      <c r="H46"/>
    </row>
    <row r="47" spans="1:8" ht="15" x14ac:dyDescent="0.25">
      <c r="C47"/>
      <c r="D47"/>
      <c r="E47"/>
      <c r="F47"/>
      <c r="G47"/>
      <c r="H47"/>
    </row>
    <row r="48" spans="1:8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B53"/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B59"/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B64"/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B71"/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B76"/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</sheetData>
  <mergeCells count="6">
    <mergeCell ref="A26:F26"/>
    <mergeCell ref="A24:F24"/>
    <mergeCell ref="A23:F23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FF0000"/>
  </sheetPr>
  <dimension ref="A1:L18"/>
  <sheetViews>
    <sheetView showGridLines="0" zoomScale="80" zoomScaleNormal="80" zoomScaleSheetLayoutView="95" workbookViewId="0">
      <selection activeCell="E19" sqref="E19"/>
    </sheetView>
  </sheetViews>
  <sheetFormatPr defaultColWidth="9.140625" defaultRowHeight="15" x14ac:dyDescent="0.25"/>
  <cols>
    <col min="1" max="1" width="50.140625" style="53" customWidth="1"/>
    <col min="2" max="2" width="21.7109375" style="53" customWidth="1"/>
    <col min="3" max="3" width="26.5703125" style="53" customWidth="1"/>
    <col min="4" max="4" width="16.5703125" style="78" customWidth="1"/>
    <col min="5" max="5" width="19.5703125" style="79" customWidth="1"/>
    <col min="6" max="6" width="20.85546875" style="53" customWidth="1"/>
    <col min="7" max="7" width="23.5703125" style="53" customWidth="1"/>
    <col min="8" max="8" width="58.28515625" style="53" customWidth="1"/>
    <col min="9" max="9" width="11.285156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2" x14ac:dyDescent="0.25">
      <c r="D1" s="76"/>
      <c r="E1" s="53"/>
      <c r="H1" s="77"/>
      <c r="I1" s="77"/>
      <c r="J1" s="76"/>
    </row>
    <row r="3" spans="1:12" ht="28.5" x14ac:dyDescent="0.25">
      <c r="A3" s="227" t="s">
        <v>260</v>
      </c>
      <c r="B3" s="236"/>
      <c r="C3" s="236"/>
      <c r="D3" s="228"/>
      <c r="E3" s="228"/>
      <c r="F3" s="228"/>
      <c r="G3" s="228"/>
      <c r="H3" s="229"/>
      <c r="J3" s="76"/>
    </row>
    <row r="4" spans="1:12" ht="19.5" x14ac:dyDescent="0.25">
      <c r="A4" s="186" t="s">
        <v>123</v>
      </c>
      <c r="B4" s="191">
        <v>45457</v>
      </c>
      <c r="C4" s="189"/>
      <c r="D4" s="189"/>
      <c r="E4" s="189"/>
      <c r="F4" s="189"/>
      <c r="G4" s="189"/>
      <c r="H4" s="190"/>
      <c r="J4" s="76"/>
    </row>
    <row r="5" spans="1:12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2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2" ht="21.75" x14ac:dyDescent="0.25">
      <c r="A7" s="50" t="s">
        <v>121</v>
      </c>
      <c r="B7" s="50"/>
      <c r="C7" s="50"/>
      <c r="D7" s="51"/>
      <c r="E7" s="51"/>
      <c r="F7" s="52"/>
      <c r="G7" s="51"/>
      <c r="H7" s="51"/>
    </row>
    <row r="8" spans="1:12" ht="21.75" x14ac:dyDescent="0.25">
      <c r="A8" s="54"/>
      <c r="B8" s="54"/>
      <c r="C8" s="54"/>
      <c r="D8" s="55"/>
      <c r="E8" s="55"/>
      <c r="F8" s="56"/>
      <c r="G8" s="57"/>
      <c r="H8" s="57"/>
    </row>
    <row r="9" spans="1:12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 t="s">
        <v>59</v>
      </c>
      <c r="G9" s="69" t="s">
        <v>16</v>
      </c>
      <c r="H9" s="87" t="s">
        <v>239</v>
      </c>
    </row>
    <row r="10" spans="1:12" ht="21.75" x14ac:dyDescent="0.25">
      <c r="A10" s="64" t="s">
        <v>151</v>
      </c>
      <c r="B10" s="60">
        <v>25</v>
      </c>
      <c r="C10" s="60" t="s">
        <v>108</v>
      </c>
      <c r="D10" s="65">
        <f>'Rev. Internos Piso e Parede'!B15</f>
        <v>1250.1000000000001</v>
      </c>
      <c r="E10" s="65" t="s">
        <v>2</v>
      </c>
      <c r="F10" s="85">
        <v>110</v>
      </c>
      <c r="G10" s="86">
        <f>F10*D10*1.1</f>
        <v>151262.10000000003</v>
      </c>
      <c r="H10" s="65"/>
    </row>
    <row r="11" spans="1:12" ht="21.75" x14ac:dyDescent="0.25">
      <c r="A11" s="75" t="s">
        <v>150</v>
      </c>
      <c r="B11" s="60">
        <v>45</v>
      </c>
      <c r="C11" s="60" t="s">
        <v>108</v>
      </c>
      <c r="D11" s="65">
        <f>'Rev. Internos Piso e Parede'!B16</f>
        <v>345.47399999999999</v>
      </c>
      <c r="E11" s="65" t="s">
        <v>2</v>
      </c>
      <c r="F11" s="85">
        <v>65</v>
      </c>
      <c r="G11" s="86">
        <f>F11*D11*1.1</f>
        <v>24701.391</v>
      </c>
      <c r="H11" s="65"/>
    </row>
    <row r="12" spans="1:12" ht="21.75" x14ac:dyDescent="0.25">
      <c r="A12" s="75" t="s">
        <v>149</v>
      </c>
      <c r="B12" s="60">
        <v>15</v>
      </c>
      <c r="C12" s="60" t="s">
        <v>6</v>
      </c>
      <c r="D12" s="65">
        <v>1</v>
      </c>
      <c r="E12" s="65" t="s">
        <v>26</v>
      </c>
      <c r="F12" s="85">
        <f>B12*DADOS_INICIAIS!$E$9</f>
        <v>97419.45</v>
      </c>
      <c r="G12" s="86">
        <f>F12*D12*1.1</f>
        <v>107161.395</v>
      </c>
      <c r="H12" s="65"/>
    </row>
    <row r="13" spans="1:12" ht="21.75" x14ac:dyDescent="0.25">
      <c r="A13" s="64" t="s">
        <v>148</v>
      </c>
      <c r="B13" s="60">
        <v>60</v>
      </c>
      <c r="C13" s="60" t="s">
        <v>6</v>
      </c>
      <c r="D13" s="65">
        <v>1</v>
      </c>
      <c r="E13" s="65" t="s">
        <v>26</v>
      </c>
      <c r="F13" s="85">
        <f>B13*DADOS_INICIAIS!$E$9</f>
        <v>389677.8</v>
      </c>
      <c r="G13" s="86">
        <f>F13*D13*1.1</f>
        <v>428645.58</v>
      </c>
      <c r="H13" s="65"/>
    </row>
    <row r="14" spans="1:12" ht="21.75" x14ac:dyDescent="0.25">
      <c r="A14" s="226" t="s">
        <v>17</v>
      </c>
      <c r="B14" s="226"/>
      <c r="C14" s="226"/>
      <c r="D14" s="226"/>
      <c r="E14" s="226"/>
      <c r="F14" s="226"/>
      <c r="G14" s="87">
        <f>SUM(G10:G13)</f>
        <v>711770.46600000001</v>
      </c>
      <c r="H14" s="87"/>
      <c r="K14" s="53">
        <f>4160+1440+1120+2880+4800+91680+4000</f>
        <v>110080</v>
      </c>
      <c r="L14" s="53">
        <f>K14/21</f>
        <v>5241.9047619047615</v>
      </c>
    </row>
    <row r="16" spans="1:12" ht="21.75" x14ac:dyDescent="0.25">
      <c r="A16" s="233" t="s">
        <v>159</v>
      </c>
      <c r="B16" s="234"/>
      <c r="C16" s="234"/>
      <c r="D16" s="234"/>
      <c r="E16" s="234"/>
      <c r="F16" s="235"/>
      <c r="G16" s="88">
        <f>G14</f>
        <v>711770.46600000001</v>
      </c>
      <c r="H16" s="88">
        <f>G16/DADOS_INICIAIS!E9</f>
        <v>109.59368986377977</v>
      </c>
    </row>
    <row r="18" spans="8:8" x14ac:dyDescent="0.25">
      <c r="H18" s="194">
        <f>H16/1.1</f>
        <v>99.630627148890696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FF0000"/>
  </sheetPr>
  <dimension ref="A1:L23"/>
  <sheetViews>
    <sheetView showGridLines="0" topLeftCell="A7" zoomScale="80" zoomScaleNormal="80" zoomScaleSheetLayoutView="95" workbookViewId="0">
      <selection activeCell="E19" sqref="E19"/>
    </sheetView>
  </sheetViews>
  <sheetFormatPr defaultColWidth="9.140625" defaultRowHeight="15" x14ac:dyDescent="0.25"/>
  <cols>
    <col min="1" max="1" width="50.140625" style="53" customWidth="1"/>
    <col min="2" max="2" width="21.7109375" style="53" customWidth="1"/>
    <col min="3" max="3" width="26.5703125" style="53" customWidth="1"/>
    <col min="4" max="4" width="16.5703125" style="78" customWidth="1"/>
    <col min="5" max="5" width="19.5703125" style="79" customWidth="1"/>
    <col min="6" max="6" width="20.85546875" style="53" customWidth="1"/>
    <col min="7" max="8" width="22.7109375" style="53" customWidth="1"/>
    <col min="9" max="9" width="11.28515625" style="53" customWidth="1"/>
    <col min="10" max="10" width="9.140625" style="53"/>
    <col min="11" max="11" width="11" style="53" bestFit="1" customWidth="1"/>
    <col min="12" max="12" width="11.28515625" style="53" bestFit="1" customWidth="1"/>
    <col min="13" max="13" width="9.140625" style="53"/>
    <col min="14" max="15" width="11" style="53" bestFit="1" customWidth="1"/>
    <col min="16" max="16384" width="9.140625" style="53"/>
  </cols>
  <sheetData>
    <row r="1" spans="1:10" x14ac:dyDescent="0.25">
      <c r="D1" s="76"/>
      <c r="E1" s="53"/>
      <c r="H1" s="77"/>
      <c r="I1" s="77"/>
      <c r="J1" s="76"/>
    </row>
    <row r="3" spans="1:10" ht="28.5" x14ac:dyDescent="0.25">
      <c r="A3" s="227" t="s">
        <v>176</v>
      </c>
      <c r="B3" s="236"/>
      <c r="C3" s="236"/>
      <c r="D3" s="228"/>
      <c r="E3" s="228"/>
      <c r="F3" s="228"/>
      <c r="G3" s="228"/>
      <c r="H3" s="229"/>
      <c r="J3" s="76"/>
    </row>
    <row r="4" spans="1:10" ht="19.5" x14ac:dyDescent="0.25">
      <c r="A4" s="186" t="s">
        <v>123</v>
      </c>
      <c r="B4" s="191">
        <v>45460</v>
      </c>
      <c r="C4" s="189"/>
      <c r="D4" s="189"/>
      <c r="E4" s="189"/>
      <c r="F4" s="189"/>
      <c r="G4" s="189"/>
      <c r="H4" s="190"/>
      <c r="J4" s="76"/>
    </row>
    <row r="5" spans="1:10" ht="19.5" x14ac:dyDescent="0.25">
      <c r="A5" s="186" t="s">
        <v>237</v>
      </c>
      <c r="B5" s="192" t="s">
        <v>153</v>
      </c>
      <c r="C5" s="187"/>
      <c r="D5" s="187"/>
      <c r="E5" s="187"/>
      <c r="F5" s="187"/>
      <c r="G5" s="187"/>
      <c r="H5" s="188"/>
      <c r="J5" s="76"/>
    </row>
    <row r="6" spans="1:10" ht="21.75" x14ac:dyDescent="0.25">
      <c r="A6" s="80"/>
      <c r="B6" s="80"/>
      <c r="C6" s="80"/>
      <c r="D6" s="80"/>
      <c r="E6" s="80"/>
      <c r="F6" s="81"/>
      <c r="G6" s="82"/>
      <c r="H6" s="82"/>
      <c r="J6" s="76"/>
    </row>
    <row r="7" spans="1:10" ht="21.75" x14ac:dyDescent="0.25">
      <c r="A7" s="50" t="s">
        <v>176</v>
      </c>
      <c r="B7" s="50"/>
      <c r="C7" s="50"/>
      <c r="D7" s="51"/>
      <c r="E7" s="51"/>
      <c r="F7" s="52"/>
      <c r="G7" s="51"/>
      <c r="H7" s="51"/>
    </row>
    <row r="8" spans="1:10" ht="21.75" x14ac:dyDescent="0.25">
      <c r="A8" s="54"/>
      <c r="B8" s="54"/>
      <c r="C8" s="54"/>
      <c r="D8" s="55"/>
      <c r="E8" s="55"/>
      <c r="F8" s="56"/>
      <c r="G8" s="57"/>
      <c r="H8" s="57"/>
    </row>
    <row r="9" spans="1:10" ht="42" customHeight="1" x14ac:dyDescent="0.25">
      <c r="A9" s="61" t="s">
        <v>14</v>
      </c>
      <c r="B9" s="231" t="s">
        <v>5</v>
      </c>
      <c r="C9" s="232"/>
      <c r="D9" s="231" t="s">
        <v>18</v>
      </c>
      <c r="E9" s="232"/>
      <c r="F9" s="63"/>
      <c r="G9" s="69" t="s">
        <v>16</v>
      </c>
      <c r="H9" s="87" t="s">
        <v>239</v>
      </c>
    </row>
    <row r="10" spans="1:10" ht="21.75" x14ac:dyDescent="0.25">
      <c r="A10" s="64" t="s">
        <v>175</v>
      </c>
      <c r="B10" s="60">
        <v>0.15</v>
      </c>
      <c r="C10" s="60" t="s">
        <v>262</v>
      </c>
      <c r="D10" s="197">
        <f>B10*DADOS_INICIAIS!E9</f>
        <v>974.19449999999995</v>
      </c>
      <c r="E10" s="65" t="s">
        <v>2</v>
      </c>
      <c r="F10" s="85">
        <v>980</v>
      </c>
      <c r="G10" s="86">
        <f>F10*D10*1.1</f>
        <v>1050181.6710000001</v>
      </c>
      <c r="H10" s="65">
        <f>G10/DADOS_INICIAIS!E9</f>
        <v>161.70000000000002</v>
      </c>
      <c r="I10" s="53">
        <f t="shared" ref="I10:I12" si="0">G10/D10</f>
        <v>1078.0000000000002</v>
      </c>
    </row>
    <row r="11" spans="1:10" ht="21.75" x14ac:dyDescent="0.25">
      <c r="A11" s="198" t="s">
        <v>279</v>
      </c>
      <c r="B11" s="60"/>
      <c r="C11" s="60"/>
      <c r="D11" s="197">
        <f>16.56*3.2*2</f>
        <v>105.98399999999999</v>
      </c>
      <c r="E11" s="65" t="s">
        <v>2</v>
      </c>
      <c r="F11" s="85">
        <v>1600</v>
      </c>
      <c r="G11" s="86">
        <f>F11*D11*1.1</f>
        <v>186531.84</v>
      </c>
      <c r="H11" s="65"/>
      <c r="I11" s="53">
        <f t="shared" si="0"/>
        <v>1760</v>
      </c>
    </row>
    <row r="12" spans="1:10" ht="21.75" x14ac:dyDescent="0.25">
      <c r="A12" s="75" t="s">
        <v>170</v>
      </c>
      <c r="B12" s="60"/>
      <c r="C12" s="60"/>
      <c r="D12" s="65">
        <v>1</v>
      </c>
      <c r="E12" s="65" t="s">
        <v>3</v>
      </c>
      <c r="F12" s="85">
        <v>18000</v>
      </c>
      <c r="G12" s="86">
        <f>F12*D12*1.1</f>
        <v>19800</v>
      </c>
      <c r="H12" s="65"/>
      <c r="I12" s="53">
        <f t="shared" si="0"/>
        <v>19800</v>
      </c>
    </row>
    <row r="13" spans="1:10" ht="21.75" x14ac:dyDescent="0.25">
      <c r="A13" s="75" t="s">
        <v>172</v>
      </c>
      <c r="B13" s="60"/>
      <c r="C13" s="60"/>
      <c r="D13" s="197">
        <f>7.2*8+6.16*4+18+5.56*8+4.39*4</f>
        <v>162.28</v>
      </c>
      <c r="E13" s="65" t="s">
        <v>4</v>
      </c>
      <c r="F13" s="85">
        <f>750*1.1</f>
        <v>825.00000000000011</v>
      </c>
      <c r="G13" s="86">
        <f t="shared" ref="G13" si="1">F13*D13*1.1</f>
        <v>147269.10000000003</v>
      </c>
      <c r="H13" s="65"/>
      <c r="I13" s="53">
        <f>G13/D13</f>
        <v>907.50000000000023</v>
      </c>
    </row>
    <row r="14" spans="1:10" ht="21.75" x14ac:dyDescent="0.25">
      <c r="A14" s="75" t="s">
        <v>302</v>
      </c>
      <c r="B14" s="60"/>
      <c r="C14" s="60"/>
      <c r="D14" s="197">
        <f>(2.9*8+5.52*8+3.82*4)*3.2</f>
        <v>264.44800000000004</v>
      </c>
      <c r="E14" s="65" t="s">
        <v>2</v>
      </c>
      <c r="F14" s="85">
        <v>710</v>
      </c>
      <c r="G14" s="86">
        <f>F14*D14*1.1</f>
        <v>206533.88800000004</v>
      </c>
      <c r="H14" s="65"/>
      <c r="I14" s="53">
        <f t="shared" ref="I14:I20" si="2">G14/D14</f>
        <v>781</v>
      </c>
    </row>
    <row r="15" spans="1:10" ht="21.75" x14ac:dyDescent="0.25">
      <c r="A15" s="75" t="s">
        <v>270</v>
      </c>
      <c r="B15" s="60"/>
      <c r="C15" s="60"/>
      <c r="D15" s="197">
        <f>1.9*2</f>
        <v>3.8</v>
      </c>
      <c r="E15" s="65" t="s">
        <v>4</v>
      </c>
      <c r="F15" s="85">
        <v>150</v>
      </c>
      <c r="G15" s="86">
        <f t="shared" ref="G15:G20" si="3">F15*D15*1.1</f>
        <v>627</v>
      </c>
      <c r="H15" s="65"/>
      <c r="I15" s="53">
        <f t="shared" si="2"/>
        <v>165</v>
      </c>
      <c r="J15" s="53">
        <f>I15*1.5</f>
        <v>247.5</v>
      </c>
    </row>
    <row r="16" spans="1:10" ht="21.75" x14ac:dyDescent="0.25">
      <c r="A16" s="75" t="s">
        <v>173</v>
      </c>
      <c r="B16" s="60">
        <v>10</v>
      </c>
      <c r="C16" s="60" t="s">
        <v>6</v>
      </c>
      <c r="D16" s="65">
        <v>1</v>
      </c>
      <c r="E16" s="65" t="s">
        <v>26</v>
      </c>
      <c r="F16" s="85">
        <f>B16*DADOS_INICIAIS!$E$9</f>
        <v>64946.3</v>
      </c>
      <c r="G16" s="86">
        <f t="shared" si="3"/>
        <v>71440.930000000008</v>
      </c>
      <c r="H16" s="65"/>
      <c r="I16" s="53">
        <f t="shared" si="2"/>
        <v>71440.930000000008</v>
      </c>
    </row>
    <row r="17" spans="1:12" ht="28.5" customHeight="1" x14ac:dyDescent="0.25">
      <c r="A17" s="75" t="s">
        <v>174</v>
      </c>
      <c r="B17" s="60"/>
      <c r="C17" s="60"/>
      <c r="D17" s="197">
        <f>2*DADOS_INICIAIS!E15</f>
        <v>16</v>
      </c>
      <c r="E17" s="65" t="s">
        <v>3</v>
      </c>
      <c r="F17" s="85">
        <v>1750</v>
      </c>
      <c r="G17" s="86">
        <f t="shared" si="3"/>
        <v>30800.000000000004</v>
      </c>
      <c r="H17" s="65"/>
      <c r="I17" s="53">
        <f t="shared" si="2"/>
        <v>1925.0000000000002</v>
      </c>
    </row>
    <row r="18" spans="1:12" ht="21.75" x14ac:dyDescent="0.25">
      <c r="A18" s="75" t="s">
        <v>171</v>
      </c>
      <c r="B18" s="60"/>
      <c r="C18" s="60"/>
      <c r="D18" s="197">
        <f>((3.52*2+2.4+2.32*2)*1.2)*17</f>
        <v>287.23199999999997</v>
      </c>
      <c r="E18" s="65" t="s">
        <v>4</v>
      </c>
      <c r="F18" s="85">
        <v>65</v>
      </c>
      <c r="G18" s="86">
        <f t="shared" si="3"/>
        <v>20537.088</v>
      </c>
      <c r="H18" s="65"/>
      <c r="I18" s="53">
        <f t="shared" si="2"/>
        <v>71.5</v>
      </c>
    </row>
    <row r="19" spans="1:12" ht="21.75" x14ac:dyDescent="0.25">
      <c r="A19" s="75" t="s">
        <v>303</v>
      </c>
      <c r="B19" s="60"/>
      <c r="C19" s="60"/>
      <c r="D19" s="197">
        <f>5+7*8+6*4</f>
        <v>85</v>
      </c>
      <c r="E19" s="65" t="s">
        <v>3</v>
      </c>
      <c r="F19" s="85">
        <v>1500</v>
      </c>
      <c r="G19" s="86">
        <f t="shared" si="3"/>
        <v>140250</v>
      </c>
      <c r="H19" s="65"/>
      <c r="I19" s="53">
        <f t="shared" si="2"/>
        <v>1650</v>
      </c>
    </row>
    <row r="20" spans="1:12" ht="21.75" x14ac:dyDescent="0.25">
      <c r="A20" s="64" t="s">
        <v>169</v>
      </c>
      <c r="B20" s="60"/>
      <c r="C20" s="60"/>
      <c r="D20" s="197">
        <v>192</v>
      </c>
      <c r="E20" s="65" t="s">
        <v>3</v>
      </c>
      <c r="F20" s="85">
        <v>1450</v>
      </c>
      <c r="G20" s="86">
        <f t="shared" si="3"/>
        <v>306240</v>
      </c>
      <c r="H20" s="65"/>
      <c r="I20" s="53">
        <f t="shared" si="2"/>
        <v>1595</v>
      </c>
    </row>
    <row r="21" spans="1:12" ht="21.75" x14ac:dyDescent="0.25">
      <c r="A21" s="226" t="s">
        <v>17</v>
      </c>
      <c r="B21" s="226"/>
      <c r="C21" s="226"/>
      <c r="D21" s="226"/>
      <c r="E21" s="226"/>
      <c r="F21" s="226"/>
      <c r="G21" s="87">
        <f>SUM(G10:G20)</f>
        <v>2180211.517</v>
      </c>
      <c r="H21" s="87"/>
      <c r="K21" s="53">
        <f>4160+1440+1120+2880+4800+91680+4000</f>
        <v>110080</v>
      </c>
      <c r="L21" s="53">
        <f>K21/21</f>
        <v>5241.9047619047615</v>
      </c>
    </row>
    <row r="23" spans="1:12" ht="21.75" x14ac:dyDescent="0.25">
      <c r="A23" s="233" t="s">
        <v>277</v>
      </c>
      <c r="B23" s="234"/>
      <c r="C23" s="234"/>
      <c r="D23" s="234"/>
      <c r="E23" s="234"/>
      <c r="F23" s="235"/>
      <c r="G23" s="88">
        <f>G21</f>
        <v>2180211.517</v>
      </c>
      <c r="H23" s="88">
        <f>G23/DADOS_INICIAIS!E9</f>
        <v>335.69449175703619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FF0000"/>
  </sheetPr>
  <dimension ref="A1:J15"/>
  <sheetViews>
    <sheetView showGridLines="0" zoomScale="85" zoomScaleNormal="85" zoomScaleSheetLayoutView="95" workbookViewId="0">
      <selection activeCell="E19" sqref="E19"/>
    </sheetView>
  </sheetViews>
  <sheetFormatPr defaultColWidth="9.140625" defaultRowHeight="19.5" x14ac:dyDescent="0.25"/>
  <cols>
    <col min="1" max="1" width="53" style="43" bestFit="1" customWidth="1"/>
    <col min="2" max="7" width="27" style="43" customWidth="1"/>
    <col min="8" max="8" width="14" style="43" customWidth="1"/>
    <col min="9" max="16384" width="9.140625" style="1"/>
  </cols>
  <sheetData>
    <row r="1" spans="1:10" x14ac:dyDescent="0.25">
      <c r="A1" s="46"/>
      <c r="B1" s="46"/>
      <c r="C1" s="46"/>
      <c r="D1" s="46"/>
      <c r="E1" s="46"/>
      <c r="F1" s="46"/>
      <c r="G1" s="46"/>
      <c r="H1" s="46"/>
      <c r="J1" s="2"/>
    </row>
    <row r="2" spans="1:10" ht="28.5" x14ac:dyDescent="0.25">
      <c r="A2" s="227" t="s">
        <v>136</v>
      </c>
      <c r="B2" s="228"/>
      <c r="C2" s="228"/>
      <c r="D2" s="228"/>
      <c r="E2" s="228"/>
      <c r="F2" s="228"/>
      <c r="G2" s="228"/>
      <c r="H2" s="229"/>
      <c r="J2" s="2"/>
    </row>
    <row r="3" spans="1:10" s="53" customFormat="1" x14ac:dyDescent="0.25">
      <c r="A3" s="186" t="s">
        <v>123</v>
      </c>
      <c r="B3" s="191">
        <v>45460</v>
      </c>
      <c r="C3" s="189"/>
      <c r="D3" s="189"/>
      <c r="E3" s="189"/>
      <c r="F3" s="189"/>
      <c r="G3" s="189"/>
      <c r="H3" s="190"/>
      <c r="J3" s="76"/>
    </row>
    <row r="4" spans="1:10" s="53" customFormat="1" x14ac:dyDescent="0.25">
      <c r="A4" s="186" t="s">
        <v>237</v>
      </c>
      <c r="B4" s="192" t="s">
        <v>153</v>
      </c>
      <c r="C4" s="187"/>
      <c r="D4" s="187"/>
      <c r="E4" s="187"/>
      <c r="F4" s="187"/>
      <c r="G4" s="187"/>
      <c r="H4" s="188"/>
      <c r="J4" s="76"/>
    </row>
    <row r="5" spans="1:10" x14ac:dyDescent="0.25">
      <c r="A5" s="48"/>
      <c r="B5" s="48"/>
      <c r="C5" s="48"/>
      <c r="D5" s="48"/>
      <c r="E5" s="48"/>
      <c r="F5" s="48"/>
      <c r="G5" s="46"/>
      <c r="H5" s="46"/>
      <c r="J5" s="2"/>
    </row>
    <row r="6" spans="1:10" s="53" customFormat="1" ht="21.75" x14ac:dyDescent="0.25">
      <c r="A6" s="50" t="s">
        <v>266</v>
      </c>
      <c r="B6" s="51"/>
      <c r="C6" s="51"/>
      <c r="D6" s="51"/>
      <c r="E6" s="51"/>
      <c r="F6" s="51"/>
      <c r="G6" s="51"/>
      <c r="H6" s="51"/>
    </row>
    <row r="7" spans="1:10" s="53" customFormat="1" ht="21.75" x14ac:dyDescent="0.25">
      <c r="A7" s="54"/>
      <c r="B7" s="55"/>
      <c r="C7" s="55"/>
      <c r="D7" s="55"/>
      <c r="E7" s="55"/>
      <c r="F7" s="55"/>
      <c r="G7" s="57"/>
      <c r="H7" s="57"/>
    </row>
    <row r="8" spans="1:10" s="53" customFormat="1" ht="42" customHeight="1" x14ac:dyDescent="0.25">
      <c r="A8" s="61" t="s">
        <v>14</v>
      </c>
      <c r="B8" s="231" t="s">
        <v>5</v>
      </c>
      <c r="C8" s="232"/>
      <c r="D8" s="231" t="s">
        <v>18</v>
      </c>
      <c r="E8" s="232"/>
      <c r="F8" s="63" t="s">
        <v>59</v>
      </c>
      <c r="G8" s="69" t="s">
        <v>16</v>
      </c>
      <c r="H8" s="87" t="s">
        <v>239</v>
      </c>
    </row>
    <row r="9" spans="1:10" s="53" customFormat="1" ht="21.75" x14ac:dyDescent="0.25">
      <c r="A9" s="64" t="s">
        <v>263</v>
      </c>
      <c r="B9" s="60"/>
      <c r="C9" s="60"/>
      <c r="D9" s="65">
        <f>15.74+61.87</f>
        <v>77.61</v>
      </c>
      <c r="E9" s="65" t="s">
        <v>2</v>
      </c>
      <c r="F9" s="85">
        <v>500</v>
      </c>
      <c r="G9" s="86">
        <f>F9*D9*1.1</f>
        <v>42685.5</v>
      </c>
      <c r="H9" s="65"/>
    </row>
    <row r="10" spans="1:10" s="53" customFormat="1" ht="21.75" x14ac:dyDescent="0.25">
      <c r="A10" s="64" t="s">
        <v>109</v>
      </c>
      <c r="B10" s="60"/>
      <c r="C10" s="60"/>
      <c r="D10" s="65">
        <f>D9</f>
        <v>77.61</v>
      </c>
      <c r="E10" s="65" t="s">
        <v>2</v>
      </c>
      <c r="F10" s="185">
        <v>45</v>
      </c>
      <c r="G10" s="86">
        <f>F10*D10*1.1</f>
        <v>3841.6950000000002</v>
      </c>
      <c r="H10" s="65"/>
    </row>
    <row r="11" spans="1:10" s="53" customFormat="1" ht="21.75" x14ac:dyDescent="0.25">
      <c r="A11" s="64" t="s">
        <v>264</v>
      </c>
      <c r="B11" s="60"/>
      <c r="C11" s="60"/>
      <c r="D11" s="65"/>
      <c r="E11" s="65"/>
      <c r="F11" s="65"/>
      <c r="G11" s="86">
        <f t="shared" ref="G11:G12" si="0">F11*D11*1.1</f>
        <v>0</v>
      </c>
      <c r="H11" s="65"/>
    </row>
    <row r="12" spans="1:10" s="53" customFormat="1" ht="21.75" x14ac:dyDescent="0.25">
      <c r="A12" s="64" t="s">
        <v>265</v>
      </c>
      <c r="B12" s="60"/>
      <c r="C12" s="60"/>
      <c r="D12" s="65"/>
      <c r="E12" s="65"/>
      <c r="F12" s="65"/>
      <c r="G12" s="86">
        <f t="shared" si="0"/>
        <v>0</v>
      </c>
      <c r="H12" s="65"/>
    </row>
    <row r="13" spans="1:10" s="53" customFormat="1" ht="21.75" x14ac:dyDescent="0.25">
      <c r="A13" s="226" t="s">
        <v>17</v>
      </c>
      <c r="B13" s="226"/>
      <c r="C13" s="226"/>
      <c r="D13" s="107"/>
      <c r="E13" s="107"/>
      <c r="F13" s="107"/>
      <c r="G13" s="87">
        <f>SUM(G9:G12)</f>
        <v>46527.195</v>
      </c>
      <c r="H13" s="87"/>
    </row>
    <row r="14" spans="1:10" s="53" customFormat="1" ht="21.75" x14ac:dyDescent="0.25">
      <c r="A14" s="230"/>
      <c r="B14" s="230"/>
      <c r="C14" s="230"/>
      <c r="D14" s="108"/>
      <c r="E14" s="108"/>
      <c r="F14" s="108"/>
      <c r="G14" s="57"/>
      <c r="H14" s="57"/>
    </row>
    <row r="15" spans="1:10" ht="23.25" customHeight="1" x14ac:dyDescent="0.25">
      <c r="A15" s="223" t="s">
        <v>216</v>
      </c>
      <c r="B15" s="224"/>
      <c r="C15" s="225"/>
      <c r="D15" s="106"/>
      <c r="E15" s="106"/>
      <c r="F15" s="106"/>
      <c r="G15" s="105">
        <f>G13</f>
        <v>46527.195</v>
      </c>
      <c r="H15" s="105">
        <f>G15/DADOS_INICIAIS!$E$9</f>
        <v>7.1639485236264422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27</vt:i4>
      </vt:variant>
    </vt:vector>
  </HeadingPairs>
  <TitlesOfParts>
    <vt:vector size="43" baseType="lpstr">
      <vt:lpstr>DADOS_INICIAIS</vt:lpstr>
      <vt:lpstr>MOVIMENTAÇÃO_DE_TERRA</vt:lpstr>
      <vt:lpstr>INFRAESTRUTURA</vt:lpstr>
      <vt:lpstr>SUPRAESTRUTURA</vt:lpstr>
      <vt:lpstr>INSTALAÇÕES</vt:lpstr>
      <vt:lpstr>SISTEMAS ESPECIAIS</vt:lpstr>
      <vt:lpstr>COMPLEMENTARES</vt:lpstr>
      <vt:lpstr>ALVENARIA</vt:lpstr>
      <vt:lpstr>Rev. Fachada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'Acabamentos de Piso e Parede'!Area_de_impressao</vt:lpstr>
      <vt:lpstr>ALVENARIA!Area_de_impressao</vt:lpstr>
      <vt:lpstr>COBERTURA!Area_de_impressao</vt:lpstr>
      <vt:lpstr>COMPLEMENTARES!Area_de_impressao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Valquira Vansquelhe</cp:lastModifiedBy>
  <cp:lastPrinted>2020-09-28T02:21:03Z</cp:lastPrinted>
  <dcterms:created xsi:type="dcterms:W3CDTF">2013-07-31T19:52:57Z</dcterms:created>
  <dcterms:modified xsi:type="dcterms:W3CDTF">2025-01-23T04:49:44Z</dcterms:modified>
</cp:coreProperties>
</file>