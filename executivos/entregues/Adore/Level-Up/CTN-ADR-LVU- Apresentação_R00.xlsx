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Adore Incorporações\Level Up\04. Custo\03.5 Custo - Determinação do orçamento\"/>
    </mc:Choice>
  </mc:AlternateContent>
  <xr:revisionPtr revIDLastSave="0" documentId="13_ncr:1_{2F02CC6C-50A6-4335-92F1-0F61776E7598}" xr6:coauthVersionLast="47" xr6:coauthVersionMax="47" xr10:uidLastSave="{00000000-0000-0000-0000-000000000000}"/>
  <bookViews>
    <workbookView xWindow="-120" yWindow="-120" windowWidth="20730" windowHeight="11040" activeTab="1" xr2:uid="{15F65CA7-4748-4A18-A451-9875953FEE04}"/>
  </bookViews>
  <sheets>
    <sheet name="ORÇAMENTO EXECUTIVO" sheetId="6" r:id="rId1"/>
    <sheet name="Versões" sheetId="5" r:id="rId2"/>
    <sheet name="ANÁLISE_CUSTOS" sheetId="2" r:id="rId3"/>
    <sheet name="AREAS_PRIVATIVAS" sheetId="3" r:id="rId4"/>
    <sheet name="CÁLCULO_MÉDIAS" sheetId="4" r:id="rId5"/>
  </sheets>
  <externalReferences>
    <externalReference r:id="rId6"/>
    <externalReference r:id="rId7"/>
    <externalReference r:id="rId8"/>
  </externalReferences>
  <definedNames>
    <definedName name="\0" localSheetId="3">#REF!</definedName>
    <definedName name="\0">#REF!</definedName>
    <definedName name="\1">#REF!</definedName>
    <definedName name="\a" localSheetId="3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3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 localSheetId="3">#REF!</definedName>
    <definedName name="aa">#REF!</definedName>
    <definedName name="aaa">#REF!</definedName>
    <definedName name="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>#REF!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3">#REF!</definedName>
    <definedName name="angelo">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 localSheetId="3" hidden="1">{#N/A,#N/A,FALSE,"Plan1";#N/A,#N/A,FALSE,"Plan2"}</definedName>
    <definedName name="area">#REF!</definedName>
    <definedName name="área">#REF!</definedName>
    <definedName name="Área_Construída">#REF!</definedName>
    <definedName name="_xlnm.Print_Area" localSheetId="3">#REF!</definedName>
    <definedName name="_xlnm.Print_Are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 localSheetId="3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>#REF!</definedName>
    <definedName name="bdfjghf" hidden="1">{#N/A,#N/A,FALSE,"Plan1";#N/A,#N/A,FALSE,"Plan2"}</definedName>
    <definedName name="BDI" localSheetId="3">1.43344312465585</definedName>
    <definedName name="BDI">#REF!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 localSheetId="3">#REF!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 localSheetId="3">#REF!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3">#REF!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localSheetId="3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 localSheetId="3">#REF!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 localSheetId="3">#REF!</definedName>
    <definedName name="LS">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 localSheetId="3">#REF!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 localSheetId="3">#REF!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0">ROW()-Linha_Cabeçalho</definedName>
    <definedName name="Pagamento_Num" localSheetId="1">ROW()-Linha_Cabeçalho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 localSheetId="3">#REF!</definedName>
    <definedName name="ParamValues1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 localSheetId="3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">#REF!</definedName>
    <definedName name="Print_Area_MI" localSheetId="3">#REF!</definedName>
    <definedName name="Print_Area_MI">#REF!</definedName>
    <definedName name="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3">#REF!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 localSheetId="3">#REF!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>#REF!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3">#REF!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3">#REF!</definedName>
    <definedName name="SIH">#REF!</definedName>
    <definedName name="SISTEM1">#REF!</definedName>
    <definedName name="SISTEM2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3" hidden="1">#REF!</definedName>
    <definedName name="ss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 localSheetId="3">#REF!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 localSheetId="3">#REF!</definedName>
    <definedName name="_xlnm.Print_Title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 localSheetId="3">#REF!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localSheetId="3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0" hidden="1">IF(#REF!="Ativa",OFFSET(INDEX(rng_list_classificacao,MATCH(#REF!,rng_list_classificacao,0)),1,0,COUNTA(rng_list_classificacao)-1),#REF!)</definedName>
    <definedName name="vld_classificacao" localSheetId="1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regional" localSheetId="1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egmento" localSheetId="1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ociedade" localSheetId="1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empresa" localSheetId="1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lancamento" localSheetId="1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 localSheetId="1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ld_status_viabilidade" localSheetId="1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localSheetId="3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>#REF!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6" l="1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B18" i="5"/>
  <c r="B16" i="5"/>
  <c r="B15" i="5" l="1"/>
  <c r="B17" i="5"/>
  <c r="B12" i="5" l="1"/>
  <c r="B7" i="5" l="1"/>
  <c r="B13" i="5" l="1"/>
  <c r="B14" i="5" l="1"/>
  <c r="B9" i="5" l="1"/>
  <c r="B4" i="5" l="1"/>
  <c r="B10" i="5" l="1"/>
  <c r="B6" i="5" l="1"/>
  <c r="B3" i="5" l="1"/>
  <c r="B5" i="5" l="1"/>
  <c r="B8" i="5" l="1"/>
  <c r="B11" i="5" l="1"/>
  <c r="B19" i="5" l="1"/>
  <c r="D3" i="2" l="1"/>
  <c r="A3" i="2"/>
  <c r="H26" i="5" l="1"/>
  <c r="D20" i="5"/>
  <c r="E20" i="5"/>
  <c r="D3" i="5" l="1"/>
  <c r="D14" i="5"/>
  <c r="D6" i="5"/>
  <c r="D12" i="5"/>
  <c r="D11" i="5"/>
  <c r="D9" i="5"/>
  <c r="D8" i="5"/>
  <c r="D15" i="5"/>
  <c r="D13" i="5"/>
  <c r="D5" i="5"/>
  <c r="D4" i="5"/>
  <c r="D18" i="5"/>
  <c r="D16" i="5"/>
  <c r="D7" i="5"/>
  <c r="D17" i="5"/>
  <c r="D10" i="5"/>
  <c r="F26" i="5"/>
  <c r="D26" i="5"/>
  <c r="B26" i="5"/>
  <c r="B2" i="3"/>
  <c r="D19" i="5" l="1"/>
  <c r="D13" i="4"/>
  <c r="F13" i="4"/>
  <c r="H13" i="4"/>
  <c r="J13" i="4"/>
  <c r="N13" i="4"/>
  <c r="R13" i="4"/>
  <c r="V13" i="4"/>
  <c r="AB13" i="4"/>
  <c r="AD13" i="4"/>
  <c r="D14" i="4"/>
  <c r="F14" i="4"/>
  <c r="H14" i="4"/>
  <c r="J14" i="4"/>
  <c r="N14" i="4"/>
  <c r="R14" i="4"/>
  <c r="V14" i="4"/>
  <c r="AB14" i="4"/>
  <c r="AD14" i="4"/>
  <c r="D15" i="4"/>
  <c r="F15" i="4"/>
  <c r="H15" i="4"/>
  <c r="J15" i="4"/>
  <c r="N15" i="4"/>
  <c r="R15" i="4"/>
  <c r="V15" i="4"/>
  <c r="AB15" i="4"/>
  <c r="AD15" i="4"/>
  <c r="D17" i="4"/>
  <c r="F17" i="4"/>
  <c r="H17" i="4"/>
  <c r="J17" i="4"/>
  <c r="N17" i="4"/>
  <c r="R17" i="4"/>
  <c r="V17" i="4"/>
  <c r="AB17" i="4"/>
  <c r="AD17" i="4"/>
  <c r="D6" i="2"/>
  <c r="D18" i="4"/>
  <c r="F18" i="4"/>
  <c r="H18" i="4"/>
  <c r="J18" i="4"/>
  <c r="N18" i="4"/>
  <c r="R18" i="4"/>
  <c r="V18" i="4"/>
  <c r="AB18" i="4"/>
  <c r="AD18" i="4"/>
  <c r="D19" i="4"/>
  <c r="F19" i="4"/>
  <c r="H19" i="4"/>
  <c r="J19" i="4"/>
  <c r="N19" i="4"/>
  <c r="R19" i="4"/>
  <c r="V19" i="4"/>
  <c r="AB19" i="4"/>
  <c r="AD19" i="4"/>
  <c r="D20" i="4"/>
  <c r="F20" i="4"/>
  <c r="H20" i="4"/>
  <c r="J20" i="4"/>
  <c r="N20" i="4"/>
  <c r="R20" i="4"/>
  <c r="V20" i="4"/>
  <c r="AB20" i="4"/>
  <c r="AD20" i="4"/>
  <c r="D21" i="4"/>
  <c r="F21" i="4"/>
  <c r="H21" i="4"/>
  <c r="J21" i="4"/>
  <c r="N21" i="4"/>
  <c r="R21" i="4"/>
  <c r="V21" i="4"/>
  <c r="AB21" i="4"/>
  <c r="AD21" i="4"/>
  <c r="D22" i="4"/>
  <c r="F22" i="4"/>
  <c r="H22" i="4"/>
  <c r="J22" i="4"/>
  <c r="N22" i="4"/>
  <c r="R22" i="4"/>
  <c r="V22" i="4"/>
  <c r="AB22" i="4"/>
  <c r="AD22" i="4"/>
  <c r="D11" i="2"/>
  <c r="D23" i="4"/>
  <c r="F23" i="4"/>
  <c r="H23" i="4"/>
  <c r="J23" i="4"/>
  <c r="N23" i="4"/>
  <c r="R23" i="4"/>
  <c r="V23" i="4"/>
  <c r="AB23" i="4"/>
  <c r="AD23" i="4"/>
  <c r="D24" i="4"/>
  <c r="F24" i="4"/>
  <c r="H24" i="4"/>
  <c r="J24" i="4"/>
  <c r="N24" i="4"/>
  <c r="R24" i="4"/>
  <c r="V24" i="4"/>
  <c r="AB24" i="4"/>
  <c r="AD24" i="4"/>
  <c r="D25" i="4"/>
  <c r="F25" i="4"/>
  <c r="H25" i="4"/>
  <c r="J25" i="4"/>
  <c r="N25" i="4"/>
  <c r="R25" i="4"/>
  <c r="V25" i="4"/>
  <c r="AB25" i="4"/>
  <c r="AD25" i="4"/>
  <c r="D14" i="2"/>
  <c r="D26" i="4"/>
  <c r="F26" i="4"/>
  <c r="H26" i="4"/>
  <c r="J26" i="4"/>
  <c r="N26" i="4"/>
  <c r="R26" i="4"/>
  <c r="V26" i="4"/>
  <c r="AB26" i="4"/>
  <c r="AD26" i="4"/>
  <c r="D15" i="2"/>
  <c r="D27" i="4"/>
  <c r="F27" i="4"/>
  <c r="H27" i="4"/>
  <c r="J27" i="4"/>
  <c r="N27" i="4"/>
  <c r="R27" i="4"/>
  <c r="V27" i="4"/>
  <c r="AB27" i="4"/>
  <c r="AD27" i="4"/>
  <c r="D28" i="4"/>
  <c r="F28" i="4"/>
  <c r="H28" i="4"/>
  <c r="J28" i="4"/>
  <c r="N28" i="4"/>
  <c r="R28" i="4"/>
  <c r="V28" i="4"/>
  <c r="AB28" i="4"/>
  <c r="AD28" i="4"/>
  <c r="D17" i="2"/>
  <c r="D29" i="4"/>
  <c r="F29" i="4"/>
  <c r="H29" i="4"/>
  <c r="J29" i="4"/>
  <c r="N29" i="4"/>
  <c r="R29" i="4"/>
  <c r="V29" i="4"/>
  <c r="D18" i="2"/>
  <c r="AB29" i="4"/>
  <c r="AD29" i="4"/>
  <c r="D30" i="4"/>
  <c r="F30" i="4"/>
  <c r="H30" i="4"/>
  <c r="J30" i="4"/>
  <c r="N30" i="4"/>
  <c r="R30" i="4"/>
  <c r="V30" i="4"/>
  <c r="AB30" i="4"/>
  <c r="AD30" i="4"/>
  <c r="D31" i="4"/>
  <c r="F31" i="4"/>
  <c r="H31" i="4"/>
  <c r="J31" i="4"/>
  <c r="N31" i="4"/>
  <c r="R31" i="4"/>
  <c r="V31" i="4"/>
  <c r="AB31" i="4"/>
  <c r="AD31" i="4"/>
  <c r="C32" i="4"/>
  <c r="E32" i="4"/>
  <c r="F32" i="4"/>
  <c r="G32" i="4"/>
  <c r="I32" i="4"/>
  <c r="K32" i="4"/>
  <c r="M32" i="4"/>
  <c r="N32" i="4"/>
  <c r="O32" i="4"/>
  <c r="Q32" i="4"/>
  <c r="S32" i="4"/>
  <c r="T32" i="4"/>
  <c r="U32" i="4"/>
  <c r="W32" i="4"/>
  <c r="Y32" i="4"/>
  <c r="AA32" i="4"/>
  <c r="AB32" i="4"/>
  <c r="AC32" i="4"/>
  <c r="AD32" i="4"/>
  <c r="G2" i="3"/>
  <c r="B17" i="3"/>
  <c r="A4" i="2"/>
  <c r="A5" i="2"/>
  <c r="D5" i="2"/>
  <c r="A6" i="2"/>
  <c r="A7" i="2"/>
  <c r="D7" i="2"/>
  <c r="A8" i="2"/>
  <c r="D8" i="2"/>
  <c r="A9" i="2"/>
  <c r="A10" i="2"/>
  <c r="D10" i="2"/>
  <c r="A11" i="2"/>
  <c r="A12" i="2"/>
  <c r="D12" i="2"/>
  <c r="A13" i="2"/>
  <c r="A14" i="2"/>
  <c r="A15" i="2"/>
  <c r="A16" i="2"/>
  <c r="D16" i="2"/>
  <c r="A17" i="2"/>
  <c r="A18" i="2"/>
  <c r="B25" i="2"/>
  <c r="D9" i="2" l="1"/>
  <c r="P32" i="4"/>
  <c r="J32" i="4"/>
  <c r="D32" i="4"/>
  <c r="D13" i="2"/>
  <c r="X32" i="4"/>
  <c r="H32" i="4"/>
  <c r="AG32" i="4"/>
  <c r="AF32" i="4"/>
  <c r="V32" i="4"/>
  <c r="R32" i="4"/>
  <c r="Z32" i="4"/>
  <c r="L32" i="4"/>
  <c r="D4" i="2"/>
  <c r="D17" i="3"/>
  <c r="D2" i="3"/>
  <c r="D19" i="2" l="1"/>
  <c r="B18" i="3" l="1"/>
  <c r="D18" i="3" l="1"/>
  <c r="D22" i="3"/>
  <c r="D28" i="3" l="1"/>
  <c r="D38" i="3"/>
  <c r="D39" i="3"/>
  <c r="D41" i="3"/>
  <c r="D42" i="3"/>
  <c r="D25" i="3"/>
  <c r="D26" i="3"/>
  <c r="D23" i="3"/>
  <c r="D27" i="3"/>
  <c r="D40" i="3"/>
  <c r="D43" i="3"/>
  <c r="D24" i="3"/>
  <c r="D29" i="3"/>
  <c r="D44" i="3"/>
  <c r="D36" i="3"/>
  <c r="D35" i="3"/>
  <c r="D37" i="3"/>
  <c r="D34" i="3"/>
  <c r="D45" i="3"/>
  <c r="D32" i="3"/>
  <c r="D46" i="3"/>
  <c r="D30" i="3"/>
  <c r="D31" i="3"/>
  <c r="D33" i="3"/>
  <c r="E17" i="5" l="1"/>
  <c r="E10" i="5"/>
  <c r="C3" i="5"/>
  <c r="C15" i="5"/>
  <c r="C7" i="5"/>
  <c r="C14" i="5"/>
  <c r="C6" i="5"/>
  <c r="E6" i="5"/>
  <c r="C5" i="5"/>
  <c r="E14" i="5"/>
  <c r="E18" i="5"/>
  <c r="C13" i="5"/>
  <c r="E16" i="5"/>
  <c r="E8" i="5"/>
  <c r="C11" i="5"/>
  <c r="E4" i="5"/>
  <c r="C10" i="5"/>
  <c r="E7" i="5"/>
  <c r="C9" i="5"/>
  <c r="E15" i="5"/>
  <c r="C8" i="5"/>
  <c r="E12" i="5"/>
  <c r="C12" i="5"/>
  <c r="E9" i="5"/>
  <c r="E11" i="5"/>
  <c r="C18" i="5"/>
  <c r="E5" i="5"/>
  <c r="C17" i="5"/>
  <c r="C16" i="5"/>
  <c r="E13" i="5"/>
  <c r="E3" i="5"/>
  <c r="C19" i="5" l="1"/>
  <c r="E19" i="5"/>
  <c r="F3" i="5" l="1"/>
  <c r="G3" i="5" s="1"/>
  <c r="B3" i="6"/>
  <c r="H3" i="5" l="1"/>
  <c r="B3" i="2"/>
  <c r="C3" i="2" s="1"/>
  <c r="D3" i="6"/>
  <c r="I3" i="5"/>
  <c r="F7" i="5" l="1"/>
  <c r="H7" i="5" s="1"/>
  <c r="B7" i="6"/>
  <c r="F11" i="5"/>
  <c r="G11" i="5" s="1"/>
  <c r="I11" i="5" s="1"/>
  <c r="B11" i="6"/>
  <c r="F8" i="5"/>
  <c r="H8" i="5" s="1"/>
  <c r="B8" i="6"/>
  <c r="F12" i="5"/>
  <c r="B12" i="2" s="1"/>
  <c r="B12" i="6"/>
  <c r="F16" i="5"/>
  <c r="G16" i="5" s="1"/>
  <c r="I16" i="5" s="1"/>
  <c r="B16" i="6"/>
  <c r="F9" i="5"/>
  <c r="B9" i="2" s="1"/>
  <c r="B9" i="6"/>
  <c r="F5" i="5"/>
  <c r="H5" i="5" s="1"/>
  <c r="B5" i="6"/>
  <c r="F4" i="5"/>
  <c r="B4" i="2" s="1"/>
  <c r="B4" i="6"/>
  <c r="F10" i="5"/>
  <c r="B10" i="2" s="1"/>
  <c r="B10" i="6"/>
  <c r="F14" i="5"/>
  <c r="G14" i="5" s="1"/>
  <c r="I14" i="5" s="1"/>
  <c r="B14" i="6"/>
  <c r="F18" i="5"/>
  <c r="B18" i="2" s="1"/>
  <c r="C18" i="2" s="1"/>
  <c r="B18" i="6"/>
  <c r="H9" i="5"/>
  <c r="B11" i="2"/>
  <c r="G8" i="5" l="1"/>
  <c r="I8" i="5" s="1"/>
  <c r="H14" i="5"/>
  <c r="B14" i="2"/>
  <c r="H11" i="5"/>
  <c r="B5" i="2"/>
  <c r="B4" i="3" s="1"/>
  <c r="B16" i="2"/>
  <c r="B15" i="3" s="1"/>
  <c r="B8" i="2"/>
  <c r="C8" i="2" s="1"/>
  <c r="G7" i="5"/>
  <c r="I7" i="5" s="1"/>
  <c r="B7" i="2"/>
  <c r="B6" i="3" s="1"/>
  <c r="H10" i="5"/>
  <c r="G10" i="5"/>
  <c r="I10" i="5" s="1"/>
  <c r="H16" i="5"/>
  <c r="G9" i="5"/>
  <c r="I9" i="5" s="1"/>
  <c r="G18" i="5"/>
  <c r="I18" i="5" s="1"/>
  <c r="H18" i="5"/>
  <c r="G5" i="5"/>
  <c r="I5" i="5" s="1"/>
  <c r="H4" i="5"/>
  <c r="G4" i="5"/>
  <c r="I4" i="5" s="1"/>
  <c r="G12" i="5"/>
  <c r="I12" i="5" s="1"/>
  <c r="D4" i="6"/>
  <c r="D12" i="6"/>
  <c r="H12" i="5"/>
  <c r="D18" i="6"/>
  <c r="D5" i="6"/>
  <c r="D8" i="6"/>
  <c r="D14" i="6"/>
  <c r="D9" i="6"/>
  <c r="D11" i="6"/>
  <c r="D10" i="6"/>
  <c r="D16" i="6"/>
  <c r="D7" i="6"/>
  <c r="C16" i="2"/>
  <c r="C12" i="2"/>
  <c r="B11" i="3"/>
  <c r="C11" i="2"/>
  <c r="B10" i="3"/>
  <c r="C9" i="2"/>
  <c r="B8" i="3"/>
  <c r="C4" i="2"/>
  <c r="B3" i="3"/>
  <c r="B9" i="3"/>
  <c r="C10" i="2"/>
  <c r="B13" i="3"/>
  <c r="C14" i="2"/>
  <c r="C5" i="2" l="1"/>
  <c r="C7" i="2"/>
  <c r="B7" i="3"/>
  <c r="D9" i="3"/>
  <c r="D4" i="3"/>
  <c r="D7" i="3"/>
  <c r="D11" i="3"/>
  <c r="D6" i="3"/>
  <c r="D10" i="3"/>
  <c r="D8" i="3"/>
  <c r="D13" i="3"/>
  <c r="D3" i="3"/>
  <c r="D15" i="3"/>
  <c r="F6" i="5" l="1"/>
  <c r="B6" i="6"/>
  <c r="B6" i="2"/>
  <c r="G6" i="5"/>
  <c r="H6" i="5"/>
  <c r="D6" i="6" l="1"/>
  <c r="I6" i="5"/>
  <c r="C6" i="2"/>
  <c r="B5" i="3"/>
  <c r="D5" i="3" l="1"/>
  <c r="F13" i="5" l="1"/>
  <c r="B13" i="2" s="1"/>
  <c r="B13" i="6"/>
  <c r="G13" i="5"/>
  <c r="H13" i="5"/>
  <c r="D13" i="6" l="1"/>
  <c r="I13" i="5"/>
  <c r="C13" i="2"/>
  <c r="B12" i="3"/>
  <c r="D12" i="3" l="1"/>
  <c r="F15" i="5" l="1"/>
  <c r="B15" i="6"/>
  <c r="B15" i="2"/>
  <c r="H15" i="5"/>
  <c r="G15" i="5"/>
  <c r="D15" i="6" l="1"/>
  <c r="I15" i="5"/>
  <c r="C15" i="2"/>
  <c r="B14" i="3"/>
  <c r="D14" i="3" l="1"/>
  <c r="B17" i="6" l="1"/>
  <c r="D17" i="6" l="1"/>
  <c r="B19" i="6"/>
  <c r="F17" i="5"/>
  <c r="C3" i="6" l="1"/>
  <c r="C4" i="6"/>
  <c r="C10" i="6"/>
  <c r="C12" i="6"/>
  <c r="C16" i="6"/>
  <c r="C5" i="6"/>
  <c r="C7" i="6"/>
  <c r="C8" i="6"/>
  <c r="C14" i="6"/>
  <c r="C9" i="6"/>
  <c r="C11" i="6"/>
  <c r="C18" i="6"/>
  <c r="C6" i="6"/>
  <c r="C13" i="6"/>
  <c r="C15" i="6"/>
  <c r="C17" i="6"/>
  <c r="D19" i="6"/>
  <c r="D20" i="6" s="1"/>
  <c r="B17" i="2"/>
  <c r="G17" i="5"/>
  <c r="H17" i="5"/>
  <c r="H19" i="5" s="1"/>
  <c r="F19" i="5"/>
  <c r="C19" i="6" l="1"/>
  <c r="I17" i="5"/>
  <c r="I19" i="5" s="1"/>
  <c r="G19" i="5"/>
  <c r="C17" i="2"/>
  <c r="C19" i="2" s="1"/>
  <c r="B16" i="3"/>
  <c r="B19" i="2"/>
  <c r="D16" i="3" l="1"/>
  <c r="D19" i="3" s="1"/>
  <c r="B19" i="3"/>
  <c r="C16" i="3" s="1"/>
  <c r="C18" i="3" l="1"/>
  <c r="C2" i="3"/>
  <c r="C17" i="3"/>
  <c r="C3" i="3"/>
  <c r="C7" i="3"/>
  <c r="C9" i="3"/>
  <c r="C6" i="3"/>
  <c r="C15" i="3"/>
  <c r="C8" i="3"/>
  <c r="C13" i="3"/>
  <c r="C4" i="3"/>
  <c r="C10" i="3"/>
  <c r="C11" i="3"/>
  <c r="C5" i="3"/>
  <c r="C12" i="3"/>
  <c r="C14" i="3"/>
  <c r="C1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Larissa Oliveira</author>
  </authors>
  <commentList>
    <comment ref="S11" authorId="0" shapeId="0" xr:uid="{0E371902-1855-4C9D-B505-B8E4B40F6E65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Revisão 27/09/2023 - R04</t>
        </r>
      </text>
    </comment>
    <comment ref="K21" authorId="0" shapeId="0" xr:uid="{9B410664-DD3D-4E8F-A98E-5EB2A6833BA4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Impermeabilização de terraços com aplicação de primer, asfalto quente e manta asfáltica 4mm; 
**Impermeabilização de piscina com aplicação de tinta betuminosa, asfalto quente e manta asfáltica 4mm; 
**Impermeabilização de poço de elevador com quatro demãos de argamassa polimérica; 
**Impermeabilização de baldrames com três demãos de argamassa polimérica; 
**Impermeabilização de reservatório superior com três demãos de argamassa polimérica e três demãos de impermeabilizante flexível, com reforço de tela poliéster; 
**Impermeabilização de floreiras com aplicação de primer e manta afáltica antirraiz; 
**Impermeabilização de sacadas com três demãos de argamassa polimérica, duas demãos de impermeabilizante flexível e reforço com tela poliéster;
**Impermeabilização de esquadrias com aplicação de três demãos de manta líquida; 
**Impermeabilização de calhas com aplicação de primer, manta asfáltica 3mm e pintura de extremidades com manta líquida; 
**Impermeabilização de banheiro com aplicação de três demãos de argamassa polimerica e, nas áreas de box, adição de duas demãos de impermeabilizante flexível e refoço com tela poliéster;
**Impermeabilização de área de serviço com aplicação de três demãos de argamassa polimérica.   
</t>
        </r>
      </text>
    </comment>
    <comment ref="W25" authorId="0" shapeId="0" xr:uid="{0EDC6A7F-5CD8-4DA8-AE01-63A06ED1DACA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interna e externa</t>
        </r>
      </text>
    </comment>
  </commentList>
</comments>
</file>

<file path=xl/sharedStrings.xml><?xml version="1.0" encoding="utf-8"?>
<sst xmlns="http://schemas.openxmlformats.org/spreadsheetml/2006/main" count="357" uniqueCount="138">
  <si>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</si>
  <si>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</si>
  <si>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</si>
  <si>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</si>
  <si>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</si>
  <si>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</si>
  <si>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</si>
  <si>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</si>
  <si>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</si>
  <si>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</si>
  <si>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</si>
  <si>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</si>
  <si>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</si>
  <si>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</si>
  <si>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E ACABAMENTOS INTERNOS EM TETO</t>
  </si>
  <si>
    <t>PINTURA INTERNA</t>
  </si>
  <si>
    <t>ESQUADRIAS, VIDROS E FERRAGENS</t>
  </si>
  <si>
    <t>COBERTURA</t>
  </si>
  <si>
    <t>REVESTIMENTOS E ACABAMENTOS DE FACHADA</t>
  </si>
  <si>
    <t>SERVIÇOS COMPLEMENTARES</t>
  </si>
  <si>
    <t>IMPREVISTOS E CONTINGENCIAS</t>
  </si>
  <si>
    <t>TOTAL</t>
  </si>
  <si>
    <t>150,00 - 220,00</t>
  </si>
  <si>
    <t>35,00 - 50,00</t>
  </si>
  <si>
    <t>430,00 - 550,00</t>
  </si>
  <si>
    <t>35,00 - 55,00</t>
  </si>
  <si>
    <t>35,00 - 65,00</t>
  </si>
  <si>
    <t>130,00 - 175,00</t>
  </si>
  <si>
    <t>55,00 - 77,00</t>
  </si>
  <si>
    <t>40,00 - 70,00</t>
  </si>
  <si>
    <t>165,00 - 230,00</t>
  </si>
  <si>
    <t>170,00 - 200,00</t>
  </si>
  <si>
    <t>55,00 - 70,00</t>
  </si>
  <si>
    <t>-</t>
  </si>
  <si>
    <t>440,00 - 510,00</t>
  </si>
  <si>
    <t>150,00 - 200,00</t>
  </si>
  <si>
    <t>15,00 - 22,00</t>
  </si>
  <si>
    <t>25,00 - 30,00</t>
  </si>
  <si>
    <t>900,00 - 1100</t>
  </si>
  <si>
    <t>grande parte argamasssado</t>
  </si>
  <si>
    <t>Poucas utilizações de formas</t>
  </si>
  <si>
    <t>Grande area de projeção</t>
  </si>
  <si>
    <t>VALOR</t>
  </si>
  <si>
    <t>JUSTIFICATIVA</t>
  </si>
  <si>
    <t>OBRA SIMILAR</t>
  </si>
  <si>
    <t>OBRA</t>
  </si>
  <si>
    <t>ÁREA DE LAZER</t>
  </si>
  <si>
    <t>APT33 (COM LAZER SUPERIOR) - TA</t>
  </si>
  <si>
    <t>APT32 (COM LAZER SUPERIOR) - TA</t>
  </si>
  <si>
    <t>APT24 (COM LAZER SUPERIOR) - TA</t>
  </si>
  <si>
    <t>APT23 - TA</t>
  </si>
  <si>
    <t>APT22 - TA</t>
  </si>
  <si>
    <t>APT21 - TA</t>
  </si>
  <si>
    <t>APT24 (COM LAZER SUPERIOR) - TB</t>
  </si>
  <si>
    <t>APT23 (COM LAZER SUPERIOR) - TB</t>
  </si>
  <si>
    <t>APT22 (COM LAZER SUPERIOR) - TB</t>
  </si>
  <si>
    <t>APT21 (COM LAZER SUPERIOR) - TB</t>
  </si>
  <si>
    <t>APT14 (2 PAVIMENTOS) - TA</t>
  </si>
  <si>
    <t>APT13 - TA</t>
  </si>
  <si>
    <t>APT12 - TA</t>
  </si>
  <si>
    <t>APT11 - TA</t>
  </si>
  <si>
    <t>APT14 - TB</t>
  </si>
  <si>
    <t>APT13 - TB</t>
  </si>
  <si>
    <t>APT12 - TB</t>
  </si>
  <si>
    <t>APT11 - TB</t>
  </si>
  <si>
    <t>APT04 (2 PAVIMENTOS) - TA</t>
  </si>
  <si>
    <t>APT01 - TA</t>
  </si>
  <si>
    <t>APT04 - TB</t>
  </si>
  <si>
    <t>APT03 - TB</t>
  </si>
  <si>
    <t>APT02 - TB</t>
  </si>
  <si>
    <t>APT01 - TB</t>
  </si>
  <si>
    <t>VALOR POR ÁREA PRIVATIVA (R$/m²)</t>
  </si>
  <si>
    <t>VALOR TOTAL</t>
  </si>
  <si>
    <t>QUANT.</t>
  </si>
  <si>
    <t>ÁREA (m²)</t>
  </si>
  <si>
    <t>DESCRIÇÃO</t>
  </si>
  <si>
    <t>ACABAMENTOS EM PISO E PAREDE</t>
  </si>
  <si>
    <t>REVESTIMENTOS INTERNOS EM PISO E PAREDE</t>
  </si>
  <si>
    <t>ÁREA PRIVATIVA</t>
  </si>
  <si>
    <t>PÓS OBRA</t>
  </si>
  <si>
    <t>MÃO DE OBRA</t>
  </si>
  <si>
    <t>PISOS E PAVIMENTAÇÕES</t>
  </si>
  <si>
    <t>REVESTIMENTOS INTERNOS DE PAREDE</t>
  </si>
  <si>
    <t>CONTENÇÕES</t>
  </si>
  <si>
    <t>GERENCIAMENTO TECNICO E ADMINISTRATIVO</t>
  </si>
  <si>
    <t>MÁXIMA</t>
  </si>
  <si>
    <t>MÍNIMA</t>
  </si>
  <si>
    <t>INDEXADO</t>
  </si>
  <si>
    <t>VALOR / M2</t>
  </si>
  <si>
    <t>MÉDIAS</t>
  </si>
  <si>
    <t>VIVA 4 - BARRA 4
PARAMÉTRICO</t>
  </si>
  <si>
    <t>LUMIS - LIVE
(EXECUTIVO)</t>
  </si>
  <si>
    <t>ABC - ESTALEIRO</t>
  </si>
  <si>
    <t>AS RAMOS - PAESSAGGIO 
(EXECUTIVO)</t>
  </si>
  <si>
    <t>ESSEGE - DOM 
(EXECUTIVO)</t>
  </si>
  <si>
    <t>AMALFI - RAVELLO 
(EXECUTIVO)</t>
  </si>
  <si>
    <t>BRAVA - OCEAN
(EXECUTIVO)</t>
  </si>
  <si>
    <t>COTA - AFONSO PENA</t>
  </si>
  <si>
    <t>MENDES - BRAVA MUNDO</t>
  </si>
  <si>
    <t>MENDES - BRAVA SIXTEEN</t>
  </si>
  <si>
    <t>ESTALEIRO - ABC EMPREENDIMENTOS
(PRELIMINAR)</t>
  </si>
  <si>
    <t>DIFERENCIAIS</t>
  </si>
  <si>
    <t xml:space="preserve">*FLORIANOPOLIS
'*2 elevadores
*piscina
*infra para carro eletrico
*Aterro com 30% fator de empolamento
*escavação mecanizada vertical + rebaixamento lençol freatico da supra 
*rebaixamento d lençol para alivio laje subsolo
*contenção + estrutura de tubulação para drenagem
*escoras madeira + locação cubetas + juntas dilatação divisão blocos
*estimativa instalações
*2 plataforma elevatoria + cadeira transferencia piscina + subestação + infra e maquinas completas de climatização
*areas externas e terraço e piscina com manta asfaltica + laje tecnica argmassa polimerica
*estucamento em teto de subsolo e escada, resto forro em placa
*textura parede escada e garagem
*fachada: textura stolit
serviços complementares: quadra externa
</t>
  </si>
  <si>
    <t>FLORIANOPOLIS
'Pintura - é interna e externa
*Teve desmonte de rocha - e itens dessa etapa foram lançados pelo cliente
*Fundação rasa, somente + uma contenção de parede de concreto
*Laje em concreto protendido
*esquadria aluminio 32mm
*cobertura com telha de fibrocimento e estrutura madeira
*tem piscina e reservatório
*forro acartonado somente em banheiros, sacadas e area comum, resto chapisco e reboco
*fachada com: ceramico + acabamento em granito + pedra + tinta emborrachada
*ESPECIAIS: Piscina e sauna + spa + 4 elevadores + plataforma elevatoria + gerador + infra ar cond. + exaustao mecanica, churrasqueiras e coifas
Complementares: alargaento viario + inovação</t>
  </si>
  <si>
    <t>BALNEÁRIO CAMBORIÚ
Hélice Contúnua(50 e 60 cm -  30m prof.) 30MPa
Blocos e baldrames fck 30 e 45MPa - forma é tabua de madeira
Supra laje maciça - forma de compensado plastificado - concreto 35,40 e 45 mpa
Alvenaria bloco cerâmico - escada sical
custo de distanciamento de rede de alta tensão em instalações+melhoria de rede de energia
ESPECIAIS: telefonia+3 elevadores+piscina+hidromassagem e ofuro+sauna+pista boliche+subestação+gerador+bomba de recalque e sucção+exaust. churras e coifas+infra carro eletrico (101 pontos)
infra ar cond.+10 equipamentos de ar+exaust. mecanica+pressurização escada+instalação desenfumagem
imper: baldrama(tinta asfalt)+floreira(argm. rigida)+banheiros, cozinha, area serviço(arg. polimerica flexivel com fibras)+peitoril(resina termoplastica e proteção UV)+laje exposta, piscina e terraço(manta asfaltica 4mm)+tratamento junta dilatação com isopor
manta acustica area de apartamentos
reboco no teto de garagens, escadas e area tecnica, o resto forro gesso mineral
lajota hidraulica em rampas
pintura piso epoxi garagem e quadra poliesportiva
pintura piso escada
textura no teto de garagem
cobertura com trama de madeira e telha fibrocimento de 6mm
esquadrias linha gold 32mm
pele de vidro e brise metalico
fachada: textura+brise+moldura pastilha+marquise em pastilha+pastilha
complementares: playground+quadra esportiva+desmobilização+personalização de unidade privativa</t>
  </si>
  <si>
    <t>BALNEÁRIO CAMBORIÚ
1 apto por andar
3 suítes 1 lavabo
Estaca raiz
Garagens laje nervurada
Tipo laje maciça</t>
  </si>
  <si>
    <t>ITAJAÍ
AT 1412,41
20 pavimentos
5 Aptos por andar
3 pavtos garagem
Esta Hélice
BLOCOS CERÂMICOS
CUBETAS ALUGADAS PARA O LAZER / AQUISIÇÃO PARA O TIPO
MO praticada pela construtora, escoramento..</t>
  </si>
  <si>
    <t>FLORIANOPOLIS
11 aptos por andar (1 estudio)
2 elevadores
piscina +academia+salão gourmet+sala de jogos+playground instalação de sistema de som+carro eletrico
terraplanagem, demolição e locação= sondagem e estudo topografico do terreno+ limpeza camada+ demolição+ escavação vertical do terreno+bota fora
parede diafragma+formas para mureta guia e viga de coroamento
fundação rasa+profunda
estaca hélice continua de (50,60 e 70 cm)
laje nervurada
escoras e cubetas proprias
churrasqueira préfabricada
cobogó em concreto na ventilação da garagem
shaft banheiro placa de gesso
shaft de painel de madeira em corredores
teto em estucamento e massa unica
forro= resistente a umidade nos bnheiros da area comum e apartamentos + standart em area lazer+resistente ao fogo hall de entrada
forro madeira incluso no valor de ambientação em serviço complementar
fachada: tela antifissuração no reboco e tratamento de junta dilat.
impermeabilização bem completa - ver comentario na celula
porcelanato nas escadas acesso principal e entrada mezanino + piso 84x84 terraço e salas comerciais + piso predominante é porcelanato + piso concreto polido escadas e garagem
telha em fibrocimento ondulada e estrutura de madeira
motorização das persianas
linha 25mm esquadrias
pergolado metalico com vidro
corrimao escadas madeira
textura parede escadas
esmalte sintetico nas portas madeiras
2 cisternas+bomba de recalque+pressurizador+subestação transformadora+gerador a diesel
plataforma vertical piscina
infra + entrega equipamentos(areas comum) climatização
complementares: arremates e acabamentos+desmobilização canteiro
empreitada global</t>
  </si>
  <si>
    <t>Hélice</t>
  </si>
  <si>
    <t>-Uma piscina por apartamento
- Padrão elevado de esquadrias
- Alto investimento em paisagismo</t>
  </si>
  <si>
    <t>ESPECIFICAÇÕES</t>
  </si>
  <si>
    <t>41 meses de obra
99 unidades privativas = 6387 m²</t>
  </si>
  <si>
    <t xml:space="preserve">24 tipos
5 diferenciados
55 uni habitacionais  </t>
  </si>
  <si>
    <t>9 tipos
2 pav diferenciados
98 unidades habitacionais</t>
  </si>
  <si>
    <t>6 apartamentos
3 Elevadores
Salão de festas e academia
Pavimento Rooftop</t>
  </si>
  <si>
    <t>PAVTOS</t>
  </si>
  <si>
    <t>Subsolo com vagas de garagem
Térreo, 2º e 3º PVTO com 2 aptos
por andar
Cobertura com Rooftop</t>
  </si>
  <si>
    <t>ÁREA TERRENO</t>
  </si>
  <si>
    <t>CUB</t>
  </si>
  <si>
    <t>DATA BASE</t>
  </si>
  <si>
    <t>Orçamento Executivo</t>
  </si>
  <si>
    <t>CUB/SC</t>
  </si>
  <si>
    <t>Diferença</t>
  </si>
  <si>
    <t>REVESTIMENTOS E ACABAMENTOS INTERNOS EM PAREDE</t>
  </si>
  <si>
    <t>REVESTIMENTOS E ACABAMENTOS INTERNOS EM PISO</t>
  </si>
  <si>
    <t>Justificativas</t>
  </si>
  <si>
    <t>* Revisão de quantidades de fundação rasa</t>
  </si>
  <si>
    <t>*Além da revisão da fundação rasa ivemos redução do que se tinha estimado também em fundação profunda além da redução do diâmetro tivemos redução na profundidade de 18 para 12m.</t>
  </si>
  <si>
    <t>*Revisão com os quantitativos do projetista</t>
  </si>
  <si>
    <t>Preliminar R01</t>
  </si>
  <si>
    <t>Preliminar R01 indexado</t>
  </si>
  <si>
    <t>*inclusão do forro de madeira das varandas</t>
  </si>
  <si>
    <t>* Ajuste do custo de empreitada Global conforme distribução</t>
  </si>
  <si>
    <t>*Ajuste de composições e quantidades</t>
  </si>
  <si>
    <t>* Revisão dos mobiliáreios conforme ambientes</t>
  </si>
  <si>
    <t>* Ajustes de preços dos custos unitário e inclusão do Piso Laminado que tem custo mais elevado que o porcelanato e revisão de quantidades de rodapé</t>
  </si>
  <si>
    <t>*Está acima da média devio o elevado custo do empreiteiro atribuído nesta etapa normalmente custa 75,00/m2 e está 189,00/m2</t>
  </si>
  <si>
    <t xml:space="preserve">* os outros empreendimentos não tem o custo de Causão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</si>
</sst>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7" formatCode="[$-416]mmm\-yy;@"/>
    <numFmt numFmtId="168" formatCode="_(&quot;R$&quot;* #,##0.00_);_(&quot;R$&quot;* \(#,##0.00\);_(&quot;R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Poppins"/>
    </font>
    <font>
      <sz val="10"/>
      <color theme="1"/>
      <name val="Poppins"/>
    </font>
    <font>
      <sz val="11"/>
      <color theme="1"/>
      <name val="Poppins"/>
    </font>
    <font>
      <b/>
      <sz val="10"/>
      <color theme="1"/>
      <name val="Poppins"/>
    </font>
    <font>
      <sz val="1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0"/>
      <color rgb="FF19212D"/>
      <name val="Arial"/>
      <family val="2"/>
    </font>
    <font>
      <sz val="1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Arial"/>
      <family val="2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  <fill>
      <patternFill patternType="solid">
        <fgColor rgb="FF121212"/>
        <bgColor indexed="64"/>
      </patternFill>
    </fill>
    <fill>
      <patternFill patternType="solid">
        <fgColor rgb="FFFC9E9E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646464"/>
      </right>
      <top/>
      <bottom style="thin">
        <color indexed="64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rgb="FF000000"/>
      </top>
      <bottom style="hair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hair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rgb="FF000000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hair">
        <color rgb="FF000000"/>
      </bottom>
      <diagonal/>
    </border>
    <border>
      <left/>
      <right style="thin">
        <color theme="1" tint="0.499984740745262"/>
      </right>
      <top style="hair">
        <color rgb="FF000000"/>
      </top>
      <bottom style="hair">
        <color rgb="FF000000"/>
      </bottom>
      <diagonal/>
    </border>
    <border>
      <left/>
      <right style="thin">
        <color theme="1" tint="0.499984740745262"/>
      </right>
      <top style="hair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8" fillId="0" borderId="0" applyFont="0" applyFill="0" applyBorder="0" applyAlignment="0" applyProtection="0"/>
    <xf numFmtId="0" fontId="18" fillId="0" borderId="0" applyNumberFormat="0" applyFont="0" applyFill="0" applyBorder="0" applyAlignment="0" applyProtection="0"/>
  </cellStyleXfs>
  <cellXfs count="183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6" fillId="3" borderId="3" xfId="0" applyNumberFormat="1" applyFont="1" applyFill="1" applyBorder="1" applyAlignment="1">
      <alignment horizontal="left" vertical="center"/>
    </xf>
    <xf numFmtId="10" fontId="6" fillId="3" borderId="3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9" fillId="0" borderId="0" xfId="0" applyNumberFormat="1" applyFont="1"/>
    <xf numFmtId="0" fontId="10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4" fillId="2" borderId="1" xfId="0" applyNumberFormat="1" applyFont="1" applyFill="1" applyBorder="1" applyAlignment="1">
      <alignment horizontal="left" vertical="center"/>
    </xf>
    <xf numFmtId="9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left"/>
    </xf>
    <xf numFmtId="165" fontId="5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43" fontId="0" fillId="0" borderId="0" xfId="1" applyFont="1"/>
    <xf numFmtId="0" fontId="6" fillId="0" borderId="0" xfId="0" applyFont="1"/>
    <xf numFmtId="43" fontId="6" fillId="0" borderId="0" xfId="1" applyFont="1" applyAlignment="1">
      <alignment horizontal="center"/>
    </xf>
    <xf numFmtId="164" fontId="6" fillId="0" borderId="0" xfId="0" applyNumberFormat="1" applyFont="1"/>
    <xf numFmtId="43" fontId="6" fillId="0" borderId="0" xfId="1" applyFont="1"/>
    <xf numFmtId="164" fontId="6" fillId="3" borderId="11" xfId="0" applyNumberFormat="1" applyFont="1" applyFill="1" applyBorder="1" applyAlignment="1">
      <alignment horizontal="center"/>
    </xf>
    <xf numFmtId="164" fontId="6" fillId="4" borderId="1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43" fontId="12" fillId="2" borderId="12" xfId="1" applyFont="1" applyFill="1" applyBorder="1" applyAlignment="1">
      <alignment horizontal="center" vertical="center"/>
    </xf>
    <xf numFmtId="4" fontId="12" fillId="2" borderId="13" xfId="1" applyNumberFormat="1" applyFont="1" applyFill="1" applyBorder="1" applyAlignment="1">
      <alignment horizontal="right" vertical="center"/>
    </xf>
    <xf numFmtId="4" fontId="4" fillId="2" borderId="14" xfId="0" applyNumberFormat="1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4" fontId="8" fillId="3" borderId="17" xfId="0" applyNumberFormat="1" applyFont="1" applyFill="1" applyBorder="1" applyAlignment="1">
      <alignment horizontal="right" vertical="center"/>
    </xf>
    <xf numFmtId="4" fontId="8" fillId="3" borderId="3" xfId="0" applyNumberFormat="1" applyFont="1" applyFill="1" applyBorder="1" applyAlignment="1">
      <alignment horizontal="right" vertical="center"/>
    </xf>
    <xf numFmtId="0" fontId="8" fillId="3" borderId="18" xfId="0" applyFont="1" applyFill="1" applyBorder="1" applyAlignment="1">
      <alignment horizontal="left" vertical="center"/>
    </xf>
    <xf numFmtId="4" fontId="8" fillId="4" borderId="17" xfId="1" applyNumberFormat="1" applyFont="1" applyFill="1" applyBorder="1" applyAlignment="1">
      <alignment horizontal="right" vertical="center"/>
    </xf>
    <xf numFmtId="4" fontId="8" fillId="4" borderId="3" xfId="0" applyNumberFormat="1" applyFont="1" applyFill="1" applyBorder="1" applyAlignment="1">
      <alignment horizontal="right" vertical="center"/>
    </xf>
    <xf numFmtId="0" fontId="8" fillId="4" borderId="18" xfId="0" applyFont="1" applyFill="1" applyBorder="1" applyAlignment="1">
      <alignment horizontal="left" vertical="center"/>
    </xf>
    <xf numFmtId="164" fontId="6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164" fontId="8" fillId="3" borderId="16" xfId="0" applyNumberFormat="1" applyFont="1" applyFill="1" applyBorder="1" applyAlignment="1">
      <alignment horizontal="left" vertical="center" wrapText="1"/>
    </xf>
    <xf numFmtId="43" fontId="8" fillId="4" borderId="16" xfId="1" applyFont="1" applyFill="1" applyBorder="1" applyAlignment="1">
      <alignment horizontal="left" vertical="center" wrapText="1"/>
    </xf>
    <xf numFmtId="43" fontId="4" fillId="2" borderId="20" xfId="1" applyFont="1" applyFill="1" applyBorder="1" applyAlignment="1">
      <alignment horizontal="center" vertical="center"/>
    </xf>
    <xf numFmtId="43" fontId="4" fillId="2" borderId="23" xfId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" fontId="5" fillId="0" borderId="0" xfId="0" applyNumberFormat="1" applyFont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left" vertical="center"/>
    </xf>
    <xf numFmtId="44" fontId="6" fillId="4" borderId="26" xfId="2" applyFont="1" applyFill="1" applyBorder="1" applyAlignment="1">
      <alignment horizontal="center" vertical="center"/>
    </xf>
    <xf numFmtId="4" fontId="6" fillId="4" borderId="27" xfId="0" applyNumberFormat="1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left" vertical="center"/>
    </xf>
    <xf numFmtId="44" fontId="6" fillId="3" borderId="29" xfId="2" applyFont="1" applyFill="1" applyBorder="1" applyAlignment="1">
      <alignment horizontal="center" vertical="center"/>
    </xf>
    <xf numFmtId="4" fontId="6" fillId="3" borderId="30" xfId="0" applyNumberFormat="1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left" vertical="center"/>
    </xf>
    <xf numFmtId="44" fontId="6" fillId="4" borderId="32" xfId="2" applyFont="1" applyFill="1" applyBorder="1" applyAlignment="1">
      <alignment horizontal="center" vertical="center"/>
    </xf>
    <xf numFmtId="4" fontId="6" fillId="4" borderId="33" xfId="0" applyNumberFormat="1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left" vertical="center"/>
    </xf>
    <xf numFmtId="44" fontId="8" fillId="4" borderId="32" xfId="2" applyFont="1" applyFill="1" applyBorder="1" applyAlignment="1">
      <alignment horizontal="center" vertical="center"/>
    </xf>
    <xf numFmtId="4" fontId="8" fillId="4" borderId="33" xfId="0" applyNumberFormat="1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left" vertical="center"/>
    </xf>
    <xf numFmtId="10" fontId="11" fillId="0" borderId="0" xfId="3" applyNumberFormat="1" applyFont="1" applyAlignment="1">
      <alignment horizontal="left"/>
    </xf>
    <xf numFmtId="44" fontId="6" fillId="3" borderId="32" xfId="2" applyFont="1" applyFill="1" applyBorder="1" applyAlignment="1">
      <alignment horizontal="center" vertical="center"/>
    </xf>
    <xf numFmtId="4" fontId="6" fillId="3" borderId="33" xfId="0" applyNumberFormat="1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left" vertical="center"/>
    </xf>
    <xf numFmtId="44" fontId="6" fillId="4" borderId="29" xfId="2" applyFont="1" applyFill="1" applyBorder="1" applyAlignment="1">
      <alignment vertical="center"/>
    </xf>
    <xf numFmtId="0" fontId="6" fillId="4" borderId="35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164" fontId="6" fillId="3" borderId="4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164" fontId="6" fillId="6" borderId="4" xfId="0" applyNumberFormat="1" applyFont="1" applyFill="1" applyBorder="1" applyAlignment="1">
      <alignment horizontal="center" vertical="center"/>
    </xf>
    <xf numFmtId="10" fontId="6" fillId="6" borderId="3" xfId="0" applyNumberFormat="1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36" xfId="0" applyFont="1" applyBorder="1" applyAlignment="1">
      <alignment vertical="center"/>
    </xf>
    <xf numFmtId="4" fontId="5" fillId="0" borderId="6" xfId="0" applyNumberFormat="1" applyFont="1" applyBorder="1" applyAlignment="1">
      <alignment vertical="center"/>
    </xf>
    <xf numFmtId="44" fontId="0" fillId="0" borderId="0" xfId="0" applyNumberFormat="1"/>
    <xf numFmtId="0" fontId="1" fillId="0" borderId="0" xfId="0" applyFont="1"/>
    <xf numFmtId="0" fontId="14" fillId="0" borderId="0" xfId="0" applyFont="1"/>
    <xf numFmtId="2" fontId="0" fillId="0" borderId="0" xfId="0" applyNumberFormat="1"/>
    <xf numFmtId="43" fontId="2" fillId="7" borderId="37" xfId="1" applyFont="1" applyFill="1" applyBorder="1"/>
    <xf numFmtId="44" fontId="2" fillId="8" borderId="1" xfId="0" applyNumberFormat="1" applyFont="1" applyFill="1" applyBorder="1"/>
    <xf numFmtId="44" fontId="2" fillId="7" borderId="1" xfId="0" applyNumberFormat="1" applyFont="1" applyFill="1" applyBorder="1"/>
    <xf numFmtId="44" fontId="2" fillId="7" borderId="10" xfId="0" applyNumberFormat="1" applyFont="1" applyFill="1" applyBorder="1"/>
    <xf numFmtId="0" fontId="4" fillId="9" borderId="1" xfId="0" applyFont="1" applyFill="1" applyBorder="1" applyAlignment="1">
      <alignment horizontal="left" vertical="center"/>
    </xf>
    <xf numFmtId="43" fontId="3" fillId="0" borderId="1" xfId="1" applyFont="1" applyBorder="1"/>
    <xf numFmtId="44" fontId="0" fillId="8" borderId="1" xfId="2" applyFont="1" applyFill="1" applyBorder="1"/>
    <xf numFmtId="44" fontId="0" fillId="0" borderId="1" xfId="2" applyFont="1" applyBorder="1"/>
    <xf numFmtId="44" fontId="0" fillId="0" borderId="10" xfId="2" applyFont="1" applyBorder="1"/>
    <xf numFmtId="0" fontId="6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44" fontId="0" fillId="10" borderId="1" xfId="2" applyFont="1" applyFill="1" applyBorder="1"/>
    <xf numFmtId="44" fontId="15" fillId="0" borderId="38" xfId="2" applyFont="1" applyBorder="1"/>
    <xf numFmtId="44" fontId="15" fillId="0" borderId="39" xfId="2" applyFont="1" applyBorder="1"/>
    <xf numFmtId="44" fontId="15" fillId="0" borderId="38" xfId="2" applyFont="1" applyFill="1" applyBorder="1"/>
    <xf numFmtId="0" fontId="0" fillId="8" borderId="1" xfId="2" applyNumberFormat="1" applyFont="1" applyFill="1" applyBorder="1"/>
    <xf numFmtId="43" fontId="0" fillId="0" borderId="0" xfId="0" applyNumberFormat="1"/>
    <xf numFmtId="43" fontId="2" fillId="7" borderId="1" xfId="1" applyFont="1" applyFill="1" applyBorder="1" applyAlignment="1">
      <alignment horizontal="center"/>
    </xf>
    <xf numFmtId="44" fontId="2" fillId="7" borderId="1" xfId="0" applyNumberFormat="1" applyFont="1" applyFill="1" applyBorder="1" applyAlignment="1">
      <alignment horizontal="center"/>
    </xf>
    <xf numFmtId="44" fontId="2" fillId="7" borderId="10" xfId="0" applyNumberFormat="1" applyFont="1" applyFill="1" applyBorder="1" applyAlignment="1">
      <alignment horizontal="center"/>
    </xf>
    <xf numFmtId="43" fontId="3" fillId="0" borderId="0" xfId="1" applyFont="1"/>
    <xf numFmtId="0" fontId="3" fillId="0" borderId="40" xfId="0" applyFont="1" applyBorder="1"/>
    <xf numFmtId="0" fontId="0" fillId="10" borderId="0" xfId="0" applyFill="1"/>
    <xf numFmtId="0" fontId="15" fillId="0" borderId="10" xfId="0" quotePrefix="1" applyFont="1" applyBorder="1" applyAlignment="1">
      <alignment vertical="top" wrapText="1"/>
    </xf>
    <xf numFmtId="0" fontId="2" fillId="7" borderId="0" xfId="0" applyFont="1" applyFill="1" applyAlignment="1">
      <alignment vertical="center"/>
    </xf>
    <xf numFmtId="0" fontId="15" fillId="10" borderId="10" xfId="0" quotePrefix="1" applyFont="1" applyFill="1" applyBorder="1" applyAlignment="1">
      <alignment vertical="top" wrapText="1"/>
    </xf>
    <xf numFmtId="0" fontId="0" fillId="0" borderId="10" xfId="0" applyBorder="1" applyAlignment="1">
      <alignment wrapText="1"/>
    </xf>
    <xf numFmtId="0" fontId="2" fillId="7" borderId="0" xfId="0" applyFont="1" applyFill="1"/>
    <xf numFmtId="0" fontId="0" fillId="10" borderId="10" xfId="0" applyFill="1" applyBorder="1" applyAlignment="1">
      <alignment wrapText="1"/>
    </xf>
    <xf numFmtId="4" fontId="0" fillId="0" borderId="10" xfId="0" applyNumberFormat="1" applyBorder="1"/>
    <xf numFmtId="4" fontId="0" fillId="10" borderId="10" xfId="0" applyNumberFormat="1" applyFill="1" applyBorder="1"/>
    <xf numFmtId="4" fontId="0" fillId="0" borderId="10" xfId="0" applyNumberFormat="1" applyBorder="1" applyAlignment="1">
      <alignment horizontal="left"/>
    </xf>
    <xf numFmtId="17" fontId="0" fillId="0" borderId="10" xfId="0" applyNumberFormat="1" applyBorder="1"/>
    <xf numFmtId="17" fontId="0" fillId="10" borderId="10" xfId="0" applyNumberFormat="1" applyFill="1" applyBorder="1"/>
    <xf numFmtId="17" fontId="0" fillId="0" borderId="10" xfId="0" applyNumberFormat="1" applyBorder="1" applyAlignment="1">
      <alignment horizontal="left"/>
    </xf>
    <xf numFmtId="43" fontId="5" fillId="0" borderId="6" xfId="0" applyNumberFormat="1" applyFont="1" applyBorder="1" applyAlignment="1">
      <alignment vertical="center"/>
    </xf>
    <xf numFmtId="164" fontId="4" fillId="2" borderId="10" xfId="0" applyNumberFormat="1" applyFont="1" applyFill="1" applyBorder="1" applyAlignment="1">
      <alignment horizontal="center" vertical="center"/>
    </xf>
    <xf numFmtId="4" fontId="8" fillId="3" borderId="43" xfId="0" applyNumberFormat="1" applyFont="1" applyFill="1" applyBorder="1" applyAlignment="1">
      <alignment horizontal="right" vertical="center"/>
    </xf>
    <xf numFmtId="4" fontId="8" fillId="4" borderId="43" xfId="0" applyNumberFormat="1" applyFont="1" applyFill="1" applyBorder="1" applyAlignment="1">
      <alignment horizontal="right" vertical="center"/>
    </xf>
    <xf numFmtId="4" fontId="4" fillId="2" borderId="44" xfId="0" applyNumberFormat="1" applyFont="1" applyFill="1" applyBorder="1" applyAlignment="1">
      <alignment horizontal="right" vertical="center"/>
    </xf>
    <xf numFmtId="164" fontId="4" fillId="2" borderId="21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4" fontId="8" fillId="3" borderId="18" xfId="0" applyNumberFormat="1" applyFont="1" applyFill="1" applyBorder="1" applyAlignment="1">
      <alignment horizontal="right" vertical="center"/>
    </xf>
    <xf numFmtId="4" fontId="8" fillId="4" borderId="18" xfId="0" applyNumberFormat="1" applyFont="1" applyFill="1" applyBorder="1" applyAlignment="1">
      <alignment horizontal="right" vertical="center"/>
    </xf>
    <xf numFmtId="4" fontId="8" fillId="4" borderId="17" xfId="0" applyNumberFormat="1" applyFont="1" applyFill="1" applyBorder="1" applyAlignment="1">
      <alignment horizontal="right" vertical="center"/>
    </xf>
    <xf numFmtId="4" fontId="4" fillId="2" borderId="15" xfId="0" applyNumberFormat="1" applyFont="1" applyFill="1" applyBorder="1" applyAlignment="1">
      <alignment horizontal="right" vertical="center"/>
    </xf>
    <xf numFmtId="17" fontId="4" fillId="2" borderId="13" xfId="4" applyNumberFormat="1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left" vertical="center"/>
    </xf>
    <xf numFmtId="0" fontId="8" fillId="4" borderId="47" xfId="0" applyFont="1" applyFill="1" applyBorder="1" applyAlignment="1">
      <alignment horizontal="left" vertical="center"/>
    </xf>
    <xf numFmtId="0" fontId="4" fillId="2" borderId="48" xfId="0" applyFont="1" applyFill="1" applyBorder="1" applyAlignment="1">
      <alignment horizontal="right" vertical="center"/>
    </xf>
    <xf numFmtId="0" fontId="4" fillId="2" borderId="46" xfId="0" applyFont="1" applyFill="1" applyBorder="1" applyAlignment="1">
      <alignment horizontal="right" vertical="center"/>
    </xf>
    <xf numFmtId="4" fontId="4" fillId="2" borderId="21" xfId="0" applyNumberFormat="1" applyFont="1" applyFill="1" applyBorder="1" applyAlignment="1">
      <alignment horizontal="right" vertical="center"/>
    </xf>
    <xf numFmtId="4" fontId="4" fillId="2" borderId="20" xfId="0" applyNumberFormat="1" applyFont="1" applyFill="1" applyBorder="1" applyAlignment="1">
      <alignment horizontal="right" vertical="center"/>
    </xf>
    <xf numFmtId="4" fontId="4" fillId="2" borderId="10" xfId="0" applyNumberFormat="1" applyFont="1" applyFill="1" applyBorder="1" applyAlignment="1">
      <alignment horizontal="right"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/>
    </xf>
    <xf numFmtId="43" fontId="8" fillId="4" borderId="16" xfId="1" applyFont="1" applyFill="1" applyBorder="1" applyAlignment="1">
      <alignment horizontal="left" vertical="center"/>
    </xf>
    <xf numFmtId="0" fontId="4" fillId="2" borderId="45" xfId="0" applyFont="1" applyFill="1" applyBorder="1" applyAlignment="1">
      <alignment horizontal="center" vertical="center"/>
    </xf>
    <xf numFmtId="0" fontId="13" fillId="0" borderId="46" xfId="0" applyFont="1" applyBorder="1" applyAlignment="1">
      <alignment vertical="center"/>
    </xf>
    <xf numFmtId="0" fontId="12" fillId="2" borderId="25" xfId="0" applyFont="1" applyFill="1" applyBorder="1" applyAlignment="1">
      <alignment horizontal="center" vertical="center"/>
    </xf>
    <xf numFmtId="0" fontId="13" fillId="0" borderId="23" xfId="0" applyFont="1" applyBorder="1"/>
    <xf numFmtId="0" fontId="12" fillId="2" borderId="42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3" fillId="0" borderId="21" xfId="0" applyFont="1" applyBorder="1"/>
    <xf numFmtId="0" fontId="12" fillId="2" borderId="24" xfId="0" applyFont="1" applyFill="1" applyBorder="1" applyAlignment="1">
      <alignment horizontal="center" vertical="center"/>
    </xf>
    <xf numFmtId="0" fontId="13" fillId="0" borderId="24" xfId="0" applyFont="1" applyBorder="1"/>
    <xf numFmtId="43" fontId="4" fillId="2" borderId="22" xfId="1" applyFont="1" applyFill="1" applyBorder="1" applyAlignment="1">
      <alignment horizontal="center" vertical="center"/>
    </xf>
    <xf numFmtId="43" fontId="4" fillId="2" borderId="19" xfId="1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vertical="center"/>
    </xf>
    <xf numFmtId="0" fontId="4" fillId="2" borderId="21" xfId="0" applyFont="1" applyFill="1" applyBorder="1" applyAlignment="1">
      <alignment horizontal="right" vertical="center"/>
    </xf>
    <xf numFmtId="4" fontId="8" fillId="3" borderId="49" xfId="0" applyNumberFormat="1" applyFont="1" applyFill="1" applyBorder="1" applyAlignment="1">
      <alignment horizontal="right" vertical="center"/>
    </xf>
    <xf numFmtId="4" fontId="8" fillId="3" borderId="50" xfId="0" applyNumberFormat="1" applyFont="1" applyFill="1" applyBorder="1" applyAlignment="1">
      <alignment horizontal="right" vertical="center"/>
    </xf>
    <xf numFmtId="4" fontId="8" fillId="4" borderId="49" xfId="0" applyNumberFormat="1" applyFont="1" applyFill="1" applyBorder="1" applyAlignment="1">
      <alignment horizontal="right" vertical="center"/>
    </xf>
    <xf numFmtId="4" fontId="8" fillId="4" borderId="51" xfId="0" applyNumberFormat="1" applyFont="1" applyFill="1" applyBorder="1" applyAlignment="1">
      <alignment horizontal="right" vertical="center"/>
    </xf>
    <xf numFmtId="164" fontId="4" fillId="2" borderId="9" xfId="0" applyNumberFormat="1" applyFont="1" applyFill="1" applyBorder="1" applyAlignment="1">
      <alignment horizontal="center" vertical="center"/>
    </xf>
    <xf numFmtId="167" fontId="4" fillId="2" borderId="14" xfId="0" applyNumberFormat="1" applyFont="1" applyFill="1" applyBorder="1" applyAlignment="1">
      <alignment horizontal="center" vertical="center"/>
    </xf>
    <xf numFmtId="168" fontId="19" fillId="2" borderId="13" xfId="5" applyFont="1" applyFill="1" applyBorder="1" applyAlignment="1">
      <alignment horizontal="center" vertical="center"/>
    </xf>
    <xf numFmtId="10" fontId="8" fillId="3" borderId="52" xfId="3" applyNumberFormat="1" applyFont="1" applyFill="1" applyBorder="1" applyAlignment="1">
      <alignment horizontal="right" vertical="center" indent="1"/>
    </xf>
    <xf numFmtId="10" fontId="8" fillId="4" borderId="53" xfId="3" applyNumberFormat="1" applyFont="1" applyFill="1" applyBorder="1" applyAlignment="1">
      <alignment horizontal="right" vertical="center" indent="1"/>
    </xf>
    <xf numFmtId="10" fontId="8" fillId="3" borderId="53" xfId="3" applyNumberFormat="1" applyFont="1" applyFill="1" applyBorder="1" applyAlignment="1">
      <alignment horizontal="right" vertical="center" indent="1"/>
    </xf>
    <xf numFmtId="10" fontId="8" fillId="4" borderId="54" xfId="3" applyNumberFormat="1" applyFont="1" applyFill="1" applyBorder="1" applyAlignment="1">
      <alignment horizontal="right" vertical="center" indent="1"/>
    </xf>
    <xf numFmtId="9" fontId="4" fillId="2" borderId="1" xfId="3" applyFont="1" applyFill="1" applyBorder="1" applyAlignment="1">
      <alignment horizontal="right" vertical="center" indent="1"/>
    </xf>
    <xf numFmtId="4" fontId="8" fillId="3" borderId="16" xfId="0" applyNumberFormat="1" applyFont="1" applyFill="1" applyBorder="1" applyAlignment="1">
      <alignment horizontal="left" vertical="center" indent="8"/>
    </xf>
    <xf numFmtId="4" fontId="8" fillId="4" borderId="16" xfId="0" applyNumberFormat="1" applyFont="1" applyFill="1" applyBorder="1" applyAlignment="1">
      <alignment horizontal="left" vertical="center" indent="8"/>
    </xf>
    <xf numFmtId="4" fontId="4" fillId="2" borderId="20" xfId="0" applyNumberFormat="1" applyFont="1" applyFill="1" applyBorder="1" applyAlignment="1">
      <alignment horizontal="center" vertical="center"/>
    </xf>
    <xf numFmtId="4" fontId="4" fillId="2" borderId="14" xfId="0" applyNumberFormat="1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vertical="center"/>
    </xf>
    <xf numFmtId="0" fontId="12" fillId="2" borderId="45" xfId="0" applyFont="1" applyFill="1" applyBorder="1" applyAlignment="1">
      <alignment horizontal="center" vertical="center"/>
    </xf>
    <xf numFmtId="4" fontId="8" fillId="3" borderId="43" xfId="0" applyNumberFormat="1" applyFont="1" applyFill="1" applyBorder="1" applyAlignment="1">
      <alignment horizontal="left" vertical="center"/>
    </xf>
    <xf numFmtId="4" fontId="8" fillId="4" borderId="43" xfId="0" applyNumberFormat="1" applyFont="1" applyFill="1" applyBorder="1" applyAlignment="1">
      <alignment horizontal="left" vertical="center"/>
    </xf>
    <xf numFmtId="4" fontId="4" fillId="2" borderId="55" xfId="0" applyNumberFormat="1" applyFont="1" applyFill="1" applyBorder="1" applyAlignment="1">
      <alignment horizontal="left" vertical="center"/>
    </xf>
    <xf numFmtId="17" fontId="4" fillId="2" borderId="26" xfId="4" applyNumberFormat="1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/>
    </xf>
  </cellXfs>
  <cellStyles count="7">
    <cellStyle name="Moeda" xfId="2" builtinId="4"/>
    <cellStyle name="Moeda 9" xfId="5" xr:uid="{599B905D-E20C-4C05-AA08-B55D1B5E8FF7}"/>
    <cellStyle name="Normal" xfId="0" builtinId="0"/>
    <cellStyle name="Normal 2 4" xfId="6" xr:uid="{CCFE3B8E-D11B-4ED7-B71D-1E4F1FFFA931}"/>
    <cellStyle name="Normal 4" xfId="4" xr:uid="{DE8FE6D0-DA0B-4E2C-828B-F5DEEC39C6B6}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dore%20Incorpora&#231;&#245;es/Level%20Up/04.%20Custo/03.0%20Custo%20-%20Or&#231;amento%20Preliminar/CTN-ADR-LVU-%20OR&#199;AMENTO%20PRELIMINAR_R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TN_ADR_LVU%20-%20Or&#231;amento.xlsb_R0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Adore%20Incorpora&#231;&#245;es/Level%20Up/04.%20Custo/03.0%20Custo%20-%20Or&#231;amento%20Preliminar/03.Valida&#231;&#227;o%20final/CTN-ADR-LVU-%20LEVANTAMENTOS_R00A%20(version%202).xlsx?160855B7" TargetMode="External"/><Relationship Id="rId1" Type="http://schemas.openxmlformats.org/officeDocument/2006/relationships/externalLinkPath" Target="file:///\\160855B7\CTN-ADR-LVU-%20LEVANTAMENTOS_R00A%20(version%2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EPC's"/>
      <sheetName val="ORÇAMENTO"/>
      <sheetName val="MO"/>
      <sheetName val="Versões"/>
      <sheetName val="OPÇÃO 1"/>
      <sheetName val="OPÇÃO 2"/>
      <sheetName val="Planilha1"/>
    </sheetNames>
    <sheetDataSet>
      <sheetData sheetId="0"/>
      <sheetData sheetId="1"/>
      <sheetData sheetId="2"/>
      <sheetData sheetId="3">
        <row r="250">
          <cell r="M250">
            <v>354166.67442239</v>
          </cell>
        </row>
      </sheetData>
      <sheetData sheetId="4"/>
      <sheetData sheetId="5">
        <row r="3">
          <cell r="E3">
            <v>3400044.0391976684</v>
          </cell>
        </row>
        <row r="4">
          <cell r="E4">
            <v>949970.26724110113</v>
          </cell>
        </row>
        <row r="5">
          <cell r="E5">
            <v>2915254.6600993266</v>
          </cell>
        </row>
        <row r="6">
          <cell r="E6">
            <v>8246852.5510957967</v>
          </cell>
        </row>
        <row r="7">
          <cell r="E7">
            <v>1936039.0822323917</v>
          </cell>
        </row>
        <row r="8">
          <cell r="E8">
            <v>4059519.6374255875</v>
          </cell>
        </row>
        <row r="9">
          <cell r="E9">
            <v>1816668.673</v>
          </cell>
        </row>
        <row r="10">
          <cell r="E10">
            <v>851494.30754360021</v>
          </cell>
        </row>
        <row r="11">
          <cell r="E11">
            <v>2914839.4992376748</v>
          </cell>
        </row>
        <row r="12">
          <cell r="E12">
            <v>454052.27497641998</v>
          </cell>
        </row>
        <row r="13">
          <cell r="E13">
            <v>3357328.4070374626</v>
          </cell>
        </row>
        <row r="14">
          <cell r="E14">
            <v>1454024.7256579841</v>
          </cell>
        </row>
        <row r="15">
          <cell r="E15">
            <v>3586027.902067584</v>
          </cell>
        </row>
        <row r="16">
          <cell r="E16">
            <v>217990.91106698589</v>
          </cell>
        </row>
        <row r="17">
          <cell r="E17">
            <v>1680035.9699910753</v>
          </cell>
        </row>
        <row r="18">
          <cell r="E18">
            <v>2343882.4962254772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 PRELIMINAR"/>
      <sheetName val="CPU"/>
      <sheetName val="Insumos"/>
      <sheetName val="Obra "/>
      <sheetName val="Ensaios "/>
      <sheetName val="CANTEIRO"/>
      <sheetName val="EPC's"/>
      <sheetName val="Ger_Tec e Adm"/>
      <sheetName val="Ger_Executivo"/>
      <sheetName val="Equipamentos Especiais"/>
      <sheetName val="Arquitetura"/>
      <sheetName val="Lev. Complementar"/>
      <sheetName val="MO"/>
      <sheetName val="Estacas"/>
      <sheetName val="Fundação Rasa"/>
      <sheetName val="MO Infra"/>
      <sheetName val="Aço_Infraestrutura"/>
      <sheetName val="Supraestrutura"/>
      <sheetName val="TEL"/>
      <sheetName val="HIDRO"/>
      <sheetName val="SANIT"/>
      <sheetName val="SPDA"/>
      <sheetName val="CLI"/>
      <sheetName val="INTERFONIA"/>
      <sheetName val="PORTÕES"/>
      <sheetName val="LOUÇAS E METAIS"/>
      <sheetName val="MOBILIÁRIO"/>
    </sheetNames>
    <sheetDataSet>
      <sheetData sheetId="0"/>
      <sheetData sheetId="1"/>
      <sheetData sheetId="2"/>
      <sheetData sheetId="3">
        <row r="9">
          <cell r="E9">
            <v>11102.719999999998</v>
          </cell>
        </row>
        <row r="32">
          <cell r="C32">
            <v>4073248.064919733</v>
          </cell>
        </row>
        <row r="33">
          <cell r="C33">
            <v>198728.54458902398</v>
          </cell>
        </row>
        <row r="34">
          <cell r="C34">
            <v>1941462.0984345428</v>
          </cell>
        </row>
        <row r="35">
          <cell r="C35">
            <v>6615187.3552938532</v>
          </cell>
        </row>
        <row r="36">
          <cell r="C36">
            <v>1669934.1888865917</v>
          </cell>
        </row>
        <row r="37">
          <cell r="C37">
            <v>4311922.0907457341</v>
          </cell>
        </row>
        <row r="38">
          <cell r="C38">
            <v>1997062.2669022223</v>
          </cell>
        </row>
        <row r="39">
          <cell r="C39">
            <v>948728.56679100019</v>
          </cell>
        </row>
        <row r="40">
          <cell r="C40">
            <v>3214008.858001166</v>
          </cell>
        </row>
        <row r="41">
          <cell r="C41">
            <v>753156.09809219011</v>
          </cell>
        </row>
        <row r="42">
          <cell r="C42">
            <v>4313008.1837960519</v>
          </cell>
        </row>
        <row r="43">
          <cell r="C43">
            <v>1273615.850741019</v>
          </cell>
        </row>
        <row r="44">
          <cell r="C44">
            <v>3821896.5816228217</v>
          </cell>
        </row>
        <row r="45">
          <cell r="C45">
            <v>375409.40763087</v>
          </cell>
        </row>
        <row r="46">
          <cell r="C46">
            <v>1517055.5979890632</v>
          </cell>
        </row>
        <row r="47">
          <cell r="C47">
            <v>3263431.9372460633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_INICIAIS"/>
      <sheetName val="OBRA"/>
      <sheetName val="CANTEIRO"/>
      <sheetName val="EPC's"/>
      <sheetName val="INDIRETOS"/>
      <sheetName val="Cont.Tecnol."/>
      <sheetName val="Cremalheira"/>
      <sheetName val="MOVIMENTAÇÃO_DE_TERRA"/>
      <sheetName val="CONTENÇÕES"/>
      <sheetName val="INFRAESTRUTURA"/>
      <sheetName val="ORÇ_EXE_COTA_AP"/>
      <sheetName val="ARV - FUNDAÇÃO"/>
      <sheetName val="SUPRAESTRUTURA - LOCA CUBETA"/>
      <sheetName val="SUPRAESTRUTURA - LOCA CUBET ok"/>
      <sheetName val="SUPRAESTRUTURA - COMP CUBET ok"/>
      <sheetName val="RELATÓRIO ATALAIA"/>
      <sheetName val="COMPOSIÇÃO SUPRA"/>
      <sheetName val="Nome_Arquivo-GRAN TORINO-ESTR"/>
      <sheetName val="SUPRAESTRUTURA - COMP CUBETA"/>
      <sheetName val="Alvenaria"/>
      <sheetName val="REVESTIMENTO PISO"/>
      <sheetName val="REVESTIMENTO PAREDE PISCINA"/>
      <sheetName val="REVESTIMENTO TETO"/>
      <sheetName val="Acabamentos de Piso"/>
      <sheetName val="Rev. Internos de Parede"/>
      <sheetName val="Acabamentos de Teto"/>
      <sheetName val="Ambientes"/>
      <sheetName val="Pintura Interna"/>
      <sheetName val="Impermeabilização"/>
      <sheetName val="Instalações"/>
      <sheetName val="Louças e metais_Pavimentos"/>
      <sheetName val="Louças e metais_Consolidação"/>
      <sheetName val="Sistemas Especiais"/>
      <sheetName val="Complementares"/>
      <sheetName val="Esquadrias"/>
      <sheetName val="ESQUADRIAS_MADEIRA"/>
      <sheetName val="PORTA_CORTA_FOGO"/>
      <sheetName val="ESQUADRIAS_DE_ALUMÍNIO"/>
      <sheetName val="GUARDA_CORPO"/>
      <sheetName val="BRISES"/>
      <sheetName val="Rev. Fachada"/>
      <sheetName val="FACHADA"/>
      <sheetName val="ORÇAMENTO_EXECUTIVO"/>
      <sheetName val="ANÁLISE_CUSTOS"/>
      <sheetName val="AREAS_PRIVATIVAS"/>
      <sheetName val="CÁLCULO_MÉDIAS"/>
      <sheetName val="CÁLCULO_MÉDIAS (2)"/>
    </sheetNames>
    <sheetDataSet>
      <sheetData sheetId="0">
        <row r="12">
          <cell r="E12">
            <v>11102.72</v>
          </cell>
        </row>
      </sheetData>
      <sheetData sheetId="1"/>
      <sheetData sheetId="2"/>
      <sheetData sheetId="3"/>
      <sheetData sheetId="4">
        <row r="18">
          <cell r="W18">
            <v>56189.574016424813</v>
          </cell>
        </row>
      </sheetData>
      <sheetData sheetId="5"/>
      <sheetData sheetId="6"/>
      <sheetData sheetId="7">
        <row r="16">
          <cell r="F16">
            <v>39600</v>
          </cell>
        </row>
      </sheetData>
      <sheetData sheetId="8"/>
      <sheetData sheetId="9">
        <row r="8">
          <cell r="D8">
            <v>206</v>
          </cell>
        </row>
      </sheetData>
      <sheetData sheetId="10"/>
      <sheetData sheetId="11"/>
      <sheetData sheetId="12"/>
      <sheetData sheetId="13">
        <row r="8">
          <cell r="D8">
            <v>2586.4499999999998</v>
          </cell>
        </row>
      </sheetData>
      <sheetData sheetId="14">
        <row r="28">
          <cell r="B28">
            <v>1928.39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5">
          <cell r="B15">
            <v>6661.6319999999996</v>
          </cell>
        </row>
      </sheetData>
      <sheetData sheetId="29">
        <row r="17">
          <cell r="T17" t="str">
            <v>vb</v>
          </cell>
        </row>
      </sheetData>
      <sheetData sheetId="30"/>
      <sheetData sheetId="31"/>
      <sheetData sheetId="32">
        <row r="7">
          <cell r="B7">
            <v>223</v>
          </cell>
        </row>
      </sheetData>
      <sheetData sheetId="33">
        <row r="7">
          <cell r="F7">
            <v>814262.40000000014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A2" t="str">
            <v>GERENCIAMENTO TÉCNICO E ADMINISTRATIVO</v>
          </cell>
          <cell r="B2">
            <v>4305949.8890799256</v>
          </cell>
        </row>
        <row r="3">
          <cell r="A3" t="str">
            <v>MOVIMENTAÇÃO DE TERRA</v>
          </cell>
        </row>
        <row r="4">
          <cell r="A4" t="str">
            <v>INFRAESTRUTURA</v>
          </cell>
        </row>
        <row r="5">
          <cell r="A5" t="str">
            <v>SUPRAESTRUTURA</v>
          </cell>
        </row>
        <row r="6">
          <cell r="A6" t="str">
            <v>ALVENARIA</v>
          </cell>
        </row>
        <row r="7">
          <cell r="A7" t="str">
            <v>INSTALAÇÕES ELÉTRICAS, HIDRÁULICAS, GLP E PREVENTIVAS</v>
          </cell>
        </row>
        <row r="8">
          <cell r="A8" t="str">
            <v>EQUIPAMENTOS E SISTEMAS ESPECIAIS</v>
          </cell>
        </row>
        <row r="9">
          <cell r="A9" t="str">
            <v>IMPERMEABILIZAÇÃO</v>
          </cell>
        </row>
        <row r="10">
          <cell r="A10" t="str">
            <v>REVESTIMENTOS E ACABAMENTOS INTERNOS EM PAREDE</v>
          </cell>
        </row>
        <row r="11">
          <cell r="A11" t="str">
            <v>REVESTIMENTOS E ACABAMENTOS INTERNOS EM TETO</v>
          </cell>
        </row>
        <row r="12">
          <cell r="A12" t="str">
            <v>REVESTIMENTOS E ACABAMENTOS INTERNOS EM PISO</v>
          </cell>
        </row>
        <row r="13">
          <cell r="A13" t="str">
            <v>PINTURA INTERNA</v>
          </cell>
        </row>
        <row r="14">
          <cell r="A14" t="str">
            <v>ESQUADRIAS, VIDROS E FERRAGENS</v>
          </cell>
        </row>
        <row r="15">
          <cell r="A15" t="str">
            <v>COBERTURA</v>
          </cell>
        </row>
        <row r="16">
          <cell r="A16" t="str">
            <v>REVESTIMENTOS E ACABAMENTOS DE FACHADA</v>
          </cell>
        </row>
        <row r="17">
          <cell r="A17" t="str">
            <v>SERVIÇOS COMPLEMENTARES</v>
          </cell>
          <cell r="B17">
            <v>1572023.04</v>
          </cell>
        </row>
        <row r="18">
          <cell r="B18">
            <v>1193153.0175220789</v>
          </cell>
        </row>
        <row r="19">
          <cell r="B19">
            <v>40964920.26825805</v>
          </cell>
        </row>
        <row r="20">
          <cell r="B20">
            <v>2841.51</v>
          </cell>
        </row>
      </sheetData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E04B-6EFA-4F2C-9287-49008DDC968E}">
  <sheetPr>
    <tabColor rgb="FFFF0000"/>
  </sheetPr>
  <dimension ref="A1:S1003"/>
  <sheetViews>
    <sheetView showGridLines="0" zoomScale="70" zoomScaleNormal="70" workbookViewId="0">
      <selection activeCell="D20" sqref="A1:D20"/>
    </sheetView>
  </sheetViews>
  <sheetFormatPr defaultColWidth="14.42578125" defaultRowHeight="15" customHeight="1" x14ac:dyDescent="0.25"/>
  <cols>
    <col min="1" max="1" width="64.85546875" bestFit="1" customWidth="1"/>
    <col min="2" max="2" width="18.7109375" bestFit="1" customWidth="1"/>
    <col min="3" max="3" width="18.7109375" customWidth="1"/>
    <col min="4" max="4" width="18.85546875" bestFit="1" customWidth="1"/>
    <col min="5" max="5" width="9.140625" customWidth="1"/>
    <col min="6" max="6" width="23.85546875" bestFit="1" customWidth="1"/>
    <col min="7" max="7" width="10.85546875" customWidth="1"/>
    <col min="8" max="19" width="9.140625" customWidth="1"/>
  </cols>
  <sheetData>
    <row r="1" spans="1:19" ht="21" customHeight="1" thickBot="1" x14ac:dyDescent="0.65">
      <c r="A1" s="147" t="s">
        <v>0</v>
      </c>
      <c r="B1" s="146" t="s">
        <v>120</v>
      </c>
      <c r="C1" s="145"/>
      <c r="D1" s="144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24" customHeight="1" thickBot="1" x14ac:dyDescent="0.65">
      <c r="A2" s="158"/>
      <c r="B2" s="120" t="s">
        <v>42</v>
      </c>
      <c r="C2" s="164" t="s">
        <v>2</v>
      </c>
      <c r="D2" s="125" t="s">
        <v>3</v>
      </c>
      <c r="E2" s="21"/>
      <c r="F2" s="6" t="s">
        <v>5</v>
      </c>
      <c r="G2" s="119">
        <v>11102.72</v>
      </c>
      <c r="H2" s="7" t="s">
        <v>6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ht="24.6" customHeight="1" x14ac:dyDescent="0.25">
      <c r="A3" s="131" t="s">
        <v>4</v>
      </c>
      <c r="B3" s="161">
        <f ca="1">'[2]Obra '!$C$32</f>
        <v>4073248.064919733</v>
      </c>
      <c r="C3" s="167">
        <f ca="1">B3/$B$19</f>
        <v>0.10110362030910269</v>
      </c>
      <c r="D3" s="172">
        <f ca="1">B3/$G$2</f>
        <v>366.86938560278321</v>
      </c>
      <c r="E3" s="40"/>
      <c r="F3" s="39"/>
      <c r="G3" s="39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ht="24.6" customHeight="1" x14ac:dyDescent="0.25">
      <c r="A4" s="132" t="s">
        <v>7</v>
      </c>
      <c r="B4" s="162">
        <f ca="1">'[2]Obra '!$C$33</f>
        <v>198728.54458902398</v>
      </c>
      <c r="C4" s="168">
        <f t="shared" ref="C4:C18" ca="1" si="0">B4/$B$19</f>
        <v>4.932715856358039E-3</v>
      </c>
      <c r="D4" s="173">
        <f ca="1">B4/$G$2</f>
        <v>17.899086403063752</v>
      </c>
      <c r="E4" s="40"/>
      <c r="F4" s="39"/>
      <c r="G4" s="39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24.6" customHeight="1" x14ac:dyDescent="0.25">
      <c r="A5" s="131" t="s">
        <v>8</v>
      </c>
      <c r="B5" s="160">
        <f ca="1">'[2]Obra '!$C$34</f>
        <v>1941462.0984345428</v>
      </c>
      <c r="C5" s="169">
        <f t="shared" ca="1" si="0"/>
        <v>4.8189760043133495E-2</v>
      </c>
      <c r="D5" s="172">
        <f ca="1">B5/$G$2</f>
        <v>174.86364588448083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24.6" customHeight="1" x14ac:dyDescent="0.25">
      <c r="A6" s="132" t="s">
        <v>9</v>
      </c>
      <c r="B6" s="162">
        <f ca="1">'[2]Obra '!$C$35</f>
        <v>6615187.3552938532</v>
      </c>
      <c r="C6" s="168">
        <f t="shared" ca="1" si="0"/>
        <v>0.1641980502988066</v>
      </c>
      <c r="D6" s="173">
        <f ca="1">B6/$G$2</f>
        <v>595.81682284105636</v>
      </c>
      <c r="E6" s="40"/>
      <c r="F6" s="39"/>
      <c r="G6" s="39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19" ht="24.6" customHeight="1" x14ac:dyDescent="0.25">
      <c r="A7" s="131" t="s">
        <v>10</v>
      </c>
      <c r="B7" s="160">
        <f ca="1">'[2]Obra '!$C$36</f>
        <v>1669934.1888865917</v>
      </c>
      <c r="C7" s="169">
        <f t="shared" ca="1" si="0"/>
        <v>4.1450063802511476E-2</v>
      </c>
      <c r="D7" s="172">
        <f ca="1">B7/$G$2</f>
        <v>150.40766486830179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</row>
    <row r="8" spans="1:19" ht="24.6" customHeight="1" x14ac:dyDescent="0.25">
      <c r="A8" s="132" t="s">
        <v>11</v>
      </c>
      <c r="B8" s="162">
        <f ca="1">'[2]Obra '!$C$37</f>
        <v>4311922.0907457341</v>
      </c>
      <c r="C8" s="168">
        <f t="shared" ca="1" si="0"/>
        <v>0.10702783796050971</v>
      </c>
      <c r="D8" s="173">
        <f ca="1">B8/$G$2</f>
        <v>388.36628238357218</v>
      </c>
      <c r="E8" s="40"/>
      <c r="F8" s="39"/>
      <c r="G8" s="3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19" ht="24.6" customHeight="1" x14ac:dyDescent="0.25">
      <c r="A9" s="131" t="s">
        <v>12</v>
      </c>
      <c r="B9" s="160">
        <f ca="1">'[2]Obra '!$C$38</f>
        <v>1997062.2669022223</v>
      </c>
      <c r="C9" s="169">
        <f t="shared" ca="1" si="0"/>
        <v>4.9569832710519436E-2</v>
      </c>
      <c r="D9" s="172">
        <f ca="1">B9/$G$2</f>
        <v>179.87144293490445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</row>
    <row r="10" spans="1:19" ht="24.6" customHeight="1" x14ac:dyDescent="0.25">
      <c r="A10" s="132" t="s">
        <v>13</v>
      </c>
      <c r="B10" s="162">
        <f ca="1">'[2]Obra '!$C$39</f>
        <v>948728.56679100019</v>
      </c>
      <c r="C10" s="168">
        <f t="shared" ca="1" si="0"/>
        <v>2.3548748140171681E-2</v>
      </c>
      <c r="D10" s="173">
        <f ca="1">B10/$G$2</f>
        <v>85.45010292892195</v>
      </c>
      <c r="E10" s="40"/>
      <c r="F10" s="39"/>
      <c r="G10" s="3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19" ht="24.6" customHeight="1" x14ac:dyDescent="0.25">
      <c r="A11" s="131" t="s">
        <v>123</v>
      </c>
      <c r="B11" s="160">
        <f ca="1">'[2]Obra '!$C$40</f>
        <v>3214008.858001166</v>
      </c>
      <c r="C11" s="169">
        <f t="shared" ca="1" si="0"/>
        <v>7.9776121186433568E-2</v>
      </c>
      <c r="D11" s="172">
        <f ca="1">B11/$G$2</f>
        <v>289.47941207210181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19" ht="24.6" customHeight="1" x14ac:dyDescent="0.25">
      <c r="A12" s="132" t="s">
        <v>14</v>
      </c>
      <c r="B12" s="162">
        <f ca="1">'[2]Obra '!$C$41</f>
        <v>753156.09809219011</v>
      </c>
      <c r="C12" s="168">
        <f t="shared" ca="1" si="0"/>
        <v>1.8694370429044475E-2</v>
      </c>
      <c r="D12" s="173">
        <f ca="1">B12/$G$2</f>
        <v>67.83527803026557</v>
      </c>
      <c r="E12" s="40"/>
      <c r="F12" s="39"/>
      <c r="G12" s="39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</row>
    <row r="13" spans="1:19" ht="24.6" customHeight="1" x14ac:dyDescent="0.25">
      <c r="A13" s="131" t="s">
        <v>124</v>
      </c>
      <c r="B13" s="160">
        <f ca="1">'[2]Obra '!$C$42</f>
        <v>4313008.1837960519</v>
      </c>
      <c r="C13" s="169">
        <f t="shared" ca="1" si="0"/>
        <v>0.1070547962840956</v>
      </c>
      <c r="D13" s="172">
        <f ca="1">B13/$G$2</f>
        <v>388.46410463346388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1:19" ht="24.6" customHeight="1" x14ac:dyDescent="0.25">
      <c r="A14" s="132" t="s">
        <v>15</v>
      </c>
      <c r="B14" s="162">
        <f ca="1">'[2]Obra '!$C$43</f>
        <v>1273615.850741019</v>
      </c>
      <c r="C14" s="168">
        <f t="shared" ca="1" si="0"/>
        <v>3.1612897456937052E-2</v>
      </c>
      <c r="D14" s="173">
        <f ca="1">B14/$G$2</f>
        <v>114.71205711222287</v>
      </c>
      <c r="E14" s="40"/>
      <c r="F14" s="39"/>
      <c r="G14" s="39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spans="1:19" ht="24.6" customHeight="1" x14ac:dyDescent="0.25">
      <c r="A15" s="131" t="s">
        <v>16</v>
      </c>
      <c r="B15" s="160">
        <f ca="1">'[2]Obra '!$C$44</f>
        <v>3821896.5816228217</v>
      </c>
      <c r="C15" s="169">
        <f t="shared" ca="1" si="0"/>
        <v>9.4864730723603935E-2</v>
      </c>
      <c r="D15" s="172">
        <f ca="1">B15/$G$2</f>
        <v>344.23065533696445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spans="1:19" ht="24.6" customHeight="1" x14ac:dyDescent="0.25">
      <c r="A16" s="132" t="s">
        <v>17</v>
      </c>
      <c r="B16" s="162">
        <f ca="1">'[2]Obra '!$C$45</f>
        <v>375409.40763087</v>
      </c>
      <c r="C16" s="168">
        <f t="shared" ca="1" si="0"/>
        <v>9.3181779269622209E-3</v>
      </c>
      <c r="D16" s="173">
        <f ca="1">B16/$G$2</f>
        <v>33.812381797511783</v>
      </c>
      <c r="E16" s="40"/>
      <c r="F16" s="39"/>
      <c r="G16" s="39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spans="1:19" ht="24.6" customHeight="1" x14ac:dyDescent="0.25">
      <c r="A17" s="131" t="s">
        <v>18</v>
      </c>
      <c r="B17" s="160">
        <f ca="1">'[2]Obra '!$C$46</f>
        <v>1517055.5979890632</v>
      </c>
      <c r="C17" s="169">
        <f t="shared" ca="1" si="0"/>
        <v>3.7655406869973547E-2</v>
      </c>
      <c r="D17" s="172">
        <f ca="1">B17/$G$2</f>
        <v>136.63819298235597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</row>
    <row r="18" spans="1:19" ht="24.6" customHeight="1" x14ac:dyDescent="0.25">
      <c r="A18" s="132" t="s">
        <v>19</v>
      </c>
      <c r="B18" s="163">
        <f ca="1">'[2]Obra '!$C$47</f>
        <v>3263431.9372460633</v>
      </c>
      <c r="C18" s="170">
        <f t="shared" ca="1" si="0"/>
        <v>8.1002870001836549E-2</v>
      </c>
      <c r="D18" s="173">
        <f ca="1">B18/$G$2</f>
        <v>293.9308509307686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1:19" s="27" customFormat="1" ht="19.5" customHeight="1" x14ac:dyDescent="0.25">
      <c r="A19" s="159" t="s">
        <v>21</v>
      </c>
      <c r="B19" s="138">
        <f t="shared" ref="B19:D19" ca="1" si="1">SUM(B3:B18)</f>
        <v>40287855.691681944</v>
      </c>
      <c r="C19" s="171">
        <f t="shared" ref="C19" ca="1" si="2">SUM(C3:C18)</f>
        <v>1.0000000000000002</v>
      </c>
      <c r="D19" s="174">
        <f t="shared" ca="1" si="1"/>
        <v>3628.647366742739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spans="1:19" s="27" customFormat="1" ht="19.5" customHeight="1" thickBot="1" x14ac:dyDescent="0.3">
      <c r="A20" s="32" t="s">
        <v>121</v>
      </c>
      <c r="B20" s="175">
        <v>2911.91</v>
      </c>
      <c r="C20" s="165">
        <v>45870</v>
      </c>
      <c r="D20" s="166" t="str">
        <f ca="1">ROUNDUP(+D19/B20,2)&amp;" CUB"</f>
        <v>1,25 CUB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19" ht="21.75" customHeight="1" x14ac:dyDescent="0.6">
      <c r="A21" s="21"/>
      <c r="B21" s="23"/>
      <c r="C21" s="2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ht="21.75" customHeight="1" x14ac:dyDescent="0.6">
      <c r="A22" s="21"/>
      <c r="B22" s="23"/>
      <c r="C22" s="2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 ht="21.75" customHeight="1" x14ac:dyDescent="0.6">
      <c r="A23" s="21"/>
      <c r="B23" s="23"/>
      <c r="C23" s="2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19" ht="21.75" hidden="1" customHeight="1" x14ac:dyDescent="0.6">
      <c r="A24" s="21"/>
      <c r="B24" s="23">
        <v>2007.57</v>
      </c>
      <c r="C24" s="2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1:19" ht="21.75" hidden="1" customHeight="1" x14ac:dyDescent="0.6">
      <c r="A25" s="21"/>
      <c r="B25" s="23">
        <v>2461.35</v>
      </c>
      <c r="C25" s="2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19" ht="21.75" hidden="1" customHeight="1" x14ac:dyDescent="0.6">
      <c r="A26" s="21"/>
      <c r="B26" s="23">
        <f>B25/B24</f>
        <v>1.2260344595705255</v>
      </c>
      <c r="C26" s="2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1:19" ht="21.75" hidden="1" customHeight="1" x14ac:dyDescent="0.6">
      <c r="A27" s="21"/>
      <c r="B27" s="23"/>
      <c r="C27" s="2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1:19" ht="21.75" hidden="1" customHeight="1" x14ac:dyDescent="0.6">
      <c r="A28" s="21"/>
      <c r="B28" s="23"/>
      <c r="C28" s="2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19" ht="21.75" hidden="1" customHeight="1" x14ac:dyDescent="0.6">
      <c r="A29" s="21"/>
      <c r="B29" s="23"/>
      <c r="C29" s="23"/>
      <c r="D29" s="21">
        <v>1.1023000000000001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19" ht="21.75" hidden="1" customHeight="1" x14ac:dyDescent="0.6">
      <c r="A30" s="21"/>
      <c r="B30" s="23"/>
      <c r="C30" s="2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19" ht="21.75" hidden="1" customHeight="1" x14ac:dyDescent="0.6">
      <c r="A31" s="26" t="s">
        <v>38</v>
      </c>
      <c r="B31" s="23">
        <v>900</v>
      </c>
      <c r="C31" s="23"/>
      <c r="D31" s="23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19" ht="21.75" hidden="1" customHeight="1" x14ac:dyDescent="0.6">
      <c r="A32" s="25" t="s">
        <v>37</v>
      </c>
      <c r="B32" s="23">
        <v>25</v>
      </c>
      <c r="C32" s="23"/>
      <c r="D32" s="23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ht="21.75" hidden="1" customHeight="1" x14ac:dyDescent="0.6">
      <c r="A33" s="26" t="s">
        <v>36</v>
      </c>
      <c r="B33" s="23">
        <v>15</v>
      </c>
      <c r="C33" s="23"/>
      <c r="D33" s="23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ht="21.75" hidden="1" customHeight="1" x14ac:dyDescent="0.6">
      <c r="A34" s="25" t="s">
        <v>35</v>
      </c>
      <c r="B34" s="23">
        <v>150</v>
      </c>
      <c r="C34" s="23"/>
      <c r="D34" s="23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ht="21.75" hidden="1" customHeight="1" x14ac:dyDescent="0.6">
      <c r="A35" s="26" t="s">
        <v>34</v>
      </c>
      <c r="B35" s="23">
        <v>440</v>
      </c>
      <c r="C35" s="23"/>
      <c r="D35" s="23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ht="21.75" hidden="1" customHeight="1" x14ac:dyDescent="0.6">
      <c r="A36" s="25" t="s">
        <v>33</v>
      </c>
      <c r="B36" s="23"/>
      <c r="C36" s="23"/>
      <c r="D36" s="23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ht="21.75" hidden="1" customHeight="1" x14ac:dyDescent="0.6">
      <c r="A37" s="26" t="s">
        <v>32</v>
      </c>
      <c r="B37" s="23">
        <v>55</v>
      </c>
      <c r="C37" s="23"/>
      <c r="D37" s="23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ht="21.75" hidden="1" customHeight="1" x14ac:dyDescent="0.6">
      <c r="A38" s="25" t="s">
        <v>31</v>
      </c>
      <c r="B38" s="23">
        <v>170</v>
      </c>
      <c r="C38" s="23"/>
      <c r="D38" s="23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ht="21.75" hidden="1" customHeight="1" x14ac:dyDescent="0.6">
      <c r="A39" s="26" t="s">
        <v>30</v>
      </c>
      <c r="B39" s="23">
        <v>165</v>
      </c>
      <c r="C39" s="23"/>
      <c r="D39" s="23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ht="21.75" hidden="1" customHeight="1" x14ac:dyDescent="0.6">
      <c r="A40" s="25" t="s">
        <v>29</v>
      </c>
      <c r="B40" s="23">
        <v>40</v>
      </c>
      <c r="C40" s="23"/>
      <c r="D40" s="23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19" ht="21.75" hidden="1" customHeight="1" x14ac:dyDescent="0.6">
      <c r="A41" s="26" t="s">
        <v>28</v>
      </c>
      <c r="B41" s="23">
        <v>55</v>
      </c>
      <c r="C41" s="23"/>
      <c r="D41" s="23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 ht="21.75" hidden="1" customHeight="1" x14ac:dyDescent="0.6">
      <c r="A42" s="25" t="s">
        <v>23</v>
      </c>
      <c r="B42" s="23">
        <v>35</v>
      </c>
      <c r="C42" s="23"/>
      <c r="D42" s="23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 spans="1:19" ht="21.75" hidden="1" customHeight="1" x14ac:dyDescent="0.6">
      <c r="A43" s="26" t="s">
        <v>27</v>
      </c>
      <c r="B43" s="23">
        <v>130</v>
      </c>
      <c r="C43" s="23"/>
      <c r="D43" s="23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19" ht="21.75" hidden="1" customHeight="1" x14ac:dyDescent="0.6">
      <c r="A44" s="25" t="s">
        <v>26</v>
      </c>
      <c r="B44" s="23">
        <v>35</v>
      </c>
      <c r="C44" s="23"/>
      <c r="D44" s="23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19" ht="21.75" hidden="1" customHeight="1" x14ac:dyDescent="0.6">
      <c r="A45" s="26" t="s">
        <v>25</v>
      </c>
      <c r="B45" s="23">
        <v>35</v>
      </c>
      <c r="C45" s="23"/>
      <c r="D45" s="23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1:19" ht="21.75" hidden="1" customHeight="1" x14ac:dyDescent="0.6">
      <c r="A46" s="25" t="s">
        <v>24</v>
      </c>
      <c r="B46" s="23">
        <v>430</v>
      </c>
      <c r="C46" s="23"/>
      <c r="D46" s="23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 ht="21.75" hidden="1" customHeight="1" x14ac:dyDescent="0.6">
      <c r="A47" s="26" t="s">
        <v>23</v>
      </c>
      <c r="B47" s="23">
        <v>35</v>
      </c>
      <c r="C47" s="23"/>
      <c r="D47" s="23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1:19" ht="21.75" hidden="1" customHeight="1" x14ac:dyDescent="0.6">
      <c r="A48" s="25" t="s">
        <v>22</v>
      </c>
      <c r="B48" s="23">
        <v>150</v>
      </c>
      <c r="C48" s="23"/>
      <c r="D48" s="23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1:19" ht="21.75" hidden="1" customHeight="1" x14ac:dyDescent="0.6">
      <c r="A49" s="21"/>
      <c r="B49" s="23"/>
      <c r="C49" s="2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1:19" ht="21.75" hidden="1" customHeight="1" x14ac:dyDescent="0.6">
      <c r="A50" s="21"/>
      <c r="B50" s="23"/>
      <c r="C50" s="2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1:19" ht="21.75" hidden="1" customHeight="1" x14ac:dyDescent="0.6">
      <c r="A51" s="21"/>
      <c r="B51" s="23"/>
      <c r="C51" s="2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1:19" ht="21.75" hidden="1" customHeight="1" x14ac:dyDescent="0.6">
      <c r="A52" s="21"/>
      <c r="B52" s="23"/>
      <c r="C52" s="2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</row>
    <row r="53" spans="1:19" ht="21.75" hidden="1" customHeight="1" x14ac:dyDescent="0.6">
      <c r="A53" s="21"/>
      <c r="B53" s="23"/>
      <c r="C53" s="2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1:19" ht="21.75" hidden="1" customHeight="1" x14ac:dyDescent="0.6">
      <c r="A54" s="21"/>
      <c r="B54" s="23"/>
      <c r="C54" s="2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1:19" ht="21.75" hidden="1" customHeight="1" x14ac:dyDescent="0.6">
      <c r="A55" s="21"/>
      <c r="B55" s="23"/>
      <c r="C55" s="2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1:19" ht="21.75" hidden="1" customHeight="1" x14ac:dyDescent="0.6">
      <c r="A56" s="21"/>
      <c r="B56" s="23"/>
      <c r="C56" s="2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1:19" ht="21.75" hidden="1" customHeight="1" x14ac:dyDescent="0.6">
      <c r="A57" s="21"/>
      <c r="B57" s="23"/>
      <c r="C57" s="2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1:19" ht="21.75" hidden="1" customHeight="1" x14ac:dyDescent="0.6">
      <c r="A58" s="21"/>
      <c r="B58" s="23"/>
      <c r="C58" s="2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1:19" ht="21.75" hidden="1" customHeight="1" x14ac:dyDescent="0.6">
      <c r="A59" s="21"/>
      <c r="B59" s="23"/>
      <c r="C59" s="2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1:19" ht="21.75" hidden="1" customHeight="1" x14ac:dyDescent="0.6">
      <c r="A60" s="21"/>
      <c r="B60" s="23"/>
      <c r="C60" s="2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1:19" ht="21.75" hidden="1" customHeight="1" x14ac:dyDescent="0.6">
      <c r="A61" s="21"/>
      <c r="B61" s="23"/>
      <c r="C61" s="2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1:19" ht="21.75" hidden="1" customHeight="1" x14ac:dyDescent="0.6">
      <c r="A62" s="21"/>
      <c r="B62" s="23"/>
      <c r="C62" s="2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1:19" ht="21.75" hidden="1" customHeight="1" x14ac:dyDescent="0.6">
      <c r="A63" s="21"/>
      <c r="B63" s="23"/>
      <c r="C63" s="2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1:19" ht="21.75" hidden="1" customHeight="1" x14ac:dyDescent="0.6">
      <c r="A64" s="21"/>
      <c r="B64" s="23"/>
      <c r="C64" s="2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1:19" ht="21.75" hidden="1" customHeight="1" x14ac:dyDescent="0.6">
      <c r="A65" s="21"/>
      <c r="B65" s="23"/>
      <c r="C65" s="2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1:19" ht="21.75" hidden="1" customHeight="1" x14ac:dyDescent="0.6">
      <c r="A66" s="21"/>
      <c r="B66" s="23"/>
      <c r="C66" s="2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spans="1:19" ht="21.75" hidden="1" customHeight="1" x14ac:dyDescent="0.6">
      <c r="A67" s="21"/>
      <c r="B67" s="23"/>
      <c r="C67" s="2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1:19" ht="21.75" hidden="1" customHeight="1" x14ac:dyDescent="0.6">
      <c r="A68" s="21"/>
      <c r="B68" s="23"/>
      <c r="C68" s="2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1:19" ht="21.75" hidden="1" customHeight="1" x14ac:dyDescent="0.6">
      <c r="A69" s="21"/>
      <c r="B69" s="23"/>
      <c r="C69" s="2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1:19" ht="21.75" hidden="1" customHeight="1" x14ac:dyDescent="0.6">
      <c r="A70" s="21"/>
      <c r="B70" s="23"/>
      <c r="C70" s="2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1:19" ht="21.75" hidden="1" customHeight="1" x14ac:dyDescent="0.6">
      <c r="A71" s="21"/>
      <c r="B71" s="23"/>
      <c r="C71" s="2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1:19" ht="21.75" hidden="1" customHeight="1" x14ac:dyDescent="0.6">
      <c r="A72" s="21"/>
      <c r="B72" s="23"/>
      <c r="C72" s="2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1:19" ht="21.75" hidden="1" customHeight="1" x14ac:dyDescent="0.6">
      <c r="A73" s="21"/>
      <c r="B73" s="23"/>
      <c r="C73" s="2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1:19" ht="21.75" hidden="1" customHeight="1" x14ac:dyDescent="0.6">
      <c r="A74" s="21"/>
      <c r="B74" s="23"/>
      <c r="C74" s="2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</row>
    <row r="75" spans="1:19" ht="21.75" hidden="1" customHeight="1" x14ac:dyDescent="0.6">
      <c r="A75" s="21"/>
      <c r="B75" s="23"/>
      <c r="C75" s="2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1:19" ht="21.75" hidden="1" customHeight="1" x14ac:dyDescent="0.6">
      <c r="A76" s="21"/>
      <c r="B76" s="23"/>
      <c r="C76" s="2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1:19" ht="21.75" customHeight="1" x14ac:dyDescent="0.6">
      <c r="A77" s="21"/>
      <c r="B77" s="23"/>
      <c r="C77" s="2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1:19" ht="21.75" customHeight="1" x14ac:dyDescent="0.6">
      <c r="A78" s="21"/>
      <c r="B78" s="23"/>
      <c r="C78" s="2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 spans="1:19" ht="21.75" customHeight="1" x14ac:dyDescent="0.6">
      <c r="A79" s="21"/>
      <c r="B79" s="23"/>
      <c r="C79" s="2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</row>
    <row r="80" spans="1:19" ht="21.75" customHeight="1" x14ac:dyDescent="0.6">
      <c r="A80" s="21"/>
      <c r="B80" s="23"/>
      <c r="C80" s="2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1:19" ht="21.75" customHeight="1" x14ac:dyDescent="0.6">
      <c r="A81" s="21"/>
      <c r="B81" s="23"/>
      <c r="C81" s="2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1:19" ht="21.75" customHeight="1" x14ac:dyDescent="0.6">
      <c r="A82" s="21"/>
      <c r="B82" s="23"/>
      <c r="C82" s="2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1:19" ht="21.75" customHeight="1" x14ac:dyDescent="0.6">
      <c r="A83" s="21"/>
      <c r="B83" s="23"/>
      <c r="C83" s="2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</row>
    <row r="84" spans="1:19" ht="21.75" customHeight="1" x14ac:dyDescent="0.6">
      <c r="A84" s="21"/>
      <c r="B84" s="23"/>
      <c r="C84" s="2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1:19" ht="21.75" customHeight="1" x14ac:dyDescent="0.6">
      <c r="A85" s="21"/>
      <c r="B85" s="23"/>
      <c r="C85" s="2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1:19" ht="21.75" customHeight="1" x14ac:dyDescent="0.6">
      <c r="A86" s="21"/>
      <c r="B86" s="23"/>
      <c r="C86" s="2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1:19" ht="21.75" customHeight="1" x14ac:dyDescent="0.6">
      <c r="A87" s="21"/>
      <c r="B87" s="23"/>
      <c r="C87" s="2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1:19" ht="21.75" customHeight="1" x14ac:dyDescent="0.6">
      <c r="A88" s="21"/>
      <c r="B88" s="23"/>
      <c r="C88" s="2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19" ht="21.75" customHeight="1" x14ac:dyDescent="0.6">
      <c r="A89" s="21"/>
      <c r="B89" s="23"/>
      <c r="C89" s="2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1:19" ht="21.75" customHeight="1" x14ac:dyDescent="0.6">
      <c r="A90" s="21"/>
      <c r="B90" s="23"/>
      <c r="C90" s="2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1:19" ht="21.75" customHeight="1" x14ac:dyDescent="0.6">
      <c r="A91" s="21"/>
      <c r="B91" s="23"/>
      <c r="C91" s="2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1:19" ht="21.75" customHeight="1" x14ac:dyDescent="0.6">
      <c r="A92" s="21"/>
      <c r="B92" s="23"/>
      <c r="C92" s="2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1:19" ht="21.75" customHeight="1" x14ac:dyDescent="0.6">
      <c r="A93" s="21"/>
      <c r="B93" s="23"/>
      <c r="C93" s="2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1:19" ht="21.75" customHeight="1" x14ac:dyDescent="0.6">
      <c r="A94" s="21"/>
      <c r="B94" s="23"/>
      <c r="C94" s="2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1:19" ht="21.75" customHeight="1" x14ac:dyDescent="0.6">
      <c r="A95" s="21"/>
      <c r="B95" s="23"/>
      <c r="C95" s="2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1:19" ht="21.75" customHeight="1" x14ac:dyDescent="0.6">
      <c r="A96" s="21"/>
      <c r="B96" s="23"/>
      <c r="C96" s="2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1:19" ht="21.75" customHeight="1" x14ac:dyDescent="0.6">
      <c r="A97" s="21"/>
      <c r="B97" s="23"/>
      <c r="C97" s="2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1:19" ht="21.75" customHeight="1" x14ac:dyDescent="0.6">
      <c r="A98" s="21"/>
      <c r="B98" s="23"/>
      <c r="C98" s="2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1:19" ht="21.75" customHeight="1" x14ac:dyDescent="0.6">
      <c r="A99" s="21"/>
      <c r="B99" s="23"/>
      <c r="C99" s="2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1:19" ht="21.75" customHeight="1" x14ac:dyDescent="0.6">
      <c r="A100" s="21"/>
      <c r="B100" s="23"/>
      <c r="C100" s="2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 ht="21.75" customHeight="1" x14ac:dyDescent="0.6">
      <c r="A101" s="21"/>
      <c r="B101" s="23"/>
      <c r="C101" s="2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1:19" ht="21.75" customHeight="1" x14ac:dyDescent="0.6">
      <c r="A102" s="21"/>
      <c r="B102" s="23"/>
      <c r="C102" s="2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1:19" ht="21.75" customHeight="1" x14ac:dyDescent="0.6">
      <c r="A103" s="21"/>
      <c r="B103" s="23"/>
      <c r="C103" s="2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1:19" ht="21.75" customHeight="1" x14ac:dyDescent="0.6">
      <c r="A104" s="21"/>
      <c r="B104" s="23"/>
      <c r="C104" s="2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 ht="21.75" customHeight="1" x14ac:dyDescent="0.6">
      <c r="A105" s="21"/>
      <c r="B105" s="23"/>
      <c r="C105" s="2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1:19" ht="21.75" customHeight="1" x14ac:dyDescent="0.6">
      <c r="A106" s="21"/>
      <c r="B106" s="23"/>
      <c r="C106" s="2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1:19" ht="21.75" customHeight="1" x14ac:dyDescent="0.6">
      <c r="A107" s="21"/>
      <c r="B107" s="23"/>
      <c r="C107" s="2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1:19" ht="21.75" customHeight="1" x14ac:dyDescent="0.6">
      <c r="A108" s="21"/>
      <c r="B108" s="23"/>
      <c r="C108" s="2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1:19" ht="21.75" customHeight="1" x14ac:dyDescent="0.6">
      <c r="A109" s="21"/>
      <c r="B109" s="23"/>
      <c r="C109" s="2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1:19" ht="21.75" customHeight="1" x14ac:dyDescent="0.6">
      <c r="A110" s="21"/>
      <c r="B110" s="23"/>
      <c r="C110" s="2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1:19" ht="21.75" customHeight="1" x14ac:dyDescent="0.6">
      <c r="A111" s="21"/>
      <c r="B111" s="23"/>
      <c r="C111" s="2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1:19" ht="21.75" customHeight="1" x14ac:dyDescent="0.6">
      <c r="A112" s="21"/>
      <c r="B112" s="23"/>
      <c r="C112" s="2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1:19" ht="21.75" customHeight="1" x14ac:dyDescent="0.6">
      <c r="A113" s="21"/>
      <c r="B113" s="23"/>
      <c r="C113" s="2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1:19" ht="21.75" customHeight="1" x14ac:dyDescent="0.6">
      <c r="A114" s="21"/>
      <c r="B114" s="23"/>
      <c r="C114" s="2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1:19" ht="21.75" customHeight="1" x14ac:dyDescent="0.6">
      <c r="A115" s="21"/>
      <c r="B115" s="23"/>
      <c r="C115" s="2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1:19" ht="21.75" customHeight="1" x14ac:dyDescent="0.6">
      <c r="A116" s="21"/>
      <c r="B116" s="23"/>
      <c r="C116" s="2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1:19" ht="21.75" customHeight="1" x14ac:dyDescent="0.6">
      <c r="A117" s="21"/>
      <c r="B117" s="23"/>
      <c r="C117" s="2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1:19" ht="21.75" customHeight="1" x14ac:dyDescent="0.6">
      <c r="A118" s="21"/>
      <c r="B118" s="23"/>
      <c r="C118" s="2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1:19" ht="21.75" customHeight="1" x14ac:dyDescent="0.6">
      <c r="A119" s="21"/>
      <c r="B119" s="23"/>
      <c r="C119" s="2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1:19" ht="21.75" customHeight="1" x14ac:dyDescent="0.6">
      <c r="A120" s="21"/>
      <c r="B120" s="23"/>
      <c r="C120" s="2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1:19" ht="21.75" customHeight="1" x14ac:dyDescent="0.6">
      <c r="A121" s="21"/>
      <c r="B121" s="23"/>
      <c r="C121" s="2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1:19" ht="21.75" customHeight="1" x14ac:dyDescent="0.6">
      <c r="A122" s="21"/>
      <c r="B122" s="23"/>
      <c r="C122" s="2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1:19" ht="21.75" customHeight="1" x14ac:dyDescent="0.6">
      <c r="A123" s="21"/>
      <c r="B123" s="23"/>
      <c r="C123" s="2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1:19" ht="21.75" customHeight="1" x14ac:dyDescent="0.6">
      <c r="A124" s="21"/>
      <c r="B124" s="23"/>
      <c r="C124" s="2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1:19" ht="21.75" customHeight="1" x14ac:dyDescent="0.6">
      <c r="A125" s="21"/>
      <c r="B125" s="23"/>
      <c r="C125" s="2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1:19" ht="21.75" customHeight="1" x14ac:dyDescent="0.6">
      <c r="A126" s="21"/>
      <c r="B126" s="23"/>
      <c r="C126" s="2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1:19" ht="21.75" customHeight="1" x14ac:dyDescent="0.6">
      <c r="A127" s="21"/>
      <c r="B127" s="23"/>
      <c r="C127" s="2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1:19" ht="21.75" customHeight="1" x14ac:dyDescent="0.6">
      <c r="A128" s="21"/>
      <c r="B128" s="23"/>
      <c r="C128" s="2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1:19" ht="21.75" customHeight="1" x14ac:dyDescent="0.6">
      <c r="A129" s="21"/>
      <c r="B129" s="23"/>
      <c r="C129" s="2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19" ht="21.75" customHeight="1" x14ac:dyDescent="0.6">
      <c r="A130" s="21"/>
      <c r="B130" s="23"/>
      <c r="C130" s="2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1:19" ht="21.75" customHeight="1" x14ac:dyDescent="0.6">
      <c r="A131" s="21"/>
      <c r="B131" s="23"/>
      <c r="C131" s="2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1:19" ht="21.75" customHeight="1" x14ac:dyDescent="0.6">
      <c r="A132" s="21"/>
      <c r="B132" s="23"/>
      <c r="C132" s="2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1:19" ht="21.75" customHeight="1" x14ac:dyDescent="0.6">
      <c r="A133" s="21"/>
      <c r="B133" s="23"/>
      <c r="C133" s="2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1:19" ht="21.75" customHeight="1" x14ac:dyDescent="0.6">
      <c r="A134" s="21"/>
      <c r="B134" s="23"/>
      <c r="C134" s="2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1:19" ht="21.75" customHeight="1" x14ac:dyDescent="0.6">
      <c r="A135" s="21"/>
      <c r="B135" s="23"/>
      <c r="C135" s="2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1:19" ht="21.75" customHeight="1" x14ac:dyDescent="0.6">
      <c r="A136" s="21"/>
      <c r="B136" s="23"/>
      <c r="C136" s="2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1:19" ht="21.75" customHeight="1" x14ac:dyDescent="0.6">
      <c r="A137" s="21"/>
      <c r="B137" s="23"/>
      <c r="C137" s="2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1:19" ht="21.75" customHeight="1" x14ac:dyDescent="0.6">
      <c r="A138" s="21"/>
      <c r="B138" s="23"/>
      <c r="C138" s="2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1:19" ht="21.75" customHeight="1" x14ac:dyDescent="0.6">
      <c r="A139" s="21"/>
      <c r="B139" s="23"/>
      <c r="C139" s="2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1:19" ht="21.75" customHeight="1" x14ac:dyDescent="0.6">
      <c r="A140" s="21"/>
      <c r="B140" s="23"/>
      <c r="C140" s="2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1:19" ht="21.75" customHeight="1" x14ac:dyDescent="0.6">
      <c r="A141" s="21"/>
      <c r="B141" s="23"/>
      <c r="C141" s="2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1:19" ht="21.75" customHeight="1" x14ac:dyDescent="0.6">
      <c r="A142" s="21"/>
      <c r="B142" s="23"/>
      <c r="C142" s="2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1:19" ht="21.75" customHeight="1" x14ac:dyDescent="0.6">
      <c r="A143" s="21"/>
      <c r="B143" s="23"/>
      <c r="C143" s="2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1:19" ht="21.75" customHeight="1" x14ac:dyDescent="0.6">
      <c r="A144" s="21"/>
      <c r="B144" s="23"/>
      <c r="C144" s="2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1:19" ht="21.75" customHeight="1" x14ac:dyDescent="0.6">
      <c r="A145" s="21"/>
      <c r="B145" s="23"/>
      <c r="C145" s="2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1:19" ht="21.75" customHeight="1" x14ac:dyDescent="0.6">
      <c r="A146" s="21"/>
      <c r="B146" s="23"/>
      <c r="C146" s="2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1:19" ht="21.75" customHeight="1" x14ac:dyDescent="0.6">
      <c r="A147" s="21"/>
      <c r="B147" s="23"/>
      <c r="C147" s="2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1:19" ht="21.75" customHeight="1" x14ac:dyDescent="0.6">
      <c r="A148" s="21"/>
      <c r="B148" s="23"/>
      <c r="C148" s="2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1:19" ht="21.75" customHeight="1" x14ac:dyDescent="0.6">
      <c r="A149" s="21"/>
      <c r="B149" s="23"/>
      <c r="C149" s="2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1:19" ht="21.75" customHeight="1" x14ac:dyDescent="0.6">
      <c r="A150" s="21"/>
      <c r="B150" s="23"/>
      <c r="C150" s="2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1:19" ht="21.75" customHeight="1" x14ac:dyDescent="0.6">
      <c r="A151" s="21"/>
      <c r="B151" s="23"/>
      <c r="C151" s="2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1:19" ht="21.75" customHeight="1" x14ac:dyDescent="0.6">
      <c r="A152" s="21"/>
      <c r="B152" s="23"/>
      <c r="C152" s="2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1:19" ht="21.75" customHeight="1" x14ac:dyDescent="0.6">
      <c r="A153" s="21"/>
      <c r="B153" s="23"/>
      <c r="C153" s="2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1:19" ht="21.75" customHeight="1" x14ac:dyDescent="0.6">
      <c r="A154" s="21"/>
      <c r="B154" s="23"/>
      <c r="C154" s="2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1:19" ht="21.75" customHeight="1" x14ac:dyDescent="0.6">
      <c r="A155" s="21"/>
      <c r="B155" s="23"/>
      <c r="C155" s="2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1:19" ht="21.75" customHeight="1" x14ac:dyDescent="0.6">
      <c r="A156" s="21"/>
      <c r="B156" s="23"/>
      <c r="C156" s="2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19" ht="21.75" customHeight="1" x14ac:dyDescent="0.6">
      <c r="A157" s="21"/>
      <c r="B157" s="23"/>
      <c r="C157" s="2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1:19" ht="21.75" customHeight="1" x14ac:dyDescent="0.6">
      <c r="A158" s="21"/>
      <c r="B158" s="23"/>
      <c r="C158" s="2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1:19" ht="21.75" customHeight="1" x14ac:dyDescent="0.6">
      <c r="A159" s="21"/>
      <c r="B159" s="23"/>
      <c r="C159" s="2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1:19" ht="21.75" customHeight="1" x14ac:dyDescent="0.6">
      <c r="A160" s="21"/>
      <c r="B160" s="23"/>
      <c r="C160" s="2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1:19" ht="21.75" customHeight="1" x14ac:dyDescent="0.6">
      <c r="A161" s="21"/>
      <c r="B161" s="23"/>
      <c r="C161" s="2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1:19" ht="21.75" customHeight="1" x14ac:dyDescent="0.6">
      <c r="A162" s="21"/>
      <c r="B162" s="23"/>
      <c r="C162" s="2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1:19" ht="21.75" customHeight="1" x14ac:dyDescent="0.6">
      <c r="A163" s="21"/>
      <c r="B163" s="23"/>
      <c r="C163" s="2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1:19" ht="21.75" customHeight="1" x14ac:dyDescent="0.6">
      <c r="A164" s="21"/>
      <c r="B164" s="23"/>
      <c r="C164" s="2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1:19" ht="21.75" customHeight="1" x14ac:dyDescent="0.6">
      <c r="A165" s="21"/>
      <c r="B165" s="23"/>
      <c r="C165" s="2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1:19" ht="21.75" customHeight="1" x14ac:dyDescent="0.6">
      <c r="A166" s="21"/>
      <c r="B166" s="23"/>
      <c r="C166" s="2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spans="1:19" ht="21.75" customHeight="1" x14ac:dyDescent="0.6">
      <c r="A167" s="21"/>
      <c r="B167" s="23"/>
      <c r="C167" s="2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spans="1:19" ht="21.75" customHeight="1" x14ac:dyDescent="0.6">
      <c r="A168" s="21"/>
      <c r="B168" s="23"/>
      <c r="C168" s="2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spans="1:19" ht="21.75" customHeight="1" x14ac:dyDescent="0.6">
      <c r="A169" s="21"/>
      <c r="B169" s="23"/>
      <c r="C169" s="2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spans="1:19" ht="21.75" customHeight="1" x14ac:dyDescent="0.6">
      <c r="A170" s="21"/>
      <c r="B170" s="23"/>
      <c r="C170" s="2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spans="1:19" ht="21.75" customHeight="1" x14ac:dyDescent="0.6">
      <c r="A171" s="21"/>
      <c r="B171" s="23"/>
      <c r="C171" s="2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spans="1:19" ht="21.75" customHeight="1" x14ac:dyDescent="0.6">
      <c r="A172" s="21"/>
      <c r="B172" s="23"/>
      <c r="C172" s="2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spans="1:19" ht="21.75" customHeight="1" x14ac:dyDescent="0.6">
      <c r="A173" s="21"/>
      <c r="B173" s="23"/>
      <c r="C173" s="2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spans="1:19" ht="21.75" customHeight="1" x14ac:dyDescent="0.6">
      <c r="A174" s="21"/>
      <c r="B174" s="23"/>
      <c r="C174" s="2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spans="1:19" ht="21.75" customHeight="1" x14ac:dyDescent="0.6">
      <c r="A175" s="21"/>
      <c r="B175" s="23"/>
      <c r="C175" s="2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spans="1:19" ht="21.75" customHeight="1" x14ac:dyDescent="0.6">
      <c r="A176" s="21"/>
      <c r="B176" s="23"/>
      <c r="C176" s="2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spans="1:19" ht="21.75" customHeight="1" x14ac:dyDescent="0.6">
      <c r="A177" s="21"/>
      <c r="B177" s="23"/>
      <c r="C177" s="2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spans="1:19" ht="21.75" customHeight="1" x14ac:dyDescent="0.6">
      <c r="A178" s="21"/>
      <c r="B178" s="23"/>
      <c r="C178" s="2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1:19" ht="21.75" customHeight="1" x14ac:dyDescent="0.6">
      <c r="A179" s="21"/>
      <c r="B179" s="23"/>
      <c r="C179" s="2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spans="1:19" ht="21.75" customHeight="1" x14ac:dyDescent="0.6">
      <c r="A180" s="21"/>
      <c r="B180" s="23"/>
      <c r="C180" s="2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spans="1:19" ht="21.75" customHeight="1" x14ac:dyDescent="0.6">
      <c r="A181" s="21"/>
      <c r="B181" s="23"/>
      <c r="C181" s="2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spans="1:19" ht="21.75" customHeight="1" x14ac:dyDescent="0.6">
      <c r="A182" s="21"/>
      <c r="B182" s="23"/>
      <c r="C182" s="2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spans="1:19" ht="21.75" customHeight="1" x14ac:dyDescent="0.6">
      <c r="A183" s="21"/>
      <c r="B183" s="23"/>
      <c r="C183" s="2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spans="1:19" ht="21.75" customHeight="1" x14ac:dyDescent="0.6">
      <c r="A184" s="21"/>
      <c r="B184" s="23"/>
      <c r="C184" s="2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spans="1:19" ht="21.75" customHeight="1" x14ac:dyDescent="0.6">
      <c r="A185" s="21"/>
      <c r="B185" s="23"/>
      <c r="C185" s="2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spans="1:19" ht="21.75" customHeight="1" x14ac:dyDescent="0.6">
      <c r="A186" s="21"/>
      <c r="B186" s="23"/>
      <c r="C186" s="2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spans="1:19" ht="21.75" customHeight="1" x14ac:dyDescent="0.6">
      <c r="A187" s="21"/>
      <c r="B187" s="23"/>
      <c r="C187" s="2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spans="1:19" ht="21.75" customHeight="1" x14ac:dyDescent="0.6">
      <c r="A188" s="21"/>
      <c r="B188" s="23"/>
      <c r="C188" s="2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1:19" ht="21.75" customHeight="1" x14ac:dyDescent="0.6">
      <c r="A189" s="21"/>
      <c r="B189" s="23"/>
      <c r="C189" s="2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1:19" ht="21.75" customHeight="1" x14ac:dyDescent="0.6">
      <c r="A190" s="21"/>
      <c r="B190" s="23"/>
      <c r="C190" s="2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1:19" ht="21.75" customHeight="1" x14ac:dyDescent="0.6">
      <c r="A191" s="21"/>
      <c r="B191" s="23"/>
      <c r="C191" s="2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1:19" ht="21.75" customHeight="1" x14ac:dyDescent="0.6">
      <c r="A192" s="21"/>
      <c r="B192" s="23"/>
      <c r="C192" s="2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1:19" ht="21.75" customHeight="1" x14ac:dyDescent="0.6">
      <c r="A193" s="21"/>
      <c r="B193" s="23"/>
      <c r="C193" s="2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1:19" ht="21.75" customHeight="1" x14ac:dyDescent="0.6">
      <c r="A194" s="21"/>
      <c r="B194" s="23"/>
      <c r="C194" s="2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1:19" ht="21.75" customHeight="1" x14ac:dyDescent="0.6">
      <c r="A195" s="21"/>
      <c r="B195" s="23"/>
      <c r="C195" s="2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1:19" ht="21.75" customHeight="1" x14ac:dyDescent="0.6">
      <c r="A196" s="21"/>
      <c r="B196" s="23"/>
      <c r="C196" s="2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1:19" ht="21.75" customHeight="1" x14ac:dyDescent="0.6">
      <c r="A197" s="21"/>
      <c r="B197" s="23"/>
      <c r="C197" s="2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1:19" ht="21.75" customHeight="1" x14ac:dyDescent="0.6">
      <c r="A198" s="21"/>
      <c r="B198" s="23"/>
      <c r="C198" s="2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1:19" ht="21.75" customHeight="1" x14ac:dyDescent="0.6">
      <c r="A199" s="21"/>
      <c r="B199" s="23"/>
      <c r="C199" s="2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1:19" ht="21.75" customHeight="1" x14ac:dyDescent="0.6">
      <c r="A200" s="21"/>
      <c r="B200" s="23"/>
      <c r="C200" s="2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19" ht="21.75" customHeight="1" x14ac:dyDescent="0.6">
      <c r="A201" s="21"/>
      <c r="B201" s="23"/>
      <c r="C201" s="2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1:19" ht="21.75" customHeight="1" x14ac:dyDescent="0.6">
      <c r="A202" s="21"/>
      <c r="B202" s="23"/>
      <c r="C202" s="2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1:19" ht="21.75" customHeight="1" x14ac:dyDescent="0.6">
      <c r="A203" s="21"/>
      <c r="B203" s="23"/>
      <c r="C203" s="2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1:19" ht="21.75" customHeight="1" x14ac:dyDescent="0.6">
      <c r="A204" s="21"/>
      <c r="B204" s="23"/>
      <c r="C204" s="2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1:19" ht="21.75" customHeight="1" x14ac:dyDescent="0.6">
      <c r="A205" s="21"/>
      <c r="B205" s="23"/>
      <c r="C205" s="2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spans="1:19" ht="21.75" customHeight="1" x14ac:dyDescent="0.6">
      <c r="A206" s="21"/>
      <c r="B206" s="23"/>
      <c r="C206" s="2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spans="1:19" ht="21.75" customHeight="1" x14ac:dyDescent="0.6">
      <c r="A207" s="21"/>
      <c r="B207" s="23"/>
      <c r="C207" s="2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spans="1:19" ht="21.75" customHeight="1" x14ac:dyDescent="0.6">
      <c r="A208" s="21"/>
      <c r="B208" s="23"/>
      <c r="C208" s="2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spans="1:19" ht="21.75" customHeight="1" x14ac:dyDescent="0.6">
      <c r="A209" s="21"/>
      <c r="B209" s="23"/>
      <c r="C209" s="2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spans="1:19" ht="21.75" customHeight="1" x14ac:dyDescent="0.6">
      <c r="A210" s="21"/>
      <c r="B210" s="23"/>
      <c r="C210" s="2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 spans="1:19" ht="21.75" customHeight="1" x14ac:dyDescent="0.6">
      <c r="A211" s="21"/>
      <c r="B211" s="23"/>
      <c r="C211" s="2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spans="1:19" ht="21.75" customHeight="1" x14ac:dyDescent="0.6">
      <c r="A212" s="21"/>
      <c r="B212" s="23"/>
      <c r="C212" s="2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spans="1:19" ht="21.75" customHeight="1" x14ac:dyDescent="0.6">
      <c r="A213" s="21"/>
      <c r="B213" s="23"/>
      <c r="C213" s="2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spans="1:19" ht="21.75" customHeight="1" x14ac:dyDescent="0.6">
      <c r="A214" s="21"/>
      <c r="B214" s="23"/>
      <c r="C214" s="2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spans="1:19" ht="21.75" customHeight="1" x14ac:dyDescent="0.6">
      <c r="A215" s="21"/>
      <c r="B215" s="23"/>
      <c r="C215" s="2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spans="1:19" ht="21.75" customHeight="1" x14ac:dyDescent="0.6">
      <c r="A216" s="21"/>
      <c r="B216" s="23"/>
      <c r="C216" s="2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spans="1:19" ht="21.75" customHeight="1" x14ac:dyDescent="0.6">
      <c r="A217" s="21"/>
      <c r="B217" s="23"/>
      <c r="C217" s="2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spans="1:19" ht="21.75" customHeight="1" x14ac:dyDescent="0.6">
      <c r="A218" s="21"/>
      <c r="B218" s="23"/>
      <c r="C218" s="2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spans="1:19" ht="21.75" customHeight="1" x14ac:dyDescent="0.6">
      <c r="A219" s="21"/>
      <c r="B219" s="23"/>
      <c r="C219" s="2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spans="1:19" ht="21.75" customHeight="1" x14ac:dyDescent="0.6">
      <c r="A220" s="21"/>
      <c r="B220" s="23"/>
      <c r="C220" s="2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spans="1:19" ht="21.75" customHeight="1" x14ac:dyDescent="0.6">
      <c r="A221" s="21"/>
      <c r="B221" s="23"/>
      <c r="C221" s="2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spans="1:19" ht="21.75" customHeight="1" x14ac:dyDescent="0.6">
      <c r="A222" s="21"/>
      <c r="B222" s="23"/>
      <c r="C222" s="2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spans="1:19" ht="21.75" customHeight="1" x14ac:dyDescent="0.6">
      <c r="A223" s="21"/>
      <c r="B223" s="23"/>
      <c r="C223" s="2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spans="1:19" ht="21.75" customHeight="1" x14ac:dyDescent="0.6">
      <c r="A224" s="21"/>
      <c r="B224" s="23"/>
      <c r="C224" s="2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spans="1:19" ht="21.75" customHeight="1" x14ac:dyDescent="0.6">
      <c r="A225" s="21"/>
      <c r="B225" s="23"/>
      <c r="C225" s="2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spans="1:19" ht="21.75" customHeight="1" x14ac:dyDescent="0.6">
      <c r="A226" s="21"/>
      <c r="B226" s="23"/>
      <c r="C226" s="2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spans="1:19" ht="21.75" customHeight="1" x14ac:dyDescent="0.6">
      <c r="A227" s="21"/>
      <c r="B227" s="23"/>
      <c r="C227" s="2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spans="1:19" ht="21.75" customHeight="1" x14ac:dyDescent="0.6">
      <c r="A228" s="21"/>
      <c r="B228" s="23"/>
      <c r="C228" s="2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1:19" ht="21.75" customHeight="1" x14ac:dyDescent="0.6">
      <c r="A229" s="21"/>
      <c r="B229" s="23"/>
      <c r="C229" s="2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1:19" ht="21.75" customHeight="1" x14ac:dyDescent="0.6">
      <c r="A230" s="21"/>
      <c r="B230" s="23"/>
      <c r="C230" s="2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1:19" ht="21.75" customHeight="1" x14ac:dyDescent="0.6">
      <c r="A231" s="21"/>
      <c r="B231" s="23"/>
      <c r="C231" s="2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spans="1:19" ht="21.75" customHeight="1" x14ac:dyDescent="0.6">
      <c r="A232" s="21"/>
      <c r="B232" s="23"/>
      <c r="C232" s="2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1:19" ht="21.75" customHeight="1" x14ac:dyDescent="0.6">
      <c r="A233" s="21"/>
      <c r="B233" s="23"/>
      <c r="C233" s="2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spans="1:19" ht="21.75" customHeight="1" x14ac:dyDescent="0.6">
      <c r="A234" s="21"/>
      <c r="B234" s="23"/>
      <c r="C234" s="2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1:19" ht="21.75" customHeight="1" x14ac:dyDescent="0.6">
      <c r="A235" s="21"/>
      <c r="B235" s="23"/>
      <c r="C235" s="2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spans="1:19" ht="21.75" customHeight="1" x14ac:dyDescent="0.6">
      <c r="A236" s="21"/>
      <c r="B236" s="23"/>
      <c r="C236" s="2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spans="1:19" ht="21.75" customHeight="1" x14ac:dyDescent="0.6">
      <c r="A237" s="21"/>
      <c r="B237" s="23"/>
      <c r="C237" s="2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spans="1:19" ht="21.75" customHeight="1" x14ac:dyDescent="0.6">
      <c r="A238" s="21"/>
      <c r="B238" s="23"/>
      <c r="C238" s="2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spans="1:19" ht="21.75" customHeight="1" x14ac:dyDescent="0.6">
      <c r="A239" s="21"/>
      <c r="B239" s="23"/>
      <c r="C239" s="2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1:19" ht="21.75" customHeight="1" x14ac:dyDescent="0.6">
      <c r="A240" s="21"/>
      <c r="B240" s="23"/>
      <c r="C240" s="2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spans="1:19" ht="21.75" customHeight="1" x14ac:dyDescent="0.6">
      <c r="A241" s="21"/>
      <c r="B241" s="23"/>
      <c r="C241" s="2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spans="1:19" ht="21.75" customHeight="1" x14ac:dyDescent="0.6">
      <c r="A242" s="21"/>
      <c r="B242" s="23"/>
      <c r="C242" s="2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spans="1:19" ht="21.75" customHeight="1" x14ac:dyDescent="0.6">
      <c r="A243" s="21"/>
      <c r="B243" s="23"/>
      <c r="C243" s="2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spans="1:19" ht="21.75" customHeight="1" x14ac:dyDescent="0.6">
      <c r="A244" s="21"/>
      <c r="B244" s="23"/>
      <c r="C244" s="2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spans="1:19" ht="21.75" customHeight="1" x14ac:dyDescent="0.6">
      <c r="A245" s="21"/>
      <c r="B245" s="23"/>
      <c r="C245" s="2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spans="1:19" ht="21.75" customHeight="1" x14ac:dyDescent="0.6">
      <c r="A246" s="21"/>
      <c r="B246" s="23"/>
      <c r="C246" s="2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spans="1:19" ht="21.75" customHeight="1" x14ac:dyDescent="0.6">
      <c r="A247" s="21"/>
      <c r="B247" s="23"/>
      <c r="C247" s="2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spans="1:19" ht="21.75" customHeight="1" x14ac:dyDescent="0.6">
      <c r="A248" s="21"/>
      <c r="B248" s="23"/>
      <c r="C248" s="2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spans="1:19" ht="21.75" customHeight="1" x14ac:dyDescent="0.6">
      <c r="A249" s="21"/>
      <c r="B249" s="23"/>
      <c r="C249" s="2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spans="1:19" ht="21.75" customHeight="1" x14ac:dyDescent="0.6">
      <c r="A250" s="21"/>
      <c r="B250" s="23"/>
      <c r="C250" s="2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spans="1:19" ht="21.75" customHeight="1" x14ac:dyDescent="0.6">
      <c r="A251" s="21"/>
      <c r="B251" s="23"/>
      <c r="C251" s="2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spans="1:19" ht="21.75" customHeight="1" x14ac:dyDescent="0.6">
      <c r="A252" s="21"/>
      <c r="B252" s="23"/>
      <c r="C252" s="2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spans="1:19" ht="21.75" customHeight="1" x14ac:dyDescent="0.6">
      <c r="A253" s="21"/>
      <c r="B253" s="23"/>
      <c r="C253" s="2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spans="1:19" ht="21.75" customHeight="1" x14ac:dyDescent="0.6">
      <c r="A254" s="21"/>
      <c r="B254" s="23"/>
      <c r="C254" s="2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spans="1:19" ht="21.75" customHeight="1" x14ac:dyDescent="0.6">
      <c r="A255" s="21"/>
      <c r="B255" s="23"/>
      <c r="C255" s="2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spans="1:19" ht="21.75" customHeight="1" x14ac:dyDescent="0.6">
      <c r="A256" s="21"/>
      <c r="B256" s="23"/>
      <c r="C256" s="2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spans="1:19" ht="21.75" customHeight="1" x14ac:dyDescent="0.6">
      <c r="A257" s="21"/>
      <c r="B257" s="23"/>
      <c r="C257" s="2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spans="1:19" ht="21.75" customHeight="1" x14ac:dyDescent="0.6">
      <c r="A258" s="21"/>
      <c r="B258" s="23"/>
      <c r="C258" s="23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1:19" ht="21.75" customHeight="1" x14ac:dyDescent="0.6">
      <c r="A259" s="21"/>
      <c r="B259" s="23"/>
      <c r="C259" s="23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spans="1:19" ht="21.75" customHeight="1" x14ac:dyDescent="0.6">
      <c r="A260" s="21"/>
      <c r="B260" s="23"/>
      <c r="C260" s="23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spans="1:19" ht="21.75" customHeight="1" x14ac:dyDescent="0.6">
      <c r="A261" s="21"/>
      <c r="B261" s="23"/>
      <c r="C261" s="23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spans="1:19" ht="21.75" customHeight="1" x14ac:dyDescent="0.6">
      <c r="A262" s="21"/>
      <c r="B262" s="23"/>
      <c r="C262" s="23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spans="1:19" ht="21.75" customHeight="1" x14ac:dyDescent="0.6">
      <c r="A263" s="21"/>
      <c r="B263" s="23"/>
      <c r="C263" s="23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spans="1:19" ht="21.75" customHeight="1" x14ac:dyDescent="0.6">
      <c r="A264" s="21"/>
      <c r="B264" s="23"/>
      <c r="C264" s="23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spans="1:19" ht="21.75" customHeight="1" x14ac:dyDescent="0.6">
      <c r="A265" s="21"/>
      <c r="B265" s="23"/>
      <c r="C265" s="23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spans="1:19" ht="21.75" customHeight="1" x14ac:dyDescent="0.6">
      <c r="A266" s="21"/>
      <c r="B266" s="23"/>
      <c r="C266" s="23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spans="1:19" ht="21.75" customHeight="1" x14ac:dyDescent="0.6">
      <c r="A267" s="21"/>
      <c r="B267" s="23"/>
      <c r="C267" s="23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spans="1:19" ht="21.75" customHeight="1" x14ac:dyDescent="0.6">
      <c r="A268" s="21"/>
      <c r="B268" s="23"/>
      <c r="C268" s="23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19" ht="21.75" customHeight="1" x14ac:dyDescent="0.6">
      <c r="A269" s="21"/>
      <c r="B269" s="23"/>
      <c r="C269" s="23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spans="1:19" ht="21.75" customHeight="1" x14ac:dyDescent="0.6">
      <c r="A270" s="21"/>
      <c r="B270" s="23"/>
      <c r="C270" s="23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spans="1:19" ht="21.75" customHeight="1" x14ac:dyDescent="0.6">
      <c r="A271" s="21"/>
      <c r="B271" s="23"/>
      <c r="C271" s="23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spans="1:19" ht="21.75" customHeight="1" x14ac:dyDescent="0.6">
      <c r="A272" s="21"/>
      <c r="B272" s="23"/>
      <c r="C272" s="23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spans="1:19" ht="21.75" customHeight="1" x14ac:dyDescent="0.6">
      <c r="A273" s="21"/>
      <c r="B273" s="23"/>
      <c r="C273" s="23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spans="1:19" ht="21.75" customHeight="1" x14ac:dyDescent="0.6">
      <c r="A274" s="21"/>
      <c r="B274" s="23"/>
      <c r="C274" s="23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spans="1:19" ht="21.75" customHeight="1" x14ac:dyDescent="0.6">
      <c r="A275" s="21"/>
      <c r="B275" s="23"/>
      <c r="C275" s="23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spans="1:19" ht="21.75" customHeight="1" x14ac:dyDescent="0.6">
      <c r="A276" s="21"/>
      <c r="B276" s="23"/>
      <c r="C276" s="23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spans="1:19" ht="21.75" customHeight="1" x14ac:dyDescent="0.6">
      <c r="A277" s="21"/>
      <c r="B277" s="23"/>
      <c r="C277" s="23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spans="1:19" ht="21.75" customHeight="1" x14ac:dyDescent="0.6">
      <c r="A278" s="21"/>
      <c r="B278" s="23"/>
      <c r="C278" s="23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spans="1:19" ht="21.75" customHeight="1" x14ac:dyDescent="0.6">
      <c r="A279" s="21"/>
      <c r="B279" s="23"/>
      <c r="C279" s="23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spans="1:19" ht="21.75" customHeight="1" x14ac:dyDescent="0.6">
      <c r="A280" s="21"/>
      <c r="B280" s="23"/>
      <c r="C280" s="23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spans="1:19" ht="21.75" customHeight="1" x14ac:dyDescent="0.6">
      <c r="A281" s="21"/>
      <c r="B281" s="23"/>
      <c r="C281" s="23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spans="1:19" ht="21.75" customHeight="1" x14ac:dyDescent="0.6">
      <c r="A282" s="21"/>
      <c r="B282" s="23"/>
      <c r="C282" s="23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spans="1:19" ht="21.75" customHeight="1" x14ac:dyDescent="0.6">
      <c r="A283" s="21"/>
      <c r="B283" s="23"/>
      <c r="C283" s="23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spans="1:19" ht="21.75" customHeight="1" x14ac:dyDescent="0.6">
      <c r="A284" s="21"/>
      <c r="B284" s="23"/>
      <c r="C284" s="23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spans="1:19" ht="21.75" customHeight="1" x14ac:dyDescent="0.6">
      <c r="A285" s="21"/>
      <c r="B285" s="23"/>
      <c r="C285" s="23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spans="1:19" ht="21.75" customHeight="1" x14ac:dyDescent="0.6">
      <c r="A286" s="21"/>
      <c r="B286" s="23"/>
      <c r="C286" s="23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spans="1:19" ht="21.75" customHeight="1" x14ac:dyDescent="0.6">
      <c r="A287" s="21"/>
      <c r="B287" s="23"/>
      <c r="C287" s="23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spans="1:19" ht="21.75" customHeight="1" x14ac:dyDescent="0.6">
      <c r="A288" s="21"/>
      <c r="B288" s="23"/>
      <c r="C288" s="23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spans="1:19" ht="21.75" customHeight="1" x14ac:dyDescent="0.6">
      <c r="A289" s="21"/>
      <c r="B289" s="23"/>
      <c r="C289" s="23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spans="1:19" ht="21.75" customHeight="1" x14ac:dyDescent="0.6">
      <c r="A290" s="21"/>
      <c r="B290" s="23"/>
      <c r="C290" s="23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spans="1:19" ht="21.75" customHeight="1" x14ac:dyDescent="0.6">
      <c r="A291" s="21"/>
      <c r="B291" s="23"/>
      <c r="C291" s="23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spans="1:19" ht="21.75" customHeight="1" x14ac:dyDescent="0.6">
      <c r="A292" s="21"/>
      <c r="B292" s="23"/>
      <c r="C292" s="23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spans="1:19" ht="21.75" customHeight="1" x14ac:dyDescent="0.6">
      <c r="A293" s="21"/>
      <c r="B293" s="23"/>
      <c r="C293" s="23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spans="1:19" ht="21.75" customHeight="1" x14ac:dyDescent="0.6">
      <c r="A294" s="21"/>
      <c r="B294" s="23"/>
      <c r="C294" s="23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spans="1:19" ht="21.75" customHeight="1" x14ac:dyDescent="0.6">
      <c r="A295" s="21"/>
      <c r="B295" s="23"/>
      <c r="C295" s="23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spans="1:19" ht="21.75" customHeight="1" x14ac:dyDescent="0.6">
      <c r="A296" s="21"/>
      <c r="B296" s="23"/>
      <c r="C296" s="23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spans="1:19" ht="21.75" customHeight="1" x14ac:dyDescent="0.6">
      <c r="A297" s="21"/>
      <c r="B297" s="23"/>
      <c r="C297" s="23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spans="1:19" ht="21.75" customHeight="1" x14ac:dyDescent="0.6">
      <c r="A298" s="21"/>
      <c r="B298" s="23"/>
      <c r="C298" s="23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spans="1:19" ht="21.75" customHeight="1" x14ac:dyDescent="0.6">
      <c r="A299" s="21"/>
      <c r="B299" s="23"/>
      <c r="C299" s="23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spans="1:19" ht="21.75" customHeight="1" x14ac:dyDescent="0.6">
      <c r="A300" s="21"/>
      <c r="B300" s="23"/>
      <c r="C300" s="23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spans="1:19" ht="21.75" customHeight="1" x14ac:dyDescent="0.6">
      <c r="A301" s="21"/>
      <c r="B301" s="23"/>
      <c r="C301" s="23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spans="1:19" ht="21.75" customHeight="1" x14ac:dyDescent="0.6">
      <c r="A302" s="21"/>
      <c r="B302" s="23"/>
      <c r="C302" s="23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spans="1:19" ht="21.75" customHeight="1" x14ac:dyDescent="0.6">
      <c r="A303" s="21"/>
      <c r="B303" s="23"/>
      <c r="C303" s="23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spans="1:19" ht="21.75" customHeight="1" x14ac:dyDescent="0.6">
      <c r="A304" s="21"/>
      <c r="B304" s="23"/>
      <c r="C304" s="23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spans="1:19" ht="21.75" customHeight="1" x14ac:dyDescent="0.6">
      <c r="A305" s="21"/>
      <c r="B305" s="23"/>
      <c r="C305" s="23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spans="1:19" ht="21.75" customHeight="1" x14ac:dyDescent="0.6">
      <c r="A306" s="21"/>
      <c r="B306" s="23"/>
      <c r="C306" s="23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spans="1:19" ht="21.75" customHeight="1" x14ac:dyDescent="0.6">
      <c r="A307" s="21"/>
      <c r="B307" s="23"/>
      <c r="C307" s="23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spans="1:19" ht="21.75" customHeight="1" x14ac:dyDescent="0.6">
      <c r="A308" s="21"/>
      <c r="B308" s="23"/>
      <c r="C308" s="23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spans="1:19" ht="21.75" customHeight="1" x14ac:dyDescent="0.6">
      <c r="A309" s="21"/>
      <c r="B309" s="23"/>
      <c r="C309" s="23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spans="1:19" ht="21.75" customHeight="1" x14ac:dyDescent="0.6">
      <c r="A310" s="21"/>
      <c r="B310" s="23"/>
      <c r="C310" s="23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spans="1:19" ht="21.75" customHeight="1" x14ac:dyDescent="0.6">
      <c r="A311" s="21"/>
      <c r="B311" s="23"/>
      <c r="C311" s="23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spans="1:19" ht="21.75" customHeight="1" x14ac:dyDescent="0.6">
      <c r="A312" s="21"/>
      <c r="B312" s="23"/>
      <c r="C312" s="23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spans="1:19" ht="21.75" customHeight="1" x14ac:dyDescent="0.6">
      <c r="A313" s="21"/>
      <c r="B313" s="23"/>
      <c r="C313" s="23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spans="1:19" ht="21.75" customHeight="1" x14ac:dyDescent="0.6">
      <c r="A314" s="21"/>
      <c r="B314" s="23"/>
      <c r="C314" s="23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spans="1:19" ht="21.75" customHeight="1" x14ac:dyDescent="0.6">
      <c r="A315" s="21"/>
      <c r="B315" s="23"/>
      <c r="C315" s="23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spans="1:19" ht="21.75" customHeight="1" x14ac:dyDescent="0.6">
      <c r="A316" s="21"/>
      <c r="B316" s="23"/>
      <c r="C316" s="23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spans="1:19" ht="21.75" customHeight="1" x14ac:dyDescent="0.6">
      <c r="A317" s="21"/>
      <c r="B317" s="23"/>
      <c r="C317" s="23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spans="1:19" ht="21.75" customHeight="1" x14ac:dyDescent="0.6">
      <c r="A318" s="21"/>
      <c r="B318" s="23"/>
      <c r="C318" s="23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spans="1:19" ht="21.75" customHeight="1" x14ac:dyDescent="0.6">
      <c r="A319" s="21"/>
      <c r="B319" s="23"/>
      <c r="C319" s="23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spans="1:19" ht="21.75" customHeight="1" x14ac:dyDescent="0.6">
      <c r="A320" s="21"/>
      <c r="B320" s="23"/>
      <c r="C320" s="23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spans="1:19" ht="21.75" customHeight="1" x14ac:dyDescent="0.6">
      <c r="A321" s="21"/>
      <c r="B321" s="23"/>
      <c r="C321" s="23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spans="1:19" ht="21.75" customHeight="1" x14ac:dyDescent="0.6">
      <c r="A322" s="21"/>
      <c r="B322" s="23"/>
      <c r="C322" s="23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spans="1:19" ht="21.75" customHeight="1" x14ac:dyDescent="0.6">
      <c r="A323" s="21"/>
      <c r="B323" s="23"/>
      <c r="C323" s="23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spans="1:19" ht="21.75" customHeight="1" x14ac:dyDescent="0.6">
      <c r="A324" s="21"/>
      <c r="B324" s="23"/>
      <c r="C324" s="23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spans="1:19" ht="21.75" customHeight="1" x14ac:dyDescent="0.6">
      <c r="A325" s="21"/>
      <c r="B325" s="23"/>
      <c r="C325" s="23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spans="1:19" ht="21.75" customHeight="1" x14ac:dyDescent="0.6">
      <c r="A326" s="21"/>
      <c r="B326" s="23"/>
      <c r="C326" s="23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19" ht="21.75" customHeight="1" x14ac:dyDescent="0.6">
      <c r="A327" s="21"/>
      <c r="B327" s="23"/>
      <c r="C327" s="23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spans="1:19" ht="21.75" customHeight="1" x14ac:dyDescent="0.6">
      <c r="A328" s="21"/>
      <c r="B328" s="23"/>
      <c r="C328" s="23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spans="1:19" ht="21.75" customHeight="1" x14ac:dyDescent="0.6">
      <c r="A329" s="21"/>
      <c r="B329" s="23"/>
      <c r="C329" s="23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spans="1:19" ht="21.75" customHeight="1" x14ac:dyDescent="0.6">
      <c r="A330" s="21"/>
      <c r="B330" s="23"/>
      <c r="C330" s="23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spans="1:19" ht="21.75" customHeight="1" x14ac:dyDescent="0.6">
      <c r="A331" s="21"/>
      <c r="B331" s="23"/>
      <c r="C331" s="23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spans="1:19" ht="21.75" customHeight="1" x14ac:dyDescent="0.6">
      <c r="A332" s="21"/>
      <c r="B332" s="23"/>
      <c r="C332" s="23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spans="1:19" ht="21.75" customHeight="1" x14ac:dyDescent="0.6">
      <c r="A333" s="21"/>
      <c r="B333" s="23"/>
      <c r="C333" s="23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spans="1:19" ht="21.75" customHeight="1" x14ac:dyDescent="0.6">
      <c r="A334" s="21"/>
      <c r="B334" s="23"/>
      <c r="C334" s="23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spans="1:19" ht="21.75" customHeight="1" x14ac:dyDescent="0.6">
      <c r="A335" s="21"/>
      <c r="B335" s="23"/>
      <c r="C335" s="23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spans="1:19" ht="21.75" customHeight="1" x14ac:dyDescent="0.6">
      <c r="A336" s="21"/>
      <c r="B336" s="23"/>
      <c r="C336" s="23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spans="1:19" ht="21.75" customHeight="1" x14ac:dyDescent="0.6">
      <c r="A337" s="21"/>
      <c r="B337" s="23"/>
      <c r="C337" s="23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spans="1:19" ht="21.75" customHeight="1" x14ac:dyDescent="0.6">
      <c r="A338" s="21"/>
      <c r="B338" s="23"/>
      <c r="C338" s="23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spans="1:19" ht="21.75" customHeight="1" x14ac:dyDescent="0.6">
      <c r="A339" s="21"/>
      <c r="B339" s="23"/>
      <c r="C339" s="23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spans="1:19" ht="21.75" customHeight="1" x14ac:dyDescent="0.6">
      <c r="A340" s="21"/>
      <c r="B340" s="23"/>
      <c r="C340" s="23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spans="1:19" ht="21.75" customHeight="1" x14ac:dyDescent="0.6">
      <c r="A341" s="21"/>
      <c r="B341" s="23"/>
      <c r="C341" s="23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spans="1:19" ht="21.75" customHeight="1" x14ac:dyDescent="0.6">
      <c r="A342" s="21"/>
      <c r="B342" s="23"/>
      <c r="C342" s="23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spans="1:19" ht="21.75" customHeight="1" x14ac:dyDescent="0.6">
      <c r="A343" s="21"/>
      <c r="B343" s="23"/>
      <c r="C343" s="23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spans="1:19" ht="21.75" customHeight="1" x14ac:dyDescent="0.6">
      <c r="A344" s="21"/>
      <c r="B344" s="23"/>
      <c r="C344" s="23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spans="1:19" ht="21.75" customHeight="1" x14ac:dyDescent="0.6">
      <c r="A345" s="21"/>
      <c r="B345" s="23"/>
      <c r="C345" s="23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spans="1:19" ht="21.75" customHeight="1" x14ac:dyDescent="0.6">
      <c r="A346" s="21"/>
      <c r="B346" s="23"/>
      <c r="C346" s="23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spans="1:19" ht="21.75" customHeight="1" x14ac:dyDescent="0.6">
      <c r="A347" s="21"/>
      <c r="B347" s="23"/>
      <c r="C347" s="23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spans="1:19" ht="21.75" customHeight="1" x14ac:dyDescent="0.6">
      <c r="A348" s="21"/>
      <c r="B348" s="23"/>
      <c r="C348" s="23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spans="1:19" ht="21.75" customHeight="1" x14ac:dyDescent="0.6">
      <c r="A349" s="21"/>
      <c r="B349" s="23"/>
      <c r="C349" s="23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spans="1:19" ht="21.75" customHeight="1" x14ac:dyDescent="0.6">
      <c r="A350" s="21"/>
      <c r="B350" s="23"/>
      <c r="C350" s="23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spans="1:19" ht="21.75" customHeight="1" x14ac:dyDescent="0.6">
      <c r="A351" s="21"/>
      <c r="B351" s="23"/>
      <c r="C351" s="23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spans="1:19" ht="21.75" customHeight="1" x14ac:dyDescent="0.6">
      <c r="A352" s="21"/>
      <c r="B352" s="23"/>
      <c r="C352" s="23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spans="1:19" ht="21.75" customHeight="1" x14ac:dyDescent="0.6">
      <c r="A353" s="21"/>
      <c r="B353" s="23"/>
      <c r="C353" s="23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spans="1:19" ht="21.75" customHeight="1" x14ac:dyDescent="0.6">
      <c r="A354" s="21"/>
      <c r="B354" s="23"/>
      <c r="C354" s="23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19" ht="21.75" customHeight="1" x14ac:dyDescent="0.6">
      <c r="A355" s="21"/>
      <c r="B355" s="23"/>
      <c r="C355" s="23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spans="1:19" ht="21.75" customHeight="1" x14ac:dyDescent="0.6">
      <c r="A356" s="21"/>
      <c r="B356" s="23"/>
      <c r="C356" s="23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spans="1:19" ht="21.75" customHeight="1" x14ac:dyDescent="0.6">
      <c r="A357" s="21"/>
      <c r="B357" s="23"/>
      <c r="C357" s="23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spans="1:19" ht="21.75" customHeight="1" x14ac:dyDescent="0.6">
      <c r="A358" s="21"/>
      <c r="B358" s="23"/>
      <c r="C358" s="23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spans="1:19" ht="21.75" customHeight="1" x14ac:dyDescent="0.6">
      <c r="A359" s="21"/>
      <c r="B359" s="23"/>
      <c r="C359" s="23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spans="1:19" ht="21.75" customHeight="1" x14ac:dyDescent="0.6">
      <c r="A360" s="21"/>
      <c r="B360" s="23"/>
      <c r="C360" s="23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spans="1:19" ht="21.75" customHeight="1" x14ac:dyDescent="0.6">
      <c r="A361" s="21"/>
      <c r="B361" s="23"/>
      <c r="C361" s="23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spans="1:19" ht="21.75" customHeight="1" x14ac:dyDescent="0.6">
      <c r="A362" s="21"/>
      <c r="B362" s="23"/>
      <c r="C362" s="23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spans="1:19" ht="21.75" customHeight="1" x14ac:dyDescent="0.6">
      <c r="A363" s="21"/>
      <c r="B363" s="23"/>
      <c r="C363" s="23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spans="1:19" ht="21.75" customHeight="1" x14ac:dyDescent="0.6">
      <c r="A364" s="21"/>
      <c r="B364" s="23"/>
      <c r="C364" s="23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spans="1:19" ht="21.75" customHeight="1" x14ac:dyDescent="0.6">
      <c r="A365" s="21"/>
      <c r="B365" s="23"/>
      <c r="C365" s="23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spans="1:19" ht="21.75" customHeight="1" x14ac:dyDescent="0.6">
      <c r="A366" s="21"/>
      <c r="B366" s="23"/>
      <c r="C366" s="23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spans="1:19" ht="21.75" customHeight="1" x14ac:dyDescent="0.6">
      <c r="A367" s="21"/>
      <c r="B367" s="23"/>
      <c r="C367" s="23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spans="1:19" ht="21.75" customHeight="1" x14ac:dyDescent="0.6">
      <c r="A368" s="21"/>
      <c r="B368" s="23"/>
      <c r="C368" s="23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spans="1:19" ht="21.75" customHeight="1" x14ac:dyDescent="0.6">
      <c r="A369" s="21"/>
      <c r="B369" s="23"/>
      <c r="C369" s="23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spans="1:19" ht="21.75" customHeight="1" x14ac:dyDescent="0.6">
      <c r="A370" s="21"/>
      <c r="B370" s="23"/>
      <c r="C370" s="23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spans="1:19" ht="21.75" customHeight="1" x14ac:dyDescent="0.6">
      <c r="A371" s="21"/>
      <c r="B371" s="23"/>
      <c r="C371" s="23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spans="1:19" ht="21.75" customHeight="1" x14ac:dyDescent="0.6">
      <c r="A372" s="21"/>
      <c r="B372" s="23"/>
      <c r="C372" s="23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spans="1:19" ht="21.75" customHeight="1" x14ac:dyDescent="0.6">
      <c r="A373" s="21"/>
      <c r="B373" s="23"/>
      <c r="C373" s="23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spans="1:19" ht="21.75" customHeight="1" x14ac:dyDescent="0.6">
      <c r="A374" s="21"/>
      <c r="B374" s="23"/>
      <c r="C374" s="23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 spans="1:19" ht="21.75" customHeight="1" x14ac:dyDescent="0.6">
      <c r="A375" s="21"/>
      <c r="B375" s="23"/>
      <c r="C375" s="23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 spans="1:19" ht="21.75" customHeight="1" x14ac:dyDescent="0.6">
      <c r="A376" s="21"/>
      <c r="B376" s="23"/>
      <c r="C376" s="23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 spans="1:19" ht="21.75" customHeight="1" x14ac:dyDescent="0.6">
      <c r="A377" s="21"/>
      <c r="B377" s="23"/>
      <c r="C377" s="23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 spans="1:19" ht="21.75" customHeight="1" x14ac:dyDescent="0.6">
      <c r="A378" s="21"/>
      <c r="B378" s="23"/>
      <c r="C378" s="23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 spans="1:19" ht="21.75" customHeight="1" x14ac:dyDescent="0.6">
      <c r="A379" s="21"/>
      <c r="B379" s="23"/>
      <c r="C379" s="23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 spans="1:19" ht="21.75" customHeight="1" x14ac:dyDescent="0.6">
      <c r="A380" s="21"/>
      <c r="B380" s="23"/>
      <c r="C380" s="23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 spans="1:19" ht="21.75" customHeight="1" x14ac:dyDescent="0.6">
      <c r="A381" s="21"/>
      <c r="B381" s="23"/>
      <c r="C381" s="23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 spans="1:19" ht="21.75" customHeight="1" x14ac:dyDescent="0.6">
      <c r="A382" s="21"/>
      <c r="B382" s="23"/>
      <c r="C382" s="23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 spans="1:19" ht="21.75" customHeight="1" x14ac:dyDescent="0.6">
      <c r="A383" s="21"/>
      <c r="B383" s="23"/>
      <c r="C383" s="23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 spans="1:19" ht="21.75" customHeight="1" x14ac:dyDescent="0.6">
      <c r="A384" s="21"/>
      <c r="B384" s="23"/>
      <c r="C384" s="23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 spans="1:19" ht="21.75" customHeight="1" x14ac:dyDescent="0.6">
      <c r="A385" s="21"/>
      <c r="B385" s="23"/>
      <c r="C385" s="23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 spans="1:19" ht="21.75" customHeight="1" x14ac:dyDescent="0.6">
      <c r="A386" s="21"/>
      <c r="B386" s="23"/>
      <c r="C386" s="23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 spans="1:19" ht="21.75" customHeight="1" x14ac:dyDescent="0.6">
      <c r="A387" s="21"/>
      <c r="B387" s="23"/>
      <c r="C387" s="23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 spans="1:19" ht="21.75" customHeight="1" x14ac:dyDescent="0.6">
      <c r="A388" s="21"/>
      <c r="B388" s="23"/>
      <c r="C388" s="23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spans="1:19" ht="21.75" customHeight="1" x14ac:dyDescent="0.6">
      <c r="A389" s="21"/>
      <c r="B389" s="23"/>
      <c r="C389" s="23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spans="1:19" ht="21.75" customHeight="1" x14ac:dyDescent="0.6">
      <c r="A390" s="21"/>
      <c r="B390" s="23"/>
      <c r="C390" s="23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 spans="1:19" ht="21.75" customHeight="1" x14ac:dyDescent="0.6">
      <c r="A391" s="21"/>
      <c r="B391" s="23"/>
      <c r="C391" s="23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 spans="1:19" ht="21.75" customHeight="1" x14ac:dyDescent="0.6">
      <c r="A392" s="21"/>
      <c r="B392" s="23"/>
      <c r="C392" s="23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 spans="1:19" ht="21.75" customHeight="1" x14ac:dyDescent="0.6">
      <c r="A393" s="21"/>
      <c r="B393" s="23"/>
      <c r="C393" s="23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 spans="1:19" ht="21.75" customHeight="1" x14ac:dyDescent="0.6">
      <c r="A394" s="21"/>
      <c r="B394" s="23"/>
      <c r="C394" s="23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 spans="1:19" ht="21.75" customHeight="1" x14ac:dyDescent="0.6">
      <c r="A395" s="21"/>
      <c r="B395" s="23"/>
      <c r="C395" s="23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 spans="1:19" ht="21.75" customHeight="1" x14ac:dyDescent="0.6">
      <c r="A396" s="21"/>
      <c r="B396" s="23"/>
      <c r="C396" s="23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 spans="1:19" ht="21.75" customHeight="1" x14ac:dyDescent="0.6">
      <c r="A397" s="21"/>
      <c r="B397" s="23"/>
      <c r="C397" s="23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 spans="1:19" ht="21.75" customHeight="1" x14ac:dyDescent="0.6">
      <c r="A398" s="21"/>
      <c r="B398" s="23"/>
      <c r="C398" s="23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 spans="1:19" ht="21.75" customHeight="1" x14ac:dyDescent="0.6">
      <c r="A399" s="21"/>
      <c r="B399" s="23"/>
      <c r="C399" s="23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 spans="1:19" ht="21.75" customHeight="1" x14ac:dyDescent="0.6">
      <c r="A400" s="21"/>
      <c r="B400" s="23"/>
      <c r="C400" s="23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 spans="1:19" ht="21.75" customHeight="1" x14ac:dyDescent="0.6">
      <c r="A401" s="21"/>
      <c r="B401" s="23"/>
      <c r="C401" s="23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 spans="1:19" ht="21.75" customHeight="1" x14ac:dyDescent="0.6">
      <c r="A402" s="21"/>
      <c r="B402" s="23"/>
      <c r="C402" s="23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 spans="1:19" ht="21.75" customHeight="1" x14ac:dyDescent="0.6">
      <c r="A403" s="21"/>
      <c r="B403" s="23"/>
      <c r="C403" s="23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  <row r="404" spans="1:19" ht="21.75" customHeight="1" x14ac:dyDescent="0.6">
      <c r="A404" s="21"/>
      <c r="B404" s="23"/>
      <c r="C404" s="23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</row>
    <row r="405" spans="1:19" ht="21.75" customHeight="1" x14ac:dyDescent="0.6">
      <c r="A405" s="21"/>
      <c r="B405" s="23"/>
      <c r="C405" s="23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</row>
    <row r="406" spans="1:19" ht="21.75" customHeight="1" x14ac:dyDescent="0.6">
      <c r="A406" s="21"/>
      <c r="B406" s="23"/>
      <c r="C406" s="23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</row>
    <row r="407" spans="1:19" ht="21.75" customHeight="1" x14ac:dyDescent="0.6">
      <c r="A407" s="21"/>
      <c r="B407" s="23"/>
      <c r="C407" s="23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</row>
    <row r="408" spans="1:19" ht="21.75" customHeight="1" x14ac:dyDescent="0.6">
      <c r="A408" s="21"/>
      <c r="B408" s="23"/>
      <c r="C408" s="23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</row>
    <row r="409" spans="1:19" ht="21.75" customHeight="1" x14ac:dyDescent="0.6">
      <c r="A409" s="21"/>
      <c r="B409" s="23"/>
      <c r="C409" s="23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</row>
    <row r="410" spans="1:19" ht="21.75" customHeight="1" x14ac:dyDescent="0.6">
      <c r="A410" s="21"/>
      <c r="B410" s="23"/>
      <c r="C410" s="23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</row>
    <row r="411" spans="1:19" ht="21.75" customHeight="1" x14ac:dyDescent="0.6">
      <c r="A411" s="21"/>
      <c r="B411" s="23"/>
      <c r="C411" s="23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</row>
    <row r="412" spans="1:19" ht="21.75" customHeight="1" x14ac:dyDescent="0.6">
      <c r="A412" s="21"/>
      <c r="B412" s="23"/>
      <c r="C412" s="23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</row>
    <row r="413" spans="1:19" ht="21.75" customHeight="1" x14ac:dyDescent="0.6">
      <c r="A413" s="21"/>
      <c r="B413" s="23"/>
      <c r="C413" s="23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</row>
    <row r="414" spans="1:19" ht="21.75" customHeight="1" x14ac:dyDescent="0.6">
      <c r="A414" s="21"/>
      <c r="B414" s="23"/>
      <c r="C414" s="23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</row>
    <row r="415" spans="1:19" ht="21.75" customHeight="1" x14ac:dyDescent="0.6">
      <c r="A415" s="21"/>
      <c r="B415" s="23"/>
      <c r="C415" s="23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</row>
    <row r="416" spans="1:19" ht="21.75" customHeight="1" x14ac:dyDescent="0.6">
      <c r="A416" s="21"/>
      <c r="B416" s="23"/>
      <c r="C416" s="23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</row>
    <row r="417" spans="1:19" ht="21.75" customHeight="1" x14ac:dyDescent="0.6">
      <c r="A417" s="21"/>
      <c r="B417" s="23"/>
      <c r="C417" s="23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</row>
    <row r="418" spans="1:19" ht="21.75" customHeight="1" x14ac:dyDescent="0.6">
      <c r="A418" s="21"/>
      <c r="B418" s="23"/>
      <c r="C418" s="23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</row>
    <row r="419" spans="1:19" ht="21.75" customHeight="1" x14ac:dyDescent="0.6">
      <c r="A419" s="21"/>
      <c r="B419" s="23"/>
      <c r="C419" s="23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</row>
    <row r="420" spans="1:19" ht="21.75" customHeight="1" x14ac:dyDescent="0.6">
      <c r="A420" s="21"/>
      <c r="B420" s="23"/>
      <c r="C420" s="23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</row>
    <row r="421" spans="1:19" ht="21.75" customHeight="1" x14ac:dyDescent="0.6">
      <c r="A421" s="21"/>
      <c r="B421" s="23"/>
      <c r="C421" s="23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</row>
    <row r="422" spans="1:19" ht="21.75" customHeight="1" x14ac:dyDescent="0.6">
      <c r="A422" s="21"/>
      <c r="B422" s="23"/>
      <c r="C422" s="23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</row>
    <row r="423" spans="1:19" ht="21.75" customHeight="1" x14ac:dyDescent="0.6">
      <c r="A423" s="21"/>
      <c r="B423" s="23"/>
      <c r="C423" s="23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</row>
    <row r="424" spans="1:19" ht="21.75" customHeight="1" x14ac:dyDescent="0.6">
      <c r="A424" s="21"/>
      <c r="B424" s="23"/>
      <c r="C424" s="23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</row>
    <row r="425" spans="1:19" ht="21.75" customHeight="1" x14ac:dyDescent="0.6">
      <c r="A425" s="21"/>
      <c r="B425" s="23"/>
      <c r="C425" s="23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</row>
    <row r="426" spans="1:19" ht="21.75" customHeight="1" x14ac:dyDescent="0.6">
      <c r="A426" s="21"/>
      <c r="B426" s="23"/>
      <c r="C426" s="23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</row>
    <row r="427" spans="1:19" ht="21.75" customHeight="1" x14ac:dyDescent="0.6">
      <c r="A427" s="21"/>
      <c r="B427" s="23"/>
      <c r="C427" s="23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</row>
    <row r="428" spans="1:19" ht="21.75" customHeight="1" x14ac:dyDescent="0.6">
      <c r="A428" s="21"/>
      <c r="B428" s="23"/>
      <c r="C428" s="23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</row>
    <row r="429" spans="1:19" ht="21.75" customHeight="1" x14ac:dyDescent="0.6">
      <c r="A429" s="21"/>
      <c r="B429" s="23"/>
      <c r="C429" s="23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</row>
    <row r="430" spans="1:19" ht="21.75" customHeight="1" x14ac:dyDescent="0.6">
      <c r="A430" s="21"/>
      <c r="B430" s="23"/>
      <c r="C430" s="23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</row>
    <row r="431" spans="1:19" ht="21.75" customHeight="1" x14ac:dyDescent="0.6">
      <c r="A431" s="21"/>
      <c r="B431" s="23"/>
      <c r="C431" s="23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</row>
    <row r="432" spans="1:19" ht="21.75" customHeight="1" x14ac:dyDescent="0.6">
      <c r="A432" s="21"/>
      <c r="B432" s="23"/>
      <c r="C432" s="23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</row>
    <row r="433" spans="1:19" ht="21.75" customHeight="1" x14ac:dyDescent="0.6">
      <c r="A433" s="21"/>
      <c r="B433" s="23"/>
      <c r="C433" s="23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</row>
    <row r="434" spans="1:19" ht="21.75" customHeight="1" x14ac:dyDescent="0.6">
      <c r="A434" s="21"/>
      <c r="B434" s="23"/>
      <c r="C434" s="23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</row>
    <row r="435" spans="1:19" ht="21.75" customHeight="1" x14ac:dyDescent="0.6">
      <c r="A435" s="21"/>
      <c r="B435" s="23"/>
      <c r="C435" s="23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</row>
    <row r="436" spans="1:19" ht="21.75" customHeight="1" x14ac:dyDescent="0.6">
      <c r="A436" s="21"/>
      <c r="B436" s="23"/>
      <c r="C436" s="23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</row>
    <row r="437" spans="1:19" ht="21.75" customHeight="1" x14ac:dyDescent="0.6">
      <c r="A437" s="21"/>
      <c r="B437" s="23"/>
      <c r="C437" s="23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</row>
    <row r="438" spans="1:19" ht="21.75" customHeight="1" x14ac:dyDescent="0.6">
      <c r="A438" s="21"/>
      <c r="B438" s="23"/>
      <c r="C438" s="23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</row>
    <row r="439" spans="1:19" ht="21.75" customHeight="1" x14ac:dyDescent="0.6">
      <c r="A439" s="21"/>
      <c r="B439" s="23"/>
      <c r="C439" s="23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</row>
    <row r="440" spans="1:19" ht="21.75" customHeight="1" x14ac:dyDescent="0.6">
      <c r="A440" s="21"/>
      <c r="B440" s="23"/>
      <c r="C440" s="23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</row>
    <row r="441" spans="1:19" ht="21.75" customHeight="1" x14ac:dyDescent="0.6">
      <c r="A441" s="21"/>
      <c r="B441" s="23"/>
      <c r="C441" s="23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</row>
    <row r="442" spans="1:19" ht="21.75" customHeight="1" x14ac:dyDescent="0.6">
      <c r="A442" s="21"/>
      <c r="B442" s="23"/>
      <c r="C442" s="23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</row>
    <row r="443" spans="1:19" ht="21.75" customHeight="1" x14ac:dyDescent="0.6">
      <c r="A443" s="21"/>
      <c r="B443" s="23"/>
      <c r="C443" s="23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</row>
    <row r="444" spans="1:19" ht="21.75" customHeight="1" x14ac:dyDescent="0.6">
      <c r="A444" s="21"/>
      <c r="B444" s="23"/>
      <c r="C444" s="23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</row>
    <row r="445" spans="1:19" ht="21.75" customHeight="1" x14ac:dyDescent="0.6">
      <c r="A445" s="21"/>
      <c r="B445" s="23"/>
      <c r="C445" s="23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</row>
    <row r="446" spans="1:19" ht="21.75" customHeight="1" x14ac:dyDescent="0.6">
      <c r="A446" s="21"/>
      <c r="B446" s="23"/>
      <c r="C446" s="23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</row>
    <row r="447" spans="1:19" ht="21.75" customHeight="1" x14ac:dyDescent="0.6">
      <c r="A447" s="21"/>
      <c r="B447" s="23"/>
      <c r="C447" s="23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</row>
    <row r="448" spans="1:19" ht="21.75" customHeight="1" x14ac:dyDescent="0.6">
      <c r="A448" s="21"/>
      <c r="B448" s="23"/>
      <c r="C448" s="23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</row>
    <row r="449" spans="1:19" ht="21.75" customHeight="1" x14ac:dyDescent="0.6">
      <c r="A449" s="21"/>
      <c r="B449" s="23"/>
      <c r="C449" s="23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</row>
    <row r="450" spans="1:19" ht="21.75" customHeight="1" x14ac:dyDescent="0.6">
      <c r="A450" s="21"/>
      <c r="B450" s="23"/>
      <c r="C450" s="23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</row>
    <row r="451" spans="1:19" ht="21.75" customHeight="1" x14ac:dyDescent="0.6">
      <c r="A451" s="21"/>
      <c r="B451" s="23"/>
      <c r="C451" s="23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</row>
    <row r="452" spans="1:19" ht="21.75" customHeight="1" x14ac:dyDescent="0.6">
      <c r="A452" s="21"/>
      <c r="B452" s="23"/>
      <c r="C452" s="23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</row>
    <row r="453" spans="1:19" ht="21.75" customHeight="1" x14ac:dyDescent="0.6">
      <c r="A453" s="21"/>
      <c r="B453" s="23"/>
      <c r="C453" s="23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</row>
    <row r="454" spans="1:19" ht="21.75" customHeight="1" x14ac:dyDescent="0.6">
      <c r="A454" s="21"/>
      <c r="B454" s="23"/>
      <c r="C454" s="23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</row>
    <row r="455" spans="1:19" ht="21.75" customHeight="1" x14ac:dyDescent="0.6">
      <c r="A455" s="21"/>
      <c r="B455" s="23"/>
      <c r="C455" s="23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</row>
    <row r="456" spans="1:19" ht="21.75" customHeight="1" x14ac:dyDescent="0.6">
      <c r="A456" s="21"/>
      <c r="B456" s="23"/>
      <c r="C456" s="23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</row>
    <row r="457" spans="1:19" ht="21.75" customHeight="1" x14ac:dyDescent="0.6">
      <c r="A457" s="21"/>
      <c r="B457" s="23"/>
      <c r="C457" s="23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</row>
    <row r="458" spans="1:19" ht="21.75" customHeight="1" x14ac:dyDescent="0.6">
      <c r="A458" s="21"/>
      <c r="B458" s="23"/>
      <c r="C458" s="23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</row>
    <row r="459" spans="1:19" ht="21.75" customHeight="1" x14ac:dyDescent="0.6">
      <c r="A459" s="21"/>
      <c r="B459" s="23"/>
      <c r="C459" s="23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</row>
    <row r="460" spans="1:19" ht="21.75" customHeight="1" x14ac:dyDescent="0.6">
      <c r="A460" s="21"/>
      <c r="B460" s="23"/>
      <c r="C460" s="23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</row>
    <row r="461" spans="1:19" ht="21.75" customHeight="1" x14ac:dyDescent="0.6">
      <c r="A461" s="21"/>
      <c r="B461" s="23"/>
      <c r="C461" s="23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</row>
    <row r="462" spans="1:19" ht="21.75" customHeight="1" x14ac:dyDescent="0.6">
      <c r="A462" s="21"/>
      <c r="B462" s="23"/>
      <c r="C462" s="23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</row>
    <row r="463" spans="1:19" ht="21.75" customHeight="1" x14ac:dyDescent="0.6">
      <c r="A463" s="21"/>
      <c r="B463" s="23"/>
      <c r="C463" s="23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</row>
    <row r="464" spans="1:19" ht="21.75" customHeight="1" x14ac:dyDescent="0.6">
      <c r="A464" s="21"/>
      <c r="B464" s="23"/>
      <c r="C464" s="23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</row>
    <row r="465" spans="1:19" ht="21.75" customHeight="1" x14ac:dyDescent="0.6">
      <c r="A465" s="21"/>
      <c r="B465" s="23"/>
      <c r="C465" s="23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</row>
    <row r="466" spans="1:19" ht="21.75" customHeight="1" x14ac:dyDescent="0.6">
      <c r="A466" s="21"/>
      <c r="B466" s="23"/>
      <c r="C466" s="23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</row>
    <row r="467" spans="1:19" ht="21.75" customHeight="1" x14ac:dyDescent="0.6">
      <c r="A467" s="21"/>
      <c r="B467" s="23"/>
      <c r="C467" s="23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</row>
    <row r="468" spans="1:19" ht="21.75" customHeight="1" x14ac:dyDescent="0.6">
      <c r="A468" s="21"/>
      <c r="B468" s="23"/>
      <c r="C468" s="23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</row>
    <row r="469" spans="1:19" ht="21.75" customHeight="1" x14ac:dyDescent="0.6">
      <c r="A469" s="21"/>
      <c r="B469" s="23"/>
      <c r="C469" s="23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 spans="1:19" ht="21.75" customHeight="1" x14ac:dyDescent="0.6">
      <c r="A470" s="21"/>
      <c r="B470" s="23"/>
      <c r="C470" s="23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 spans="1:19" ht="21.75" customHeight="1" x14ac:dyDescent="0.6">
      <c r="A471" s="21"/>
      <c r="B471" s="23"/>
      <c r="C471" s="23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 spans="1:19" ht="21.75" customHeight="1" x14ac:dyDescent="0.6">
      <c r="A472" s="21"/>
      <c r="B472" s="23"/>
      <c r="C472" s="23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 spans="1:19" ht="21.75" customHeight="1" x14ac:dyDescent="0.6">
      <c r="A473" s="21"/>
      <c r="B473" s="23"/>
      <c r="C473" s="23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 spans="1:19" ht="21.75" customHeight="1" x14ac:dyDescent="0.6">
      <c r="A474" s="21"/>
      <c r="B474" s="23"/>
      <c r="C474" s="23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 spans="1:19" ht="21.75" customHeight="1" x14ac:dyDescent="0.6">
      <c r="A475" s="21"/>
      <c r="B475" s="23"/>
      <c r="C475" s="23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 spans="1:19" ht="21.75" customHeight="1" x14ac:dyDescent="0.6">
      <c r="A476" s="21"/>
      <c r="B476" s="23"/>
      <c r="C476" s="23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 spans="1:19" ht="21.75" customHeight="1" x14ac:dyDescent="0.6">
      <c r="A477" s="21"/>
      <c r="B477" s="23"/>
      <c r="C477" s="23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 spans="1:19" ht="21.75" customHeight="1" x14ac:dyDescent="0.6">
      <c r="A478" s="21"/>
      <c r="B478" s="23"/>
      <c r="C478" s="23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 spans="1:19" ht="21.75" customHeight="1" x14ac:dyDescent="0.6">
      <c r="A479" s="21"/>
      <c r="B479" s="23"/>
      <c r="C479" s="23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 spans="1:19" ht="21.75" customHeight="1" x14ac:dyDescent="0.6">
      <c r="A480" s="21"/>
      <c r="B480" s="23"/>
      <c r="C480" s="23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 spans="1:19" ht="21.75" customHeight="1" x14ac:dyDescent="0.6">
      <c r="A481" s="21"/>
      <c r="B481" s="23"/>
      <c r="C481" s="23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 spans="1:19" ht="21.75" customHeight="1" x14ac:dyDescent="0.6">
      <c r="A482" s="21"/>
      <c r="B482" s="23"/>
      <c r="C482" s="23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 spans="1:19" ht="21.75" customHeight="1" x14ac:dyDescent="0.6">
      <c r="A483" s="21"/>
      <c r="B483" s="23"/>
      <c r="C483" s="23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 spans="1:19" ht="21.75" customHeight="1" x14ac:dyDescent="0.6">
      <c r="A484" s="21"/>
      <c r="B484" s="23"/>
      <c r="C484" s="23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  <row r="485" spans="1:19" ht="21.75" customHeight="1" x14ac:dyDescent="0.6">
      <c r="A485" s="21"/>
      <c r="B485" s="23"/>
      <c r="C485" s="23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</row>
    <row r="486" spans="1:19" ht="21.75" customHeight="1" x14ac:dyDescent="0.6">
      <c r="A486" s="21"/>
      <c r="B486" s="23"/>
      <c r="C486" s="23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</row>
    <row r="487" spans="1:19" ht="21.75" customHeight="1" x14ac:dyDescent="0.6">
      <c r="A487" s="21"/>
      <c r="B487" s="23"/>
      <c r="C487" s="23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</row>
    <row r="488" spans="1:19" ht="21.75" customHeight="1" x14ac:dyDescent="0.6">
      <c r="A488" s="21"/>
      <c r="B488" s="23"/>
      <c r="C488" s="23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</row>
    <row r="489" spans="1:19" ht="21.75" customHeight="1" x14ac:dyDescent="0.6">
      <c r="A489" s="21"/>
      <c r="B489" s="23"/>
      <c r="C489" s="23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</row>
    <row r="490" spans="1:19" ht="21.75" customHeight="1" x14ac:dyDescent="0.6">
      <c r="A490" s="21"/>
      <c r="B490" s="23"/>
      <c r="C490" s="23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</row>
    <row r="491" spans="1:19" ht="21.75" customHeight="1" x14ac:dyDescent="0.6">
      <c r="A491" s="21"/>
      <c r="B491" s="23"/>
      <c r="C491" s="23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</row>
    <row r="492" spans="1:19" ht="21.75" customHeight="1" x14ac:dyDescent="0.6">
      <c r="A492" s="21"/>
      <c r="B492" s="23"/>
      <c r="C492" s="23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</row>
    <row r="493" spans="1:19" ht="21.75" customHeight="1" x14ac:dyDescent="0.6">
      <c r="A493" s="21"/>
      <c r="B493" s="23"/>
      <c r="C493" s="23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</row>
    <row r="494" spans="1:19" ht="21.75" customHeight="1" x14ac:dyDescent="0.6">
      <c r="A494" s="21"/>
      <c r="B494" s="23"/>
      <c r="C494" s="23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</row>
    <row r="495" spans="1:19" ht="21.75" customHeight="1" x14ac:dyDescent="0.6">
      <c r="A495" s="21"/>
      <c r="B495" s="23"/>
      <c r="C495" s="23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</row>
    <row r="496" spans="1:19" ht="21.75" customHeight="1" x14ac:dyDescent="0.6">
      <c r="A496" s="21"/>
      <c r="B496" s="23"/>
      <c r="C496" s="23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</row>
    <row r="497" spans="1:19" ht="21.75" customHeight="1" x14ac:dyDescent="0.6">
      <c r="A497" s="21"/>
      <c r="B497" s="23"/>
      <c r="C497" s="23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</row>
    <row r="498" spans="1:19" ht="21.75" customHeight="1" x14ac:dyDescent="0.6">
      <c r="A498" s="21"/>
      <c r="B498" s="23"/>
      <c r="C498" s="23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</row>
    <row r="499" spans="1:19" ht="21.75" customHeight="1" x14ac:dyDescent="0.6">
      <c r="A499" s="21"/>
      <c r="B499" s="23"/>
      <c r="C499" s="23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</row>
    <row r="500" spans="1:19" ht="21.75" customHeight="1" x14ac:dyDescent="0.6">
      <c r="A500" s="21"/>
      <c r="B500" s="23"/>
      <c r="C500" s="23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</row>
    <row r="501" spans="1:19" ht="21.75" customHeight="1" x14ac:dyDescent="0.6">
      <c r="A501" s="21"/>
      <c r="B501" s="23"/>
      <c r="C501" s="23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</row>
    <row r="502" spans="1:19" ht="21.75" customHeight="1" x14ac:dyDescent="0.6">
      <c r="A502" s="21"/>
      <c r="B502" s="23"/>
      <c r="C502" s="23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</row>
    <row r="503" spans="1:19" ht="21.75" customHeight="1" x14ac:dyDescent="0.6">
      <c r="A503" s="21"/>
      <c r="B503" s="23"/>
      <c r="C503" s="23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</row>
    <row r="504" spans="1:19" ht="21.75" customHeight="1" x14ac:dyDescent="0.6">
      <c r="A504" s="21"/>
      <c r="B504" s="23"/>
      <c r="C504" s="23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</row>
    <row r="505" spans="1:19" ht="21.75" customHeight="1" x14ac:dyDescent="0.6">
      <c r="A505" s="21"/>
      <c r="B505" s="23"/>
      <c r="C505" s="23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</row>
    <row r="506" spans="1:19" ht="21.75" customHeight="1" x14ac:dyDescent="0.6">
      <c r="A506" s="21"/>
      <c r="B506" s="23"/>
      <c r="C506" s="23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</row>
    <row r="507" spans="1:19" ht="21.75" customHeight="1" x14ac:dyDescent="0.6">
      <c r="A507" s="21"/>
      <c r="B507" s="23"/>
      <c r="C507" s="23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</row>
    <row r="508" spans="1:19" ht="21.75" customHeight="1" x14ac:dyDescent="0.6">
      <c r="A508" s="21"/>
      <c r="B508" s="23"/>
      <c r="C508" s="23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</row>
    <row r="509" spans="1:19" ht="21.75" customHeight="1" x14ac:dyDescent="0.6">
      <c r="A509" s="21"/>
      <c r="B509" s="23"/>
      <c r="C509" s="23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</row>
    <row r="510" spans="1:19" ht="21.75" customHeight="1" x14ac:dyDescent="0.6">
      <c r="A510" s="21"/>
      <c r="B510" s="23"/>
      <c r="C510" s="23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</row>
    <row r="511" spans="1:19" ht="21.75" customHeight="1" x14ac:dyDescent="0.6">
      <c r="A511" s="21"/>
      <c r="B511" s="23"/>
      <c r="C511" s="23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</row>
    <row r="512" spans="1:19" ht="21.75" customHeight="1" x14ac:dyDescent="0.6">
      <c r="A512" s="21"/>
      <c r="B512" s="23"/>
      <c r="C512" s="23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</row>
    <row r="513" spans="1:19" ht="21.75" customHeight="1" x14ac:dyDescent="0.6">
      <c r="A513" s="21"/>
      <c r="B513" s="23"/>
      <c r="C513" s="23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</row>
    <row r="514" spans="1:19" ht="21.75" customHeight="1" x14ac:dyDescent="0.6">
      <c r="A514" s="21"/>
      <c r="B514" s="23"/>
      <c r="C514" s="23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</row>
    <row r="515" spans="1:19" ht="21.75" customHeight="1" x14ac:dyDescent="0.6">
      <c r="A515" s="21"/>
      <c r="B515" s="23"/>
      <c r="C515" s="23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</row>
    <row r="516" spans="1:19" ht="21.75" customHeight="1" x14ac:dyDescent="0.6">
      <c r="A516" s="21"/>
      <c r="B516" s="23"/>
      <c r="C516" s="23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</row>
    <row r="517" spans="1:19" ht="21.75" customHeight="1" x14ac:dyDescent="0.6">
      <c r="A517" s="21"/>
      <c r="B517" s="23"/>
      <c r="C517" s="23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</row>
    <row r="518" spans="1:19" ht="21.75" customHeight="1" x14ac:dyDescent="0.6">
      <c r="A518" s="21"/>
      <c r="B518" s="23"/>
      <c r="C518" s="23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</row>
    <row r="519" spans="1:19" ht="21.75" customHeight="1" x14ac:dyDescent="0.6">
      <c r="A519" s="21"/>
      <c r="B519" s="23"/>
      <c r="C519" s="23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</row>
    <row r="520" spans="1:19" ht="21.75" customHeight="1" x14ac:dyDescent="0.6">
      <c r="A520" s="21"/>
      <c r="B520" s="23"/>
      <c r="C520" s="23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</row>
    <row r="521" spans="1:19" ht="21.75" customHeight="1" x14ac:dyDescent="0.6">
      <c r="A521" s="21"/>
      <c r="B521" s="23"/>
      <c r="C521" s="23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</row>
    <row r="522" spans="1:19" ht="21.75" customHeight="1" x14ac:dyDescent="0.6">
      <c r="A522" s="21"/>
      <c r="B522" s="23"/>
      <c r="C522" s="23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</row>
    <row r="523" spans="1:19" ht="21.75" customHeight="1" x14ac:dyDescent="0.6">
      <c r="A523" s="21"/>
      <c r="B523" s="23"/>
      <c r="C523" s="23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</row>
    <row r="524" spans="1:19" ht="21.75" customHeight="1" x14ac:dyDescent="0.6">
      <c r="A524" s="21"/>
      <c r="B524" s="23"/>
      <c r="C524" s="23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</row>
    <row r="525" spans="1:19" ht="21.75" customHeight="1" x14ac:dyDescent="0.6">
      <c r="A525" s="21"/>
      <c r="B525" s="23"/>
      <c r="C525" s="23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</row>
    <row r="526" spans="1:19" ht="21.75" customHeight="1" x14ac:dyDescent="0.6">
      <c r="A526" s="21"/>
      <c r="B526" s="23"/>
      <c r="C526" s="23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</row>
    <row r="527" spans="1:19" ht="21.75" customHeight="1" x14ac:dyDescent="0.6">
      <c r="A527" s="21"/>
      <c r="B527" s="23"/>
      <c r="C527" s="23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</row>
    <row r="528" spans="1:19" ht="21.75" customHeight="1" x14ac:dyDescent="0.6">
      <c r="A528" s="21"/>
      <c r="B528" s="23"/>
      <c r="C528" s="23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</row>
    <row r="529" spans="1:19" ht="21.75" customHeight="1" x14ac:dyDescent="0.6">
      <c r="A529" s="21"/>
      <c r="B529" s="23"/>
      <c r="C529" s="23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</row>
    <row r="530" spans="1:19" ht="21.75" customHeight="1" x14ac:dyDescent="0.6">
      <c r="A530" s="21"/>
      <c r="B530" s="23"/>
      <c r="C530" s="23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</row>
    <row r="531" spans="1:19" ht="21.75" customHeight="1" x14ac:dyDescent="0.6">
      <c r="A531" s="21"/>
      <c r="B531" s="23"/>
      <c r="C531" s="23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</row>
    <row r="532" spans="1:19" ht="21.75" customHeight="1" x14ac:dyDescent="0.6">
      <c r="A532" s="21"/>
      <c r="B532" s="23"/>
      <c r="C532" s="23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</row>
    <row r="533" spans="1:19" ht="21.75" customHeight="1" x14ac:dyDescent="0.6">
      <c r="A533" s="21"/>
      <c r="B533" s="23"/>
      <c r="C533" s="23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</row>
    <row r="534" spans="1:19" ht="21.75" customHeight="1" x14ac:dyDescent="0.6">
      <c r="A534" s="21"/>
      <c r="B534" s="23"/>
      <c r="C534" s="23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</row>
    <row r="535" spans="1:19" ht="21.75" customHeight="1" x14ac:dyDescent="0.6">
      <c r="A535" s="21"/>
      <c r="B535" s="23"/>
      <c r="C535" s="23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</row>
    <row r="536" spans="1:19" ht="21.75" customHeight="1" x14ac:dyDescent="0.6">
      <c r="A536" s="21"/>
      <c r="B536" s="23"/>
      <c r="C536" s="23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</row>
    <row r="537" spans="1:19" ht="21.75" customHeight="1" x14ac:dyDescent="0.6">
      <c r="A537" s="21"/>
      <c r="B537" s="23"/>
      <c r="C537" s="23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</row>
    <row r="538" spans="1:19" ht="21.75" customHeight="1" x14ac:dyDescent="0.6">
      <c r="A538" s="21"/>
      <c r="B538" s="23"/>
      <c r="C538" s="23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</row>
    <row r="539" spans="1:19" ht="21.75" customHeight="1" x14ac:dyDescent="0.6">
      <c r="A539" s="21"/>
      <c r="B539" s="23"/>
      <c r="C539" s="23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</row>
    <row r="540" spans="1:19" ht="21.75" customHeight="1" x14ac:dyDescent="0.6">
      <c r="A540" s="21"/>
      <c r="B540" s="23"/>
      <c r="C540" s="23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</row>
    <row r="541" spans="1:19" ht="21.75" customHeight="1" x14ac:dyDescent="0.6">
      <c r="A541" s="21"/>
      <c r="B541" s="23"/>
      <c r="C541" s="23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</row>
    <row r="542" spans="1:19" ht="21.75" customHeight="1" x14ac:dyDescent="0.6">
      <c r="A542" s="21"/>
      <c r="B542" s="23"/>
      <c r="C542" s="23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</row>
    <row r="543" spans="1:19" ht="21.75" customHeight="1" x14ac:dyDescent="0.6">
      <c r="A543" s="21"/>
      <c r="B543" s="23"/>
      <c r="C543" s="23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</row>
    <row r="544" spans="1:19" ht="21.75" customHeight="1" x14ac:dyDescent="0.6">
      <c r="A544" s="21"/>
      <c r="B544" s="23"/>
      <c r="C544" s="23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</row>
    <row r="545" spans="1:19" ht="21.75" customHeight="1" x14ac:dyDescent="0.6">
      <c r="A545" s="21"/>
      <c r="B545" s="23"/>
      <c r="C545" s="23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</row>
    <row r="546" spans="1:19" ht="21.75" customHeight="1" x14ac:dyDescent="0.6">
      <c r="A546" s="21"/>
      <c r="B546" s="23"/>
      <c r="C546" s="23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</row>
    <row r="547" spans="1:19" ht="21.75" customHeight="1" x14ac:dyDescent="0.6">
      <c r="A547" s="21"/>
      <c r="B547" s="23"/>
      <c r="C547" s="23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</row>
    <row r="548" spans="1:19" ht="21.75" customHeight="1" x14ac:dyDescent="0.6">
      <c r="A548" s="21"/>
      <c r="B548" s="23"/>
      <c r="C548" s="23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</row>
    <row r="549" spans="1:19" ht="21.75" customHeight="1" x14ac:dyDescent="0.6">
      <c r="A549" s="21"/>
      <c r="B549" s="23"/>
      <c r="C549" s="23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</row>
    <row r="550" spans="1:19" ht="21.75" customHeight="1" x14ac:dyDescent="0.6">
      <c r="A550" s="21"/>
      <c r="B550" s="23"/>
      <c r="C550" s="23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</row>
    <row r="551" spans="1:19" ht="21.75" customHeight="1" x14ac:dyDescent="0.6">
      <c r="A551" s="21"/>
      <c r="B551" s="23"/>
      <c r="C551" s="23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</row>
    <row r="552" spans="1:19" ht="21.75" customHeight="1" x14ac:dyDescent="0.6">
      <c r="A552" s="21"/>
      <c r="B552" s="23"/>
      <c r="C552" s="23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</row>
    <row r="553" spans="1:19" ht="21.75" customHeight="1" x14ac:dyDescent="0.6">
      <c r="A553" s="21"/>
      <c r="B553" s="23"/>
      <c r="C553" s="23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</row>
    <row r="554" spans="1:19" ht="21.75" customHeight="1" x14ac:dyDescent="0.6">
      <c r="A554" s="21"/>
      <c r="B554" s="23"/>
      <c r="C554" s="23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</row>
    <row r="555" spans="1:19" ht="21.75" customHeight="1" x14ac:dyDescent="0.6">
      <c r="A555" s="21"/>
      <c r="B555" s="23"/>
      <c r="C555" s="23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</row>
    <row r="556" spans="1:19" ht="21.75" customHeight="1" x14ac:dyDescent="0.6">
      <c r="A556" s="21"/>
      <c r="B556" s="23"/>
      <c r="C556" s="23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</row>
    <row r="557" spans="1:19" ht="21.75" customHeight="1" x14ac:dyDescent="0.6">
      <c r="A557" s="21"/>
      <c r="B557" s="23"/>
      <c r="C557" s="23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</row>
    <row r="558" spans="1:19" ht="21.75" customHeight="1" x14ac:dyDescent="0.6">
      <c r="A558" s="21"/>
      <c r="B558" s="23"/>
      <c r="C558" s="23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</row>
    <row r="559" spans="1:19" ht="21.75" customHeight="1" x14ac:dyDescent="0.6">
      <c r="A559" s="21"/>
      <c r="B559" s="23"/>
      <c r="C559" s="23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</row>
    <row r="560" spans="1:19" ht="21.75" customHeight="1" x14ac:dyDescent="0.6">
      <c r="A560" s="21"/>
      <c r="B560" s="23"/>
      <c r="C560" s="23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</row>
    <row r="561" spans="1:19" ht="21.75" customHeight="1" x14ac:dyDescent="0.6">
      <c r="A561" s="21"/>
      <c r="B561" s="23"/>
      <c r="C561" s="23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</row>
    <row r="562" spans="1:19" ht="21.75" customHeight="1" x14ac:dyDescent="0.6">
      <c r="A562" s="21"/>
      <c r="B562" s="23"/>
      <c r="C562" s="23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</row>
    <row r="563" spans="1:19" ht="21.75" customHeight="1" x14ac:dyDescent="0.6">
      <c r="A563" s="21"/>
      <c r="B563" s="23"/>
      <c r="C563" s="23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</row>
    <row r="564" spans="1:19" ht="21.75" customHeight="1" x14ac:dyDescent="0.6">
      <c r="A564" s="21"/>
      <c r="B564" s="23"/>
      <c r="C564" s="23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</row>
    <row r="565" spans="1:19" ht="21.75" customHeight="1" x14ac:dyDescent="0.6">
      <c r="A565" s="21"/>
      <c r="B565" s="23"/>
      <c r="C565" s="23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</row>
    <row r="566" spans="1:19" ht="21.75" customHeight="1" x14ac:dyDescent="0.6">
      <c r="A566" s="21"/>
      <c r="B566" s="23"/>
      <c r="C566" s="23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</row>
    <row r="567" spans="1:19" ht="21.75" customHeight="1" x14ac:dyDescent="0.6">
      <c r="A567" s="21"/>
      <c r="B567" s="23"/>
      <c r="C567" s="23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</row>
    <row r="568" spans="1:19" ht="21.75" customHeight="1" x14ac:dyDescent="0.6">
      <c r="A568" s="21"/>
      <c r="B568" s="23"/>
      <c r="C568" s="23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</row>
    <row r="569" spans="1:19" ht="21.75" customHeight="1" x14ac:dyDescent="0.6">
      <c r="A569" s="21"/>
      <c r="B569" s="23"/>
      <c r="C569" s="23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</row>
    <row r="570" spans="1:19" ht="21.75" customHeight="1" x14ac:dyDescent="0.6">
      <c r="A570" s="21"/>
      <c r="B570" s="23"/>
      <c r="C570" s="23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</row>
    <row r="571" spans="1:19" ht="21.75" customHeight="1" x14ac:dyDescent="0.6">
      <c r="A571" s="21"/>
      <c r="B571" s="23"/>
      <c r="C571" s="23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</row>
    <row r="572" spans="1:19" ht="21.75" customHeight="1" x14ac:dyDescent="0.6">
      <c r="A572" s="21"/>
      <c r="B572" s="23"/>
      <c r="C572" s="23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</row>
    <row r="573" spans="1:19" ht="21.75" customHeight="1" x14ac:dyDescent="0.6">
      <c r="A573" s="21"/>
      <c r="B573" s="23"/>
      <c r="C573" s="23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</row>
    <row r="574" spans="1:19" ht="21.75" customHeight="1" x14ac:dyDescent="0.6">
      <c r="A574" s="21"/>
      <c r="B574" s="23"/>
      <c r="C574" s="23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</row>
    <row r="575" spans="1:19" ht="21.75" customHeight="1" x14ac:dyDescent="0.6">
      <c r="A575" s="21"/>
      <c r="B575" s="23"/>
      <c r="C575" s="23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</row>
    <row r="576" spans="1:19" ht="21.75" customHeight="1" x14ac:dyDescent="0.6">
      <c r="A576" s="21"/>
      <c r="B576" s="23"/>
      <c r="C576" s="23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</row>
    <row r="577" spans="1:19" ht="21.75" customHeight="1" x14ac:dyDescent="0.6">
      <c r="A577" s="21"/>
      <c r="B577" s="23"/>
      <c r="C577" s="23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</row>
    <row r="578" spans="1:19" ht="21.75" customHeight="1" x14ac:dyDescent="0.6">
      <c r="A578" s="21"/>
      <c r="B578" s="23"/>
      <c r="C578" s="23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</row>
    <row r="579" spans="1:19" ht="21.75" customHeight="1" x14ac:dyDescent="0.6">
      <c r="A579" s="21"/>
      <c r="B579" s="23"/>
      <c r="C579" s="23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</row>
    <row r="580" spans="1:19" ht="21.75" customHeight="1" x14ac:dyDescent="0.6">
      <c r="A580" s="21"/>
      <c r="B580" s="23"/>
      <c r="C580" s="23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</row>
    <row r="581" spans="1:19" ht="21.75" customHeight="1" x14ac:dyDescent="0.6">
      <c r="A581" s="21"/>
      <c r="B581" s="23"/>
      <c r="C581" s="23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</row>
    <row r="582" spans="1:19" ht="21.75" customHeight="1" x14ac:dyDescent="0.6">
      <c r="A582" s="21"/>
      <c r="B582" s="23"/>
      <c r="C582" s="23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</row>
    <row r="583" spans="1:19" ht="21.75" customHeight="1" x14ac:dyDescent="0.6">
      <c r="A583" s="21"/>
      <c r="B583" s="23"/>
      <c r="C583" s="23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</row>
    <row r="584" spans="1:19" ht="21.75" customHeight="1" x14ac:dyDescent="0.6">
      <c r="A584" s="21"/>
      <c r="B584" s="23"/>
      <c r="C584" s="23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</row>
    <row r="585" spans="1:19" ht="21.75" customHeight="1" x14ac:dyDescent="0.6">
      <c r="A585" s="21"/>
      <c r="B585" s="23"/>
      <c r="C585" s="23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</row>
    <row r="586" spans="1:19" ht="21.75" customHeight="1" x14ac:dyDescent="0.6">
      <c r="A586" s="21"/>
      <c r="B586" s="23"/>
      <c r="C586" s="23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</row>
    <row r="587" spans="1:19" ht="21.75" customHeight="1" x14ac:dyDescent="0.6">
      <c r="A587" s="21"/>
      <c r="B587" s="23"/>
      <c r="C587" s="23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</row>
    <row r="588" spans="1:19" ht="21.75" customHeight="1" x14ac:dyDescent="0.6">
      <c r="A588" s="21"/>
      <c r="B588" s="23"/>
      <c r="C588" s="23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</row>
    <row r="589" spans="1:19" ht="21.75" customHeight="1" x14ac:dyDescent="0.6">
      <c r="A589" s="21"/>
      <c r="B589" s="23"/>
      <c r="C589" s="23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</row>
    <row r="590" spans="1:19" ht="21.75" customHeight="1" x14ac:dyDescent="0.6">
      <c r="A590" s="21"/>
      <c r="B590" s="23"/>
      <c r="C590" s="23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</row>
    <row r="591" spans="1:19" ht="21.75" customHeight="1" x14ac:dyDescent="0.6">
      <c r="A591" s="21"/>
      <c r="B591" s="23"/>
      <c r="C591" s="23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</row>
    <row r="592" spans="1:19" ht="21.75" customHeight="1" x14ac:dyDescent="0.6">
      <c r="A592" s="21"/>
      <c r="B592" s="23"/>
      <c r="C592" s="23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</row>
    <row r="593" spans="1:19" ht="21.75" customHeight="1" x14ac:dyDescent="0.6">
      <c r="A593" s="21"/>
      <c r="B593" s="23"/>
      <c r="C593" s="23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</row>
    <row r="594" spans="1:19" ht="21.75" customHeight="1" x14ac:dyDescent="0.6">
      <c r="A594" s="21"/>
      <c r="B594" s="23"/>
      <c r="C594" s="23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</row>
    <row r="595" spans="1:19" ht="21.75" customHeight="1" x14ac:dyDescent="0.6">
      <c r="A595" s="21"/>
      <c r="B595" s="23"/>
      <c r="C595" s="23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</row>
    <row r="596" spans="1:19" ht="21.75" customHeight="1" x14ac:dyDescent="0.6">
      <c r="A596" s="21"/>
      <c r="B596" s="23"/>
      <c r="C596" s="23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</row>
    <row r="597" spans="1:19" ht="21.75" customHeight="1" x14ac:dyDescent="0.6">
      <c r="A597" s="21"/>
      <c r="B597" s="23"/>
      <c r="C597" s="23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</row>
    <row r="598" spans="1:19" ht="21.75" customHeight="1" x14ac:dyDescent="0.6">
      <c r="A598" s="21"/>
      <c r="B598" s="23"/>
      <c r="C598" s="23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</row>
    <row r="599" spans="1:19" ht="21.75" customHeight="1" x14ac:dyDescent="0.6">
      <c r="A599" s="21"/>
      <c r="B599" s="23"/>
      <c r="C599" s="23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</row>
    <row r="600" spans="1:19" ht="21.75" customHeight="1" x14ac:dyDescent="0.6">
      <c r="A600" s="21"/>
      <c r="B600" s="23"/>
      <c r="C600" s="23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</row>
    <row r="601" spans="1:19" ht="21.75" customHeight="1" x14ac:dyDescent="0.6">
      <c r="A601" s="21"/>
      <c r="B601" s="23"/>
      <c r="C601" s="23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</row>
    <row r="602" spans="1:19" ht="21.75" customHeight="1" x14ac:dyDescent="0.6">
      <c r="A602" s="21"/>
      <c r="B602" s="23"/>
      <c r="C602" s="23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</row>
    <row r="603" spans="1:19" ht="21.75" customHeight="1" x14ac:dyDescent="0.6">
      <c r="A603" s="21"/>
      <c r="B603" s="23"/>
      <c r="C603" s="23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</row>
    <row r="604" spans="1:19" ht="21.75" customHeight="1" x14ac:dyDescent="0.6">
      <c r="A604" s="21"/>
      <c r="B604" s="23"/>
      <c r="C604" s="23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</row>
    <row r="605" spans="1:19" ht="21.75" customHeight="1" x14ac:dyDescent="0.6">
      <c r="A605" s="21"/>
      <c r="B605" s="23"/>
      <c r="C605" s="23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</row>
    <row r="606" spans="1:19" ht="21.75" customHeight="1" x14ac:dyDescent="0.6">
      <c r="A606" s="21"/>
      <c r="B606" s="23"/>
      <c r="C606" s="23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</row>
    <row r="607" spans="1:19" ht="21.75" customHeight="1" x14ac:dyDescent="0.6">
      <c r="A607" s="21"/>
      <c r="B607" s="23"/>
      <c r="C607" s="23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</row>
    <row r="608" spans="1:19" ht="21.75" customHeight="1" x14ac:dyDescent="0.6">
      <c r="A608" s="21"/>
      <c r="B608" s="23"/>
      <c r="C608" s="23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</row>
    <row r="609" spans="1:19" ht="21.75" customHeight="1" x14ac:dyDescent="0.6">
      <c r="A609" s="21"/>
      <c r="B609" s="23"/>
      <c r="C609" s="23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</row>
    <row r="610" spans="1:19" ht="21.75" customHeight="1" x14ac:dyDescent="0.6">
      <c r="A610" s="21"/>
      <c r="B610" s="23"/>
      <c r="C610" s="23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</row>
    <row r="611" spans="1:19" ht="21.75" customHeight="1" x14ac:dyDescent="0.6">
      <c r="A611" s="21"/>
      <c r="B611" s="23"/>
      <c r="C611" s="23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</row>
    <row r="612" spans="1:19" ht="21.75" customHeight="1" x14ac:dyDescent="0.6">
      <c r="A612" s="21"/>
      <c r="B612" s="23"/>
      <c r="C612" s="23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</row>
    <row r="613" spans="1:19" ht="21.75" customHeight="1" x14ac:dyDescent="0.6">
      <c r="A613" s="21"/>
      <c r="B613" s="23"/>
      <c r="C613" s="23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</row>
    <row r="614" spans="1:19" ht="21.75" customHeight="1" x14ac:dyDescent="0.6">
      <c r="A614" s="21"/>
      <c r="B614" s="23"/>
      <c r="C614" s="23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</row>
    <row r="615" spans="1:19" ht="21.75" customHeight="1" x14ac:dyDescent="0.6">
      <c r="A615" s="21"/>
      <c r="B615" s="23"/>
      <c r="C615" s="23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</row>
    <row r="616" spans="1:19" ht="21.75" customHeight="1" x14ac:dyDescent="0.6">
      <c r="A616" s="21"/>
      <c r="B616" s="23"/>
      <c r="C616" s="23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</row>
    <row r="617" spans="1:19" ht="21.75" customHeight="1" x14ac:dyDescent="0.6">
      <c r="A617" s="21"/>
      <c r="B617" s="23"/>
      <c r="C617" s="23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</row>
    <row r="618" spans="1:19" ht="21.75" customHeight="1" x14ac:dyDescent="0.6">
      <c r="A618" s="21"/>
      <c r="B618" s="23"/>
      <c r="C618" s="23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</row>
    <row r="619" spans="1:19" ht="21.75" customHeight="1" x14ac:dyDescent="0.6">
      <c r="A619" s="21"/>
      <c r="B619" s="23"/>
      <c r="C619" s="23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</row>
    <row r="620" spans="1:19" ht="21.75" customHeight="1" x14ac:dyDescent="0.6">
      <c r="A620" s="21"/>
      <c r="B620" s="23"/>
      <c r="C620" s="23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</row>
    <row r="621" spans="1:19" ht="21.75" customHeight="1" x14ac:dyDescent="0.6">
      <c r="A621" s="21"/>
      <c r="B621" s="23"/>
      <c r="C621" s="23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</row>
    <row r="622" spans="1:19" ht="21.75" customHeight="1" x14ac:dyDescent="0.6">
      <c r="A622" s="21"/>
      <c r="B622" s="23"/>
      <c r="C622" s="23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</row>
    <row r="623" spans="1:19" ht="21.75" customHeight="1" x14ac:dyDescent="0.6">
      <c r="A623" s="21"/>
      <c r="B623" s="23"/>
      <c r="C623" s="23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</row>
    <row r="624" spans="1:19" ht="21.75" customHeight="1" x14ac:dyDescent="0.6">
      <c r="A624" s="21"/>
      <c r="B624" s="23"/>
      <c r="C624" s="23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</row>
    <row r="625" spans="1:19" ht="21.75" customHeight="1" x14ac:dyDescent="0.6">
      <c r="A625" s="21"/>
      <c r="B625" s="23"/>
      <c r="C625" s="23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</row>
    <row r="626" spans="1:19" ht="21.75" customHeight="1" x14ac:dyDescent="0.6">
      <c r="A626" s="21"/>
      <c r="B626" s="23"/>
      <c r="C626" s="23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</row>
    <row r="627" spans="1:19" ht="21.75" customHeight="1" x14ac:dyDescent="0.6">
      <c r="A627" s="21"/>
      <c r="B627" s="23"/>
      <c r="C627" s="23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</row>
    <row r="628" spans="1:19" ht="21.75" customHeight="1" x14ac:dyDescent="0.6">
      <c r="A628" s="21"/>
      <c r="B628" s="23"/>
      <c r="C628" s="23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</row>
    <row r="629" spans="1:19" ht="21.75" customHeight="1" x14ac:dyDescent="0.6">
      <c r="A629" s="21"/>
      <c r="B629" s="23"/>
      <c r="C629" s="23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</row>
    <row r="630" spans="1:19" ht="21.75" customHeight="1" x14ac:dyDescent="0.6">
      <c r="A630" s="21"/>
      <c r="B630" s="23"/>
      <c r="C630" s="23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</row>
    <row r="631" spans="1:19" ht="21.75" customHeight="1" x14ac:dyDescent="0.6">
      <c r="A631" s="21"/>
      <c r="B631" s="23"/>
      <c r="C631" s="23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</row>
    <row r="632" spans="1:19" ht="21.75" customHeight="1" x14ac:dyDescent="0.6">
      <c r="A632" s="21"/>
      <c r="B632" s="23"/>
      <c r="C632" s="23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</row>
    <row r="633" spans="1:19" ht="21.75" customHeight="1" x14ac:dyDescent="0.6">
      <c r="A633" s="21"/>
      <c r="B633" s="23"/>
      <c r="C633" s="23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</row>
    <row r="634" spans="1:19" ht="21.75" customHeight="1" x14ac:dyDescent="0.6">
      <c r="A634" s="21"/>
      <c r="B634" s="23"/>
      <c r="C634" s="23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</row>
    <row r="635" spans="1:19" ht="21.75" customHeight="1" x14ac:dyDescent="0.6">
      <c r="A635" s="21"/>
      <c r="B635" s="23"/>
      <c r="C635" s="23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</row>
    <row r="636" spans="1:19" ht="21.75" customHeight="1" x14ac:dyDescent="0.6">
      <c r="A636" s="21"/>
      <c r="B636" s="23"/>
      <c r="C636" s="23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</row>
    <row r="637" spans="1:19" ht="21.75" customHeight="1" x14ac:dyDescent="0.6">
      <c r="A637" s="21"/>
      <c r="B637" s="23"/>
      <c r="C637" s="23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</row>
    <row r="638" spans="1:19" ht="21.75" customHeight="1" x14ac:dyDescent="0.6">
      <c r="A638" s="21"/>
      <c r="B638" s="23"/>
      <c r="C638" s="23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</row>
    <row r="639" spans="1:19" ht="21.75" customHeight="1" x14ac:dyDescent="0.6">
      <c r="A639" s="21"/>
      <c r="B639" s="23"/>
      <c r="C639" s="23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</row>
    <row r="640" spans="1:19" ht="21.75" customHeight="1" x14ac:dyDescent="0.6">
      <c r="A640" s="21"/>
      <c r="B640" s="23"/>
      <c r="C640" s="23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</row>
    <row r="641" spans="1:19" ht="21.75" customHeight="1" x14ac:dyDescent="0.6">
      <c r="A641" s="21"/>
      <c r="B641" s="23"/>
      <c r="C641" s="23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</row>
    <row r="642" spans="1:19" ht="21.75" customHeight="1" x14ac:dyDescent="0.6">
      <c r="A642" s="21"/>
      <c r="B642" s="23"/>
      <c r="C642" s="23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</row>
    <row r="643" spans="1:19" ht="21.75" customHeight="1" x14ac:dyDescent="0.6">
      <c r="A643" s="21"/>
      <c r="B643" s="23"/>
      <c r="C643" s="23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</row>
    <row r="644" spans="1:19" ht="21.75" customHeight="1" x14ac:dyDescent="0.6">
      <c r="A644" s="21"/>
      <c r="B644" s="23"/>
      <c r="C644" s="23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</row>
    <row r="645" spans="1:19" ht="21.75" customHeight="1" x14ac:dyDescent="0.6">
      <c r="A645" s="21"/>
      <c r="B645" s="23"/>
      <c r="C645" s="23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</row>
    <row r="646" spans="1:19" ht="21.75" customHeight="1" x14ac:dyDescent="0.6">
      <c r="A646" s="21"/>
      <c r="B646" s="23"/>
      <c r="C646" s="23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</row>
    <row r="647" spans="1:19" ht="21.75" customHeight="1" x14ac:dyDescent="0.6">
      <c r="A647" s="21"/>
      <c r="B647" s="23"/>
      <c r="C647" s="23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</row>
    <row r="648" spans="1:19" ht="21.75" customHeight="1" x14ac:dyDescent="0.6">
      <c r="A648" s="21"/>
      <c r="B648" s="23"/>
      <c r="C648" s="23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</row>
    <row r="649" spans="1:19" ht="21.75" customHeight="1" x14ac:dyDescent="0.6">
      <c r="A649" s="21"/>
      <c r="B649" s="23"/>
      <c r="C649" s="23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</row>
    <row r="650" spans="1:19" ht="21.75" customHeight="1" x14ac:dyDescent="0.6">
      <c r="A650" s="21"/>
      <c r="B650" s="23"/>
      <c r="C650" s="23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</row>
    <row r="651" spans="1:19" ht="21.75" customHeight="1" x14ac:dyDescent="0.6">
      <c r="A651" s="21"/>
      <c r="B651" s="23"/>
      <c r="C651" s="23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</row>
    <row r="652" spans="1:19" ht="21.75" customHeight="1" x14ac:dyDescent="0.6">
      <c r="A652" s="21"/>
      <c r="B652" s="23"/>
      <c r="C652" s="23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</row>
    <row r="653" spans="1:19" ht="21.75" customHeight="1" x14ac:dyDescent="0.6">
      <c r="A653" s="21"/>
      <c r="B653" s="23"/>
      <c r="C653" s="23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</row>
    <row r="654" spans="1:19" ht="21.75" customHeight="1" x14ac:dyDescent="0.6">
      <c r="A654" s="21"/>
      <c r="B654" s="23"/>
      <c r="C654" s="23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</row>
    <row r="655" spans="1:19" ht="21.75" customHeight="1" x14ac:dyDescent="0.6">
      <c r="A655" s="21"/>
      <c r="B655" s="23"/>
      <c r="C655" s="23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</row>
    <row r="656" spans="1:19" ht="21.75" customHeight="1" x14ac:dyDescent="0.6">
      <c r="A656" s="21"/>
      <c r="B656" s="23"/>
      <c r="C656" s="23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</row>
    <row r="657" spans="1:19" ht="21.75" customHeight="1" x14ac:dyDescent="0.6">
      <c r="A657" s="21"/>
      <c r="B657" s="23"/>
      <c r="C657" s="23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</row>
    <row r="658" spans="1:19" ht="21.75" customHeight="1" x14ac:dyDescent="0.6">
      <c r="A658" s="21"/>
      <c r="B658" s="23"/>
      <c r="C658" s="23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</row>
    <row r="659" spans="1:19" ht="21.75" customHeight="1" x14ac:dyDescent="0.6">
      <c r="A659" s="21"/>
      <c r="B659" s="23"/>
      <c r="C659" s="23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</row>
    <row r="660" spans="1:19" ht="21.75" customHeight="1" x14ac:dyDescent="0.6">
      <c r="A660" s="21"/>
      <c r="B660" s="23"/>
      <c r="C660" s="23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</row>
    <row r="661" spans="1:19" ht="21.75" customHeight="1" x14ac:dyDescent="0.6">
      <c r="A661" s="21"/>
      <c r="B661" s="23"/>
      <c r="C661" s="23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</row>
    <row r="662" spans="1:19" ht="21.75" customHeight="1" x14ac:dyDescent="0.6">
      <c r="A662" s="21"/>
      <c r="B662" s="23"/>
      <c r="C662" s="23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</row>
    <row r="663" spans="1:19" ht="21.75" customHeight="1" x14ac:dyDescent="0.6">
      <c r="A663" s="21"/>
      <c r="B663" s="23"/>
      <c r="C663" s="23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</row>
    <row r="664" spans="1:19" ht="21.75" customHeight="1" x14ac:dyDescent="0.6">
      <c r="A664" s="21"/>
      <c r="B664" s="23"/>
      <c r="C664" s="23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</row>
    <row r="665" spans="1:19" ht="21.75" customHeight="1" x14ac:dyDescent="0.6">
      <c r="A665" s="21"/>
      <c r="B665" s="23"/>
      <c r="C665" s="23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</row>
    <row r="666" spans="1:19" ht="21.75" customHeight="1" x14ac:dyDescent="0.6">
      <c r="A666" s="21"/>
      <c r="B666" s="23"/>
      <c r="C666" s="23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</row>
    <row r="667" spans="1:19" ht="21.75" customHeight="1" x14ac:dyDescent="0.6">
      <c r="A667" s="21"/>
      <c r="B667" s="23"/>
      <c r="C667" s="23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</row>
    <row r="668" spans="1:19" ht="21.75" customHeight="1" x14ac:dyDescent="0.6">
      <c r="A668" s="21"/>
      <c r="B668" s="23"/>
      <c r="C668" s="23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</row>
    <row r="669" spans="1:19" ht="21.75" customHeight="1" x14ac:dyDescent="0.6">
      <c r="A669" s="21"/>
      <c r="B669" s="23"/>
      <c r="C669" s="23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</row>
    <row r="670" spans="1:19" ht="21.75" customHeight="1" x14ac:dyDescent="0.6">
      <c r="A670" s="21"/>
      <c r="B670" s="23"/>
      <c r="C670" s="23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</row>
    <row r="671" spans="1:19" ht="21.75" customHeight="1" x14ac:dyDescent="0.6">
      <c r="A671" s="21"/>
      <c r="B671" s="23"/>
      <c r="C671" s="23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</row>
    <row r="672" spans="1:19" ht="21.75" customHeight="1" x14ac:dyDescent="0.6">
      <c r="A672" s="21"/>
      <c r="B672" s="23"/>
      <c r="C672" s="23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</row>
    <row r="673" spans="1:19" ht="21.75" customHeight="1" x14ac:dyDescent="0.6">
      <c r="A673" s="21"/>
      <c r="B673" s="23"/>
      <c r="C673" s="23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</row>
    <row r="674" spans="1:19" ht="21.75" customHeight="1" x14ac:dyDescent="0.6">
      <c r="A674" s="21"/>
      <c r="B674" s="23"/>
      <c r="C674" s="23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</row>
    <row r="675" spans="1:19" ht="21.75" customHeight="1" x14ac:dyDescent="0.6">
      <c r="A675" s="21"/>
      <c r="B675" s="23"/>
      <c r="C675" s="23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1:19" ht="21.75" customHeight="1" x14ac:dyDescent="0.6">
      <c r="A676" s="21"/>
      <c r="B676" s="23"/>
      <c r="C676" s="23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</row>
    <row r="677" spans="1:19" ht="21.75" customHeight="1" x14ac:dyDescent="0.6">
      <c r="A677" s="21"/>
      <c r="B677" s="23"/>
      <c r="C677" s="23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</row>
    <row r="678" spans="1:19" ht="21.75" customHeight="1" x14ac:dyDescent="0.6">
      <c r="A678" s="21"/>
      <c r="B678" s="23"/>
      <c r="C678" s="23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1:19" ht="21.75" customHeight="1" x14ac:dyDescent="0.6">
      <c r="A679" s="21"/>
      <c r="B679" s="23"/>
      <c r="C679" s="23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</row>
    <row r="680" spans="1:19" ht="21.75" customHeight="1" x14ac:dyDescent="0.6">
      <c r="A680" s="21"/>
      <c r="B680" s="23"/>
      <c r="C680" s="23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</row>
    <row r="681" spans="1:19" ht="21.75" customHeight="1" x14ac:dyDescent="0.6">
      <c r="A681" s="21"/>
      <c r="B681" s="23"/>
      <c r="C681" s="23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</row>
    <row r="682" spans="1:19" ht="21.75" customHeight="1" x14ac:dyDescent="0.6">
      <c r="A682" s="21"/>
      <c r="B682" s="23"/>
      <c r="C682" s="23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</row>
    <row r="683" spans="1:19" ht="21.75" customHeight="1" x14ac:dyDescent="0.6">
      <c r="A683" s="21"/>
      <c r="B683" s="23"/>
      <c r="C683" s="23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</row>
    <row r="684" spans="1:19" ht="21.75" customHeight="1" x14ac:dyDescent="0.6">
      <c r="A684" s="21"/>
      <c r="B684" s="23"/>
      <c r="C684" s="23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</row>
    <row r="685" spans="1:19" ht="21.75" customHeight="1" x14ac:dyDescent="0.6">
      <c r="A685" s="21"/>
      <c r="B685" s="23"/>
      <c r="C685" s="23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</row>
    <row r="686" spans="1:19" ht="21.75" customHeight="1" x14ac:dyDescent="0.6">
      <c r="A686" s="21"/>
      <c r="B686" s="23"/>
      <c r="C686" s="23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</row>
    <row r="687" spans="1:19" ht="21.75" customHeight="1" x14ac:dyDescent="0.6">
      <c r="A687" s="21"/>
      <c r="B687" s="23"/>
      <c r="C687" s="23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</row>
    <row r="688" spans="1:19" ht="21.75" customHeight="1" x14ac:dyDescent="0.6">
      <c r="A688" s="21"/>
      <c r="B688" s="23"/>
      <c r="C688" s="23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</row>
    <row r="689" spans="1:19" ht="21.75" customHeight="1" x14ac:dyDescent="0.6">
      <c r="A689" s="21"/>
      <c r="B689" s="23"/>
      <c r="C689" s="23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</row>
    <row r="690" spans="1:19" ht="21.75" customHeight="1" x14ac:dyDescent="0.6">
      <c r="A690" s="21"/>
      <c r="B690" s="23"/>
      <c r="C690" s="23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</row>
    <row r="691" spans="1:19" ht="21.75" customHeight="1" x14ac:dyDescent="0.6">
      <c r="A691" s="21"/>
      <c r="B691" s="23"/>
      <c r="C691" s="23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</row>
    <row r="692" spans="1:19" ht="21.75" customHeight="1" x14ac:dyDescent="0.6">
      <c r="A692" s="21"/>
      <c r="B692" s="23"/>
      <c r="C692" s="23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</row>
    <row r="693" spans="1:19" ht="21.75" customHeight="1" x14ac:dyDescent="0.6">
      <c r="A693" s="21"/>
      <c r="B693" s="23"/>
      <c r="C693" s="23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</row>
    <row r="694" spans="1:19" ht="21.75" customHeight="1" x14ac:dyDescent="0.6">
      <c r="A694" s="21"/>
      <c r="B694" s="23"/>
      <c r="C694" s="23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</row>
    <row r="695" spans="1:19" ht="21.75" customHeight="1" x14ac:dyDescent="0.6">
      <c r="A695" s="21"/>
      <c r="B695" s="23"/>
      <c r="C695" s="23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</row>
    <row r="696" spans="1:19" ht="21.75" customHeight="1" x14ac:dyDescent="0.6">
      <c r="A696" s="21"/>
      <c r="B696" s="23"/>
      <c r="C696" s="23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</row>
    <row r="697" spans="1:19" ht="21.75" customHeight="1" x14ac:dyDescent="0.6">
      <c r="A697" s="21"/>
      <c r="B697" s="23"/>
      <c r="C697" s="23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</row>
    <row r="698" spans="1:19" ht="21.75" customHeight="1" x14ac:dyDescent="0.6">
      <c r="A698" s="21"/>
      <c r="B698" s="23"/>
      <c r="C698" s="23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</row>
    <row r="699" spans="1:19" ht="21.75" customHeight="1" x14ac:dyDescent="0.6">
      <c r="A699" s="21"/>
      <c r="B699" s="23"/>
      <c r="C699" s="23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</row>
    <row r="700" spans="1:19" ht="21.75" customHeight="1" x14ac:dyDescent="0.6">
      <c r="A700" s="21"/>
      <c r="B700" s="23"/>
      <c r="C700" s="23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</row>
    <row r="701" spans="1:19" ht="21.75" customHeight="1" x14ac:dyDescent="0.6">
      <c r="A701" s="21"/>
      <c r="B701" s="23"/>
      <c r="C701" s="23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</row>
    <row r="702" spans="1:19" ht="21.75" customHeight="1" x14ac:dyDescent="0.6">
      <c r="A702" s="21"/>
      <c r="B702" s="23"/>
      <c r="C702" s="23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</row>
    <row r="703" spans="1:19" ht="21.75" customHeight="1" x14ac:dyDescent="0.6">
      <c r="A703" s="21"/>
      <c r="B703" s="23"/>
      <c r="C703" s="23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</row>
    <row r="704" spans="1:19" ht="21.75" customHeight="1" x14ac:dyDescent="0.6">
      <c r="A704" s="21"/>
      <c r="B704" s="23"/>
      <c r="C704" s="23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</row>
    <row r="705" spans="1:19" ht="21.75" customHeight="1" x14ac:dyDescent="0.6">
      <c r="A705" s="21"/>
      <c r="B705" s="23"/>
      <c r="C705" s="23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</row>
    <row r="706" spans="1:19" ht="21.75" customHeight="1" x14ac:dyDescent="0.6">
      <c r="A706" s="21"/>
      <c r="B706" s="23"/>
      <c r="C706" s="23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</row>
    <row r="707" spans="1:19" ht="21.75" customHeight="1" x14ac:dyDescent="0.6">
      <c r="A707" s="21"/>
      <c r="B707" s="23"/>
      <c r="C707" s="23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</row>
    <row r="708" spans="1:19" ht="21.75" customHeight="1" x14ac:dyDescent="0.6">
      <c r="A708" s="21"/>
      <c r="B708" s="23"/>
      <c r="C708" s="23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</row>
    <row r="709" spans="1:19" ht="21.75" customHeight="1" x14ac:dyDescent="0.6">
      <c r="A709" s="21"/>
      <c r="B709" s="23"/>
      <c r="C709" s="23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</row>
    <row r="710" spans="1:19" ht="21.75" customHeight="1" x14ac:dyDescent="0.6">
      <c r="A710" s="21"/>
      <c r="B710" s="23"/>
      <c r="C710" s="23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</row>
    <row r="711" spans="1:19" ht="21.75" customHeight="1" x14ac:dyDescent="0.6">
      <c r="A711" s="21"/>
      <c r="B711" s="23"/>
      <c r="C711" s="23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</row>
    <row r="712" spans="1:19" ht="21.75" customHeight="1" x14ac:dyDescent="0.6">
      <c r="A712" s="21"/>
      <c r="B712" s="23"/>
      <c r="C712" s="23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</row>
    <row r="713" spans="1:19" ht="21.75" customHeight="1" x14ac:dyDescent="0.6">
      <c r="A713" s="21"/>
      <c r="B713" s="23"/>
      <c r="C713" s="23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</row>
    <row r="714" spans="1:19" ht="21.75" customHeight="1" x14ac:dyDescent="0.6">
      <c r="A714" s="21"/>
      <c r="B714" s="23"/>
      <c r="C714" s="23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</row>
    <row r="715" spans="1:19" ht="21.75" customHeight="1" x14ac:dyDescent="0.6">
      <c r="A715" s="21"/>
      <c r="B715" s="23"/>
      <c r="C715" s="23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</row>
    <row r="716" spans="1:19" ht="21.75" customHeight="1" x14ac:dyDescent="0.6">
      <c r="A716" s="21"/>
      <c r="B716" s="23"/>
      <c r="C716" s="23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</row>
    <row r="717" spans="1:19" ht="21.75" customHeight="1" x14ac:dyDescent="0.6">
      <c r="A717" s="21"/>
      <c r="B717" s="23"/>
      <c r="C717" s="23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</row>
    <row r="718" spans="1:19" ht="21.75" customHeight="1" x14ac:dyDescent="0.6">
      <c r="A718" s="21"/>
      <c r="B718" s="23"/>
      <c r="C718" s="23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</row>
    <row r="719" spans="1:19" ht="21.75" customHeight="1" x14ac:dyDescent="0.6">
      <c r="A719" s="21"/>
      <c r="B719" s="23"/>
      <c r="C719" s="23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</row>
    <row r="720" spans="1:19" ht="21.75" customHeight="1" x14ac:dyDescent="0.6">
      <c r="A720" s="21"/>
      <c r="B720" s="23"/>
      <c r="C720" s="23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</row>
    <row r="721" spans="1:19" ht="21.75" customHeight="1" x14ac:dyDescent="0.6">
      <c r="A721" s="21"/>
      <c r="B721" s="23"/>
      <c r="C721" s="23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</row>
    <row r="722" spans="1:19" ht="21.75" customHeight="1" x14ac:dyDescent="0.6">
      <c r="A722" s="21"/>
      <c r="B722" s="23"/>
      <c r="C722" s="23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</row>
    <row r="723" spans="1:19" ht="21.75" customHeight="1" x14ac:dyDescent="0.6">
      <c r="A723" s="21"/>
      <c r="B723" s="23"/>
      <c r="C723" s="23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</row>
    <row r="724" spans="1:19" ht="21.75" customHeight="1" x14ac:dyDescent="0.6">
      <c r="A724" s="21"/>
      <c r="B724" s="23"/>
      <c r="C724" s="23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</row>
    <row r="725" spans="1:19" ht="21.75" customHeight="1" x14ac:dyDescent="0.6">
      <c r="A725" s="21"/>
      <c r="B725" s="23"/>
      <c r="C725" s="23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</row>
    <row r="726" spans="1:19" ht="21.75" customHeight="1" x14ac:dyDescent="0.6">
      <c r="A726" s="21"/>
      <c r="B726" s="23"/>
      <c r="C726" s="23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</row>
    <row r="727" spans="1:19" ht="21.75" customHeight="1" x14ac:dyDescent="0.6">
      <c r="A727" s="21"/>
      <c r="B727" s="23"/>
      <c r="C727" s="23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</row>
    <row r="728" spans="1:19" ht="21.75" customHeight="1" x14ac:dyDescent="0.6">
      <c r="A728" s="21"/>
      <c r="B728" s="23"/>
      <c r="C728" s="23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</row>
    <row r="729" spans="1:19" ht="21.75" customHeight="1" x14ac:dyDescent="0.6">
      <c r="A729" s="21"/>
      <c r="B729" s="23"/>
      <c r="C729" s="23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</row>
    <row r="730" spans="1:19" ht="21.75" customHeight="1" x14ac:dyDescent="0.6">
      <c r="A730" s="21"/>
      <c r="B730" s="23"/>
      <c r="C730" s="23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</row>
    <row r="731" spans="1:19" ht="21.75" customHeight="1" x14ac:dyDescent="0.6">
      <c r="A731" s="21"/>
      <c r="B731" s="23"/>
      <c r="C731" s="23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</row>
    <row r="732" spans="1:19" ht="21.75" customHeight="1" x14ac:dyDescent="0.6">
      <c r="A732" s="21"/>
      <c r="B732" s="23"/>
      <c r="C732" s="23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</row>
    <row r="733" spans="1:19" ht="21.75" customHeight="1" x14ac:dyDescent="0.6">
      <c r="A733" s="21"/>
      <c r="B733" s="23"/>
      <c r="C733" s="23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</row>
    <row r="734" spans="1:19" ht="21.75" customHeight="1" x14ac:dyDescent="0.6">
      <c r="A734" s="21"/>
      <c r="B734" s="23"/>
      <c r="C734" s="23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</row>
    <row r="735" spans="1:19" ht="21.75" customHeight="1" x14ac:dyDescent="0.6">
      <c r="A735" s="21"/>
      <c r="B735" s="23"/>
      <c r="C735" s="23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</row>
    <row r="736" spans="1:19" ht="21.75" customHeight="1" x14ac:dyDescent="0.6">
      <c r="A736" s="21"/>
      <c r="B736" s="23"/>
      <c r="C736" s="23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</row>
    <row r="737" spans="1:19" ht="21.75" customHeight="1" x14ac:dyDescent="0.6">
      <c r="A737" s="21"/>
      <c r="B737" s="23"/>
      <c r="C737" s="23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</row>
    <row r="738" spans="1:19" ht="21.75" customHeight="1" x14ac:dyDescent="0.6">
      <c r="A738" s="21"/>
      <c r="B738" s="23"/>
      <c r="C738" s="23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</row>
    <row r="739" spans="1:19" ht="21.75" customHeight="1" x14ac:dyDescent="0.6">
      <c r="A739" s="21"/>
      <c r="B739" s="23"/>
      <c r="C739" s="23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</row>
    <row r="740" spans="1:19" ht="21.75" customHeight="1" x14ac:dyDescent="0.6">
      <c r="A740" s="21"/>
      <c r="B740" s="23"/>
      <c r="C740" s="23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</row>
    <row r="741" spans="1:19" ht="21.75" customHeight="1" x14ac:dyDescent="0.6">
      <c r="A741" s="21"/>
      <c r="B741" s="23"/>
      <c r="C741" s="23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</row>
    <row r="742" spans="1:19" ht="21.75" customHeight="1" x14ac:dyDescent="0.6">
      <c r="A742" s="21"/>
      <c r="B742" s="23"/>
      <c r="C742" s="23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</row>
    <row r="743" spans="1:19" ht="21.75" customHeight="1" x14ac:dyDescent="0.6">
      <c r="A743" s="21"/>
      <c r="B743" s="23"/>
      <c r="C743" s="23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</row>
    <row r="744" spans="1:19" ht="21.75" customHeight="1" x14ac:dyDescent="0.6">
      <c r="A744" s="21"/>
      <c r="B744" s="23"/>
      <c r="C744" s="23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</row>
    <row r="745" spans="1:19" ht="21.75" customHeight="1" x14ac:dyDescent="0.6">
      <c r="A745" s="21"/>
      <c r="B745" s="23"/>
      <c r="C745" s="23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</row>
    <row r="746" spans="1:19" ht="21.75" customHeight="1" x14ac:dyDescent="0.6">
      <c r="A746" s="21"/>
      <c r="B746" s="23"/>
      <c r="C746" s="23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</row>
    <row r="747" spans="1:19" ht="21.75" customHeight="1" x14ac:dyDescent="0.6">
      <c r="A747" s="21"/>
      <c r="B747" s="23"/>
      <c r="C747" s="23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</row>
    <row r="748" spans="1:19" ht="21.75" customHeight="1" x14ac:dyDescent="0.6">
      <c r="A748" s="21"/>
      <c r="B748" s="23"/>
      <c r="C748" s="23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</row>
    <row r="749" spans="1:19" ht="21.75" customHeight="1" x14ac:dyDescent="0.6">
      <c r="A749" s="21"/>
      <c r="B749" s="23"/>
      <c r="C749" s="23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</row>
    <row r="750" spans="1:19" ht="21.75" customHeight="1" x14ac:dyDescent="0.6">
      <c r="A750" s="21"/>
      <c r="B750" s="23"/>
      <c r="C750" s="23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</row>
    <row r="751" spans="1:19" ht="21.75" customHeight="1" x14ac:dyDescent="0.6">
      <c r="A751" s="21"/>
      <c r="B751" s="23"/>
      <c r="C751" s="23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</row>
    <row r="752" spans="1:19" ht="21.75" customHeight="1" x14ac:dyDescent="0.6">
      <c r="A752" s="21"/>
      <c r="B752" s="23"/>
      <c r="C752" s="23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</row>
    <row r="753" spans="1:19" ht="21.75" customHeight="1" x14ac:dyDescent="0.6">
      <c r="A753" s="21"/>
      <c r="B753" s="23"/>
      <c r="C753" s="23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</row>
    <row r="754" spans="1:19" ht="21.75" customHeight="1" x14ac:dyDescent="0.6">
      <c r="A754" s="21"/>
      <c r="B754" s="23"/>
      <c r="C754" s="23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</row>
    <row r="755" spans="1:19" ht="21.75" customHeight="1" x14ac:dyDescent="0.6">
      <c r="A755" s="21"/>
      <c r="B755" s="23"/>
      <c r="C755" s="23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</row>
    <row r="756" spans="1:19" ht="21.75" customHeight="1" x14ac:dyDescent="0.6">
      <c r="A756" s="21"/>
      <c r="B756" s="23"/>
      <c r="C756" s="23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</row>
    <row r="757" spans="1:19" ht="21.75" customHeight="1" x14ac:dyDescent="0.6">
      <c r="A757" s="21"/>
      <c r="B757" s="23"/>
      <c r="C757" s="23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</row>
    <row r="758" spans="1:19" ht="21.75" customHeight="1" x14ac:dyDescent="0.6">
      <c r="A758" s="21"/>
      <c r="B758" s="23"/>
      <c r="C758" s="23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</row>
    <row r="759" spans="1:19" ht="21.75" customHeight="1" x14ac:dyDescent="0.6">
      <c r="A759" s="21"/>
      <c r="B759" s="23"/>
      <c r="C759" s="23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</row>
    <row r="760" spans="1:19" ht="21.75" customHeight="1" x14ac:dyDescent="0.6">
      <c r="A760" s="21"/>
      <c r="B760" s="23"/>
      <c r="C760" s="23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</row>
    <row r="761" spans="1:19" ht="21.75" customHeight="1" x14ac:dyDescent="0.6">
      <c r="A761" s="21"/>
      <c r="B761" s="23"/>
      <c r="C761" s="23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</row>
    <row r="762" spans="1:19" ht="21.75" customHeight="1" x14ac:dyDescent="0.6">
      <c r="A762" s="21"/>
      <c r="B762" s="23"/>
      <c r="C762" s="23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</row>
    <row r="763" spans="1:19" ht="21.75" customHeight="1" x14ac:dyDescent="0.6">
      <c r="A763" s="21"/>
      <c r="B763" s="23"/>
      <c r="C763" s="23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</row>
    <row r="764" spans="1:19" ht="21.75" customHeight="1" x14ac:dyDescent="0.6">
      <c r="A764" s="21"/>
      <c r="B764" s="23"/>
      <c r="C764" s="23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</row>
    <row r="765" spans="1:19" ht="21.75" customHeight="1" x14ac:dyDescent="0.6">
      <c r="A765" s="21"/>
      <c r="B765" s="23"/>
      <c r="C765" s="23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</row>
    <row r="766" spans="1:19" ht="21.75" customHeight="1" x14ac:dyDescent="0.6">
      <c r="A766" s="21"/>
      <c r="B766" s="23"/>
      <c r="C766" s="23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</row>
    <row r="767" spans="1:19" ht="21.75" customHeight="1" x14ac:dyDescent="0.6">
      <c r="A767" s="21"/>
      <c r="B767" s="23"/>
      <c r="C767" s="23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</row>
    <row r="768" spans="1:19" ht="21.75" customHeight="1" x14ac:dyDescent="0.6">
      <c r="A768" s="21"/>
      <c r="B768" s="23"/>
      <c r="C768" s="23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</row>
    <row r="769" spans="1:19" ht="21.75" customHeight="1" x14ac:dyDescent="0.6">
      <c r="A769" s="21"/>
      <c r="B769" s="23"/>
      <c r="C769" s="23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</row>
    <row r="770" spans="1:19" ht="21.75" customHeight="1" x14ac:dyDescent="0.6">
      <c r="A770" s="21"/>
      <c r="B770" s="23"/>
      <c r="C770" s="23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</row>
    <row r="771" spans="1:19" ht="21.75" customHeight="1" x14ac:dyDescent="0.6">
      <c r="A771" s="21"/>
      <c r="B771" s="23"/>
      <c r="C771" s="23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</row>
    <row r="772" spans="1:19" ht="21.75" customHeight="1" x14ac:dyDescent="0.6">
      <c r="A772" s="21"/>
      <c r="B772" s="23"/>
      <c r="C772" s="23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</row>
    <row r="773" spans="1:19" ht="21.75" customHeight="1" x14ac:dyDescent="0.6">
      <c r="A773" s="21"/>
      <c r="B773" s="23"/>
      <c r="C773" s="23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</row>
    <row r="774" spans="1:19" ht="21.75" customHeight="1" x14ac:dyDescent="0.6">
      <c r="A774" s="21"/>
      <c r="B774" s="23"/>
      <c r="C774" s="23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</row>
    <row r="775" spans="1:19" ht="21.75" customHeight="1" x14ac:dyDescent="0.6">
      <c r="A775" s="21"/>
      <c r="B775" s="23"/>
      <c r="C775" s="23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</row>
    <row r="776" spans="1:19" ht="21.75" customHeight="1" x14ac:dyDescent="0.6">
      <c r="A776" s="21"/>
      <c r="B776" s="23"/>
      <c r="C776" s="23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</row>
    <row r="777" spans="1:19" ht="21.75" customHeight="1" x14ac:dyDescent="0.6">
      <c r="A777" s="21"/>
      <c r="B777" s="23"/>
      <c r="C777" s="23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</row>
    <row r="778" spans="1:19" ht="21.75" customHeight="1" x14ac:dyDescent="0.6">
      <c r="A778" s="21"/>
      <c r="B778" s="23"/>
      <c r="C778" s="23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</row>
    <row r="779" spans="1:19" ht="21.75" customHeight="1" x14ac:dyDescent="0.6">
      <c r="A779" s="21"/>
      <c r="B779" s="23"/>
      <c r="C779" s="23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</row>
    <row r="780" spans="1:19" ht="21.75" customHeight="1" x14ac:dyDescent="0.6">
      <c r="A780" s="21"/>
      <c r="B780" s="23"/>
      <c r="C780" s="23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</row>
    <row r="781" spans="1:19" ht="21.75" customHeight="1" x14ac:dyDescent="0.6">
      <c r="A781" s="21"/>
      <c r="B781" s="23"/>
      <c r="C781" s="23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</row>
    <row r="782" spans="1:19" ht="21.75" customHeight="1" x14ac:dyDescent="0.6">
      <c r="A782" s="21"/>
      <c r="B782" s="23"/>
      <c r="C782" s="23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</row>
    <row r="783" spans="1:19" ht="21.75" customHeight="1" x14ac:dyDescent="0.6">
      <c r="A783" s="21"/>
      <c r="B783" s="23"/>
      <c r="C783" s="23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</row>
    <row r="784" spans="1:19" ht="21.75" customHeight="1" x14ac:dyDescent="0.6">
      <c r="A784" s="21"/>
      <c r="B784" s="23"/>
      <c r="C784" s="23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</row>
    <row r="785" spans="1:19" ht="21.75" customHeight="1" x14ac:dyDescent="0.6">
      <c r="A785" s="21"/>
      <c r="B785" s="23"/>
      <c r="C785" s="23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</row>
    <row r="786" spans="1:19" ht="21.75" customHeight="1" x14ac:dyDescent="0.6">
      <c r="A786" s="21"/>
      <c r="B786" s="23"/>
      <c r="C786" s="23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</row>
    <row r="787" spans="1:19" ht="21.75" customHeight="1" x14ac:dyDescent="0.6">
      <c r="A787" s="21"/>
      <c r="B787" s="23"/>
      <c r="C787" s="23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</row>
    <row r="788" spans="1:19" ht="21.75" customHeight="1" x14ac:dyDescent="0.6">
      <c r="A788" s="21"/>
      <c r="B788" s="23"/>
      <c r="C788" s="23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</row>
    <row r="789" spans="1:19" ht="21.75" customHeight="1" x14ac:dyDescent="0.6">
      <c r="A789" s="21"/>
      <c r="B789" s="23"/>
      <c r="C789" s="23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</row>
    <row r="790" spans="1:19" ht="21.75" customHeight="1" x14ac:dyDescent="0.6">
      <c r="A790" s="21"/>
      <c r="B790" s="23"/>
      <c r="C790" s="23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</row>
    <row r="791" spans="1:19" ht="21.75" customHeight="1" x14ac:dyDescent="0.6">
      <c r="A791" s="21"/>
      <c r="B791" s="23"/>
      <c r="C791" s="23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</row>
    <row r="792" spans="1:19" ht="21.75" customHeight="1" x14ac:dyDescent="0.6">
      <c r="A792" s="21"/>
      <c r="B792" s="23"/>
      <c r="C792" s="23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</row>
    <row r="793" spans="1:19" ht="21.75" customHeight="1" x14ac:dyDescent="0.6">
      <c r="A793" s="21"/>
      <c r="B793" s="23"/>
      <c r="C793" s="23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</row>
    <row r="794" spans="1:19" ht="21.75" customHeight="1" x14ac:dyDescent="0.6">
      <c r="A794" s="21"/>
      <c r="B794" s="23"/>
      <c r="C794" s="23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</row>
    <row r="795" spans="1:19" ht="21.75" customHeight="1" x14ac:dyDescent="0.6">
      <c r="A795" s="21"/>
      <c r="B795" s="23"/>
      <c r="C795" s="23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</row>
    <row r="796" spans="1:19" ht="21.75" customHeight="1" x14ac:dyDescent="0.6">
      <c r="A796" s="21"/>
      <c r="B796" s="23"/>
      <c r="C796" s="23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</row>
    <row r="797" spans="1:19" ht="21.75" customHeight="1" x14ac:dyDescent="0.6">
      <c r="A797" s="21"/>
      <c r="B797" s="23"/>
      <c r="C797" s="23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</row>
    <row r="798" spans="1:19" ht="21.75" customHeight="1" x14ac:dyDescent="0.6">
      <c r="A798" s="21"/>
      <c r="B798" s="23"/>
      <c r="C798" s="23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</row>
    <row r="799" spans="1:19" ht="21.75" customHeight="1" x14ac:dyDescent="0.6">
      <c r="A799" s="21"/>
      <c r="B799" s="23"/>
      <c r="C799" s="23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</row>
    <row r="800" spans="1:19" ht="21.75" customHeight="1" x14ac:dyDescent="0.6">
      <c r="A800" s="21"/>
      <c r="B800" s="23"/>
      <c r="C800" s="23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</row>
    <row r="801" spans="1:19" ht="21.75" customHeight="1" x14ac:dyDescent="0.6">
      <c r="A801" s="21"/>
      <c r="B801" s="23"/>
      <c r="C801" s="23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</row>
    <row r="802" spans="1:19" ht="21.75" customHeight="1" x14ac:dyDescent="0.6">
      <c r="A802" s="21"/>
      <c r="B802" s="23"/>
      <c r="C802" s="23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</row>
    <row r="803" spans="1:19" ht="21.75" customHeight="1" x14ac:dyDescent="0.6">
      <c r="A803" s="21"/>
      <c r="B803" s="23"/>
      <c r="C803" s="23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</row>
    <row r="804" spans="1:19" ht="21.75" customHeight="1" x14ac:dyDescent="0.6">
      <c r="A804" s="21"/>
      <c r="B804" s="23"/>
      <c r="C804" s="23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</row>
    <row r="805" spans="1:19" ht="21.75" customHeight="1" x14ac:dyDescent="0.6">
      <c r="A805" s="21"/>
      <c r="B805" s="23"/>
      <c r="C805" s="23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</row>
    <row r="806" spans="1:19" ht="21.75" customHeight="1" x14ac:dyDescent="0.6">
      <c r="A806" s="21"/>
      <c r="B806" s="23"/>
      <c r="C806" s="23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</row>
    <row r="807" spans="1:19" ht="21.75" customHeight="1" x14ac:dyDescent="0.6">
      <c r="A807" s="21"/>
      <c r="B807" s="23"/>
      <c r="C807" s="23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</row>
    <row r="808" spans="1:19" ht="21.75" customHeight="1" x14ac:dyDescent="0.6">
      <c r="A808" s="21"/>
      <c r="B808" s="23"/>
      <c r="C808" s="23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</row>
    <row r="809" spans="1:19" ht="21.75" customHeight="1" x14ac:dyDescent="0.6">
      <c r="A809" s="21"/>
      <c r="B809" s="23"/>
      <c r="C809" s="23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</row>
    <row r="810" spans="1:19" ht="21.75" customHeight="1" x14ac:dyDescent="0.6">
      <c r="A810" s="21"/>
      <c r="B810" s="23"/>
      <c r="C810" s="23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</row>
    <row r="811" spans="1:19" ht="21.75" customHeight="1" x14ac:dyDescent="0.6">
      <c r="A811" s="21"/>
      <c r="B811" s="23"/>
      <c r="C811" s="23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</row>
    <row r="812" spans="1:19" ht="21.75" customHeight="1" x14ac:dyDescent="0.6">
      <c r="A812" s="21"/>
      <c r="B812" s="23"/>
      <c r="C812" s="23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</row>
    <row r="813" spans="1:19" ht="21.75" customHeight="1" x14ac:dyDescent="0.6">
      <c r="A813" s="21"/>
      <c r="B813" s="23"/>
      <c r="C813" s="23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</row>
    <row r="814" spans="1:19" ht="21.75" customHeight="1" x14ac:dyDescent="0.6">
      <c r="A814" s="21"/>
      <c r="B814" s="23"/>
      <c r="C814" s="23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</row>
    <row r="815" spans="1:19" ht="21.75" customHeight="1" x14ac:dyDescent="0.6">
      <c r="A815" s="21"/>
      <c r="B815" s="23"/>
      <c r="C815" s="23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</row>
    <row r="816" spans="1:19" ht="21.75" customHeight="1" x14ac:dyDescent="0.6">
      <c r="A816" s="21"/>
      <c r="B816" s="23"/>
      <c r="C816" s="23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</row>
    <row r="817" spans="1:19" ht="21.75" customHeight="1" x14ac:dyDescent="0.6">
      <c r="A817" s="21"/>
      <c r="B817" s="23"/>
      <c r="C817" s="23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</row>
    <row r="818" spans="1:19" ht="21.75" customHeight="1" x14ac:dyDescent="0.6">
      <c r="A818" s="21"/>
      <c r="B818" s="23"/>
      <c r="C818" s="23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</row>
    <row r="819" spans="1:19" ht="21.75" customHeight="1" x14ac:dyDescent="0.6">
      <c r="A819" s="21"/>
      <c r="B819" s="23"/>
      <c r="C819" s="23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</row>
    <row r="820" spans="1:19" ht="21.75" customHeight="1" x14ac:dyDescent="0.6">
      <c r="A820" s="21"/>
      <c r="B820" s="23"/>
      <c r="C820" s="23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</row>
    <row r="821" spans="1:19" ht="21.75" customHeight="1" x14ac:dyDescent="0.6">
      <c r="A821" s="21"/>
      <c r="B821" s="23"/>
      <c r="C821" s="23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</row>
    <row r="822" spans="1:19" ht="21.75" customHeight="1" x14ac:dyDescent="0.6">
      <c r="A822" s="21"/>
      <c r="B822" s="23"/>
      <c r="C822" s="23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</row>
    <row r="823" spans="1:19" ht="21.75" customHeight="1" x14ac:dyDescent="0.6">
      <c r="A823" s="21"/>
      <c r="B823" s="23"/>
      <c r="C823" s="23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</row>
    <row r="824" spans="1:19" ht="21.75" customHeight="1" x14ac:dyDescent="0.6">
      <c r="A824" s="21"/>
      <c r="B824" s="23"/>
      <c r="C824" s="23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</row>
    <row r="825" spans="1:19" ht="21.75" customHeight="1" x14ac:dyDescent="0.6">
      <c r="A825" s="21"/>
      <c r="B825" s="23"/>
      <c r="C825" s="23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</row>
    <row r="826" spans="1:19" ht="21.75" customHeight="1" x14ac:dyDescent="0.6">
      <c r="A826" s="21"/>
      <c r="B826" s="23"/>
      <c r="C826" s="23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</row>
    <row r="827" spans="1:19" ht="21.75" customHeight="1" x14ac:dyDescent="0.6">
      <c r="A827" s="21"/>
      <c r="B827" s="23"/>
      <c r="C827" s="23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</row>
    <row r="828" spans="1:19" ht="21.75" customHeight="1" x14ac:dyDescent="0.6">
      <c r="A828" s="21"/>
      <c r="B828" s="23"/>
      <c r="C828" s="23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</row>
    <row r="829" spans="1:19" ht="21.75" customHeight="1" x14ac:dyDescent="0.6">
      <c r="A829" s="21"/>
      <c r="B829" s="23"/>
      <c r="C829" s="23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</row>
    <row r="830" spans="1:19" ht="21.75" customHeight="1" x14ac:dyDescent="0.6">
      <c r="A830" s="21"/>
      <c r="B830" s="23"/>
      <c r="C830" s="23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</row>
    <row r="831" spans="1:19" ht="21.75" customHeight="1" x14ac:dyDescent="0.6">
      <c r="A831" s="21"/>
      <c r="B831" s="23"/>
      <c r="C831" s="23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</row>
    <row r="832" spans="1:19" ht="21.75" customHeight="1" x14ac:dyDescent="0.6">
      <c r="A832" s="21"/>
      <c r="B832" s="23"/>
      <c r="C832" s="23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</row>
    <row r="833" spans="1:19" ht="21.75" customHeight="1" x14ac:dyDescent="0.6">
      <c r="A833" s="21"/>
      <c r="B833" s="23"/>
      <c r="C833" s="23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</row>
    <row r="834" spans="1:19" ht="21.75" customHeight="1" x14ac:dyDescent="0.6">
      <c r="A834" s="21"/>
      <c r="B834" s="23"/>
      <c r="C834" s="23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</row>
    <row r="835" spans="1:19" ht="21.75" customHeight="1" x14ac:dyDescent="0.6">
      <c r="A835" s="21"/>
      <c r="B835" s="23"/>
      <c r="C835" s="23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</row>
    <row r="836" spans="1:19" ht="21.75" customHeight="1" x14ac:dyDescent="0.6">
      <c r="A836" s="21"/>
      <c r="B836" s="23"/>
      <c r="C836" s="23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</row>
    <row r="837" spans="1:19" ht="21.75" customHeight="1" x14ac:dyDescent="0.6">
      <c r="A837" s="21"/>
      <c r="B837" s="23"/>
      <c r="C837" s="23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</row>
    <row r="838" spans="1:19" ht="21.75" customHeight="1" x14ac:dyDescent="0.6">
      <c r="A838" s="21"/>
      <c r="B838" s="23"/>
      <c r="C838" s="23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</row>
    <row r="839" spans="1:19" ht="21.75" customHeight="1" x14ac:dyDescent="0.6">
      <c r="A839" s="21"/>
      <c r="B839" s="23"/>
      <c r="C839" s="23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</row>
    <row r="840" spans="1:19" ht="21.75" customHeight="1" x14ac:dyDescent="0.6">
      <c r="A840" s="21"/>
      <c r="B840" s="23"/>
      <c r="C840" s="23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</row>
    <row r="841" spans="1:19" ht="21.75" customHeight="1" x14ac:dyDescent="0.6">
      <c r="A841" s="21"/>
      <c r="B841" s="23"/>
      <c r="C841" s="23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</row>
    <row r="842" spans="1:19" ht="21.75" customHeight="1" x14ac:dyDescent="0.6">
      <c r="A842" s="21"/>
      <c r="B842" s="23"/>
      <c r="C842" s="23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</row>
    <row r="843" spans="1:19" ht="21.75" customHeight="1" x14ac:dyDescent="0.6">
      <c r="A843" s="21"/>
      <c r="B843" s="23"/>
      <c r="C843" s="23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</row>
    <row r="844" spans="1:19" ht="21.75" customHeight="1" x14ac:dyDescent="0.6">
      <c r="A844" s="21"/>
      <c r="B844" s="23"/>
      <c r="C844" s="23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</row>
    <row r="845" spans="1:19" ht="21.75" customHeight="1" x14ac:dyDescent="0.6">
      <c r="A845" s="21"/>
      <c r="B845" s="23"/>
      <c r="C845" s="23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</row>
    <row r="846" spans="1:19" ht="21.75" customHeight="1" x14ac:dyDescent="0.6">
      <c r="A846" s="21"/>
      <c r="B846" s="23"/>
      <c r="C846" s="23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</row>
    <row r="847" spans="1:19" ht="21.75" customHeight="1" x14ac:dyDescent="0.6">
      <c r="A847" s="21"/>
      <c r="B847" s="23"/>
      <c r="C847" s="23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</row>
    <row r="848" spans="1:19" ht="21.75" customHeight="1" x14ac:dyDescent="0.6">
      <c r="A848" s="21"/>
      <c r="B848" s="23"/>
      <c r="C848" s="23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</row>
    <row r="849" spans="1:19" ht="21.75" customHeight="1" x14ac:dyDescent="0.6">
      <c r="A849" s="21"/>
      <c r="B849" s="23"/>
      <c r="C849" s="23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</row>
    <row r="850" spans="1:19" ht="21.75" customHeight="1" x14ac:dyDescent="0.6">
      <c r="A850" s="21"/>
      <c r="B850" s="23"/>
      <c r="C850" s="23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</row>
    <row r="851" spans="1:19" ht="21.75" customHeight="1" x14ac:dyDescent="0.6">
      <c r="A851" s="21"/>
      <c r="B851" s="23"/>
      <c r="C851" s="23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</row>
    <row r="852" spans="1:19" ht="21.75" customHeight="1" x14ac:dyDescent="0.6">
      <c r="A852" s="21"/>
      <c r="B852" s="23"/>
      <c r="C852" s="23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</row>
    <row r="853" spans="1:19" ht="21.75" customHeight="1" x14ac:dyDescent="0.6">
      <c r="A853" s="21"/>
      <c r="B853" s="23"/>
      <c r="C853" s="23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</row>
    <row r="854" spans="1:19" ht="21.75" customHeight="1" x14ac:dyDescent="0.6">
      <c r="A854" s="21"/>
      <c r="B854" s="23"/>
      <c r="C854" s="23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</row>
    <row r="855" spans="1:19" ht="21.75" customHeight="1" x14ac:dyDescent="0.6">
      <c r="A855" s="21"/>
      <c r="B855" s="23"/>
      <c r="C855" s="23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</row>
    <row r="856" spans="1:19" ht="21.75" customHeight="1" x14ac:dyDescent="0.6">
      <c r="A856" s="21"/>
      <c r="B856" s="23"/>
      <c r="C856" s="23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</row>
    <row r="857" spans="1:19" ht="21.75" customHeight="1" x14ac:dyDescent="0.6">
      <c r="A857" s="21"/>
      <c r="B857" s="23"/>
      <c r="C857" s="23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</row>
    <row r="858" spans="1:19" ht="21.75" customHeight="1" x14ac:dyDescent="0.6">
      <c r="A858" s="21"/>
      <c r="B858" s="23"/>
      <c r="C858" s="23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</row>
    <row r="859" spans="1:19" ht="21.75" customHeight="1" x14ac:dyDescent="0.6">
      <c r="A859" s="21"/>
      <c r="B859" s="23"/>
      <c r="C859" s="23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</row>
    <row r="860" spans="1:19" ht="21.75" customHeight="1" x14ac:dyDescent="0.6">
      <c r="A860" s="21"/>
      <c r="B860" s="23"/>
      <c r="C860" s="23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</row>
    <row r="861" spans="1:19" ht="21.75" customHeight="1" x14ac:dyDescent="0.6">
      <c r="A861" s="21"/>
      <c r="B861" s="23"/>
      <c r="C861" s="23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</row>
    <row r="862" spans="1:19" ht="21.75" customHeight="1" x14ac:dyDescent="0.6">
      <c r="A862" s="21"/>
      <c r="B862" s="23"/>
      <c r="C862" s="23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</row>
    <row r="863" spans="1:19" ht="21.75" customHeight="1" x14ac:dyDescent="0.6">
      <c r="A863" s="21"/>
      <c r="B863" s="23"/>
      <c r="C863" s="23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</row>
    <row r="864" spans="1:19" ht="21.75" customHeight="1" x14ac:dyDescent="0.6">
      <c r="A864" s="21"/>
      <c r="B864" s="23"/>
      <c r="C864" s="23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</row>
    <row r="865" spans="1:19" ht="21.75" customHeight="1" x14ac:dyDescent="0.6">
      <c r="A865" s="21"/>
      <c r="B865" s="23"/>
      <c r="C865" s="23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</row>
    <row r="866" spans="1:19" ht="21.75" customHeight="1" x14ac:dyDescent="0.6">
      <c r="A866" s="21"/>
      <c r="B866" s="23"/>
      <c r="C866" s="23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</row>
    <row r="867" spans="1:19" ht="21.75" customHeight="1" x14ac:dyDescent="0.6">
      <c r="A867" s="21"/>
      <c r="B867" s="23"/>
      <c r="C867" s="23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</row>
    <row r="868" spans="1:19" ht="21.75" customHeight="1" x14ac:dyDescent="0.6">
      <c r="A868" s="21"/>
      <c r="B868" s="23"/>
      <c r="C868" s="23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</row>
    <row r="869" spans="1:19" ht="21.75" customHeight="1" x14ac:dyDescent="0.6">
      <c r="A869" s="21"/>
      <c r="B869" s="23"/>
      <c r="C869" s="23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</row>
    <row r="870" spans="1:19" ht="21.75" customHeight="1" x14ac:dyDescent="0.6">
      <c r="A870" s="21"/>
      <c r="B870" s="23"/>
      <c r="C870" s="23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</row>
    <row r="871" spans="1:19" ht="21.75" customHeight="1" x14ac:dyDescent="0.6">
      <c r="A871" s="21"/>
      <c r="B871" s="23"/>
      <c r="C871" s="23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</row>
    <row r="872" spans="1:19" ht="21.75" customHeight="1" x14ac:dyDescent="0.6">
      <c r="A872" s="21"/>
      <c r="B872" s="23"/>
      <c r="C872" s="23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</row>
    <row r="873" spans="1:19" ht="21.75" customHeight="1" x14ac:dyDescent="0.6">
      <c r="A873" s="21"/>
      <c r="B873" s="23"/>
      <c r="C873" s="23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</row>
    <row r="874" spans="1:19" ht="21.75" customHeight="1" x14ac:dyDescent="0.6">
      <c r="A874" s="21"/>
      <c r="B874" s="23"/>
      <c r="C874" s="23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</row>
    <row r="875" spans="1:19" ht="21.75" customHeight="1" x14ac:dyDescent="0.6">
      <c r="A875" s="21"/>
      <c r="B875" s="23"/>
      <c r="C875" s="23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</row>
    <row r="876" spans="1:19" ht="21.75" customHeight="1" x14ac:dyDescent="0.6">
      <c r="A876" s="21"/>
      <c r="B876" s="23"/>
      <c r="C876" s="23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</row>
    <row r="877" spans="1:19" ht="21.75" customHeight="1" x14ac:dyDescent="0.6">
      <c r="A877" s="21"/>
      <c r="B877" s="23"/>
      <c r="C877" s="23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</row>
    <row r="878" spans="1:19" ht="21.75" customHeight="1" x14ac:dyDescent="0.6">
      <c r="A878" s="21"/>
      <c r="B878" s="23"/>
      <c r="C878" s="23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</row>
    <row r="879" spans="1:19" ht="21.75" customHeight="1" x14ac:dyDescent="0.6">
      <c r="A879" s="21"/>
      <c r="B879" s="23"/>
      <c r="C879" s="23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</row>
    <row r="880" spans="1:19" ht="21.75" customHeight="1" x14ac:dyDescent="0.6">
      <c r="A880" s="21"/>
      <c r="B880" s="23"/>
      <c r="C880" s="23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</row>
    <row r="881" spans="1:19" ht="21.75" customHeight="1" x14ac:dyDescent="0.6">
      <c r="A881" s="21"/>
      <c r="B881" s="23"/>
      <c r="C881" s="23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</row>
    <row r="882" spans="1:19" ht="21.75" customHeight="1" x14ac:dyDescent="0.6">
      <c r="A882" s="21"/>
      <c r="B882" s="23"/>
      <c r="C882" s="23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</row>
    <row r="883" spans="1:19" ht="21.75" customHeight="1" x14ac:dyDescent="0.6">
      <c r="A883" s="21"/>
      <c r="B883" s="23"/>
      <c r="C883" s="23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</row>
    <row r="884" spans="1:19" ht="21.75" customHeight="1" x14ac:dyDescent="0.6">
      <c r="A884" s="21"/>
      <c r="B884" s="23"/>
      <c r="C884" s="23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</row>
    <row r="885" spans="1:19" ht="21.75" customHeight="1" x14ac:dyDescent="0.6">
      <c r="A885" s="21"/>
      <c r="B885" s="23"/>
      <c r="C885" s="23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</row>
    <row r="886" spans="1:19" ht="21.75" customHeight="1" x14ac:dyDescent="0.6">
      <c r="A886" s="21"/>
      <c r="B886" s="23"/>
      <c r="C886" s="23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</row>
    <row r="887" spans="1:19" ht="21.75" customHeight="1" x14ac:dyDescent="0.6">
      <c r="A887" s="21"/>
      <c r="B887" s="23"/>
      <c r="C887" s="23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</row>
    <row r="888" spans="1:19" ht="21.75" customHeight="1" x14ac:dyDescent="0.6">
      <c r="A888" s="21"/>
      <c r="B888" s="23"/>
      <c r="C888" s="23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</row>
    <row r="889" spans="1:19" ht="21.75" customHeight="1" x14ac:dyDescent="0.6">
      <c r="A889" s="21"/>
      <c r="B889" s="23"/>
      <c r="C889" s="23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</row>
    <row r="890" spans="1:19" ht="21.75" customHeight="1" x14ac:dyDescent="0.6">
      <c r="A890" s="21"/>
      <c r="B890" s="23"/>
      <c r="C890" s="23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</row>
    <row r="891" spans="1:19" ht="21.75" customHeight="1" x14ac:dyDescent="0.6">
      <c r="A891" s="21"/>
      <c r="B891" s="23"/>
      <c r="C891" s="23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</row>
    <row r="892" spans="1:19" ht="21.75" customHeight="1" x14ac:dyDescent="0.6">
      <c r="A892" s="21"/>
      <c r="B892" s="23"/>
      <c r="C892" s="23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</row>
    <row r="893" spans="1:19" ht="21.75" customHeight="1" x14ac:dyDescent="0.6">
      <c r="A893" s="21"/>
      <c r="B893" s="23"/>
      <c r="C893" s="23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</row>
    <row r="894" spans="1:19" ht="21.75" customHeight="1" x14ac:dyDescent="0.6">
      <c r="A894" s="21"/>
      <c r="B894" s="23"/>
      <c r="C894" s="23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</row>
    <row r="895" spans="1:19" ht="21.75" customHeight="1" x14ac:dyDescent="0.6">
      <c r="A895" s="21"/>
      <c r="B895" s="23"/>
      <c r="C895" s="23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</row>
    <row r="896" spans="1:19" ht="21.75" customHeight="1" x14ac:dyDescent="0.6">
      <c r="A896" s="21"/>
      <c r="B896" s="23"/>
      <c r="C896" s="23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</row>
    <row r="897" spans="1:19" ht="21.75" customHeight="1" x14ac:dyDescent="0.6">
      <c r="A897" s="21"/>
      <c r="B897" s="23"/>
      <c r="C897" s="23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</row>
    <row r="898" spans="1:19" ht="21.75" customHeight="1" x14ac:dyDescent="0.6">
      <c r="A898" s="21"/>
      <c r="B898" s="23"/>
      <c r="C898" s="23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</row>
    <row r="899" spans="1:19" ht="21.75" customHeight="1" x14ac:dyDescent="0.6">
      <c r="A899" s="21"/>
      <c r="B899" s="23"/>
      <c r="C899" s="23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</row>
    <row r="900" spans="1:19" ht="21.75" customHeight="1" x14ac:dyDescent="0.6">
      <c r="A900" s="21"/>
      <c r="B900" s="23"/>
      <c r="C900" s="23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</row>
    <row r="901" spans="1:19" ht="21.75" customHeight="1" x14ac:dyDescent="0.6">
      <c r="A901" s="21"/>
      <c r="B901" s="23"/>
      <c r="C901" s="23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</row>
    <row r="902" spans="1:19" ht="21.75" customHeight="1" x14ac:dyDescent="0.6">
      <c r="A902" s="21"/>
      <c r="B902" s="23"/>
      <c r="C902" s="23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</row>
    <row r="903" spans="1:19" ht="21.75" customHeight="1" x14ac:dyDescent="0.6">
      <c r="A903" s="21"/>
      <c r="B903" s="23"/>
      <c r="C903" s="23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</row>
    <row r="904" spans="1:19" ht="21.75" customHeight="1" x14ac:dyDescent="0.6">
      <c r="A904" s="21"/>
      <c r="B904" s="23"/>
      <c r="C904" s="23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</row>
    <row r="905" spans="1:19" ht="21.75" customHeight="1" x14ac:dyDescent="0.6">
      <c r="A905" s="21"/>
      <c r="B905" s="23"/>
      <c r="C905" s="23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</row>
    <row r="906" spans="1:19" ht="21.75" customHeight="1" x14ac:dyDescent="0.6">
      <c r="A906" s="21"/>
      <c r="B906" s="23"/>
      <c r="C906" s="23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</row>
    <row r="907" spans="1:19" ht="21.75" customHeight="1" x14ac:dyDescent="0.6">
      <c r="A907" s="21"/>
      <c r="B907" s="23"/>
      <c r="C907" s="23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</row>
    <row r="908" spans="1:19" ht="21.75" customHeight="1" x14ac:dyDescent="0.6">
      <c r="A908" s="21"/>
      <c r="B908" s="23"/>
      <c r="C908" s="23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</row>
    <row r="909" spans="1:19" ht="21.75" customHeight="1" x14ac:dyDescent="0.6">
      <c r="A909" s="21"/>
      <c r="B909" s="23"/>
      <c r="C909" s="23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</row>
    <row r="910" spans="1:19" ht="21.75" customHeight="1" x14ac:dyDescent="0.6">
      <c r="A910" s="21"/>
      <c r="B910" s="23"/>
      <c r="C910" s="23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</row>
    <row r="911" spans="1:19" ht="21.75" customHeight="1" x14ac:dyDescent="0.6">
      <c r="A911" s="21"/>
      <c r="B911" s="23"/>
      <c r="C911" s="23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</row>
    <row r="912" spans="1:19" ht="21.75" customHeight="1" x14ac:dyDescent="0.6">
      <c r="A912" s="21"/>
      <c r="B912" s="23"/>
      <c r="C912" s="23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</row>
    <row r="913" spans="1:19" ht="21.75" customHeight="1" x14ac:dyDescent="0.6">
      <c r="A913" s="21"/>
      <c r="B913" s="23"/>
      <c r="C913" s="23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</row>
    <row r="914" spans="1:19" ht="21.75" customHeight="1" x14ac:dyDescent="0.6">
      <c r="A914" s="21"/>
      <c r="B914" s="23"/>
      <c r="C914" s="23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</row>
    <row r="915" spans="1:19" ht="21.75" customHeight="1" x14ac:dyDescent="0.6">
      <c r="A915" s="21"/>
      <c r="B915" s="23"/>
      <c r="C915" s="23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</row>
    <row r="916" spans="1:19" ht="21.75" customHeight="1" x14ac:dyDescent="0.6">
      <c r="A916" s="21"/>
      <c r="B916" s="23"/>
      <c r="C916" s="23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</row>
    <row r="917" spans="1:19" ht="21.75" customHeight="1" x14ac:dyDescent="0.6">
      <c r="A917" s="21"/>
      <c r="B917" s="23"/>
      <c r="C917" s="23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</row>
    <row r="918" spans="1:19" ht="21.75" customHeight="1" x14ac:dyDescent="0.6">
      <c r="A918" s="21"/>
      <c r="B918" s="23"/>
      <c r="C918" s="23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</row>
    <row r="919" spans="1:19" ht="21.75" customHeight="1" x14ac:dyDescent="0.6">
      <c r="A919" s="21"/>
      <c r="B919" s="23"/>
      <c r="C919" s="23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</row>
    <row r="920" spans="1:19" ht="21.75" customHeight="1" x14ac:dyDescent="0.6">
      <c r="A920" s="21"/>
      <c r="B920" s="23"/>
      <c r="C920" s="23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</row>
    <row r="921" spans="1:19" ht="21.75" customHeight="1" x14ac:dyDescent="0.6">
      <c r="A921" s="21"/>
      <c r="B921" s="23"/>
      <c r="C921" s="23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</row>
    <row r="922" spans="1:19" ht="21.75" customHeight="1" x14ac:dyDescent="0.6">
      <c r="A922" s="21"/>
      <c r="B922" s="23"/>
      <c r="C922" s="23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</row>
    <row r="923" spans="1:19" ht="21.75" customHeight="1" x14ac:dyDescent="0.6">
      <c r="A923" s="21"/>
      <c r="B923" s="23"/>
      <c r="C923" s="23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</row>
    <row r="924" spans="1:19" ht="21.75" customHeight="1" x14ac:dyDescent="0.6">
      <c r="A924" s="21"/>
      <c r="B924" s="23"/>
      <c r="C924" s="23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</row>
    <row r="925" spans="1:19" ht="21.75" customHeight="1" x14ac:dyDescent="0.6">
      <c r="A925" s="21"/>
      <c r="B925" s="23"/>
      <c r="C925" s="23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</row>
    <row r="926" spans="1:19" ht="21.75" customHeight="1" x14ac:dyDescent="0.6">
      <c r="A926" s="21"/>
      <c r="B926" s="23"/>
      <c r="C926" s="23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</row>
    <row r="927" spans="1:19" ht="21.75" customHeight="1" x14ac:dyDescent="0.6">
      <c r="A927" s="21"/>
      <c r="B927" s="23"/>
      <c r="C927" s="23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</row>
    <row r="928" spans="1:19" ht="21.75" customHeight="1" x14ac:dyDescent="0.6">
      <c r="A928" s="21"/>
      <c r="B928" s="23"/>
      <c r="C928" s="23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</row>
    <row r="929" spans="1:19" ht="21.75" customHeight="1" x14ac:dyDescent="0.6">
      <c r="A929" s="21"/>
      <c r="B929" s="23"/>
      <c r="C929" s="23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</row>
    <row r="930" spans="1:19" ht="21.75" customHeight="1" x14ac:dyDescent="0.6">
      <c r="A930" s="21"/>
      <c r="B930" s="23"/>
      <c r="C930" s="23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</row>
    <row r="931" spans="1:19" ht="21.75" customHeight="1" x14ac:dyDescent="0.6">
      <c r="A931" s="21"/>
      <c r="B931" s="23"/>
      <c r="C931" s="23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</row>
    <row r="932" spans="1:19" ht="21.75" customHeight="1" x14ac:dyDescent="0.6">
      <c r="A932" s="21"/>
      <c r="B932" s="23"/>
      <c r="C932" s="23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</row>
    <row r="933" spans="1:19" ht="21.75" customHeight="1" x14ac:dyDescent="0.6">
      <c r="A933" s="21"/>
      <c r="B933" s="23"/>
      <c r="C933" s="23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</row>
    <row r="934" spans="1:19" ht="21.75" customHeight="1" x14ac:dyDescent="0.6">
      <c r="A934" s="21"/>
      <c r="B934" s="23"/>
      <c r="C934" s="23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</row>
    <row r="935" spans="1:19" ht="21.75" customHeight="1" x14ac:dyDescent="0.6">
      <c r="A935" s="21"/>
      <c r="B935" s="23"/>
      <c r="C935" s="23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</row>
    <row r="936" spans="1:19" ht="21.75" customHeight="1" x14ac:dyDescent="0.6">
      <c r="A936" s="21"/>
      <c r="B936" s="23"/>
      <c r="C936" s="23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</row>
    <row r="937" spans="1:19" ht="21.75" customHeight="1" x14ac:dyDescent="0.6">
      <c r="A937" s="21"/>
      <c r="B937" s="23"/>
      <c r="C937" s="23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</row>
    <row r="938" spans="1:19" ht="21.75" customHeight="1" x14ac:dyDescent="0.6">
      <c r="A938" s="21"/>
      <c r="B938" s="23"/>
      <c r="C938" s="23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</row>
    <row r="939" spans="1:19" ht="21.75" customHeight="1" x14ac:dyDescent="0.6">
      <c r="A939" s="21"/>
      <c r="B939" s="23"/>
      <c r="C939" s="23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</row>
    <row r="940" spans="1:19" ht="21.75" customHeight="1" x14ac:dyDescent="0.6">
      <c r="A940" s="21"/>
      <c r="B940" s="23"/>
      <c r="C940" s="23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</row>
    <row r="941" spans="1:19" ht="21.75" customHeight="1" x14ac:dyDescent="0.6">
      <c r="A941" s="21"/>
      <c r="B941" s="23"/>
      <c r="C941" s="23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</row>
    <row r="942" spans="1:19" ht="21.75" customHeight="1" x14ac:dyDescent="0.6">
      <c r="A942" s="21"/>
      <c r="B942" s="23"/>
      <c r="C942" s="23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</row>
    <row r="943" spans="1:19" ht="21.75" customHeight="1" x14ac:dyDescent="0.6">
      <c r="A943" s="21"/>
      <c r="B943" s="23"/>
      <c r="C943" s="23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</row>
    <row r="944" spans="1:19" ht="21.75" customHeight="1" x14ac:dyDescent="0.6">
      <c r="A944" s="21"/>
      <c r="B944" s="23"/>
      <c r="C944" s="23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</row>
    <row r="945" spans="1:19" ht="21.75" customHeight="1" x14ac:dyDescent="0.6">
      <c r="A945" s="21"/>
      <c r="B945" s="23"/>
      <c r="C945" s="23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</row>
    <row r="946" spans="1:19" ht="21.75" customHeight="1" x14ac:dyDescent="0.6">
      <c r="A946" s="21"/>
      <c r="B946" s="23"/>
      <c r="C946" s="23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</row>
    <row r="947" spans="1:19" ht="21.75" customHeight="1" x14ac:dyDescent="0.6">
      <c r="A947" s="21"/>
      <c r="B947" s="23"/>
      <c r="C947" s="23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</row>
    <row r="948" spans="1:19" ht="21.75" customHeight="1" x14ac:dyDescent="0.6">
      <c r="A948" s="21"/>
      <c r="B948" s="23"/>
      <c r="C948" s="23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</row>
    <row r="949" spans="1:19" ht="21.75" customHeight="1" x14ac:dyDescent="0.6">
      <c r="A949" s="21"/>
      <c r="B949" s="23"/>
      <c r="C949" s="23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</row>
    <row r="950" spans="1:19" ht="21.75" customHeight="1" x14ac:dyDescent="0.6">
      <c r="A950" s="21"/>
      <c r="B950" s="23"/>
      <c r="C950" s="23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</row>
    <row r="951" spans="1:19" ht="21.75" customHeight="1" x14ac:dyDescent="0.6">
      <c r="A951" s="21"/>
      <c r="B951" s="23"/>
      <c r="C951" s="23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</row>
    <row r="952" spans="1:19" ht="21.75" customHeight="1" x14ac:dyDescent="0.6">
      <c r="A952" s="21"/>
      <c r="B952" s="23"/>
      <c r="C952" s="23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</row>
    <row r="953" spans="1:19" ht="21.75" customHeight="1" x14ac:dyDescent="0.6">
      <c r="A953" s="21"/>
      <c r="B953" s="23"/>
      <c r="C953" s="23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</row>
    <row r="954" spans="1:19" ht="21.75" customHeight="1" x14ac:dyDescent="0.6">
      <c r="A954" s="21"/>
      <c r="B954" s="23"/>
      <c r="C954" s="23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</row>
    <row r="955" spans="1:19" ht="21.75" customHeight="1" x14ac:dyDescent="0.6">
      <c r="A955" s="21"/>
      <c r="B955" s="23"/>
      <c r="C955" s="23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</row>
    <row r="956" spans="1:19" ht="21.75" customHeight="1" x14ac:dyDescent="0.6">
      <c r="A956" s="21"/>
      <c r="B956" s="23"/>
      <c r="C956" s="23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</row>
    <row r="957" spans="1:19" ht="21.75" customHeight="1" x14ac:dyDescent="0.6">
      <c r="A957" s="21"/>
      <c r="B957" s="23"/>
      <c r="C957" s="23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</row>
    <row r="958" spans="1:19" ht="21.75" customHeight="1" x14ac:dyDescent="0.6">
      <c r="A958" s="21"/>
      <c r="B958" s="23"/>
      <c r="C958" s="23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</row>
    <row r="959" spans="1:19" ht="21.75" customHeight="1" x14ac:dyDescent="0.6">
      <c r="A959" s="21"/>
      <c r="B959" s="23"/>
      <c r="C959" s="23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</row>
    <row r="960" spans="1:19" ht="21.75" customHeight="1" x14ac:dyDescent="0.6">
      <c r="A960" s="21"/>
      <c r="B960" s="23"/>
      <c r="C960" s="23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</row>
    <row r="961" spans="1:19" ht="21.75" customHeight="1" x14ac:dyDescent="0.6">
      <c r="A961" s="21"/>
      <c r="B961" s="23"/>
      <c r="C961" s="23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</row>
    <row r="962" spans="1:19" ht="21.75" customHeight="1" x14ac:dyDescent="0.6">
      <c r="A962" s="21"/>
      <c r="B962" s="23"/>
      <c r="C962" s="23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</row>
    <row r="963" spans="1:19" ht="21.75" customHeight="1" x14ac:dyDescent="0.6">
      <c r="A963" s="21"/>
      <c r="B963" s="23"/>
      <c r="C963" s="23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</row>
    <row r="964" spans="1:19" ht="21.75" customHeight="1" x14ac:dyDescent="0.6">
      <c r="A964" s="21"/>
      <c r="B964" s="23"/>
      <c r="C964" s="23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</row>
    <row r="965" spans="1:19" ht="21.75" customHeight="1" x14ac:dyDescent="0.6">
      <c r="A965" s="21"/>
      <c r="B965" s="23"/>
      <c r="C965" s="23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</row>
    <row r="966" spans="1:19" ht="21.75" customHeight="1" x14ac:dyDescent="0.6">
      <c r="A966" s="21"/>
      <c r="B966" s="23"/>
      <c r="C966" s="23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</row>
    <row r="967" spans="1:19" ht="21.75" customHeight="1" x14ac:dyDescent="0.6">
      <c r="A967" s="21"/>
      <c r="B967" s="23"/>
      <c r="C967" s="23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</row>
    <row r="968" spans="1:19" ht="21.75" customHeight="1" x14ac:dyDescent="0.6">
      <c r="A968" s="21"/>
      <c r="B968" s="23"/>
      <c r="C968" s="23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</row>
    <row r="969" spans="1:19" ht="21.75" customHeight="1" x14ac:dyDescent="0.6">
      <c r="A969" s="21"/>
      <c r="B969" s="23"/>
      <c r="C969" s="23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</row>
    <row r="970" spans="1:19" ht="21.75" customHeight="1" x14ac:dyDescent="0.6">
      <c r="A970" s="21"/>
      <c r="B970" s="23"/>
      <c r="C970" s="23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</row>
    <row r="971" spans="1:19" ht="21.75" customHeight="1" x14ac:dyDescent="0.6">
      <c r="A971" s="21"/>
      <c r="B971" s="23"/>
      <c r="C971" s="23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</row>
    <row r="972" spans="1:19" ht="21.75" customHeight="1" x14ac:dyDescent="0.6">
      <c r="A972" s="21"/>
      <c r="B972" s="23"/>
      <c r="C972" s="23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</row>
    <row r="973" spans="1:19" ht="21.75" customHeight="1" x14ac:dyDescent="0.6">
      <c r="A973" s="21"/>
      <c r="B973" s="23"/>
      <c r="C973" s="23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</row>
    <row r="974" spans="1:19" ht="21.75" customHeight="1" x14ac:dyDescent="0.6">
      <c r="A974" s="21"/>
      <c r="B974" s="23"/>
      <c r="C974" s="23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</row>
    <row r="975" spans="1:19" ht="21.75" customHeight="1" x14ac:dyDescent="0.6">
      <c r="A975" s="21"/>
      <c r="B975" s="23"/>
      <c r="C975" s="23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</row>
    <row r="976" spans="1:19" ht="21.75" customHeight="1" x14ac:dyDescent="0.6">
      <c r="A976" s="21"/>
      <c r="B976" s="23"/>
      <c r="C976" s="23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</row>
    <row r="977" spans="1:19" ht="21.75" customHeight="1" x14ac:dyDescent="0.6">
      <c r="A977" s="21"/>
      <c r="B977" s="23"/>
      <c r="C977" s="23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</row>
    <row r="978" spans="1:19" ht="21.75" customHeight="1" x14ac:dyDescent="0.6">
      <c r="A978" s="21"/>
      <c r="B978" s="23"/>
      <c r="C978" s="23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</row>
    <row r="979" spans="1:19" ht="21.75" customHeight="1" x14ac:dyDescent="0.6">
      <c r="A979" s="21"/>
      <c r="B979" s="23"/>
      <c r="C979" s="23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</row>
    <row r="980" spans="1:19" ht="21.75" customHeight="1" x14ac:dyDescent="0.6">
      <c r="A980" s="21"/>
      <c r="B980" s="23"/>
      <c r="C980" s="23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</row>
    <row r="981" spans="1:19" ht="21.75" customHeight="1" x14ac:dyDescent="0.6">
      <c r="A981" s="21"/>
      <c r="B981" s="23"/>
      <c r="C981" s="23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</row>
    <row r="982" spans="1:19" ht="21.75" customHeight="1" x14ac:dyDescent="0.6">
      <c r="A982" s="21"/>
      <c r="B982" s="23"/>
      <c r="C982" s="23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</row>
    <row r="983" spans="1:19" ht="21.75" customHeight="1" x14ac:dyDescent="0.6">
      <c r="A983" s="21"/>
      <c r="B983" s="23"/>
      <c r="C983" s="23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</row>
    <row r="984" spans="1:19" ht="21.75" customHeight="1" x14ac:dyDescent="0.6">
      <c r="A984" s="21"/>
      <c r="B984" s="23"/>
      <c r="C984" s="23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</row>
    <row r="985" spans="1:19" ht="21.75" customHeight="1" x14ac:dyDescent="0.6">
      <c r="A985" s="21"/>
      <c r="B985" s="23"/>
      <c r="C985" s="23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</row>
    <row r="986" spans="1:19" ht="21.75" customHeight="1" x14ac:dyDescent="0.6">
      <c r="A986" s="21"/>
      <c r="B986" s="23"/>
      <c r="C986" s="23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</row>
    <row r="987" spans="1:19" ht="21.75" customHeight="1" x14ac:dyDescent="0.6">
      <c r="A987" s="21"/>
      <c r="B987" s="23"/>
      <c r="C987" s="23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</row>
    <row r="988" spans="1:19" ht="21.75" customHeight="1" x14ac:dyDescent="0.6">
      <c r="A988" s="21"/>
      <c r="B988" s="23"/>
      <c r="C988" s="23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</row>
    <row r="989" spans="1:19" ht="21.75" customHeight="1" x14ac:dyDescent="0.6">
      <c r="A989" s="21"/>
      <c r="B989" s="23"/>
      <c r="C989" s="23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</row>
    <row r="990" spans="1:19" ht="21.75" customHeight="1" x14ac:dyDescent="0.6">
      <c r="A990" s="21"/>
      <c r="B990" s="23"/>
      <c r="C990" s="23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</row>
    <row r="991" spans="1:19" ht="21.75" customHeight="1" x14ac:dyDescent="0.6">
      <c r="A991" s="21"/>
      <c r="B991" s="23"/>
      <c r="C991" s="23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</row>
    <row r="992" spans="1:19" ht="21.75" customHeight="1" x14ac:dyDescent="0.6">
      <c r="A992" s="21"/>
      <c r="B992" s="23"/>
      <c r="C992" s="23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</row>
    <row r="993" spans="1:19" ht="21.75" customHeight="1" x14ac:dyDescent="0.6">
      <c r="A993" s="21"/>
      <c r="B993" s="23"/>
      <c r="C993" s="23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</row>
    <row r="994" spans="1:19" ht="21.75" customHeight="1" x14ac:dyDescent="0.6">
      <c r="A994" s="21"/>
      <c r="B994" s="23"/>
      <c r="C994" s="23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</row>
    <row r="995" spans="1:19" ht="21.75" customHeight="1" x14ac:dyDescent="0.6">
      <c r="A995" s="21"/>
      <c r="B995" s="23"/>
      <c r="C995" s="23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</row>
    <row r="996" spans="1:19" ht="21.75" customHeight="1" x14ac:dyDescent="0.6">
      <c r="A996" s="21"/>
      <c r="B996" s="23"/>
      <c r="C996" s="23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</row>
    <row r="997" spans="1:19" ht="21.75" customHeight="1" x14ac:dyDescent="0.6">
      <c r="A997" s="21"/>
      <c r="B997" s="23"/>
      <c r="C997" s="23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</row>
    <row r="998" spans="1:19" ht="21.75" customHeight="1" x14ac:dyDescent="0.6">
      <c r="A998" s="21"/>
      <c r="B998" s="23"/>
      <c r="C998" s="23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</row>
    <row r="999" spans="1:19" ht="21.75" customHeight="1" x14ac:dyDescent="0.6">
      <c r="A999" s="21"/>
      <c r="B999" s="23"/>
      <c r="C999" s="23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</row>
    <row r="1000" spans="1:19" ht="21.75" customHeight="1" x14ac:dyDescent="0.6">
      <c r="A1000" s="21"/>
      <c r="B1000" s="23"/>
      <c r="C1000" s="23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</row>
    <row r="1001" spans="1:19" ht="21.75" customHeight="1" x14ac:dyDescent="0.6">
      <c r="A1001" s="21"/>
      <c r="B1001" s="23"/>
      <c r="C1001" s="23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</row>
    <row r="1002" spans="1:19" ht="21.75" customHeight="1" x14ac:dyDescent="0.6">
      <c r="A1002" s="21"/>
      <c r="B1002" s="23"/>
      <c r="C1002" s="23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</row>
    <row r="1003" spans="1:19" ht="21.75" customHeight="1" x14ac:dyDescent="0.6">
      <c r="A1003" s="21"/>
      <c r="B1003" s="23"/>
      <c r="C1003" s="23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</row>
  </sheetData>
  <mergeCells count="2">
    <mergeCell ref="A1:A2"/>
    <mergeCell ref="B1:D1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0E8F-C5B4-4A9A-9682-2FEE3AF6CF9F}">
  <sheetPr>
    <tabColor rgb="FFFF0000"/>
  </sheetPr>
  <dimension ref="A1:Y1003"/>
  <sheetViews>
    <sheetView showGridLines="0" tabSelected="1" zoomScale="70" zoomScaleNormal="70" workbookViewId="0">
      <selection activeCell="I20" sqref="A1:I20"/>
    </sheetView>
  </sheetViews>
  <sheetFormatPr defaultColWidth="14.42578125" defaultRowHeight="15" customHeight="1" x14ac:dyDescent="0.25"/>
  <cols>
    <col min="1" max="1" width="59.42578125" customWidth="1"/>
    <col min="2" max="3" width="18.140625" hidden="1" customWidth="1"/>
    <col min="4" max="8" width="18.140625" customWidth="1"/>
    <col min="9" max="9" width="17.7109375" customWidth="1"/>
    <col min="10" max="10" width="52.140625" customWidth="1"/>
    <col min="11" max="11" width="9.140625" customWidth="1"/>
    <col min="12" max="12" width="23.85546875" bestFit="1" customWidth="1"/>
    <col min="13" max="13" width="10.85546875" customWidth="1"/>
    <col min="14" max="25" width="9.140625" customWidth="1"/>
  </cols>
  <sheetData>
    <row r="1" spans="1:25" ht="21" customHeight="1" thickBot="1" x14ac:dyDescent="0.65">
      <c r="A1" s="141" t="s">
        <v>0</v>
      </c>
      <c r="B1" s="143" t="s">
        <v>129</v>
      </c>
      <c r="C1" s="144"/>
      <c r="D1" s="143" t="s">
        <v>130</v>
      </c>
      <c r="E1" s="144"/>
      <c r="F1" s="143" t="s">
        <v>120</v>
      </c>
      <c r="G1" s="144"/>
      <c r="H1" s="177" t="s">
        <v>122</v>
      </c>
      <c r="I1" s="182"/>
      <c r="J1" s="176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24" customHeight="1" thickBot="1" x14ac:dyDescent="0.65">
      <c r="A2" s="142"/>
      <c r="B2" s="124" t="s">
        <v>42</v>
      </c>
      <c r="C2" s="125" t="s">
        <v>3</v>
      </c>
      <c r="D2" s="124" t="s">
        <v>42</v>
      </c>
      <c r="E2" s="125" t="s">
        <v>3</v>
      </c>
      <c r="F2" s="124" t="s">
        <v>42</v>
      </c>
      <c r="G2" s="125" t="s">
        <v>3</v>
      </c>
      <c r="H2" s="120" t="s">
        <v>42</v>
      </c>
      <c r="I2" s="125" t="s">
        <v>3</v>
      </c>
      <c r="J2" s="139" t="s">
        <v>125</v>
      </c>
      <c r="K2" s="21"/>
      <c r="L2" s="6" t="s">
        <v>5</v>
      </c>
      <c r="M2" s="119">
        <v>11102.72</v>
      </c>
      <c r="N2" s="7" t="s">
        <v>6</v>
      </c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ht="24.6" customHeight="1" x14ac:dyDescent="0.25">
      <c r="A3" s="131" t="s">
        <v>4</v>
      </c>
      <c r="B3" s="126">
        <f>[1]Versões!$E$3</f>
        <v>3400044.0391976684</v>
      </c>
      <c r="C3" s="33">
        <f>B3/'[2]Obra '!$E$9</f>
        <v>306.23523237528002</v>
      </c>
      <c r="D3" s="126">
        <f t="shared" ref="D3:D18" si="0">B3/$B$20*$D$20</f>
        <v>3484282.0325038736</v>
      </c>
      <c r="E3" s="33">
        <f>D3/'[2]Obra '!$E$9</f>
        <v>313.82238158792387</v>
      </c>
      <c r="F3" s="126">
        <f ca="1">'[2]Obra '!$C$32</f>
        <v>4073248.064919733</v>
      </c>
      <c r="G3" s="33">
        <f ca="1">F3/$M$2</f>
        <v>366.86938560278321</v>
      </c>
      <c r="H3" s="121">
        <f ca="1">F3-D3</f>
        <v>588966.0324158594</v>
      </c>
      <c r="I3" s="33">
        <f ca="1">G3-E3</f>
        <v>53.04700401485934</v>
      </c>
      <c r="J3" s="178"/>
      <c r="K3" s="40"/>
      <c r="L3" s="39"/>
      <c r="M3" s="39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ht="24.6" customHeight="1" x14ac:dyDescent="0.25">
      <c r="A4" s="132" t="s">
        <v>7</v>
      </c>
      <c r="B4" s="127">
        <f>[1]Versões!$E$4</f>
        <v>949970.26724110113</v>
      </c>
      <c r="C4" s="128">
        <v>296.08145822974609</v>
      </c>
      <c r="D4" s="127">
        <f t="shared" si="0"/>
        <v>973506.31209534174</v>
      </c>
      <c r="E4" s="128">
        <f>D4/'[2]Obra '!$E$9</f>
        <v>87.681785372894382</v>
      </c>
      <c r="F4" s="127">
        <f ca="1">'[2]Obra '!$C$33</f>
        <v>198728.54458902398</v>
      </c>
      <c r="G4" s="128">
        <f ca="1">F4/$M$2</f>
        <v>17.899086403063752</v>
      </c>
      <c r="H4" s="122">
        <f ca="1">F4-D4</f>
        <v>-774777.7675063177</v>
      </c>
      <c r="I4" s="128">
        <f ca="1">G4-E4</f>
        <v>-69.782698969830633</v>
      </c>
      <c r="J4" s="179" t="s">
        <v>126</v>
      </c>
      <c r="K4" s="40"/>
      <c r="L4" s="39"/>
      <c r="M4" s="39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ht="24.6" customHeight="1" x14ac:dyDescent="0.25">
      <c r="A5" s="131" t="s">
        <v>8</v>
      </c>
      <c r="B5" s="126">
        <f>[1]Versões!$E$5</f>
        <v>2915254.6600993266</v>
      </c>
      <c r="C5" s="33">
        <f>B5/'[2]Obra '!$E$9</f>
        <v>262.57121318913988</v>
      </c>
      <c r="D5" s="126">
        <f t="shared" si="0"/>
        <v>2987481.7253114819</v>
      </c>
      <c r="E5" s="33">
        <f>D5/'[2]Obra '!$E$9</f>
        <v>269.07656189757847</v>
      </c>
      <c r="F5" s="126">
        <f ca="1">'[2]Obra '!$C$34</f>
        <v>1941462.0984345428</v>
      </c>
      <c r="G5" s="33">
        <f t="shared" ref="G5:G18" ca="1" si="1">F5/$M$2</f>
        <v>174.86364588448083</v>
      </c>
      <c r="H5" s="121">
        <f t="shared" ref="H5:H18" ca="1" si="2">F5-D5</f>
        <v>-1046019.6268769391</v>
      </c>
      <c r="I5" s="33">
        <f t="shared" ref="I5:I18" ca="1" si="3">G5-E5</f>
        <v>-94.21291601309764</v>
      </c>
      <c r="J5" s="178" t="s">
        <v>127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 ht="24.6" customHeight="1" x14ac:dyDescent="0.25">
      <c r="A6" s="132" t="s">
        <v>9</v>
      </c>
      <c r="B6" s="127">
        <f>[1]Versões!$E$6</f>
        <v>8246852.5510957967</v>
      </c>
      <c r="C6" s="128">
        <f>B6/'[2]Obra '!$E$9</f>
        <v>742.77767529900768</v>
      </c>
      <c r="D6" s="127">
        <f t="shared" si="0"/>
        <v>8451172.9369459767</v>
      </c>
      <c r="E6" s="128">
        <f>D6/'[2]Obra '!$E$9</f>
        <v>761.18040776908526</v>
      </c>
      <c r="F6" s="127">
        <f ca="1">'[2]Obra '!$C$35</f>
        <v>6615187.3552938532</v>
      </c>
      <c r="G6" s="128">
        <f t="shared" ca="1" si="1"/>
        <v>595.81682284105636</v>
      </c>
      <c r="H6" s="122">
        <f t="shared" ca="1" si="2"/>
        <v>-1835985.5816521235</v>
      </c>
      <c r="I6" s="128">
        <f t="shared" ca="1" si="3"/>
        <v>-165.3635849280289</v>
      </c>
      <c r="J6" s="179" t="s">
        <v>128</v>
      </c>
      <c r="K6" s="40"/>
      <c r="L6" s="39"/>
      <c r="M6" s="39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 ht="24.6" customHeight="1" x14ac:dyDescent="0.25">
      <c r="A7" s="131" t="s">
        <v>10</v>
      </c>
      <c r="B7" s="126">
        <f>[1]Versões!$E$7</f>
        <v>1936039.0822323917</v>
      </c>
      <c r="C7" s="33">
        <f>B7/'[2]Obra '!$E$9</f>
        <v>174.37520555615129</v>
      </c>
      <c r="D7" s="126">
        <f t="shared" si="0"/>
        <v>1984005.5336575704</v>
      </c>
      <c r="E7" s="33">
        <f>D7/'[2]Obra '!$E$9</f>
        <v>178.69544883213939</v>
      </c>
      <c r="F7" s="126">
        <f ca="1">'[2]Obra '!$C$36</f>
        <v>1669934.1888865917</v>
      </c>
      <c r="G7" s="33">
        <f t="shared" ca="1" si="1"/>
        <v>150.40766486830179</v>
      </c>
      <c r="H7" s="121">
        <f t="shared" ca="1" si="2"/>
        <v>-314071.34477097867</v>
      </c>
      <c r="I7" s="33">
        <f t="shared" ca="1" si="3"/>
        <v>-28.287783963837597</v>
      </c>
      <c r="J7" s="17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24.6" customHeight="1" x14ac:dyDescent="0.25">
      <c r="A8" s="132" t="s">
        <v>11</v>
      </c>
      <c r="B8" s="127">
        <f>[1]Versões!$E$8</f>
        <v>4059519.6374255875</v>
      </c>
      <c r="C8" s="128">
        <f>B8/'[2]Obra '!$E$9</f>
        <v>365.63289332934528</v>
      </c>
      <c r="D8" s="127">
        <f t="shared" si="0"/>
        <v>4160096.5076371157</v>
      </c>
      <c r="E8" s="128">
        <f>D8/'[2]Obra '!$E$9</f>
        <v>374.69165282355283</v>
      </c>
      <c r="F8" s="127">
        <f ca="1">'[2]Obra '!$C$37</f>
        <v>4311922.0907457341</v>
      </c>
      <c r="G8" s="128">
        <f t="shared" ca="1" si="1"/>
        <v>388.36628238357218</v>
      </c>
      <c r="H8" s="122">
        <f t="shared" ca="1" si="2"/>
        <v>151825.58310861839</v>
      </c>
      <c r="I8" s="128">
        <f t="shared" ca="1" si="3"/>
        <v>13.674629560019355</v>
      </c>
      <c r="J8" s="179"/>
      <c r="K8" s="40"/>
      <c r="L8" s="39"/>
      <c r="M8" s="3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5" ht="24.6" customHeight="1" x14ac:dyDescent="0.25">
      <c r="A9" s="131" t="s">
        <v>12</v>
      </c>
      <c r="B9" s="126">
        <f>[1]Versões!$E$9</f>
        <v>1816668.673</v>
      </c>
      <c r="C9" s="33">
        <f>B9/'[2]Obra '!$E$9</f>
        <v>163.62374922541505</v>
      </c>
      <c r="D9" s="126">
        <f t="shared" si="0"/>
        <v>1861677.6557518465</v>
      </c>
      <c r="E9" s="33">
        <f>D9/'[2]Obra '!$E$9</f>
        <v>167.67761915565256</v>
      </c>
      <c r="F9" s="126">
        <f ca="1">'[2]Obra '!$C$38</f>
        <v>1997062.2669022223</v>
      </c>
      <c r="G9" s="33">
        <f t="shared" ca="1" si="1"/>
        <v>179.87144293490445</v>
      </c>
      <c r="H9" s="121">
        <f t="shared" ca="1" si="2"/>
        <v>135384.6111503758</v>
      </c>
      <c r="I9" s="33">
        <f t="shared" ca="1" si="3"/>
        <v>12.193823779251886</v>
      </c>
      <c r="J9" s="17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ht="24.6" customHeight="1" x14ac:dyDescent="0.25">
      <c r="A10" s="132" t="s">
        <v>13</v>
      </c>
      <c r="B10" s="127">
        <f>[1]Versões!$E$10</f>
        <v>851494.30754360021</v>
      </c>
      <c r="C10" s="128">
        <f>B10/'[2]Obra '!$E$9</f>
        <v>76.692405783771946</v>
      </c>
      <c r="D10" s="127">
        <f t="shared" si="0"/>
        <v>872590.55540162965</v>
      </c>
      <c r="E10" s="128">
        <f>D10/'[2]Obra '!$E$9</f>
        <v>78.592503044445849</v>
      </c>
      <c r="F10" s="127">
        <f ca="1">'[2]Obra '!$C$39</f>
        <v>948728.56679100019</v>
      </c>
      <c r="G10" s="128">
        <f t="shared" ca="1" si="1"/>
        <v>85.45010292892195</v>
      </c>
      <c r="H10" s="122">
        <f t="shared" ca="1" si="2"/>
        <v>76138.011389370542</v>
      </c>
      <c r="I10" s="128">
        <f t="shared" ca="1" si="3"/>
        <v>6.8575998844761017</v>
      </c>
      <c r="J10" s="179"/>
      <c r="K10" s="40"/>
      <c r="L10" s="39"/>
      <c r="M10" s="39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24.6" customHeight="1" x14ac:dyDescent="0.25">
      <c r="A11" s="131" t="s">
        <v>123</v>
      </c>
      <c r="B11" s="126">
        <f>[1]Versões!$E$11</f>
        <v>2914839.4992376748</v>
      </c>
      <c r="C11" s="33">
        <f>B11/'[2]Obra '!$E$9</f>
        <v>262.53382047261169</v>
      </c>
      <c r="D11" s="126">
        <f t="shared" si="0"/>
        <v>2987056.2786072115</v>
      </c>
      <c r="E11" s="33">
        <f>D11/'[2]Obra '!$E$9</f>
        <v>269.0382427555781</v>
      </c>
      <c r="F11" s="126">
        <f ca="1">'[2]Obra '!$C$40</f>
        <v>3214008.858001166</v>
      </c>
      <c r="G11" s="33">
        <f t="shared" ca="1" si="1"/>
        <v>289.47941207210181</v>
      </c>
      <c r="H11" s="121">
        <f t="shared" ca="1" si="2"/>
        <v>226952.57939395448</v>
      </c>
      <c r="I11" s="33">
        <f t="shared" ca="1" si="3"/>
        <v>20.441169316523712</v>
      </c>
      <c r="J11" s="178" t="s">
        <v>132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24.6" customHeight="1" x14ac:dyDescent="0.25">
      <c r="A12" s="132" t="s">
        <v>14</v>
      </c>
      <c r="B12" s="127">
        <f>[1]Versões!$E$12</f>
        <v>454052.27497641998</v>
      </c>
      <c r="C12" s="128">
        <f>B12/'[2]Obra '!$E$9</f>
        <v>40.895589096763686</v>
      </c>
      <c r="D12" s="127">
        <f t="shared" si="0"/>
        <v>465301.67411924893</v>
      </c>
      <c r="E12" s="128">
        <f>D12/'[2]Obra '!$E$9</f>
        <v>41.908800196640918</v>
      </c>
      <c r="F12" s="127">
        <f ca="1">'[2]Obra '!$C$41</f>
        <v>753156.09809219011</v>
      </c>
      <c r="G12" s="128">
        <f t="shared" ca="1" si="1"/>
        <v>67.83527803026557</v>
      </c>
      <c r="H12" s="122">
        <f t="shared" ca="1" si="2"/>
        <v>287854.42397294118</v>
      </c>
      <c r="I12" s="128">
        <f t="shared" ca="1" si="3"/>
        <v>25.926477833624652</v>
      </c>
      <c r="J12" s="179" t="s">
        <v>131</v>
      </c>
      <c r="K12" s="40"/>
      <c r="L12" s="39"/>
      <c r="M12" s="39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24.6" customHeight="1" x14ac:dyDescent="0.25">
      <c r="A13" s="131" t="s">
        <v>124</v>
      </c>
      <c r="B13" s="126">
        <f>[1]Versões!$E$13</f>
        <v>3357328.4070374626</v>
      </c>
      <c r="C13" s="33">
        <f>B13/'[2]Obra '!$E$9</f>
        <v>302.38791999054854</v>
      </c>
      <c r="D13" s="126">
        <f t="shared" si="0"/>
        <v>3440508.096658627</v>
      </c>
      <c r="E13" s="33">
        <f>D13/'[2]Obra '!$E$9</f>
        <v>309.8797498863907</v>
      </c>
      <c r="F13" s="126">
        <f ca="1">'[2]Obra '!$C$42</f>
        <v>4313008.1837960519</v>
      </c>
      <c r="G13" s="33">
        <f t="shared" ca="1" si="1"/>
        <v>388.46410463346388</v>
      </c>
      <c r="H13" s="121">
        <f t="shared" ca="1" si="2"/>
        <v>872500.08713742485</v>
      </c>
      <c r="I13" s="33">
        <f t="shared" ca="1" si="3"/>
        <v>78.584354747073178</v>
      </c>
      <c r="J13" s="178" t="s">
        <v>135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 ht="24.6" customHeight="1" x14ac:dyDescent="0.25">
      <c r="A14" s="132" t="s">
        <v>15</v>
      </c>
      <c r="B14" s="127">
        <f>[1]Versões!$E$14</f>
        <v>1454024.7256579841</v>
      </c>
      <c r="C14" s="128">
        <f>B14/'[2]Obra '!$E$9</f>
        <v>130.96112715244413</v>
      </c>
      <c r="D14" s="127">
        <f t="shared" si="0"/>
        <v>1490049.0017246958</v>
      </c>
      <c r="E14" s="128">
        <f>D14/'[2]Obra '!$E$9</f>
        <v>134.20576234694707</v>
      </c>
      <c r="F14" s="127">
        <f ca="1">'[2]Obra '!$C$43</f>
        <v>1273615.850741019</v>
      </c>
      <c r="G14" s="128">
        <f ca="1">F14/$M$2</f>
        <v>114.71205711222287</v>
      </c>
      <c r="H14" s="122">
        <f t="shared" ca="1" si="2"/>
        <v>-216433.15098367678</v>
      </c>
      <c r="I14" s="128">
        <f t="shared" ca="1" si="3"/>
        <v>-19.493705234724203</v>
      </c>
      <c r="J14" s="179" t="s">
        <v>133</v>
      </c>
      <c r="K14" s="40"/>
      <c r="L14" s="39"/>
      <c r="M14" s="39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5" ht="24.6" customHeight="1" x14ac:dyDescent="0.25">
      <c r="A15" s="131" t="s">
        <v>16</v>
      </c>
      <c r="B15" s="126">
        <f>[1]Versões!$E$15</f>
        <v>3586027.902067584</v>
      </c>
      <c r="C15" s="33">
        <f>B15/'[2]Obra '!$E$9</f>
        <v>322.98643053842522</v>
      </c>
      <c r="D15" s="126">
        <f t="shared" si="0"/>
        <v>3674873.749629464</v>
      </c>
      <c r="E15" s="33">
        <f>D15/'[2]Obra '!$E$9</f>
        <v>330.98860005741517</v>
      </c>
      <c r="F15" s="126">
        <f ca="1">'[2]Obra '!$C$44</f>
        <v>3821896.5816228217</v>
      </c>
      <c r="G15" s="33">
        <f t="shared" ca="1" si="1"/>
        <v>344.23065533696445</v>
      </c>
      <c r="H15" s="121">
        <f t="shared" ca="1" si="2"/>
        <v>147022.83199335774</v>
      </c>
      <c r="I15" s="33">
        <f t="shared" ca="1" si="3"/>
        <v>13.242055279549277</v>
      </c>
      <c r="J15" s="17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5" ht="24.6" customHeight="1" x14ac:dyDescent="0.25">
      <c r="A16" s="132" t="s">
        <v>17</v>
      </c>
      <c r="B16" s="127">
        <f>[1]Versões!$E$16</f>
        <v>217990.91106698589</v>
      </c>
      <c r="C16" s="128">
        <f>B16/'[2]Obra '!$E$9</f>
        <v>19.634009600078713</v>
      </c>
      <c r="D16" s="127">
        <f t="shared" si="0"/>
        <v>223391.75784884332</v>
      </c>
      <c r="E16" s="128">
        <f>D16/'[2]Obra '!$E$9</f>
        <v>20.120453172631876</v>
      </c>
      <c r="F16" s="127">
        <f ca="1">'[2]Obra '!$C$45</f>
        <v>375409.40763087</v>
      </c>
      <c r="G16" s="128">
        <f t="shared" ca="1" si="1"/>
        <v>33.812381797511783</v>
      </c>
      <c r="H16" s="122">
        <f t="shared" ca="1" si="2"/>
        <v>152017.64978202668</v>
      </c>
      <c r="I16" s="128">
        <f t="shared" ca="1" si="3"/>
        <v>13.691928624879907</v>
      </c>
      <c r="J16" s="179"/>
      <c r="K16" s="40"/>
      <c r="L16" s="39"/>
      <c r="M16" s="39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24.6" customHeight="1" x14ac:dyDescent="0.25">
      <c r="A17" s="131" t="s">
        <v>18</v>
      </c>
      <c r="B17" s="126">
        <f>[1]Versões!$E$17</f>
        <v>1680035.9699910753</v>
      </c>
      <c r="C17" s="33">
        <f>B17/'[2]Obra '!$E$9</f>
        <v>151.31751228447405</v>
      </c>
      <c r="D17" s="126">
        <f t="shared" si="0"/>
        <v>1721659.8010834772</v>
      </c>
      <c r="E17" s="33">
        <f>D17/'[2]Obra '!$E$9</f>
        <v>155.0664883094843</v>
      </c>
      <c r="F17" s="126">
        <f ca="1">'[2]Obra '!$C$46</f>
        <v>1517055.5979890632</v>
      </c>
      <c r="G17" s="33">
        <f t="shared" ca="1" si="1"/>
        <v>136.63819298235597</v>
      </c>
      <c r="H17" s="121">
        <f t="shared" ca="1" si="2"/>
        <v>-204604.20309441397</v>
      </c>
      <c r="I17" s="33">
        <f t="shared" ca="1" si="3"/>
        <v>-18.428295327128325</v>
      </c>
      <c r="J17" s="17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24.6" customHeight="1" x14ac:dyDescent="0.25">
      <c r="A18" s="132" t="s">
        <v>19</v>
      </c>
      <c r="B18" s="127">
        <f>[1]Versões!$E$18</f>
        <v>2343882.4962254772</v>
      </c>
      <c r="C18" s="128">
        <f>B18/'[2]Obra '!$E$9</f>
        <v>211.10885406688431</v>
      </c>
      <c r="D18" s="127">
        <f t="shared" si="0"/>
        <v>2401953.4964099824</v>
      </c>
      <c r="E18" s="128">
        <f>D18/'[2]Obra '!$E$9</f>
        <v>216.33919403623463</v>
      </c>
      <c r="F18" s="127">
        <f ca="1">'[2]Obra '!$C$47</f>
        <v>3263431.9372460633</v>
      </c>
      <c r="G18" s="128">
        <f t="shared" ca="1" si="1"/>
        <v>293.9308509307686</v>
      </c>
      <c r="H18" s="122">
        <f t="shared" ca="1" si="2"/>
        <v>861478.44083608082</v>
      </c>
      <c r="I18" s="128">
        <f t="shared" ca="1" si="3"/>
        <v>77.591656894533969</v>
      </c>
      <c r="J18" s="179" t="s">
        <v>134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s="27" customFormat="1" ht="19.5" customHeight="1" x14ac:dyDescent="0.25">
      <c r="A19" s="134" t="s">
        <v>21</v>
      </c>
      <c r="B19" s="135">
        <f t="shared" ref="B19:H19" si="4">SUM(B3:B18)</f>
        <v>40184025.404096141</v>
      </c>
      <c r="C19" s="136">
        <f t="shared" si="4"/>
        <v>3829.8150961900874</v>
      </c>
      <c r="D19" s="135">
        <f t="shared" si="4"/>
        <v>41179607.115386397</v>
      </c>
      <c r="E19" s="136">
        <f t="shared" si="4"/>
        <v>3708.9656512445954</v>
      </c>
      <c r="F19" s="135">
        <f t="shared" ca="1" si="4"/>
        <v>40287855.691681944</v>
      </c>
      <c r="G19" s="136">
        <f t="shared" ca="1" si="4"/>
        <v>3628.647366742739</v>
      </c>
      <c r="H19" s="137">
        <f t="shared" ca="1" si="4"/>
        <v>-891751.42370443977</v>
      </c>
      <c r="I19" s="136">
        <f ca="1">SUM(I4:I18)</f>
        <v>-133.36528851671525</v>
      </c>
      <c r="J19" s="180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s="27" customFormat="1" ht="19.5" customHeight="1" thickBot="1" x14ac:dyDescent="0.3">
      <c r="A20" s="133" t="s">
        <v>121</v>
      </c>
      <c r="B20" s="129">
        <v>2841.51</v>
      </c>
      <c r="C20" s="130">
        <v>45536</v>
      </c>
      <c r="D20" s="129">
        <f>F20</f>
        <v>2911.91</v>
      </c>
      <c r="E20" s="130">
        <f>G20</f>
        <v>45870</v>
      </c>
      <c r="F20" s="129">
        <v>2911.91</v>
      </c>
      <c r="G20" s="130">
        <v>45870</v>
      </c>
      <c r="H20" s="123">
        <v>2911.91</v>
      </c>
      <c r="I20" s="130">
        <v>45870</v>
      </c>
      <c r="J20" s="181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21.75" customHeight="1" x14ac:dyDescent="0.6">
      <c r="A21" s="21"/>
      <c r="B21" s="23"/>
      <c r="C21" s="21"/>
      <c r="D21" s="23"/>
      <c r="E21" s="21"/>
      <c r="F21" s="23"/>
      <c r="G21" s="21"/>
      <c r="H21" s="23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 ht="21.75" customHeight="1" x14ac:dyDescent="0.6">
      <c r="A22" s="21"/>
      <c r="B22" s="23"/>
      <c r="C22" s="21"/>
      <c r="D22" s="23"/>
      <c r="E22" s="21"/>
      <c r="F22" s="23"/>
      <c r="G22" s="21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 ht="21.75" customHeight="1" x14ac:dyDescent="0.6">
      <c r="A23" s="21"/>
      <c r="B23" s="23"/>
      <c r="C23" s="21"/>
      <c r="D23" s="23"/>
      <c r="E23" s="21"/>
      <c r="F23" s="23"/>
      <c r="G23" s="21"/>
      <c r="H23" s="23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ht="21.75" hidden="1" customHeight="1" x14ac:dyDescent="0.6">
      <c r="A24" s="21"/>
      <c r="B24" s="23">
        <v>2007.57</v>
      </c>
      <c r="C24" s="21"/>
      <c r="D24" s="23">
        <v>2007.57</v>
      </c>
      <c r="E24" s="21"/>
      <c r="F24" s="23">
        <v>2007.57</v>
      </c>
      <c r="G24" s="21"/>
      <c r="H24" s="23">
        <v>2007.57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 ht="21.75" hidden="1" customHeight="1" x14ac:dyDescent="0.6">
      <c r="A25" s="21"/>
      <c r="B25" s="23">
        <v>2461.35</v>
      </c>
      <c r="C25" s="21"/>
      <c r="D25" s="23">
        <v>2461.35</v>
      </c>
      <c r="E25" s="21"/>
      <c r="F25" s="23">
        <v>2461.35</v>
      </c>
      <c r="G25" s="21"/>
      <c r="H25" s="23">
        <v>2461.35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5" ht="21.75" hidden="1" customHeight="1" x14ac:dyDescent="0.6">
      <c r="A26" s="21"/>
      <c r="B26" s="23">
        <f>B25/B24</f>
        <v>1.2260344595705255</v>
      </c>
      <c r="C26" s="21"/>
      <c r="D26" s="23">
        <f>D25/D24</f>
        <v>1.2260344595705255</v>
      </c>
      <c r="E26" s="21"/>
      <c r="F26" s="23">
        <f>F25/F24</f>
        <v>1.2260344595705255</v>
      </c>
      <c r="G26" s="21"/>
      <c r="H26" s="23">
        <f>H25/H24</f>
        <v>1.2260344595705255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5" ht="21.75" hidden="1" customHeight="1" x14ac:dyDescent="0.6">
      <c r="A27" s="21"/>
      <c r="B27" s="23"/>
      <c r="C27" s="21"/>
      <c r="D27" s="23"/>
      <c r="E27" s="21"/>
      <c r="F27" s="23"/>
      <c r="G27" s="21"/>
      <c r="H27" s="23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21.75" hidden="1" customHeight="1" x14ac:dyDescent="0.6">
      <c r="A28" s="21"/>
      <c r="B28" s="23"/>
      <c r="C28" s="21"/>
      <c r="D28" s="23"/>
      <c r="E28" s="21"/>
      <c r="F28" s="23"/>
      <c r="G28" s="21"/>
      <c r="H28" s="23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spans="1:25" ht="21.75" hidden="1" customHeight="1" x14ac:dyDescent="0.6">
      <c r="A29" s="21"/>
      <c r="B29" s="23"/>
      <c r="C29" s="21">
        <v>1.1023000000000001</v>
      </c>
      <c r="D29" s="23"/>
      <c r="E29" s="21">
        <v>1.1023000000000001</v>
      </c>
      <c r="F29" s="23"/>
      <c r="G29" s="21">
        <v>1.1023000000000001</v>
      </c>
      <c r="H29" s="23"/>
      <c r="I29" s="21">
        <v>1.1023000000000001</v>
      </c>
      <c r="J29" s="21">
        <v>1.1023000000000001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spans="1:25" ht="21.75" hidden="1" customHeight="1" x14ac:dyDescent="0.6">
      <c r="A30" s="21"/>
      <c r="B30" s="23"/>
      <c r="C30" s="21"/>
      <c r="D30" s="23"/>
      <c r="E30" s="21"/>
      <c r="F30" s="23"/>
      <c r="G30" s="21"/>
      <c r="H30" s="23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spans="1:25" ht="21.75" hidden="1" customHeight="1" x14ac:dyDescent="0.6">
      <c r="A31" s="26" t="s">
        <v>38</v>
      </c>
      <c r="B31" s="23">
        <v>900</v>
      </c>
      <c r="C31" s="23"/>
      <c r="D31" s="23">
        <v>900</v>
      </c>
      <c r="E31" s="23"/>
      <c r="F31" s="23">
        <v>900</v>
      </c>
      <c r="G31" s="23"/>
      <c r="H31" s="23">
        <v>900</v>
      </c>
      <c r="I31" s="23"/>
      <c r="J31" s="23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spans="1:25" ht="21.75" hidden="1" customHeight="1" x14ac:dyDescent="0.6">
      <c r="A32" s="25" t="s">
        <v>37</v>
      </c>
      <c r="B32" s="23">
        <v>25</v>
      </c>
      <c r="C32" s="23"/>
      <c r="D32" s="23">
        <v>25</v>
      </c>
      <c r="E32" s="23"/>
      <c r="F32" s="23">
        <v>25</v>
      </c>
      <c r="G32" s="23"/>
      <c r="H32" s="23">
        <v>25</v>
      </c>
      <c r="I32" s="23"/>
      <c r="J32" s="23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1:25" ht="21.75" hidden="1" customHeight="1" x14ac:dyDescent="0.6">
      <c r="A33" s="26" t="s">
        <v>36</v>
      </c>
      <c r="B33" s="23">
        <v>15</v>
      </c>
      <c r="C33" s="23"/>
      <c r="D33" s="23">
        <v>15</v>
      </c>
      <c r="E33" s="23"/>
      <c r="F33" s="23">
        <v>15</v>
      </c>
      <c r="G33" s="23"/>
      <c r="H33" s="23">
        <v>15</v>
      </c>
      <c r="I33" s="23"/>
      <c r="J33" s="23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spans="1:25" ht="21.75" hidden="1" customHeight="1" x14ac:dyDescent="0.6">
      <c r="A34" s="25" t="s">
        <v>35</v>
      </c>
      <c r="B34" s="23">
        <v>150</v>
      </c>
      <c r="C34" s="23"/>
      <c r="D34" s="23">
        <v>150</v>
      </c>
      <c r="E34" s="23"/>
      <c r="F34" s="23">
        <v>150</v>
      </c>
      <c r="G34" s="23"/>
      <c r="H34" s="23">
        <v>150</v>
      </c>
      <c r="I34" s="23"/>
      <c r="J34" s="23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spans="1:25" ht="21.75" hidden="1" customHeight="1" x14ac:dyDescent="0.6">
      <c r="A35" s="26" t="s">
        <v>34</v>
      </c>
      <c r="B35" s="23">
        <v>440</v>
      </c>
      <c r="C35" s="23"/>
      <c r="D35" s="23">
        <v>440</v>
      </c>
      <c r="E35" s="23"/>
      <c r="F35" s="23">
        <v>440</v>
      </c>
      <c r="G35" s="23"/>
      <c r="H35" s="23">
        <v>440</v>
      </c>
      <c r="I35" s="23"/>
      <c r="J35" s="23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spans="1:25" ht="21.75" hidden="1" customHeight="1" x14ac:dyDescent="0.6">
      <c r="A36" s="25" t="s">
        <v>33</v>
      </c>
      <c r="B36" s="23"/>
      <c r="C36" s="23"/>
      <c r="D36" s="23"/>
      <c r="E36" s="23"/>
      <c r="F36" s="23"/>
      <c r="G36" s="23"/>
      <c r="H36" s="23"/>
      <c r="I36" s="23"/>
      <c r="J36" s="23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1:25" ht="21.75" hidden="1" customHeight="1" x14ac:dyDescent="0.6">
      <c r="A37" s="26" t="s">
        <v>32</v>
      </c>
      <c r="B37" s="23">
        <v>55</v>
      </c>
      <c r="C37" s="23"/>
      <c r="D37" s="23">
        <v>55</v>
      </c>
      <c r="E37" s="23"/>
      <c r="F37" s="23">
        <v>55</v>
      </c>
      <c r="G37" s="23"/>
      <c r="H37" s="23">
        <v>55</v>
      </c>
      <c r="I37" s="23"/>
      <c r="J37" s="23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1:25" ht="21.75" hidden="1" customHeight="1" x14ac:dyDescent="0.6">
      <c r="A38" s="25" t="s">
        <v>31</v>
      </c>
      <c r="B38" s="23">
        <v>170</v>
      </c>
      <c r="C38" s="23"/>
      <c r="D38" s="23">
        <v>170</v>
      </c>
      <c r="E38" s="23"/>
      <c r="F38" s="23">
        <v>170</v>
      </c>
      <c r="G38" s="23"/>
      <c r="H38" s="23">
        <v>170</v>
      </c>
      <c r="I38" s="23"/>
      <c r="J38" s="23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1:25" ht="21.75" hidden="1" customHeight="1" x14ac:dyDescent="0.6">
      <c r="A39" s="26" t="s">
        <v>30</v>
      </c>
      <c r="B39" s="23">
        <v>165</v>
      </c>
      <c r="C39" s="23"/>
      <c r="D39" s="23">
        <v>165</v>
      </c>
      <c r="E39" s="23"/>
      <c r="F39" s="23">
        <v>165</v>
      </c>
      <c r="G39" s="23"/>
      <c r="H39" s="23">
        <v>165</v>
      </c>
      <c r="I39" s="23"/>
      <c r="J39" s="23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1:25" ht="21.75" hidden="1" customHeight="1" x14ac:dyDescent="0.6">
      <c r="A40" s="25" t="s">
        <v>29</v>
      </c>
      <c r="B40" s="23">
        <v>40</v>
      </c>
      <c r="C40" s="23"/>
      <c r="D40" s="23">
        <v>40</v>
      </c>
      <c r="E40" s="23"/>
      <c r="F40" s="23">
        <v>40</v>
      </c>
      <c r="G40" s="23"/>
      <c r="H40" s="23">
        <v>40</v>
      </c>
      <c r="I40" s="23"/>
      <c r="J40" s="23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1:25" ht="21.75" hidden="1" customHeight="1" x14ac:dyDescent="0.6">
      <c r="A41" s="26" t="s">
        <v>28</v>
      </c>
      <c r="B41" s="23">
        <v>55</v>
      </c>
      <c r="C41" s="23"/>
      <c r="D41" s="23">
        <v>55</v>
      </c>
      <c r="E41" s="23"/>
      <c r="F41" s="23">
        <v>55</v>
      </c>
      <c r="G41" s="23"/>
      <c r="H41" s="23">
        <v>55</v>
      </c>
      <c r="I41" s="23"/>
      <c r="J41" s="23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5" ht="21.75" hidden="1" customHeight="1" x14ac:dyDescent="0.6">
      <c r="A42" s="25" t="s">
        <v>23</v>
      </c>
      <c r="B42" s="23">
        <v>35</v>
      </c>
      <c r="C42" s="23"/>
      <c r="D42" s="23">
        <v>35</v>
      </c>
      <c r="E42" s="23"/>
      <c r="F42" s="23">
        <v>35</v>
      </c>
      <c r="G42" s="23"/>
      <c r="H42" s="23">
        <v>35</v>
      </c>
      <c r="I42" s="23"/>
      <c r="J42" s="23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5" ht="21.75" hidden="1" customHeight="1" x14ac:dyDescent="0.6">
      <c r="A43" s="26" t="s">
        <v>27</v>
      </c>
      <c r="B43" s="23">
        <v>130</v>
      </c>
      <c r="C43" s="23"/>
      <c r="D43" s="23">
        <v>130</v>
      </c>
      <c r="E43" s="23"/>
      <c r="F43" s="23">
        <v>130</v>
      </c>
      <c r="G43" s="23"/>
      <c r="H43" s="23">
        <v>130</v>
      </c>
      <c r="I43" s="23"/>
      <c r="J43" s="23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5" ht="21.75" hidden="1" customHeight="1" x14ac:dyDescent="0.6">
      <c r="A44" s="25" t="s">
        <v>26</v>
      </c>
      <c r="B44" s="23">
        <v>35</v>
      </c>
      <c r="C44" s="23"/>
      <c r="D44" s="23">
        <v>35</v>
      </c>
      <c r="E44" s="23"/>
      <c r="F44" s="23">
        <v>35</v>
      </c>
      <c r="G44" s="23"/>
      <c r="H44" s="23">
        <v>35</v>
      </c>
      <c r="I44" s="23"/>
      <c r="J44" s="23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5" ht="21.75" hidden="1" customHeight="1" x14ac:dyDescent="0.6">
      <c r="A45" s="26" t="s">
        <v>25</v>
      </c>
      <c r="B45" s="23">
        <v>35</v>
      </c>
      <c r="C45" s="23"/>
      <c r="D45" s="23">
        <v>35</v>
      </c>
      <c r="E45" s="23"/>
      <c r="F45" s="23">
        <v>35</v>
      </c>
      <c r="G45" s="23"/>
      <c r="H45" s="23">
        <v>35</v>
      </c>
      <c r="I45" s="23"/>
      <c r="J45" s="23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 ht="21.75" hidden="1" customHeight="1" x14ac:dyDescent="0.6">
      <c r="A46" s="25" t="s">
        <v>24</v>
      </c>
      <c r="B46" s="23">
        <v>430</v>
      </c>
      <c r="C46" s="23"/>
      <c r="D46" s="23">
        <v>430</v>
      </c>
      <c r="E46" s="23"/>
      <c r="F46" s="23">
        <v>430</v>
      </c>
      <c r="G46" s="23"/>
      <c r="H46" s="23">
        <v>430</v>
      </c>
      <c r="I46" s="23"/>
      <c r="J46" s="23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1:25" ht="21.75" hidden="1" customHeight="1" x14ac:dyDescent="0.6">
      <c r="A47" s="26" t="s">
        <v>23</v>
      </c>
      <c r="B47" s="23">
        <v>35</v>
      </c>
      <c r="C47" s="23"/>
      <c r="D47" s="23">
        <v>35</v>
      </c>
      <c r="E47" s="23"/>
      <c r="F47" s="23">
        <v>35</v>
      </c>
      <c r="G47" s="23"/>
      <c r="H47" s="23">
        <v>35</v>
      </c>
      <c r="I47" s="23"/>
      <c r="J47" s="23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spans="1:25" ht="21.75" hidden="1" customHeight="1" x14ac:dyDescent="0.6">
      <c r="A48" s="25" t="s">
        <v>22</v>
      </c>
      <c r="B48" s="23">
        <v>150</v>
      </c>
      <c r="C48" s="23"/>
      <c r="D48" s="23">
        <v>150</v>
      </c>
      <c r="E48" s="23"/>
      <c r="F48" s="23">
        <v>150</v>
      </c>
      <c r="G48" s="23"/>
      <c r="H48" s="23">
        <v>150</v>
      </c>
      <c r="I48" s="23"/>
      <c r="J48" s="23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1:25" ht="21.75" hidden="1" customHeight="1" x14ac:dyDescent="0.6">
      <c r="A49" s="21"/>
      <c r="B49" s="23"/>
      <c r="C49" s="21"/>
      <c r="D49" s="23"/>
      <c r="E49" s="21"/>
      <c r="F49" s="23"/>
      <c r="G49" s="21"/>
      <c r="H49" s="23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1:25" ht="21.75" hidden="1" customHeight="1" x14ac:dyDescent="0.6">
      <c r="A50" s="21"/>
      <c r="B50" s="23"/>
      <c r="C50" s="21"/>
      <c r="D50" s="23"/>
      <c r="E50" s="21"/>
      <c r="F50" s="23"/>
      <c r="G50" s="21"/>
      <c r="H50" s="23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spans="1:25" ht="21.75" hidden="1" customHeight="1" x14ac:dyDescent="0.6">
      <c r="A51" s="21"/>
      <c r="B51" s="23"/>
      <c r="C51" s="21"/>
      <c r="D51" s="23"/>
      <c r="E51" s="21"/>
      <c r="F51" s="23"/>
      <c r="G51" s="21"/>
      <c r="H51" s="23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spans="1:25" ht="21.75" hidden="1" customHeight="1" x14ac:dyDescent="0.6">
      <c r="A52" s="21"/>
      <c r="B52" s="23"/>
      <c r="C52" s="21"/>
      <c r="D52" s="23"/>
      <c r="E52" s="21"/>
      <c r="F52" s="23"/>
      <c r="G52" s="21"/>
      <c r="H52" s="23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spans="1:25" ht="21.75" hidden="1" customHeight="1" x14ac:dyDescent="0.6">
      <c r="A53" s="21"/>
      <c r="B53" s="23"/>
      <c r="C53" s="21"/>
      <c r="D53" s="23"/>
      <c r="E53" s="21"/>
      <c r="F53" s="23"/>
      <c r="G53" s="21"/>
      <c r="H53" s="23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spans="1:25" ht="21.75" hidden="1" customHeight="1" x14ac:dyDescent="0.6">
      <c r="A54" s="21"/>
      <c r="B54" s="23"/>
      <c r="C54" s="21"/>
      <c r="D54" s="23"/>
      <c r="E54" s="21"/>
      <c r="F54" s="23"/>
      <c r="G54" s="21"/>
      <c r="H54" s="23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spans="1:25" ht="21.75" hidden="1" customHeight="1" x14ac:dyDescent="0.6">
      <c r="A55" s="21"/>
      <c r="B55" s="23"/>
      <c r="C55" s="21"/>
      <c r="D55" s="23"/>
      <c r="E55" s="21"/>
      <c r="F55" s="23"/>
      <c r="G55" s="21"/>
      <c r="H55" s="23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spans="1:25" ht="21.75" hidden="1" customHeight="1" x14ac:dyDescent="0.6">
      <c r="A56" s="21"/>
      <c r="B56" s="23"/>
      <c r="C56" s="21"/>
      <c r="D56" s="23"/>
      <c r="E56" s="21"/>
      <c r="F56" s="23"/>
      <c r="G56" s="21"/>
      <c r="H56" s="23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spans="1:25" ht="21.75" hidden="1" customHeight="1" x14ac:dyDescent="0.6">
      <c r="A57" s="21"/>
      <c r="B57" s="23"/>
      <c r="C57" s="21"/>
      <c r="D57" s="23"/>
      <c r="E57" s="21"/>
      <c r="F57" s="23"/>
      <c r="G57" s="21"/>
      <c r="H57" s="23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spans="1:25" ht="21.75" hidden="1" customHeight="1" x14ac:dyDescent="0.6">
      <c r="A58" s="21"/>
      <c r="B58" s="23"/>
      <c r="C58" s="21"/>
      <c r="D58" s="23"/>
      <c r="E58" s="21"/>
      <c r="F58" s="23"/>
      <c r="G58" s="21"/>
      <c r="H58" s="23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1:25" ht="21.75" hidden="1" customHeight="1" x14ac:dyDescent="0.6">
      <c r="A59" s="21"/>
      <c r="B59" s="23"/>
      <c r="C59" s="21"/>
      <c r="D59" s="23"/>
      <c r="E59" s="21"/>
      <c r="F59" s="23"/>
      <c r="G59" s="21"/>
      <c r="H59" s="23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spans="1:25" ht="21.75" hidden="1" customHeight="1" x14ac:dyDescent="0.6">
      <c r="A60" s="21"/>
      <c r="B60" s="23"/>
      <c r="C60" s="21"/>
      <c r="D60" s="23"/>
      <c r="E60" s="21"/>
      <c r="F60" s="23"/>
      <c r="G60" s="21"/>
      <c r="H60" s="23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spans="1:25" ht="21.75" hidden="1" customHeight="1" x14ac:dyDescent="0.6">
      <c r="A61" s="21"/>
      <c r="B61" s="23"/>
      <c r="C61" s="21"/>
      <c r="D61" s="23"/>
      <c r="E61" s="21"/>
      <c r="F61" s="23"/>
      <c r="G61" s="21"/>
      <c r="H61" s="23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spans="1:25" ht="21.75" hidden="1" customHeight="1" x14ac:dyDescent="0.6">
      <c r="A62" s="21"/>
      <c r="B62" s="23"/>
      <c r="C62" s="21"/>
      <c r="D62" s="23"/>
      <c r="E62" s="21"/>
      <c r="F62" s="23"/>
      <c r="G62" s="21"/>
      <c r="H62" s="23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spans="1:25" ht="21.75" hidden="1" customHeight="1" x14ac:dyDescent="0.6">
      <c r="A63" s="21"/>
      <c r="B63" s="23"/>
      <c r="C63" s="21"/>
      <c r="D63" s="23"/>
      <c r="E63" s="21"/>
      <c r="F63" s="23"/>
      <c r="G63" s="21"/>
      <c r="H63" s="23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1:25" ht="21.75" hidden="1" customHeight="1" x14ac:dyDescent="0.6">
      <c r="A64" s="21"/>
      <c r="B64" s="23"/>
      <c r="C64" s="21"/>
      <c r="D64" s="23"/>
      <c r="E64" s="21"/>
      <c r="F64" s="23"/>
      <c r="G64" s="21"/>
      <c r="H64" s="23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1:25" ht="21.75" hidden="1" customHeight="1" x14ac:dyDescent="0.6">
      <c r="A65" s="21"/>
      <c r="B65" s="23"/>
      <c r="C65" s="21"/>
      <c r="D65" s="23"/>
      <c r="E65" s="21"/>
      <c r="F65" s="23"/>
      <c r="G65" s="21"/>
      <c r="H65" s="23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spans="1:25" ht="21.75" hidden="1" customHeight="1" x14ac:dyDescent="0.6">
      <c r="A66" s="21"/>
      <c r="B66" s="23"/>
      <c r="C66" s="21"/>
      <c r="D66" s="23"/>
      <c r="E66" s="21"/>
      <c r="F66" s="23"/>
      <c r="G66" s="21"/>
      <c r="H66" s="23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spans="1:25" ht="21.75" hidden="1" customHeight="1" x14ac:dyDescent="0.6">
      <c r="A67" s="21"/>
      <c r="B67" s="23"/>
      <c r="C67" s="21"/>
      <c r="D67" s="23"/>
      <c r="E67" s="21"/>
      <c r="F67" s="23"/>
      <c r="G67" s="21"/>
      <c r="H67" s="23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spans="1:25" ht="21.75" hidden="1" customHeight="1" x14ac:dyDescent="0.6">
      <c r="A68" s="21"/>
      <c r="B68" s="23"/>
      <c r="C68" s="21"/>
      <c r="D68" s="23"/>
      <c r="E68" s="21"/>
      <c r="F68" s="23"/>
      <c r="G68" s="21"/>
      <c r="H68" s="23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spans="1:25" ht="21.75" hidden="1" customHeight="1" x14ac:dyDescent="0.6">
      <c r="A69" s="21"/>
      <c r="B69" s="23"/>
      <c r="C69" s="21"/>
      <c r="D69" s="23"/>
      <c r="E69" s="21"/>
      <c r="F69" s="23"/>
      <c r="G69" s="21"/>
      <c r="H69" s="23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1:25" ht="21.75" hidden="1" customHeight="1" x14ac:dyDescent="0.6">
      <c r="A70" s="21"/>
      <c r="B70" s="23"/>
      <c r="C70" s="21"/>
      <c r="D70" s="23"/>
      <c r="E70" s="21"/>
      <c r="F70" s="23"/>
      <c r="G70" s="21"/>
      <c r="H70" s="23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1:25" ht="21.75" hidden="1" customHeight="1" x14ac:dyDescent="0.6">
      <c r="A71" s="21"/>
      <c r="B71" s="23"/>
      <c r="C71" s="21"/>
      <c r="D71" s="23"/>
      <c r="E71" s="21"/>
      <c r="F71" s="23"/>
      <c r="G71" s="21"/>
      <c r="H71" s="23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spans="1:25" ht="21.75" hidden="1" customHeight="1" x14ac:dyDescent="0.6">
      <c r="A72" s="21"/>
      <c r="B72" s="23"/>
      <c r="C72" s="21"/>
      <c r="D72" s="23"/>
      <c r="E72" s="21"/>
      <c r="F72" s="23"/>
      <c r="G72" s="21"/>
      <c r="H72" s="23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1:25" ht="21.75" hidden="1" customHeight="1" x14ac:dyDescent="0.6">
      <c r="A73" s="21"/>
      <c r="B73" s="23"/>
      <c r="C73" s="21"/>
      <c r="D73" s="23"/>
      <c r="E73" s="21"/>
      <c r="F73" s="23"/>
      <c r="G73" s="21"/>
      <c r="H73" s="23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1:25" ht="21.75" hidden="1" customHeight="1" x14ac:dyDescent="0.6">
      <c r="A74" s="21"/>
      <c r="B74" s="23"/>
      <c r="C74" s="21"/>
      <c r="D74" s="23"/>
      <c r="E74" s="21"/>
      <c r="F74" s="23"/>
      <c r="G74" s="21"/>
      <c r="H74" s="23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1:25" ht="21.75" hidden="1" customHeight="1" x14ac:dyDescent="0.6">
      <c r="A75" s="21"/>
      <c r="B75" s="23"/>
      <c r="C75" s="21"/>
      <c r="D75" s="23"/>
      <c r="E75" s="21"/>
      <c r="F75" s="23"/>
      <c r="G75" s="21"/>
      <c r="H75" s="23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1:25" ht="21.75" hidden="1" customHeight="1" x14ac:dyDescent="0.6">
      <c r="A76" s="21"/>
      <c r="B76" s="23"/>
      <c r="C76" s="21"/>
      <c r="D76" s="23"/>
      <c r="E76" s="21"/>
      <c r="F76" s="23"/>
      <c r="G76" s="21"/>
      <c r="H76" s="23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1:25" ht="21.75" customHeight="1" x14ac:dyDescent="0.6">
      <c r="A77" s="21"/>
      <c r="B77" s="23"/>
      <c r="C77" s="21"/>
      <c r="D77" s="23"/>
      <c r="E77" s="21"/>
      <c r="F77" s="23"/>
      <c r="G77" s="21"/>
      <c r="H77" s="23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spans="1:25" ht="21.75" customHeight="1" x14ac:dyDescent="0.6">
      <c r="A78" s="21"/>
      <c r="B78" s="23"/>
      <c r="C78" s="21"/>
      <c r="D78" s="23"/>
      <c r="E78" s="21"/>
      <c r="F78" s="23"/>
      <c r="G78" s="21"/>
      <c r="H78" s="23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spans="1:25" ht="21.75" customHeight="1" x14ac:dyDescent="0.6">
      <c r="A79" s="21"/>
      <c r="B79" s="23"/>
      <c r="C79" s="21"/>
      <c r="D79" s="23"/>
      <c r="E79" s="21"/>
      <c r="F79" s="23"/>
      <c r="G79" s="21"/>
      <c r="H79" s="23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spans="1:25" ht="21.75" customHeight="1" x14ac:dyDescent="0.6">
      <c r="A80" s="21"/>
      <c r="B80" s="23"/>
      <c r="C80" s="21"/>
      <c r="D80" s="23"/>
      <c r="E80" s="21"/>
      <c r="F80" s="23"/>
      <c r="G80" s="21"/>
      <c r="H80" s="23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spans="1:25" ht="21.75" customHeight="1" x14ac:dyDescent="0.6">
      <c r="A81" s="21"/>
      <c r="B81" s="23"/>
      <c r="C81" s="21"/>
      <c r="D81" s="23"/>
      <c r="E81" s="21"/>
      <c r="F81" s="23"/>
      <c r="G81" s="21"/>
      <c r="H81" s="23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spans="1:25" ht="21.75" customHeight="1" x14ac:dyDescent="0.6">
      <c r="A82" s="21"/>
      <c r="B82" s="23"/>
      <c r="C82" s="21"/>
      <c r="D82" s="23"/>
      <c r="E82" s="21"/>
      <c r="F82" s="23"/>
      <c r="G82" s="21"/>
      <c r="H82" s="23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1:25" ht="21.75" customHeight="1" x14ac:dyDescent="0.6">
      <c r="A83" s="21"/>
      <c r="B83" s="23"/>
      <c r="C83" s="21"/>
      <c r="D83" s="23"/>
      <c r="E83" s="21"/>
      <c r="F83" s="23"/>
      <c r="G83" s="21"/>
      <c r="H83" s="23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spans="1:25" ht="21.75" customHeight="1" x14ac:dyDescent="0.6">
      <c r="A84" s="21"/>
      <c r="B84" s="23"/>
      <c r="C84" s="21"/>
      <c r="D84" s="23"/>
      <c r="E84" s="21"/>
      <c r="F84" s="23"/>
      <c r="G84" s="21"/>
      <c r="H84" s="23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spans="1:25" ht="21.75" customHeight="1" x14ac:dyDescent="0.6">
      <c r="A85" s="21"/>
      <c r="B85" s="23"/>
      <c r="C85" s="21"/>
      <c r="D85" s="23"/>
      <c r="E85" s="21"/>
      <c r="F85" s="23"/>
      <c r="G85" s="21"/>
      <c r="H85" s="23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spans="1:25" ht="21.75" customHeight="1" x14ac:dyDescent="0.6">
      <c r="A86" s="21"/>
      <c r="B86" s="23"/>
      <c r="C86" s="21"/>
      <c r="D86" s="23"/>
      <c r="E86" s="21"/>
      <c r="F86" s="23"/>
      <c r="G86" s="21"/>
      <c r="H86" s="23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spans="1:25" ht="21.75" customHeight="1" x14ac:dyDescent="0.6">
      <c r="A87" s="21"/>
      <c r="B87" s="23"/>
      <c r="C87" s="21"/>
      <c r="D87" s="23"/>
      <c r="E87" s="21"/>
      <c r="F87" s="23"/>
      <c r="G87" s="21"/>
      <c r="H87" s="23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spans="1:25" ht="21.75" customHeight="1" x14ac:dyDescent="0.6">
      <c r="A88" s="21"/>
      <c r="B88" s="23"/>
      <c r="C88" s="21"/>
      <c r="D88" s="23"/>
      <c r="E88" s="21"/>
      <c r="F88" s="23"/>
      <c r="G88" s="21"/>
      <c r="H88" s="23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spans="1:25" ht="21.75" customHeight="1" x14ac:dyDescent="0.6">
      <c r="A89" s="21"/>
      <c r="B89" s="23"/>
      <c r="C89" s="21"/>
      <c r="D89" s="23"/>
      <c r="E89" s="21"/>
      <c r="F89" s="23"/>
      <c r="G89" s="21"/>
      <c r="H89" s="23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spans="1:25" ht="21.75" customHeight="1" x14ac:dyDescent="0.6">
      <c r="A90" s="21"/>
      <c r="B90" s="23"/>
      <c r="C90" s="21"/>
      <c r="D90" s="23"/>
      <c r="E90" s="21"/>
      <c r="F90" s="23"/>
      <c r="G90" s="21"/>
      <c r="H90" s="23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spans="1:25" ht="21.75" customHeight="1" x14ac:dyDescent="0.6">
      <c r="A91" s="21"/>
      <c r="B91" s="23"/>
      <c r="C91" s="21"/>
      <c r="D91" s="23"/>
      <c r="E91" s="21"/>
      <c r="F91" s="23"/>
      <c r="G91" s="21"/>
      <c r="H91" s="23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spans="1:25" ht="21.75" customHeight="1" x14ac:dyDescent="0.6">
      <c r="A92" s="21"/>
      <c r="B92" s="23"/>
      <c r="C92" s="21"/>
      <c r="D92" s="23"/>
      <c r="E92" s="21"/>
      <c r="F92" s="23"/>
      <c r="G92" s="21"/>
      <c r="H92" s="23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spans="1:25" ht="21.75" customHeight="1" x14ac:dyDescent="0.6">
      <c r="A93" s="21"/>
      <c r="B93" s="23"/>
      <c r="C93" s="21"/>
      <c r="D93" s="23"/>
      <c r="E93" s="21"/>
      <c r="F93" s="23"/>
      <c r="G93" s="21"/>
      <c r="H93" s="23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spans="1:25" ht="21.75" customHeight="1" x14ac:dyDescent="0.6">
      <c r="A94" s="21"/>
      <c r="B94" s="23"/>
      <c r="C94" s="21"/>
      <c r="D94" s="23"/>
      <c r="E94" s="21"/>
      <c r="F94" s="23"/>
      <c r="G94" s="21"/>
      <c r="H94" s="23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spans="1:25" ht="21.75" customHeight="1" x14ac:dyDescent="0.6">
      <c r="A95" s="21"/>
      <c r="B95" s="23"/>
      <c r="C95" s="21"/>
      <c r="D95" s="23"/>
      <c r="E95" s="21"/>
      <c r="F95" s="23"/>
      <c r="G95" s="21"/>
      <c r="H95" s="23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spans="1:25" ht="21.75" customHeight="1" x14ac:dyDescent="0.6">
      <c r="A96" s="21"/>
      <c r="B96" s="23"/>
      <c r="C96" s="21"/>
      <c r="D96" s="23"/>
      <c r="E96" s="21"/>
      <c r="F96" s="23"/>
      <c r="G96" s="21"/>
      <c r="H96" s="23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spans="1:25" ht="21.75" customHeight="1" x14ac:dyDescent="0.6">
      <c r="A97" s="21"/>
      <c r="B97" s="23"/>
      <c r="C97" s="21"/>
      <c r="D97" s="23"/>
      <c r="E97" s="21"/>
      <c r="F97" s="23"/>
      <c r="G97" s="21"/>
      <c r="H97" s="23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spans="1:25" ht="21.75" customHeight="1" x14ac:dyDescent="0.6">
      <c r="A98" s="21"/>
      <c r="B98" s="23"/>
      <c r="C98" s="21"/>
      <c r="D98" s="23"/>
      <c r="E98" s="21"/>
      <c r="F98" s="23"/>
      <c r="G98" s="21"/>
      <c r="H98" s="23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spans="1:25" ht="21.75" customHeight="1" x14ac:dyDescent="0.6">
      <c r="A99" s="21"/>
      <c r="B99" s="23"/>
      <c r="C99" s="21"/>
      <c r="D99" s="23"/>
      <c r="E99" s="21"/>
      <c r="F99" s="23"/>
      <c r="G99" s="21"/>
      <c r="H99" s="23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spans="1:25" ht="21.75" customHeight="1" x14ac:dyDescent="0.6">
      <c r="A100" s="21"/>
      <c r="B100" s="23"/>
      <c r="C100" s="21"/>
      <c r="D100" s="23"/>
      <c r="E100" s="21"/>
      <c r="F100" s="23"/>
      <c r="G100" s="21"/>
      <c r="H100" s="23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spans="1:25" ht="21.75" customHeight="1" x14ac:dyDescent="0.6">
      <c r="A101" s="21"/>
      <c r="B101" s="23"/>
      <c r="C101" s="21"/>
      <c r="D101" s="23"/>
      <c r="E101" s="21"/>
      <c r="F101" s="23"/>
      <c r="G101" s="21"/>
      <c r="H101" s="23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spans="1:25" ht="21.75" customHeight="1" x14ac:dyDescent="0.6">
      <c r="A102" s="21"/>
      <c r="B102" s="23"/>
      <c r="C102" s="21"/>
      <c r="D102" s="23"/>
      <c r="E102" s="21"/>
      <c r="F102" s="23"/>
      <c r="G102" s="21"/>
      <c r="H102" s="23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spans="1:25" ht="21.75" customHeight="1" x14ac:dyDescent="0.6">
      <c r="A103" s="21"/>
      <c r="B103" s="23"/>
      <c r="C103" s="21"/>
      <c r="D103" s="23"/>
      <c r="E103" s="21"/>
      <c r="F103" s="23"/>
      <c r="G103" s="21"/>
      <c r="H103" s="23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spans="1:25" ht="21.75" customHeight="1" x14ac:dyDescent="0.6">
      <c r="A104" s="21"/>
      <c r="B104" s="23"/>
      <c r="C104" s="21"/>
      <c r="D104" s="23"/>
      <c r="E104" s="21"/>
      <c r="F104" s="23"/>
      <c r="G104" s="21"/>
      <c r="H104" s="23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spans="1:25" ht="21.75" customHeight="1" x14ac:dyDescent="0.6">
      <c r="A105" s="21"/>
      <c r="B105" s="23"/>
      <c r="C105" s="21"/>
      <c r="D105" s="23"/>
      <c r="E105" s="21"/>
      <c r="F105" s="23"/>
      <c r="G105" s="21"/>
      <c r="H105" s="23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spans="1:25" ht="21.75" customHeight="1" x14ac:dyDescent="0.6">
      <c r="A106" s="21"/>
      <c r="B106" s="23"/>
      <c r="C106" s="21"/>
      <c r="D106" s="23"/>
      <c r="E106" s="21"/>
      <c r="F106" s="23"/>
      <c r="G106" s="21"/>
      <c r="H106" s="23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spans="1:25" ht="21.75" customHeight="1" x14ac:dyDescent="0.6">
      <c r="A107" s="21"/>
      <c r="B107" s="23"/>
      <c r="C107" s="21"/>
      <c r="D107" s="23"/>
      <c r="E107" s="21"/>
      <c r="F107" s="23"/>
      <c r="G107" s="21"/>
      <c r="H107" s="23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spans="1:25" ht="21.75" customHeight="1" x14ac:dyDescent="0.6">
      <c r="A108" s="21"/>
      <c r="B108" s="23"/>
      <c r="C108" s="21"/>
      <c r="D108" s="23"/>
      <c r="E108" s="21"/>
      <c r="F108" s="23"/>
      <c r="G108" s="21"/>
      <c r="H108" s="23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spans="1:25" ht="21.75" customHeight="1" x14ac:dyDescent="0.6">
      <c r="A109" s="21"/>
      <c r="B109" s="23"/>
      <c r="C109" s="21"/>
      <c r="D109" s="23"/>
      <c r="E109" s="21"/>
      <c r="F109" s="23"/>
      <c r="G109" s="21"/>
      <c r="H109" s="23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spans="1:25" ht="21.75" customHeight="1" x14ac:dyDescent="0.6">
      <c r="A110" s="21"/>
      <c r="B110" s="23"/>
      <c r="C110" s="21"/>
      <c r="D110" s="23"/>
      <c r="E110" s="21"/>
      <c r="F110" s="23"/>
      <c r="G110" s="21"/>
      <c r="H110" s="23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spans="1:25" ht="21.75" customHeight="1" x14ac:dyDescent="0.6">
      <c r="A111" s="21"/>
      <c r="B111" s="23"/>
      <c r="C111" s="21"/>
      <c r="D111" s="23"/>
      <c r="E111" s="21"/>
      <c r="F111" s="23"/>
      <c r="G111" s="21"/>
      <c r="H111" s="23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spans="1:25" ht="21.75" customHeight="1" x14ac:dyDescent="0.6">
      <c r="A112" s="21"/>
      <c r="B112" s="23"/>
      <c r="C112" s="21"/>
      <c r="D112" s="23"/>
      <c r="E112" s="21"/>
      <c r="F112" s="23"/>
      <c r="G112" s="21"/>
      <c r="H112" s="23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spans="1:25" ht="21.75" customHeight="1" x14ac:dyDescent="0.6">
      <c r="A113" s="21"/>
      <c r="B113" s="23"/>
      <c r="C113" s="21"/>
      <c r="D113" s="23"/>
      <c r="E113" s="21"/>
      <c r="F113" s="23"/>
      <c r="G113" s="21"/>
      <c r="H113" s="23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spans="1:25" ht="21.75" customHeight="1" x14ac:dyDescent="0.6">
      <c r="A114" s="21"/>
      <c r="B114" s="23"/>
      <c r="C114" s="21"/>
      <c r="D114" s="23"/>
      <c r="E114" s="21"/>
      <c r="F114" s="23"/>
      <c r="G114" s="21"/>
      <c r="H114" s="23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spans="1:25" ht="21.75" customHeight="1" x14ac:dyDescent="0.6">
      <c r="A115" s="21"/>
      <c r="B115" s="23"/>
      <c r="C115" s="21"/>
      <c r="D115" s="23"/>
      <c r="E115" s="21"/>
      <c r="F115" s="23"/>
      <c r="G115" s="21"/>
      <c r="H115" s="23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spans="1:25" ht="21.75" customHeight="1" x14ac:dyDescent="0.6">
      <c r="A116" s="21"/>
      <c r="B116" s="23"/>
      <c r="C116" s="21"/>
      <c r="D116" s="23"/>
      <c r="E116" s="21"/>
      <c r="F116" s="23"/>
      <c r="G116" s="21"/>
      <c r="H116" s="23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spans="1:25" ht="21.75" customHeight="1" x14ac:dyDescent="0.6">
      <c r="A117" s="21"/>
      <c r="B117" s="23"/>
      <c r="C117" s="21"/>
      <c r="D117" s="23"/>
      <c r="E117" s="21"/>
      <c r="F117" s="23"/>
      <c r="G117" s="21"/>
      <c r="H117" s="23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spans="1:25" ht="21.75" customHeight="1" x14ac:dyDescent="0.6">
      <c r="A118" s="21"/>
      <c r="B118" s="23"/>
      <c r="C118" s="21"/>
      <c r="D118" s="23"/>
      <c r="E118" s="21"/>
      <c r="F118" s="23"/>
      <c r="G118" s="21"/>
      <c r="H118" s="23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1:25" ht="21.75" customHeight="1" x14ac:dyDescent="0.6">
      <c r="A119" s="21"/>
      <c r="B119" s="23"/>
      <c r="C119" s="21"/>
      <c r="D119" s="23"/>
      <c r="E119" s="21"/>
      <c r="F119" s="23"/>
      <c r="G119" s="21"/>
      <c r="H119" s="23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spans="1:25" ht="21.75" customHeight="1" x14ac:dyDescent="0.6">
      <c r="A120" s="21"/>
      <c r="B120" s="23"/>
      <c r="C120" s="21"/>
      <c r="D120" s="23"/>
      <c r="E120" s="21"/>
      <c r="F120" s="23"/>
      <c r="G120" s="21"/>
      <c r="H120" s="23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spans="1:25" ht="21.75" customHeight="1" x14ac:dyDescent="0.6">
      <c r="A121" s="21"/>
      <c r="B121" s="23"/>
      <c r="C121" s="21"/>
      <c r="D121" s="23"/>
      <c r="E121" s="21"/>
      <c r="F121" s="23"/>
      <c r="G121" s="21"/>
      <c r="H121" s="23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spans="1:25" ht="21.75" customHeight="1" x14ac:dyDescent="0.6">
      <c r="A122" s="21"/>
      <c r="B122" s="23"/>
      <c r="C122" s="21"/>
      <c r="D122" s="23"/>
      <c r="E122" s="21"/>
      <c r="F122" s="23"/>
      <c r="G122" s="21"/>
      <c r="H122" s="23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spans="1:25" ht="21.75" customHeight="1" x14ac:dyDescent="0.6">
      <c r="A123" s="21"/>
      <c r="B123" s="23"/>
      <c r="C123" s="21"/>
      <c r="D123" s="23"/>
      <c r="E123" s="21"/>
      <c r="F123" s="23"/>
      <c r="G123" s="21"/>
      <c r="H123" s="23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1:25" ht="21.75" customHeight="1" x14ac:dyDescent="0.6">
      <c r="A124" s="21"/>
      <c r="B124" s="23"/>
      <c r="C124" s="21"/>
      <c r="D124" s="23"/>
      <c r="E124" s="21"/>
      <c r="F124" s="23"/>
      <c r="G124" s="21"/>
      <c r="H124" s="23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1:25" ht="21.75" customHeight="1" x14ac:dyDescent="0.6">
      <c r="A125" s="21"/>
      <c r="B125" s="23"/>
      <c r="C125" s="21"/>
      <c r="D125" s="23"/>
      <c r="E125" s="21"/>
      <c r="F125" s="23"/>
      <c r="G125" s="21"/>
      <c r="H125" s="23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spans="1:25" ht="21.75" customHeight="1" x14ac:dyDescent="0.6">
      <c r="A126" s="21"/>
      <c r="B126" s="23"/>
      <c r="C126" s="21"/>
      <c r="D126" s="23"/>
      <c r="E126" s="21"/>
      <c r="F126" s="23"/>
      <c r="G126" s="21"/>
      <c r="H126" s="23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1:25" ht="21.75" customHeight="1" x14ac:dyDescent="0.6">
      <c r="A127" s="21"/>
      <c r="B127" s="23"/>
      <c r="C127" s="21"/>
      <c r="D127" s="23"/>
      <c r="E127" s="21"/>
      <c r="F127" s="23"/>
      <c r="G127" s="21"/>
      <c r="H127" s="23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1:25" ht="21.75" customHeight="1" x14ac:dyDescent="0.6">
      <c r="A128" s="21"/>
      <c r="B128" s="23"/>
      <c r="C128" s="21"/>
      <c r="D128" s="23"/>
      <c r="E128" s="21"/>
      <c r="F128" s="23"/>
      <c r="G128" s="21"/>
      <c r="H128" s="23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spans="1:25" ht="21.75" customHeight="1" x14ac:dyDescent="0.6">
      <c r="A129" s="21"/>
      <c r="B129" s="23"/>
      <c r="C129" s="21"/>
      <c r="D129" s="23"/>
      <c r="E129" s="21"/>
      <c r="F129" s="23"/>
      <c r="G129" s="21"/>
      <c r="H129" s="23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1:25" ht="21.75" customHeight="1" x14ac:dyDescent="0.6">
      <c r="A130" s="21"/>
      <c r="B130" s="23"/>
      <c r="C130" s="21"/>
      <c r="D130" s="23"/>
      <c r="E130" s="21"/>
      <c r="F130" s="23"/>
      <c r="G130" s="21"/>
      <c r="H130" s="23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1:25" ht="21.75" customHeight="1" x14ac:dyDescent="0.6">
      <c r="A131" s="21"/>
      <c r="B131" s="23"/>
      <c r="C131" s="21"/>
      <c r="D131" s="23"/>
      <c r="E131" s="21"/>
      <c r="F131" s="23"/>
      <c r="G131" s="21"/>
      <c r="H131" s="23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spans="1:25" ht="21.75" customHeight="1" x14ac:dyDescent="0.6">
      <c r="A132" s="21"/>
      <c r="B132" s="23"/>
      <c r="C132" s="21"/>
      <c r="D132" s="23"/>
      <c r="E132" s="21"/>
      <c r="F132" s="23"/>
      <c r="G132" s="21"/>
      <c r="H132" s="23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spans="1:25" ht="21.75" customHeight="1" x14ac:dyDescent="0.6">
      <c r="A133" s="21"/>
      <c r="B133" s="23"/>
      <c r="C133" s="21"/>
      <c r="D133" s="23"/>
      <c r="E133" s="21"/>
      <c r="F133" s="23"/>
      <c r="G133" s="21"/>
      <c r="H133" s="23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spans="1:25" ht="21.75" customHeight="1" x14ac:dyDescent="0.6">
      <c r="A134" s="21"/>
      <c r="B134" s="23"/>
      <c r="C134" s="21"/>
      <c r="D134" s="23"/>
      <c r="E134" s="21"/>
      <c r="F134" s="23"/>
      <c r="G134" s="21"/>
      <c r="H134" s="23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spans="1:25" ht="21.75" customHeight="1" x14ac:dyDescent="0.6">
      <c r="A135" s="21"/>
      <c r="B135" s="23"/>
      <c r="C135" s="21"/>
      <c r="D135" s="23"/>
      <c r="E135" s="21"/>
      <c r="F135" s="23"/>
      <c r="G135" s="21"/>
      <c r="H135" s="23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spans="1:25" ht="21.75" customHeight="1" x14ac:dyDescent="0.6">
      <c r="A136" s="21"/>
      <c r="B136" s="23"/>
      <c r="C136" s="21"/>
      <c r="D136" s="23"/>
      <c r="E136" s="21"/>
      <c r="F136" s="23"/>
      <c r="G136" s="21"/>
      <c r="H136" s="23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spans="1:25" ht="21.75" customHeight="1" x14ac:dyDescent="0.6">
      <c r="A137" s="21"/>
      <c r="B137" s="23"/>
      <c r="C137" s="21"/>
      <c r="D137" s="23"/>
      <c r="E137" s="21"/>
      <c r="F137" s="23"/>
      <c r="G137" s="21"/>
      <c r="H137" s="23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spans="1:25" ht="21.75" customHeight="1" x14ac:dyDescent="0.6">
      <c r="A138" s="21"/>
      <c r="B138" s="23"/>
      <c r="C138" s="21"/>
      <c r="D138" s="23"/>
      <c r="E138" s="21"/>
      <c r="F138" s="23"/>
      <c r="G138" s="21"/>
      <c r="H138" s="23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spans="1:25" ht="21.75" customHeight="1" x14ac:dyDescent="0.6">
      <c r="A139" s="21"/>
      <c r="B139" s="23"/>
      <c r="C139" s="21"/>
      <c r="D139" s="23"/>
      <c r="E139" s="21"/>
      <c r="F139" s="23"/>
      <c r="G139" s="21"/>
      <c r="H139" s="23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spans="1:25" ht="21.75" customHeight="1" x14ac:dyDescent="0.6">
      <c r="A140" s="21"/>
      <c r="B140" s="23"/>
      <c r="C140" s="21"/>
      <c r="D140" s="23"/>
      <c r="E140" s="21"/>
      <c r="F140" s="23"/>
      <c r="G140" s="21"/>
      <c r="H140" s="23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spans="1:25" ht="21.75" customHeight="1" x14ac:dyDescent="0.6">
      <c r="A141" s="21"/>
      <c r="B141" s="23"/>
      <c r="C141" s="21"/>
      <c r="D141" s="23"/>
      <c r="E141" s="21"/>
      <c r="F141" s="23"/>
      <c r="G141" s="21"/>
      <c r="H141" s="23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spans="1:25" ht="21.75" customHeight="1" x14ac:dyDescent="0.6">
      <c r="A142" s="21"/>
      <c r="B142" s="23"/>
      <c r="C142" s="21"/>
      <c r="D142" s="23"/>
      <c r="E142" s="21"/>
      <c r="F142" s="23"/>
      <c r="G142" s="21"/>
      <c r="H142" s="23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spans="1:25" ht="21.75" customHeight="1" x14ac:dyDescent="0.6">
      <c r="A143" s="21"/>
      <c r="B143" s="23"/>
      <c r="C143" s="21"/>
      <c r="D143" s="23"/>
      <c r="E143" s="21"/>
      <c r="F143" s="23"/>
      <c r="G143" s="21"/>
      <c r="H143" s="23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spans="1:25" ht="21.75" customHeight="1" x14ac:dyDescent="0.6">
      <c r="A144" s="21"/>
      <c r="B144" s="23"/>
      <c r="C144" s="21"/>
      <c r="D144" s="23"/>
      <c r="E144" s="21"/>
      <c r="F144" s="23"/>
      <c r="G144" s="21"/>
      <c r="H144" s="23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1:25" ht="21.75" customHeight="1" x14ac:dyDescent="0.6">
      <c r="A145" s="21"/>
      <c r="B145" s="23"/>
      <c r="C145" s="21"/>
      <c r="D145" s="23"/>
      <c r="E145" s="21"/>
      <c r="F145" s="23"/>
      <c r="G145" s="21"/>
      <c r="H145" s="23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1:25" ht="21.75" customHeight="1" x14ac:dyDescent="0.6">
      <c r="A146" s="21"/>
      <c r="B146" s="23"/>
      <c r="C146" s="21"/>
      <c r="D146" s="23"/>
      <c r="E146" s="21"/>
      <c r="F146" s="23"/>
      <c r="G146" s="21"/>
      <c r="H146" s="23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spans="1:25" ht="21.75" customHeight="1" x14ac:dyDescent="0.6">
      <c r="A147" s="21"/>
      <c r="B147" s="23"/>
      <c r="C147" s="21"/>
      <c r="D147" s="23"/>
      <c r="E147" s="21"/>
      <c r="F147" s="23"/>
      <c r="G147" s="21"/>
      <c r="H147" s="23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1:25" ht="21.75" customHeight="1" x14ac:dyDescent="0.6">
      <c r="A148" s="21"/>
      <c r="B148" s="23"/>
      <c r="C148" s="21"/>
      <c r="D148" s="23"/>
      <c r="E148" s="21"/>
      <c r="F148" s="23"/>
      <c r="G148" s="21"/>
      <c r="H148" s="23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1:25" ht="21.75" customHeight="1" x14ac:dyDescent="0.6">
      <c r="A149" s="21"/>
      <c r="B149" s="23"/>
      <c r="C149" s="21"/>
      <c r="D149" s="23"/>
      <c r="E149" s="21"/>
      <c r="F149" s="23"/>
      <c r="G149" s="21"/>
      <c r="H149" s="23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spans="1:25" ht="21.75" customHeight="1" x14ac:dyDescent="0.6">
      <c r="A150" s="21"/>
      <c r="B150" s="23"/>
      <c r="C150" s="21"/>
      <c r="D150" s="23"/>
      <c r="E150" s="21"/>
      <c r="F150" s="23"/>
      <c r="G150" s="21"/>
      <c r="H150" s="23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1:25" ht="21.75" customHeight="1" x14ac:dyDescent="0.6">
      <c r="A151" s="21"/>
      <c r="B151" s="23"/>
      <c r="C151" s="21"/>
      <c r="D151" s="23"/>
      <c r="E151" s="21"/>
      <c r="F151" s="23"/>
      <c r="G151" s="21"/>
      <c r="H151" s="23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1:25" ht="21.75" customHeight="1" x14ac:dyDescent="0.6">
      <c r="A152" s="21"/>
      <c r="B152" s="23"/>
      <c r="C152" s="21"/>
      <c r="D152" s="23"/>
      <c r="E152" s="21"/>
      <c r="F152" s="23"/>
      <c r="G152" s="21"/>
      <c r="H152" s="23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spans="1:25" ht="21.75" customHeight="1" x14ac:dyDescent="0.6">
      <c r="A153" s="21"/>
      <c r="B153" s="23"/>
      <c r="C153" s="21"/>
      <c r="D153" s="23"/>
      <c r="E153" s="21"/>
      <c r="F153" s="23"/>
      <c r="G153" s="21"/>
      <c r="H153" s="23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spans="1:25" ht="21.75" customHeight="1" x14ac:dyDescent="0.6">
      <c r="A154" s="21"/>
      <c r="B154" s="23"/>
      <c r="C154" s="21"/>
      <c r="D154" s="23"/>
      <c r="E154" s="21"/>
      <c r="F154" s="23"/>
      <c r="G154" s="21"/>
      <c r="H154" s="23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spans="1:25" ht="21.75" customHeight="1" x14ac:dyDescent="0.6">
      <c r="A155" s="21"/>
      <c r="B155" s="23"/>
      <c r="C155" s="21"/>
      <c r="D155" s="23"/>
      <c r="E155" s="21"/>
      <c r="F155" s="23"/>
      <c r="G155" s="21"/>
      <c r="H155" s="23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spans="1:25" ht="21.75" customHeight="1" x14ac:dyDescent="0.6">
      <c r="A156" s="21"/>
      <c r="B156" s="23"/>
      <c r="C156" s="21"/>
      <c r="D156" s="23"/>
      <c r="E156" s="21"/>
      <c r="F156" s="23"/>
      <c r="G156" s="21"/>
      <c r="H156" s="23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spans="1:25" ht="21.75" customHeight="1" x14ac:dyDescent="0.6">
      <c r="A157" s="21"/>
      <c r="B157" s="23"/>
      <c r="C157" s="21"/>
      <c r="D157" s="23"/>
      <c r="E157" s="21"/>
      <c r="F157" s="23"/>
      <c r="G157" s="21"/>
      <c r="H157" s="23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spans="1:25" ht="21.75" customHeight="1" x14ac:dyDescent="0.6">
      <c r="A158" s="21"/>
      <c r="B158" s="23"/>
      <c r="C158" s="21"/>
      <c r="D158" s="23"/>
      <c r="E158" s="21"/>
      <c r="F158" s="23"/>
      <c r="G158" s="21"/>
      <c r="H158" s="23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spans="1:25" ht="21.75" customHeight="1" x14ac:dyDescent="0.6">
      <c r="A159" s="21"/>
      <c r="B159" s="23"/>
      <c r="C159" s="21"/>
      <c r="D159" s="23"/>
      <c r="E159" s="21"/>
      <c r="F159" s="23"/>
      <c r="G159" s="21"/>
      <c r="H159" s="23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spans="1:25" ht="21.75" customHeight="1" x14ac:dyDescent="0.6">
      <c r="A160" s="21"/>
      <c r="B160" s="23"/>
      <c r="C160" s="21"/>
      <c r="D160" s="23"/>
      <c r="E160" s="21"/>
      <c r="F160" s="23"/>
      <c r="G160" s="21"/>
      <c r="H160" s="23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spans="1:25" ht="21.75" customHeight="1" x14ac:dyDescent="0.6">
      <c r="A161" s="21"/>
      <c r="B161" s="23"/>
      <c r="C161" s="21"/>
      <c r="D161" s="23"/>
      <c r="E161" s="21"/>
      <c r="F161" s="23"/>
      <c r="G161" s="21"/>
      <c r="H161" s="23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spans="1:25" ht="21.75" customHeight="1" x14ac:dyDescent="0.6">
      <c r="A162" s="21"/>
      <c r="B162" s="23"/>
      <c r="C162" s="21"/>
      <c r="D162" s="23"/>
      <c r="E162" s="21"/>
      <c r="F162" s="23"/>
      <c r="G162" s="21"/>
      <c r="H162" s="23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spans="1:25" ht="21.75" customHeight="1" x14ac:dyDescent="0.6">
      <c r="A163" s="21"/>
      <c r="B163" s="23"/>
      <c r="C163" s="21"/>
      <c r="D163" s="23"/>
      <c r="E163" s="21"/>
      <c r="F163" s="23"/>
      <c r="G163" s="21"/>
      <c r="H163" s="23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spans="1:25" ht="21.75" customHeight="1" x14ac:dyDescent="0.6">
      <c r="A164" s="21"/>
      <c r="B164" s="23"/>
      <c r="C164" s="21"/>
      <c r="D164" s="23"/>
      <c r="E164" s="21"/>
      <c r="F164" s="23"/>
      <c r="G164" s="21"/>
      <c r="H164" s="23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spans="1:25" ht="21.75" customHeight="1" x14ac:dyDescent="0.6">
      <c r="A165" s="21"/>
      <c r="B165" s="23"/>
      <c r="C165" s="21"/>
      <c r="D165" s="23"/>
      <c r="E165" s="21"/>
      <c r="F165" s="23"/>
      <c r="G165" s="21"/>
      <c r="H165" s="23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1:25" ht="21.75" customHeight="1" x14ac:dyDescent="0.6">
      <c r="A166" s="21"/>
      <c r="B166" s="23"/>
      <c r="C166" s="21"/>
      <c r="D166" s="23"/>
      <c r="E166" s="21"/>
      <c r="F166" s="23"/>
      <c r="G166" s="21"/>
      <c r="H166" s="23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1:25" ht="21.75" customHeight="1" x14ac:dyDescent="0.6">
      <c r="A167" s="21"/>
      <c r="B167" s="23"/>
      <c r="C167" s="21"/>
      <c r="D167" s="23"/>
      <c r="E167" s="21"/>
      <c r="F167" s="23"/>
      <c r="G167" s="21"/>
      <c r="H167" s="23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spans="1:25" ht="21.75" customHeight="1" x14ac:dyDescent="0.6">
      <c r="A168" s="21"/>
      <c r="B168" s="23"/>
      <c r="C168" s="21"/>
      <c r="D168" s="23"/>
      <c r="E168" s="21"/>
      <c r="F168" s="23"/>
      <c r="G168" s="21"/>
      <c r="H168" s="23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1:25" ht="21.75" customHeight="1" x14ac:dyDescent="0.6">
      <c r="A169" s="21"/>
      <c r="B169" s="23"/>
      <c r="C169" s="21"/>
      <c r="D169" s="23"/>
      <c r="E169" s="21"/>
      <c r="F169" s="23"/>
      <c r="G169" s="21"/>
      <c r="H169" s="23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1:25" ht="21.75" customHeight="1" x14ac:dyDescent="0.6">
      <c r="A170" s="21"/>
      <c r="B170" s="23"/>
      <c r="C170" s="21"/>
      <c r="D170" s="23"/>
      <c r="E170" s="21"/>
      <c r="F170" s="23"/>
      <c r="G170" s="21"/>
      <c r="H170" s="23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spans="1:25" ht="21.75" customHeight="1" x14ac:dyDescent="0.6">
      <c r="A171" s="21"/>
      <c r="B171" s="23"/>
      <c r="C171" s="21"/>
      <c r="D171" s="23"/>
      <c r="E171" s="21"/>
      <c r="F171" s="23"/>
      <c r="G171" s="21"/>
      <c r="H171" s="23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1:25" ht="21.75" customHeight="1" x14ac:dyDescent="0.6">
      <c r="A172" s="21"/>
      <c r="B172" s="23"/>
      <c r="C172" s="21"/>
      <c r="D172" s="23"/>
      <c r="E172" s="21"/>
      <c r="F172" s="23"/>
      <c r="G172" s="21"/>
      <c r="H172" s="23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1:25" ht="21.75" customHeight="1" x14ac:dyDescent="0.6">
      <c r="A173" s="21"/>
      <c r="B173" s="23"/>
      <c r="C173" s="21"/>
      <c r="D173" s="23"/>
      <c r="E173" s="21"/>
      <c r="F173" s="23"/>
      <c r="G173" s="21"/>
      <c r="H173" s="23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spans="1:25" ht="21.75" customHeight="1" x14ac:dyDescent="0.6">
      <c r="A174" s="21"/>
      <c r="B174" s="23"/>
      <c r="C174" s="21"/>
      <c r="D174" s="23"/>
      <c r="E174" s="21"/>
      <c r="F174" s="23"/>
      <c r="G174" s="21"/>
      <c r="H174" s="23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spans="1:25" ht="21.75" customHeight="1" x14ac:dyDescent="0.6">
      <c r="A175" s="21"/>
      <c r="B175" s="23"/>
      <c r="C175" s="21"/>
      <c r="D175" s="23"/>
      <c r="E175" s="21"/>
      <c r="F175" s="23"/>
      <c r="G175" s="21"/>
      <c r="H175" s="23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spans="1:25" ht="21.75" customHeight="1" x14ac:dyDescent="0.6">
      <c r="A176" s="21"/>
      <c r="B176" s="23"/>
      <c r="C176" s="21"/>
      <c r="D176" s="23"/>
      <c r="E176" s="21"/>
      <c r="F176" s="23"/>
      <c r="G176" s="21"/>
      <c r="H176" s="23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spans="1:25" ht="21.75" customHeight="1" x14ac:dyDescent="0.6">
      <c r="A177" s="21"/>
      <c r="B177" s="23"/>
      <c r="C177" s="21"/>
      <c r="D177" s="23"/>
      <c r="E177" s="21"/>
      <c r="F177" s="23"/>
      <c r="G177" s="21"/>
      <c r="H177" s="23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spans="1:25" ht="21.75" customHeight="1" x14ac:dyDescent="0.6">
      <c r="A178" s="21"/>
      <c r="B178" s="23"/>
      <c r="C178" s="21"/>
      <c r="D178" s="23"/>
      <c r="E178" s="21"/>
      <c r="F178" s="23"/>
      <c r="G178" s="21"/>
      <c r="H178" s="23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spans="1:25" ht="21.75" customHeight="1" x14ac:dyDescent="0.6">
      <c r="A179" s="21"/>
      <c r="B179" s="23"/>
      <c r="C179" s="21"/>
      <c r="D179" s="23"/>
      <c r="E179" s="21"/>
      <c r="F179" s="23"/>
      <c r="G179" s="21"/>
      <c r="H179" s="23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spans="1:25" ht="21.75" customHeight="1" x14ac:dyDescent="0.6">
      <c r="A180" s="21"/>
      <c r="B180" s="23"/>
      <c r="C180" s="21"/>
      <c r="D180" s="23"/>
      <c r="E180" s="21"/>
      <c r="F180" s="23"/>
      <c r="G180" s="21"/>
      <c r="H180" s="23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spans="1:25" ht="21.75" customHeight="1" x14ac:dyDescent="0.6">
      <c r="A181" s="21"/>
      <c r="B181" s="23"/>
      <c r="C181" s="21"/>
      <c r="D181" s="23"/>
      <c r="E181" s="21"/>
      <c r="F181" s="23"/>
      <c r="G181" s="21"/>
      <c r="H181" s="23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spans="1:25" ht="21.75" customHeight="1" x14ac:dyDescent="0.6">
      <c r="A182" s="21"/>
      <c r="B182" s="23"/>
      <c r="C182" s="21"/>
      <c r="D182" s="23"/>
      <c r="E182" s="21"/>
      <c r="F182" s="23"/>
      <c r="G182" s="21"/>
      <c r="H182" s="23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spans="1:25" ht="21.75" customHeight="1" x14ac:dyDescent="0.6">
      <c r="A183" s="21"/>
      <c r="B183" s="23"/>
      <c r="C183" s="21"/>
      <c r="D183" s="23"/>
      <c r="E183" s="21"/>
      <c r="F183" s="23"/>
      <c r="G183" s="21"/>
      <c r="H183" s="23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spans="1:25" ht="21.75" customHeight="1" x14ac:dyDescent="0.6">
      <c r="A184" s="21"/>
      <c r="B184" s="23"/>
      <c r="C184" s="21"/>
      <c r="D184" s="23"/>
      <c r="E184" s="21"/>
      <c r="F184" s="23"/>
      <c r="G184" s="21"/>
      <c r="H184" s="23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spans="1:25" ht="21.75" customHeight="1" x14ac:dyDescent="0.6">
      <c r="A185" s="21"/>
      <c r="B185" s="23"/>
      <c r="C185" s="21"/>
      <c r="D185" s="23"/>
      <c r="E185" s="21"/>
      <c r="F185" s="23"/>
      <c r="G185" s="21"/>
      <c r="H185" s="23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spans="1:25" ht="21.75" customHeight="1" x14ac:dyDescent="0.6">
      <c r="A186" s="21"/>
      <c r="B186" s="23"/>
      <c r="C186" s="21"/>
      <c r="D186" s="23"/>
      <c r="E186" s="21"/>
      <c r="F186" s="23"/>
      <c r="G186" s="21"/>
      <c r="H186" s="23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1:25" ht="21.75" customHeight="1" x14ac:dyDescent="0.6">
      <c r="A187" s="21"/>
      <c r="B187" s="23"/>
      <c r="C187" s="21"/>
      <c r="D187" s="23"/>
      <c r="E187" s="21"/>
      <c r="F187" s="23"/>
      <c r="G187" s="21"/>
      <c r="H187" s="23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1:25" ht="21.75" customHeight="1" x14ac:dyDescent="0.6">
      <c r="A188" s="21"/>
      <c r="B188" s="23"/>
      <c r="C188" s="21"/>
      <c r="D188" s="23"/>
      <c r="E188" s="21"/>
      <c r="F188" s="23"/>
      <c r="G188" s="21"/>
      <c r="H188" s="23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spans="1:25" ht="21.75" customHeight="1" x14ac:dyDescent="0.6">
      <c r="A189" s="21"/>
      <c r="B189" s="23"/>
      <c r="C189" s="21"/>
      <c r="D189" s="23"/>
      <c r="E189" s="21"/>
      <c r="F189" s="23"/>
      <c r="G189" s="21"/>
      <c r="H189" s="23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1:25" ht="21.75" customHeight="1" x14ac:dyDescent="0.6">
      <c r="A190" s="21"/>
      <c r="B190" s="23"/>
      <c r="C190" s="21"/>
      <c r="D190" s="23"/>
      <c r="E190" s="21"/>
      <c r="F190" s="23"/>
      <c r="G190" s="21"/>
      <c r="H190" s="23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1:25" ht="21.75" customHeight="1" x14ac:dyDescent="0.6">
      <c r="A191" s="21"/>
      <c r="B191" s="23"/>
      <c r="C191" s="21"/>
      <c r="D191" s="23"/>
      <c r="E191" s="21"/>
      <c r="F191" s="23"/>
      <c r="G191" s="21"/>
      <c r="H191" s="23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spans="1:25" ht="21.75" customHeight="1" x14ac:dyDescent="0.6">
      <c r="A192" s="21"/>
      <c r="B192" s="23"/>
      <c r="C192" s="21"/>
      <c r="D192" s="23"/>
      <c r="E192" s="21"/>
      <c r="F192" s="23"/>
      <c r="G192" s="21"/>
      <c r="H192" s="23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1:25" ht="21.75" customHeight="1" x14ac:dyDescent="0.6">
      <c r="A193" s="21"/>
      <c r="B193" s="23"/>
      <c r="C193" s="21"/>
      <c r="D193" s="23"/>
      <c r="E193" s="21"/>
      <c r="F193" s="23"/>
      <c r="G193" s="21"/>
      <c r="H193" s="23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1:25" ht="21.75" customHeight="1" x14ac:dyDescent="0.6">
      <c r="A194" s="21"/>
      <c r="B194" s="23"/>
      <c r="C194" s="21"/>
      <c r="D194" s="23"/>
      <c r="E194" s="21"/>
      <c r="F194" s="23"/>
      <c r="G194" s="21"/>
      <c r="H194" s="23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spans="1:25" ht="21.75" customHeight="1" x14ac:dyDescent="0.6">
      <c r="A195" s="21"/>
      <c r="B195" s="23"/>
      <c r="C195" s="21"/>
      <c r="D195" s="23"/>
      <c r="E195" s="21"/>
      <c r="F195" s="23"/>
      <c r="G195" s="21"/>
      <c r="H195" s="23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spans="1:25" ht="21.75" customHeight="1" x14ac:dyDescent="0.6">
      <c r="A196" s="21"/>
      <c r="B196" s="23"/>
      <c r="C196" s="21"/>
      <c r="D196" s="23"/>
      <c r="E196" s="21"/>
      <c r="F196" s="23"/>
      <c r="G196" s="21"/>
      <c r="H196" s="23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spans="1:25" ht="21.75" customHeight="1" x14ac:dyDescent="0.6">
      <c r="A197" s="21"/>
      <c r="B197" s="23"/>
      <c r="C197" s="21"/>
      <c r="D197" s="23"/>
      <c r="E197" s="21"/>
      <c r="F197" s="23"/>
      <c r="G197" s="21"/>
      <c r="H197" s="23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spans="1:25" ht="21.75" customHeight="1" x14ac:dyDescent="0.6">
      <c r="A198" s="21"/>
      <c r="B198" s="23"/>
      <c r="C198" s="21"/>
      <c r="D198" s="23"/>
      <c r="E198" s="21"/>
      <c r="F198" s="23"/>
      <c r="G198" s="21"/>
      <c r="H198" s="23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spans="1:25" ht="21.75" customHeight="1" x14ac:dyDescent="0.6">
      <c r="A199" s="21"/>
      <c r="B199" s="23"/>
      <c r="C199" s="21"/>
      <c r="D199" s="23"/>
      <c r="E199" s="21"/>
      <c r="F199" s="23"/>
      <c r="G199" s="21"/>
      <c r="H199" s="23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spans="1:25" ht="21.75" customHeight="1" x14ac:dyDescent="0.6">
      <c r="A200" s="21"/>
      <c r="B200" s="23"/>
      <c r="C200" s="21"/>
      <c r="D200" s="23"/>
      <c r="E200" s="21"/>
      <c r="F200" s="23"/>
      <c r="G200" s="21"/>
      <c r="H200" s="23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spans="1:25" ht="21.75" customHeight="1" x14ac:dyDescent="0.6">
      <c r="A201" s="21"/>
      <c r="B201" s="23"/>
      <c r="C201" s="21"/>
      <c r="D201" s="23"/>
      <c r="E201" s="21"/>
      <c r="F201" s="23"/>
      <c r="G201" s="21"/>
      <c r="H201" s="23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spans="1:25" ht="21.75" customHeight="1" x14ac:dyDescent="0.6">
      <c r="A202" s="21"/>
      <c r="B202" s="23"/>
      <c r="C202" s="21"/>
      <c r="D202" s="23"/>
      <c r="E202" s="21"/>
      <c r="F202" s="23"/>
      <c r="G202" s="21"/>
      <c r="H202" s="23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spans="1:25" ht="21.75" customHeight="1" x14ac:dyDescent="0.6">
      <c r="A203" s="21"/>
      <c r="B203" s="23"/>
      <c r="C203" s="21"/>
      <c r="D203" s="23"/>
      <c r="E203" s="21"/>
      <c r="F203" s="23"/>
      <c r="G203" s="21"/>
      <c r="H203" s="23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spans="1:25" ht="21.75" customHeight="1" x14ac:dyDescent="0.6">
      <c r="A204" s="21"/>
      <c r="B204" s="23"/>
      <c r="C204" s="21"/>
      <c r="D204" s="23"/>
      <c r="E204" s="21"/>
      <c r="F204" s="23"/>
      <c r="G204" s="21"/>
      <c r="H204" s="23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spans="1:25" ht="21.75" customHeight="1" x14ac:dyDescent="0.6">
      <c r="A205" s="21"/>
      <c r="B205" s="23"/>
      <c r="C205" s="21"/>
      <c r="D205" s="23"/>
      <c r="E205" s="21"/>
      <c r="F205" s="23"/>
      <c r="G205" s="21"/>
      <c r="H205" s="23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spans="1:25" ht="21.75" customHeight="1" x14ac:dyDescent="0.6">
      <c r="A206" s="21"/>
      <c r="B206" s="23"/>
      <c r="C206" s="21"/>
      <c r="D206" s="23"/>
      <c r="E206" s="21"/>
      <c r="F206" s="23"/>
      <c r="G206" s="21"/>
      <c r="H206" s="23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spans="1:25" ht="21.75" customHeight="1" x14ac:dyDescent="0.6">
      <c r="A207" s="21"/>
      <c r="B207" s="23"/>
      <c r="C207" s="21"/>
      <c r="D207" s="23"/>
      <c r="E207" s="21"/>
      <c r="F207" s="23"/>
      <c r="G207" s="21"/>
      <c r="H207" s="23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1:25" ht="21.75" customHeight="1" x14ac:dyDescent="0.6">
      <c r="A208" s="21"/>
      <c r="B208" s="23"/>
      <c r="C208" s="21"/>
      <c r="D208" s="23"/>
      <c r="E208" s="21"/>
      <c r="F208" s="23"/>
      <c r="G208" s="21"/>
      <c r="H208" s="23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1:25" ht="21.75" customHeight="1" x14ac:dyDescent="0.6">
      <c r="A209" s="21"/>
      <c r="B209" s="23"/>
      <c r="C209" s="21"/>
      <c r="D209" s="23"/>
      <c r="E209" s="21"/>
      <c r="F209" s="23"/>
      <c r="G209" s="21"/>
      <c r="H209" s="23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spans="1:25" ht="21.75" customHeight="1" x14ac:dyDescent="0.6">
      <c r="A210" s="21"/>
      <c r="B210" s="23"/>
      <c r="C210" s="21"/>
      <c r="D210" s="23"/>
      <c r="E210" s="21"/>
      <c r="F210" s="23"/>
      <c r="G210" s="21"/>
      <c r="H210" s="23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1:25" ht="21.75" customHeight="1" x14ac:dyDescent="0.6">
      <c r="A211" s="21"/>
      <c r="B211" s="23"/>
      <c r="C211" s="21"/>
      <c r="D211" s="23"/>
      <c r="E211" s="21"/>
      <c r="F211" s="23"/>
      <c r="G211" s="21"/>
      <c r="H211" s="23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1:25" ht="21.75" customHeight="1" x14ac:dyDescent="0.6">
      <c r="A212" s="21"/>
      <c r="B212" s="23"/>
      <c r="C212" s="21"/>
      <c r="D212" s="23"/>
      <c r="E212" s="21"/>
      <c r="F212" s="23"/>
      <c r="G212" s="21"/>
      <c r="H212" s="23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spans="1:25" ht="21.75" customHeight="1" x14ac:dyDescent="0.6">
      <c r="A213" s="21"/>
      <c r="B213" s="23"/>
      <c r="C213" s="21"/>
      <c r="D213" s="23"/>
      <c r="E213" s="21"/>
      <c r="F213" s="23"/>
      <c r="G213" s="21"/>
      <c r="H213" s="23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1:25" ht="21.75" customHeight="1" x14ac:dyDescent="0.6">
      <c r="A214" s="21"/>
      <c r="B214" s="23"/>
      <c r="C214" s="21"/>
      <c r="D214" s="23"/>
      <c r="E214" s="21"/>
      <c r="F214" s="23"/>
      <c r="G214" s="21"/>
      <c r="H214" s="23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1:25" ht="21.75" customHeight="1" x14ac:dyDescent="0.6">
      <c r="A215" s="21"/>
      <c r="B215" s="23"/>
      <c r="C215" s="21"/>
      <c r="D215" s="23"/>
      <c r="E215" s="21"/>
      <c r="F215" s="23"/>
      <c r="G215" s="21"/>
      <c r="H215" s="23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spans="1:25" ht="21.75" customHeight="1" x14ac:dyDescent="0.6">
      <c r="A216" s="21"/>
      <c r="B216" s="23"/>
      <c r="C216" s="21"/>
      <c r="D216" s="23"/>
      <c r="E216" s="21"/>
      <c r="F216" s="23"/>
      <c r="G216" s="21"/>
      <c r="H216" s="23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spans="1:25" ht="21.75" customHeight="1" x14ac:dyDescent="0.6">
      <c r="A217" s="21"/>
      <c r="B217" s="23"/>
      <c r="C217" s="21"/>
      <c r="D217" s="23"/>
      <c r="E217" s="21"/>
      <c r="F217" s="23"/>
      <c r="G217" s="21"/>
      <c r="H217" s="23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spans="1:25" ht="21.75" customHeight="1" x14ac:dyDescent="0.6">
      <c r="A218" s="21"/>
      <c r="B218" s="23"/>
      <c r="C218" s="21"/>
      <c r="D218" s="23"/>
      <c r="E218" s="21"/>
      <c r="F218" s="23"/>
      <c r="G218" s="21"/>
      <c r="H218" s="23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spans="1:25" ht="21.75" customHeight="1" x14ac:dyDescent="0.6">
      <c r="A219" s="21"/>
      <c r="B219" s="23"/>
      <c r="C219" s="21"/>
      <c r="D219" s="23"/>
      <c r="E219" s="21"/>
      <c r="F219" s="23"/>
      <c r="G219" s="21"/>
      <c r="H219" s="23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spans="1:25" ht="21.75" customHeight="1" x14ac:dyDescent="0.6">
      <c r="A220" s="21"/>
      <c r="B220" s="23"/>
      <c r="C220" s="21"/>
      <c r="D220" s="23"/>
      <c r="E220" s="21"/>
      <c r="F220" s="23"/>
      <c r="G220" s="21"/>
      <c r="H220" s="23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spans="1:25" ht="21.75" customHeight="1" x14ac:dyDescent="0.6">
      <c r="A221" s="21"/>
      <c r="B221" s="23"/>
      <c r="C221" s="21"/>
      <c r="D221" s="23"/>
      <c r="E221" s="21"/>
      <c r="F221" s="23"/>
      <c r="G221" s="21"/>
      <c r="H221" s="23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spans="1:25" ht="21.75" customHeight="1" x14ac:dyDescent="0.6">
      <c r="A222" s="21"/>
      <c r="B222" s="23"/>
      <c r="C222" s="21"/>
      <c r="D222" s="23"/>
      <c r="E222" s="21"/>
      <c r="F222" s="23"/>
      <c r="G222" s="21"/>
      <c r="H222" s="23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spans="1:25" ht="21.75" customHeight="1" x14ac:dyDescent="0.6">
      <c r="A223" s="21"/>
      <c r="B223" s="23"/>
      <c r="C223" s="21"/>
      <c r="D223" s="23"/>
      <c r="E223" s="21"/>
      <c r="F223" s="23"/>
      <c r="G223" s="21"/>
      <c r="H223" s="23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spans="1:25" ht="21.75" customHeight="1" x14ac:dyDescent="0.6">
      <c r="A224" s="21"/>
      <c r="B224" s="23"/>
      <c r="C224" s="21"/>
      <c r="D224" s="23"/>
      <c r="E224" s="21"/>
      <c r="F224" s="23"/>
      <c r="G224" s="21"/>
      <c r="H224" s="23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spans="1:25" ht="21.75" customHeight="1" x14ac:dyDescent="0.6">
      <c r="A225" s="21"/>
      <c r="B225" s="23"/>
      <c r="C225" s="21"/>
      <c r="D225" s="23"/>
      <c r="E225" s="21"/>
      <c r="F225" s="23"/>
      <c r="G225" s="21"/>
      <c r="H225" s="23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spans="1:25" ht="21.75" customHeight="1" x14ac:dyDescent="0.6">
      <c r="A226" s="21"/>
      <c r="B226" s="23"/>
      <c r="C226" s="21"/>
      <c r="D226" s="23"/>
      <c r="E226" s="21"/>
      <c r="F226" s="23"/>
      <c r="G226" s="21"/>
      <c r="H226" s="23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spans="1:25" ht="21.75" customHeight="1" x14ac:dyDescent="0.6">
      <c r="A227" s="21"/>
      <c r="B227" s="23"/>
      <c r="C227" s="21"/>
      <c r="D227" s="23"/>
      <c r="E227" s="21"/>
      <c r="F227" s="23"/>
      <c r="G227" s="21"/>
      <c r="H227" s="23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spans="1:25" ht="21.75" customHeight="1" x14ac:dyDescent="0.6">
      <c r="A228" s="21"/>
      <c r="B228" s="23"/>
      <c r="C228" s="21"/>
      <c r="D228" s="23"/>
      <c r="E228" s="21"/>
      <c r="F228" s="23"/>
      <c r="G228" s="21"/>
      <c r="H228" s="23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1:25" ht="21.75" customHeight="1" x14ac:dyDescent="0.6">
      <c r="A229" s="21"/>
      <c r="B229" s="23"/>
      <c r="C229" s="21"/>
      <c r="D229" s="23"/>
      <c r="E229" s="21"/>
      <c r="F229" s="23"/>
      <c r="G229" s="21"/>
      <c r="H229" s="23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1:25" ht="21.75" customHeight="1" x14ac:dyDescent="0.6">
      <c r="A230" s="21"/>
      <c r="B230" s="23"/>
      <c r="C230" s="21"/>
      <c r="D230" s="23"/>
      <c r="E230" s="21"/>
      <c r="F230" s="23"/>
      <c r="G230" s="21"/>
      <c r="H230" s="23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spans="1:25" ht="21.75" customHeight="1" x14ac:dyDescent="0.6">
      <c r="A231" s="21"/>
      <c r="B231" s="23"/>
      <c r="C231" s="21"/>
      <c r="D231" s="23"/>
      <c r="E231" s="21"/>
      <c r="F231" s="23"/>
      <c r="G231" s="21"/>
      <c r="H231" s="23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1:25" ht="21.75" customHeight="1" x14ac:dyDescent="0.6">
      <c r="A232" s="21"/>
      <c r="B232" s="23"/>
      <c r="C232" s="21"/>
      <c r="D232" s="23"/>
      <c r="E232" s="21"/>
      <c r="F232" s="23"/>
      <c r="G232" s="21"/>
      <c r="H232" s="23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1:25" ht="21.75" customHeight="1" x14ac:dyDescent="0.6">
      <c r="A233" s="21"/>
      <c r="B233" s="23"/>
      <c r="C233" s="21"/>
      <c r="D233" s="23"/>
      <c r="E233" s="21"/>
      <c r="F233" s="23"/>
      <c r="G233" s="21"/>
      <c r="H233" s="23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spans="1:25" ht="21.75" customHeight="1" x14ac:dyDescent="0.6">
      <c r="A234" s="21"/>
      <c r="B234" s="23"/>
      <c r="C234" s="21"/>
      <c r="D234" s="23"/>
      <c r="E234" s="21"/>
      <c r="F234" s="23"/>
      <c r="G234" s="21"/>
      <c r="H234" s="23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1:25" ht="21.75" customHeight="1" x14ac:dyDescent="0.6">
      <c r="A235" s="21"/>
      <c r="B235" s="23"/>
      <c r="C235" s="21"/>
      <c r="D235" s="23"/>
      <c r="E235" s="21"/>
      <c r="F235" s="23"/>
      <c r="G235" s="21"/>
      <c r="H235" s="23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1:25" ht="21.75" customHeight="1" x14ac:dyDescent="0.6">
      <c r="A236" s="21"/>
      <c r="B236" s="23"/>
      <c r="C236" s="21"/>
      <c r="D236" s="23"/>
      <c r="E236" s="21"/>
      <c r="F236" s="23"/>
      <c r="G236" s="21"/>
      <c r="H236" s="23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spans="1:25" ht="21.75" customHeight="1" x14ac:dyDescent="0.6">
      <c r="A237" s="21"/>
      <c r="B237" s="23"/>
      <c r="C237" s="21"/>
      <c r="D237" s="23"/>
      <c r="E237" s="21"/>
      <c r="F237" s="23"/>
      <c r="G237" s="21"/>
      <c r="H237" s="23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spans="1:25" ht="21.75" customHeight="1" x14ac:dyDescent="0.6">
      <c r="A238" s="21"/>
      <c r="B238" s="23"/>
      <c r="C238" s="21"/>
      <c r="D238" s="23"/>
      <c r="E238" s="21"/>
      <c r="F238" s="23"/>
      <c r="G238" s="21"/>
      <c r="H238" s="23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spans="1:25" ht="21.75" customHeight="1" x14ac:dyDescent="0.6">
      <c r="A239" s="21"/>
      <c r="B239" s="23"/>
      <c r="C239" s="21"/>
      <c r="D239" s="23"/>
      <c r="E239" s="21"/>
      <c r="F239" s="23"/>
      <c r="G239" s="21"/>
      <c r="H239" s="23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spans="1:25" ht="21.75" customHeight="1" x14ac:dyDescent="0.6">
      <c r="A240" s="21"/>
      <c r="B240" s="23"/>
      <c r="C240" s="21"/>
      <c r="D240" s="23"/>
      <c r="E240" s="21"/>
      <c r="F240" s="23"/>
      <c r="G240" s="21"/>
      <c r="H240" s="23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spans="1:25" ht="21.75" customHeight="1" x14ac:dyDescent="0.6">
      <c r="A241" s="21"/>
      <c r="B241" s="23"/>
      <c r="C241" s="21"/>
      <c r="D241" s="23"/>
      <c r="E241" s="21"/>
      <c r="F241" s="23"/>
      <c r="G241" s="21"/>
      <c r="H241" s="23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spans="1:25" ht="21.75" customHeight="1" x14ac:dyDescent="0.6">
      <c r="A242" s="21"/>
      <c r="B242" s="23"/>
      <c r="C242" s="21"/>
      <c r="D242" s="23"/>
      <c r="E242" s="21"/>
      <c r="F242" s="23"/>
      <c r="G242" s="21"/>
      <c r="H242" s="23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spans="1:25" ht="21.75" customHeight="1" x14ac:dyDescent="0.6">
      <c r="A243" s="21"/>
      <c r="B243" s="23"/>
      <c r="C243" s="21"/>
      <c r="D243" s="23"/>
      <c r="E243" s="21"/>
      <c r="F243" s="23"/>
      <c r="G243" s="21"/>
      <c r="H243" s="23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spans="1:25" ht="21.75" customHeight="1" x14ac:dyDescent="0.6">
      <c r="A244" s="21"/>
      <c r="B244" s="23"/>
      <c r="C244" s="21"/>
      <c r="D244" s="23"/>
      <c r="E244" s="21"/>
      <c r="F244" s="23"/>
      <c r="G244" s="21"/>
      <c r="H244" s="23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spans="1:25" ht="21.75" customHeight="1" x14ac:dyDescent="0.6">
      <c r="A245" s="21"/>
      <c r="B245" s="23"/>
      <c r="C245" s="21"/>
      <c r="D245" s="23"/>
      <c r="E245" s="21"/>
      <c r="F245" s="23"/>
      <c r="G245" s="21"/>
      <c r="H245" s="23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spans="1:25" ht="21.75" customHeight="1" x14ac:dyDescent="0.6">
      <c r="A246" s="21"/>
      <c r="B246" s="23"/>
      <c r="C246" s="21"/>
      <c r="D246" s="23"/>
      <c r="E246" s="21"/>
      <c r="F246" s="23"/>
      <c r="G246" s="21"/>
      <c r="H246" s="23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spans="1:25" ht="21.75" customHeight="1" x14ac:dyDescent="0.6">
      <c r="A247" s="21"/>
      <c r="B247" s="23"/>
      <c r="C247" s="21"/>
      <c r="D247" s="23"/>
      <c r="E247" s="21"/>
      <c r="F247" s="23"/>
      <c r="G247" s="21"/>
      <c r="H247" s="23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spans="1:25" ht="21.75" customHeight="1" x14ac:dyDescent="0.6">
      <c r="A248" s="21"/>
      <c r="B248" s="23"/>
      <c r="C248" s="21"/>
      <c r="D248" s="23"/>
      <c r="E248" s="21"/>
      <c r="F248" s="23"/>
      <c r="G248" s="21"/>
      <c r="H248" s="23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spans="1:25" ht="21.75" customHeight="1" x14ac:dyDescent="0.6">
      <c r="A249" s="21"/>
      <c r="B249" s="23"/>
      <c r="C249" s="21"/>
      <c r="D249" s="23"/>
      <c r="E249" s="21"/>
      <c r="F249" s="23"/>
      <c r="G249" s="21"/>
      <c r="H249" s="23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1:25" ht="21.75" customHeight="1" x14ac:dyDescent="0.6">
      <c r="A250" s="21"/>
      <c r="B250" s="23"/>
      <c r="C250" s="21"/>
      <c r="D250" s="23"/>
      <c r="E250" s="21"/>
      <c r="F250" s="23"/>
      <c r="G250" s="21"/>
      <c r="H250" s="23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1:25" ht="21.75" customHeight="1" x14ac:dyDescent="0.6">
      <c r="A251" s="21"/>
      <c r="B251" s="23"/>
      <c r="C251" s="21"/>
      <c r="D251" s="23"/>
      <c r="E251" s="21"/>
      <c r="F251" s="23"/>
      <c r="G251" s="21"/>
      <c r="H251" s="23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spans="1:25" ht="21.75" customHeight="1" x14ac:dyDescent="0.6">
      <c r="A252" s="21"/>
      <c r="B252" s="23"/>
      <c r="C252" s="21"/>
      <c r="D252" s="23"/>
      <c r="E252" s="21"/>
      <c r="F252" s="23"/>
      <c r="G252" s="21"/>
      <c r="H252" s="23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1:25" ht="21.75" customHeight="1" x14ac:dyDescent="0.6">
      <c r="A253" s="21"/>
      <c r="B253" s="23"/>
      <c r="C253" s="21"/>
      <c r="D253" s="23"/>
      <c r="E253" s="21"/>
      <c r="F253" s="23"/>
      <c r="G253" s="21"/>
      <c r="H253" s="23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1:25" ht="21.75" customHeight="1" x14ac:dyDescent="0.6">
      <c r="A254" s="21"/>
      <c r="B254" s="23"/>
      <c r="C254" s="21"/>
      <c r="D254" s="23"/>
      <c r="E254" s="21"/>
      <c r="F254" s="23"/>
      <c r="G254" s="21"/>
      <c r="H254" s="23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 spans="1:25" ht="21.75" customHeight="1" x14ac:dyDescent="0.6">
      <c r="A255" s="21"/>
      <c r="B255" s="23"/>
      <c r="C255" s="21"/>
      <c r="D255" s="23"/>
      <c r="E255" s="21"/>
      <c r="F255" s="23"/>
      <c r="G255" s="21"/>
      <c r="H255" s="23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1:25" ht="21.75" customHeight="1" x14ac:dyDescent="0.6">
      <c r="A256" s="21"/>
      <c r="B256" s="23"/>
      <c r="C256" s="21"/>
      <c r="D256" s="23"/>
      <c r="E256" s="21"/>
      <c r="F256" s="23"/>
      <c r="G256" s="21"/>
      <c r="H256" s="23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1:25" ht="21.75" customHeight="1" x14ac:dyDescent="0.6">
      <c r="A257" s="21"/>
      <c r="B257" s="23"/>
      <c r="C257" s="21"/>
      <c r="D257" s="23"/>
      <c r="E257" s="21"/>
      <c r="F257" s="23"/>
      <c r="G257" s="21"/>
      <c r="H257" s="23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 spans="1:25" ht="21.75" customHeight="1" x14ac:dyDescent="0.6">
      <c r="A258" s="21"/>
      <c r="B258" s="23"/>
      <c r="C258" s="21"/>
      <c r="D258" s="23"/>
      <c r="E258" s="21"/>
      <c r="F258" s="23"/>
      <c r="G258" s="21"/>
      <c r="H258" s="23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 spans="1:25" ht="21.75" customHeight="1" x14ac:dyDescent="0.6">
      <c r="A259" s="21"/>
      <c r="B259" s="23"/>
      <c r="C259" s="21"/>
      <c r="D259" s="23"/>
      <c r="E259" s="21"/>
      <c r="F259" s="23"/>
      <c r="G259" s="21"/>
      <c r="H259" s="23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 spans="1:25" ht="21.75" customHeight="1" x14ac:dyDescent="0.6">
      <c r="A260" s="21"/>
      <c r="B260" s="23"/>
      <c r="C260" s="21"/>
      <c r="D260" s="23"/>
      <c r="E260" s="21"/>
      <c r="F260" s="23"/>
      <c r="G260" s="21"/>
      <c r="H260" s="23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spans="1:25" ht="21.75" customHeight="1" x14ac:dyDescent="0.6">
      <c r="A261" s="21"/>
      <c r="B261" s="23"/>
      <c r="C261" s="21"/>
      <c r="D261" s="23"/>
      <c r="E261" s="21"/>
      <c r="F261" s="23"/>
      <c r="G261" s="21"/>
      <c r="H261" s="23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spans="1:25" ht="21.75" customHeight="1" x14ac:dyDescent="0.6">
      <c r="A262" s="21"/>
      <c r="B262" s="23"/>
      <c r="C262" s="21"/>
      <c r="D262" s="23"/>
      <c r="E262" s="21"/>
      <c r="F262" s="23"/>
      <c r="G262" s="21"/>
      <c r="H262" s="23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 spans="1:25" ht="21.75" customHeight="1" x14ac:dyDescent="0.6">
      <c r="A263" s="21"/>
      <c r="B263" s="23"/>
      <c r="C263" s="21"/>
      <c r="D263" s="23"/>
      <c r="E263" s="21"/>
      <c r="F263" s="23"/>
      <c r="G263" s="21"/>
      <c r="H263" s="23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spans="1:25" ht="21.75" customHeight="1" x14ac:dyDescent="0.6">
      <c r="A264" s="21"/>
      <c r="B264" s="23"/>
      <c r="C264" s="21"/>
      <c r="D264" s="23"/>
      <c r="E264" s="21"/>
      <c r="F264" s="23"/>
      <c r="G264" s="21"/>
      <c r="H264" s="23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 spans="1:25" ht="21.75" customHeight="1" x14ac:dyDescent="0.6">
      <c r="A265" s="21"/>
      <c r="B265" s="23"/>
      <c r="C265" s="21"/>
      <c r="D265" s="23"/>
      <c r="E265" s="21"/>
      <c r="F265" s="23"/>
      <c r="G265" s="21"/>
      <c r="H265" s="23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 spans="1:25" ht="21.75" customHeight="1" x14ac:dyDescent="0.6">
      <c r="A266" s="21"/>
      <c r="B266" s="23"/>
      <c r="C266" s="21"/>
      <c r="D266" s="23"/>
      <c r="E266" s="21"/>
      <c r="F266" s="23"/>
      <c r="G266" s="21"/>
      <c r="H266" s="23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 spans="1:25" ht="21.75" customHeight="1" x14ac:dyDescent="0.6">
      <c r="A267" s="21"/>
      <c r="B267" s="23"/>
      <c r="C267" s="21"/>
      <c r="D267" s="23"/>
      <c r="E267" s="21"/>
      <c r="F267" s="23"/>
      <c r="G267" s="21"/>
      <c r="H267" s="23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 spans="1:25" ht="21.75" customHeight="1" x14ac:dyDescent="0.6">
      <c r="A268" s="21"/>
      <c r="B268" s="23"/>
      <c r="C268" s="21"/>
      <c r="D268" s="23"/>
      <c r="E268" s="21"/>
      <c r="F268" s="23"/>
      <c r="G268" s="21"/>
      <c r="H268" s="23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spans="1:25" ht="21.75" customHeight="1" x14ac:dyDescent="0.6">
      <c r="A269" s="21"/>
      <c r="B269" s="23"/>
      <c r="C269" s="21"/>
      <c r="D269" s="23"/>
      <c r="E269" s="21"/>
      <c r="F269" s="23"/>
      <c r="G269" s="21"/>
      <c r="H269" s="23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spans="1:25" ht="21.75" customHeight="1" x14ac:dyDescent="0.6">
      <c r="A270" s="21"/>
      <c r="B270" s="23"/>
      <c r="C270" s="21"/>
      <c r="D270" s="23"/>
      <c r="E270" s="21"/>
      <c r="F270" s="23"/>
      <c r="G270" s="21"/>
      <c r="H270" s="23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 spans="1:25" ht="21.75" customHeight="1" x14ac:dyDescent="0.6">
      <c r="A271" s="21"/>
      <c r="B271" s="23"/>
      <c r="C271" s="21"/>
      <c r="D271" s="23"/>
      <c r="E271" s="21"/>
      <c r="F271" s="23"/>
      <c r="G271" s="21"/>
      <c r="H271" s="23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 spans="1:25" ht="21.75" customHeight="1" x14ac:dyDescent="0.6">
      <c r="A272" s="21"/>
      <c r="B272" s="23"/>
      <c r="C272" s="21"/>
      <c r="D272" s="23"/>
      <c r="E272" s="21"/>
      <c r="F272" s="23"/>
      <c r="G272" s="21"/>
      <c r="H272" s="23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 spans="1:25" ht="21.75" customHeight="1" x14ac:dyDescent="0.6">
      <c r="A273" s="21"/>
      <c r="B273" s="23"/>
      <c r="C273" s="21"/>
      <c r="D273" s="23"/>
      <c r="E273" s="21"/>
      <c r="F273" s="23"/>
      <c r="G273" s="21"/>
      <c r="H273" s="23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 spans="1:25" ht="21.75" customHeight="1" x14ac:dyDescent="0.6">
      <c r="A274" s="21"/>
      <c r="B274" s="23"/>
      <c r="C274" s="21"/>
      <c r="D274" s="23"/>
      <c r="E274" s="21"/>
      <c r="F274" s="23"/>
      <c r="G274" s="21"/>
      <c r="H274" s="23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 spans="1:25" ht="21.75" customHeight="1" x14ac:dyDescent="0.6">
      <c r="A275" s="21"/>
      <c r="B275" s="23"/>
      <c r="C275" s="21"/>
      <c r="D275" s="23"/>
      <c r="E275" s="21"/>
      <c r="F275" s="23"/>
      <c r="G275" s="21"/>
      <c r="H275" s="23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spans="1:25" ht="21.75" customHeight="1" x14ac:dyDescent="0.6">
      <c r="A276" s="21"/>
      <c r="B276" s="23"/>
      <c r="C276" s="21"/>
      <c r="D276" s="23"/>
      <c r="E276" s="21"/>
      <c r="F276" s="23"/>
      <c r="G276" s="21"/>
      <c r="H276" s="23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spans="1:25" ht="21.75" customHeight="1" x14ac:dyDescent="0.6">
      <c r="A277" s="21"/>
      <c r="B277" s="23"/>
      <c r="C277" s="21"/>
      <c r="D277" s="23"/>
      <c r="E277" s="21"/>
      <c r="F277" s="23"/>
      <c r="G277" s="21"/>
      <c r="H277" s="23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spans="1:25" ht="21.75" customHeight="1" x14ac:dyDescent="0.6">
      <c r="A278" s="21"/>
      <c r="B278" s="23"/>
      <c r="C278" s="21"/>
      <c r="D278" s="23"/>
      <c r="E278" s="21"/>
      <c r="F278" s="23"/>
      <c r="G278" s="21"/>
      <c r="H278" s="23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 spans="1:25" ht="21.75" customHeight="1" x14ac:dyDescent="0.6">
      <c r="A279" s="21"/>
      <c r="B279" s="23"/>
      <c r="C279" s="21"/>
      <c r="D279" s="23"/>
      <c r="E279" s="21"/>
      <c r="F279" s="23"/>
      <c r="G279" s="21"/>
      <c r="H279" s="23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 spans="1:25" ht="21.75" customHeight="1" x14ac:dyDescent="0.6">
      <c r="A280" s="21"/>
      <c r="B280" s="23"/>
      <c r="C280" s="21"/>
      <c r="D280" s="23"/>
      <c r="E280" s="21"/>
      <c r="F280" s="23"/>
      <c r="G280" s="21"/>
      <c r="H280" s="23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 spans="1:25" ht="21.75" customHeight="1" x14ac:dyDescent="0.6">
      <c r="A281" s="21"/>
      <c r="B281" s="23"/>
      <c r="C281" s="21"/>
      <c r="D281" s="23"/>
      <c r="E281" s="21"/>
      <c r="F281" s="23"/>
      <c r="G281" s="21"/>
      <c r="H281" s="23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 spans="1:25" ht="21.75" customHeight="1" x14ac:dyDescent="0.6">
      <c r="A282" s="21"/>
      <c r="B282" s="23"/>
      <c r="C282" s="21"/>
      <c r="D282" s="23"/>
      <c r="E282" s="21"/>
      <c r="F282" s="23"/>
      <c r="G282" s="21"/>
      <c r="H282" s="23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 spans="1:25" ht="21.75" customHeight="1" x14ac:dyDescent="0.6">
      <c r="A283" s="21"/>
      <c r="B283" s="23"/>
      <c r="C283" s="21"/>
      <c r="D283" s="23"/>
      <c r="E283" s="21"/>
      <c r="F283" s="23"/>
      <c r="G283" s="21"/>
      <c r="H283" s="23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 spans="1:25" ht="21.75" customHeight="1" x14ac:dyDescent="0.6">
      <c r="A284" s="21"/>
      <c r="B284" s="23"/>
      <c r="C284" s="21"/>
      <c r="D284" s="23"/>
      <c r="E284" s="21"/>
      <c r="F284" s="23"/>
      <c r="G284" s="21"/>
      <c r="H284" s="23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spans="1:25" ht="21.75" customHeight="1" x14ac:dyDescent="0.6">
      <c r="A285" s="21"/>
      <c r="B285" s="23"/>
      <c r="C285" s="21"/>
      <c r="D285" s="23"/>
      <c r="E285" s="21"/>
      <c r="F285" s="23"/>
      <c r="G285" s="21"/>
      <c r="H285" s="23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spans="1:25" ht="21.75" customHeight="1" x14ac:dyDescent="0.6">
      <c r="A286" s="21"/>
      <c r="B286" s="23"/>
      <c r="C286" s="21"/>
      <c r="D286" s="23"/>
      <c r="E286" s="21"/>
      <c r="F286" s="23"/>
      <c r="G286" s="21"/>
      <c r="H286" s="23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 spans="1:25" ht="21.75" customHeight="1" x14ac:dyDescent="0.6">
      <c r="A287" s="21"/>
      <c r="B287" s="23"/>
      <c r="C287" s="21"/>
      <c r="D287" s="23"/>
      <c r="E287" s="21"/>
      <c r="F287" s="23"/>
      <c r="G287" s="21"/>
      <c r="H287" s="23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spans="1:25" ht="21.75" customHeight="1" x14ac:dyDescent="0.6">
      <c r="A288" s="21"/>
      <c r="B288" s="23"/>
      <c r="C288" s="21"/>
      <c r="D288" s="23"/>
      <c r="E288" s="21"/>
      <c r="F288" s="23"/>
      <c r="G288" s="21"/>
      <c r="H288" s="23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spans="1:25" ht="21.75" customHeight="1" x14ac:dyDescent="0.6">
      <c r="A289" s="21"/>
      <c r="B289" s="23"/>
      <c r="C289" s="21"/>
      <c r="D289" s="23"/>
      <c r="E289" s="21"/>
      <c r="F289" s="23"/>
      <c r="G289" s="21"/>
      <c r="H289" s="23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spans="1:25" ht="21.75" customHeight="1" x14ac:dyDescent="0.6">
      <c r="A290" s="21"/>
      <c r="B290" s="23"/>
      <c r="C290" s="21"/>
      <c r="D290" s="23"/>
      <c r="E290" s="21"/>
      <c r="F290" s="23"/>
      <c r="G290" s="21"/>
      <c r="H290" s="23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spans="1:25" ht="21.75" customHeight="1" x14ac:dyDescent="0.6">
      <c r="A291" s="21"/>
      <c r="B291" s="23"/>
      <c r="C291" s="21"/>
      <c r="D291" s="23"/>
      <c r="E291" s="21"/>
      <c r="F291" s="23"/>
      <c r="G291" s="21"/>
      <c r="H291" s="23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spans="1:25" ht="21.75" customHeight="1" x14ac:dyDescent="0.6">
      <c r="A292" s="21"/>
      <c r="B292" s="23"/>
      <c r="C292" s="21"/>
      <c r="D292" s="23"/>
      <c r="E292" s="21"/>
      <c r="F292" s="23"/>
      <c r="G292" s="21"/>
      <c r="H292" s="23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spans="1:25" ht="21.75" customHeight="1" x14ac:dyDescent="0.6">
      <c r="A293" s="21"/>
      <c r="B293" s="23"/>
      <c r="C293" s="21"/>
      <c r="D293" s="23"/>
      <c r="E293" s="21"/>
      <c r="F293" s="23"/>
      <c r="G293" s="21"/>
      <c r="H293" s="23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spans="1:25" ht="21.75" customHeight="1" x14ac:dyDescent="0.6">
      <c r="A294" s="21"/>
      <c r="B294" s="23"/>
      <c r="C294" s="21"/>
      <c r="D294" s="23"/>
      <c r="E294" s="21"/>
      <c r="F294" s="23"/>
      <c r="G294" s="21"/>
      <c r="H294" s="23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spans="1:25" ht="21.75" customHeight="1" x14ac:dyDescent="0.6">
      <c r="A295" s="21"/>
      <c r="B295" s="23"/>
      <c r="C295" s="21"/>
      <c r="D295" s="23"/>
      <c r="E295" s="21"/>
      <c r="F295" s="23"/>
      <c r="G295" s="21"/>
      <c r="H295" s="23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spans="1:25" ht="21.75" customHeight="1" x14ac:dyDescent="0.6">
      <c r="A296" s="21"/>
      <c r="B296" s="23"/>
      <c r="C296" s="21"/>
      <c r="D296" s="23"/>
      <c r="E296" s="21"/>
      <c r="F296" s="23"/>
      <c r="G296" s="21"/>
      <c r="H296" s="23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 spans="1:25" ht="21.75" customHeight="1" x14ac:dyDescent="0.6">
      <c r="A297" s="21"/>
      <c r="B297" s="23"/>
      <c r="C297" s="21"/>
      <c r="D297" s="23"/>
      <c r="E297" s="21"/>
      <c r="F297" s="23"/>
      <c r="G297" s="21"/>
      <c r="H297" s="23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 spans="1:25" ht="21.75" customHeight="1" x14ac:dyDescent="0.6">
      <c r="A298" s="21"/>
      <c r="B298" s="23"/>
      <c r="C298" s="21"/>
      <c r="D298" s="23"/>
      <c r="E298" s="21"/>
      <c r="F298" s="23"/>
      <c r="G298" s="21"/>
      <c r="H298" s="23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 spans="1:25" ht="21.75" customHeight="1" x14ac:dyDescent="0.6">
      <c r="A299" s="21"/>
      <c r="B299" s="23"/>
      <c r="C299" s="21"/>
      <c r="D299" s="23"/>
      <c r="E299" s="21"/>
      <c r="F299" s="23"/>
      <c r="G299" s="21"/>
      <c r="H299" s="23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 spans="1:25" ht="21.75" customHeight="1" x14ac:dyDescent="0.6">
      <c r="A300" s="21"/>
      <c r="B300" s="23"/>
      <c r="C300" s="21"/>
      <c r="D300" s="23"/>
      <c r="E300" s="21"/>
      <c r="F300" s="23"/>
      <c r="G300" s="21"/>
      <c r="H300" s="23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 spans="1:25" ht="21.75" customHeight="1" x14ac:dyDescent="0.6">
      <c r="A301" s="21"/>
      <c r="B301" s="23"/>
      <c r="C301" s="21"/>
      <c r="D301" s="23"/>
      <c r="E301" s="21"/>
      <c r="F301" s="23"/>
      <c r="G301" s="21"/>
      <c r="H301" s="23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 spans="1:25" ht="21.75" customHeight="1" x14ac:dyDescent="0.6">
      <c r="A302" s="21"/>
      <c r="B302" s="23"/>
      <c r="C302" s="21"/>
      <c r="D302" s="23"/>
      <c r="E302" s="21"/>
      <c r="F302" s="23"/>
      <c r="G302" s="21"/>
      <c r="H302" s="23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 spans="1:25" ht="21.75" customHeight="1" x14ac:dyDescent="0.6">
      <c r="A303" s="21"/>
      <c r="B303" s="23"/>
      <c r="C303" s="21"/>
      <c r="D303" s="23"/>
      <c r="E303" s="21"/>
      <c r="F303" s="23"/>
      <c r="G303" s="21"/>
      <c r="H303" s="23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 spans="1:25" ht="21.75" customHeight="1" x14ac:dyDescent="0.6">
      <c r="A304" s="21"/>
      <c r="B304" s="23"/>
      <c r="C304" s="21"/>
      <c r="D304" s="23"/>
      <c r="E304" s="21"/>
      <c r="F304" s="23"/>
      <c r="G304" s="21"/>
      <c r="H304" s="23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 spans="1:25" ht="21.75" customHeight="1" x14ac:dyDescent="0.6">
      <c r="A305" s="21"/>
      <c r="B305" s="23"/>
      <c r="C305" s="21"/>
      <c r="D305" s="23"/>
      <c r="E305" s="21"/>
      <c r="F305" s="23"/>
      <c r="G305" s="21"/>
      <c r="H305" s="23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 spans="1:25" ht="21.75" customHeight="1" x14ac:dyDescent="0.6">
      <c r="A306" s="21"/>
      <c r="B306" s="23"/>
      <c r="C306" s="21"/>
      <c r="D306" s="23"/>
      <c r="E306" s="21"/>
      <c r="F306" s="23"/>
      <c r="G306" s="21"/>
      <c r="H306" s="23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 spans="1:25" ht="21.75" customHeight="1" x14ac:dyDescent="0.6">
      <c r="A307" s="21"/>
      <c r="B307" s="23"/>
      <c r="C307" s="21"/>
      <c r="D307" s="23"/>
      <c r="E307" s="21"/>
      <c r="F307" s="23"/>
      <c r="G307" s="21"/>
      <c r="H307" s="23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 spans="1:25" ht="21.75" customHeight="1" x14ac:dyDescent="0.6">
      <c r="A308" s="21"/>
      <c r="B308" s="23"/>
      <c r="C308" s="21"/>
      <c r="D308" s="23"/>
      <c r="E308" s="21"/>
      <c r="F308" s="23"/>
      <c r="G308" s="21"/>
      <c r="H308" s="23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 spans="1:25" ht="21.75" customHeight="1" x14ac:dyDescent="0.6">
      <c r="A309" s="21"/>
      <c r="B309" s="23"/>
      <c r="C309" s="21"/>
      <c r="D309" s="23"/>
      <c r="E309" s="21"/>
      <c r="F309" s="23"/>
      <c r="G309" s="21"/>
      <c r="H309" s="23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 spans="1:25" ht="21.75" customHeight="1" x14ac:dyDescent="0.6">
      <c r="A310" s="21"/>
      <c r="B310" s="23"/>
      <c r="C310" s="21"/>
      <c r="D310" s="23"/>
      <c r="E310" s="21"/>
      <c r="F310" s="23"/>
      <c r="G310" s="21"/>
      <c r="H310" s="23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 spans="1:25" ht="21.75" customHeight="1" x14ac:dyDescent="0.6">
      <c r="A311" s="21"/>
      <c r="B311" s="23"/>
      <c r="C311" s="21"/>
      <c r="D311" s="23"/>
      <c r="E311" s="21"/>
      <c r="F311" s="23"/>
      <c r="G311" s="21"/>
      <c r="H311" s="23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 spans="1:25" ht="21.75" customHeight="1" x14ac:dyDescent="0.6">
      <c r="A312" s="21"/>
      <c r="B312" s="23"/>
      <c r="C312" s="21"/>
      <c r="D312" s="23"/>
      <c r="E312" s="21"/>
      <c r="F312" s="23"/>
      <c r="G312" s="21"/>
      <c r="H312" s="23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 spans="1:25" ht="21.75" customHeight="1" x14ac:dyDescent="0.6">
      <c r="A313" s="21"/>
      <c r="B313" s="23"/>
      <c r="C313" s="21"/>
      <c r="D313" s="23"/>
      <c r="E313" s="21"/>
      <c r="F313" s="23"/>
      <c r="G313" s="21"/>
      <c r="H313" s="23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spans="1:25" ht="21.75" customHeight="1" x14ac:dyDescent="0.6">
      <c r="A314" s="21"/>
      <c r="B314" s="23"/>
      <c r="C314" s="21"/>
      <c r="D314" s="23"/>
      <c r="E314" s="21"/>
      <c r="F314" s="23"/>
      <c r="G314" s="21"/>
      <c r="H314" s="23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spans="1:25" ht="21.75" customHeight="1" x14ac:dyDescent="0.6">
      <c r="A315" s="21"/>
      <c r="B315" s="23"/>
      <c r="C315" s="21"/>
      <c r="D315" s="23"/>
      <c r="E315" s="21"/>
      <c r="F315" s="23"/>
      <c r="G315" s="21"/>
      <c r="H315" s="23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 spans="1:25" ht="21.75" customHeight="1" x14ac:dyDescent="0.6">
      <c r="A316" s="21"/>
      <c r="B316" s="23"/>
      <c r="C316" s="21"/>
      <c r="D316" s="23"/>
      <c r="E316" s="21"/>
      <c r="F316" s="23"/>
      <c r="G316" s="21"/>
      <c r="H316" s="23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 spans="1:25" ht="21.75" customHeight="1" x14ac:dyDescent="0.6">
      <c r="A317" s="21"/>
      <c r="B317" s="23"/>
      <c r="C317" s="21"/>
      <c r="D317" s="23"/>
      <c r="E317" s="21"/>
      <c r="F317" s="23"/>
      <c r="G317" s="21"/>
      <c r="H317" s="23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 spans="1:25" ht="21.75" customHeight="1" x14ac:dyDescent="0.6">
      <c r="A318" s="21"/>
      <c r="B318" s="23"/>
      <c r="C318" s="21"/>
      <c r="D318" s="23"/>
      <c r="E318" s="21"/>
      <c r="F318" s="23"/>
      <c r="G318" s="21"/>
      <c r="H318" s="23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 spans="1:25" ht="21.75" customHeight="1" x14ac:dyDescent="0.6">
      <c r="A319" s="21"/>
      <c r="B319" s="23"/>
      <c r="C319" s="21"/>
      <c r="D319" s="23"/>
      <c r="E319" s="21"/>
      <c r="F319" s="23"/>
      <c r="G319" s="21"/>
      <c r="H319" s="23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 spans="1:25" ht="21.75" customHeight="1" x14ac:dyDescent="0.6">
      <c r="A320" s="21"/>
      <c r="B320" s="23"/>
      <c r="C320" s="21"/>
      <c r="D320" s="23"/>
      <c r="E320" s="21"/>
      <c r="F320" s="23"/>
      <c r="G320" s="21"/>
      <c r="H320" s="23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spans="1:25" ht="21.75" customHeight="1" x14ac:dyDescent="0.6">
      <c r="A321" s="21"/>
      <c r="B321" s="23"/>
      <c r="C321" s="21"/>
      <c r="D321" s="23"/>
      <c r="E321" s="21"/>
      <c r="F321" s="23"/>
      <c r="G321" s="21"/>
      <c r="H321" s="23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 spans="1:25" ht="21.75" customHeight="1" x14ac:dyDescent="0.6">
      <c r="A322" s="21"/>
      <c r="B322" s="23"/>
      <c r="C322" s="21"/>
      <c r="D322" s="23"/>
      <c r="E322" s="21"/>
      <c r="F322" s="23"/>
      <c r="G322" s="21"/>
      <c r="H322" s="23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 spans="1:25" ht="21.75" customHeight="1" x14ac:dyDescent="0.6">
      <c r="A323" s="21"/>
      <c r="B323" s="23"/>
      <c r="C323" s="21"/>
      <c r="D323" s="23"/>
      <c r="E323" s="21"/>
      <c r="F323" s="23"/>
      <c r="G323" s="21"/>
      <c r="H323" s="23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 spans="1:25" ht="21.75" customHeight="1" x14ac:dyDescent="0.6">
      <c r="A324" s="21"/>
      <c r="B324" s="23"/>
      <c r="C324" s="21"/>
      <c r="D324" s="23"/>
      <c r="E324" s="21"/>
      <c r="F324" s="23"/>
      <c r="G324" s="21"/>
      <c r="H324" s="23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 spans="1:25" ht="21.75" customHeight="1" x14ac:dyDescent="0.6">
      <c r="A325" s="21"/>
      <c r="B325" s="23"/>
      <c r="C325" s="21"/>
      <c r="D325" s="23"/>
      <c r="E325" s="21"/>
      <c r="F325" s="23"/>
      <c r="G325" s="21"/>
      <c r="H325" s="23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 spans="1:25" ht="21.75" customHeight="1" x14ac:dyDescent="0.6">
      <c r="A326" s="21"/>
      <c r="B326" s="23"/>
      <c r="C326" s="21"/>
      <c r="D326" s="23"/>
      <c r="E326" s="21"/>
      <c r="F326" s="23"/>
      <c r="G326" s="21"/>
      <c r="H326" s="23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 spans="1:25" ht="21.75" customHeight="1" x14ac:dyDescent="0.6">
      <c r="A327" s="21"/>
      <c r="B327" s="23"/>
      <c r="C327" s="21"/>
      <c r="D327" s="23"/>
      <c r="E327" s="21"/>
      <c r="F327" s="23"/>
      <c r="G327" s="21"/>
      <c r="H327" s="23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 spans="1:25" ht="21.75" customHeight="1" x14ac:dyDescent="0.6">
      <c r="A328" s="21"/>
      <c r="B328" s="23"/>
      <c r="C328" s="21"/>
      <c r="D328" s="23"/>
      <c r="E328" s="21"/>
      <c r="F328" s="23"/>
      <c r="G328" s="21"/>
      <c r="H328" s="23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 spans="1:25" ht="21.75" customHeight="1" x14ac:dyDescent="0.6">
      <c r="A329" s="21"/>
      <c r="B329" s="23"/>
      <c r="C329" s="21"/>
      <c r="D329" s="23"/>
      <c r="E329" s="21"/>
      <c r="F329" s="23"/>
      <c r="G329" s="21"/>
      <c r="H329" s="23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 spans="1:25" ht="21.75" customHeight="1" x14ac:dyDescent="0.6">
      <c r="A330" s="21"/>
      <c r="B330" s="23"/>
      <c r="C330" s="21"/>
      <c r="D330" s="23"/>
      <c r="E330" s="21"/>
      <c r="F330" s="23"/>
      <c r="G330" s="21"/>
      <c r="H330" s="23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 spans="1:25" ht="21.75" customHeight="1" x14ac:dyDescent="0.6">
      <c r="A331" s="21"/>
      <c r="B331" s="23"/>
      <c r="C331" s="21"/>
      <c r="D331" s="23"/>
      <c r="E331" s="21"/>
      <c r="F331" s="23"/>
      <c r="G331" s="21"/>
      <c r="H331" s="23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 spans="1:25" ht="21.75" customHeight="1" x14ac:dyDescent="0.6">
      <c r="A332" s="21"/>
      <c r="B332" s="23"/>
      <c r="C332" s="21"/>
      <c r="D332" s="23"/>
      <c r="E332" s="21"/>
      <c r="F332" s="23"/>
      <c r="G332" s="21"/>
      <c r="H332" s="23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 spans="1:25" ht="21.75" customHeight="1" x14ac:dyDescent="0.6">
      <c r="A333" s="21"/>
      <c r="B333" s="23"/>
      <c r="C333" s="21"/>
      <c r="D333" s="23"/>
      <c r="E333" s="21"/>
      <c r="F333" s="23"/>
      <c r="G333" s="21"/>
      <c r="H333" s="23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 spans="1:25" ht="21.75" customHeight="1" x14ac:dyDescent="0.6">
      <c r="A334" s="21"/>
      <c r="B334" s="23"/>
      <c r="C334" s="21"/>
      <c r="D334" s="23"/>
      <c r="E334" s="21"/>
      <c r="F334" s="23"/>
      <c r="G334" s="21"/>
      <c r="H334" s="23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 spans="1:25" ht="21.75" customHeight="1" x14ac:dyDescent="0.6">
      <c r="A335" s="21"/>
      <c r="B335" s="23"/>
      <c r="C335" s="21"/>
      <c r="D335" s="23"/>
      <c r="E335" s="21"/>
      <c r="F335" s="23"/>
      <c r="G335" s="21"/>
      <c r="H335" s="23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 spans="1:25" ht="21.75" customHeight="1" x14ac:dyDescent="0.6">
      <c r="A336" s="21"/>
      <c r="B336" s="23"/>
      <c r="C336" s="21"/>
      <c r="D336" s="23"/>
      <c r="E336" s="21"/>
      <c r="F336" s="23"/>
      <c r="G336" s="21"/>
      <c r="H336" s="23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 spans="1:25" ht="21.75" customHeight="1" x14ac:dyDescent="0.6">
      <c r="A337" s="21"/>
      <c r="B337" s="23"/>
      <c r="C337" s="21"/>
      <c r="D337" s="23"/>
      <c r="E337" s="21"/>
      <c r="F337" s="23"/>
      <c r="G337" s="21"/>
      <c r="H337" s="23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 spans="1:25" ht="21.75" customHeight="1" x14ac:dyDescent="0.6">
      <c r="A338" s="21"/>
      <c r="B338" s="23"/>
      <c r="C338" s="21"/>
      <c r="D338" s="23"/>
      <c r="E338" s="21"/>
      <c r="F338" s="23"/>
      <c r="G338" s="21"/>
      <c r="H338" s="23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 spans="1:25" ht="21.75" customHeight="1" x14ac:dyDescent="0.6">
      <c r="A339" s="21"/>
      <c r="B339" s="23"/>
      <c r="C339" s="21"/>
      <c r="D339" s="23"/>
      <c r="E339" s="21"/>
      <c r="F339" s="23"/>
      <c r="G339" s="21"/>
      <c r="H339" s="23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 spans="1:25" ht="21.75" customHeight="1" x14ac:dyDescent="0.6">
      <c r="A340" s="21"/>
      <c r="B340" s="23"/>
      <c r="C340" s="21"/>
      <c r="D340" s="23"/>
      <c r="E340" s="21"/>
      <c r="F340" s="23"/>
      <c r="G340" s="21"/>
      <c r="H340" s="23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 spans="1:25" ht="21.75" customHeight="1" x14ac:dyDescent="0.6">
      <c r="A341" s="21"/>
      <c r="B341" s="23"/>
      <c r="C341" s="21"/>
      <c r="D341" s="23"/>
      <c r="E341" s="21"/>
      <c r="F341" s="23"/>
      <c r="G341" s="21"/>
      <c r="H341" s="23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 spans="1:25" ht="21.75" customHeight="1" x14ac:dyDescent="0.6">
      <c r="A342" s="21"/>
      <c r="B342" s="23"/>
      <c r="C342" s="21"/>
      <c r="D342" s="23"/>
      <c r="E342" s="21"/>
      <c r="F342" s="23"/>
      <c r="G342" s="21"/>
      <c r="H342" s="23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 spans="1:25" ht="21.75" customHeight="1" x14ac:dyDescent="0.6">
      <c r="A343" s="21"/>
      <c r="B343" s="23"/>
      <c r="C343" s="21"/>
      <c r="D343" s="23"/>
      <c r="E343" s="21"/>
      <c r="F343" s="23"/>
      <c r="G343" s="21"/>
      <c r="H343" s="23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 spans="1:25" ht="21.75" customHeight="1" x14ac:dyDescent="0.6">
      <c r="A344" s="21"/>
      <c r="B344" s="23"/>
      <c r="C344" s="21"/>
      <c r="D344" s="23"/>
      <c r="E344" s="21"/>
      <c r="F344" s="23"/>
      <c r="G344" s="21"/>
      <c r="H344" s="23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 spans="1:25" ht="21.75" customHeight="1" x14ac:dyDescent="0.6">
      <c r="A345" s="21"/>
      <c r="B345" s="23"/>
      <c r="C345" s="21"/>
      <c r="D345" s="23"/>
      <c r="E345" s="21"/>
      <c r="F345" s="23"/>
      <c r="G345" s="21"/>
      <c r="H345" s="23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 spans="1:25" ht="21.75" customHeight="1" x14ac:dyDescent="0.6">
      <c r="A346" s="21"/>
      <c r="B346" s="23"/>
      <c r="C346" s="21"/>
      <c r="D346" s="23"/>
      <c r="E346" s="21"/>
      <c r="F346" s="23"/>
      <c r="G346" s="21"/>
      <c r="H346" s="23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 spans="1:25" ht="21.75" customHeight="1" x14ac:dyDescent="0.6">
      <c r="A347" s="21"/>
      <c r="B347" s="23"/>
      <c r="C347" s="21"/>
      <c r="D347" s="23"/>
      <c r="E347" s="21"/>
      <c r="F347" s="23"/>
      <c r="G347" s="21"/>
      <c r="H347" s="23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 spans="1:25" ht="21.75" customHeight="1" x14ac:dyDescent="0.6">
      <c r="A348" s="21"/>
      <c r="B348" s="23"/>
      <c r="C348" s="21"/>
      <c r="D348" s="23"/>
      <c r="E348" s="21"/>
      <c r="F348" s="23"/>
      <c r="G348" s="21"/>
      <c r="H348" s="23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 spans="1:25" ht="21.75" customHeight="1" x14ac:dyDescent="0.6">
      <c r="A349" s="21"/>
      <c r="B349" s="23"/>
      <c r="C349" s="21"/>
      <c r="D349" s="23"/>
      <c r="E349" s="21"/>
      <c r="F349" s="23"/>
      <c r="G349" s="21"/>
      <c r="H349" s="23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 spans="1:25" ht="21.75" customHeight="1" x14ac:dyDescent="0.6">
      <c r="A350" s="21"/>
      <c r="B350" s="23"/>
      <c r="C350" s="21"/>
      <c r="D350" s="23"/>
      <c r="E350" s="21"/>
      <c r="F350" s="23"/>
      <c r="G350" s="21"/>
      <c r="H350" s="23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 spans="1:25" ht="21.75" customHeight="1" x14ac:dyDescent="0.6">
      <c r="A351" s="21"/>
      <c r="B351" s="23"/>
      <c r="C351" s="21"/>
      <c r="D351" s="23"/>
      <c r="E351" s="21"/>
      <c r="F351" s="23"/>
      <c r="G351" s="21"/>
      <c r="H351" s="23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 spans="1:25" ht="21.75" customHeight="1" x14ac:dyDescent="0.6">
      <c r="A352" s="21"/>
      <c r="B352" s="23"/>
      <c r="C352" s="21"/>
      <c r="D352" s="23"/>
      <c r="E352" s="21"/>
      <c r="F352" s="23"/>
      <c r="G352" s="21"/>
      <c r="H352" s="23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 spans="1:25" ht="21.75" customHeight="1" x14ac:dyDescent="0.6">
      <c r="A353" s="21"/>
      <c r="B353" s="23"/>
      <c r="C353" s="21"/>
      <c r="D353" s="23"/>
      <c r="E353" s="21"/>
      <c r="F353" s="23"/>
      <c r="G353" s="21"/>
      <c r="H353" s="23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 spans="1:25" ht="21.75" customHeight="1" x14ac:dyDescent="0.6">
      <c r="A354" s="21"/>
      <c r="B354" s="23"/>
      <c r="C354" s="21"/>
      <c r="D354" s="23"/>
      <c r="E354" s="21"/>
      <c r="F354" s="23"/>
      <c r="G354" s="21"/>
      <c r="H354" s="23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 spans="1:25" ht="21.75" customHeight="1" x14ac:dyDescent="0.6">
      <c r="A355" s="21"/>
      <c r="B355" s="23"/>
      <c r="C355" s="21"/>
      <c r="D355" s="23"/>
      <c r="E355" s="21"/>
      <c r="F355" s="23"/>
      <c r="G355" s="21"/>
      <c r="H355" s="23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 spans="1:25" ht="21.75" customHeight="1" x14ac:dyDescent="0.6">
      <c r="A356" s="21"/>
      <c r="B356" s="23"/>
      <c r="C356" s="21"/>
      <c r="D356" s="23"/>
      <c r="E356" s="21"/>
      <c r="F356" s="23"/>
      <c r="G356" s="21"/>
      <c r="H356" s="23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 spans="1:25" ht="21.75" customHeight="1" x14ac:dyDescent="0.6">
      <c r="A357" s="21"/>
      <c r="B357" s="23"/>
      <c r="C357" s="21"/>
      <c r="D357" s="23"/>
      <c r="E357" s="21"/>
      <c r="F357" s="23"/>
      <c r="G357" s="21"/>
      <c r="H357" s="23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 spans="1:25" ht="21.75" customHeight="1" x14ac:dyDescent="0.6">
      <c r="A358" s="21"/>
      <c r="B358" s="23"/>
      <c r="C358" s="21"/>
      <c r="D358" s="23"/>
      <c r="E358" s="21"/>
      <c r="F358" s="23"/>
      <c r="G358" s="21"/>
      <c r="H358" s="23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 spans="1:25" ht="21.75" customHeight="1" x14ac:dyDescent="0.6">
      <c r="A359" s="21"/>
      <c r="B359" s="23"/>
      <c r="C359" s="21"/>
      <c r="D359" s="23"/>
      <c r="E359" s="21"/>
      <c r="F359" s="23"/>
      <c r="G359" s="21"/>
      <c r="H359" s="23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 spans="1:25" ht="21.75" customHeight="1" x14ac:dyDescent="0.6">
      <c r="A360" s="21"/>
      <c r="B360" s="23"/>
      <c r="C360" s="21"/>
      <c r="D360" s="23"/>
      <c r="E360" s="21"/>
      <c r="F360" s="23"/>
      <c r="G360" s="21"/>
      <c r="H360" s="23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 spans="1:25" ht="21.75" customHeight="1" x14ac:dyDescent="0.6">
      <c r="A361" s="21"/>
      <c r="B361" s="23"/>
      <c r="C361" s="21"/>
      <c r="D361" s="23"/>
      <c r="E361" s="21"/>
      <c r="F361" s="23"/>
      <c r="G361" s="21"/>
      <c r="H361" s="23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 spans="1:25" ht="21.75" customHeight="1" x14ac:dyDescent="0.6">
      <c r="A362" s="21"/>
      <c r="B362" s="23"/>
      <c r="C362" s="21"/>
      <c r="D362" s="23"/>
      <c r="E362" s="21"/>
      <c r="F362" s="23"/>
      <c r="G362" s="21"/>
      <c r="H362" s="23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 spans="1:25" ht="21.75" customHeight="1" x14ac:dyDescent="0.6">
      <c r="A363" s="21"/>
      <c r="B363" s="23"/>
      <c r="C363" s="21"/>
      <c r="D363" s="23"/>
      <c r="E363" s="21"/>
      <c r="F363" s="23"/>
      <c r="G363" s="21"/>
      <c r="H363" s="23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 spans="1:25" ht="21.75" customHeight="1" x14ac:dyDescent="0.6">
      <c r="A364" s="21"/>
      <c r="B364" s="23"/>
      <c r="C364" s="21"/>
      <c r="D364" s="23"/>
      <c r="E364" s="21"/>
      <c r="F364" s="23"/>
      <c r="G364" s="21"/>
      <c r="H364" s="23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 spans="1:25" ht="21.75" customHeight="1" x14ac:dyDescent="0.6">
      <c r="A365" s="21"/>
      <c r="B365" s="23"/>
      <c r="C365" s="21"/>
      <c r="D365" s="23"/>
      <c r="E365" s="21"/>
      <c r="F365" s="23"/>
      <c r="G365" s="21"/>
      <c r="H365" s="23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 spans="1:25" ht="21.75" customHeight="1" x14ac:dyDescent="0.6">
      <c r="A366" s="21"/>
      <c r="B366" s="23"/>
      <c r="C366" s="21"/>
      <c r="D366" s="23"/>
      <c r="E366" s="21"/>
      <c r="F366" s="23"/>
      <c r="G366" s="21"/>
      <c r="H366" s="23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 spans="1:25" ht="21.75" customHeight="1" x14ac:dyDescent="0.6">
      <c r="A367" s="21"/>
      <c r="B367" s="23"/>
      <c r="C367" s="21"/>
      <c r="D367" s="23"/>
      <c r="E367" s="21"/>
      <c r="F367" s="23"/>
      <c r="G367" s="21"/>
      <c r="H367" s="23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 spans="1:25" ht="21.75" customHeight="1" x14ac:dyDescent="0.6">
      <c r="A368" s="21"/>
      <c r="B368" s="23"/>
      <c r="C368" s="21"/>
      <c r="D368" s="23"/>
      <c r="E368" s="21"/>
      <c r="F368" s="23"/>
      <c r="G368" s="21"/>
      <c r="H368" s="23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 spans="1:25" ht="21.75" customHeight="1" x14ac:dyDescent="0.6">
      <c r="A369" s="21"/>
      <c r="B369" s="23"/>
      <c r="C369" s="21"/>
      <c r="D369" s="23"/>
      <c r="E369" s="21"/>
      <c r="F369" s="23"/>
      <c r="G369" s="21"/>
      <c r="H369" s="23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 spans="1:25" ht="21.75" customHeight="1" x14ac:dyDescent="0.6">
      <c r="A370" s="21"/>
      <c r="B370" s="23"/>
      <c r="C370" s="21"/>
      <c r="D370" s="23"/>
      <c r="E370" s="21"/>
      <c r="F370" s="23"/>
      <c r="G370" s="21"/>
      <c r="H370" s="23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 spans="1:25" ht="21.75" customHeight="1" x14ac:dyDescent="0.6">
      <c r="A371" s="21"/>
      <c r="B371" s="23"/>
      <c r="C371" s="21"/>
      <c r="D371" s="23"/>
      <c r="E371" s="21"/>
      <c r="F371" s="23"/>
      <c r="G371" s="21"/>
      <c r="H371" s="23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 spans="1:25" ht="21.75" customHeight="1" x14ac:dyDescent="0.6">
      <c r="A372" s="21"/>
      <c r="B372" s="23"/>
      <c r="C372" s="21"/>
      <c r="D372" s="23"/>
      <c r="E372" s="21"/>
      <c r="F372" s="23"/>
      <c r="G372" s="21"/>
      <c r="H372" s="23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 spans="1:25" ht="21.75" customHeight="1" x14ac:dyDescent="0.6">
      <c r="A373" s="21"/>
      <c r="B373" s="23"/>
      <c r="C373" s="21"/>
      <c r="D373" s="23"/>
      <c r="E373" s="21"/>
      <c r="F373" s="23"/>
      <c r="G373" s="21"/>
      <c r="H373" s="23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 spans="1:25" ht="21.75" customHeight="1" x14ac:dyDescent="0.6">
      <c r="A374" s="21"/>
      <c r="B374" s="23"/>
      <c r="C374" s="21"/>
      <c r="D374" s="23"/>
      <c r="E374" s="21"/>
      <c r="F374" s="23"/>
      <c r="G374" s="21"/>
      <c r="H374" s="23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 spans="1:25" ht="21.75" customHeight="1" x14ac:dyDescent="0.6">
      <c r="A375" s="21"/>
      <c r="B375" s="23"/>
      <c r="C375" s="21"/>
      <c r="D375" s="23"/>
      <c r="E375" s="21"/>
      <c r="F375" s="23"/>
      <c r="G375" s="21"/>
      <c r="H375" s="23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 spans="1:25" ht="21.75" customHeight="1" x14ac:dyDescent="0.6">
      <c r="A376" s="21"/>
      <c r="B376" s="23"/>
      <c r="C376" s="21"/>
      <c r="D376" s="23"/>
      <c r="E376" s="21"/>
      <c r="F376" s="23"/>
      <c r="G376" s="21"/>
      <c r="H376" s="23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 spans="1:25" ht="21.75" customHeight="1" x14ac:dyDescent="0.6">
      <c r="A377" s="21"/>
      <c r="B377" s="23"/>
      <c r="C377" s="21"/>
      <c r="D377" s="23"/>
      <c r="E377" s="21"/>
      <c r="F377" s="23"/>
      <c r="G377" s="21"/>
      <c r="H377" s="23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 spans="1:25" ht="21.75" customHeight="1" x14ac:dyDescent="0.6">
      <c r="A378" s="21"/>
      <c r="B378" s="23"/>
      <c r="C378" s="21"/>
      <c r="D378" s="23"/>
      <c r="E378" s="21"/>
      <c r="F378" s="23"/>
      <c r="G378" s="21"/>
      <c r="H378" s="23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 spans="1:25" ht="21.75" customHeight="1" x14ac:dyDescent="0.6">
      <c r="A379" s="21"/>
      <c r="B379" s="23"/>
      <c r="C379" s="21"/>
      <c r="D379" s="23"/>
      <c r="E379" s="21"/>
      <c r="F379" s="23"/>
      <c r="G379" s="21"/>
      <c r="H379" s="23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 spans="1:25" ht="21.75" customHeight="1" x14ac:dyDescent="0.6">
      <c r="A380" s="21"/>
      <c r="B380" s="23"/>
      <c r="C380" s="21"/>
      <c r="D380" s="23"/>
      <c r="E380" s="21"/>
      <c r="F380" s="23"/>
      <c r="G380" s="21"/>
      <c r="H380" s="23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 spans="1:25" ht="21.75" customHeight="1" x14ac:dyDescent="0.6">
      <c r="A381" s="21"/>
      <c r="B381" s="23"/>
      <c r="C381" s="21"/>
      <c r="D381" s="23"/>
      <c r="E381" s="21"/>
      <c r="F381" s="23"/>
      <c r="G381" s="21"/>
      <c r="H381" s="23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 spans="1:25" ht="21.75" customHeight="1" x14ac:dyDescent="0.6">
      <c r="A382" s="21"/>
      <c r="B382" s="23"/>
      <c r="C382" s="21"/>
      <c r="D382" s="23"/>
      <c r="E382" s="21"/>
      <c r="F382" s="23"/>
      <c r="G382" s="21"/>
      <c r="H382" s="23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 spans="1:25" ht="21.75" customHeight="1" x14ac:dyDescent="0.6">
      <c r="A383" s="21"/>
      <c r="B383" s="23"/>
      <c r="C383" s="21"/>
      <c r="D383" s="23"/>
      <c r="E383" s="21"/>
      <c r="F383" s="23"/>
      <c r="G383" s="21"/>
      <c r="H383" s="23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 spans="1:25" ht="21.75" customHeight="1" x14ac:dyDescent="0.6">
      <c r="A384" s="21"/>
      <c r="B384" s="23"/>
      <c r="C384" s="21"/>
      <c r="D384" s="23"/>
      <c r="E384" s="21"/>
      <c r="F384" s="23"/>
      <c r="G384" s="21"/>
      <c r="H384" s="23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 spans="1:25" ht="21.75" customHeight="1" x14ac:dyDescent="0.6">
      <c r="A385" s="21"/>
      <c r="B385" s="23"/>
      <c r="C385" s="21"/>
      <c r="D385" s="23"/>
      <c r="E385" s="21"/>
      <c r="F385" s="23"/>
      <c r="G385" s="21"/>
      <c r="H385" s="23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 spans="1:25" ht="21.75" customHeight="1" x14ac:dyDescent="0.6">
      <c r="A386" s="21"/>
      <c r="B386" s="23"/>
      <c r="C386" s="21"/>
      <c r="D386" s="23"/>
      <c r="E386" s="21"/>
      <c r="F386" s="23"/>
      <c r="G386" s="21"/>
      <c r="H386" s="23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 spans="1:25" ht="21.75" customHeight="1" x14ac:dyDescent="0.6">
      <c r="A387" s="21"/>
      <c r="B387" s="23"/>
      <c r="C387" s="21"/>
      <c r="D387" s="23"/>
      <c r="E387" s="21"/>
      <c r="F387" s="23"/>
      <c r="G387" s="21"/>
      <c r="H387" s="23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 spans="1:25" ht="21.75" customHeight="1" x14ac:dyDescent="0.6">
      <c r="A388" s="21"/>
      <c r="B388" s="23"/>
      <c r="C388" s="21"/>
      <c r="D388" s="23"/>
      <c r="E388" s="21"/>
      <c r="F388" s="23"/>
      <c r="G388" s="21"/>
      <c r="H388" s="23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 spans="1:25" ht="21.75" customHeight="1" x14ac:dyDescent="0.6">
      <c r="A389" s="21"/>
      <c r="B389" s="23"/>
      <c r="C389" s="21"/>
      <c r="D389" s="23"/>
      <c r="E389" s="21"/>
      <c r="F389" s="23"/>
      <c r="G389" s="21"/>
      <c r="H389" s="23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 spans="1:25" ht="21.75" customHeight="1" x14ac:dyDescent="0.6">
      <c r="A390" s="21"/>
      <c r="B390" s="23"/>
      <c r="C390" s="21"/>
      <c r="D390" s="23"/>
      <c r="E390" s="21"/>
      <c r="F390" s="23"/>
      <c r="G390" s="21"/>
      <c r="H390" s="23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 spans="1:25" ht="21.75" customHeight="1" x14ac:dyDescent="0.6">
      <c r="A391" s="21"/>
      <c r="B391" s="23"/>
      <c r="C391" s="21"/>
      <c r="D391" s="23"/>
      <c r="E391" s="21"/>
      <c r="F391" s="23"/>
      <c r="G391" s="21"/>
      <c r="H391" s="23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 spans="1:25" ht="21.75" customHeight="1" x14ac:dyDescent="0.6">
      <c r="A392" s="21"/>
      <c r="B392" s="23"/>
      <c r="C392" s="21"/>
      <c r="D392" s="23"/>
      <c r="E392" s="21"/>
      <c r="F392" s="23"/>
      <c r="G392" s="21"/>
      <c r="H392" s="23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 spans="1:25" ht="21.75" customHeight="1" x14ac:dyDescent="0.6">
      <c r="A393" s="21"/>
      <c r="B393" s="23"/>
      <c r="C393" s="21"/>
      <c r="D393" s="23"/>
      <c r="E393" s="21"/>
      <c r="F393" s="23"/>
      <c r="G393" s="21"/>
      <c r="H393" s="23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 spans="1:25" ht="21.75" customHeight="1" x14ac:dyDescent="0.6">
      <c r="A394" s="21"/>
      <c r="B394" s="23"/>
      <c r="C394" s="21"/>
      <c r="D394" s="23"/>
      <c r="E394" s="21"/>
      <c r="F394" s="23"/>
      <c r="G394" s="21"/>
      <c r="H394" s="23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 spans="1:25" ht="21.75" customHeight="1" x14ac:dyDescent="0.6">
      <c r="A395" s="21"/>
      <c r="B395" s="23"/>
      <c r="C395" s="21"/>
      <c r="D395" s="23"/>
      <c r="E395" s="21"/>
      <c r="F395" s="23"/>
      <c r="G395" s="21"/>
      <c r="H395" s="23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 spans="1:25" ht="21.75" customHeight="1" x14ac:dyDescent="0.6">
      <c r="A396" s="21"/>
      <c r="B396" s="23"/>
      <c r="C396" s="21"/>
      <c r="D396" s="23"/>
      <c r="E396" s="21"/>
      <c r="F396" s="23"/>
      <c r="G396" s="21"/>
      <c r="H396" s="23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 spans="1:25" ht="21.75" customHeight="1" x14ac:dyDescent="0.6">
      <c r="A397" s="21"/>
      <c r="B397" s="23"/>
      <c r="C397" s="21"/>
      <c r="D397" s="23"/>
      <c r="E397" s="21"/>
      <c r="F397" s="23"/>
      <c r="G397" s="21"/>
      <c r="H397" s="23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 spans="1:25" ht="21.75" customHeight="1" x14ac:dyDescent="0.6">
      <c r="A398" s="21"/>
      <c r="B398" s="23"/>
      <c r="C398" s="21"/>
      <c r="D398" s="23"/>
      <c r="E398" s="21"/>
      <c r="F398" s="23"/>
      <c r="G398" s="21"/>
      <c r="H398" s="23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 spans="1:25" ht="21.75" customHeight="1" x14ac:dyDescent="0.6">
      <c r="A399" s="21"/>
      <c r="B399" s="23"/>
      <c r="C399" s="21"/>
      <c r="D399" s="23"/>
      <c r="E399" s="21"/>
      <c r="F399" s="23"/>
      <c r="G399" s="21"/>
      <c r="H399" s="23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 spans="1:25" ht="21.75" customHeight="1" x14ac:dyDescent="0.6">
      <c r="A400" s="21"/>
      <c r="B400" s="23"/>
      <c r="C400" s="21"/>
      <c r="D400" s="23"/>
      <c r="E400" s="21"/>
      <c r="F400" s="23"/>
      <c r="G400" s="21"/>
      <c r="H400" s="23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 spans="1:25" ht="21.75" customHeight="1" x14ac:dyDescent="0.6">
      <c r="A401" s="21"/>
      <c r="B401" s="23"/>
      <c r="C401" s="21"/>
      <c r="D401" s="23"/>
      <c r="E401" s="21"/>
      <c r="F401" s="23"/>
      <c r="G401" s="21"/>
      <c r="H401" s="23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 spans="1:25" ht="21.75" customHeight="1" x14ac:dyDescent="0.6">
      <c r="A402" s="21"/>
      <c r="B402" s="23"/>
      <c r="C402" s="21"/>
      <c r="D402" s="23"/>
      <c r="E402" s="21"/>
      <c r="F402" s="23"/>
      <c r="G402" s="21"/>
      <c r="H402" s="23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 spans="1:25" ht="21.75" customHeight="1" x14ac:dyDescent="0.6">
      <c r="A403" s="21"/>
      <c r="B403" s="23"/>
      <c r="C403" s="21"/>
      <c r="D403" s="23"/>
      <c r="E403" s="21"/>
      <c r="F403" s="23"/>
      <c r="G403" s="21"/>
      <c r="H403" s="23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 spans="1:25" ht="21.75" customHeight="1" x14ac:dyDescent="0.6">
      <c r="A404" s="21"/>
      <c r="B404" s="23"/>
      <c r="C404" s="21"/>
      <c r="D404" s="23"/>
      <c r="E404" s="21"/>
      <c r="F404" s="23"/>
      <c r="G404" s="21"/>
      <c r="H404" s="23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 spans="1:25" ht="21.75" customHeight="1" x14ac:dyDescent="0.6">
      <c r="A405" s="21"/>
      <c r="B405" s="23"/>
      <c r="C405" s="21"/>
      <c r="D405" s="23"/>
      <c r="E405" s="21"/>
      <c r="F405" s="23"/>
      <c r="G405" s="21"/>
      <c r="H405" s="23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 spans="1:25" ht="21.75" customHeight="1" x14ac:dyDescent="0.6">
      <c r="A406" s="21"/>
      <c r="B406" s="23"/>
      <c r="C406" s="21"/>
      <c r="D406" s="23"/>
      <c r="E406" s="21"/>
      <c r="F406" s="23"/>
      <c r="G406" s="21"/>
      <c r="H406" s="23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 spans="1:25" ht="21.75" customHeight="1" x14ac:dyDescent="0.6">
      <c r="A407" s="21"/>
      <c r="B407" s="23"/>
      <c r="C407" s="21"/>
      <c r="D407" s="23"/>
      <c r="E407" s="21"/>
      <c r="F407" s="23"/>
      <c r="G407" s="21"/>
      <c r="H407" s="23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 spans="1:25" ht="21.75" customHeight="1" x14ac:dyDescent="0.6">
      <c r="A408" s="21"/>
      <c r="B408" s="23"/>
      <c r="C408" s="21"/>
      <c r="D408" s="23"/>
      <c r="E408" s="21"/>
      <c r="F408" s="23"/>
      <c r="G408" s="21"/>
      <c r="H408" s="23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 spans="1:25" ht="21.75" customHeight="1" x14ac:dyDescent="0.6">
      <c r="A409" s="21"/>
      <c r="B409" s="23"/>
      <c r="C409" s="21"/>
      <c r="D409" s="23"/>
      <c r="E409" s="21"/>
      <c r="F409" s="23"/>
      <c r="G409" s="21"/>
      <c r="H409" s="23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 spans="1:25" ht="21.75" customHeight="1" x14ac:dyDescent="0.6">
      <c r="A410" s="21"/>
      <c r="B410" s="23"/>
      <c r="C410" s="21"/>
      <c r="D410" s="23"/>
      <c r="E410" s="21"/>
      <c r="F410" s="23"/>
      <c r="G410" s="21"/>
      <c r="H410" s="23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 spans="1:25" ht="21.75" customHeight="1" x14ac:dyDescent="0.6">
      <c r="A411" s="21"/>
      <c r="B411" s="23"/>
      <c r="C411" s="21"/>
      <c r="D411" s="23"/>
      <c r="E411" s="21"/>
      <c r="F411" s="23"/>
      <c r="G411" s="21"/>
      <c r="H411" s="23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 spans="1:25" ht="21.75" customHeight="1" x14ac:dyDescent="0.6">
      <c r="A412" s="21"/>
      <c r="B412" s="23"/>
      <c r="C412" s="21"/>
      <c r="D412" s="23"/>
      <c r="E412" s="21"/>
      <c r="F412" s="23"/>
      <c r="G412" s="21"/>
      <c r="H412" s="23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 spans="1:25" ht="21.75" customHeight="1" x14ac:dyDescent="0.6">
      <c r="A413" s="21"/>
      <c r="B413" s="23"/>
      <c r="C413" s="21"/>
      <c r="D413" s="23"/>
      <c r="E413" s="21"/>
      <c r="F413" s="23"/>
      <c r="G413" s="21"/>
      <c r="H413" s="23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 spans="1:25" ht="21.75" customHeight="1" x14ac:dyDescent="0.6">
      <c r="A414" s="21"/>
      <c r="B414" s="23"/>
      <c r="C414" s="21"/>
      <c r="D414" s="23"/>
      <c r="E414" s="21"/>
      <c r="F414" s="23"/>
      <c r="G414" s="21"/>
      <c r="H414" s="23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 spans="1:25" ht="21.75" customHeight="1" x14ac:dyDescent="0.6">
      <c r="A415" s="21"/>
      <c r="B415" s="23"/>
      <c r="C415" s="21"/>
      <c r="D415" s="23"/>
      <c r="E415" s="21"/>
      <c r="F415" s="23"/>
      <c r="G415" s="21"/>
      <c r="H415" s="23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 spans="1:25" ht="21.75" customHeight="1" x14ac:dyDescent="0.6">
      <c r="A416" s="21"/>
      <c r="B416" s="23"/>
      <c r="C416" s="21"/>
      <c r="D416" s="23"/>
      <c r="E416" s="21"/>
      <c r="F416" s="23"/>
      <c r="G416" s="21"/>
      <c r="H416" s="23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 spans="1:25" ht="21.75" customHeight="1" x14ac:dyDescent="0.6">
      <c r="A417" s="21"/>
      <c r="B417" s="23"/>
      <c r="C417" s="21"/>
      <c r="D417" s="23"/>
      <c r="E417" s="21"/>
      <c r="F417" s="23"/>
      <c r="G417" s="21"/>
      <c r="H417" s="23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 spans="1:25" ht="21.75" customHeight="1" x14ac:dyDescent="0.6">
      <c r="A418" s="21"/>
      <c r="B418" s="23"/>
      <c r="C418" s="21"/>
      <c r="D418" s="23"/>
      <c r="E418" s="21"/>
      <c r="F418" s="23"/>
      <c r="G418" s="21"/>
      <c r="H418" s="23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 spans="1:25" ht="21.75" customHeight="1" x14ac:dyDescent="0.6">
      <c r="A419" s="21"/>
      <c r="B419" s="23"/>
      <c r="C419" s="21"/>
      <c r="D419" s="23"/>
      <c r="E419" s="21"/>
      <c r="F419" s="23"/>
      <c r="G419" s="21"/>
      <c r="H419" s="23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 spans="1:25" ht="21.75" customHeight="1" x14ac:dyDescent="0.6">
      <c r="A420" s="21"/>
      <c r="B420" s="23"/>
      <c r="C420" s="21"/>
      <c r="D420" s="23"/>
      <c r="E420" s="21"/>
      <c r="F420" s="23"/>
      <c r="G420" s="21"/>
      <c r="H420" s="23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 spans="1:25" ht="21.75" customHeight="1" x14ac:dyDescent="0.6">
      <c r="A421" s="21"/>
      <c r="B421" s="23"/>
      <c r="C421" s="21"/>
      <c r="D421" s="23"/>
      <c r="E421" s="21"/>
      <c r="F421" s="23"/>
      <c r="G421" s="21"/>
      <c r="H421" s="23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 spans="1:25" ht="21.75" customHeight="1" x14ac:dyDescent="0.6">
      <c r="A422" s="21"/>
      <c r="B422" s="23"/>
      <c r="C422" s="21"/>
      <c r="D422" s="23"/>
      <c r="E422" s="21"/>
      <c r="F422" s="23"/>
      <c r="G422" s="21"/>
      <c r="H422" s="23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 spans="1:25" ht="21.75" customHeight="1" x14ac:dyDescent="0.6">
      <c r="A423" s="21"/>
      <c r="B423" s="23"/>
      <c r="C423" s="21"/>
      <c r="D423" s="23"/>
      <c r="E423" s="21"/>
      <c r="F423" s="23"/>
      <c r="G423" s="21"/>
      <c r="H423" s="23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 spans="1:25" ht="21.75" customHeight="1" x14ac:dyDescent="0.6">
      <c r="A424" s="21"/>
      <c r="B424" s="23"/>
      <c r="C424" s="21"/>
      <c r="D424" s="23"/>
      <c r="E424" s="21"/>
      <c r="F424" s="23"/>
      <c r="G424" s="21"/>
      <c r="H424" s="23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 spans="1:25" ht="21.75" customHeight="1" x14ac:dyDescent="0.6">
      <c r="A425" s="21"/>
      <c r="B425" s="23"/>
      <c r="C425" s="21"/>
      <c r="D425" s="23"/>
      <c r="E425" s="21"/>
      <c r="F425" s="23"/>
      <c r="G425" s="21"/>
      <c r="H425" s="23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 spans="1:25" ht="21.75" customHeight="1" x14ac:dyDescent="0.6">
      <c r="A426" s="21"/>
      <c r="B426" s="23"/>
      <c r="C426" s="21"/>
      <c r="D426" s="23"/>
      <c r="E426" s="21"/>
      <c r="F426" s="23"/>
      <c r="G426" s="21"/>
      <c r="H426" s="23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 spans="1:25" ht="21.75" customHeight="1" x14ac:dyDescent="0.6">
      <c r="A427" s="21"/>
      <c r="B427" s="23"/>
      <c r="C427" s="21"/>
      <c r="D427" s="23"/>
      <c r="E427" s="21"/>
      <c r="F427" s="23"/>
      <c r="G427" s="21"/>
      <c r="H427" s="23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 spans="1:25" ht="21.75" customHeight="1" x14ac:dyDescent="0.6">
      <c r="A428" s="21"/>
      <c r="B428" s="23"/>
      <c r="C428" s="21"/>
      <c r="D428" s="23"/>
      <c r="E428" s="21"/>
      <c r="F428" s="23"/>
      <c r="G428" s="21"/>
      <c r="H428" s="23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 spans="1:25" ht="21.75" customHeight="1" x14ac:dyDescent="0.6">
      <c r="A429" s="21"/>
      <c r="B429" s="23"/>
      <c r="C429" s="21"/>
      <c r="D429" s="23"/>
      <c r="E429" s="21"/>
      <c r="F429" s="23"/>
      <c r="G429" s="21"/>
      <c r="H429" s="23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 spans="1:25" ht="21.75" customHeight="1" x14ac:dyDescent="0.6">
      <c r="A430" s="21"/>
      <c r="B430" s="23"/>
      <c r="C430" s="21"/>
      <c r="D430" s="23"/>
      <c r="E430" s="21"/>
      <c r="F430" s="23"/>
      <c r="G430" s="21"/>
      <c r="H430" s="23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 spans="1:25" ht="21.75" customHeight="1" x14ac:dyDescent="0.6">
      <c r="A431" s="21"/>
      <c r="B431" s="23"/>
      <c r="C431" s="21"/>
      <c r="D431" s="23"/>
      <c r="E431" s="21"/>
      <c r="F431" s="23"/>
      <c r="G431" s="21"/>
      <c r="H431" s="23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 spans="1:25" ht="21.75" customHeight="1" x14ac:dyDescent="0.6">
      <c r="A432" s="21"/>
      <c r="B432" s="23"/>
      <c r="C432" s="21"/>
      <c r="D432" s="23"/>
      <c r="E432" s="21"/>
      <c r="F432" s="23"/>
      <c r="G432" s="21"/>
      <c r="H432" s="23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 spans="1:25" ht="21.75" customHeight="1" x14ac:dyDescent="0.6">
      <c r="A433" s="21"/>
      <c r="B433" s="23"/>
      <c r="C433" s="21"/>
      <c r="D433" s="23"/>
      <c r="E433" s="21"/>
      <c r="F433" s="23"/>
      <c r="G433" s="21"/>
      <c r="H433" s="23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 spans="1:25" ht="21.75" customHeight="1" x14ac:dyDescent="0.6">
      <c r="A434" s="21"/>
      <c r="B434" s="23"/>
      <c r="C434" s="21"/>
      <c r="D434" s="23"/>
      <c r="E434" s="21"/>
      <c r="F434" s="23"/>
      <c r="G434" s="21"/>
      <c r="H434" s="23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 spans="1:25" ht="21.75" customHeight="1" x14ac:dyDescent="0.6">
      <c r="A435" s="21"/>
      <c r="B435" s="23"/>
      <c r="C435" s="21"/>
      <c r="D435" s="23"/>
      <c r="E435" s="21"/>
      <c r="F435" s="23"/>
      <c r="G435" s="21"/>
      <c r="H435" s="23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 spans="1:25" ht="21.75" customHeight="1" x14ac:dyDescent="0.6">
      <c r="A436" s="21"/>
      <c r="B436" s="23"/>
      <c r="C436" s="21"/>
      <c r="D436" s="23"/>
      <c r="E436" s="21"/>
      <c r="F436" s="23"/>
      <c r="G436" s="21"/>
      <c r="H436" s="23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 spans="1:25" ht="21.75" customHeight="1" x14ac:dyDescent="0.6">
      <c r="A437" s="21"/>
      <c r="B437" s="23"/>
      <c r="C437" s="21"/>
      <c r="D437" s="23"/>
      <c r="E437" s="21"/>
      <c r="F437" s="23"/>
      <c r="G437" s="21"/>
      <c r="H437" s="23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 spans="1:25" ht="21.75" customHeight="1" x14ac:dyDescent="0.6">
      <c r="A438" s="21"/>
      <c r="B438" s="23"/>
      <c r="C438" s="21"/>
      <c r="D438" s="23"/>
      <c r="E438" s="21"/>
      <c r="F438" s="23"/>
      <c r="G438" s="21"/>
      <c r="H438" s="23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 spans="1:25" ht="21.75" customHeight="1" x14ac:dyDescent="0.6">
      <c r="A439" s="21"/>
      <c r="B439" s="23"/>
      <c r="C439" s="21"/>
      <c r="D439" s="23"/>
      <c r="E439" s="21"/>
      <c r="F439" s="23"/>
      <c r="G439" s="21"/>
      <c r="H439" s="23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 spans="1:25" ht="21.75" customHeight="1" x14ac:dyDescent="0.6">
      <c r="A440" s="21"/>
      <c r="B440" s="23"/>
      <c r="C440" s="21"/>
      <c r="D440" s="23"/>
      <c r="E440" s="21"/>
      <c r="F440" s="23"/>
      <c r="G440" s="21"/>
      <c r="H440" s="23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 spans="1:25" ht="21.75" customHeight="1" x14ac:dyDescent="0.6">
      <c r="A441" s="21"/>
      <c r="B441" s="23"/>
      <c r="C441" s="21"/>
      <c r="D441" s="23"/>
      <c r="E441" s="21"/>
      <c r="F441" s="23"/>
      <c r="G441" s="21"/>
      <c r="H441" s="23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 spans="1:25" ht="21.75" customHeight="1" x14ac:dyDescent="0.6">
      <c r="A442" s="21"/>
      <c r="B442" s="23"/>
      <c r="C442" s="21"/>
      <c r="D442" s="23"/>
      <c r="E442" s="21"/>
      <c r="F442" s="23"/>
      <c r="G442" s="21"/>
      <c r="H442" s="23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 spans="1:25" ht="21.75" customHeight="1" x14ac:dyDescent="0.6">
      <c r="A443" s="21"/>
      <c r="B443" s="23"/>
      <c r="C443" s="21"/>
      <c r="D443" s="23"/>
      <c r="E443" s="21"/>
      <c r="F443" s="23"/>
      <c r="G443" s="21"/>
      <c r="H443" s="23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 spans="1:25" ht="21.75" customHeight="1" x14ac:dyDescent="0.6">
      <c r="A444" s="21"/>
      <c r="B444" s="23"/>
      <c r="C444" s="21"/>
      <c r="D444" s="23"/>
      <c r="E444" s="21"/>
      <c r="F444" s="23"/>
      <c r="G444" s="21"/>
      <c r="H444" s="23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 spans="1:25" ht="21.75" customHeight="1" x14ac:dyDescent="0.6">
      <c r="A445" s="21"/>
      <c r="B445" s="23"/>
      <c r="C445" s="21"/>
      <c r="D445" s="23"/>
      <c r="E445" s="21"/>
      <c r="F445" s="23"/>
      <c r="G445" s="21"/>
      <c r="H445" s="23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 spans="1:25" ht="21.75" customHeight="1" x14ac:dyDescent="0.6">
      <c r="A446" s="21"/>
      <c r="B446" s="23"/>
      <c r="C446" s="21"/>
      <c r="D446" s="23"/>
      <c r="E446" s="21"/>
      <c r="F446" s="23"/>
      <c r="G446" s="21"/>
      <c r="H446" s="23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 spans="1:25" ht="21.75" customHeight="1" x14ac:dyDescent="0.6">
      <c r="A447" s="21"/>
      <c r="B447" s="23"/>
      <c r="C447" s="21"/>
      <c r="D447" s="23"/>
      <c r="E447" s="21"/>
      <c r="F447" s="23"/>
      <c r="G447" s="21"/>
      <c r="H447" s="23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 spans="1:25" ht="21.75" customHeight="1" x14ac:dyDescent="0.6">
      <c r="A448" s="21"/>
      <c r="B448" s="23"/>
      <c r="C448" s="21"/>
      <c r="D448" s="23"/>
      <c r="E448" s="21"/>
      <c r="F448" s="23"/>
      <c r="G448" s="21"/>
      <c r="H448" s="23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 spans="1:25" ht="21.75" customHeight="1" x14ac:dyDescent="0.6">
      <c r="A449" s="21"/>
      <c r="B449" s="23"/>
      <c r="C449" s="21"/>
      <c r="D449" s="23"/>
      <c r="E449" s="21"/>
      <c r="F449" s="23"/>
      <c r="G449" s="21"/>
      <c r="H449" s="23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 spans="1:25" ht="21.75" customHeight="1" x14ac:dyDescent="0.6">
      <c r="A450" s="21"/>
      <c r="B450" s="23"/>
      <c r="C450" s="21"/>
      <c r="D450" s="23"/>
      <c r="E450" s="21"/>
      <c r="F450" s="23"/>
      <c r="G450" s="21"/>
      <c r="H450" s="23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 spans="1:25" ht="21.75" customHeight="1" x14ac:dyDescent="0.6">
      <c r="A451" s="21"/>
      <c r="B451" s="23"/>
      <c r="C451" s="21"/>
      <c r="D451" s="23"/>
      <c r="E451" s="21"/>
      <c r="F451" s="23"/>
      <c r="G451" s="21"/>
      <c r="H451" s="23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 spans="1:25" ht="21.75" customHeight="1" x14ac:dyDescent="0.6">
      <c r="A452" s="21"/>
      <c r="B452" s="23"/>
      <c r="C452" s="21"/>
      <c r="D452" s="23"/>
      <c r="E452" s="21"/>
      <c r="F452" s="23"/>
      <c r="G452" s="21"/>
      <c r="H452" s="23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 spans="1:25" ht="21.75" customHeight="1" x14ac:dyDescent="0.6">
      <c r="A453" s="21"/>
      <c r="B453" s="23"/>
      <c r="C453" s="21"/>
      <c r="D453" s="23"/>
      <c r="E453" s="21"/>
      <c r="F453" s="23"/>
      <c r="G453" s="21"/>
      <c r="H453" s="23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 spans="1:25" ht="21.75" customHeight="1" x14ac:dyDescent="0.6">
      <c r="A454" s="21"/>
      <c r="B454" s="23"/>
      <c r="C454" s="21"/>
      <c r="D454" s="23"/>
      <c r="E454" s="21"/>
      <c r="F454" s="23"/>
      <c r="G454" s="21"/>
      <c r="H454" s="23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 spans="1:25" ht="21.75" customHeight="1" x14ac:dyDescent="0.6">
      <c r="A455" s="21"/>
      <c r="B455" s="23"/>
      <c r="C455" s="21"/>
      <c r="D455" s="23"/>
      <c r="E455" s="21"/>
      <c r="F455" s="23"/>
      <c r="G455" s="21"/>
      <c r="H455" s="23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 spans="1:25" ht="21.75" customHeight="1" x14ac:dyDescent="0.6">
      <c r="A456" s="21"/>
      <c r="B456" s="23"/>
      <c r="C456" s="21"/>
      <c r="D456" s="23"/>
      <c r="E456" s="21"/>
      <c r="F456" s="23"/>
      <c r="G456" s="21"/>
      <c r="H456" s="23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 spans="1:25" ht="21.75" customHeight="1" x14ac:dyDescent="0.6">
      <c r="A457" s="21"/>
      <c r="B457" s="23"/>
      <c r="C457" s="21"/>
      <c r="D457" s="23"/>
      <c r="E457" s="21"/>
      <c r="F457" s="23"/>
      <c r="G457" s="21"/>
      <c r="H457" s="23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 spans="1:25" ht="21.75" customHeight="1" x14ac:dyDescent="0.6">
      <c r="A458" s="21"/>
      <c r="B458" s="23"/>
      <c r="C458" s="21"/>
      <c r="D458" s="23"/>
      <c r="E458" s="21"/>
      <c r="F458" s="23"/>
      <c r="G458" s="21"/>
      <c r="H458" s="23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 spans="1:25" ht="21.75" customHeight="1" x14ac:dyDescent="0.6">
      <c r="A459" s="21"/>
      <c r="B459" s="23"/>
      <c r="C459" s="21"/>
      <c r="D459" s="23"/>
      <c r="E459" s="21"/>
      <c r="F459" s="23"/>
      <c r="G459" s="21"/>
      <c r="H459" s="23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 spans="1:25" ht="21.75" customHeight="1" x14ac:dyDescent="0.6">
      <c r="A460" s="21"/>
      <c r="B460" s="23"/>
      <c r="C460" s="21"/>
      <c r="D460" s="23"/>
      <c r="E460" s="21"/>
      <c r="F460" s="23"/>
      <c r="G460" s="21"/>
      <c r="H460" s="23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 spans="1:25" ht="21.75" customHeight="1" x14ac:dyDescent="0.6">
      <c r="A461" s="21"/>
      <c r="B461" s="23"/>
      <c r="C461" s="21"/>
      <c r="D461" s="23"/>
      <c r="E461" s="21"/>
      <c r="F461" s="23"/>
      <c r="G461" s="21"/>
      <c r="H461" s="23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 spans="1:25" ht="21.75" customHeight="1" x14ac:dyDescent="0.6">
      <c r="A462" s="21"/>
      <c r="B462" s="23"/>
      <c r="C462" s="21"/>
      <c r="D462" s="23"/>
      <c r="E462" s="21"/>
      <c r="F462" s="23"/>
      <c r="G462" s="21"/>
      <c r="H462" s="23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 spans="1:25" ht="21.75" customHeight="1" x14ac:dyDescent="0.6">
      <c r="A463" s="21"/>
      <c r="B463" s="23"/>
      <c r="C463" s="21"/>
      <c r="D463" s="23"/>
      <c r="E463" s="21"/>
      <c r="F463" s="23"/>
      <c r="G463" s="21"/>
      <c r="H463" s="23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 spans="1:25" ht="21.75" customHeight="1" x14ac:dyDescent="0.6">
      <c r="A464" s="21"/>
      <c r="B464" s="23"/>
      <c r="C464" s="21"/>
      <c r="D464" s="23"/>
      <c r="E464" s="21"/>
      <c r="F464" s="23"/>
      <c r="G464" s="21"/>
      <c r="H464" s="23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 spans="1:25" ht="21.75" customHeight="1" x14ac:dyDescent="0.6">
      <c r="A465" s="21"/>
      <c r="B465" s="23"/>
      <c r="C465" s="21"/>
      <c r="D465" s="23"/>
      <c r="E465" s="21"/>
      <c r="F465" s="23"/>
      <c r="G465" s="21"/>
      <c r="H465" s="23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 spans="1:25" ht="21.75" customHeight="1" x14ac:dyDescent="0.6">
      <c r="A466" s="21"/>
      <c r="B466" s="23"/>
      <c r="C466" s="21"/>
      <c r="D466" s="23"/>
      <c r="E466" s="21"/>
      <c r="F466" s="23"/>
      <c r="G466" s="21"/>
      <c r="H466" s="23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 spans="1:25" ht="21.75" customHeight="1" x14ac:dyDescent="0.6">
      <c r="A467" s="21"/>
      <c r="B467" s="23"/>
      <c r="C467" s="21"/>
      <c r="D467" s="23"/>
      <c r="E467" s="21"/>
      <c r="F467" s="23"/>
      <c r="G467" s="21"/>
      <c r="H467" s="23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 spans="1:25" ht="21.75" customHeight="1" x14ac:dyDescent="0.6">
      <c r="A468" s="21"/>
      <c r="B468" s="23"/>
      <c r="C468" s="21"/>
      <c r="D468" s="23"/>
      <c r="E468" s="21"/>
      <c r="F468" s="23"/>
      <c r="G468" s="21"/>
      <c r="H468" s="23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 spans="1:25" ht="21.75" customHeight="1" x14ac:dyDescent="0.6">
      <c r="A469" s="21"/>
      <c r="B469" s="23"/>
      <c r="C469" s="21"/>
      <c r="D469" s="23"/>
      <c r="E469" s="21"/>
      <c r="F469" s="23"/>
      <c r="G469" s="21"/>
      <c r="H469" s="23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 spans="1:25" ht="21.75" customHeight="1" x14ac:dyDescent="0.6">
      <c r="A470" s="21"/>
      <c r="B470" s="23"/>
      <c r="C470" s="21"/>
      <c r="D470" s="23"/>
      <c r="E470" s="21"/>
      <c r="F470" s="23"/>
      <c r="G470" s="21"/>
      <c r="H470" s="23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 spans="1:25" ht="21.75" customHeight="1" x14ac:dyDescent="0.6">
      <c r="A471" s="21"/>
      <c r="B471" s="23"/>
      <c r="C471" s="21"/>
      <c r="D471" s="23"/>
      <c r="E471" s="21"/>
      <c r="F471" s="23"/>
      <c r="G471" s="21"/>
      <c r="H471" s="23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 spans="1:25" ht="21.75" customHeight="1" x14ac:dyDescent="0.6">
      <c r="A472" s="21"/>
      <c r="B472" s="23"/>
      <c r="C472" s="21"/>
      <c r="D472" s="23"/>
      <c r="E472" s="21"/>
      <c r="F472" s="23"/>
      <c r="G472" s="21"/>
      <c r="H472" s="23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 spans="1:25" ht="21.75" customHeight="1" x14ac:dyDescent="0.6">
      <c r="A473" s="21"/>
      <c r="B473" s="23"/>
      <c r="C473" s="21"/>
      <c r="D473" s="23"/>
      <c r="E473" s="21"/>
      <c r="F473" s="23"/>
      <c r="G473" s="21"/>
      <c r="H473" s="23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 spans="1:25" ht="21.75" customHeight="1" x14ac:dyDescent="0.6">
      <c r="A474" s="21"/>
      <c r="B474" s="23"/>
      <c r="C474" s="21"/>
      <c r="D474" s="23"/>
      <c r="E474" s="21"/>
      <c r="F474" s="23"/>
      <c r="G474" s="21"/>
      <c r="H474" s="23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 spans="1:25" ht="21.75" customHeight="1" x14ac:dyDescent="0.6">
      <c r="A475" s="21"/>
      <c r="B475" s="23"/>
      <c r="C475" s="21"/>
      <c r="D475" s="23"/>
      <c r="E475" s="21"/>
      <c r="F475" s="23"/>
      <c r="G475" s="21"/>
      <c r="H475" s="23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 spans="1:25" ht="21.75" customHeight="1" x14ac:dyDescent="0.6">
      <c r="A476" s="21"/>
      <c r="B476" s="23"/>
      <c r="C476" s="21"/>
      <c r="D476" s="23"/>
      <c r="E476" s="21"/>
      <c r="F476" s="23"/>
      <c r="G476" s="21"/>
      <c r="H476" s="23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 spans="1:25" ht="21.75" customHeight="1" x14ac:dyDescent="0.6">
      <c r="A477" s="21"/>
      <c r="B477" s="23"/>
      <c r="C477" s="21"/>
      <c r="D477" s="23"/>
      <c r="E477" s="21"/>
      <c r="F477" s="23"/>
      <c r="G477" s="21"/>
      <c r="H477" s="23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 spans="1:25" ht="21.75" customHeight="1" x14ac:dyDescent="0.6">
      <c r="A478" s="21"/>
      <c r="B478" s="23"/>
      <c r="C478" s="21"/>
      <c r="D478" s="23"/>
      <c r="E478" s="21"/>
      <c r="F478" s="23"/>
      <c r="G478" s="21"/>
      <c r="H478" s="23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 spans="1:25" ht="21.75" customHeight="1" x14ac:dyDescent="0.6">
      <c r="A479" s="21"/>
      <c r="B479" s="23"/>
      <c r="C479" s="21"/>
      <c r="D479" s="23"/>
      <c r="E479" s="21"/>
      <c r="F479" s="23"/>
      <c r="G479" s="21"/>
      <c r="H479" s="23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 spans="1:25" ht="21.75" customHeight="1" x14ac:dyDescent="0.6">
      <c r="A480" s="21"/>
      <c r="B480" s="23"/>
      <c r="C480" s="21"/>
      <c r="D480" s="23"/>
      <c r="E480" s="21"/>
      <c r="F480" s="23"/>
      <c r="G480" s="21"/>
      <c r="H480" s="23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 spans="1:25" ht="21.75" customHeight="1" x14ac:dyDescent="0.6">
      <c r="A481" s="21"/>
      <c r="B481" s="23"/>
      <c r="C481" s="21"/>
      <c r="D481" s="23"/>
      <c r="E481" s="21"/>
      <c r="F481" s="23"/>
      <c r="G481" s="21"/>
      <c r="H481" s="23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 spans="1:25" ht="21.75" customHeight="1" x14ac:dyDescent="0.6">
      <c r="A482" s="21"/>
      <c r="B482" s="23"/>
      <c r="C482" s="21"/>
      <c r="D482" s="23"/>
      <c r="E482" s="21"/>
      <c r="F482" s="23"/>
      <c r="G482" s="21"/>
      <c r="H482" s="23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 spans="1:25" ht="21.75" customHeight="1" x14ac:dyDescent="0.6">
      <c r="A483" s="21"/>
      <c r="B483" s="23"/>
      <c r="C483" s="21"/>
      <c r="D483" s="23"/>
      <c r="E483" s="21"/>
      <c r="F483" s="23"/>
      <c r="G483" s="21"/>
      <c r="H483" s="23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 spans="1:25" ht="21.75" customHeight="1" x14ac:dyDescent="0.6">
      <c r="A484" s="21"/>
      <c r="B484" s="23"/>
      <c r="C484" s="21"/>
      <c r="D484" s="23"/>
      <c r="E484" s="21"/>
      <c r="F484" s="23"/>
      <c r="G484" s="21"/>
      <c r="H484" s="23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 spans="1:25" ht="21.75" customHeight="1" x14ac:dyDescent="0.6">
      <c r="A485" s="21"/>
      <c r="B485" s="23"/>
      <c r="C485" s="21"/>
      <c r="D485" s="23"/>
      <c r="E485" s="21"/>
      <c r="F485" s="23"/>
      <c r="G485" s="21"/>
      <c r="H485" s="23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 spans="1:25" ht="21.75" customHeight="1" x14ac:dyDescent="0.6">
      <c r="A486" s="21"/>
      <c r="B486" s="23"/>
      <c r="C486" s="21"/>
      <c r="D486" s="23"/>
      <c r="E486" s="21"/>
      <c r="F486" s="23"/>
      <c r="G486" s="21"/>
      <c r="H486" s="23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 spans="1:25" ht="21.75" customHeight="1" x14ac:dyDescent="0.6">
      <c r="A487" s="21"/>
      <c r="B487" s="23"/>
      <c r="C487" s="21"/>
      <c r="D487" s="23"/>
      <c r="E487" s="21"/>
      <c r="F487" s="23"/>
      <c r="G487" s="21"/>
      <c r="H487" s="23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 spans="1:25" ht="21.75" customHeight="1" x14ac:dyDescent="0.6">
      <c r="A488" s="21"/>
      <c r="B488" s="23"/>
      <c r="C488" s="21"/>
      <c r="D488" s="23"/>
      <c r="E488" s="21"/>
      <c r="F488" s="23"/>
      <c r="G488" s="21"/>
      <c r="H488" s="23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 spans="1:25" ht="21.75" customHeight="1" x14ac:dyDescent="0.6">
      <c r="A489" s="21"/>
      <c r="B489" s="23"/>
      <c r="C489" s="21"/>
      <c r="D489" s="23"/>
      <c r="E489" s="21"/>
      <c r="F489" s="23"/>
      <c r="G489" s="21"/>
      <c r="H489" s="23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 spans="1:25" ht="21.75" customHeight="1" x14ac:dyDescent="0.6">
      <c r="A490" s="21"/>
      <c r="B490" s="23"/>
      <c r="C490" s="21"/>
      <c r="D490" s="23"/>
      <c r="E490" s="21"/>
      <c r="F490" s="23"/>
      <c r="G490" s="21"/>
      <c r="H490" s="23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 spans="1:25" ht="21.75" customHeight="1" x14ac:dyDescent="0.6">
      <c r="A491" s="21"/>
      <c r="B491" s="23"/>
      <c r="C491" s="21"/>
      <c r="D491" s="23"/>
      <c r="E491" s="21"/>
      <c r="F491" s="23"/>
      <c r="G491" s="21"/>
      <c r="H491" s="23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 spans="1:25" ht="21.75" customHeight="1" x14ac:dyDescent="0.6">
      <c r="A492" s="21"/>
      <c r="B492" s="23"/>
      <c r="C492" s="21"/>
      <c r="D492" s="23"/>
      <c r="E492" s="21"/>
      <c r="F492" s="23"/>
      <c r="G492" s="21"/>
      <c r="H492" s="23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 spans="1:25" ht="21.75" customHeight="1" x14ac:dyDescent="0.6">
      <c r="A493" s="21"/>
      <c r="B493" s="23"/>
      <c r="C493" s="21"/>
      <c r="D493" s="23"/>
      <c r="E493" s="21"/>
      <c r="F493" s="23"/>
      <c r="G493" s="21"/>
      <c r="H493" s="23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 spans="1:25" ht="21.75" customHeight="1" x14ac:dyDescent="0.6">
      <c r="A494" s="21"/>
      <c r="B494" s="23"/>
      <c r="C494" s="21"/>
      <c r="D494" s="23"/>
      <c r="E494" s="21"/>
      <c r="F494" s="23"/>
      <c r="G494" s="21"/>
      <c r="H494" s="23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 spans="1:25" ht="21.75" customHeight="1" x14ac:dyDescent="0.6">
      <c r="A495" s="21"/>
      <c r="B495" s="23"/>
      <c r="C495" s="21"/>
      <c r="D495" s="23"/>
      <c r="E495" s="21"/>
      <c r="F495" s="23"/>
      <c r="G495" s="21"/>
      <c r="H495" s="23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 spans="1:25" ht="21.75" customHeight="1" x14ac:dyDescent="0.6">
      <c r="A496" s="21"/>
      <c r="B496" s="23"/>
      <c r="C496" s="21"/>
      <c r="D496" s="23"/>
      <c r="E496" s="21"/>
      <c r="F496" s="23"/>
      <c r="G496" s="21"/>
      <c r="H496" s="23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 spans="1:25" ht="21.75" customHeight="1" x14ac:dyDescent="0.6">
      <c r="A497" s="21"/>
      <c r="B497" s="23"/>
      <c r="C497" s="21"/>
      <c r="D497" s="23"/>
      <c r="E497" s="21"/>
      <c r="F497" s="23"/>
      <c r="G497" s="21"/>
      <c r="H497" s="23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 spans="1:25" ht="21.75" customHeight="1" x14ac:dyDescent="0.6">
      <c r="A498" s="21"/>
      <c r="B498" s="23"/>
      <c r="C498" s="21"/>
      <c r="D498" s="23"/>
      <c r="E498" s="21"/>
      <c r="F498" s="23"/>
      <c r="G498" s="21"/>
      <c r="H498" s="23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 spans="1:25" ht="21.75" customHeight="1" x14ac:dyDescent="0.6">
      <c r="A499" s="21"/>
      <c r="B499" s="23"/>
      <c r="C499" s="21"/>
      <c r="D499" s="23"/>
      <c r="E499" s="21"/>
      <c r="F499" s="23"/>
      <c r="G499" s="21"/>
      <c r="H499" s="23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 spans="1:25" ht="21.75" customHeight="1" x14ac:dyDescent="0.6">
      <c r="A500" s="21"/>
      <c r="B500" s="23"/>
      <c r="C500" s="21"/>
      <c r="D500" s="23"/>
      <c r="E500" s="21"/>
      <c r="F500" s="23"/>
      <c r="G500" s="21"/>
      <c r="H500" s="23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 spans="1:25" ht="21.75" customHeight="1" x14ac:dyDescent="0.6">
      <c r="A501" s="21"/>
      <c r="B501" s="23"/>
      <c r="C501" s="21"/>
      <c r="D501" s="23"/>
      <c r="E501" s="21"/>
      <c r="F501" s="23"/>
      <c r="G501" s="21"/>
      <c r="H501" s="23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 spans="1:25" ht="21.75" customHeight="1" x14ac:dyDescent="0.6">
      <c r="A502" s="21"/>
      <c r="B502" s="23"/>
      <c r="C502" s="21"/>
      <c r="D502" s="23"/>
      <c r="E502" s="21"/>
      <c r="F502" s="23"/>
      <c r="G502" s="21"/>
      <c r="H502" s="23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 spans="1:25" ht="21.75" customHeight="1" x14ac:dyDescent="0.6">
      <c r="A503" s="21"/>
      <c r="B503" s="23"/>
      <c r="C503" s="21"/>
      <c r="D503" s="23"/>
      <c r="E503" s="21"/>
      <c r="F503" s="23"/>
      <c r="G503" s="21"/>
      <c r="H503" s="23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 spans="1:25" ht="21.75" customHeight="1" x14ac:dyDescent="0.6">
      <c r="A504" s="21"/>
      <c r="B504" s="23"/>
      <c r="C504" s="21"/>
      <c r="D504" s="23"/>
      <c r="E504" s="21"/>
      <c r="F504" s="23"/>
      <c r="G504" s="21"/>
      <c r="H504" s="23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 spans="1:25" ht="21.75" customHeight="1" x14ac:dyDescent="0.6">
      <c r="A505" s="21"/>
      <c r="B505" s="23"/>
      <c r="C505" s="21"/>
      <c r="D505" s="23"/>
      <c r="E505" s="21"/>
      <c r="F505" s="23"/>
      <c r="G505" s="21"/>
      <c r="H505" s="23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 spans="1:25" ht="21.75" customHeight="1" x14ac:dyDescent="0.6">
      <c r="A506" s="21"/>
      <c r="B506" s="23"/>
      <c r="C506" s="21"/>
      <c r="D506" s="23"/>
      <c r="E506" s="21"/>
      <c r="F506" s="23"/>
      <c r="G506" s="21"/>
      <c r="H506" s="23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 spans="1:25" ht="21.75" customHeight="1" x14ac:dyDescent="0.6">
      <c r="A507" s="21"/>
      <c r="B507" s="23"/>
      <c r="C507" s="21"/>
      <c r="D507" s="23"/>
      <c r="E507" s="21"/>
      <c r="F507" s="23"/>
      <c r="G507" s="21"/>
      <c r="H507" s="23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 spans="1:25" ht="21.75" customHeight="1" x14ac:dyDescent="0.6">
      <c r="A508" s="21"/>
      <c r="B508" s="23"/>
      <c r="C508" s="21"/>
      <c r="D508" s="23"/>
      <c r="E508" s="21"/>
      <c r="F508" s="23"/>
      <c r="G508" s="21"/>
      <c r="H508" s="23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 spans="1:25" ht="21.75" customHeight="1" x14ac:dyDescent="0.6">
      <c r="A509" s="21"/>
      <c r="B509" s="23"/>
      <c r="C509" s="21"/>
      <c r="D509" s="23"/>
      <c r="E509" s="21"/>
      <c r="F509" s="23"/>
      <c r="G509" s="21"/>
      <c r="H509" s="23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 spans="1:25" ht="21.75" customHeight="1" x14ac:dyDescent="0.6">
      <c r="A510" s="21"/>
      <c r="B510" s="23"/>
      <c r="C510" s="21"/>
      <c r="D510" s="23"/>
      <c r="E510" s="21"/>
      <c r="F510" s="23"/>
      <c r="G510" s="21"/>
      <c r="H510" s="23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 spans="1:25" ht="21.75" customHeight="1" x14ac:dyDescent="0.6">
      <c r="A511" s="21"/>
      <c r="B511" s="23"/>
      <c r="C511" s="21"/>
      <c r="D511" s="23"/>
      <c r="E511" s="21"/>
      <c r="F511" s="23"/>
      <c r="G511" s="21"/>
      <c r="H511" s="23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 spans="1:25" ht="21.75" customHeight="1" x14ac:dyDescent="0.6">
      <c r="A512" s="21"/>
      <c r="B512" s="23"/>
      <c r="C512" s="21"/>
      <c r="D512" s="23"/>
      <c r="E512" s="21"/>
      <c r="F512" s="23"/>
      <c r="G512" s="21"/>
      <c r="H512" s="23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 spans="1:25" ht="21.75" customHeight="1" x14ac:dyDescent="0.6">
      <c r="A513" s="21"/>
      <c r="B513" s="23"/>
      <c r="C513" s="21"/>
      <c r="D513" s="23"/>
      <c r="E513" s="21"/>
      <c r="F513" s="23"/>
      <c r="G513" s="21"/>
      <c r="H513" s="23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 spans="1:25" ht="21.75" customHeight="1" x14ac:dyDescent="0.6">
      <c r="A514" s="21"/>
      <c r="B514" s="23"/>
      <c r="C514" s="21"/>
      <c r="D514" s="23"/>
      <c r="E514" s="21"/>
      <c r="F514" s="23"/>
      <c r="G514" s="21"/>
      <c r="H514" s="23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 spans="1:25" ht="21.75" customHeight="1" x14ac:dyDescent="0.6">
      <c r="A515" s="21"/>
      <c r="B515" s="23"/>
      <c r="C515" s="21"/>
      <c r="D515" s="23"/>
      <c r="E515" s="21"/>
      <c r="F515" s="23"/>
      <c r="G515" s="21"/>
      <c r="H515" s="23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 spans="1:25" ht="21.75" customHeight="1" x14ac:dyDescent="0.6">
      <c r="A516" s="21"/>
      <c r="B516" s="23"/>
      <c r="C516" s="21"/>
      <c r="D516" s="23"/>
      <c r="E516" s="21"/>
      <c r="F516" s="23"/>
      <c r="G516" s="21"/>
      <c r="H516" s="23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 spans="1:25" ht="21.75" customHeight="1" x14ac:dyDescent="0.6">
      <c r="A517" s="21"/>
      <c r="B517" s="23"/>
      <c r="C517" s="21"/>
      <c r="D517" s="23"/>
      <c r="E517" s="21"/>
      <c r="F517" s="23"/>
      <c r="G517" s="21"/>
      <c r="H517" s="23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 spans="1:25" ht="21.75" customHeight="1" x14ac:dyDescent="0.6">
      <c r="A518" s="21"/>
      <c r="B518" s="23"/>
      <c r="C518" s="21"/>
      <c r="D518" s="23"/>
      <c r="E518" s="21"/>
      <c r="F518" s="23"/>
      <c r="G518" s="21"/>
      <c r="H518" s="23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 spans="1:25" ht="21.75" customHeight="1" x14ac:dyDescent="0.6">
      <c r="A519" s="21"/>
      <c r="B519" s="23"/>
      <c r="C519" s="21"/>
      <c r="D519" s="23"/>
      <c r="E519" s="21"/>
      <c r="F519" s="23"/>
      <c r="G519" s="21"/>
      <c r="H519" s="23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 spans="1:25" ht="21.75" customHeight="1" x14ac:dyDescent="0.6">
      <c r="A520" s="21"/>
      <c r="B520" s="23"/>
      <c r="C520" s="21"/>
      <c r="D520" s="23"/>
      <c r="E520" s="21"/>
      <c r="F520" s="23"/>
      <c r="G520" s="21"/>
      <c r="H520" s="23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 spans="1:25" ht="21.75" customHeight="1" x14ac:dyDescent="0.6">
      <c r="A521" s="21"/>
      <c r="B521" s="23"/>
      <c r="C521" s="21"/>
      <c r="D521" s="23"/>
      <c r="E521" s="21"/>
      <c r="F521" s="23"/>
      <c r="G521" s="21"/>
      <c r="H521" s="23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 spans="1:25" ht="21.75" customHeight="1" x14ac:dyDescent="0.6">
      <c r="A522" s="21"/>
      <c r="B522" s="23"/>
      <c r="C522" s="21"/>
      <c r="D522" s="23"/>
      <c r="E522" s="21"/>
      <c r="F522" s="23"/>
      <c r="G522" s="21"/>
      <c r="H522" s="23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 spans="1:25" ht="21.75" customHeight="1" x14ac:dyDescent="0.6">
      <c r="A523" s="21"/>
      <c r="B523" s="23"/>
      <c r="C523" s="21"/>
      <c r="D523" s="23"/>
      <c r="E523" s="21"/>
      <c r="F523" s="23"/>
      <c r="G523" s="21"/>
      <c r="H523" s="23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 spans="1:25" ht="21.75" customHeight="1" x14ac:dyDescent="0.6">
      <c r="A524" s="21"/>
      <c r="B524" s="23"/>
      <c r="C524" s="21"/>
      <c r="D524" s="23"/>
      <c r="E524" s="21"/>
      <c r="F524" s="23"/>
      <c r="G524" s="21"/>
      <c r="H524" s="23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 spans="1:25" ht="21.75" customHeight="1" x14ac:dyDescent="0.6">
      <c r="A525" s="21"/>
      <c r="B525" s="23"/>
      <c r="C525" s="21"/>
      <c r="D525" s="23"/>
      <c r="E525" s="21"/>
      <c r="F525" s="23"/>
      <c r="G525" s="21"/>
      <c r="H525" s="23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 spans="1:25" ht="21.75" customHeight="1" x14ac:dyDescent="0.6">
      <c r="A526" s="21"/>
      <c r="B526" s="23"/>
      <c r="C526" s="21"/>
      <c r="D526" s="23"/>
      <c r="E526" s="21"/>
      <c r="F526" s="23"/>
      <c r="G526" s="21"/>
      <c r="H526" s="23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 spans="1:25" ht="21.75" customHeight="1" x14ac:dyDescent="0.6">
      <c r="A527" s="21"/>
      <c r="B527" s="23"/>
      <c r="C527" s="21"/>
      <c r="D527" s="23"/>
      <c r="E527" s="21"/>
      <c r="F527" s="23"/>
      <c r="G527" s="21"/>
      <c r="H527" s="23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 spans="1:25" ht="21.75" customHeight="1" x14ac:dyDescent="0.6">
      <c r="A528" s="21"/>
      <c r="B528" s="23"/>
      <c r="C528" s="21"/>
      <c r="D528" s="23"/>
      <c r="E528" s="21"/>
      <c r="F528" s="23"/>
      <c r="G528" s="21"/>
      <c r="H528" s="23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 spans="1:25" ht="21.75" customHeight="1" x14ac:dyDescent="0.6">
      <c r="A529" s="21"/>
      <c r="B529" s="23"/>
      <c r="C529" s="21"/>
      <c r="D529" s="23"/>
      <c r="E529" s="21"/>
      <c r="F529" s="23"/>
      <c r="G529" s="21"/>
      <c r="H529" s="23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 spans="1:25" ht="21.75" customHeight="1" x14ac:dyDescent="0.6">
      <c r="A530" s="21"/>
      <c r="B530" s="23"/>
      <c r="C530" s="21"/>
      <c r="D530" s="23"/>
      <c r="E530" s="21"/>
      <c r="F530" s="23"/>
      <c r="G530" s="21"/>
      <c r="H530" s="23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 spans="1:25" ht="21.75" customHeight="1" x14ac:dyDescent="0.6">
      <c r="A531" s="21"/>
      <c r="B531" s="23"/>
      <c r="C531" s="21"/>
      <c r="D531" s="23"/>
      <c r="E531" s="21"/>
      <c r="F531" s="23"/>
      <c r="G531" s="21"/>
      <c r="H531" s="23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 spans="1:25" ht="21.75" customHeight="1" x14ac:dyDescent="0.6">
      <c r="A532" s="21"/>
      <c r="B532" s="23"/>
      <c r="C532" s="21"/>
      <c r="D532" s="23"/>
      <c r="E532" s="21"/>
      <c r="F532" s="23"/>
      <c r="G532" s="21"/>
      <c r="H532" s="23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 spans="1:25" ht="21.75" customHeight="1" x14ac:dyDescent="0.6">
      <c r="A533" s="21"/>
      <c r="B533" s="23"/>
      <c r="C533" s="21"/>
      <c r="D533" s="23"/>
      <c r="E533" s="21"/>
      <c r="F533" s="23"/>
      <c r="G533" s="21"/>
      <c r="H533" s="23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 spans="1:25" ht="21.75" customHeight="1" x14ac:dyDescent="0.6">
      <c r="A534" s="21"/>
      <c r="B534" s="23"/>
      <c r="C534" s="21"/>
      <c r="D534" s="23"/>
      <c r="E534" s="21"/>
      <c r="F534" s="23"/>
      <c r="G534" s="21"/>
      <c r="H534" s="23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 spans="1:25" ht="21.75" customHeight="1" x14ac:dyDescent="0.6">
      <c r="A535" s="21"/>
      <c r="B535" s="23"/>
      <c r="C535" s="21"/>
      <c r="D535" s="23"/>
      <c r="E535" s="21"/>
      <c r="F535" s="23"/>
      <c r="G535" s="21"/>
      <c r="H535" s="23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 spans="1:25" ht="21.75" customHeight="1" x14ac:dyDescent="0.6">
      <c r="A536" s="21"/>
      <c r="B536" s="23"/>
      <c r="C536" s="21"/>
      <c r="D536" s="23"/>
      <c r="E536" s="21"/>
      <c r="F536" s="23"/>
      <c r="G536" s="21"/>
      <c r="H536" s="23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 spans="1:25" ht="21.75" customHeight="1" x14ac:dyDescent="0.6">
      <c r="A537" s="21"/>
      <c r="B537" s="23"/>
      <c r="C537" s="21"/>
      <c r="D537" s="23"/>
      <c r="E537" s="21"/>
      <c r="F537" s="23"/>
      <c r="G537" s="21"/>
      <c r="H537" s="23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 spans="1:25" ht="21.75" customHeight="1" x14ac:dyDescent="0.6">
      <c r="A538" s="21"/>
      <c r="B538" s="23"/>
      <c r="C538" s="21"/>
      <c r="D538" s="23"/>
      <c r="E538" s="21"/>
      <c r="F538" s="23"/>
      <c r="G538" s="21"/>
      <c r="H538" s="23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 spans="1:25" ht="21.75" customHeight="1" x14ac:dyDescent="0.6">
      <c r="A539" s="21"/>
      <c r="B539" s="23"/>
      <c r="C539" s="21"/>
      <c r="D539" s="23"/>
      <c r="E539" s="21"/>
      <c r="F539" s="23"/>
      <c r="G539" s="21"/>
      <c r="H539" s="23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 spans="1:25" ht="21.75" customHeight="1" x14ac:dyDescent="0.6">
      <c r="A540" s="21"/>
      <c r="B540" s="23"/>
      <c r="C540" s="21"/>
      <c r="D540" s="23"/>
      <c r="E540" s="21"/>
      <c r="F540" s="23"/>
      <c r="G540" s="21"/>
      <c r="H540" s="23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 spans="1:25" ht="21.75" customHeight="1" x14ac:dyDescent="0.6">
      <c r="A541" s="21"/>
      <c r="B541" s="23"/>
      <c r="C541" s="21"/>
      <c r="D541" s="23"/>
      <c r="E541" s="21"/>
      <c r="F541" s="23"/>
      <c r="G541" s="21"/>
      <c r="H541" s="23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 spans="1:25" ht="21.75" customHeight="1" x14ac:dyDescent="0.6">
      <c r="A542" s="21"/>
      <c r="B542" s="23"/>
      <c r="C542" s="21"/>
      <c r="D542" s="23"/>
      <c r="E542" s="21"/>
      <c r="F542" s="23"/>
      <c r="G542" s="21"/>
      <c r="H542" s="23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 spans="1:25" ht="21.75" customHeight="1" x14ac:dyDescent="0.6">
      <c r="A543" s="21"/>
      <c r="B543" s="23"/>
      <c r="C543" s="21"/>
      <c r="D543" s="23"/>
      <c r="E543" s="21"/>
      <c r="F543" s="23"/>
      <c r="G543" s="21"/>
      <c r="H543" s="23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 spans="1:25" ht="21.75" customHeight="1" x14ac:dyDescent="0.6">
      <c r="A544" s="21"/>
      <c r="B544" s="23"/>
      <c r="C544" s="21"/>
      <c r="D544" s="23"/>
      <c r="E544" s="21"/>
      <c r="F544" s="23"/>
      <c r="G544" s="21"/>
      <c r="H544" s="23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 spans="1:25" ht="21.75" customHeight="1" x14ac:dyDescent="0.6">
      <c r="A545" s="21"/>
      <c r="B545" s="23"/>
      <c r="C545" s="21"/>
      <c r="D545" s="23"/>
      <c r="E545" s="21"/>
      <c r="F545" s="23"/>
      <c r="G545" s="21"/>
      <c r="H545" s="23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 spans="1:25" ht="21.75" customHeight="1" x14ac:dyDescent="0.6">
      <c r="A546" s="21"/>
      <c r="B546" s="23"/>
      <c r="C546" s="21"/>
      <c r="D546" s="23"/>
      <c r="E546" s="21"/>
      <c r="F546" s="23"/>
      <c r="G546" s="21"/>
      <c r="H546" s="23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 spans="1:25" ht="21.75" customHeight="1" x14ac:dyDescent="0.6">
      <c r="A547" s="21"/>
      <c r="B547" s="23"/>
      <c r="C547" s="21"/>
      <c r="D547" s="23"/>
      <c r="E547" s="21"/>
      <c r="F547" s="23"/>
      <c r="G547" s="21"/>
      <c r="H547" s="23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 spans="1:25" ht="21.75" customHeight="1" x14ac:dyDescent="0.6">
      <c r="A548" s="21"/>
      <c r="B548" s="23"/>
      <c r="C548" s="21"/>
      <c r="D548" s="23"/>
      <c r="E548" s="21"/>
      <c r="F548" s="23"/>
      <c r="G548" s="21"/>
      <c r="H548" s="23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 spans="1:25" ht="21.75" customHeight="1" x14ac:dyDescent="0.6">
      <c r="A549" s="21"/>
      <c r="B549" s="23"/>
      <c r="C549" s="21"/>
      <c r="D549" s="23"/>
      <c r="E549" s="21"/>
      <c r="F549" s="23"/>
      <c r="G549" s="21"/>
      <c r="H549" s="23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 spans="1:25" ht="21.75" customHeight="1" x14ac:dyDescent="0.6">
      <c r="A550" s="21"/>
      <c r="B550" s="23"/>
      <c r="C550" s="21"/>
      <c r="D550" s="23"/>
      <c r="E550" s="21"/>
      <c r="F550" s="23"/>
      <c r="G550" s="21"/>
      <c r="H550" s="23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 spans="1:25" ht="21.75" customHeight="1" x14ac:dyDescent="0.6">
      <c r="A551" s="21"/>
      <c r="B551" s="23"/>
      <c r="C551" s="21"/>
      <c r="D551" s="23"/>
      <c r="E551" s="21"/>
      <c r="F551" s="23"/>
      <c r="G551" s="21"/>
      <c r="H551" s="23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 spans="1:25" ht="21.75" customHeight="1" x14ac:dyDescent="0.6">
      <c r="A552" s="21"/>
      <c r="B552" s="23"/>
      <c r="C552" s="21"/>
      <c r="D552" s="23"/>
      <c r="E552" s="21"/>
      <c r="F552" s="23"/>
      <c r="G552" s="21"/>
      <c r="H552" s="23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 spans="1:25" ht="21.75" customHeight="1" x14ac:dyDescent="0.6">
      <c r="A553" s="21"/>
      <c r="B553" s="23"/>
      <c r="C553" s="21"/>
      <c r="D553" s="23"/>
      <c r="E553" s="21"/>
      <c r="F553" s="23"/>
      <c r="G553" s="21"/>
      <c r="H553" s="23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 spans="1:25" ht="21.75" customHeight="1" x14ac:dyDescent="0.6">
      <c r="A554" s="21"/>
      <c r="B554" s="23"/>
      <c r="C554" s="21"/>
      <c r="D554" s="23"/>
      <c r="E554" s="21"/>
      <c r="F554" s="23"/>
      <c r="G554" s="21"/>
      <c r="H554" s="23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 spans="1:25" ht="21.75" customHeight="1" x14ac:dyDescent="0.6">
      <c r="A555" s="21"/>
      <c r="B555" s="23"/>
      <c r="C555" s="21"/>
      <c r="D555" s="23"/>
      <c r="E555" s="21"/>
      <c r="F555" s="23"/>
      <c r="G555" s="21"/>
      <c r="H555" s="23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 spans="1:25" ht="21.75" customHeight="1" x14ac:dyDescent="0.6">
      <c r="A556" s="21"/>
      <c r="B556" s="23"/>
      <c r="C556" s="21"/>
      <c r="D556" s="23"/>
      <c r="E556" s="21"/>
      <c r="F556" s="23"/>
      <c r="G556" s="21"/>
      <c r="H556" s="23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 spans="1:25" ht="21.75" customHeight="1" x14ac:dyDescent="0.6">
      <c r="A557" s="21"/>
      <c r="B557" s="23"/>
      <c r="C557" s="21"/>
      <c r="D557" s="23"/>
      <c r="E557" s="21"/>
      <c r="F557" s="23"/>
      <c r="G557" s="21"/>
      <c r="H557" s="23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 spans="1:25" ht="21.75" customHeight="1" x14ac:dyDescent="0.6">
      <c r="A558" s="21"/>
      <c r="B558" s="23"/>
      <c r="C558" s="21"/>
      <c r="D558" s="23"/>
      <c r="E558" s="21"/>
      <c r="F558" s="23"/>
      <c r="G558" s="21"/>
      <c r="H558" s="23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spans="1:25" ht="21.75" customHeight="1" x14ac:dyDescent="0.6">
      <c r="A559" s="21"/>
      <c r="B559" s="23"/>
      <c r="C559" s="21"/>
      <c r="D559" s="23"/>
      <c r="E559" s="21"/>
      <c r="F559" s="23"/>
      <c r="G559" s="21"/>
      <c r="H559" s="23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 spans="1:25" ht="21.75" customHeight="1" x14ac:dyDescent="0.6">
      <c r="A560" s="21"/>
      <c r="B560" s="23"/>
      <c r="C560" s="21"/>
      <c r="D560" s="23"/>
      <c r="E560" s="21"/>
      <c r="F560" s="23"/>
      <c r="G560" s="21"/>
      <c r="H560" s="23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 spans="1:25" ht="21.75" customHeight="1" x14ac:dyDescent="0.6">
      <c r="A561" s="21"/>
      <c r="B561" s="23"/>
      <c r="C561" s="21"/>
      <c r="D561" s="23"/>
      <c r="E561" s="21"/>
      <c r="F561" s="23"/>
      <c r="G561" s="21"/>
      <c r="H561" s="23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 spans="1:25" ht="21.75" customHeight="1" x14ac:dyDescent="0.6">
      <c r="A562" s="21"/>
      <c r="B562" s="23"/>
      <c r="C562" s="21"/>
      <c r="D562" s="23"/>
      <c r="E562" s="21"/>
      <c r="F562" s="23"/>
      <c r="G562" s="21"/>
      <c r="H562" s="23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 spans="1:25" ht="21.75" customHeight="1" x14ac:dyDescent="0.6">
      <c r="A563" s="21"/>
      <c r="B563" s="23"/>
      <c r="C563" s="21"/>
      <c r="D563" s="23"/>
      <c r="E563" s="21"/>
      <c r="F563" s="23"/>
      <c r="G563" s="21"/>
      <c r="H563" s="23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 spans="1:25" ht="21.75" customHeight="1" x14ac:dyDescent="0.6">
      <c r="A564" s="21"/>
      <c r="B564" s="23"/>
      <c r="C564" s="21"/>
      <c r="D564" s="23"/>
      <c r="E564" s="21"/>
      <c r="F564" s="23"/>
      <c r="G564" s="21"/>
      <c r="H564" s="23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 spans="1:25" ht="21.75" customHeight="1" x14ac:dyDescent="0.6">
      <c r="A565" s="21"/>
      <c r="B565" s="23"/>
      <c r="C565" s="21"/>
      <c r="D565" s="23"/>
      <c r="E565" s="21"/>
      <c r="F565" s="23"/>
      <c r="G565" s="21"/>
      <c r="H565" s="23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 spans="1:25" ht="21.75" customHeight="1" x14ac:dyDescent="0.6">
      <c r="A566" s="21"/>
      <c r="B566" s="23"/>
      <c r="C566" s="21"/>
      <c r="D566" s="23"/>
      <c r="E566" s="21"/>
      <c r="F566" s="23"/>
      <c r="G566" s="21"/>
      <c r="H566" s="23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 spans="1:25" ht="21.75" customHeight="1" x14ac:dyDescent="0.6">
      <c r="A567" s="21"/>
      <c r="B567" s="23"/>
      <c r="C567" s="21"/>
      <c r="D567" s="23"/>
      <c r="E567" s="21"/>
      <c r="F567" s="23"/>
      <c r="G567" s="21"/>
      <c r="H567" s="23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 spans="1:25" ht="21.75" customHeight="1" x14ac:dyDescent="0.6">
      <c r="A568" s="21"/>
      <c r="B568" s="23"/>
      <c r="C568" s="21"/>
      <c r="D568" s="23"/>
      <c r="E568" s="21"/>
      <c r="F568" s="23"/>
      <c r="G568" s="21"/>
      <c r="H568" s="23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 spans="1:25" ht="21.75" customHeight="1" x14ac:dyDescent="0.6">
      <c r="A569" s="21"/>
      <c r="B569" s="23"/>
      <c r="C569" s="21"/>
      <c r="D569" s="23"/>
      <c r="E569" s="21"/>
      <c r="F569" s="23"/>
      <c r="G569" s="21"/>
      <c r="H569" s="23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 spans="1:25" ht="21.75" customHeight="1" x14ac:dyDescent="0.6">
      <c r="A570" s="21"/>
      <c r="B570" s="23"/>
      <c r="C570" s="21"/>
      <c r="D570" s="23"/>
      <c r="E570" s="21"/>
      <c r="F570" s="23"/>
      <c r="G570" s="21"/>
      <c r="H570" s="23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 spans="1:25" ht="21.75" customHeight="1" x14ac:dyDescent="0.6">
      <c r="A571" s="21"/>
      <c r="B571" s="23"/>
      <c r="C571" s="21"/>
      <c r="D571" s="23"/>
      <c r="E571" s="21"/>
      <c r="F571" s="23"/>
      <c r="G571" s="21"/>
      <c r="H571" s="23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 spans="1:25" ht="21.75" customHeight="1" x14ac:dyDescent="0.6">
      <c r="A572" s="21"/>
      <c r="B572" s="23"/>
      <c r="C572" s="21"/>
      <c r="D572" s="23"/>
      <c r="E572" s="21"/>
      <c r="F572" s="23"/>
      <c r="G572" s="21"/>
      <c r="H572" s="23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 spans="1:25" ht="21.75" customHeight="1" x14ac:dyDescent="0.6">
      <c r="A573" s="21"/>
      <c r="B573" s="23"/>
      <c r="C573" s="21"/>
      <c r="D573" s="23"/>
      <c r="E573" s="21"/>
      <c r="F573" s="23"/>
      <c r="G573" s="21"/>
      <c r="H573" s="23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 spans="1:25" ht="21.75" customHeight="1" x14ac:dyDescent="0.6">
      <c r="A574" s="21"/>
      <c r="B574" s="23"/>
      <c r="C574" s="21"/>
      <c r="D574" s="23"/>
      <c r="E574" s="21"/>
      <c r="F574" s="23"/>
      <c r="G574" s="21"/>
      <c r="H574" s="23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 spans="1:25" ht="21.75" customHeight="1" x14ac:dyDescent="0.6">
      <c r="A575" s="21"/>
      <c r="B575" s="23"/>
      <c r="C575" s="21"/>
      <c r="D575" s="23"/>
      <c r="E575" s="21"/>
      <c r="F575" s="23"/>
      <c r="G575" s="21"/>
      <c r="H575" s="23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 spans="1:25" ht="21.75" customHeight="1" x14ac:dyDescent="0.6">
      <c r="A576" s="21"/>
      <c r="B576" s="23"/>
      <c r="C576" s="21"/>
      <c r="D576" s="23"/>
      <c r="E576" s="21"/>
      <c r="F576" s="23"/>
      <c r="G576" s="21"/>
      <c r="H576" s="23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 spans="1:25" ht="21.75" customHeight="1" x14ac:dyDescent="0.6">
      <c r="A577" s="21"/>
      <c r="B577" s="23"/>
      <c r="C577" s="21"/>
      <c r="D577" s="23"/>
      <c r="E577" s="21"/>
      <c r="F577" s="23"/>
      <c r="G577" s="21"/>
      <c r="H577" s="23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 spans="1:25" ht="21.75" customHeight="1" x14ac:dyDescent="0.6">
      <c r="A578" s="21"/>
      <c r="B578" s="23"/>
      <c r="C578" s="21"/>
      <c r="D578" s="23"/>
      <c r="E578" s="21"/>
      <c r="F578" s="23"/>
      <c r="G578" s="21"/>
      <c r="H578" s="23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 spans="1:25" ht="21.75" customHeight="1" x14ac:dyDescent="0.6">
      <c r="A579" s="21"/>
      <c r="B579" s="23"/>
      <c r="C579" s="21"/>
      <c r="D579" s="23"/>
      <c r="E579" s="21"/>
      <c r="F579" s="23"/>
      <c r="G579" s="21"/>
      <c r="H579" s="23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 spans="1:25" ht="21.75" customHeight="1" x14ac:dyDescent="0.6">
      <c r="A580" s="21"/>
      <c r="B580" s="23"/>
      <c r="C580" s="21"/>
      <c r="D580" s="23"/>
      <c r="E580" s="21"/>
      <c r="F580" s="23"/>
      <c r="G580" s="21"/>
      <c r="H580" s="23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 spans="1:25" ht="21.75" customHeight="1" x14ac:dyDescent="0.6">
      <c r="A581" s="21"/>
      <c r="B581" s="23"/>
      <c r="C581" s="21"/>
      <c r="D581" s="23"/>
      <c r="E581" s="21"/>
      <c r="F581" s="23"/>
      <c r="G581" s="21"/>
      <c r="H581" s="23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 spans="1:25" ht="21.75" customHeight="1" x14ac:dyDescent="0.6">
      <c r="A582" s="21"/>
      <c r="B582" s="23"/>
      <c r="C582" s="21"/>
      <c r="D582" s="23"/>
      <c r="E582" s="21"/>
      <c r="F582" s="23"/>
      <c r="G582" s="21"/>
      <c r="H582" s="23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 spans="1:25" ht="21.75" customHeight="1" x14ac:dyDescent="0.6">
      <c r="A583" s="21"/>
      <c r="B583" s="23"/>
      <c r="C583" s="21"/>
      <c r="D583" s="23"/>
      <c r="E583" s="21"/>
      <c r="F583" s="23"/>
      <c r="G583" s="21"/>
      <c r="H583" s="23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 spans="1:25" ht="21.75" customHeight="1" x14ac:dyDescent="0.6">
      <c r="A584" s="21"/>
      <c r="B584" s="23"/>
      <c r="C584" s="21"/>
      <c r="D584" s="23"/>
      <c r="E584" s="21"/>
      <c r="F584" s="23"/>
      <c r="G584" s="21"/>
      <c r="H584" s="23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 spans="1:25" ht="21.75" customHeight="1" x14ac:dyDescent="0.6">
      <c r="A585" s="21"/>
      <c r="B585" s="23"/>
      <c r="C585" s="21"/>
      <c r="D585" s="23"/>
      <c r="E585" s="21"/>
      <c r="F585" s="23"/>
      <c r="G585" s="21"/>
      <c r="H585" s="23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 spans="1:25" ht="21.75" customHeight="1" x14ac:dyDescent="0.6">
      <c r="A586" s="21"/>
      <c r="B586" s="23"/>
      <c r="C586" s="21"/>
      <c r="D586" s="23"/>
      <c r="E586" s="21"/>
      <c r="F586" s="23"/>
      <c r="G586" s="21"/>
      <c r="H586" s="23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 spans="1:25" ht="21.75" customHeight="1" x14ac:dyDescent="0.6">
      <c r="A587" s="21"/>
      <c r="B587" s="23"/>
      <c r="C587" s="21"/>
      <c r="D587" s="23"/>
      <c r="E587" s="21"/>
      <c r="F587" s="23"/>
      <c r="G587" s="21"/>
      <c r="H587" s="23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 spans="1:25" ht="21.75" customHeight="1" x14ac:dyDescent="0.6">
      <c r="A588" s="21"/>
      <c r="B588" s="23"/>
      <c r="C588" s="21"/>
      <c r="D588" s="23"/>
      <c r="E588" s="21"/>
      <c r="F588" s="23"/>
      <c r="G588" s="21"/>
      <c r="H588" s="23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 spans="1:25" ht="21.75" customHeight="1" x14ac:dyDescent="0.6">
      <c r="A589" s="21"/>
      <c r="B589" s="23"/>
      <c r="C589" s="21"/>
      <c r="D589" s="23"/>
      <c r="E589" s="21"/>
      <c r="F589" s="23"/>
      <c r="G589" s="21"/>
      <c r="H589" s="23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 spans="1:25" ht="21.75" customHeight="1" x14ac:dyDescent="0.6">
      <c r="A590" s="21"/>
      <c r="B590" s="23"/>
      <c r="C590" s="21"/>
      <c r="D590" s="23"/>
      <c r="E590" s="21"/>
      <c r="F590" s="23"/>
      <c r="G590" s="21"/>
      <c r="H590" s="23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 spans="1:25" ht="21.75" customHeight="1" x14ac:dyDescent="0.6">
      <c r="A591" s="21"/>
      <c r="B591" s="23"/>
      <c r="C591" s="21"/>
      <c r="D591" s="23"/>
      <c r="E591" s="21"/>
      <c r="F591" s="23"/>
      <c r="G591" s="21"/>
      <c r="H591" s="23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 spans="1:25" ht="21.75" customHeight="1" x14ac:dyDescent="0.6">
      <c r="A592" s="21"/>
      <c r="B592" s="23"/>
      <c r="C592" s="21"/>
      <c r="D592" s="23"/>
      <c r="E592" s="21"/>
      <c r="F592" s="23"/>
      <c r="G592" s="21"/>
      <c r="H592" s="23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 spans="1:25" ht="21.75" customHeight="1" x14ac:dyDescent="0.6">
      <c r="A593" s="21"/>
      <c r="B593" s="23"/>
      <c r="C593" s="21"/>
      <c r="D593" s="23"/>
      <c r="E593" s="21"/>
      <c r="F593" s="23"/>
      <c r="G593" s="21"/>
      <c r="H593" s="23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 spans="1:25" ht="21.75" customHeight="1" x14ac:dyDescent="0.6">
      <c r="A594" s="21"/>
      <c r="B594" s="23"/>
      <c r="C594" s="21"/>
      <c r="D594" s="23"/>
      <c r="E594" s="21"/>
      <c r="F594" s="23"/>
      <c r="G594" s="21"/>
      <c r="H594" s="23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 spans="1:25" ht="21.75" customHeight="1" x14ac:dyDescent="0.6">
      <c r="A595" s="21"/>
      <c r="B595" s="23"/>
      <c r="C595" s="21"/>
      <c r="D595" s="23"/>
      <c r="E595" s="21"/>
      <c r="F595" s="23"/>
      <c r="G595" s="21"/>
      <c r="H595" s="23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 spans="1:25" ht="21.75" customHeight="1" x14ac:dyDescent="0.6">
      <c r="A596" s="21"/>
      <c r="B596" s="23"/>
      <c r="C596" s="21"/>
      <c r="D596" s="23"/>
      <c r="E596" s="21"/>
      <c r="F596" s="23"/>
      <c r="G596" s="21"/>
      <c r="H596" s="23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 spans="1:25" ht="21.75" customHeight="1" x14ac:dyDescent="0.6">
      <c r="A597" s="21"/>
      <c r="B597" s="23"/>
      <c r="C597" s="21"/>
      <c r="D597" s="23"/>
      <c r="E597" s="21"/>
      <c r="F597" s="23"/>
      <c r="G597" s="21"/>
      <c r="H597" s="23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 spans="1:25" ht="21.75" customHeight="1" x14ac:dyDescent="0.6">
      <c r="A598" s="21"/>
      <c r="B598" s="23"/>
      <c r="C598" s="21"/>
      <c r="D598" s="23"/>
      <c r="E598" s="21"/>
      <c r="F598" s="23"/>
      <c r="G598" s="21"/>
      <c r="H598" s="23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 spans="1:25" ht="21.75" customHeight="1" x14ac:dyDescent="0.6">
      <c r="A599" s="21"/>
      <c r="B599" s="23"/>
      <c r="C599" s="21"/>
      <c r="D599" s="23"/>
      <c r="E599" s="21"/>
      <c r="F599" s="23"/>
      <c r="G599" s="21"/>
      <c r="H599" s="23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 spans="1:25" ht="21.75" customHeight="1" x14ac:dyDescent="0.6">
      <c r="A600" s="21"/>
      <c r="B600" s="23"/>
      <c r="C600" s="21"/>
      <c r="D600" s="23"/>
      <c r="E600" s="21"/>
      <c r="F600" s="23"/>
      <c r="G600" s="21"/>
      <c r="H600" s="23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 spans="1:25" ht="21.75" customHeight="1" x14ac:dyDescent="0.6">
      <c r="A601" s="21"/>
      <c r="B601" s="23"/>
      <c r="C601" s="21"/>
      <c r="D601" s="23"/>
      <c r="E601" s="21"/>
      <c r="F601" s="23"/>
      <c r="G601" s="21"/>
      <c r="H601" s="23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 spans="1:25" ht="21.75" customHeight="1" x14ac:dyDescent="0.6">
      <c r="A602" s="21"/>
      <c r="B602" s="23"/>
      <c r="C602" s="21"/>
      <c r="D602" s="23"/>
      <c r="E602" s="21"/>
      <c r="F602" s="23"/>
      <c r="G602" s="21"/>
      <c r="H602" s="23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 spans="1:25" ht="21.75" customHeight="1" x14ac:dyDescent="0.6">
      <c r="A603" s="21"/>
      <c r="B603" s="23"/>
      <c r="C603" s="21"/>
      <c r="D603" s="23"/>
      <c r="E603" s="21"/>
      <c r="F603" s="23"/>
      <c r="G603" s="21"/>
      <c r="H603" s="23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 spans="1:25" ht="21.75" customHeight="1" x14ac:dyDescent="0.6">
      <c r="A604" s="21"/>
      <c r="B604" s="23"/>
      <c r="C604" s="21"/>
      <c r="D604" s="23"/>
      <c r="E604" s="21"/>
      <c r="F604" s="23"/>
      <c r="G604" s="21"/>
      <c r="H604" s="23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 spans="1:25" ht="21.75" customHeight="1" x14ac:dyDescent="0.6">
      <c r="A605" s="21"/>
      <c r="B605" s="23"/>
      <c r="C605" s="21"/>
      <c r="D605" s="23"/>
      <c r="E605" s="21"/>
      <c r="F605" s="23"/>
      <c r="G605" s="21"/>
      <c r="H605" s="23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 spans="1:25" ht="21.75" customHeight="1" x14ac:dyDescent="0.6">
      <c r="A606" s="21"/>
      <c r="B606" s="23"/>
      <c r="C606" s="21"/>
      <c r="D606" s="23"/>
      <c r="E606" s="21"/>
      <c r="F606" s="23"/>
      <c r="G606" s="21"/>
      <c r="H606" s="23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 spans="1:25" ht="21.75" customHeight="1" x14ac:dyDescent="0.6">
      <c r="A607" s="21"/>
      <c r="B607" s="23"/>
      <c r="C607" s="21"/>
      <c r="D607" s="23"/>
      <c r="E607" s="21"/>
      <c r="F607" s="23"/>
      <c r="G607" s="21"/>
      <c r="H607" s="23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 spans="1:25" ht="21.75" customHeight="1" x14ac:dyDescent="0.6">
      <c r="A608" s="21"/>
      <c r="B608" s="23"/>
      <c r="C608" s="21"/>
      <c r="D608" s="23"/>
      <c r="E608" s="21"/>
      <c r="F608" s="23"/>
      <c r="G608" s="21"/>
      <c r="H608" s="23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 spans="1:25" ht="21.75" customHeight="1" x14ac:dyDescent="0.6">
      <c r="A609" s="21"/>
      <c r="B609" s="23"/>
      <c r="C609" s="21"/>
      <c r="D609" s="23"/>
      <c r="E609" s="21"/>
      <c r="F609" s="23"/>
      <c r="G609" s="21"/>
      <c r="H609" s="23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 spans="1:25" ht="21.75" customHeight="1" x14ac:dyDescent="0.6">
      <c r="A610" s="21"/>
      <c r="B610" s="23"/>
      <c r="C610" s="21"/>
      <c r="D610" s="23"/>
      <c r="E610" s="21"/>
      <c r="F610" s="23"/>
      <c r="G610" s="21"/>
      <c r="H610" s="23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 spans="1:25" ht="21.75" customHeight="1" x14ac:dyDescent="0.6">
      <c r="A611" s="21"/>
      <c r="B611" s="23"/>
      <c r="C611" s="21"/>
      <c r="D611" s="23"/>
      <c r="E611" s="21"/>
      <c r="F611" s="23"/>
      <c r="G611" s="21"/>
      <c r="H611" s="23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 spans="1:25" ht="21.75" customHeight="1" x14ac:dyDescent="0.6">
      <c r="A612" s="21"/>
      <c r="B612" s="23"/>
      <c r="C612" s="21"/>
      <c r="D612" s="23"/>
      <c r="E612" s="21"/>
      <c r="F612" s="23"/>
      <c r="G612" s="21"/>
      <c r="H612" s="23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 spans="1:25" ht="21.75" customHeight="1" x14ac:dyDescent="0.6">
      <c r="A613" s="21"/>
      <c r="B613" s="23"/>
      <c r="C613" s="21"/>
      <c r="D613" s="23"/>
      <c r="E613" s="21"/>
      <c r="F613" s="23"/>
      <c r="G613" s="21"/>
      <c r="H613" s="23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 spans="1:25" ht="21.75" customHeight="1" x14ac:dyDescent="0.6">
      <c r="A614" s="21"/>
      <c r="B614" s="23"/>
      <c r="C614" s="21"/>
      <c r="D614" s="23"/>
      <c r="E614" s="21"/>
      <c r="F614" s="23"/>
      <c r="G614" s="21"/>
      <c r="H614" s="23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 spans="1:25" ht="21.75" customHeight="1" x14ac:dyDescent="0.6">
      <c r="A615" s="21"/>
      <c r="B615" s="23"/>
      <c r="C615" s="21"/>
      <c r="D615" s="23"/>
      <c r="E615" s="21"/>
      <c r="F615" s="23"/>
      <c r="G615" s="21"/>
      <c r="H615" s="23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 spans="1:25" ht="21.75" customHeight="1" x14ac:dyDescent="0.6">
      <c r="A616" s="21"/>
      <c r="B616" s="23"/>
      <c r="C616" s="21"/>
      <c r="D616" s="23"/>
      <c r="E616" s="21"/>
      <c r="F616" s="23"/>
      <c r="G616" s="21"/>
      <c r="H616" s="23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 spans="1:25" ht="21.75" customHeight="1" x14ac:dyDescent="0.6">
      <c r="A617" s="21"/>
      <c r="B617" s="23"/>
      <c r="C617" s="21"/>
      <c r="D617" s="23"/>
      <c r="E617" s="21"/>
      <c r="F617" s="23"/>
      <c r="G617" s="21"/>
      <c r="H617" s="23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 spans="1:25" ht="21.75" customHeight="1" x14ac:dyDescent="0.6">
      <c r="A618" s="21"/>
      <c r="B618" s="23"/>
      <c r="C618" s="21"/>
      <c r="D618" s="23"/>
      <c r="E618" s="21"/>
      <c r="F618" s="23"/>
      <c r="G618" s="21"/>
      <c r="H618" s="23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 spans="1:25" ht="21.75" customHeight="1" x14ac:dyDescent="0.6">
      <c r="A619" s="21"/>
      <c r="B619" s="23"/>
      <c r="C619" s="21"/>
      <c r="D619" s="23"/>
      <c r="E619" s="21"/>
      <c r="F619" s="23"/>
      <c r="G619" s="21"/>
      <c r="H619" s="23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 spans="1:25" ht="21.75" customHeight="1" x14ac:dyDescent="0.6">
      <c r="A620" s="21"/>
      <c r="B620" s="23"/>
      <c r="C620" s="21"/>
      <c r="D620" s="23"/>
      <c r="E620" s="21"/>
      <c r="F620" s="23"/>
      <c r="G620" s="21"/>
      <c r="H620" s="23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 spans="1:25" ht="21.75" customHeight="1" x14ac:dyDescent="0.6">
      <c r="A621" s="21"/>
      <c r="B621" s="23"/>
      <c r="C621" s="21"/>
      <c r="D621" s="23"/>
      <c r="E621" s="21"/>
      <c r="F621" s="23"/>
      <c r="G621" s="21"/>
      <c r="H621" s="23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 spans="1:25" ht="21.75" customHeight="1" x14ac:dyDescent="0.6">
      <c r="A622" s="21"/>
      <c r="B622" s="23"/>
      <c r="C622" s="21"/>
      <c r="D622" s="23"/>
      <c r="E622" s="21"/>
      <c r="F622" s="23"/>
      <c r="G622" s="21"/>
      <c r="H622" s="23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 spans="1:25" ht="21.75" customHeight="1" x14ac:dyDescent="0.6">
      <c r="A623" s="21"/>
      <c r="B623" s="23"/>
      <c r="C623" s="21"/>
      <c r="D623" s="23"/>
      <c r="E623" s="21"/>
      <c r="F623" s="23"/>
      <c r="G623" s="21"/>
      <c r="H623" s="23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 spans="1:25" ht="21.75" customHeight="1" x14ac:dyDescent="0.6">
      <c r="A624" s="21"/>
      <c r="B624" s="23"/>
      <c r="C624" s="21"/>
      <c r="D624" s="23"/>
      <c r="E624" s="21"/>
      <c r="F624" s="23"/>
      <c r="G624" s="21"/>
      <c r="H624" s="23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 spans="1:25" ht="21.75" customHeight="1" x14ac:dyDescent="0.6">
      <c r="A625" s="21"/>
      <c r="B625" s="23"/>
      <c r="C625" s="21"/>
      <c r="D625" s="23"/>
      <c r="E625" s="21"/>
      <c r="F625" s="23"/>
      <c r="G625" s="21"/>
      <c r="H625" s="23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 spans="1:25" ht="21.75" customHeight="1" x14ac:dyDescent="0.6">
      <c r="A626" s="21"/>
      <c r="B626" s="23"/>
      <c r="C626" s="21"/>
      <c r="D626" s="23"/>
      <c r="E626" s="21"/>
      <c r="F626" s="23"/>
      <c r="G626" s="21"/>
      <c r="H626" s="23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 spans="1:25" ht="21.75" customHeight="1" x14ac:dyDescent="0.6">
      <c r="A627" s="21"/>
      <c r="B627" s="23"/>
      <c r="C627" s="21"/>
      <c r="D627" s="23"/>
      <c r="E627" s="21"/>
      <c r="F627" s="23"/>
      <c r="G627" s="21"/>
      <c r="H627" s="23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 spans="1:25" ht="21.75" customHeight="1" x14ac:dyDescent="0.6">
      <c r="A628" s="21"/>
      <c r="B628" s="23"/>
      <c r="C628" s="21"/>
      <c r="D628" s="23"/>
      <c r="E628" s="21"/>
      <c r="F628" s="23"/>
      <c r="G628" s="21"/>
      <c r="H628" s="23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 spans="1:25" ht="21.75" customHeight="1" x14ac:dyDescent="0.6">
      <c r="A629" s="21"/>
      <c r="B629" s="23"/>
      <c r="C629" s="21"/>
      <c r="D629" s="23"/>
      <c r="E629" s="21"/>
      <c r="F629" s="23"/>
      <c r="G629" s="21"/>
      <c r="H629" s="23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 spans="1:25" ht="21.75" customHeight="1" x14ac:dyDescent="0.6">
      <c r="A630" s="21"/>
      <c r="B630" s="23"/>
      <c r="C630" s="21"/>
      <c r="D630" s="23"/>
      <c r="E630" s="21"/>
      <c r="F630" s="23"/>
      <c r="G630" s="21"/>
      <c r="H630" s="23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 spans="1:25" ht="21.75" customHeight="1" x14ac:dyDescent="0.6">
      <c r="A631" s="21"/>
      <c r="B631" s="23"/>
      <c r="C631" s="21"/>
      <c r="D631" s="23"/>
      <c r="E631" s="21"/>
      <c r="F631" s="23"/>
      <c r="G631" s="21"/>
      <c r="H631" s="23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 spans="1:25" ht="21.75" customHeight="1" x14ac:dyDescent="0.6">
      <c r="A632" s="21"/>
      <c r="B632" s="23"/>
      <c r="C632" s="21"/>
      <c r="D632" s="23"/>
      <c r="E632" s="21"/>
      <c r="F632" s="23"/>
      <c r="G632" s="21"/>
      <c r="H632" s="23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 spans="1:25" ht="21.75" customHeight="1" x14ac:dyDescent="0.6">
      <c r="A633" s="21"/>
      <c r="B633" s="23"/>
      <c r="C633" s="21"/>
      <c r="D633" s="23"/>
      <c r="E633" s="21"/>
      <c r="F633" s="23"/>
      <c r="G633" s="21"/>
      <c r="H633" s="23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 spans="1:25" ht="21.75" customHeight="1" x14ac:dyDescent="0.6">
      <c r="A634" s="21"/>
      <c r="B634" s="23"/>
      <c r="C634" s="21"/>
      <c r="D634" s="23"/>
      <c r="E634" s="21"/>
      <c r="F634" s="23"/>
      <c r="G634" s="21"/>
      <c r="H634" s="23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 spans="1:25" ht="21.75" customHeight="1" x14ac:dyDescent="0.6">
      <c r="A635" s="21"/>
      <c r="B635" s="23"/>
      <c r="C635" s="21"/>
      <c r="D635" s="23"/>
      <c r="E635" s="21"/>
      <c r="F635" s="23"/>
      <c r="G635" s="21"/>
      <c r="H635" s="23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 spans="1:25" ht="21.75" customHeight="1" x14ac:dyDescent="0.6">
      <c r="A636" s="21"/>
      <c r="B636" s="23"/>
      <c r="C636" s="21"/>
      <c r="D636" s="23"/>
      <c r="E636" s="21"/>
      <c r="F636" s="23"/>
      <c r="G636" s="21"/>
      <c r="H636" s="23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 spans="1:25" ht="21.75" customHeight="1" x14ac:dyDescent="0.6">
      <c r="A637" s="21"/>
      <c r="B637" s="23"/>
      <c r="C637" s="21"/>
      <c r="D637" s="23"/>
      <c r="E637" s="21"/>
      <c r="F637" s="23"/>
      <c r="G637" s="21"/>
      <c r="H637" s="23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 spans="1:25" ht="21.75" customHeight="1" x14ac:dyDescent="0.6">
      <c r="A638" s="21"/>
      <c r="B638" s="23"/>
      <c r="C638" s="21"/>
      <c r="D638" s="23"/>
      <c r="E638" s="21"/>
      <c r="F638" s="23"/>
      <c r="G638" s="21"/>
      <c r="H638" s="23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 spans="1:25" ht="21.75" customHeight="1" x14ac:dyDescent="0.6">
      <c r="A639" s="21"/>
      <c r="B639" s="23"/>
      <c r="C639" s="21"/>
      <c r="D639" s="23"/>
      <c r="E639" s="21"/>
      <c r="F639" s="23"/>
      <c r="G639" s="21"/>
      <c r="H639" s="23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 spans="1:25" ht="21.75" customHeight="1" x14ac:dyDescent="0.6">
      <c r="A640" s="21"/>
      <c r="B640" s="23"/>
      <c r="C640" s="21"/>
      <c r="D640" s="23"/>
      <c r="E640" s="21"/>
      <c r="F640" s="23"/>
      <c r="G640" s="21"/>
      <c r="H640" s="23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 spans="1:25" ht="21.75" customHeight="1" x14ac:dyDescent="0.6">
      <c r="A641" s="21"/>
      <c r="B641" s="23"/>
      <c r="C641" s="21"/>
      <c r="D641" s="23"/>
      <c r="E641" s="21"/>
      <c r="F641" s="23"/>
      <c r="G641" s="21"/>
      <c r="H641" s="23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 spans="1:25" ht="21.75" customHeight="1" x14ac:dyDescent="0.6">
      <c r="A642" s="21"/>
      <c r="B642" s="23"/>
      <c r="C642" s="21"/>
      <c r="D642" s="23"/>
      <c r="E642" s="21"/>
      <c r="F642" s="23"/>
      <c r="G642" s="21"/>
      <c r="H642" s="23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 spans="1:25" ht="21.75" customHeight="1" x14ac:dyDescent="0.6">
      <c r="A643" s="21"/>
      <c r="B643" s="23"/>
      <c r="C643" s="21"/>
      <c r="D643" s="23"/>
      <c r="E643" s="21"/>
      <c r="F643" s="23"/>
      <c r="G643" s="21"/>
      <c r="H643" s="23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 spans="1:25" ht="21.75" customHeight="1" x14ac:dyDescent="0.6">
      <c r="A644" s="21"/>
      <c r="B644" s="23"/>
      <c r="C644" s="21"/>
      <c r="D644" s="23"/>
      <c r="E644" s="21"/>
      <c r="F644" s="23"/>
      <c r="G644" s="21"/>
      <c r="H644" s="23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 spans="1:25" ht="21.75" customHeight="1" x14ac:dyDescent="0.6">
      <c r="A645" s="21"/>
      <c r="B645" s="23"/>
      <c r="C645" s="21"/>
      <c r="D645" s="23"/>
      <c r="E645" s="21"/>
      <c r="F645" s="23"/>
      <c r="G645" s="21"/>
      <c r="H645" s="23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 spans="1:25" ht="21.75" customHeight="1" x14ac:dyDescent="0.6">
      <c r="A646" s="21"/>
      <c r="B646" s="23"/>
      <c r="C646" s="21"/>
      <c r="D646" s="23"/>
      <c r="E646" s="21"/>
      <c r="F646" s="23"/>
      <c r="G646" s="21"/>
      <c r="H646" s="23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 spans="1:25" ht="21.75" customHeight="1" x14ac:dyDescent="0.6">
      <c r="A647" s="21"/>
      <c r="B647" s="23"/>
      <c r="C647" s="21"/>
      <c r="D647" s="23"/>
      <c r="E647" s="21"/>
      <c r="F647" s="23"/>
      <c r="G647" s="21"/>
      <c r="H647" s="23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 spans="1:25" ht="21.75" customHeight="1" x14ac:dyDescent="0.6">
      <c r="A648" s="21"/>
      <c r="B648" s="23"/>
      <c r="C648" s="21"/>
      <c r="D648" s="23"/>
      <c r="E648" s="21"/>
      <c r="F648" s="23"/>
      <c r="G648" s="21"/>
      <c r="H648" s="23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 spans="1:25" ht="21.75" customHeight="1" x14ac:dyDescent="0.6">
      <c r="A649" s="21"/>
      <c r="B649" s="23"/>
      <c r="C649" s="21"/>
      <c r="D649" s="23"/>
      <c r="E649" s="21"/>
      <c r="F649" s="23"/>
      <c r="G649" s="21"/>
      <c r="H649" s="23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 spans="1:25" ht="21.75" customHeight="1" x14ac:dyDescent="0.6">
      <c r="A650" s="21"/>
      <c r="B650" s="23"/>
      <c r="C650" s="21"/>
      <c r="D650" s="23"/>
      <c r="E650" s="21"/>
      <c r="F650" s="23"/>
      <c r="G650" s="21"/>
      <c r="H650" s="23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 spans="1:25" ht="21.75" customHeight="1" x14ac:dyDescent="0.6">
      <c r="A651" s="21"/>
      <c r="B651" s="23"/>
      <c r="C651" s="21"/>
      <c r="D651" s="23"/>
      <c r="E651" s="21"/>
      <c r="F651" s="23"/>
      <c r="G651" s="21"/>
      <c r="H651" s="23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 spans="1:25" ht="21.75" customHeight="1" x14ac:dyDescent="0.6">
      <c r="A652" s="21"/>
      <c r="B652" s="23"/>
      <c r="C652" s="21"/>
      <c r="D652" s="23"/>
      <c r="E652" s="21"/>
      <c r="F652" s="23"/>
      <c r="G652" s="21"/>
      <c r="H652" s="23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 spans="1:25" ht="21.75" customHeight="1" x14ac:dyDescent="0.6">
      <c r="A653" s="21"/>
      <c r="B653" s="23"/>
      <c r="C653" s="21"/>
      <c r="D653" s="23"/>
      <c r="E653" s="21"/>
      <c r="F653" s="23"/>
      <c r="G653" s="21"/>
      <c r="H653" s="23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 spans="1:25" ht="21.75" customHeight="1" x14ac:dyDescent="0.6">
      <c r="A654" s="21"/>
      <c r="B654" s="23"/>
      <c r="C654" s="21"/>
      <c r="D654" s="23"/>
      <c r="E654" s="21"/>
      <c r="F654" s="23"/>
      <c r="G654" s="21"/>
      <c r="H654" s="23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 spans="1:25" ht="21.75" customHeight="1" x14ac:dyDescent="0.6">
      <c r="A655" s="21"/>
      <c r="B655" s="23"/>
      <c r="C655" s="21"/>
      <c r="D655" s="23"/>
      <c r="E655" s="21"/>
      <c r="F655" s="23"/>
      <c r="G655" s="21"/>
      <c r="H655" s="23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 spans="1:25" ht="21.75" customHeight="1" x14ac:dyDescent="0.6">
      <c r="A656" s="21"/>
      <c r="B656" s="23"/>
      <c r="C656" s="21"/>
      <c r="D656" s="23"/>
      <c r="E656" s="21"/>
      <c r="F656" s="23"/>
      <c r="G656" s="21"/>
      <c r="H656" s="23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 spans="1:25" ht="21.75" customHeight="1" x14ac:dyDescent="0.6">
      <c r="A657" s="21"/>
      <c r="B657" s="23"/>
      <c r="C657" s="21"/>
      <c r="D657" s="23"/>
      <c r="E657" s="21"/>
      <c r="F657" s="23"/>
      <c r="G657" s="21"/>
      <c r="H657" s="23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 spans="1:25" ht="21.75" customHeight="1" x14ac:dyDescent="0.6">
      <c r="A658" s="21"/>
      <c r="B658" s="23"/>
      <c r="C658" s="21"/>
      <c r="D658" s="23"/>
      <c r="E658" s="21"/>
      <c r="F658" s="23"/>
      <c r="G658" s="21"/>
      <c r="H658" s="23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 spans="1:25" ht="21.75" customHeight="1" x14ac:dyDescent="0.6">
      <c r="A659" s="21"/>
      <c r="B659" s="23"/>
      <c r="C659" s="21"/>
      <c r="D659" s="23"/>
      <c r="E659" s="21"/>
      <c r="F659" s="23"/>
      <c r="G659" s="21"/>
      <c r="H659" s="23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 spans="1:25" ht="21.75" customHeight="1" x14ac:dyDescent="0.6">
      <c r="A660" s="21"/>
      <c r="B660" s="23"/>
      <c r="C660" s="21"/>
      <c r="D660" s="23"/>
      <c r="E660" s="21"/>
      <c r="F660" s="23"/>
      <c r="G660" s="21"/>
      <c r="H660" s="23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 spans="1:25" ht="21.75" customHeight="1" x14ac:dyDescent="0.6">
      <c r="A661" s="21"/>
      <c r="B661" s="23"/>
      <c r="C661" s="21"/>
      <c r="D661" s="23"/>
      <c r="E661" s="21"/>
      <c r="F661" s="23"/>
      <c r="G661" s="21"/>
      <c r="H661" s="23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 spans="1:25" ht="21.75" customHeight="1" x14ac:dyDescent="0.6">
      <c r="A662" s="21"/>
      <c r="B662" s="23"/>
      <c r="C662" s="21"/>
      <c r="D662" s="23"/>
      <c r="E662" s="21"/>
      <c r="F662" s="23"/>
      <c r="G662" s="21"/>
      <c r="H662" s="23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 spans="1:25" ht="21.75" customHeight="1" x14ac:dyDescent="0.6">
      <c r="A663" s="21"/>
      <c r="B663" s="23"/>
      <c r="C663" s="21"/>
      <c r="D663" s="23"/>
      <c r="E663" s="21"/>
      <c r="F663" s="23"/>
      <c r="G663" s="21"/>
      <c r="H663" s="23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 spans="1:25" ht="21.75" customHeight="1" x14ac:dyDescent="0.6">
      <c r="A664" s="21"/>
      <c r="B664" s="23"/>
      <c r="C664" s="21"/>
      <c r="D664" s="23"/>
      <c r="E664" s="21"/>
      <c r="F664" s="23"/>
      <c r="G664" s="21"/>
      <c r="H664" s="23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 spans="1:25" ht="21.75" customHeight="1" x14ac:dyDescent="0.6">
      <c r="A665" s="21"/>
      <c r="B665" s="23"/>
      <c r="C665" s="21"/>
      <c r="D665" s="23"/>
      <c r="E665" s="21"/>
      <c r="F665" s="23"/>
      <c r="G665" s="21"/>
      <c r="H665" s="23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 spans="1:25" ht="21.75" customHeight="1" x14ac:dyDescent="0.6">
      <c r="A666" s="21"/>
      <c r="B666" s="23"/>
      <c r="C666" s="21"/>
      <c r="D666" s="23"/>
      <c r="E666" s="21"/>
      <c r="F666" s="23"/>
      <c r="G666" s="21"/>
      <c r="H666" s="23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 spans="1:25" ht="21.75" customHeight="1" x14ac:dyDescent="0.6">
      <c r="A667" s="21"/>
      <c r="B667" s="23"/>
      <c r="C667" s="21"/>
      <c r="D667" s="23"/>
      <c r="E667" s="21"/>
      <c r="F667" s="23"/>
      <c r="G667" s="21"/>
      <c r="H667" s="23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 spans="1:25" ht="21.75" customHeight="1" x14ac:dyDescent="0.6">
      <c r="A668" s="21"/>
      <c r="B668" s="23"/>
      <c r="C668" s="21"/>
      <c r="D668" s="23"/>
      <c r="E668" s="21"/>
      <c r="F668" s="23"/>
      <c r="G668" s="21"/>
      <c r="H668" s="23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 spans="1:25" ht="21.75" customHeight="1" x14ac:dyDescent="0.6">
      <c r="A669" s="21"/>
      <c r="B669" s="23"/>
      <c r="C669" s="21"/>
      <c r="D669" s="23"/>
      <c r="E669" s="21"/>
      <c r="F669" s="23"/>
      <c r="G669" s="21"/>
      <c r="H669" s="23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 spans="1:25" ht="21.75" customHeight="1" x14ac:dyDescent="0.6">
      <c r="A670" s="21"/>
      <c r="B670" s="23"/>
      <c r="C670" s="21"/>
      <c r="D670" s="23"/>
      <c r="E670" s="21"/>
      <c r="F670" s="23"/>
      <c r="G670" s="21"/>
      <c r="H670" s="23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 spans="1:25" ht="21.75" customHeight="1" x14ac:dyDescent="0.6">
      <c r="A671" s="21"/>
      <c r="B671" s="23"/>
      <c r="C671" s="21"/>
      <c r="D671" s="23"/>
      <c r="E671" s="21"/>
      <c r="F671" s="23"/>
      <c r="G671" s="21"/>
      <c r="H671" s="23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 spans="1:25" ht="21.75" customHeight="1" x14ac:dyDescent="0.6">
      <c r="A672" s="21"/>
      <c r="B672" s="23"/>
      <c r="C672" s="21"/>
      <c r="D672" s="23"/>
      <c r="E672" s="21"/>
      <c r="F672" s="23"/>
      <c r="G672" s="21"/>
      <c r="H672" s="23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 spans="1:25" ht="21.75" customHeight="1" x14ac:dyDescent="0.6">
      <c r="A673" s="21"/>
      <c r="B673" s="23"/>
      <c r="C673" s="21"/>
      <c r="D673" s="23"/>
      <c r="E673" s="21"/>
      <c r="F673" s="23"/>
      <c r="G673" s="21"/>
      <c r="H673" s="23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 spans="1:25" ht="21.75" customHeight="1" x14ac:dyDescent="0.6">
      <c r="A674" s="21"/>
      <c r="B674" s="23"/>
      <c r="C674" s="21"/>
      <c r="D674" s="23"/>
      <c r="E674" s="21"/>
      <c r="F674" s="23"/>
      <c r="G674" s="21"/>
      <c r="H674" s="23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 spans="1:25" ht="21.75" customHeight="1" x14ac:dyDescent="0.6">
      <c r="A675" s="21"/>
      <c r="B675" s="23"/>
      <c r="C675" s="21"/>
      <c r="D675" s="23"/>
      <c r="E675" s="21"/>
      <c r="F675" s="23"/>
      <c r="G675" s="21"/>
      <c r="H675" s="23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 spans="1:25" ht="21.75" customHeight="1" x14ac:dyDescent="0.6">
      <c r="A676" s="21"/>
      <c r="B676" s="23"/>
      <c r="C676" s="21"/>
      <c r="D676" s="23"/>
      <c r="E676" s="21"/>
      <c r="F676" s="23"/>
      <c r="G676" s="21"/>
      <c r="H676" s="23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 spans="1:25" ht="21.75" customHeight="1" x14ac:dyDescent="0.6">
      <c r="A677" s="21"/>
      <c r="B677" s="23"/>
      <c r="C677" s="21"/>
      <c r="D677" s="23"/>
      <c r="E677" s="21"/>
      <c r="F677" s="23"/>
      <c r="G677" s="21"/>
      <c r="H677" s="23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 spans="1:25" ht="21.75" customHeight="1" x14ac:dyDescent="0.6">
      <c r="A678" s="21"/>
      <c r="B678" s="23"/>
      <c r="C678" s="21"/>
      <c r="D678" s="23"/>
      <c r="E678" s="21"/>
      <c r="F678" s="23"/>
      <c r="G678" s="21"/>
      <c r="H678" s="23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 spans="1:25" ht="21.75" customHeight="1" x14ac:dyDescent="0.6">
      <c r="A679" s="21"/>
      <c r="B679" s="23"/>
      <c r="C679" s="21"/>
      <c r="D679" s="23"/>
      <c r="E679" s="21"/>
      <c r="F679" s="23"/>
      <c r="G679" s="21"/>
      <c r="H679" s="23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 spans="1:25" ht="21.75" customHeight="1" x14ac:dyDescent="0.6">
      <c r="A680" s="21"/>
      <c r="B680" s="23"/>
      <c r="C680" s="21"/>
      <c r="D680" s="23"/>
      <c r="E680" s="21"/>
      <c r="F680" s="23"/>
      <c r="G680" s="21"/>
      <c r="H680" s="23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 spans="1:25" ht="21.75" customHeight="1" x14ac:dyDescent="0.6">
      <c r="A681" s="21"/>
      <c r="B681" s="23"/>
      <c r="C681" s="21"/>
      <c r="D681" s="23"/>
      <c r="E681" s="21"/>
      <c r="F681" s="23"/>
      <c r="G681" s="21"/>
      <c r="H681" s="23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 spans="1:25" ht="21.75" customHeight="1" x14ac:dyDescent="0.6">
      <c r="A682" s="21"/>
      <c r="B682" s="23"/>
      <c r="C682" s="21"/>
      <c r="D682" s="23"/>
      <c r="E682" s="21"/>
      <c r="F682" s="23"/>
      <c r="G682" s="21"/>
      <c r="H682" s="23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 spans="1:25" ht="21.75" customHeight="1" x14ac:dyDescent="0.6">
      <c r="A683" s="21"/>
      <c r="B683" s="23"/>
      <c r="C683" s="21"/>
      <c r="D683" s="23"/>
      <c r="E683" s="21"/>
      <c r="F683" s="23"/>
      <c r="G683" s="21"/>
      <c r="H683" s="23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 spans="1:25" ht="21.75" customHeight="1" x14ac:dyDescent="0.6">
      <c r="A684" s="21"/>
      <c r="B684" s="23"/>
      <c r="C684" s="21"/>
      <c r="D684" s="23"/>
      <c r="E684" s="21"/>
      <c r="F684" s="23"/>
      <c r="G684" s="21"/>
      <c r="H684" s="23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 spans="1:25" ht="21.75" customHeight="1" x14ac:dyDescent="0.6">
      <c r="A685" s="21"/>
      <c r="B685" s="23"/>
      <c r="C685" s="21"/>
      <c r="D685" s="23"/>
      <c r="E685" s="21"/>
      <c r="F685" s="23"/>
      <c r="G685" s="21"/>
      <c r="H685" s="23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 spans="1:25" ht="21.75" customHeight="1" x14ac:dyDescent="0.6">
      <c r="A686" s="21"/>
      <c r="B686" s="23"/>
      <c r="C686" s="21"/>
      <c r="D686" s="23"/>
      <c r="E686" s="21"/>
      <c r="F686" s="23"/>
      <c r="G686" s="21"/>
      <c r="H686" s="23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 spans="1:25" ht="21.75" customHeight="1" x14ac:dyDescent="0.6">
      <c r="A687" s="21"/>
      <c r="B687" s="23"/>
      <c r="C687" s="21"/>
      <c r="D687" s="23"/>
      <c r="E687" s="21"/>
      <c r="F687" s="23"/>
      <c r="G687" s="21"/>
      <c r="H687" s="23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 spans="1:25" ht="21.75" customHeight="1" x14ac:dyDescent="0.6">
      <c r="A688" s="21"/>
      <c r="B688" s="23"/>
      <c r="C688" s="21"/>
      <c r="D688" s="23"/>
      <c r="E688" s="21"/>
      <c r="F688" s="23"/>
      <c r="G688" s="21"/>
      <c r="H688" s="23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 spans="1:25" ht="21.75" customHeight="1" x14ac:dyDescent="0.6">
      <c r="A689" s="21"/>
      <c r="B689" s="23"/>
      <c r="C689" s="21"/>
      <c r="D689" s="23"/>
      <c r="E689" s="21"/>
      <c r="F689" s="23"/>
      <c r="G689" s="21"/>
      <c r="H689" s="23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 spans="1:25" ht="21.75" customHeight="1" x14ac:dyDescent="0.6">
      <c r="A690" s="21"/>
      <c r="B690" s="23"/>
      <c r="C690" s="21"/>
      <c r="D690" s="23"/>
      <c r="E690" s="21"/>
      <c r="F690" s="23"/>
      <c r="G690" s="21"/>
      <c r="H690" s="23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 spans="1:25" ht="21.75" customHeight="1" x14ac:dyDescent="0.6">
      <c r="A691" s="21"/>
      <c r="B691" s="23"/>
      <c r="C691" s="21"/>
      <c r="D691" s="23"/>
      <c r="E691" s="21"/>
      <c r="F691" s="23"/>
      <c r="G691" s="21"/>
      <c r="H691" s="23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 spans="1:25" ht="21.75" customHeight="1" x14ac:dyDescent="0.6">
      <c r="A692" s="21"/>
      <c r="B692" s="23"/>
      <c r="C692" s="21"/>
      <c r="D692" s="23"/>
      <c r="E692" s="21"/>
      <c r="F692" s="23"/>
      <c r="G692" s="21"/>
      <c r="H692" s="23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 spans="1:25" ht="21.75" customHeight="1" x14ac:dyDescent="0.6">
      <c r="A693" s="21"/>
      <c r="B693" s="23"/>
      <c r="C693" s="21"/>
      <c r="D693" s="23"/>
      <c r="E693" s="21"/>
      <c r="F693" s="23"/>
      <c r="G693" s="21"/>
      <c r="H693" s="23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 spans="1:25" ht="21.75" customHeight="1" x14ac:dyDescent="0.6">
      <c r="A694" s="21"/>
      <c r="B694" s="23"/>
      <c r="C694" s="21"/>
      <c r="D694" s="23"/>
      <c r="E694" s="21"/>
      <c r="F694" s="23"/>
      <c r="G694" s="21"/>
      <c r="H694" s="23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 spans="1:25" ht="21.75" customHeight="1" x14ac:dyDescent="0.6">
      <c r="A695" s="21"/>
      <c r="B695" s="23"/>
      <c r="C695" s="21"/>
      <c r="D695" s="23"/>
      <c r="E695" s="21"/>
      <c r="F695" s="23"/>
      <c r="G695" s="21"/>
      <c r="H695" s="23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 spans="1:25" ht="21.75" customHeight="1" x14ac:dyDescent="0.6">
      <c r="A696" s="21"/>
      <c r="B696" s="23"/>
      <c r="C696" s="21"/>
      <c r="D696" s="23"/>
      <c r="E696" s="21"/>
      <c r="F696" s="23"/>
      <c r="G696" s="21"/>
      <c r="H696" s="23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 spans="1:25" ht="21.75" customHeight="1" x14ac:dyDescent="0.6">
      <c r="A697" s="21"/>
      <c r="B697" s="23"/>
      <c r="C697" s="21"/>
      <c r="D697" s="23"/>
      <c r="E697" s="21"/>
      <c r="F697" s="23"/>
      <c r="G697" s="21"/>
      <c r="H697" s="23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 spans="1:25" ht="21.75" customHeight="1" x14ac:dyDescent="0.6">
      <c r="A698" s="21"/>
      <c r="B698" s="23"/>
      <c r="C698" s="21"/>
      <c r="D698" s="23"/>
      <c r="E698" s="21"/>
      <c r="F698" s="23"/>
      <c r="G698" s="21"/>
      <c r="H698" s="23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 spans="1:25" ht="21.75" customHeight="1" x14ac:dyDescent="0.6">
      <c r="A699" s="21"/>
      <c r="B699" s="23"/>
      <c r="C699" s="21"/>
      <c r="D699" s="23"/>
      <c r="E699" s="21"/>
      <c r="F699" s="23"/>
      <c r="G699" s="21"/>
      <c r="H699" s="23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 spans="1:25" ht="21.75" customHeight="1" x14ac:dyDescent="0.6">
      <c r="A700" s="21"/>
      <c r="B700" s="23"/>
      <c r="C700" s="21"/>
      <c r="D700" s="23"/>
      <c r="E700" s="21"/>
      <c r="F700" s="23"/>
      <c r="G700" s="21"/>
      <c r="H700" s="23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 spans="1:25" ht="21.75" customHeight="1" x14ac:dyDescent="0.6">
      <c r="A701" s="21"/>
      <c r="B701" s="23"/>
      <c r="C701" s="21"/>
      <c r="D701" s="23"/>
      <c r="E701" s="21"/>
      <c r="F701" s="23"/>
      <c r="G701" s="21"/>
      <c r="H701" s="23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 spans="1:25" ht="21.75" customHeight="1" x14ac:dyDescent="0.6">
      <c r="A702" s="21"/>
      <c r="B702" s="23"/>
      <c r="C702" s="21"/>
      <c r="D702" s="23"/>
      <c r="E702" s="21"/>
      <c r="F702" s="23"/>
      <c r="G702" s="21"/>
      <c r="H702" s="23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 spans="1:25" ht="21.75" customHeight="1" x14ac:dyDescent="0.6">
      <c r="A703" s="21"/>
      <c r="B703" s="23"/>
      <c r="C703" s="21"/>
      <c r="D703" s="23"/>
      <c r="E703" s="21"/>
      <c r="F703" s="23"/>
      <c r="G703" s="21"/>
      <c r="H703" s="23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 spans="1:25" ht="21.75" customHeight="1" x14ac:dyDescent="0.6">
      <c r="A704" s="21"/>
      <c r="B704" s="23"/>
      <c r="C704" s="21"/>
      <c r="D704" s="23"/>
      <c r="E704" s="21"/>
      <c r="F704" s="23"/>
      <c r="G704" s="21"/>
      <c r="H704" s="23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 spans="1:25" ht="21.75" customHeight="1" x14ac:dyDescent="0.6">
      <c r="A705" s="21"/>
      <c r="B705" s="23"/>
      <c r="C705" s="21"/>
      <c r="D705" s="23"/>
      <c r="E705" s="21"/>
      <c r="F705" s="23"/>
      <c r="G705" s="21"/>
      <c r="H705" s="23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 spans="1:25" ht="21.75" customHeight="1" x14ac:dyDescent="0.6">
      <c r="A706" s="21"/>
      <c r="B706" s="23"/>
      <c r="C706" s="21"/>
      <c r="D706" s="23"/>
      <c r="E706" s="21"/>
      <c r="F706" s="23"/>
      <c r="G706" s="21"/>
      <c r="H706" s="23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 spans="1:25" ht="21.75" customHeight="1" x14ac:dyDescent="0.6">
      <c r="A707" s="21"/>
      <c r="B707" s="23"/>
      <c r="C707" s="21"/>
      <c r="D707" s="23"/>
      <c r="E707" s="21"/>
      <c r="F707" s="23"/>
      <c r="G707" s="21"/>
      <c r="H707" s="23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 spans="1:25" ht="21.75" customHeight="1" x14ac:dyDescent="0.6">
      <c r="A708" s="21"/>
      <c r="B708" s="23"/>
      <c r="C708" s="21"/>
      <c r="D708" s="23"/>
      <c r="E708" s="21"/>
      <c r="F708" s="23"/>
      <c r="G708" s="21"/>
      <c r="H708" s="23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 spans="1:25" ht="21.75" customHeight="1" x14ac:dyDescent="0.6">
      <c r="A709" s="21"/>
      <c r="B709" s="23"/>
      <c r="C709" s="21"/>
      <c r="D709" s="23"/>
      <c r="E709" s="21"/>
      <c r="F709" s="23"/>
      <c r="G709" s="21"/>
      <c r="H709" s="23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 spans="1:25" ht="21.75" customHeight="1" x14ac:dyDescent="0.6">
      <c r="A710" s="21"/>
      <c r="B710" s="23"/>
      <c r="C710" s="21"/>
      <c r="D710" s="23"/>
      <c r="E710" s="21"/>
      <c r="F710" s="23"/>
      <c r="G710" s="21"/>
      <c r="H710" s="23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 spans="1:25" ht="21.75" customHeight="1" x14ac:dyDescent="0.6">
      <c r="A711" s="21"/>
      <c r="B711" s="23"/>
      <c r="C711" s="21"/>
      <c r="D711" s="23"/>
      <c r="E711" s="21"/>
      <c r="F711" s="23"/>
      <c r="G711" s="21"/>
      <c r="H711" s="23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 spans="1:25" ht="21.75" customHeight="1" x14ac:dyDescent="0.6">
      <c r="A712" s="21"/>
      <c r="B712" s="23"/>
      <c r="C712" s="21"/>
      <c r="D712" s="23"/>
      <c r="E712" s="21"/>
      <c r="F712" s="23"/>
      <c r="G712" s="21"/>
      <c r="H712" s="23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 spans="1:25" ht="21.75" customHeight="1" x14ac:dyDescent="0.6">
      <c r="A713" s="21"/>
      <c r="B713" s="23"/>
      <c r="C713" s="21"/>
      <c r="D713" s="23"/>
      <c r="E713" s="21"/>
      <c r="F713" s="23"/>
      <c r="G713" s="21"/>
      <c r="H713" s="23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 spans="1:25" ht="21.75" customHeight="1" x14ac:dyDescent="0.6">
      <c r="A714" s="21"/>
      <c r="B714" s="23"/>
      <c r="C714" s="21"/>
      <c r="D714" s="23"/>
      <c r="E714" s="21"/>
      <c r="F714" s="23"/>
      <c r="G714" s="21"/>
      <c r="H714" s="23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 spans="1:25" ht="21.75" customHeight="1" x14ac:dyDescent="0.6">
      <c r="A715" s="21"/>
      <c r="B715" s="23"/>
      <c r="C715" s="21"/>
      <c r="D715" s="23"/>
      <c r="E715" s="21"/>
      <c r="F715" s="23"/>
      <c r="G715" s="21"/>
      <c r="H715" s="23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 spans="1:25" ht="21.75" customHeight="1" x14ac:dyDescent="0.6">
      <c r="A716" s="21"/>
      <c r="B716" s="23"/>
      <c r="C716" s="21"/>
      <c r="D716" s="23"/>
      <c r="E716" s="21"/>
      <c r="F716" s="23"/>
      <c r="G716" s="21"/>
      <c r="H716" s="23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 spans="1:25" ht="21.75" customHeight="1" x14ac:dyDescent="0.6">
      <c r="A717" s="21"/>
      <c r="B717" s="23"/>
      <c r="C717" s="21"/>
      <c r="D717" s="23"/>
      <c r="E717" s="21"/>
      <c r="F717" s="23"/>
      <c r="G717" s="21"/>
      <c r="H717" s="23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 spans="1:25" ht="21.75" customHeight="1" x14ac:dyDescent="0.6">
      <c r="A718" s="21"/>
      <c r="B718" s="23"/>
      <c r="C718" s="21"/>
      <c r="D718" s="23"/>
      <c r="E718" s="21"/>
      <c r="F718" s="23"/>
      <c r="G718" s="21"/>
      <c r="H718" s="23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 spans="1:25" ht="21.75" customHeight="1" x14ac:dyDescent="0.6">
      <c r="A719" s="21"/>
      <c r="B719" s="23"/>
      <c r="C719" s="21"/>
      <c r="D719" s="23"/>
      <c r="E719" s="21"/>
      <c r="F719" s="23"/>
      <c r="G719" s="21"/>
      <c r="H719" s="23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 spans="1:25" ht="21.75" customHeight="1" x14ac:dyDescent="0.6">
      <c r="A720" s="21"/>
      <c r="B720" s="23"/>
      <c r="C720" s="21"/>
      <c r="D720" s="23"/>
      <c r="E720" s="21"/>
      <c r="F720" s="23"/>
      <c r="G720" s="21"/>
      <c r="H720" s="23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 spans="1:25" ht="21.75" customHeight="1" x14ac:dyDescent="0.6">
      <c r="A721" s="21"/>
      <c r="B721" s="23"/>
      <c r="C721" s="21"/>
      <c r="D721" s="23"/>
      <c r="E721" s="21"/>
      <c r="F721" s="23"/>
      <c r="G721" s="21"/>
      <c r="H721" s="23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 spans="1:25" ht="21.75" customHeight="1" x14ac:dyDescent="0.6">
      <c r="A722" s="21"/>
      <c r="B722" s="23"/>
      <c r="C722" s="21"/>
      <c r="D722" s="23"/>
      <c r="E722" s="21"/>
      <c r="F722" s="23"/>
      <c r="G722" s="21"/>
      <c r="H722" s="23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 spans="1:25" ht="21.75" customHeight="1" x14ac:dyDescent="0.6">
      <c r="A723" s="21"/>
      <c r="B723" s="23"/>
      <c r="C723" s="21"/>
      <c r="D723" s="23"/>
      <c r="E723" s="21"/>
      <c r="F723" s="23"/>
      <c r="G723" s="21"/>
      <c r="H723" s="23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 spans="1:25" ht="21.75" customHeight="1" x14ac:dyDescent="0.6">
      <c r="A724" s="21"/>
      <c r="B724" s="23"/>
      <c r="C724" s="21"/>
      <c r="D724" s="23"/>
      <c r="E724" s="21"/>
      <c r="F724" s="23"/>
      <c r="G724" s="21"/>
      <c r="H724" s="23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 spans="1:25" ht="21.75" customHeight="1" x14ac:dyDescent="0.6">
      <c r="A725" s="21"/>
      <c r="B725" s="23"/>
      <c r="C725" s="21"/>
      <c r="D725" s="23"/>
      <c r="E725" s="21"/>
      <c r="F725" s="23"/>
      <c r="G725" s="21"/>
      <c r="H725" s="23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 spans="1:25" ht="21.75" customHeight="1" x14ac:dyDescent="0.6">
      <c r="A726" s="21"/>
      <c r="B726" s="23"/>
      <c r="C726" s="21"/>
      <c r="D726" s="23"/>
      <c r="E726" s="21"/>
      <c r="F726" s="23"/>
      <c r="G726" s="21"/>
      <c r="H726" s="23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 spans="1:25" ht="21.75" customHeight="1" x14ac:dyDescent="0.6">
      <c r="A727" s="21"/>
      <c r="B727" s="23"/>
      <c r="C727" s="21"/>
      <c r="D727" s="23"/>
      <c r="E727" s="21"/>
      <c r="F727" s="23"/>
      <c r="G727" s="21"/>
      <c r="H727" s="23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 spans="1:25" ht="21.75" customHeight="1" x14ac:dyDescent="0.6">
      <c r="A728" s="21"/>
      <c r="B728" s="23"/>
      <c r="C728" s="21"/>
      <c r="D728" s="23"/>
      <c r="E728" s="21"/>
      <c r="F728" s="23"/>
      <c r="G728" s="21"/>
      <c r="H728" s="23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 spans="1:25" ht="21.75" customHeight="1" x14ac:dyDescent="0.6">
      <c r="A729" s="21"/>
      <c r="B729" s="23"/>
      <c r="C729" s="21"/>
      <c r="D729" s="23"/>
      <c r="E729" s="21"/>
      <c r="F729" s="23"/>
      <c r="G729" s="21"/>
      <c r="H729" s="23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 spans="1:25" ht="21.75" customHeight="1" x14ac:dyDescent="0.6">
      <c r="A730" s="21"/>
      <c r="B730" s="23"/>
      <c r="C730" s="21"/>
      <c r="D730" s="23"/>
      <c r="E730" s="21"/>
      <c r="F730" s="23"/>
      <c r="G730" s="21"/>
      <c r="H730" s="23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 spans="1:25" ht="21.75" customHeight="1" x14ac:dyDescent="0.6">
      <c r="A731" s="21"/>
      <c r="B731" s="23"/>
      <c r="C731" s="21"/>
      <c r="D731" s="23"/>
      <c r="E731" s="21"/>
      <c r="F731" s="23"/>
      <c r="G731" s="21"/>
      <c r="H731" s="23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 spans="1:25" ht="21.75" customHeight="1" x14ac:dyDescent="0.6">
      <c r="A732" s="21"/>
      <c r="B732" s="23"/>
      <c r="C732" s="21"/>
      <c r="D732" s="23"/>
      <c r="E732" s="21"/>
      <c r="F732" s="23"/>
      <c r="G732" s="21"/>
      <c r="H732" s="23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 spans="1:25" ht="21.75" customHeight="1" x14ac:dyDescent="0.6">
      <c r="A733" s="21"/>
      <c r="B733" s="23"/>
      <c r="C733" s="21"/>
      <c r="D733" s="23"/>
      <c r="E733" s="21"/>
      <c r="F733" s="23"/>
      <c r="G733" s="21"/>
      <c r="H733" s="23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 spans="1:25" ht="21.75" customHeight="1" x14ac:dyDescent="0.6">
      <c r="A734" s="21"/>
      <c r="B734" s="23"/>
      <c r="C734" s="21"/>
      <c r="D734" s="23"/>
      <c r="E734" s="21"/>
      <c r="F734" s="23"/>
      <c r="G734" s="21"/>
      <c r="H734" s="23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 spans="1:25" ht="21.75" customHeight="1" x14ac:dyDescent="0.6">
      <c r="A735" s="21"/>
      <c r="B735" s="23"/>
      <c r="C735" s="21"/>
      <c r="D735" s="23"/>
      <c r="E735" s="21"/>
      <c r="F735" s="23"/>
      <c r="G735" s="21"/>
      <c r="H735" s="23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 spans="1:25" ht="21.75" customHeight="1" x14ac:dyDescent="0.6">
      <c r="A736" s="21"/>
      <c r="B736" s="23"/>
      <c r="C736" s="21"/>
      <c r="D736" s="23"/>
      <c r="E736" s="21"/>
      <c r="F736" s="23"/>
      <c r="G736" s="21"/>
      <c r="H736" s="23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 spans="1:25" ht="21.75" customHeight="1" x14ac:dyDescent="0.6">
      <c r="A737" s="21"/>
      <c r="B737" s="23"/>
      <c r="C737" s="21"/>
      <c r="D737" s="23"/>
      <c r="E737" s="21"/>
      <c r="F737" s="23"/>
      <c r="G737" s="21"/>
      <c r="H737" s="23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 spans="1:25" ht="21.75" customHeight="1" x14ac:dyDescent="0.6">
      <c r="A738" s="21"/>
      <c r="B738" s="23"/>
      <c r="C738" s="21"/>
      <c r="D738" s="23"/>
      <c r="E738" s="21"/>
      <c r="F738" s="23"/>
      <c r="G738" s="21"/>
      <c r="H738" s="23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 spans="1:25" ht="21.75" customHeight="1" x14ac:dyDescent="0.6">
      <c r="A739" s="21"/>
      <c r="B739" s="23"/>
      <c r="C739" s="21"/>
      <c r="D739" s="23"/>
      <c r="E739" s="21"/>
      <c r="F739" s="23"/>
      <c r="G739" s="21"/>
      <c r="H739" s="23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 spans="1:25" ht="21.75" customHeight="1" x14ac:dyDescent="0.6">
      <c r="A740" s="21"/>
      <c r="B740" s="23"/>
      <c r="C740" s="21"/>
      <c r="D740" s="23"/>
      <c r="E740" s="21"/>
      <c r="F740" s="23"/>
      <c r="G740" s="21"/>
      <c r="H740" s="23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 spans="1:25" ht="21.75" customHeight="1" x14ac:dyDescent="0.6">
      <c r="A741" s="21"/>
      <c r="B741" s="23"/>
      <c r="C741" s="21"/>
      <c r="D741" s="23"/>
      <c r="E741" s="21"/>
      <c r="F741" s="23"/>
      <c r="G741" s="21"/>
      <c r="H741" s="23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 spans="1:25" ht="21.75" customHeight="1" x14ac:dyDescent="0.6">
      <c r="A742" s="21"/>
      <c r="B742" s="23"/>
      <c r="C742" s="21"/>
      <c r="D742" s="23"/>
      <c r="E742" s="21"/>
      <c r="F742" s="23"/>
      <c r="G742" s="21"/>
      <c r="H742" s="23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 spans="1:25" ht="21.75" customHeight="1" x14ac:dyDescent="0.6">
      <c r="A743" s="21"/>
      <c r="B743" s="23"/>
      <c r="C743" s="21"/>
      <c r="D743" s="23"/>
      <c r="E743" s="21"/>
      <c r="F743" s="23"/>
      <c r="G743" s="21"/>
      <c r="H743" s="23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 spans="1:25" ht="21.75" customHeight="1" x14ac:dyDescent="0.6">
      <c r="A744" s="21"/>
      <c r="B744" s="23"/>
      <c r="C744" s="21"/>
      <c r="D744" s="23"/>
      <c r="E744" s="21"/>
      <c r="F744" s="23"/>
      <c r="G744" s="21"/>
      <c r="H744" s="23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 spans="1:25" ht="21.75" customHeight="1" x14ac:dyDescent="0.6">
      <c r="A745" s="21"/>
      <c r="B745" s="23"/>
      <c r="C745" s="21"/>
      <c r="D745" s="23"/>
      <c r="E745" s="21"/>
      <c r="F745" s="23"/>
      <c r="G745" s="21"/>
      <c r="H745" s="23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 spans="1:25" ht="21.75" customHeight="1" x14ac:dyDescent="0.6">
      <c r="A746" s="21"/>
      <c r="B746" s="23"/>
      <c r="C746" s="21"/>
      <c r="D746" s="23"/>
      <c r="E746" s="21"/>
      <c r="F746" s="23"/>
      <c r="G746" s="21"/>
      <c r="H746" s="23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 spans="1:25" ht="21.75" customHeight="1" x14ac:dyDescent="0.6">
      <c r="A747" s="21"/>
      <c r="B747" s="23"/>
      <c r="C747" s="21"/>
      <c r="D747" s="23"/>
      <c r="E747" s="21"/>
      <c r="F747" s="23"/>
      <c r="G747" s="21"/>
      <c r="H747" s="23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 spans="1:25" ht="21.75" customHeight="1" x14ac:dyDescent="0.6">
      <c r="A748" s="21"/>
      <c r="B748" s="23"/>
      <c r="C748" s="21"/>
      <c r="D748" s="23"/>
      <c r="E748" s="21"/>
      <c r="F748" s="23"/>
      <c r="G748" s="21"/>
      <c r="H748" s="23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 spans="1:25" ht="21.75" customHeight="1" x14ac:dyDescent="0.6">
      <c r="A749" s="21"/>
      <c r="B749" s="23"/>
      <c r="C749" s="21"/>
      <c r="D749" s="23"/>
      <c r="E749" s="21"/>
      <c r="F749" s="23"/>
      <c r="G749" s="21"/>
      <c r="H749" s="23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 spans="1:25" ht="21.75" customHeight="1" x14ac:dyDescent="0.6">
      <c r="A750" s="21"/>
      <c r="B750" s="23"/>
      <c r="C750" s="21"/>
      <c r="D750" s="23"/>
      <c r="E750" s="21"/>
      <c r="F750" s="23"/>
      <c r="G750" s="21"/>
      <c r="H750" s="23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 spans="1:25" ht="21.75" customHeight="1" x14ac:dyDescent="0.6">
      <c r="A751" s="21"/>
      <c r="B751" s="23"/>
      <c r="C751" s="21"/>
      <c r="D751" s="23"/>
      <c r="E751" s="21"/>
      <c r="F751" s="23"/>
      <c r="G751" s="21"/>
      <c r="H751" s="23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 spans="1:25" ht="21.75" customHeight="1" x14ac:dyDescent="0.6">
      <c r="A752" s="21"/>
      <c r="B752" s="23"/>
      <c r="C752" s="21"/>
      <c r="D752" s="23"/>
      <c r="E752" s="21"/>
      <c r="F752" s="23"/>
      <c r="G752" s="21"/>
      <c r="H752" s="23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 spans="1:25" ht="21.75" customHeight="1" x14ac:dyDescent="0.6">
      <c r="A753" s="21"/>
      <c r="B753" s="23"/>
      <c r="C753" s="21"/>
      <c r="D753" s="23"/>
      <c r="E753" s="21"/>
      <c r="F753" s="23"/>
      <c r="G753" s="21"/>
      <c r="H753" s="23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 spans="1:25" ht="21.75" customHeight="1" x14ac:dyDescent="0.6">
      <c r="A754" s="21"/>
      <c r="B754" s="23"/>
      <c r="C754" s="21"/>
      <c r="D754" s="23"/>
      <c r="E754" s="21"/>
      <c r="F754" s="23"/>
      <c r="G754" s="21"/>
      <c r="H754" s="23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 spans="1:25" ht="21.75" customHeight="1" x14ac:dyDescent="0.6">
      <c r="A755" s="21"/>
      <c r="B755" s="23"/>
      <c r="C755" s="21"/>
      <c r="D755" s="23"/>
      <c r="E755" s="21"/>
      <c r="F755" s="23"/>
      <c r="G755" s="21"/>
      <c r="H755" s="23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 spans="1:25" ht="21.75" customHeight="1" x14ac:dyDescent="0.6">
      <c r="A756" s="21"/>
      <c r="B756" s="23"/>
      <c r="C756" s="21"/>
      <c r="D756" s="23"/>
      <c r="E756" s="21"/>
      <c r="F756" s="23"/>
      <c r="G756" s="21"/>
      <c r="H756" s="23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 spans="1:25" ht="21.75" customHeight="1" x14ac:dyDescent="0.6">
      <c r="A757" s="21"/>
      <c r="B757" s="23"/>
      <c r="C757" s="21"/>
      <c r="D757" s="23"/>
      <c r="E757" s="21"/>
      <c r="F757" s="23"/>
      <c r="G757" s="21"/>
      <c r="H757" s="23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 spans="1:25" ht="21.75" customHeight="1" x14ac:dyDescent="0.6">
      <c r="A758" s="21"/>
      <c r="B758" s="23"/>
      <c r="C758" s="21"/>
      <c r="D758" s="23"/>
      <c r="E758" s="21"/>
      <c r="F758" s="23"/>
      <c r="G758" s="21"/>
      <c r="H758" s="23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 spans="1:25" ht="21.75" customHeight="1" x14ac:dyDescent="0.6">
      <c r="A759" s="21"/>
      <c r="B759" s="23"/>
      <c r="C759" s="21"/>
      <c r="D759" s="23"/>
      <c r="E759" s="21"/>
      <c r="F759" s="23"/>
      <c r="G759" s="21"/>
      <c r="H759" s="23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 spans="1:25" ht="21.75" customHeight="1" x14ac:dyDescent="0.6">
      <c r="A760" s="21"/>
      <c r="B760" s="23"/>
      <c r="C760" s="21"/>
      <c r="D760" s="23"/>
      <c r="E760" s="21"/>
      <c r="F760" s="23"/>
      <c r="G760" s="21"/>
      <c r="H760" s="23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 spans="1:25" ht="21.75" customHeight="1" x14ac:dyDescent="0.6">
      <c r="A761" s="21"/>
      <c r="B761" s="23"/>
      <c r="C761" s="21"/>
      <c r="D761" s="23"/>
      <c r="E761" s="21"/>
      <c r="F761" s="23"/>
      <c r="G761" s="21"/>
      <c r="H761" s="23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 spans="1:25" ht="21.75" customHeight="1" x14ac:dyDescent="0.6">
      <c r="A762" s="21"/>
      <c r="B762" s="23"/>
      <c r="C762" s="21"/>
      <c r="D762" s="23"/>
      <c r="E762" s="21"/>
      <c r="F762" s="23"/>
      <c r="G762" s="21"/>
      <c r="H762" s="23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 spans="1:25" ht="21.75" customHeight="1" x14ac:dyDescent="0.6">
      <c r="A763" s="21"/>
      <c r="B763" s="23"/>
      <c r="C763" s="21"/>
      <c r="D763" s="23"/>
      <c r="E763" s="21"/>
      <c r="F763" s="23"/>
      <c r="G763" s="21"/>
      <c r="H763" s="23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 spans="1:25" ht="21.75" customHeight="1" x14ac:dyDescent="0.6">
      <c r="A764" s="21"/>
      <c r="B764" s="23"/>
      <c r="C764" s="21"/>
      <c r="D764" s="23"/>
      <c r="E764" s="21"/>
      <c r="F764" s="23"/>
      <c r="G764" s="21"/>
      <c r="H764" s="23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 spans="1:25" ht="21.75" customHeight="1" x14ac:dyDescent="0.6">
      <c r="A765" s="21"/>
      <c r="B765" s="23"/>
      <c r="C765" s="21"/>
      <c r="D765" s="23"/>
      <c r="E765" s="21"/>
      <c r="F765" s="23"/>
      <c r="G765" s="21"/>
      <c r="H765" s="23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 spans="1:25" ht="21.75" customHeight="1" x14ac:dyDescent="0.6">
      <c r="A766" s="21"/>
      <c r="B766" s="23"/>
      <c r="C766" s="21"/>
      <c r="D766" s="23"/>
      <c r="E766" s="21"/>
      <c r="F766" s="23"/>
      <c r="G766" s="21"/>
      <c r="H766" s="23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 spans="1:25" ht="21.75" customHeight="1" x14ac:dyDescent="0.6">
      <c r="A767" s="21"/>
      <c r="B767" s="23"/>
      <c r="C767" s="21"/>
      <c r="D767" s="23"/>
      <c r="E767" s="21"/>
      <c r="F767" s="23"/>
      <c r="G767" s="21"/>
      <c r="H767" s="23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 spans="1:25" ht="21.75" customHeight="1" x14ac:dyDescent="0.6">
      <c r="A768" s="21"/>
      <c r="B768" s="23"/>
      <c r="C768" s="21"/>
      <c r="D768" s="23"/>
      <c r="E768" s="21"/>
      <c r="F768" s="23"/>
      <c r="G768" s="21"/>
      <c r="H768" s="23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 spans="1:25" ht="21.75" customHeight="1" x14ac:dyDescent="0.6">
      <c r="A769" s="21"/>
      <c r="B769" s="23"/>
      <c r="C769" s="21"/>
      <c r="D769" s="23"/>
      <c r="E769" s="21"/>
      <c r="F769" s="23"/>
      <c r="G769" s="21"/>
      <c r="H769" s="23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 spans="1:25" ht="21.75" customHeight="1" x14ac:dyDescent="0.6">
      <c r="A770" s="21"/>
      <c r="B770" s="23"/>
      <c r="C770" s="21"/>
      <c r="D770" s="23"/>
      <c r="E770" s="21"/>
      <c r="F770" s="23"/>
      <c r="G770" s="21"/>
      <c r="H770" s="23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 spans="1:25" ht="21.75" customHeight="1" x14ac:dyDescent="0.6">
      <c r="A771" s="21"/>
      <c r="B771" s="23"/>
      <c r="C771" s="21"/>
      <c r="D771" s="23"/>
      <c r="E771" s="21"/>
      <c r="F771" s="23"/>
      <c r="G771" s="21"/>
      <c r="H771" s="23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 spans="1:25" ht="21.75" customHeight="1" x14ac:dyDescent="0.6">
      <c r="A772" s="21"/>
      <c r="B772" s="23"/>
      <c r="C772" s="21"/>
      <c r="D772" s="23"/>
      <c r="E772" s="21"/>
      <c r="F772" s="23"/>
      <c r="G772" s="21"/>
      <c r="H772" s="23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 spans="1:25" ht="21.75" customHeight="1" x14ac:dyDescent="0.6">
      <c r="A773" s="21"/>
      <c r="B773" s="23"/>
      <c r="C773" s="21"/>
      <c r="D773" s="23"/>
      <c r="E773" s="21"/>
      <c r="F773" s="23"/>
      <c r="G773" s="21"/>
      <c r="H773" s="23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 spans="1:25" ht="21.75" customHeight="1" x14ac:dyDescent="0.6">
      <c r="A774" s="21"/>
      <c r="B774" s="23"/>
      <c r="C774" s="21"/>
      <c r="D774" s="23"/>
      <c r="E774" s="21"/>
      <c r="F774" s="23"/>
      <c r="G774" s="21"/>
      <c r="H774" s="23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 spans="1:25" ht="21.75" customHeight="1" x14ac:dyDescent="0.6">
      <c r="A775" s="21"/>
      <c r="B775" s="23"/>
      <c r="C775" s="21"/>
      <c r="D775" s="23"/>
      <c r="E775" s="21"/>
      <c r="F775" s="23"/>
      <c r="G775" s="21"/>
      <c r="H775" s="23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 spans="1:25" ht="21.75" customHeight="1" x14ac:dyDescent="0.6">
      <c r="A776" s="21"/>
      <c r="B776" s="23"/>
      <c r="C776" s="21"/>
      <c r="D776" s="23"/>
      <c r="E776" s="21"/>
      <c r="F776" s="23"/>
      <c r="G776" s="21"/>
      <c r="H776" s="23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 spans="1:25" ht="21.75" customHeight="1" x14ac:dyDescent="0.6">
      <c r="A777" s="21"/>
      <c r="B777" s="23"/>
      <c r="C777" s="21"/>
      <c r="D777" s="23"/>
      <c r="E777" s="21"/>
      <c r="F777" s="23"/>
      <c r="G777" s="21"/>
      <c r="H777" s="23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 spans="1:25" ht="21.75" customHeight="1" x14ac:dyDescent="0.6">
      <c r="A778" s="21"/>
      <c r="B778" s="23"/>
      <c r="C778" s="21"/>
      <c r="D778" s="23"/>
      <c r="E778" s="21"/>
      <c r="F778" s="23"/>
      <c r="G778" s="21"/>
      <c r="H778" s="23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 spans="1:25" ht="21.75" customHeight="1" x14ac:dyDescent="0.6">
      <c r="A779" s="21"/>
      <c r="B779" s="23"/>
      <c r="C779" s="21"/>
      <c r="D779" s="23"/>
      <c r="E779" s="21"/>
      <c r="F779" s="23"/>
      <c r="G779" s="21"/>
      <c r="H779" s="23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 spans="1:25" ht="21.75" customHeight="1" x14ac:dyDescent="0.6">
      <c r="A780" s="21"/>
      <c r="B780" s="23"/>
      <c r="C780" s="21"/>
      <c r="D780" s="23"/>
      <c r="E780" s="21"/>
      <c r="F780" s="23"/>
      <c r="G780" s="21"/>
      <c r="H780" s="23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 spans="1:25" ht="21.75" customHeight="1" x14ac:dyDescent="0.6">
      <c r="A781" s="21"/>
      <c r="B781" s="23"/>
      <c r="C781" s="21"/>
      <c r="D781" s="23"/>
      <c r="E781" s="21"/>
      <c r="F781" s="23"/>
      <c r="G781" s="21"/>
      <c r="H781" s="23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 spans="1:25" ht="21.75" customHeight="1" x14ac:dyDescent="0.6">
      <c r="A782" s="21"/>
      <c r="B782" s="23"/>
      <c r="C782" s="21"/>
      <c r="D782" s="23"/>
      <c r="E782" s="21"/>
      <c r="F782" s="23"/>
      <c r="G782" s="21"/>
      <c r="H782" s="23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 spans="1:25" ht="21.75" customHeight="1" x14ac:dyDescent="0.6">
      <c r="A783" s="21"/>
      <c r="B783" s="23"/>
      <c r="C783" s="21"/>
      <c r="D783" s="23"/>
      <c r="E783" s="21"/>
      <c r="F783" s="23"/>
      <c r="G783" s="21"/>
      <c r="H783" s="23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 spans="1:25" ht="21.75" customHeight="1" x14ac:dyDescent="0.6">
      <c r="A784" s="21"/>
      <c r="B784" s="23"/>
      <c r="C784" s="21"/>
      <c r="D784" s="23"/>
      <c r="E784" s="21"/>
      <c r="F784" s="23"/>
      <c r="G784" s="21"/>
      <c r="H784" s="23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 spans="1:25" ht="21.75" customHeight="1" x14ac:dyDescent="0.6">
      <c r="A785" s="21"/>
      <c r="B785" s="23"/>
      <c r="C785" s="21"/>
      <c r="D785" s="23"/>
      <c r="E785" s="21"/>
      <c r="F785" s="23"/>
      <c r="G785" s="21"/>
      <c r="H785" s="23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 spans="1:25" ht="21.75" customHeight="1" x14ac:dyDescent="0.6">
      <c r="A786" s="21"/>
      <c r="B786" s="23"/>
      <c r="C786" s="21"/>
      <c r="D786" s="23"/>
      <c r="E786" s="21"/>
      <c r="F786" s="23"/>
      <c r="G786" s="21"/>
      <c r="H786" s="23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 spans="1:25" ht="21.75" customHeight="1" x14ac:dyDescent="0.6">
      <c r="A787" s="21"/>
      <c r="B787" s="23"/>
      <c r="C787" s="21"/>
      <c r="D787" s="23"/>
      <c r="E787" s="21"/>
      <c r="F787" s="23"/>
      <c r="G787" s="21"/>
      <c r="H787" s="23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 spans="1:25" ht="21.75" customHeight="1" x14ac:dyDescent="0.6">
      <c r="A788" s="21"/>
      <c r="B788" s="23"/>
      <c r="C788" s="21"/>
      <c r="D788" s="23"/>
      <c r="E788" s="21"/>
      <c r="F788" s="23"/>
      <c r="G788" s="21"/>
      <c r="H788" s="23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 spans="1:25" ht="21.75" customHeight="1" x14ac:dyDescent="0.6">
      <c r="A789" s="21"/>
      <c r="B789" s="23"/>
      <c r="C789" s="21"/>
      <c r="D789" s="23"/>
      <c r="E789" s="21"/>
      <c r="F789" s="23"/>
      <c r="G789" s="21"/>
      <c r="H789" s="23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 spans="1:25" ht="21.75" customHeight="1" x14ac:dyDescent="0.6">
      <c r="A790" s="21"/>
      <c r="B790" s="23"/>
      <c r="C790" s="21"/>
      <c r="D790" s="23"/>
      <c r="E790" s="21"/>
      <c r="F790" s="23"/>
      <c r="G790" s="21"/>
      <c r="H790" s="23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 spans="1:25" ht="21.75" customHeight="1" x14ac:dyDescent="0.6">
      <c r="A791" s="21"/>
      <c r="B791" s="23"/>
      <c r="C791" s="21"/>
      <c r="D791" s="23"/>
      <c r="E791" s="21"/>
      <c r="F791" s="23"/>
      <c r="G791" s="21"/>
      <c r="H791" s="23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 spans="1:25" ht="21.75" customHeight="1" x14ac:dyDescent="0.6">
      <c r="A792" s="21"/>
      <c r="B792" s="23"/>
      <c r="C792" s="21"/>
      <c r="D792" s="23"/>
      <c r="E792" s="21"/>
      <c r="F792" s="23"/>
      <c r="G792" s="21"/>
      <c r="H792" s="23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 spans="1:25" ht="21.75" customHeight="1" x14ac:dyDescent="0.6">
      <c r="A793" s="21"/>
      <c r="B793" s="23"/>
      <c r="C793" s="21"/>
      <c r="D793" s="23"/>
      <c r="E793" s="21"/>
      <c r="F793" s="23"/>
      <c r="G793" s="21"/>
      <c r="H793" s="23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 spans="1:25" ht="21.75" customHeight="1" x14ac:dyDescent="0.6">
      <c r="A794" s="21"/>
      <c r="B794" s="23"/>
      <c r="C794" s="21"/>
      <c r="D794" s="23"/>
      <c r="E794" s="21"/>
      <c r="F794" s="23"/>
      <c r="G794" s="21"/>
      <c r="H794" s="23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 spans="1:25" ht="21.75" customHeight="1" x14ac:dyDescent="0.6">
      <c r="A795" s="21"/>
      <c r="B795" s="23"/>
      <c r="C795" s="21"/>
      <c r="D795" s="23"/>
      <c r="E795" s="21"/>
      <c r="F795" s="23"/>
      <c r="G795" s="21"/>
      <c r="H795" s="23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 spans="1:25" ht="21.75" customHeight="1" x14ac:dyDescent="0.6">
      <c r="A796" s="21"/>
      <c r="B796" s="23"/>
      <c r="C796" s="21"/>
      <c r="D796" s="23"/>
      <c r="E796" s="21"/>
      <c r="F796" s="23"/>
      <c r="G796" s="21"/>
      <c r="H796" s="23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 spans="1:25" ht="21.75" customHeight="1" x14ac:dyDescent="0.6">
      <c r="A797" s="21"/>
      <c r="B797" s="23"/>
      <c r="C797" s="21"/>
      <c r="D797" s="23"/>
      <c r="E797" s="21"/>
      <c r="F797" s="23"/>
      <c r="G797" s="21"/>
      <c r="H797" s="23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 spans="1:25" ht="21.75" customHeight="1" x14ac:dyDescent="0.6">
      <c r="A798" s="21"/>
      <c r="B798" s="23"/>
      <c r="C798" s="21"/>
      <c r="D798" s="23"/>
      <c r="E798" s="21"/>
      <c r="F798" s="23"/>
      <c r="G798" s="21"/>
      <c r="H798" s="23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 spans="1:25" ht="21.75" customHeight="1" x14ac:dyDescent="0.6">
      <c r="A799" s="21"/>
      <c r="B799" s="23"/>
      <c r="C799" s="21"/>
      <c r="D799" s="23"/>
      <c r="E799" s="21"/>
      <c r="F799" s="23"/>
      <c r="G799" s="21"/>
      <c r="H799" s="23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 spans="1:25" ht="21.75" customHeight="1" x14ac:dyDescent="0.6">
      <c r="A800" s="21"/>
      <c r="B800" s="23"/>
      <c r="C800" s="21"/>
      <c r="D800" s="23"/>
      <c r="E800" s="21"/>
      <c r="F800" s="23"/>
      <c r="G800" s="21"/>
      <c r="H800" s="23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 spans="1:25" ht="21.75" customHeight="1" x14ac:dyDescent="0.6">
      <c r="A801" s="21"/>
      <c r="B801" s="23"/>
      <c r="C801" s="21"/>
      <c r="D801" s="23"/>
      <c r="E801" s="21"/>
      <c r="F801" s="23"/>
      <c r="G801" s="21"/>
      <c r="H801" s="23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 spans="1:25" ht="21.75" customHeight="1" x14ac:dyDescent="0.6">
      <c r="A802" s="21"/>
      <c r="B802" s="23"/>
      <c r="C802" s="21"/>
      <c r="D802" s="23"/>
      <c r="E802" s="21"/>
      <c r="F802" s="23"/>
      <c r="G802" s="21"/>
      <c r="H802" s="23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 spans="1:25" ht="21.75" customHeight="1" x14ac:dyDescent="0.6">
      <c r="A803" s="21"/>
      <c r="B803" s="23"/>
      <c r="C803" s="21"/>
      <c r="D803" s="23"/>
      <c r="E803" s="21"/>
      <c r="F803" s="23"/>
      <c r="G803" s="21"/>
      <c r="H803" s="23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 spans="1:25" ht="21.75" customHeight="1" x14ac:dyDescent="0.6">
      <c r="A804" s="21"/>
      <c r="B804" s="23"/>
      <c r="C804" s="21"/>
      <c r="D804" s="23"/>
      <c r="E804" s="21"/>
      <c r="F804" s="23"/>
      <c r="G804" s="21"/>
      <c r="H804" s="23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 spans="1:25" ht="21.75" customHeight="1" x14ac:dyDescent="0.6">
      <c r="A805" s="21"/>
      <c r="B805" s="23"/>
      <c r="C805" s="21"/>
      <c r="D805" s="23"/>
      <c r="E805" s="21"/>
      <c r="F805" s="23"/>
      <c r="G805" s="21"/>
      <c r="H805" s="23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 spans="1:25" ht="21.75" customHeight="1" x14ac:dyDescent="0.6">
      <c r="A806" s="21"/>
      <c r="B806" s="23"/>
      <c r="C806" s="21"/>
      <c r="D806" s="23"/>
      <c r="E806" s="21"/>
      <c r="F806" s="23"/>
      <c r="G806" s="21"/>
      <c r="H806" s="23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 spans="1:25" ht="21.75" customHeight="1" x14ac:dyDescent="0.6">
      <c r="A807" s="21"/>
      <c r="B807" s="23"/>
      <c r="C807" s="21"/>
      <c r="D807" s="23"/>
      <c r="E807" s="21"/>
      <c r="F807" s="23"/>
      <c r="G807" s="21"/>
      <c r="H807" s="23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 spans="1:25" ht="21.75" customHeight="1" x14ac:dyDescent="0.6">
      <c r="A808" s="21"/>
      <c r="B808" s="23"/>
      <c r="C808" s="21"/>
      <c r="D808" s="23"/>
      <c r="E808" s="21"/>
      <c r="F808" s="23"/>
      <c r="G808" s="21"/>
      <c r="H808" s="23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 spans="1:25" ht="21.75" customHeight="1" x14ac:dyDescent="0.6">
      <c r="A809" s="21"/>
      <c r="B809" s="23"/>
      <c r="C809" s="21"/>
      <c r="D809" s="23"/>
      <c r="E809" s="21"/>
      <c r="F809" s="23"/>
      <c r="G809" s="21"/>
      <c r="H809" s="23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 spans="1:25" ht="21.75" customHeight="1" x14ac:dyDescent="0.6">
      <c r="A810" s="21"/>
      <c r="B810" s="23"/>
      <c r="C810" s="21"/>
      <c r="D810" s="23"/>
      <c r="E810" s="21"/>
      <c r="F810" s="23"/>
      <c r="G810" s="21"/>
      <c r="H810" s="23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 spans="1:25" ht="21.75" customHeight="1" x14ac:dyDescent="0.6">
      <c r="A811" s="21"/>
      <c r="B811" s="23"/>
      <c r="C811" s="21"/>
      <c r="D811" s="23"/>
      <c r="E811" s="21"/>
      <c r="F811" s="23"/>
      <c r="G811" s="21"/>
      <c r="H811" s="23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 spans="1:25" ht="21.75" customHeight="1" x14ac:dyDescent="0.6">
      <c r="A812" s="21"/>
      <c r="B812" s="23"/>
      <c r="C812" s="21"/>
      <c r="D812" s="23"/>
      <c r="E812" s="21"/>
      <c r="F812" s="23"/>
      <c r="G812" s="21"/>
      <c r="H812" s="23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 spans="1:25" ht="21.75" customHeight="1" x14ac:dyDescent="0.6">
      <c r="A813" s="21"/>
      <c r="B813" s="23"/>
      <c r="C813" s="21"/>
      <c r="D813" s="23"/>
      <c r="E813" s="21"/>
      <c r="F813" s="23"/>
      <c r="G813" s="21"/>
      <c r="H813" s="23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 spans="1:25" ht="21.75" customHeight="1" x14ac:dyDescent="0.6">
      <c r="A814" s="21"/>
      <c r="B814" s="23"/>
      <c r="C814" s="21"/>
      <c r="D814" s="23"/>
      <c r="E814" s="21"/>
      <c r="F814" s="23"/>
      <c r="G814" s="21"/>
      <c r="H814" s="23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 spans="1:25" ht="21.75" customHeight="1" x14ac:dyDescent="0.6">
      <c r="A815" s="21"/>
      <c r="B815" s="23"/>
      <c r="C815" s="21"/>
      <c r="D815" s="23"/>
      <c r="E815" s="21"/>
      <c r="F815" s="23"/>
      <c r="G815" s="21"/>
      <c r="H815" s="23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 spans="1:25" ht="21.75" customHeight="1" x14ac:dyDescent="0.6">
      <c r="A816" s="21"/>
      <c r="B816" s="23"/>
      <c r="C816" s="21"/>
      <c r="D816" s="23"/>
      <c r="E816" s="21"/>
      <c r="F816" s="23"/>
      <c r="G816" s="21"/>
      <c r="H816" s="23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 spans="1:25" ht="21.75" customHeight="1" x14ac:dyDescent="0.6">
      <c r="A817" s="21"/>
      <c r="B817" s="23"/>
      <c r="C817" s="21"/>
      <c r="D817" s="23"/>
      <c r="E817" s="21"/>
      <c r="F817" s="23"/>
      <c r="G817" s="21"/>
      <c r="H817" s="23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 spans="1:25" ht="21.75" customHeight="1" x14ac:dyDescent="0.6">
      <c r="A818" s="21"/>
      <c r="B818" s="23"/>
      <c r="C818" s="21"/>
      <c r="D818" s="23"/>
      <c r="E818" s="21"/>
      <c r="F818" s="23"/>
      <c r="G818" s="21"/>
      <c r="H818" s="23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 spans="1:25" ht="21.75" customHeight="1" x14ac:dyDescent="0.6">
      <c r="A819" s="21"/>
      <c r="B819" s="23"/>
      <c r="C819" s="21"/>
      <c r="D819" s="23"/>
      <c r="E819" s="21"/>
      <c r="F819" s="23"/>
      <c r="G819" s="21"/>
      <c r="H819" s="23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 spans="1:25" ht="21.75" customHeight="1" x14ac:dyDescent="0.6">
      <c r="A820" s="21"/>
      <c r="B820" s="23"/>
      <c r="C820" s="21"/>
      <c r="D820" s="23"/>
      <c r="E820" s="21"/>
      <c r="F820" s="23"/>
      <c r="G820" s="21"/>
      <c r="H820" s="23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 spans="1:25" ht="21.75" customHeight="1" x14ac:dyDescent="0.6">
      <c r="A821" s="21"/>
      <c r="B821" s="23"/>
      <c r="C821" s="21"/>
      <c r="D821" s="23"/>
      <c r="E821" s="21"/>
      <c r="F821" s="23"/>
      <c r="G821" s="21"/>
      <c r="H821" s="23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 spans="1:25" ht="21.75" customHeight="1" x14ac:dyDescent="0.6">
      <c r="A822" s="21"/>
      <c r="B822" s="23"/>
      <c r="C822" s="21"/>
      <c r="D822" s="23"/>
      <c r="E822" s="21"/>
      <c r="F822" s="23"/>
      <c r="G822" s="21"/>
      <c r="H822" s="23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 spans="1:25" ht="21.75" customHeight="1" x14ac:dyDescent="0.6">
      <c r="A823" s="21"/>
      <c r="B823" s="23"/>
      <c r="C823" s="21"/>
      <c r="D823" s="23"/>
      <c r="E823" s="21"/>
      <c r="F823" s="23"/>
      <c r="G823" s="21"/>
      <c r="H823" s="23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 spans="1:25" ht="21.75" customHeight="1" x14ac:dyDescent="0.6">
      <c r="A824" s="21"/>
      <c r="B824" s="23"/>
      <c r="C824" s="21"/>
      <c r="D824" s="23"/>
      <c r="E824" s="21"/>
      <c r="F824" s="23"/>
      <c r="G824" s="21"/>
      <c r="H824" s="23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 spans="1:25" ht="21.75" customHeight="1" x14ac:dyDescent="0.6">
      <c r="A825" s="21"/>
      <c r="B825" s="23"/>
      <c r="C825" s="21"/>
      <c r="D825" s="23"/>
      <c r="E825" s="21"/>
      <c r="F825" s="23"/>
      <c r="G825" s="21"/>
      <c r="H825" s="23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 spans="1:25" ht="21.75" customHeight="1" x14ac:dyDescent="0.6">
      <c r="A826" s="21"/>
      <c r="B826" s="23"/>
      <c r="C826" s="21"/>
      <c r="D826" s="23"/>
      <c r="E826" s="21"/>
      <c r="F826" s="23"/>
      <c r="G826" s="21"/>
      <c r="H826" s="23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 spans="1:25" ht="21.75" customHeight="1" x14ac:dyDescent="0.6">
      <c r="A827" s="21"/>
      <c r="B827" s="23"/>
      <c r="C827" s="21"/>
      <c r="D827" s="23"/>
      <c r="E827" s="21"/>
      <c r="F827" s="23"/>
      <c r="G827" s="21"/>
      <c r="H827" s="23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 spans="1:25" ht="21.75" customHeight="1" x14ac:dyDescent="0.6">
      <c r="A828" s="21"/>
      <c r="B828" s="23"/>
      <c r="C828" s="21"/>
      <c r="D828" s="23"/>
      <c r="E828" s="21"/>
      <c r="F828" s="23"/>
      <c r="G828" s="21"/>
      <c r="H828" s="23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 spans="1:25" ht="21.75" customHeight="1" x14ac:dyDescent="0.6">
      <c r="A829" s="21"/>
      <c r="B829" s="23"/>
      <c r="C829" s="21"/>
      <c r="D829" s="23"/>
      <c r="E829" s="21"/>
      <c r="F829" s="23"/>
      <c r="G829" s="21"/>
      <c r="H829" s="23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 spans="1:25" ht="21.75" customHeight="1" x14ac:dyDescent="0.6">
      <c r="A830" s="21"/>
      <c r="B830" s="23"/>
      <c r="C830" s="21"/>
      <c r="D830" s="23"/>
      <c r="E830" s="21"/>
      <c r="F830" s="23"/>
      <c r="G830" s="21"/>
      <c r="H830" s="23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 spans="1:25" ht="21.75" customHeight="1" x14ac:dyDescent="0.6">
      <c r="A831" s="21"/>
      <c r="B831" s="23"/>
      <c r="C831" s="21"/>
      <c r="D831" s="23"/>
      <c r="E831" s="21"/>
      <c r="F831" s="23"/>
      <c r="G831" s="21"/>
      <c r="H831" s="23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 spans="1:25" ht="21.75" customHeight="1" x14ac:dyDescent="0.6">
      <c r="A832" s="21"/>
      <c r="B832" s="23"/>
      <c r="C832" s="21"/>
      <c r="D832" s="23"/>
      <c r="E832" s="21"/>
      <c r="F832" s="23"/>
      <c r="G832" s="21"/>
      <c r="H832" s="23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 spans="1:25" ht="21.75" customHeight="1" x14ac:dyDescent="0.6">
      <c r="A833" s="21"/>
      <c r="B833" s="23"/>
      <c r="C833" s="21"/>
      <c r="D833" s="23"/>
      <c r="E833" s="21"/>
      <c r="F833" s="23"/>
      <c r="G833" s="21"/>
      <c r="H833" s="23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 spans="1:25" ht="21.75" customHeight="1" x14ac:dyDescent="0.6">
      <c r="A834" s="21"/>
      <c r="B834" s="23"/>
      <c r="C834" s="21"/>
      <c r="D834" s="23"/>
      <c r="E834" s="21"/>
      <c r="F834" s="23"/>
      <c r="G834" s="21"/>
      <c r="H834" s="23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 spans="1:25" ht="21.75" customHeight="1" x14ac:dyDescent="0.6">
      <c r="A835" s="21"/>
      <c r="B835" s="23"/>
      <c r="C835" s="21"/>
      <c r="D835" s="23"/>
      <c r="E835" s="21"/>
      <c r="F835" s="23"/>
      <c r="G835" s="21"/>
      <c r="H835" s="23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 spans="1:25" ht="21.75" customHeight="1" x14ac:dyDescent="0.6">
      <c r="A836" s="21"/>
      <c r="B836" s="23"/>
      <c r="C836" s="21"/>
      <c r="D836" s="23"/>
      <c r="E836" s="21"/>
      <c r="F836" s="23"/>
      <c r="G836" s="21"/>
      <c r="H836" s="23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 spans="1:25" ht="21.75" customHeight="1" x14ac:dyDescent="0.6">
      <c r="A837" s="21"/>
      <c r="B837" s="23"/>
      <c r="C837" s="21"/>
      <c r="D837" s="23"/>
      <c r="E837" s="21"/>
      <c r="F837" s="23"/>
      <c r="G837" s="21"/>
      <c r="H837" s="23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 spans="1:25" ht="21.75" customHeight="1" x14ac:dyDescent="0.6">
      <c r="A838" s="21"/>
      <c r="B838" s="23"/>
      <c r="C838" s="21"/>
      <c r="D838" s="23"/>
      <c r="E838" s="21"/>
      <c r="F838" s="23"/>
      <c r="G838" s="21"/>
      <c r="H838" s="23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 spans="1:25" ht="21.75" customHeight="1" x14ac:dyDescent="0.6">
      <c r="A839" s="21"/>
      <c r="B839" s="23"/>
      <c r="C839" s="21"/>
      <c r="D839" s="23"/>
      <c r="E839" s="21"/>
      <c r="F839" s="23"/>
      <c r="G839" s="21"/>
      <c r="H839" s="23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 spans="1:25" ht="21.75" customHeight="1" x14ac:dyDescent="0.6">
      <c r="A840" s="21"/>
      <c r="B840" s="23"/>
      <c r="C840" s="21"/>
      <c r="D840" s="23"/>
      <c r="E840" s="21"/>
      <c r="F840" s="23"/>
      <c r="G840" s="21"/>
      <c r="H840" s="23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 spans="1:25" ht="21.75" customHeight="1" x14ac:dyDescent="0.6">
      <c r="A841" s="21"/>
      <c r="B841" s="23"/>
      <c r="C841" s="21"/>
      <c r="D841" s="23"/>
      <c r="E841" s="21"/>
      <c r="F841" s="23"/>
      <c r="G841" s="21"/>
      <c r="H841" s="23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 spans="1:25" ht="21.75" customHeight="1" x14ac:dyDescent="0.6">
      <c r="A842" s="21"/>
      <c r="B842" s="23"/>
      <c r="C842" s="21"/>
      <c r="D842" s="23"/>
      <c r="E842" s="21"/>
      <c r="F842" s="23"/>
      <c r="G842" s="21"/>
      <c r="H842" s="23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 spans="1:25" ht="21.75" customHeight="1" x14ac:dyDescent="0.6">
      <c r="A843" s="21"/>
      <c r="B843" s="23"/>
      <c r="C843" s="21"/>
      <c r="D843" s="23"/>
      <c r="E843" s="21"/>
      <c r="F843" s="23"/>
      <c r="G843" s="21"/>
      <c r="H843" s="23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 spans="1:25" ht="21.75" customHeight="1" x14ac:dyDescent="0.6">
      <c r="A844" s="21"/>
      <c r="B844" s="23"/>
      <c r="C844" s="21"/>
      <c r="D844" s="23"/>
      <c r="E844" s="21"/>
      <c r="F844" s="23"/>
      <c r="G844" s="21"/>
      <c r="H844" s="23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 spans="1:25" ht="21.75" customHeight="1" x14ac:dyDescent="0.6">
      <c r="A845" s="21"/>
      <c r="B845" s="23"/>
      <c r="C845" s="21"/>
      <c r="D845" s="23"/>
      <c r="E845" s="21"/>
      <c r="F845" s="23"/>
      <c r="G845" s="21"/>
      <c r="H845" s="23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 spans="1:25" ht="21.75" customHeight="1" x14ac:dyDescent="0.6">
      <c r="A846" s="21"/>
      <c r="B846" s="23"/>
      <c r="C846" s="21"/>
      <c r="D846" s="23"/>
      <c r="E846" s="21"/>
      <c r="F846" s="23"/>
      <c r="G846" s="21"/>
      <c r="H846" s="23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 spans="1:25" ht="21.75" customHeight="1" x14ac:dyDescent="0.6">
      <c r="A847" s="21"/>
      <c r="B847" s="23"/>
      <c r="C847" s="21"/>
      <c r="D847" s="23"/>
      <c r="E847" s="21"/>
      <c r="F847" s="23"/>
      <c r="G847" s="21"/>
      <c r="H847" s="23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 spans="1:25" ht="21.75" customHeight="1" x14ac:dyDescent="0.6">
      <c r="A848" s="21"/>
      <c r="B848" s="23"/>
      <c r="C848" s="21"/>
      <c r="D848" s="23"/>
      <c r="E848" s="21"/>
      <c r="F848" s="23"/>
      <c r="G848" s="21"/>
      <c r="H848" s="23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 spans="1:25" ht="21.75" customHeight="1" x14ac:dyDescent="0.6">
      <c r="A849" s="21"/>
      <c r="B849" s="23"/>
      <c r="C849" s="21"/>
      <c r="D849" s="23"/>
      <c r="E849" s="21"/>
      <c r="F849" s="23"/>
      <c r="G849" s="21"/>
      <c r="H849" s="23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 spans="1:25" ht="21.75" customHeight="1" x14ac:dyDescent="0.6">
      <c r="A850" s="21"/>
      <c r="B850" s="23"/>
      <c r="C850" s="21"/>
      <c r="D850" s="23"/>
      <c r="E850" s="21"/>
      <c r="F850" s="23"/>
      <c r="G850" s="21"/>
      <c r="H850" s="23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 spans="1:25" ht="21.75" customHeight="1" x14ac:dyDescent="0.6">
      <c r="A851" s="21"/>
      <c r="B851" s="23"/>
      <c r="C851" s="21"/>
      <c r="D851" s="23"/>
      <c r="E851" s="21"/>
      <c r="F851" s="23"/>
      <c r="G851" s="21"/>
      <c r="H851" s="23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 spans="1:25" ht="21.75" customHeight="1" x14ac:dyDescent="0.6">
      <c r="A852" s="21"/>
      <c r="B852" s="23"/>
      <c r="C852" s="21"/>
      <c r="D852" s="23"/>
      <c r="E852" s="21"/>
      <c r="F852" s="23"/>
      <c r="G852" s="21"/>
      <c r="H852" s="23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 spans="1:25" ht="21.75" customHeight="1" x14ac:dyDescent="0.6">
      <c r="A853" s="21"/>
      <c r="B853" s="23"/>
      <c r="C853" s="21"/>
      <c r="D853" s="23"/>
      <c r="E853" s="21"/>
      <c r="F853" s="23"/>
      <c r="G853" s="21"/>
      <c r="H853" s="23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 spans="1:25" ht="21.75" customHeight="1" x14ac:dyDescent="0.6">
      <c r="A854" s="21"/>
      <c r="B854" s="23"/>
      <c r="C854" s="21"/>
      <c r="D854" s="23"/>
      <c r="E854" s="21"/>
      <c r="F854" s="23"/>
      <c r="G854" s="21"/>
      <c r="H854" s="23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 spans="1:25" ht="21.75" customHeight="1" x14ac:dyDescent="0.6">
      <c r="A855" s="21"/>
      <c r="B855" s="23"/>
      <c r="C855" s="21"/>
      <c r="D855" s="23"/>
      <c r="E855" s="21"/>
      <c r="F855" s="23"/>
      <c r="G855" s="21"/>
      <c r="H855" s="23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 spans="1:25" ht="21.75" customHeight="1" x14ac:dyDescent="0.6">
      <c r="A856" s="21"/>
      <c r="B856" s="23"/>
      <c r="C856" s="21"/>
      <c r="D856" s="23"/>
      <c r="E856" s="21"/>
      <c r="F856" s="23"/>
      <c r="G856" s="21"/>
      <c r="H856" s="23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 spans="1:25" ht="21.75" customHeight="1" x14ac:dyDescent="0.6">
      <c r="A857" s="21"/>
      <c r="B857" s="23"/>
      <c r="C857" s="21"/>
      <c r="D857" s="23"/>
      <c r="E857" s="21"/>
      <c r="F857" s="23"/>
      <c r="G857" s="21"/>
      <c r="H857" s="23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 spans="1:25" ht="21.75" customHeight="1" x14ac:dyDescent="0.6">
      <c r="A858" s="21"/>
      <c r="B858" s="23"/>
      <c r="C858" s="21"/>
      <c r="D858" s="23"/>
      <c r="E858" s="21"/>
      <c r="F858" s="23"/>
      <c r="G858" s="21"/>
      <c r="H858" s="23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 spans="1:25" ht="21.75" customHeight="1" x14ac:dyDescent="0.6">
      <c r="A859" s="21"/>
      <c r="B859" s="23"/>
      <c r="C859" s="21"/>
      <c r="D859" s="23"/>
      <c r="E859" s="21"/>
      <c r="F859" s="23"/>
      <c r="G859" s="21"/>
      <c r="H859" s="23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 spans="1:25" ht="21.75" customHeight="1" x14ac:dyDescent="0.6">
      <c r="A860" s="21"/>
      <c r="B860" s="23"/>
      <c r="C860" s="21"/>
      <c r="D860" s="23"/>
      <c r="E860" s="21"/>
      <c r="F860" s="23"/>
      <c r="G860" s="21"/>
      <c r="H860" s="23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 spans="1:25" ht="21.75" customHeight="1" x14ac:dyDescent="0.6">
      <c r="A861" s="21"/>
      <c r="B861" s="23"/>
      <c r="C861" s="21"/>
      <c r="D861" s="23"/>
      <c r="E861" s="21"/>
      <c r="F861" s="23"/>
      <c r="G861" s="21"/>
      <c r="H861" s="23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 spans="1:25" ht="21.75" customHeight="1" x14ac:dyDescent="0.6">
      <c r="A862" s="21"/>
      <c r="B862" s="23"/>
      <c r="C862" s="21"/>
      <c r="D862" s="23"/>
      <c r="E862" s="21"/>
      <c r="F862" s="23"/>
      <c r="G862" s="21"/>
      <c r="H862" s="23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 spans="1:25" ht="21.75" customHeight="1" x14ac:dyDescent="0.6">
      <c r="A863" s="21"/>
      <c r="B863" s="23"/>
      <c r="C863" s="21"/>
      <c r="D863" s="23"/>
      <c r="E863" s="21"/>
      <c r="F863" s="23"/>
      <c r="G863" s="21"/>
      <c r="H863" s="23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 spans="1:25" ht="21.75" customHeight="1" x14ac:dyDescent="0.6">
      <c r="A864" s="21"/>
      <c r="B864" s="23"/>
      <c r="C864" s="21"/>
      <c r="D864" s="23"/>
      <c r="E864" s="21"/>
      <c r="F864" s="23"/>
      <c r="G864" s="21"/>
      <c r="H864" s="23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 spans="1:25" ht="21.75" customHeight="1" x14ac:dyDescent="0.6">
      <c r="A865" s="21"/>
      <c r="B865" s="23"/>
      <c r="C865" s="21"/>
      <c r="D865" s="23"/>
      <c r="E865" s="21"/>
      <c r="F865" s="23"/>
      <c r="G865" s="21"/>
      <c r="H865" s="23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 spans="1:25" ht="21.75" customHeight="1" x14ac:dyDescent="0.6">
      <c r="A866" s="21"/>
      <c r="B866" s="23"/>
      <c r="C866" s="21"/>
      <c r="D866" s="23"/>
      <c r="E866" s="21"/>
      <c r="F866" s="23"/>
      <c r="G866" s="21"/>
      <c r="H866" s="23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 spans="1:25" ht="21.75" customHeight="1" x14ac:dyDescent="0.6">
      <c r="A867" s="21"/>
      <c r="B867" s="23"/>
      <c r="C867" s="21"/>
      <c r="D867" s="23"/>
      <c r="E867" s="21"/>
      <c r="F867" s="23"/>
      <c r="G867" s="21"/>
      <c r="H867" s="23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 spans="1:25" ht="21.75" customHeight="1" x14ac:dyDescent="0.6">
      <c r="A868" s="21"/>
      <c r="B868" s="23"/>
      <c r="C868" s="21"/>
      <c r="D868" s="23"/>
      <c r="E868" s="21"/>
      <c r="F868" s="23"/>
      <c r="G868" s="21"/>
      <c r="H868" s="23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 spans="1:25" ht="21.75" customHeight="1" x14ac:dyDescent="0.6">
      <c r="A869" s="21"/>
      <c r="B869" s="23"/>
      <c r="C869" s="21"/>
      <c r="D869" s="23"/>
      <c r="E869" s="21"/>
      <c r="F869" s="23"/>
      <c r="G869" s="21"/>
      <c r="H869" s="23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 spans="1:25" ht="21.75" customHeight="1" x14ac:dyDescent="0.6">
      <c r="A870" s="21"/>
      <c r="B870" s="23"/>
      <c r="C870" s="21"/>
      <c r="D870" s="23"/>
      <c r="E870" s="21"/>
      <c r="F870" s="23"/>
      <c r="G870" s="21"/>
      <c r="H870" s="23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 spans="1:25" ht="21.75" customHeight="1" x14ac:dyDescent="0.6">
      <c r="A871" s="21"/>
      <c r="B871" s="23"/>
      <c r="C871" s="21"/>
      <c r="D871" s="23"/>
      <c r="E871" s="21"/>
      <c r="F871" s="23"/>
      <c r="G871" s="21"/>
      <c r="H871" s="23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 spans="1:25" ht="21.75" customHeight="1" x14ac:dyDescent="0.6">
      <c r="A872" s="21"/>
      <c r="B872" s="23"/>
      <c r="C872" s="21"/>
      <c r="D872" s="23"/>
      <c r="E872" s="21"/>
      <c r="F872" s="23"/>
      <c r="G872" s="21"/>
      <c r="H872" s="23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 spans="1:25" ht="21.75" customHeight="1" x14ac:dyDescent="0.6">
      <c r="A873" s="21"/>
      <c r="B873" s="23"/>
      <c r="C873" s="21"/>
      <c r="D873" s="23"/>
      <c r="E873" s="21"/>
      <c r="F873" s="23"/>
      <c r="G873" s="21"/>
      <c r="H873" s="23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 spans="1:25" ht="21.75" customHeight="1" x14ac:dyDescent="0.6">
      <c r="A874" s="21"/>
      <c r="B874" s="23"/>
      <c r="C874" s="21"/>
      <c r="D874" s="23"/>
      <c r="E874" s="21"/>
      <c r="F874" s="23"/>
      <c r="G874" s="21"/>
      <c r="H874" s="23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 spans="1:25" ht="21.75" customHeight="1" x14ac:dyDescent="0.6">
      <c r="A875" s="21"/>
      <c r="B875" s="23"/>
      <c r="C875" s="21"/>
      <c r="D875" s="23"/>
      <c r="E875" s="21"/>
      <c r="F875" s="23"/>
      <c r="G875" s="21"/>
      <c r="H875" s="23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 spans="1:25" ht="21.75" customHeight="1" x14ac:dyDescent="0.6">
      <c r="A876" s="21"/>
      <c r="B876" s="23"/>
      <c r="C876" s="21"/>
      <c r="D876" s="23"/>
      <c r="E876" s="21"/>
      <c r="F876" s="23"/>
      <c r="G876" s="21"/>
      <c r="H876" s="23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 spans="1:25" ht="21.75" customHeight="1" x14ac:dyDescent="0.6">
      <c r="A877" s="21"/>
      <c r="B877" s="23"/>
      <c r="C877" s="21"/>
      <c r="D877" s="23"/>
      <c r="E877" s="21"/>
      <c r="F877" s="23"/>
      <c r="G877" s="21"/>
      <c r="H877" s="23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 spans="1:25" ht="21.75" customHeight="1" x14ac:dyDescent="0.6">
      <c r="A878" s="21"/>
      <c r="B878" s="23"/>
      <c r="C878" s="21"/>
      <c r="D878" s="23"/>
      <c r="E878" s="21"/>
      <c r="F878" s="23"/>
      <c r="G878" s="21"/>
      <c r="H878" s="23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 spans="1:25" ht="21.75" customHeight="1" x14ac:dyDescent="0.6">
      <c r="A879" s="21"/>
      <c r="B879" s="23"/>
      <c r="C879" s="21"/>
      <c r="D879" s="23"/>
      <c r="E879" s="21"/>
      <c r="F879" s="23"/>
      <c r="G879" s="21"/>
      <c r="H879" s="23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 spans="1:25" ht="21.75" customHeight="1" x14ac:dyDescent="0.6">
      <c r="A880" s="21"/>
      <c r="B880" s="23"/>
      <c r="C880" s="21"/>
      <c r="D880" s="23"/>
      <c r="E880" s="21"/>
      <c r="F880" s="23"/>
      <c r="G880" s="21"/>
      <c r="H880" s="23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 spans="1:25" ht="21.75" customHeight="1" x14ac:dyDescent="0.6">
      <c r="A881" s="21"/>
      <c r="B881" s="23"/>
      <c r="C881" s="21"/>
      <c r="D881" s="23"/>
      <c r="E881" s="21"/>
      <c r="F881" s="23"/>
      <c r="G881" s="21"/>
      <c r="H881" s="23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 spans="1:25" ht="21.75" customHeight="1" x14ac:dyDescent="0.6">
      <c r="A882" s="21"/>
      <c r="B882" s="23"/>
      <c r="C882" s="21"/>
      <c r="D882" s="23"/>
      <c r="E882" s="21"/>
      <c r="F882" s="23"/>
      <c r="G882" s="21"/>
      <c r="H882" s="23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 spans="1:25" ht="21.75" customHeight="1" x14ac:dyDescent="0.6">
      <c r="A883" s="21"/>
      <c r="B883" s="23"/>
      <c r="C883" s="21"/>
      <c r="D883" s="23"/>
      <c r="E883" s="21"/>
      <c r="F883" s="23"/>
      <c r="G883" s="21"/>
      <c r="H883" s="23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 spans="1:25" ht="21.75" customHeight="1" x14ac:dyDescent="0.6">
      <c r="A884" s="21"/>
      <c r="B884" s="23"/>
      <c r="C884" s="21"/>
      <c r="D884" s="23"/>
      <c r="E884" s="21"/>
      <c r="F884" s="23"/>
      <c r="G884" s="21"/>
      <c r="H884" s="23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 spans="1:25" ht="21.75" customHeight="1" x14ac:dyDescent="0.6">
      <c r="A885" s="21"/>
      <c r="B885" s="23"/>
      <c r="C885" s="21"/>
      <c r="D885" s="23"/>
      <c r="E885" s="21"/>
      <c r="F885" s="23"/>
      <c r="G885" s="21"/>
      <c r="H885" s="23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 spans="1:25" ht="21.75" customHeight="1" x14ac:dyDescent="0.6">
      <c r="A886" s="21"/>
      <c r="B886" s="23"/>
      <c r="C886" s="21"/>
      <c r="D886" s="23"/>
      <c r="E886" s="21"/>
      <c r="F886" s="23"/>
      <c r="G886" s="21"/>
      <c r="H886" s="23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 spans="1:25" ht="21.75" customHeight="1" x14ac:dyDescent="0.6">
      <c r="A887" s="21"/>
      <c r="B887" s="23"/>
      <c r="C887" s="21"/>
      <c r="D887" s="23"/>
      <c r="E887" s="21"/>
      <c r="F887" s="23"/>
      <c r="G887" s="21"/>
      <c r="H887" s="23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 spans="1:25" ht="21.75" customHeight="1" x14ac:dyDescent="0.6">
      <c r="A888" s="21"/>
      <c r="B888" s="23"/>
      <c r="C888" s="21"/>
      <c r="D888" s="23"/>
      <c r="E888" s="21"/>
      <c r="F888" s="23"/>
      <c r="G888" s="21"/>
      <c r="H888" s="23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 spans="1:25" ht="21.75" customHeight="1" x14ac:dyDescent="0.6">
      <c r="A889" s="21"/>
      <c r="B889" s="23"/>
      <c r="C889" s="21"/>
      <c r="D889" s="23"/>
      <c r="E889" s="21"/>
      <c r="F889" s="23"/>
      <c r="G889" s="21"/>
      <c r="H889" s="23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 spans="1:25" ht="21.75" customHeight="1" x14ac:dyDescent="0.6">
      <c r="A890" s="21"/>
      <c r="B890" s="23"/>
      <c r="C890" s="21"/>
      <c r="D890" s="23"/>
      <c r="E890" s="21"/>
      <c r="F890" s="23"/>
      <c r="G890" s="21"/>
      <c r="H890" s="23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 spans="1:25" ht="21.75" customHeight="1" x14ac:dyDescent="0.6">
      <c r="A891" s="21"/>
      <c r="B891" s="23"/>
      <c r="C891" s="21"/>
      <c r="D891" s="23"/>
      <c r="E891" s="21"/>
      <c r="F891" s="23"/>
      <c r="G891" s="21"/>
      <c r="H891" s="23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 spans="1:25" ht="21.75" customHeight="1" x14ac:dyDescent="0.6">
      <c r="A892" s="21"/>
      <c r="B892" s="23"/>
      <c r="C892" s="21"/>
      <c r="D892" s="23"/>
      <c r="E892" s="21"/>
      <c r="F892" s="23"/>
      <c r="G892" s="21"/>
      <c r="H892" s="23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 spans="1:25" ht="21.75" customHeight="1" x14ac:dyDescent="0.6">
      <c r="A893" s="21"/>
      <c r="B893" s="23"/>
      <c r="C893" s="21"/>
      <c r="D893" s="23"/>
      <c r="E893" s="21"/>
      <c r="F893" s="23"/>
      <c r="G893" s="21"/>
      <c r="H893" s="23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 spans="1:25" ht="21.75" customHeight="1" x14ac:dyDescent="0.6">
      <c r="A894" s="21"/>
      <c r="B894" s="23"/>
      <c r="C894" s="21"/>
      <c r="D894" s="23"/>
      <c r="E894" s="21"/>
      <c r="F894" s="23"/>
      <c r="G894" s="21"/>
      <c r="H894" s="23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 spans="1:25" ht="21.75" customHeight="1" x14ac:dyDescent="0.6">
      <c r="A895" s="21"/>
      <c r="B895" s="23"/>
      <c r="C895" s="21"/>
      <c r="D895" s="23"/>
      <c r="E895" s="21"/>
      <c r="F895" s="23"/>
      <c r="G895" s="21"/>
      <c r="H895" s="23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 spans="1:25" ht="21.75" customHeight="1" x14ac:dyDescent="0.6">
      <c r="A896" s="21"/>
      <c r="B896" s="23"/>
      <c r="C896" s="21"/>
      <c r="D896" s="23"/>
      <c r="E896" s="21"/>
      <c r="F896" s="23"/>
      <c r="G896" s="21"/>
      <c r="H896" s="23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 spans="1:25" ht="21.75" customHeight="1" x14ac:dyDescent="0.6">
      <c r="A897" s="21"/>
      <c r="B897" s="23"/>
      <c r="C897" s="21"/>
      <c r="D897" s="23"/>
      <c r="E897" s="21"/>
      <c r="F897" s="23"/>
      <c r="G897" s="21"/>
      <c r="H897" s="23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 spans="1:25" ht="21.75" customHeight="1" x14ac:dyDescent="0.6">
      <c r="A898" s="21"/>
      <c r="B898" s="23"/>
      <c r="C898" s="21"/>
      <c r="D898" s="23"/>
      <c r="E898" s="21"/>
      <c r="F898" s="23"/>
      <c r="G898" s="21"/>
      <c r="H898" s="23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 spans="1:25" ht="21.75" customHeight="1" x14ac:dyDescent="0.6">
      <c r="A899" s="21"/>
      <c r="B899" s="23"/>
      <c r="C899" s="21"/>
      <c r="D899" s="23"/>
      <c r="E899" s="21"/>
      <c r="F899" s="23"/>
      <c r="G899" s="21"/>
      <c r="H899" s="23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 spans="1:25" ht="21.75" customHeight="1" x14ac:dyDescent="0.6">
      <c r="A900" s="21"/>
      <c r="B900" s="23"/>
      <c r="C900" s="21"/>
      <c r="D900" s="23"/>
      <c r="E900" s="21"/>
      <c r="F900" s="23"/>
      <c r="G900" s="21"/>
      <c r="H900" s="23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 spans="1:25" ht="21.75" customHeight="1" x14ac:dyDescent="0.6">
      <c r="A901" s="21"/>
      <c r="B901" s="23"/>
      <c r="C901" s="21"/>
      <c r="D901" s="23"/>
      <c r="E901" s="21"/>
      <c r="F901" s="23"/>
      <c r="G901" s="21"/>
      <c r="H901" s="23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 spans="1:25" ht="21.75" customHeight="1" x14ac:dyDescent="0.6">
      <c r="A902" s="21"/>
      <c r="B902" s="23"/>
      <c r="C902" s="21"/>
      <c r="D902" s="23"/>
      <c r="E902" s="21"/>
      <c r="F902" s="23"/>
      <c r="G902" s="21"/>
      <c r="H902" s="23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 spans="1:25" ht="21.75" customHeight="1" x14ac:dyDescent="0.6">
      <c r="A903" s="21"/>
      <c r="B903" s="23"/>
      <c r="C903" s="21"/>
      <c r="D903" s="23"/>
      <c r="E903" s="21"/>
      <c r="F903" s="23"/>
      <c r="G903" s="21"/>
      <c r="H903" s="23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 spans="1:25" ht="21.75" customHeight="1" x14ac:dyDescent="0.6">
      <c r="A904" s="21"/>
      <c r="B904" s="23"/>
      <c r="C904" s="21"/>
      <c r="D904" s="23"/>
      <c r="E904" s="21"/>
      <c r="F904" s="23"/>
      <c r="G904" s="21"/>
      <c r="H904" s="23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 spans="1:25" ht="21.75" customHeight="1" x14ac:dyDescent="0.6">
      <c r="A905" s="21"/>
      <c r="B905" s="23"/>
      <c r="C905" s="21"/>
      <c r="D905" s="23"/>
      <c r="E905" s="21"/>
      <c r="F905" s="23"/>
      <c r="G905" s="21"/>
      <c r="H905" s="23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 spans="1:25" ht="21.75" customHeight="1" x14ac:dyDescent="0.6">
      <c r="A906" s="21"/>
      <c r="B906" s="23"/>
      <c r="C906" s="21"/>
      <c r="D906" s="23"/>
      <c r="E906" s="21"/>
      <c r="F906" s="23"/>
      <c r="G906" s="21"/>
      <c r="H906" s="23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 spans="1:25" ht="21.75" customHeight="1" x14ac:dyDescent="0.6">
      <c r="A907" s="21"/>
      <c r="B907" s="23"/>
      <c r="C907" s="21"/>
      <c r="D907" s="23"/>
      <c r="E907" s="21"/>
      <c r="F907" s="23"/>
      <c r="G907" s="21"/>
      <c r="H907" s="23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 spans="1:25" ht="21.75" customHeight="1" x14ac:dyDescent="0.6">
      <c r="A908" s="21"/>
      <c r="B908" s="23"/>
      <c r="C908" s="21"/>
      <c r="D908" s="23"/>
      <c r="E908" s="21"/>
      <c r="F908" s="23"/>
      <c r="G908" s="21"/>
      <c r="H908" s="23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 spans="1:25" ht="21.75" customHeight="1" x14ac:dyDescent="0.6">
      <c r="A909" s="21"/>
      <c r="B909" s="23"/>
      <c r="C909" s="21"/>
      <c r="D909" s="23"/>
      <c r="E909" s="21"/>
      <c r="F909" s="23"/>
      <c r="G909" s="21"/>
      <c r="H909" s="23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 spans="1:25" ht="21.75" customHeight="1" x14ac:dyDescent="0.6">
      <c r="A910" s="21"/>
      <c r="B910" s="23"/>
      <c r="C910" s="21"/>
      <c r="D910" s="23"/>
      <c r="E910" s="21"/>
      <c r="F910" s="23"/>
      <c r="G910" s="21"/>
      <c r="H910" s="23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 spans="1:25" ht="21.75" customHeight="1" x14ac:dyDescent="0.6">
      <c r="A911" s="21"/>
      <c r="B911" s="23"/>
      <c r="C911" s="21"/>
      <c r="D911" s="23"/>
      <c r="E911" s="21"/>
      <c r="F911" s="23"/>
      <c r="G911" s="21"/>
      <c r="H911" s="23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 spans="1:25" ht="21.75" customHeight="1" x14ac:dyDescent="0.6">
      <c r="A912" s="21"/>
      <c r="B912" s="23"/>
      <c r="C912" s="21"/>
      <c r="D912" s="23"/>
      <c r="E912" s="21"/>
      <c r="F912" s="23"/>
      <c r="G912" s="21"/>
      <c r="H912" s="23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 spans="1:25" ht="21.75" customHeight="1" x14ac:dyDescent="0.6">
      <c r="A913" s="21"/>
      <c r="B913" s="23"/>
      <c r="C913" s="21"/>
      <c r="D913" s="23"/>
      <c r="E913" s="21"/>
      <c r="F913" s="23"/>
      <c r="G913" s="21"/>
      <c r="H913" s="23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 spans="1:25" ht="21.75" customHeight="1" x14ac:dyDescent="0.6">
      <c r="A914" s="21"/>
      <c r="B914" s="23"/>
      <c r="C914" s="21"/>
      <c r="D914" s="23"/>
      <c r="E914" s="21"/>
      <c r="F914" s="23"/>
      <c r="G914" s="21"/>
      <c r="H914" s="23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 spans="1:25" ht="21.75" customHeight="1" x14ac:dyDescent="0.6">
      <c r="A915" s="21"/>
      <c r="B915" s="23"/>
      <c r="C915" s="21"/>
      <c r="D915" s="23"/>
      <c r="E915" s="21"/>
      <c r="F915" s="23"/>
      <c r="G915" s="21"/>
      <c r="H915" s="23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 spans="1:25" ht="21.75" customHeight="1" x14ac:dyDescent="0.6">
      <c r="A916" s="21"/>
      <c r="B916" s="23"/>
      <c r="C916" s="21"/>
      <c r="D916" s="23"/>
      <c r="E916" s="21"/>
      <c r="F916" s="23"/>
      <c r="G916" s="21"/>
      <c r="H916" s="23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 spans="1:25" ht="21.75" customHeight="1" x14ac:dyDescent="0.6">
      <c r="A917" s="21"/>
      <c r="B917" s="23"/>
      <c r="C917" s="21"/>
      <c r="D917" s="23"/>
      <c r="E917" s="21"/>
      <c r="F917" s="23"/>
      <c r="G917" s="21"/>
      <c r="H917" s="23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 spans="1:25" ht="21.75" customHeight="1" x14ac:dyDescent="0.6">
      <c r="A918" s="21"/>
      <c r="B918" s="23"/>
      <c r="C918" s="21"/>
      <c r="D918" s="23"/>
      <c r="E918" s="21"/>
      <c r="F918" s="23"/>
      <c r="G918" s="21"/>
      <c r="H918" s="23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 spans="1:25" ht="21.75" customHeight="1" x14ac:dyDescent="0.6">
      <c r="A919" s="21"/>
      <c r="B919" s="23"/>
      <c r="C919" s="21"/>
      <c r="D919" s="23"/>
      <c r="E919" s="21"/>
      <c r="F919" s="23"/>
      <c r="G919" s="21"/>
      <c r="H919" s="23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 spans="1:25" ht="21.75" customHeight="1" x14ac:dyDescent="0.6">
      <c r="A920" s="21"/>
      <c r="B920" s="23"/>
      <c r="C920" s="21"/>
      <c r="D920" s="23"/>
      <c r="E920" s="21"/>
      <c r="F920" s="23"/>
      <c r="G920" s="21"/>
      <c r="H920" s="23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 spans="1:25" ht="21.75" customHeight="1" x14ac:dyDescent="0.6">
      <c r="A921" s="21"/>
      <c r="B921" s="23"/>
      <c r="C921" s="21"/>
      <c r="D921" s="23"/>
      <c r="E921" s="21"/>
      <c r="F921" s="23"/>
      <c r="G921" s="21"/>
      <c r="H921" s="23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 spans="1:25" ht="21.75" customHeight="1" x14ac:dyDescent="0.6">
      <c r="A922" s="21"/>
      <c r="B922" s="23"/>
      <c r="C922" s="21"/>
      <c r="D922" s="23"/>
      <c r="E922" s="21"/>
      <c r="F922" s="23"/>
      <c r="G922" s="21"/>
      <c r="H922" s="23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 spans="1:25" ht="21.75" customHeight="1" x14ac:dyDescent="0.6">
      <c r="A923" s="21"/>
      <c r="B923" s="23"/>
      <c r="C923" s="21"/>
      <c r="D923" s="23"/>
      <c r="E923" s="21"/>
      <c r="F923" s="23"/>
      <c r="G923" s="21"/>
      <c r="H923" s="23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 spans="1:25" ht="21.75" customHeight="1" x14ac:dyDescent="0.6">
      <c r="A924" s="21"/>
      <c r="B924" s="23"/>
      <c r="C924" s="21"/>
      <c r="D924" s="23"/>
      <c r="E924" s="21"/>
      <c r="F924" s="23"/>
      <c r="G924" s="21"/>
      <c r="H924" s="23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 spans="1:25" ht="21.75" customHeight="1" x14ac:dyDescent="0.6">
      <c r="A925" s="21"/>
      <c r="B925" s="23"/>
      <c r="C925" s="21"/>
      <c r="D925" s="23"/>
      <c r="E925" s="21"/>
      <c r="F925" s="23"/>
      <c r="G925" s="21"/>
      <c r="H925" s="23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 spans="1:25" ht="21.75" customHeight="1" x14ac:dyDescent="0.6">
      <c r="A926" s="21"/>
      <c r="B926" s="23"/>
      <c r="C926" s="21"/>
      <c r="D926" s="23"/>
      <c r="E926" s="21"/>
      <c r="F926" s="23"/>
      <c r="G926" s="21"/>
      <c r="H926" s="23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 spans="1:25" ht="21.75" customHeight="1" x14ac:dyDescent="0.6">
      <c r="A927" s="21"/>
      <c r="B927" s="23"/>
      <c r="C927" s="21"/>
      <c r="D927" s="23"/>
      <c r="E927" s="21"/>
      <c r="F927" s="23"/>
      <c r="G927" s="21"/>
      <c r="H927" s="23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 spans="1:25" ht="21.75" customHeight="1" x14ac:dyDescent="0.6">
      <c r="A928" s="21"/>
      <c r="B928" s="23"/>
      <c r="C928" s="21"/>
      <c r="D928" s="23"/>
      <c r="E928" s="21"/>
      <c r="F928" s="23"/>
      <c r="G928" s="21"/>
      <c r="H928" s="23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 spans="1:25" ht="21.75" customHeight="1" x14ac:dyDescent="0.6">
      <c r="A929" s="21"/>
      <c r="B929" s="23"/>
      <c r="C929" s="21"/>
      <c r="D929" s="23"/>
      <c r="E929" s="21"/>
      <c r="F929" s="23"/>
      <c r="G929" s="21"/>
      <c r="H929" s="23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 spans="1:25" ht="21.75" customHeight="1" x14ac:dyDescent="0.6">
      <c r="A930" s="21"/>
      <c r="B930" s="23"/>
      <c r="C930" s="21"/>
      <c r="D930" s="23"/>
      <c r="E930" s="21"/>
      <c r="F930" s="23"/>
      <c r="G930" s="21"/>
      <c r="H930" s="23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 spans="1:25" ht="21.75" customHeight="1" x14ac:dyDescent="0.6">
      <c r="A931" s="21"/>
      <c r="B931" s="23"/>
      <c r="C931" s="21"/>
      <c r="D931" s="23"/>
      <c r="E931" s="21"/>
      <c r="F931" s="23"/>
      <c r="G931" s="21"/>
      <c r="H931" s="23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 spans="1:25" ht="21.75" customHeight="1" x14ac:dyDescent="0.6">
      <c r="A932" s="21"/>
      <c r="B932" s="23"/>
      <c r="C932" s="21"/>
      <c r="D932" s="23"/>
      <c r="E932" s="21"/>
      <c r="F932" s="23"/>
      <c r="G932" s="21"/>
      <c r="H932" s="23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 spans="1:25" ht="21.75" customHeight="1" x14ac:dyDescent="0.6">
      <c r="A933" s="21"/>
      <c r="B933" s="23"/>
      <c r="C933" s="21"/>
      <c r="D933" s="23"/>
      <c r="E933" s="21"/>
      <c r="F933" s="23"/>
      <c r="G933" s="21"/>
      <c r="H933" s="23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 spans="1:25" ht="21.75" customHeight="1" x14ac:dyDescent="0.6">
      <c r="A934" s="21"/>
      <c r="B934" s="23"/>
      <c r="C934" s="21"/>
      <c r="D934" s="23"/>
      <c r="E934" s="21"/>
      <c r="F934" s="23"/>
      <c r="G934" s="21"/>
      <c r="H934" s="23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 spans="1:25" ht="21.75" customHeight="1" x14ac:dyDescent="0.6">
      <c r="A935" s="21"/>
      <c r="B935" s="23"/>
      <c r="C935" s="21"/>
      <c r="D935" s="23"/>
      <c r="E935" s="21"/>
      <c r="F935" s="23"/>
      <c r="G935" s="21"/>
      <c r="H935" s="23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 spans="1:25" ht="21.75" customHeight="1" x14ac:dyDescent="0.6">
      <c r="A936" s="21"/>
      <c r="B936" s="23"/>
      <c r="C936" s="21"/>
      <c r="D936" s="23"/>
      <c r="E936" s="21"/>
      <c r="F936" s="23"/>
      <c r="G936" s="21"/>
      <c r="H936" s="23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 spans="1:25" ht="21.75" customHeight="1" x14ac:dyDescent="0.6">
      <c r="A937" s="21"/>
      <c r="B937" s="23"/>
      <c r="C937" s="21"/>
      <c r="D937" s="23"/>
      <c r="E937" s="21"/>
      <c r="F937" s="23"/>
      <c r="G937" s="21"/>
      <c r="H937" s="23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 spans="1:25" ht="21.75" customHeight="1" x14ac:dyDescent="0.6">
      <c r="A938" s="21"/>
      <c r="B938" s="23"/>
      <c r="C938" s="21"/>
      <c r="D938" s="23"/>
      <c r="E938" s="21"/>
      <c r="F938" s="23"/>
      <c r="G938" s="21"/>
      <c r="H938" s="23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 spans="1:25" ht="21.75" customHeight="1" x14ac:dyDescent="0.6">
      <c r="A939" s="21"/>
      <c r="B939" s="23"/>
      <c r="C939" s="21"/>
      <c r="D939" s="23"/>
      <c r="E939" s="21"/>
      <c r="F939" s="23"/>
      <c r="G939" s="21"/>
      <c r="H939" s="23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 spans="1:25" ht="21.75" customHeight="1" x14ac:dyDescent="0.6">
      <c r="A940" s="21"/>
      <c r="B940" s="23"/>
      <c r="C940" s="21"/>
      <c r="D940" s="23"/>
      <c r="E940" s="21"/>
      <c r="F940" s="23"/>
      <c r="G940" s="21"/>
      <c r="H940" s="23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 spans="1:25" ht="21.75" customHeight="1" x14ac:dyDescent="0.6">
      <c r="A941" s="21"/>
      <c r="B941" s="23"/>
      <c r="C941" s="21"/>
      <c r="D941" s="23"/>
      <c r="E941" s="21"/>
      <c r="F941" s="23"/>
      <c r="G941" s="21"/>
      <c r="H941" s="23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 spans="1:25" ht="21.75" customHeight="1" x14ac:dyDescent="0.6">
      <c r="A942" s="21"/>
      <c r="B942" s="23"/>
      <c r="C942" s="21"/>
      <c r="D942" s="23"/>
      <c r="E942" s="21"/>
      <c r="F942" s="23"/>
      <c r="G942" s="21"/>
      <c r="H942" s="23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 spans="1:25" ht="21.75" customHeight="1" x14ac:dyDescent="0.6">
      <c r="A943" s="21"/>
      <c r="B943" s="23"/>
      <c r="C943" s="21"/>
      <c r="D943" s="23"/>
      <c r="E943" s="21"/>
      <c r="F943" s="23"/>
      <c r="G943" s="21"/>
      <c r="H943" s="23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 spans="1:25" ht="21.75" customHeight="1" x14ac:dyDescent="0.6">
      <c r="A944" s="21"/>
      <c r="B944" s="23"/>
      <c r="C944" s="21"/>
      <c r="D944" s="23"/>
      <c r="E944" s="21"/>
      <c r="F944" s="23"/>
      <c r="G944" s="21"/>
      <c r="H944" s="23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 spans="1:25" ht="21.75" customHeight="1" x14ac:dyDescent="0.6">
      <c r="A945" s="21"/>
      <c r="B945" s="23"/>
      <c r="C945" s="21"/>
      <c r="D945" s="23"/>
      <c r="E945" s="21"/>
      <c r="F945" s="23"/>
      <c r="G945" s="21"/>
      <c r="H945" s="23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 spans="1:25" ht="21.75" customHeight="1" x14ac:dyDescent="0.6">
      <c r="A946" s="21"/>
      <c r="B946" s="23"/>
      <c r="C946" s="21"/>
      <c r="D946" s="23"/>
      <c r="E946" s="21"/>
      <c r="F946" s="23"/>
      <c r="G946" s="21"/>
      <c r="H946" s="23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 spans="1:25" ht="21.75" customHeight="1" x14ac:dyDescent="0.6">
      <c r="A947" s="21"/>
      <c r="B947" s="23"/>
      <c r="C947" s="21"/>
      <c r="D947" s="23"/>
      <c r="E947" s="21"/>
      <c r="F947" s="23"/>
      <c r="G947" s="21"/>
      <c r="H947" s="23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 spans="1:25" ht="21.75" customHeight="1" x14ac:dyDescent="0.6">
      <c r="A948" s="21"/>
      <c r="B948" s="23"/>
      <c r="C948" s="21"/>
      <c r="D948" s="23"/>
      <c r="E948" s="21"/>
      <c r="F948" s="23"/>
      <c r="G948" s="21"/>
      <c r="H948" s="23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 spans="1:25" ht="21.75" customHeight="1" x14ac:dyDescent="0.6">
      <c r="A949" s="21"/>
      <c r="B949" s="23"/>
      <c r="C949" s="21"/>
      <c r="D949" s="23"/>
      <c r="E949" s="21"/>
      <c r="F949" s="23"/>
      <c r="G949" s="21"/>
      <c r="H949" s="23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 spans="1:25" ht="21.75" customHeight="1" x14ac:dyDescent="0.6">
      <c r="A950" s="21"/>
      <c r="B950" s="23"/>
      <c r="C950" s="21"/>
      <c r="D950" s="23"/>
      <c r="E950" s="21"/>
      <c r="F950" s="23"/>
      <c r="G950" s="21"/>
      <c r="H950" s="23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 spans="1:25" ht="21.75" customHeight="1" x14ac:dyDescent="0.6">
      <c r="A951" s="21"/>
      <c r="B951" s="23"/>
      <c r="C951" s="21"/>
      <c r="D951" s="23"/>
      <c r="E951" s="21"/>
      <c r="F951" s="23"/>
      <c r="G951" s="21"/>
      <c r="H951" s="23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 spans="1:25" ht="21.75" customHeight="1" x14ac:dyDescent="0.6">
      <c r="A952" s="21"/>
      <c r="B952" s="23"/>
      <c r="C952" s="21"/>
      <c r="D952" s="23"/>
      <c r="E952" s="21"/>
      <c r="F952" s="23"/>
      <c r="G952" s="21"/>
      <c r="H952" s="23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 spans="1:25" ht="21.75" customHeight="1" x14ac:dyDescent="0.6">
      <c r="A953" s="21"/>
      <c r="B953" s="23"/>
      <c r="C953" s="21"/>
      <c r="D953" s="23"/>
      <c r="E953" s="21"/>
      <c r="F953" s="23"/>
      <c r="G953" s="21"/>
      <c r="H953" s="23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 spans="1:25" ht="21.75" customHeight="1" x14ac:dyDescent="0.6">
      <c r="A954" s="21"/>
      <c r="B954" s="23"/>
      <c r="C954" s="21"/>
      <c r="D954" s="23"/>
      <c r="E954" s="21"/>
      <c r="F954" s="23"/>
      <c r="G954" s="21"/>
      <c r="H954" s="23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 spans="1:25" ht="21.75" customHeight="1" x14ac:dyDescent="0.6">
      <c r="A955" s="21"/>
      <c r="B955" s="23"/>
      <c r="C955" s="21"/>
      <c r="D955" s="23"/>
      <c r="E955" s="21"/>
      <c r="F955" s="23"/>
      <c r="G955" s="21"/>
      <c r="H955" s="23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 spans="1:25" ht="21.75" customHeight="1" x14ac:dyDescent="0.6">
      <c r="A956" s="21"/>
      <c r="B956" s="23"/>
      <c r="C956" s="21"/>
      <c r="D956" s="23"/>
      <c r="E956" s="21"/>
      <c r="F956" s="23"/>
      <c r="G956" s="21"/>
      <c r="H956" s="23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 spans="1:25" ht="21.75" customHeight="1" x14ac:dyDescent="0.6">
      <c r="A957" s="21"/>
      <c r="B957" s="23"/>
      <c r="C957" s="21"/>
      <c r="D957" s="23"/>
      <c r="E957" s="21"/>
      <c r="F957" s="23"/>
      <c r="G957" s="21"/>
      <c r="H957" s="23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 spans="1:25" ht="21.75" customHeight="1" x14ac:dyDescent="0.6">
      <c r="A958" s="21"/>
      <c r="B958" s="23"/>
      <c r="C958" s="21"/>
      <c r="D958" s="23"/>
      <c r="E958" s="21"/>
      <c r="F958" s="23"/>
      <c r="G958" s="21"/>
      <c r="H958" s="23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 spans="1:25" ht="21.75" customHeight="1" x14ac:dyDescent="0.6">
      <c r="A959" s="21"/>
      <c r="B959" s="23"/>
      <c r="C959" s="21"/>
      <c r="D959" s="23"/>
      <c r="E959" s="21"/>
      <c r="F959" s="23"/>
      <c r="G959" s="21"/>
      <c r="H959" s="23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 spans="1:25" ht="21.75" customHeight="1" x14ac:dyDescent="0.6">
      <c r="A960" s="21"/>
      <c r="B960" s="23"/>
      <c r="C960" s="21"/>
      <c r="D960" s="23"/>
      <c r="E960" s="21"/>
      <c r="F960" s="23"/>
      <c r="G960" s="21"/>
      <c r="H960" s="23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 spans="1:25" ht="21.75" customHeight="1" x14ac:dyDescent="0.6">
      <c r="A961" s="21"/>
      <c r="B961" s="23"/>
      <c r="C961" s="21"/>
      <c r="D961" s="23"/>
      <c r="E961" s="21"/>
      <c r="F961" s="23"/>
      <c r="G961" s="21"/>
      <c r="H961" s="23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 spans="1:25" ht="21.75" customHeight="1" x14ac:dyDescent="0.6">
      <c r="A962" s="21"/>
      <c r="B962" s="23"/>
      <c r="C962" s="21"/>
      <c r="D962" s="23"/>
      <c r="E962" s="21"/>
      <c r="F962" s="23"/>
      <c r="G962" s="21"/>
      <c r="H962" s="23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 spans="1:25" ht="21.75" customHeight="1" x14ac:dyDescent="0.6">
      <c r="A963" s="21"/>
      <c r="B963" s="23"/>
      <c r="C963" s="21"/>
      <c r="D963" s="23"/>
      <c r="E963" s="21"/>
      <c r="F963" s="23"/>
      <c r="G963" s="21"/>
      <c r="H963" s="23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 spans="1:25" ht="21.75" customHeight="1" x14ac:dyDescent="0.6">
      <c r="A964" s="21"/>
      <c r="B964" s="23"/>
      <c r="C964" s="21"/>
      <c r="D964" s="23"/>
      <c r="E964" s="21"/>
      <c r="F964" s="23"/>
      <c r="G964" s="21"/>
      <c r="H964" s="23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 spans="1:25" ht="21.75" customHeight="1" x14ac:dyDescent="0.6">
      <c r="A965" s="21"/>
      <c r="B965" s="23"/>
      <c r="C965" s="21"/>
      <c r="D965" s="23"/>
      <c r="E965" s="21"/>
      <c r="F965" s="23"/>
      <c r="G965" s="21"/>
      <c r="H965" s="23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 spans="1:25" ht="21.75" customHeight="1" x14ac:dyDescent="0.6">
      <c r="A966" s="21"/>
      <c r="B966" s="23"/>
      <c r="C966" s="21"/>
      <c r="D966" s="23"/>
      <c r="E966" s="21"/>
      <c r="F966" s="23"/>
      <c r="G966" s="21"/>
      <c r="H966" s="23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 spans="1:25" ht="21.75" customHeight="1" x14ac:dyDescent="0.6">
      <c r="A967" s="21"/>
      <c r="B967" s="23"/>
      <c r="C967" s="21"/>
      <c r="D967" s="23"/>
      <c r="E967" s="21"/>
      <c r="F967" s="23"/>
      <c r="G967" s="21"/>
      <c r="H967" s="23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 spans="1:25" ht="21.75" customHeight="1" x14ac:dyDescent="0.6">
      <c r="A968" s="21"/>
      <c r="B968" s="23"/>
      <c r="C968" s="21"/>
      <c r="D968" s="23"/>
      <c r="E968" s="21"/>
      <c r="F968" s="23"/>
      <c r="G968" s="21"/>
      <c r="H968" s="23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 spans="1:25" ht="21.75" customHeight="1" x14ac:dyDescent="0.6">
      <c r="A969" s="21"/>
      <c r="B969" s="23"/>
      <c r="C969" s="21"/>
      <c r="D969" s="23"/>
      <c r="E969" s="21"/>
      <c r="F969" s="23"/>
      <c r="G969" s="21"/>
      <c r="H969" s="23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 spans="1:25" ht="21.75" customHeight="1" x14ac:dyDescent="0.6">
      <c r="A970" s="21"/>
      <c r="B970" s="23"/>
      <c r="C970" s="21"/>
      <c r="D970" s="23"/>
      <c r="E970" s="21"/>
      <c r="F970" s="23"/>
      <c r="G970" s="21"/>
      <c r="H970" s="23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 spans="1:25" ht="21.75" customHeight="1" x14ac:dyDescent="0.6">
      <c r="A971" s="21"/>
      <c r="B971" s="23"/>
      <c r="C971" s="21"/>
      <c r="D971" s="23"/>
      <c r="E971" s="21"/>
      <c r="F971" s="23"/>
      <c r="G971" s="21"/>
      <c r="H971" s="23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 spans="1:25" ht="21.75" customHeight="1" x14ac:dyDescent="0.6">
      <c r="A972" s="21"/>
      <c r="B972" s="23"/>
      <c r="C972" s="21"/>
      <c r="D972" s="23"/>
      <c r="E972" s="21"/>
      <c r="F972" s="23"/>
      <c r="G972" s="21"/>
      <c r="H972" s="23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 spans="1:25" ht="21.75" customHeight="1" x14ac:dyDescent="0.6">
      <c r="A973" s="21"/>
      <c r="B973" s="23"/>
      <c r="C973" s="21"/>
      <c r="D973" s="23"/>
      <c r="E973" s="21"/>
      <c r="F973" s="23"/>
      <c r="G973" s="21"/>
      <c r="H973" s="23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 spans="1:25" ht="21.75" customHeight="1" x14ac:dyDescent="0.6">
      <c r="A974" s="21"/>
      <c r="B974" s="23"/>
      <c r="C974" s="21"/>
      <c r="D974" s="23"/>
      <c r="E974" s="21"/>
      <c r="F974" s="23"/>
      <c r="G974" s="21"/>
      <c r="H974" s="23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 spans="1:25" ht="21.75" customHeight="1" x14ac:dyDescent="0.6">
      <c r="A975" s="21"/>
      <c r="B975" s="23"/>
      <c r="C975" s="21"/>
      <c r="D975" s="23"/>
      <c r="E975" s="21"/>
      <c r="F975" s="23"/>
      <c r="G975" s="21"/>
      <c r="H975" s="23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 spans="1:25" ht="21.75" customHeight="1" x14ac:dyDescent="0.6">
      <c r="A976" s="21"/>
      <c r="B976" s="23"/>
      <c r="C976" s="21"/>
      <c r="D976" s="23"/>
      <c r="E976" s="21"/>
      <c r="F976" s="23"/>
      <c r="G976" s="21"/>
      <c r="H976" s="23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 spans="1:25" ht="21.75" customHeight="1" x14ac:dyDescent="0.6">
      <c r="A977" s="21"/>
      <c r="B977" s="23"/>
      <c r="C977" s="21"/>
      <c r="D977" s="23"/>
      <c r="E977" s="21"/>
      <c r="F977" s="23"/>
      <c r="G977" s="21"/>
      <c r="H977" s="23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 spans="1:25" ht="21.75" customHeight="1" x14ac:dyDescent="0.6">
      <c r="A978" s="21"/>
      <c r="B978" s="23"/>
      <c r="C978" s="21"/>
      <c r="D978" s="23"/>
      <c r="E978" s="21"/>
      <c r="F978" s="23"/>
      <c r="G978" s="21"/>
      <c r="H978" s="23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 spans="1:25" ht="21.75" customHeight="1" x14ac:dyDescent="0.6">
      <c r="A979" s="21"/>
      <c r="B979" s="23"/>
      <c r="C979" s="21"/>
      <c r="D979" s="23"/>
      <c r="E979" s="21"/>
      <c r="F979" s="23"/>
      <c r="G979" s="21"/>
      <c r="H979" s="23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 spans="1:25" ht="21.75" customHeight="1" x14ac:dyDescent="0.6">
      <c r="A980" s="21"/>
      <c r="B980" s="23"/>
      <c r="C980" s="21"/>
      <c r="D980" s="23"/>
      <c r="E980" s="21"/>
      <c r="F980" s="23"/>
      <c r="G980" s="21"/>
      <c r="H980" s="23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 spans="1:25" ht="21.75" customHeight="1" x14ac:dyDescent="0.6">
      <c r="A981" s="21"/>
      <c r="B981" s="23"/>
      <c r="C981" s="21"/>
      <c r="D981" s="23"/>
      <c r="E981" s="21"/>
      <c r="F981" s="23"/>
      <c r="G981" s="21"/>
      <c r="H981" s="23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 spans="1:25" ht="21.75" customHeight="1" x14ac:dyDescent="0.6">
      <c r="A982" s="21"/>
      <c r="B982" s="23"/>
      <c r="C982" s="21"/>
      <c r="D982" s="23"/>
      <c r="E982" s="21"/>
      <c r="F982" s="23"/>
      <c r="G982" s="21"/>
      <c r="H982" s="23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 spans="1:25" ht="21.75" customHeight="1" x14ac:dyDescent="0.6">
      <c r="A983" s="21"/>
      <c r="B983" s="23"/>
      <c r="C983" s="21"/>
      <c r="D983" s="23"/>
      <c r="E983" s="21"/>
      <c r="F983" s="23"/>
      <c r="G983" s="21"/>
      <c r="H983" s="23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 spans="1:25" ht="21.75" customHeight="1" x14ac:dyDescent="0.6">
      <c r="A984" s="21"/>
      <c r="B984" s="23"/>
      <c r="C984" s="21"/>
      <c r="D984" s="23"/>
      <c r="E984" s="21"/>
      <c r="F984" s="23"/>
      <c r="G984" s="21"/>
      <c r="H984" s="23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 spans="1:25" ht="21.75" customHeight="1" x14ac:dyDescent="0.6">
      <c r="A985" s="21"/>
      <c r="B985" s="23"/>
      <c r="C985" s="21"/>
      <c r="D985" s="23"/>
      <c r="E985" s="21"/>
      <c r="F985" s="23"/>
      <c r="G985" s="21"/>
      <c r="H985" s="23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 spans="1:25" ht="21.75" customHeight="1" x14ac:dyDescent="0.6">
      <c r="A986" s="21"/>
      <c r="B986" s="23"/>
      <c r="C986" s="21"/>
      <c r="D986" s="23"/>
      <c r="E986" s="21"/>
      <c r="F986" s="23"/>
      <c r="G986" s="21"/>
      <c r="H986" s="23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 spans="1:25" ht="21.75" customHeight="1" x14ac:dyDescent="0.6">
      <c r="A987" s="21"/>
      <c r="B987" s="23"/>
      <c r="C987" s="21"/>
      <c r="D987" s="23"/>
      <c r="E987" s="21"/>
      <c r="F987" s="23"/>
      <c r="G987" s="21"/>
      <c r="H987" s="23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 spans="1:25" ht="21.75" customHeight="1" x14ac:dyDescent="0.6">
      <c r="A988" s="21"/>
      <c r="B988" s="23"/>
      <c r="C988" s="21"/>
      <c r="D988" s="23"/>
      <c r="E988" s="21"/>
      <c r="F988" s="23"/>
      <c r="G988" s="21"/>
      <c r="H988" s="23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 spans="1:25" ht="21.75" customHeight="1" x14ac:dyDescent="0.6">
      <c r="A989" s="21"/>
      <c r="B989" s="23"/>
      <c r="C989" s="21"/>
      <c r="D989" s="23"/>
      <c r="E989" s="21"/>
      <c r="F989" s="23"/>
      <c r="G989" s="21"/>
      <c r="H989" s="23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 spans="1:25" ht="21.75" customHeight="1" x14ac:dyDescent="0.6">
      <c r="A990" s="21"/>
      <c r="B990" s="23"/>
      <c r="C990" s="21"/>
      <c r="D990" s="23"/>
      <c r="E990" s="21"/>
      <c r="F990" s="23"/>
      <c r="G990" s="21"/>
      <c r="H990" s="23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 spans="1:25" ht="21.75" customHeight="1" x14ac:dyDescent="0.6">
      <c r="A991" s="21"/>
      <c r="B991" s="23"/>
      <c r="C991" s="21"/>
      <c r="D991" s="23"/>
      <c r="E991" s="21"/>
      <c r="F991" s="23"/>
      <c r="G991" s="21"/>
      <c r="H991" s="23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 spans="1:25" ht="21.75" customHeight="1" x14ac:dyDescent="0.6">
      <c r="A992" s="21"/>
      <c r="B992" s="23"/>
      <c r="C992" s="21"/>
      <c r="D992" s="23"/>
      <c r="E992" s="21"/>
      <c r="F992" s="23"/>
      <c r="G992" s="21"/>
      <c r="H992" s="23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 spans="1:25" ht="21.75" customHeight="1" x14ac:dyDescent="0.6">
      <c r="A993" s="21"/>
      <c r="B993" s="23"/>
      <c r="C993" s="21"/>
      <c r="D993" s="23"/>
      <c r="E993" s="21"/>
      <c r="F993" s="23"/>
      <c r="G993" s="21"/>
      <c r="H993" s="23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 spans="1:25" ht="21.75" customHeight="1" x14ac:dyDescent="0.6">
      <c r="A994" s="21"/>
      <c r="B994" s="23"/>
      <c r="C994" s="21"/>
      <c r="D994" s="23"/>
      <c r="E994" s="21"/>
      <c r="F994" s="23"/>
      <c r="G994" s="21"/>
      <c r="H994" s="23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 spans="1:25" ht="21.75" customHeight="1" x14ac:dyDescent="0.6">
      <c r="A995" s="21"/>
      <c r="B995" s="23"/>
      <c r="C995" s="21"/>
      <c r="D995" s="23"/>
      <c r="E995" s="21"/>
      <c r="F995" s="23"/>
      <c r="G995" s="21"/>
      <c r="H995" s="23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 spans="1:25" ht="21.75" customHeight="1" x14ac:dyDescent="0.6">
      <c r="A996" s="21"/>
      <c r="B996" s="23"/>
      <c r="C996" s="21"/>
      <c r="D996" s="23"/>
      <c r="E996" s="21"/>
      <c r="F996" s="23"/>
      <c r="G996" s="21"/>
      <c r="H996" s="23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 spans="1:25" ht="21.75" customHeight="1" x14ac:dyDescent="0.6">
      <c r="A997" s="21"/>
      <c r="B997" s="23"/>
      <c r="C997" s="21"/>
      <c r="D997" s="23"/>
      <c r="E997" s="21"/>
      <c r="F997" s="23"/>
      <c r="G997" s="21"/>
      <c r="H997" s="23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 spans="1:25" ht="21.75" customHeight="1" x14ac:dyDescent="0.6">
      <c r="A998" s="21"/>
      <c r="B998" s="23"/>
      <c r="C998" s="21"/>
      <c r="D998" s="23"/>
      <c r="E998" s="21"/>
      <c r="F998" s="23"/>
      <c r="G998" s="21"/>
      <c r="H998" s="23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 spans="1:25" ht="21.75" customHeight="1" x14ac:dyDescent="0.6">
      <c r="A999" s="21"/>
      <c r="B999" s="23"/>
      <c r="C999" s="21"/>
      <c r="D999" s="23"/>
      <c r="E999" s="21"/>
      <c r="F999" s="23"/>
      <c r="G999" s="21"/>
      <c r="H999" s="23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 spans="1:25" ht="21.75" customHeight="1" x14ac:dyDescent="0.6">
      <c r="A1000" s="21"/>
      <c r="B1000" s="23"/>
      <c r="C1000" s="21"/>
      <c r="D1000" s="23"/>
      <c r="E1000" s="21"/>
      <c r="F1000" s="23"/>
      <c r="G1000" s="21"/>
      <c r="H1000" s="23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  <row r="1001" spans="1:25" ht="21.75" customHeight="1" x14ac:dyDescent="0.6">
      <c r="A1001" s="21"/>
      <c r="B1001" s="23"/>
      <c r="C1001" s="21"/>
      <c r="D1001" s="23"/>
      <c r="E1001" s="21"/>
      <c r="F1001" s="23"/>
      <c r="G1001" s="21"/>
      <c r="H1001" s="23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</row>
    <row r="1002" spans="1:25" ht="21.75" customHeight="1" x14ac:dyDescent="0.6">
      <c r="A1002" s="21"/>
      <c r="B1002" s="23"/>
      <c r="C1002" s="21"/>
      <c r="D1002" s="23"/>
      <c r="E1002" s="21"/>
      <c r="F1002" s="23"/>
      <c r="G1002" s="21"/>
      <c r="H1002" s="23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</row>
    <row r="1003" spans="1:25" ht="21.75" customHeight="1" x14ac:dyDescent="0.6">
      <c r="A1003" s="21"/>
      <c r="B1003" s="23"/>
      <c r="C1003" s="21"/>
      <c r="D1003" s="23"/>
      <c r="E1003" s="21"/>
      <c r="F1003" s="23"/>
      <c r="G1003" s="21"/>
      <c r="H1003" s="23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</row>
  </sheetData>
  <mergeCells count="5">
    <mergeCell ref="A1:A2"/>
    <mergeCell ref="B1:C1"/>
    <mergeCell ref="D1:E1"/>
    <mergeCell ref="F1:G1"/>
    <mergeCell ref="H1:I1"/>
  </mergeCells>
  <pageMargins left="0.511811024" right="0.511811024" top="0.78740157499999996" bottom="0.78740157499999996" header="0" footer="0"/>
  <pageSetup paperSize="9" orientation="portrait" r:id="rId1"/>
  <ignoredErrors>
    <ignoredError sqref="D3:D18 F5:F18 F3:F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0356-130E-4993-9ABF-9640A5163C90}">
  <sheetPr>
    <tabColor rgb="FFFF0000"/>
  </sheetPr>
  <dimension ref="A1:W1002"/>
  <sheetViews>
    <sheetView showGridLines="0" zoomScale="70" zoomScaleNormal="70" workbookViewId="0">
      <selection sqref="A1:D19"/>
    </sheetView>
  </sheetViews>
  <sheetFormatPr defaultColWidth="14.42578125" defaultRowHeight="15" customHeight="1" x14ac:dyDescent="0.25"/>
  <cols>
    <col min="1" max="1" width="59.42578125" customWidth="1"/>
    <col min="2" max="2" width="22.28515625" customWidth="1"/>
    <col min="3" max="3" width="16.85546875" customWidth="1"/>
    <col min="4" max="4" width="24.140625" style="20" customWidth="1"/>
    <col min="5" max="5" width="74.85546875" style="20" customWidth="1"/>
    <col min="6" max="6" width="9.140625" customWidth="1"/>
    <col min="7" max="7" width="11.7109375" customWidth="1"/>
    <col min="8" max="10" width="9.140625" customWidth="1"/>
    <col min="11" max="11" width="10.85546875" customWidth="1"/>
    <col min="12" max="23" width="9.140625" customWidth="1"/>
  </cols>
  <sheetData>
    <row r="1" spans="1:23" ht="21" customHeight="1" x14ac:dyDescent="0.6">
      <c r="A1" s="147" t="s">
        <v>0</v>
      </c>
      <c r="B1" s="149" t="s">
        <v>45</v>
      </c>
      <c r="C1" s="150"/>
      <c r="D1" s="44" t="s">
        <v>44</v>
      </c>
      <c r="E1" s="151" t="s">
        <v>43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24" customHeight="1" x14ac:dyDescent="0.6">
      <c r="A2" s="148"/>
      <c r="B2" s="16" t="s">
        <v>42</v>
      </c>
      <c r="C2" s="2" t="s">
        <v>3</v>
      </c>
      <c r="D2" s="43" t="s">
        <v>3</v>
      </c>
      <c r="E2" s="152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ht="24.6" customHeight="1" x14ac:dyDescent="0.25">
      <c r="A3" s="38" t="str">
        <f>[3]ORÇAMENTO_EXECUTIVO!A2</f>
        <v>GERENCIAMENTO TÉCNICO E ADMINISTRATIVO</v>
      </c>
      <c r="B3" s="37">
        <f ca="1">Versões!F3</f>
        <v>4073248.064919733</v>
      </c>
      <c r="C3" s="37">
        <f ca="1">B3/Versões!$M$2</f>
        <v>366.86938560278321</v>
      </c>
      <c r="D3" s="36" t="str">
        <f>FIXED(CÁLCULO_MÉDIAS!AF13,2,FALSE)&amp;" "&amp;"-"&amp;FIXED(CÁLCULO_MÉDIAS!AG13,2,FALSE)</f>
        <v>290,00 -410,00</v>
      </c>
      <c r="E3" s="42"/>
      <c r="F3" s="28"/>
      <c r="G3" s="39"/>
      <c r="H3" s="40"/>
      <c r="I3" s="28"/>
      <c r="J3" s="39"/>
      <c r="K3" s="39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 ht="24.6" customHeight="1" x14ac:dyDescent="0.25">
      <c r="A4" s="35" t="str">
        <f>[3]ORÇAMENTO_EXECUTIVO!A3</f>
        <v>MOVIMENTAÇÃO DE TERRA</v>
      </c>
      <c r="B4" s="34">
        <f ca="1">Versões!F4</f>
        <v>198728.54458902398</v>
      </c>
      <c r="C4" s="34">
        <f ca="1">B4/Versões!$M$2</f>
        <v>17.899086403063752</v>
      </c>
      <c r="D4" s="33" t="str">
        <f>FIXED(CÁLCULO_MÉDIAS!AF14,2,FALSE)&amp;" "&amp;"-"&amp;FIXED(CÁLCULO_MÉDIAS!AG14,2,FALSE)</f>
        <v>15,00 -90,00</v>
      </c>
      <c r="E4" s="41"/>
      <c r="F4" s="28"/>
      <c r="G4" s="39"/>
      <c r="H4" s="40"/>
      <c r="I4" s="28"/>
      <c r="J4" s="39"/>
      <c r="K4" s="39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 spans="1:23" ht="24.6" customHeight="1" x14ac:dyDescent="0.25">
      <c r="A5" s="38" t="str">
        <f>[3]ORÇAMENTO_EXECUTIVO!A4</f>
        <v>INFRAESTRUTURA</v>
      </c>
      <c r="B5" s="37">
        <f ca="1">Versões!F5</f>
        <v>1941462.0984345428</v>
      </c>
      <c r="C5" s="37">
        <f ca="1">B5/Versões!$M$2</f>
        <v>174.86364588448083</v>
      </c>
      <c r="D5" s="36" t="str">
        <f>FIXED(CÁLCULO_MÉDIAS!AF15,2,FALSE)&amp;" "&amp;"-"&amp;FIXED(CÁLCULO_MÉDIAS!AG15,2,FALSE)</f>
        <v>110,00 -200,00</v>
      </c>
      <c r="E5" s="42" t="s">
        <v>41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6" spans="1:23" ht="24.6" customHeight="1" x14ac:dyDescent="0.25">
      <c r="A6" s="35" t="str">
        <f>[3]ORÇAMENTO_EXECUTIVO!A5</f>
        <v>SUPRAESTRUTURA</v>
      </c>
      <c r="B6" s="34">
        <f ca="1">Versões!F6</f>
        <v>6615187.3552938532</v>
      </c>
      <c r="C6" s="34">
        <f ca="1">B6/Versões!$M$2</f>
        <v>595.81682284105636</v>
      </c>
      <c r="D6" s="33" t="str">
        <f>FIXED(CÁLCULO_MÉDIAS!AF17,2,FALSE)&amp;" "&amp;"-"&amp;FIXED(CÁLCULO_MÉDIAS!AG17,2,FALSE)</f>
        <v>580,00 -660,00</v>
      </c>
      <c r="E6" s="41" t="s">
        <v>40</v>
      </c>
      <c r="F6" s="28"/>
      <c r="G6" s="39"/>
      <c r="H6" s="40"/>
      <c r="I6" s="28"/>
      <c r="J6" s="39"/>
      <c r="K6" s="39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</row>
    <row r="7" spans="1:23" ht="24.6" customHeight="1" x14ac:dyDescent="0.25">
      <c r="A7" s="38" t="str">
        <f>[3]ORÇAMENTO_EXECUTIVO!A6</f>
        <v>ALVENARIA</v>
      </c>
      <c r="B7" s="37">
        <f ca="1">Versões!F7</f>
        <v>1669934.1888865917</v>
      </c>
      <c r="C7" s="37">
        <f ca="1">B7/Versões!$M$2</f>
        <v>150.40766486830179</v>
      </c>
      <c r="D7" s="36" t="str">
        <f>FIXED(CÁLCULO_MÉDIAS!AF18,2,FALSE)&amp;" "&amp;"-"&amp;FIXED(CÁLCULO_MÉDIAS!AG18,2,FALSE)</f>
        <v>120,00 -190,00</v>
      </c>
      <c r="E7" s="42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</row>
    <row r="8" spans="1:23" ht="24.6" customHeight="1" x14ac:dyDescent="0.25">
      <c r="A8" s="35" t="str">
        <f>[3]ORÇAMENTO_EXECUTIVO!A7</f>
        <v>INSTALAÇÕES ELÉTRICAS, HIDRÁULICAS, GLP E PREVENTIVAS</v>
      </c>
      <c r="B8" s="34">
        <f ca="1">Versões!F8</f>
        <v>4311922.0907457341</v>
      </c>
      <c r="C8" s="34">
        <f ca="1">B8/Versões!$M$2</f>
        <v>388.36628238357218</v>
      </c>
      <c r="D8" s="33" t="str">
        <f>FIXED(CÁLCULO_MÉDIAS!AF19,2,FALSE)&amp;" "&amp;"-"&amp;FIXED(CÁLCULO_MÉDIAS!AG19,2,FALSE)</f>
        <v>320,00 -400,00</v>
      </c>
      <c r="E8" s="41"/>
      <c r="F8" s="28"/>
      <c r="G8" s="39"/>
      <c r="H8" s="40"/>
      <c r="I8" s="28"/>
      <c r="J8" s="39"/>
      <c r="K8" s="39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</row>
    <row r="9" spans="1:23" ht="24.6" customHeight="1" x14ac:dyDescent="0.25">
      <c r="A9" s="38" t="str">
        <f>[3]ORÇAMENTO_EXECUTIVO!A8</f>
        <v>EQUIPAMENTOS E SISTEMAS ESPECIAIS</v>
      </c>
      <c r="B9" s="37">
        <f ca="1">Versões!F9</f>
        <v>1997062.2669022223</v>
      </c>
      <c r="C9" s="37">
        <f ca="1">B9/Versões!$M$2</f>
        <v>179.87144293490445</v>
      </c>
      <c r="D9" s="36" t="str">
        <f>FIXED(CÁLCULO_MÉDIAS!AF20,2,FALSE)&amp;" "&amp;"-"&amp;FIXED(CÁLCULO_MÉDIAS!AG20,2,FALSE)</f>
        <v>160,00 -200,00</v>
      </c>
      <c r="E9" s="42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</row>
    <row r="10" spans="1:23" ht="24.6" customHeight="1" x14ac:dyDescent="0.25">
      <c r="A10" s="35" t="str">
        <f>[3]ORÇAMENTO_EXECUTIVO!A9</f>
        <v>IMPERMEABILIZAÇÃO</v>
      </c>
      <c r="B10" s="34">
        <f ca="1">Versões!F10</f>
        <v>948728.56679100019</v>
      </c>
      <c r="C10" s="34">
        <f ca="1">B10/Versões!$M$2</f>
        <v>85.45010292892195</v>
      </c>
      <c r="D10" s="33" t="str">
        <f>FIXED(CÁLCULO_MÉDIAS!AF21,2,FALSE)&amp;" "&amp;"-"&amp;FIXED(CÁLCULO_MÉDIAS!AG21,2,FALSE)</f>
        <v>65,00 -110,00</v>
      </c>
      <c r="E10" s="41"/>
      <c r="F10" s="28"/>
      <c r="G10" s="39"/>
      <c r="H10" s="40"/>
      <c r="I10" s="28"/>
      <c r="J10" s="39"/>
      <c r="K10" s="39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</row>
    <row r="11" spans="1:23" ht="24.6" customHeight="1" x14ac:dyDescent="0.25">
      <c r="A11" s="38" t="str">
        <f>[3]ORÇAMENTO_EXECUTIVO!A10</f>
        <v>REVESTIMENTOS E ACABAMENTOS INTERNOS EM PAREDE</v>
      </c>
      <c r="B11" s="37">
        <f ca="1">Versões!F11</f>
        <v>3214008.858001166</v>
      </c>
      <c r="C11" s="37">
        <f ca="1">B11/Versões!$M$2</f>
        <v>289.47941207210181</v>
      </c>
      <c r="D11" s="36" t="str">
        <f>FIXED(CÁLCULO_MÉDIAS!AF22,2,FALSE)&amp;" "&amp;"-"&amp;FIXED(CÁLCULO_MÉDIAS!AG22,2,FALSE)</f>
        <v>160,00 -235,00</v>
      </c>
      <c r="E11" s="140" t="s">
        <v>136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spans="1:23" ht="24.6" customHeight="1" x14ac:dyDescent="0.25">
      <c r="A12" s="35" t="str">
        <f>[3]ORÇAMENTO_EXECUTIVO!A11</f>
        <v>REVESTIMENTOS E ACABAMENTOS INTERNOS EM TETO</v>
      </c>
      <c r="B12" s="34">
        <f ca="1">Versões!F12</f>
        <v>753156.09809219011</v>
      </c>
      <c r="C12" s="34">
        <f ca="1">B12/Versões!$M$2</f>
        <v>67.83527803026557</v>
      </c>
      <c r="D12" s="33" t="str">
        <f>FIXED(CÁLCULO_MÉDIAS!AF23,2,FALSE)&amp;" "&amp;"-"&amp;FIXED(CÁLCULO_MÉDIAS!AG23,2,FALSE)</f>
        <v>55,00 -70,00</v>
      </c>
      <c r="E12" s="41" t="s">
        <v>39</v>
      </c>
      <c r="F12" s="28"/>
      <c r="G12" s="39"/>
      <c r="H12" s="40"/>
      <c r="I12" s="28"/>
      <c r="J12" s="39"/>
      <c r="K12" s="39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</row>
    <row r="13" spans="1:23" ht="24.6" customHeight="1" x14ac:dyDescent="0.25">
      <c r="A13" s="38" t="str">
        <f>[3]ORÇAMENTO_EXECUTIVO!A12</f>
        <v>REVESTIMENTOS E ACABAMENTOS INTERNOS EM PISO</v>
      </c>
      <c r="B13" s="37">
        <f ca="1">Versões!F13</f>
        <v>4313008.1837960519</v>
      </c>
      <c r="C13" s="37">
        <f ca="1">B13/Versões!$M$2</f>
        <v>388.46410463346388</v>
      </c>
      <c r="D13" s="36" t="str">
        <f>FIXED(CÁLCULO_MÉDIAS!AF24,2,FALSE)&amp;" "&amp;"-"&amp;FIXED(CÁLCULO_MÉDIAS!AG24,2,FALSE)</f>
        <v>220,00 -320,00</v>
      </c>
      <c r="E13" s="140" t="s">
        <v>136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spans="1:23" ht="24.6" customHeight="1" x14ac:dyDescent="0.25">
      <c r="A14" s="35" t="str">
        <f>[3]ORÇAMENTO_EXECUTIVO!A13</f>
        <v>PINTURA INTERNA</v>
      </c>
      <c r="B14" s="34">
        <f ca="1">Versões!F14</f>
        <v>1273615.850741019</v>
      </c>
      <c r="C14" s="34">
        <f ca="1">B14/Versões!$M$2</f>
        <v>114.71205711222287</v>
      </c>
      <c r="D14" s="33" t="str">
        <f>FIXED(CÁLCULO_MÉDIAS!AF25,2,FALSE)&amp;" "&amp;"-"&amp;FIXED(CÁLCULO_MÉDIAS!AG25,2,FALSE)</f>
        <v>90,00 -120,00</v>
      </c>
      <c r="E14" s="41"/>
      <c r="F14" s="28"/>
      <c r="G14" s="39"/>
      <c r="H14" s="40"/>
      <c r="I14" s="28"/>
      <c r="J14" s="39"/>
      <c r="K14" s="39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  <row r="15" spans="1:23" ht="24.6" customHeight="1" x14ac:dyDescent="0.25">
      <c r="A15" s="38" t="str">
        <f>[3]ORÇAMENTO_EXECUTIVO!A14</f>
        <v>ESQUADRIAS, VIDROS E FERRAGENS</v>
      </c>
      <c r="B15" s="37">
        <f ca="1">Versões!F15</f>
        <v>3821896.5816228217</v>
      </c>
      <c r="C15" s="37">
        <f ca="1">B15/Versões!$M$2</f>
        <v>344.23065533696445</v>
      </c>
      <c r="D15" s="36" t="str">
        <f>FIXED(CÁLCULO_MÉDIAS!AF26,2,FALSE)&amp;" "&amp;"-"&amp;FIXED(CÁLCULO_MÉDIAS!AG26,2,FALSE)</f>
        <v>320,00 -415,00</v>
      </c>
      <c r="E15" s="42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  <row r="16" spans="1:23" ht="24.6" customHeight="1" x14ac:dyDescent="0.25">
      <c r="A16" s="35" t="str">
        <f>[3]ORÇAMENTO_EXECUTIVO!A15</f>
        <v>COBERTURA</v>
      </c>
      <c r="B16" s="34">
        <f ca="1">Versões!F16</f>
        <v>375409.40763087</v>
      </c>
      <c r="C16" s="34">
        <f ca="1">B16/Versões!$M$2</f>
        <v>33.812381797511783</v>
      </c>
      <c r="D16" s="33" t="str">
        <f>FIXED(CÁLCULO_MÉDIAS!AF27,2,FALSE)&amp;" "&amp;"-"&amp;FIXED(CÁLCULO_MÉDIAS!AG27,2,FALSE)</f>
        <v>25,00 -35,00</v>
      </c>
      <c r="E16" s="41"/>
      <c r="F16" s="28"/>
      <c r="G16" s="39"/>
      <c r="H16" s="40"/>
      <c r="I16" s="28"/>
      <c r="J16" s="39"/>
      <c r="K16" s="39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</row>
    <row r="17" spans="1:23" ht="24.6" customHeight="1" x14ac:dyDescent="0.25">
      <c r="A17" s="38" t="str">
        <f>[3]ORÇAMENTO_EXECUTIVO!A16</f>
        <v>REVESTIMENTOS E ACABAMENTOS DE FACHADA</v>
      </c>
      <c r="B17" s="37">
        <f ca="1">Versões!F17</f>
        <v>1517055.5979890632</v>
      </c>
      <c r="C17" s="37">
        <f ca="1">B17/Versões!$M$2</f>
        <v>136.63819298235597</v>
      </c>
      <c r="D17" s="36" t="str">
        <f>FIXED(CÁLCULO_MÉDIAS!AF28,2,FALSE)&amp;" "&amp;"-"&amp;FIXED(CÁLCULO_MÉDIAS!AG28,2,FALSE)</f>
        <v>90,00 -180,00</v>
      </c>
      <c r="E17" s="42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</row>
    <row r="18" spans="1:23" ht="24.6" customHeight="1" x14ac:dyDescent="0.25">
      <c r="A18" s="35" t="str">
        <f>[3]ORÇAMENTO_EXECUTIVO!A17</f>
        <v>SERVIÇOS COMPLEMENTARES</v>
      </c>
      <c r="B18" s="34">
        <f ca="1">Versões!F18</f>
        <v>3263431.9372460633</v>
      </c>
      <c r="C18" s="34">
        <f ca="1">B18/Versões!$M$2</f>
        <v>293.9308509307686</v>
      </c>
      <c r="D18" s="33" t="str">
        <f>FIXED(CÁLCULO_MÉDIAS!AF29,2,FALSE)&amp;" "&amp;"-"&amp;FIXED(CÁLCULO_MÉDIAS!AG29,2,FALSE)</f>
        <v>180,00 -250,00</v>
      </c>
      <c r="E18" s="41" t="s">
        <v>137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</row>
    <row r="19" spans="1:23" s="27" customFormat="1" ht="19.5" customHeight="1" thickBot="1" x14ac:dyDescent="0.3">
      <c r="A19" s="32" t="s">
        <v>21</v>
      </c>
      <c r="B19" s="31">
        <f ca="1">SUM(B4:B18)</f>
        <v>36214607.626762211</v>
      </c>
      <c r="C19" s="31">
        <f ca="1">SUM(C4:C18)</f>
        <v>3261.7779811399564</v>
      </c>
      <c r="D19" s="30" t="str">
        <f>FIXED(CÁLCULO_MÉDIAS!AF32,2,FALSE)&amp;" "&amp;"-"&amp;FIXED(CÁLCULO_MÉDIAS!AG32,2,FALSE)</f>
        <v>2.510,00 -3.475,00</v>
      </c>
      <c r="E19" s="29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spans="1:23" ht="21.75" customHeight="1" x14ac:dyDescent="0.6">
      <c r="A20" s="21"/>
      <c r="B20" s="23"/>
      <c r="C20" s="21"/>
      <c r="D20" s="22"/>
      <c r="E20" s="22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spans="1:23" ht="21.75" customHeight="1" x14ac:dyDescent="0.6">
      <c r="A21" s="21"/>
      <c r="B21" s="23"/>
      <c r="C21" s="21"/>
      <c r="D21" s="22"/>
      <c r="E21" s="22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spans="1:23" ht="21.75" customHeight="1" x14ac:dyDescent="0.6">
      <c r="A22" s="21"/>
      <c r="B22" s="23"/>
      <c r="C22" s="21"/>
      <c r="D22" s="22"/>
      <c r="E22" s="22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spans="1:23" ht="21.75" hidden="1" customHeight="1" x14ac:dyDescent="0.6">
      <c r="A23" s="21"/>
      <c r="B23" s="23">
        <v>2007.57</v>
      </c>
      <c r="C23" s="21"/>
      <c r="D23" s="22"/>
      <c r="E23" s="22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spans="1:23" ht="21.75" hidden="1" customHeight="1" x14ac:dyDescent="0.6">
      <c r="A24" s="21"/>
      <c r="B24" s="23">
        <v>2461.35</v>
      </c>
      <c r="C24" s="21"/>
      <c r="D24" s="22"/>
      <c r="E24" s="22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spans="1:23" ht="21.75" hidden="1" customHeight="1" x14ac:dyDescent="0.6">
      <c r="A25" s="21"/>
      <c r="B25" s="23">
        <f>B24/B23</f>
        <v>1.2260344595705255</v>
      </c>
      <c r="C25" s="21"/>
      <c r="D25" s="22"/>
      <c r="E25" s="22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spans="1:23" ht="21.75" hidden="1" customHeight="1" x14ac:dyDescent="0.6">
      <c r="A26" s="21"/>
      <c r="B26" s="23"/>
      <c r="C26" s="21"/>
      <c r="D26" s="22"/>
      <c r="E26" s="22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spans="1:23" ht="21.75" hidden="1" customHeight="1" x14ac:dyDescent="0.6">
      <c r="A27" s="21"/>
      <c r="B27" s="23"/>
      <c r="C27" s="21"/>
      <c r="D27" s="22"/>
      <c r="E27" s="22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spans="1:23" ht="21.75" hidden="1" customHeight="1" x14ac:dyDescent="0.6">
      <c r="A28" s="21"/>
      <c r="B28" s="23"/>
      <c r="C28" s="21">
        <v>1.1023000000000001</v>
      </c>
      <c r="D28" s="22"/>
      <c r="E28" s="22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spans="1:23" ht="21.75" hidden="1" customHeight="1" x14ac:dyDescent="0.6">
      <c r="A29" s="21"/>
      <c r="B29" s="23"/>
      <c r="C29" s="21"/>
      <c r="D29" s="22"/>
      <c r="E29" s="2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spans="1:23" ht="21.75" hidden="1" customHeight="1" x14ac:dyDescent="0.6">
      <c r="A30" s="26" t="s">
        <v>38</v>
      </c>
      <c r="B30" s="23">
        <v>900</v>
      </c>
      <c r="C30" s="23"/>
      <c r="D30" s="24"/>
      <c r="E30" s="24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spans="1:23" ht="21.75" hidden="1" customHeight="1" x14ac:dyDescent="0.6">
      <c r="A31" s="25" t="s">
        <v>37</v>
      </c>
      <c r="B31" s="23">
        <v>25</v>
      </c>
      <c r="C31" s="23"/>
      <c r="D31" s="24"/>
      <c r="E31" s="24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spans="1:23" ht="21.75" hidden="1" customHeight="1" x14ac:dyDescent="0.6">
      <c r="A32" s="26" t="s">
        <v>36</v>
      </c>
      <c r="B32" s="23">
        <v>15</v>
      </c>
      <c r="C32" s="23"/>
      <c r="D32" s="24"/>
      <c r="E32" s="24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spans="1:23" ht="21.75" hidden="1" customHeight="1" x14ac:dyDescent="0.6">
      <c r="A33" s="25" t="s">
        <v>35</v>
      </c>
      <c r="B33" s="23">
        <v>150</v>
      </c>
      <c r="C33" s="23"/>
      <c r="D33" s="24"/>
      <c r="E33" s="24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spans="1:23" ht="21.75" hidden="1" customHeight="1" x14ac:dyDescent="0.6">
      <c r="A34" s="26" t="s">
        <v>34</v>
      </c>
      <c r="B34" s="23">
        <v>440</v>
      </c>
      <c r="C34" s="23"/>
      <c r="D34" s="24"/>
      <c r="E34" s="24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spans="1:23" ht="21.75" hidden="1" customHeight="1" x14ac:dyDescent="0.6">
      <c r="A35" s="25" t="s">
        <v>33</v>
      </c>
      <c r="B35" s="23"/>
      <c r="C35" s="23"/>
      <c r="D35" s="24"/>
      <c r="E35" s="24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spans="1:23" ht="21.75" hidden="1" customHeight="1" x14ac:dyDescent="0.6">
      <c r="A36" s="26" t="s">
        <v>32</v>
      </c>
      <c r="B36" s="23">
        <v>55</v>
      </c>
      <c r="C36" s="23"/>
      <c r="D36" s="24"/>
      <c r="E36" s="24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spans="1:23" ht="21.75" hidden="1" customHeight="1" x14ac:dyDescent="0.6">
      <c r="A37" s="25" t="s">
        <v>31</v>
      </c>
      <c r="B37" s="23">
        <v>170</v>
      </c>
      <c r="C37" s="23"/>
      <c r="D37" s="24"/>
      <c r="E37" s="24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spans="1:23" ht="21.75" hidden="1" customHeight="1" x14ac:dyDescent="0.6">
      <c r="A38" s="26" t="s">
        <v>30</v>
      </c>
      <c r="B38" s="23">
        <v>165</v>
      </c>
      <c r="C38" s="23"/>
      <c r="D38" s="24"/>
      <c r="E38" s="24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spans="1:23" ht="21.75" hidden="1" customHeight="1" x14ac:dyDescent="0.6">
      <c r="A39" s="25" t="s">
        <v>29</v>
      </c>
      <c r="B39" s="23">
        <v>40</v>
      </c>
      <c r="C39" s="23"/>
      <c r="D39" s="24"/>
      <c r="E39" s="24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spans="1:23" ht="21.75" hidden="1" customHeight="1" x14ac:dyDescent="0.6">
      <c r="A40" s="26" t="s">
        <v>28</v>
      </c>
      <c r="B40" s="23">
        <v>55</v>
      </c>
      <c r="C40" s="23"/>
      <c r="D40" s="24"/>
      <c r="E40" s="24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spans="1:23" ht="21.75" hidden="1" customHeight="1" x14ac:dyDescent="0.6">
      <c r="A41" s="25" t="s">
        <v>23</v>
      </c>
      <c r="B41" s="23">
        <v>35</v>
      </c>
      <c r="C41" s="23"/>
      <c r="D41" s="24"/>
      <c r="E41" s="24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spans="1:23" ht="21.75" hidden="1" customHeight="1" x14ac:dyDescent="0.6">
      <c r="A42" s="26" t="s">
        <v>27</v>
      </c>
      <c r="B42" s="23">
        <v>130</v>
      </c>
      <c r="C42" s="23"/>
      <c r="D42" s="24"/>
      <c r="E42" s="24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ht="21.75" hidden="1" customHeight="1" x14ac:dyDescent="0.6">
      <c r="A43" s="25" t="s">
        <v>26</v>
      </c>
      <c r="B43" s="23">
        <v>35</v>
      </c>
      <c r="C43" s="23"/>
      <c r="D43" s="24"/>
      <c r="E43" s="24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ht="21.75" hidden="1" customHeight="1" x14ac:dyDescent="0.6">
      <c r="A44" s="26" t="s">
        <v>25</v>
      </c>
      <c r="B44" s="23">
        <v>35</v>
      </c>
      <c r="C44" s="23"/>
      <c r="D44" s="24"/>
      <c r="E44" s="24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ht="21.75" hidden="1" customHeight="1" x14ac:dyDescent="0.6">
      <c r="A45" s="25" t="s">
        <v>24</v>
      </c>
      <c r="B45" s="23">
        <v>430</v>
      </c>
      <c r="C45" s="23"/>
      <c r="D45" s="24"/>
      <c r="E45" s="24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ht="21.75" hidden="1" customHeight="1" x14ac:dyDescent="0.6">
      <c r="A46" s="26" t="s">
        <v>23</v>
      </c>
      <c r="B46" s="23">
        <v>35</v>
      </c>
      <c r="C46" s="23"/>
      <c r="D46" s="24"/>
      <c r="E46" s="24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spans="1:23" ht="21.75" hidden="1" customHeight="1" x14ac:dyDescent="0.6">
      <c r="A47" s="25" t="s">
        <v>22</v>
      </c>
      <c r="B47" s="23">
        <v>150</v>
      </c>
      <c r="C47" s="23"/>
      <c r="D47" s="24"/>
      <c r="E47" s="24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spans="1:23" ht="21.75" hidden="1" customHeight="1" x14ac:dyDescent="0.6">
      <c r="A48" s="21"/>
      <c r="B48" s="23"/>
      <c r="C48" s="21"/>
      <c r="D48" s="22"/>
      <c r="E48" s="22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spans="1:23" ht="21.75" hidden="1" customHeight="1" x14ac:dyDescent="0.6">
      <c r="A49" s="21"/>
      <c r="B49" s="23"/>
      <c r="C49" s="21"/>
      <c r="D49" s="22"/>
      <c r="E49" s="22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spans="1:23" ht="21.75" hidden="1" customHeight="1" x14ac:dyDescent="0.6">
      <c r="A50" s="21"/>
      <c r="B50" s="23"/>
      <c r="C50" s="21"/>
      <c r="D50" s="22"/>
      <c r="E50" s="22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spans="1:23" ht="21.75" hidden="1" customHeight="1" x14ac:dyDescent="0.6">
      <c r="A51" s="21"/>
      <c r="B51" s="23"/>
      <c r="C51" s="21"/>
      <c r="D51" s="22"/>
      <c r="E51" s="22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spans="1:23" ht="21.75" hidden="1" customHeight="1" x14ac:dyDescent="0.6">
      <c r="A52" s="21"/>
      <c r="B52" s="23"/>
      <c r="C52" s="21"/>
      <c r="D52" s="22"/>
      <c r="E52" s="22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spans="1:23" ht="21.75" hidden="1" customHeight="1" x14ac:dyDescent="0.6">
      <c r="A53" s="21"/>
      <c r="B53" s="23"/>
      <c r="C53" s="21"/>
      <c r="D53" s="22"/>
      <c r="E53" s="22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spans="1:23" ht="21.75" hidden="1" customHeight="1" x14ac:dyDescent="0.6">
      <c r="A54" s="21"/>
      <c r="B54" s="23"/>
      <c r="C54" s="21"/>
      <c r="D54" s="22"/>
      <c r="E54" s="22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spans="1:23" ht="21.75" hidden="1" customHeight="1" x14ac:dyDescent="0.6">
      <c r="A55" s="21"/>
      <c r="B55" s="23"/>
      <c r="C55" s="21"/>
      <c r="D55" s="22"/>
      <c r="E55" s="2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spans="1:23" ht="21.75" hidden="1" customHeight="1" x14ac:dyDescent="0.6">
      <c r="A56" s="21"/>
      <c r="B56" s="23"/>
      <c r="C56" s="21"/>
      <c r="D56" s="22"/>
      <c r="E56" s="22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spans="1:23" ht="21.75" hidden="1" customHeight="1" x14ac:dyDescent="0.6">
      <c r="A57" s="21"/>
      <c r="B57" s="23"/>
      <c r="C57" s="21"/>
      <c r="D57" s="22"/>
      <c r="E57" s="22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spans="1:23" ht="21.75" hidden="1" customHeight="1" x14ac:dyDescent="0.6">
      <c r="A58" s="21"/>
      <c r="B58" s="23"/>
      <c r="C58" s="21"/>
      <c r="D58" s="22"/>
      <c r="E58" s="22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spans="1:23" ht="21.75" hidden="1" customHeight="1" x14ac:dyDescent="0.6">
      <c r="A59" s="21"/>
      <c r="B59" s="23"/>
      <c r="C59" s="21"/>
      <c r="D59" s="22"/>
      <c r="E59" s="22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spans="1:23" ht="21.75" hidden="1" customHeight="1" x14ac:dyDescent="0.6">
      <c r="A60" s="21"/>
      <c r="B60" s="23"/>
      <c r="C60" s="21"/>
      <c r="D60" s="22"/>
      <c r="E60" s="22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spans="1:23" ht="21.75" hidden="1" customHeight="1" x14ac:dyDescent="0.6">
      <c r="A61" s="21"/>
      <c r="B61" s="23"/>
      <c r="C61" s="21"/>
      <c r="D61" s="22"/>
      <c r="E61" s="22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spans="1:23" ht="21.75" hidden="1" customHeight="1" x14ac:dyDescent="0.6">
      <c r="A62" s="21"/>
      <c r="B62" s="23"/>
      <c r="C62" s="21"/>
      <c r="D62" s="22"/>
      <c r="E62" s="22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spans="1:23" ht="21.75" hidden="1" customHeight="1" x14ac:dyDescent="0.6">
      <c r="A63" s="21"/>
      <c r="B63" s="23"/>
      <c r="C63" s="21"/>
      <c r="D63" s="22"/>
      <c r="E63" s="22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1:23" ht="21.75" hidden="1" customHeight="1" x14ac:dyDescent="0.6">
      <c r="A64" s="21"/>
      <c r="B64" s="23"/>
      <c r="C64" s="21"/>
      <c r="D64" s="22"/>
      <c r="E64" s="22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spans="1:23" ht="21.75" hidden="1" customHeight="1" x14ac:dyDescent="0.6">
      <c r="A65" s="21"/>
      <c r="B65" s="23"/>
      <c r="C65" s="21"/>
      <c r="D65" s="22"/>
      <c r="E65" s="22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spans="1:23" ht="21.75" hidden="1" customHeight="1" x14ac:dyDescent="0.6">
      <c r="A66" s="21"/>
      <c r="B66" s="23"/>
      <c r="C66" s="21"/>
      <c r="D66" s="22"/>
      <c r="E66" s="22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spans="1:23" ht="21.75" hidden="1" customHeight="1" x14ac:dyDescent="0.6">
      <c r="A67" s="21"/>
      <c r="B67" s="23"/>
      <c r="C67" s="21"/>
      <c r="D67" s="22"/>
      <c r="E67" s="22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spans="1:23" ht="21.75" hidden="1" customHeight="1" x14ac:dyDescent="0.6">
      <c r="A68" s="21"/>
      <c r="B68" s="23"/>
      <c r="C68" s="21"/>
      <c r="D68" s="22"/>
      <c r="E68" s="22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spans="1:23" ht="21.75" hidden="1" customHeight="1" x14ac:dyDescent="0.6">
      <c r="A69" s="21"/>
      <c r="B69" s="23"/>
      <c r="C69" s="21"/>
      <c r="D69" s="22"/>
      <c r="E69" s="22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spans="1:23" ht="21.75" hidden="1" customHeight="1" x14ac:dyDescent="0.6">
      <c r="A70" s="21"/>
      <c r="B70" s="23"/>
      <c r="C70" s="21"/>
      <c r="D70" s="22"/>
      <c r="E70" s="22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spans="1:23" ht="21.75" hidden="1" customHeight="1" x14ac:dyDescent="0.6">
      <c r="A71" s="21"/>
      <c r="B71" s="23"/>
      <c r="C71" s="21"/>
      <c r="D71" s="22"/>
      <c r="E71" s="22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spans="1:23" ht="21.75" hidden="1" customHeight="1" x14ac:dyDescent="0.6">
      <c r="A72" s="21"/>
      <c r="B72" s="23"/>
      <c r="C72" s="21"/>
      <c r="D72" s="22"/>
      <c r="E72" s="22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1:23" ht="21.75" hidden="1" customHeight="1" x14ac:dyDescent="0.6">
      <c r="A73" s="21"/>
      <c r="B73" s="23"/>
      <c r="C73" s="21"/>
      <c r="D73" s="22"/>
      <c r="E73" s="22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spans="1:23" ht="21.75" hidden="1" customHeight="1" x14ac:dyDescent="0.6">
      <c r="A74" s="21"/>
      <c r="B74" s="23"/>
      <c r="C74" s="21"/>
      <c r="D74" s="22"/>
      <c r="E74" s="22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spans="1:23" ht="21.75" hidden="1" customHeight="1" x14ac:dyDescent="0.6">
      <c r="A75" s="21"/>
      <c r="B75" s="23"/>
      <c r="C75" s="21"/>
      <c r="D75" s="22"/>
      <c r="E75" s="22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 spans="1:23" ht="21.75" customHeight="1" x14ac:dyDescent="0.6">
      <c r="A76" s="21"/>
      <c r="B76" s="23"/>
      <c r="C76" s="21"/>
      <c r="D76" s="22"/>
      <c r="E76" s="22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spans="1:23" ht="21.75" customHeight="1" x14ac:dyDescent="0.6">
      <c r="A77" s="21"/>
      <c r="B77" s="23"/>
      <c r="C77" s="21"/>
      <c r="D77" s="22"/>
      <c r="E77" s="22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spans="1:23" ht="21.75" customHeight="1" x14ac:dyDescent="0.6">
      <c r="A78" s="21"/>
      <c r="B78" s="23"/>
      <c r="C78" s="21"/>
      <c r="D78" s="22"/>
      <c r="E78" s="22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spans="1:23" ht="21.75" customHeight="1" x14ac:dyDescent="0.6">
      <c r="A79" s="21"/>
      <c r="B79" s="23"/>
      <c r="C79" s="21"/>
      <c r="D79" s="22"/>
      <c r="E79" s="22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 spans="1:23" ht="21.75" customHeight="1" x14ac:dyDescent="0.6">
      <c r="A80" s="21"/>
      <c r="B80" s="23"/>
      <c r="C80" s="21"/>
      <c r="D80" s="22"/>
      <c r="E80" s="22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spans="1:23" ht="21.75" customHeight="1" x14ac:dyDescent="0.6">
      <c r="A81" s="21"/>
      <c r="B81" s="23"/>
      <c r="C81" s="21"/>
      <c r="D81" s="22"/>
      <c r="E81" s="2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spans="1:23" ht="21.75" customHeight="1" x14ac:dyDescent="0.6">
      <c r="A82" s="21"/>
      <c r="B82" s="23"/>
      <c r="C82" s="21"/>
      <c r="D82" s="22"/>
      <c r="E82" s="22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spans="1:23" ht="21.75" customHeight="1" x14ac:dyDescent="0.6">
      <c r="A83" s="21"/>
      <c r="B83" s="23"/>
      <c r="C83" s="21"/>
      <c r="D83" s="22"/>
      <c r="E83" s="22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spans="1:23" ht="21.75" customHeight="1" x14ac:dyDescent="0.6">
      <c r="A84" s="21"/>
      <c r="B84" s="23"/>
      <c r="C84" s="21"/>
      <c r="D84" s="22"/>
      <c r="E84" s="22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spans="1:23" ht="21.75" customHeight="1" x14ac:dyDescent="0.6">
      <c r="A85" s="21"/>
      <c r="B85" s="23"/>
      <c r="C85" s="21"/>
      <c r="D85" s="22"/>
      <c r="E85" s="22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spans="1:23" ht="21.75" customHeight="1" x14ac:dyDescent="0.6">
      <c r="A86" s="21"/>
      <c r="B86" s="23"/>
      <c r="C86" s="21"/>
      <c r="D86" s="22"/>
      <c r="E86" s="22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spans="1:23" ht="21.75" customHeight="1" x14ac:dyDescent="0.6">
      <c r="A87" s="21"/>
      <c r="B87" s="23"/>
      <c r="C87" s="21"/>
      <c r="D87" s="22"/>
      <c r="E87" s="22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 spans="1:23" ht="21.75" customHeight="1" x14ac:dyDescent="0.6">
      <c r="A88" s="21"/>
      <c r="B88" s="23"/>
      <c r="C88" s="21"/>
      <c r="D88" s="22"/>
      <c r="E88" s="22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spans="1:23" ht="21.75" customHeight="1" x14ac:dyDescent="0.6">
      <c r="A89" s="21"/>
      <c r="B89" s="23"/>
      <c r="C89" s="21"/>
      <c r="D89" s="22"/>
      <c r="E89" s="22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 spans="1:23" ht="21.75" customHeight="1" x14ac:dyDescent="0.6">
      <c r="A90" s="21"/>
      <c r="B90" s="23"/>
      <c r="C90" s="21"/>
      <c r="D90" s="22"/>
      <c r="E90" s="22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spans="1:23" ht="21.75" customHeight="1" x14ac:dyDescent="0.6">
      <c r="A91" s="21"/>
      <c r="B91" s="23"/>
      <c r="C91" s="21"/>
      <c r="D91" s="22"/>
      <c r="E91" s="22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 spans="1:23" ht="21.75" customHeight="1" x14ac:dyDescent="0.6">
      <c r="A92" s="21"/>
      <c r="B92" s="23"/>
      <c r="C92" s="21"/>
      <c r="D92" s="22"/>
      <c r="E92" s="22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spans="1:23" ht="21.75" customHeight="1" x14ac:dyDescent="0.6">
      <c r="A93" s="21"/>
      <c r="B93" s="23"/>
      <c r="C93" s="21"/>
      <c r="D93" s="22"/>
      <c r="E93" s="22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spans="1:23" ht="21.75" customHeight="1" x14ac:dyDescent="0.6">
      <c r="A94" s="21"/>
      <c r="B94" s="23"/>
      <c r="C94" s="21"/>
      <c r="D94" s="22"/>
      <c r="E94" s="22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spans="1:23" ht="21.75" customHeight="1" x14ac:dyDescent="0.6">
      <c r="A95" s="21"/>
      <c r="B95" s="23"/>
      <c r="C95" s="21"/>
      <c r="D95" s="22"/>
      <c r="E95" s="22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spans="1:23" ht="21.75" customHeight="1" x14ac:dyDescent="0.6">
      <c r="A96" s="21"/>
      <c r="B96" s="23"/>
      <c r="C96" s="21"/>
      <c r="D96" s="22"/>
      <c r="E96" s="22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spans="1:23" ht="21.75" customHeight="1" x14ac:dyDescent="0.6">
      <c r="A97" s="21"/>
      <c r="B97" s="23"/>
      <c r="C97" s="21"/>
      <c r="D97" s="22"/>
      <c r="E97" s="22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spans="1:23" ht="21.75" customHeight="1" x14ac:dyDescent="0.6">
      <c r="A98" s="21"/>
      <c r="B98" s="23"/>
      <c r="C98" s="21"/>
      <c r="D98" s="22"/>
      <c r="E98" s="22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 spans="1:23" ht="21.75" customHeight="1" x14ac:dyDescent="0.6">
      <c r="A99" s="21"/>
      <c r="B99" s="23"/>
      <c r="C99" s="21"/>
      <c r="D99" s="22"/>
      <c r="E99" s="22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spans="1:23" ht="21.75" customHeight="1" x14ac:dyDescent="0.6">
      <c r="A100" s="21"/>
      <c r="B100" s="23"/>
      <c r="C100" s="21"/>
      <c r="D100" s="22"/>
      <c r="E100" s="22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spans="1:23" ht="21.75" customHeight="1" x14ac:dyDescent="0.6">
      <c r="A101" s="21"/>
      <c r="B101" s="23"/>
      <c r="C101" s="21"/>
      <c r="D101" s="22"/>
      <c r="E101" s="22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 spans="1:23" ht="21.75" customHeight="1" x14ac:dyDescent="0.6">
      <c r="A102" s="21"/>
      <c r="B102" s="23"/>
      <c r="C102" s="21"/>
      <c r="D102" s="22"/>
      <c r="E102" s="22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spans="1:23" ht="21.75" customHeight="1" x14ac:dyDescent="0.6">
      <c r="A103" s="21"/>
      <c r="B103" s="23"/>
      <c r="C103" s="21"/>
      <c r="D103" s="22"/>
      <c r="E103" s="22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 spans="1:23" ht="21.75" customHeight="1" x14ac:dyDescent="0.6">
      <c r="A104" s="21"/>
      <c r="B104" s="23"/>
      <c r="C104" s="21"/>
      <c r="D104" s="22"/>
      <c r="E104" s="22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 spans="1:23" ht="21.75" customHeight="1" x14ac:dyDescent="0.6">
      <c r="A105" s="21"/>
      <c r="B105" s="23"/>
      <c r="C105" s="21"/>
      <c r="D105" s="22"/>
      <c r="E105" s="22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spans="1:23" ht="21.75" customHeight="1" x14ac:dyDescent="0.6">
      <c r="A106" s="21"/>
      <c r="B106" s="23"/>
      <c r="C106" s="21"/>
      <c r="D106" s="22"/>
      <c r="E106" s="22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spans="1:23" ht="21.75" customHeight="1" x14ac:dyDescent="0.6">
      <c r="A107" s="21"/>
      <c r="B107" s="23"/>
      <c r="C107" s="21"/>
      <c r="D107" s="22"/>
      <c r="E107" s="2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spans="1:23" ht="21.75" customHeight="1" x14ac:dyDescent="0.6">
      <c r="A108" s="21"/>
      <c r="B108" s="23"/>
      <c r="C108" s="21"/>
      <c r="D108" s="22"/>
      <c r="E108" s="22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spans="1:23" ht="21.75" customHeight="1" x14ac:dyDescent="0.6">
      <c r="A109" s="21"/>
      <c r="B109" s="23"/>
      <c r="C109" s="21"/>
      <c r="D109" s="22"/>
      <c r="E109" s="22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spans="1:23" ht="21.75" customHeight="1" x14ac:dyDescent="0.6">
      <c r="A110" s="21"/>
      <c r="B110" s="23"/>
      <c r="C110" s="21"/>
      <c r="D110" s="22"/>
      <c r="E110" s="22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spans="1:23" ht="21.75" customHeight="1" x14ac:dyDescent="0.6">
      <c r="A111" s="21"/>
      <c r="B111" s="23"/>
      <c r="C111" s="21"/>
      <c r="D111" s="22"/>
      <c r="E111" s="22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spans="1:23" ht="21.75" customHeight="1" x14ac:dyDescent="0.6">
      <c r="A112" s="21"/>
      <c r="B112" s="23"/>
      <c r="C112" s="21"/>
      <c r="D112" s="22"/>
      <c r="E112" s="22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 spans="1:23" ht="21.75" customHeight="1" x14ac:dyDescent="0.6">
      <c r="A113" s="21"/>
      <c r="B113" s="23"/>
      <c r="C113" s="21"/>
      <c r="D113" s="22"/>
      <c r="E113" s="22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 spans="1:23" ht="21.75" customHeight="1" x14ac:dyDescent="0.6">
      <c r="A114" s="21"/>
      <c r="B114" s="23"/>
      <c r="C114" s="21"/>
      <c r="D114" s="22"/>
      <c r="E114" s="22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spans="1:23" ht="21.75" customHeight="1" x14ac:dyDescent="0.6">
      <c r="A115" s="21"/>
      <c r="B115" s="23"/>
      <c r="C115" s="21"/>
      <c r="D115" s="22"/>
      <c r="E115" s="22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 spans="1:23" ht="21.75" customHeight="1" x14ac:dyDescent="0.6">
      <c r="A116" s="21"/>
      <c r="B116" s="23"/>
      <c r="C116" s="21"/>
      <c r="D116" s="22"/>
      <c r="E116" s="22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 spans="1:23" ht="21.75" customHeight="1" x14ac:dyDescent="0.6">
      <c r="A117" s="21"/>
      <c r="B117" s="23"/>
      <c r="C117" s="21"/>
      <c r="D117" s="22"/>
      <c r="E117" s="22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 spans="1:23" ht="21.75" customHeight="1" x14ac:dyDescent="0.6">
      <c r="A118" s="21"/>
      <c r="B118" s="23"/>
      <c r="C118" s="21"/>
      <c r="D118" s="22"/>
      <c r="E118" s="22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spans="1:23" ht="21.75" customHeight="1" x14ac:dyDescent="0.6">
      <c r="A119" s="21"/>
      <c r="B119" s="23"/>
      <c r="C119" s="21"/>
      <c r="D119" s="22"/>
      <c r="E119" s="22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spans="1:23" ht="21.75" customHeight="1" x14ac:dyDescent="0.6">
      <c r="A120" s="21"/>
      <c r="B120" s="23"/>
      <c r="C120" s="21"/>
      <c r="D120" s="22"/>
      <c r="E120" s="22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spans="1:23" ht="21.75" customHeight="1" x14ac:dyDescent="0.6">
      <c r="A121" s="21"/>
      <c r="B121" s="23"/>
      <c r="C121" s="21"/>
      <c r="D121" s="22"/>
      <c r="E121" s="22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spans="1:23" ht="21.75" customHeight="1" x14ac:dyDescent="0.6">
      <c r="A122" s="21"/>
      <c r="B122" s="23"/>
      <c r="C122" s="21"/>
      <c r="D122" s="22"/>
      <c r="E122" s="22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spans="1:23" ht="21.75" customHeight="1" x14ac:dyDescent="0.6">
      <c r="A123" s="21"/>
      <c r="B123" s="23"/>
      <c r="C123" s="21"/>
      <c r="D123" s="22"/>
      <c r="E123" s="22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spans="1:23" ht="21.75" customHeight="1" x14ac:dyDescent="0.6">
      <c r="A124" s="21"/>
      <c r="B124" s="23"/>
      <c r="C124" s="21"/>
      <c r="D124" s="22"/>
      <c r="E124" s="22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 spans="1:23" ht="21.75" customHeight="1" x14ac:dyDescent="0.6">
      <c r="A125" s="21"/>
      <c r="B125" s="23"/>
      <c r="C125" s="21"/>
      <c r="D125" s="22"/>
      <c r="E125" s="22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spans="1:23" ht="21.75" customHeight="1" x14ac:dyDescent="0.6">
      <c r="A126" s="21"/>
      <c r="B126" s="23"/>
      <c r="C126" s="21"/>
      <c r="D126" s="22"/>
      <c r="E126" s="22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 spans="1:23" ht="21.75" customHeight="1" x14ac:dyDescent="0.6">
      <c r="A127" s="21"/>
      <c r="B127" s="23"/>
      <c r="C127" s="21"/>
      <c r="D127" s="22"/>
      <c r="E127" s="22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 spans="1:23" ht="21.75" customHeight="1" x14ac:dyDescent="0.6">
      <c r="A128" s="21"/>
      <c r="B128" s="23"/>
      <c r="C128" s="21"/>
      <c r="D128" s="22"/>
      <c r="E128" s="22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 spans="1:23" ht="21.75" customHeight="1" x14ac:dyDescent="0.6">
      <c r="A129" s="21"/>
      <c r="B129" s="23"/>
      <c r="C129" s="21"/>
      <c r="D129" s="22"/>
      <c r="E129" s="22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 spans="1:23" ht="21.75" customHeight="1" x14ac:dyDescent="0.6">
      <c r="A130" s="21"/>
      <c r="B130" s="23"/>
      <c r="C130" s="21"/>
      <c r="D130" s="22"/>
      <c r="E130" s="22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spans="1:23" ht="21.75" customHeight="1" x14ac:dyDescent="0.6">
      <c r="A131" s="21"/>
      <c r="B131" s="23"/>
      <c r="C131" s="21"/>
      <c r="D131" s="22"/>
      <c r="E131" s="22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 spans="1:23" ht="21.75" customHeight="1" x14ac:dyDescent="0.6">
      <c r="A132" s="21"/>
      <c r="B132" s="23"/>
      <c r="C132" s="21"/>
      <c r="D132" s="22"/>
      <c r="E132" s="22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 spans="1:23" ht="21.75" customHeight="1" x14ac:dyDescent="0.6">
      <c r="A133" s="21"/>
      <c r="B133" s="23"/>
      <c r="C133" s="21"/>
      <c r="D133" s="22"/>
      <c r="E133" s="2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 spans="1:23" ht="21.75" customHeight="1" x14ac:dyDescent="0.6">
      <c r="A134" s="21"/>
      <c r="B134" s="23"/>
      <c r="C134" s="21"/>
      <c r="D134" s="22"/>
      <c r="E134" s="22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 spans="1:23" ht="21.75" customHeight="1" x14ac:dyDescent="0.6">
      <c r="A135" s="21"/>
      <c r="B135" s="23"/>
      <c r="C135" s="21"/>
      <c r="D135" s="22"/>
      <c r="E135" s="22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 spans="1:23" ht="21.75" customHeight="1" x14ac:dyDescent="0.6">
      <c r="A136" s="21"/>
      <c r="B136" s="23"/>
      <c r="C136" s="21"/>
      <c r="D136" s="22"/>
      <c r="E136" s="22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spans="1:23" ht="21.75" customHeight="1" x14ac:dyDescent="0.6">
      <c r="A137" s="21"/>
      <c r="B137" s="23"/>
      <c r="C137" s="21"/>
      <c r="D137" s="22"/>
      <c r="E137" s="22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spans="1:23" ht="21.75" customHeight="1" x14ac:dyDescent="0.6">
      <c r="A138" s="21"/>
      <c r="B138" s="23"/>
      <c r="C138" s="21"/>
      <c r="D138" s="22"/>
      <c r="E138" s="22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 spans="1:23" ht="21.75" customHeight="1" x14ac:dyDescent="0.6">
      <c r="A139" s="21"/>
      <c r="B139" s="23"/>
      <c r="C139" s="21"/>
      <c r="D139" s="22"/>
      <c r="E139" s="22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 spans="1:23" ht="21.75" customHeight="1" x14ac:dyDescent="0.6">
      <c r="A140" s="21"/>
      <c r="B140" s="23"/>
      <c r="C140" s="21"/>
      <c r="D140" s="22"/>
      <c r="E140" s="22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 spans="1:23" ht="21.75" customHeight="1" x14ac:dyDescent="0.6">
      <c r="A141" s="21"/>
      <c r="B141" s="23"/>
      <c r="C141" s="21"/>
      <c r="D141" s="22"/>
      <c r="E141" s="22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 spans="1:23" ht="21.75" customHeight="1" x14ac:dyDescent="0.6">
      <c r="A142" s="21"/>
      <c r="B142" s="23"/>
      <c r="C142" s="21"/>
      <c r="D142" s="22"/>
      <c r="E142" s="22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 spans="1:23" ht="21.75" customHeight="1" x14ac:dyDescent="0.6">
      <c r="A143" s="21"/>
      <c r="B143" s="23"/>
      <c r="C143" s="21"/>
      <c r="D143" s="22"/>
      <c r="E143" s="22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 spans="1:23" ht="21.75" customHeight="1" x14ac:dyDescent="0.6">
      <c r="A144" s="21"/>
      <c r="B144" s="23"/>
      <c r="C144" s="21"/>
      <c r="D144" s="22"/>
      <c r="E144" s="22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 spans="1:23" ht="21.75" customHeight="1" x14ac:dyDescent="0.6">
      <c r="A145" s="21"/>
      <c r="B145" s="23"/>
      <c r="C145" s="21"/>
      <c r="D145" s="22"/>
      <c r="E145" s="22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 spans="1:23" ht="21.75" customHeight="1" x14ac:dyDescent="0.6">
      <c r="A146" s="21"/>
      <c r="B146" s="23"/>
      <c r="C146" s="21"/>
      <c r="D146" s="22"/>
      <c r="E146" s="22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 spans="1:23" ht="21.75" customHeight="1" x14ac:dyDescent="0.6">
      <c r="A147" s="21"/>
      <c r="B147" s="23"/>
      <c r="C147" s="21"/>
      <c r="D147" s="22"/>
      <c r="E147" s="22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 spans="1:23" ht="21.75" customHeight="1" x14ac:dyDescent="0.6">
      <c r="A148" s="21"/>
      <c r="B148" s="23"/>
      <c r="C148" s="21"/>
      <c r="D148" s="22"/>
      <c r="E148" s="22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 spans="1:23" ht="21.75" customHeight="1" x14ac:dyDescent="0.6">
      <c r="A149" s="21"/>
      <c r="B149" s="23"/>
      <c r="C149" s="21"/>
      <c r="D149" s="22"/>
      <c r="E149" s="22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 spans="1:23" ht="21.75" customHeight="1" x14ac:dyDescent="0.6">
      <c r="A150" s="21"/>
      <c r="B150" s="23"/>
      <c r="C150" s="21"/>
      <c r="D150" s="22"/>
      <c r="E150" s="22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 spans="1:23" ht="21.75" customHeight="1" x14ac:dyDescent="0.6">
      <c r="A151" s="21"/>
      <c r="B151" s="23"/>
      <c r="C151" s="21"/>
      <c r="D151" s="22"/>
      <c r="E151" s="22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 spans="1:23" ht="21.75" customHeight="1" x14ac:dyDescent="0.6">
      <c r="A152" s="21"/>
      <c r="B152" s="23"/>
      <c r="C152" s="21"/>
      <c r="D152" s="22"/>
      <c r="E152" s="22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 spans="1:23" ht="21.75" customHeight="1" x14ac:dyDescent="0.6">
      <c r="A153" s="21"/>
      <c r="B153" s="23"/>
      <c r="C153" s="21"/>
      <c r="D153" s="22"/>
      <c r="E153" s="22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 spans="1:23" ht="21.75" customHeight="1" x14ac:dyDescent="0.6">
      <c r="A154" s="21"/>
      <c r="B154" s="23"/>
      <c r="C154" s="21"/>
      <c r="D154" s="22"/>
      <c r="E154" s="22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 spans="1:23" ht="21.75" customHeight="1" x14ac:dyDescent="0.6">
      <c r="A155" s="21"/>
      <c r="B155" s="23"/>
      <c r="C155" s="21"/>
      <c r="D155" s="22"/>
      <c r="E155" s="22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 spans="1:23" ht="21.75" customHeight="1" x14ac:dyDescent="0.6">
      <c r="A156" s="21"/>
      <c r="B156" s="23"/>
      <c r="C156" s="21"/>
      <c r="D156" s="22"/>
      <c r="E156" s="22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 spans="1:23" ht="21.75" customHeight="1" x14ac:dyDescent="0.6">
      <c r="A157" s="21"/>
      <c r="B157" s="23"/>
      <c r="C157" s="21"/>
      <c r="D157" s="22"/>
      <c r="E157" s="22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 spans="1:23" ht="21.75" customHeight="1" x14ac:dyDescent="0.6">
      <c r="A158" s="21"/>
      <c r="B158" s="23"/>
      <c r="C158" s="21"/>
      <c r="D158" s="22"/>
      <c r="E158" s="22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 spans="1:23" ht="21.75" customHeight="1" x14ac:dyDescent="0.6">
      <c r="A159" s="21"/>
      <c r="B159" s="23"/>
      <c r="C159" s="21"/>
      <c r="D159" s="22"/>
      <c r="E159" s="2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 spans="1:23" ht="21.75" customHeight="1" x14ac:dyDescent="0.6">
      <c r="A160" s="21"/>
      <c r="B160" s="23"/>
      <c r="C160" s="21"/>
      <c r="D160" s="22"/>
      <c r="E160" s="22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 spans="1:23" ht="21.75" customHeight="1" x14ac:dyDescent="0.6">
      <c r="A161" s="21"/>
      <c r="B161" s="23"/>
      <c r="C161" s="21"/>
      <c r="D161" s="22"/>
      <c r="E161" s="22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 spans="1:23" ht="21.75" customHeight="1" x14ac:dyDescent="0.6">
      <c r="A162" s="21"/>
      <c r="B162" s="23"/>
      <c r="C162" s="21"/>
      <c r="D162" s="22"/>
      <c r="E162" s="22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 spans="1:23" ht="21.75" customHeight="1" x14ac:dyDescent="0.6">
      <c r="A163" s="21"/>
      <c r="B163" s="23"/>
      <c r="C163" s="21"/>
      <c r="D163" s="22"/>
      <c r="E163" s="22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 spans="1:23" ht="21.75" customHeight="1" x14ac:dyDescent="0.6">
      <c r="A164" s="21"/>
      <c r="B164" s="23"/>
      <c r="C164" s="21"/>
      <c r="D164" s="22"/>
      <c r="E164" s="22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 spans="1:23" ht="21.75" customHeight="1" x14ac:dyDescent="0.6">
      <c r="A165" s="21"/>
      <c r="B165" s="23"/>
      <c r="C165" s="21"/>
      <c r="D165" s="22"/>
      <c r="E165" s="22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 spans="1:23" ht="21.75" customHeight="1" x14ac:dyDescent="0.6">
      <c r="A166" s="21"/>
      <c r="B166" s="23"/>
      <c r="C166" s="21"/>
      <c r="D166" s="22"/>
      <c r="E166" s="22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 spans="1:23" ht="21.75" customHeight="1" x14ac:dyDescent="0.6">
      <c r="A167" s="21"/>
      <c r="B167" s="23"/>
      <c r="C167" s="21"/>
      <c r="D167" s="22"/>
      <c r="E167" s="22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 spans="1:23" ht="21.75" customHeight="1" x14ac:dyDescent="0.6">
      <c r="A168" s="21"/>
      <c r="B168" s="23"/>
      <c r="C168" s="21"/>
      <c r="D168" s="22"/>
      <c r="E168" s="22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 spans="1:23" ht="21.75" customHeight="1" x14ac:dyDescent="0.6">
      <c r="A169" s="21"/>
      <c r="B169" s="23"/>
      <c r="C169" s="21"/>
      <c r="D169" s="22"/>
      <c r="E169" s="22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 spans="1:23" ht="21.75" customHeight="1" x14ac:dyDescent="0.6">
      <c r="A170" s="21"/>
      <c r="B170" s="23"/>
      <c r="C170" s="21"/>
      <c r="D170" s="22"/>
      <c r="E170" s="22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 spans="1:23" ht="21.75" customHeight="1" x14ac:dyDescent="0.6">
      <c r="A171" s="21"/>
      <c r="B171" s="23"/>
      <c r="C171" s="21"/>
      <c r="D171" s="22"/>
      <c r="E171" s="22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 spans="1:23" ht="21.75" customHeight="1" x14ac:dyDescent="0.6">
      <c r="A172" s="21"/>
      <c r="B172" s="23"/>
      <c r="C172" s="21"/>
      <c r="D172" s="22"/>
      <c r="E172" s="22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 spans="1:23" ht="21.75" customHeight="1" x14ac:dyDescent="0.6">
      <c r="A173" s="21"/>
      <c r="B173" s="23"/>
      <c r="C173" s="21"/>
      <c r="D173" s="22"/>
      <c r="E173" s="22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 spans="1:23" ht="21.75" customHeight="1" x14ac:dyDescent="0.6">
      <c r="A174" s="21"/>
      <c r="B174" s="23"/>
      <c r="C174" s="21"/>
      <c r="D174" s="22"/>
      <c r="E174" s="22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 spans="1:23" ht="21.75" customHeight="1" x14ac:dyDescent="0.6">
      <c r="A175" s="21"/>
      <c r="B175" s="23"/>
      <c r="C175" s="21"/>
      <c r="D175" s="22"/>
      <c r="E175" s="22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 spans="1:23" ht="21.75" customHeight="1" x14ac:dyDescent="0.6">
      <c r="A176" s="21"/>
      <c r="B176" s="23"/>
      <c r="C176" s="21"/>
      <c r="D176" s="22"/>
      <c r="E176" s="22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 spans="1:23" ht="21.75" customHeight="1" x14ac:dyDescent="0.6">
      <c r="A177" s="21"/>
      <c r="B177" s="23"/>
      <c r="C177" s="21"/>
      <c r="D177" s="22"/>
      <c r="E177" s="22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 spans="1:23" ht="21.75" customHeight="1" x14ac:dyDescent="0.6">
      <c r="A178" s="21"/>
      <c r="B178" s="23"/>
      <c r="C178" s="21"/>
      <c r="D178" s="22"/>
      <c r="E178" s="22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 spans="1:23" ht="21.75" customHeight="1" x14ac:dyDescent="0.6">
      <c r="A179" s="21"/>
      <c r="B179" s="23"/>
      <c r="C179" s="21"/>
      <c r="D179" s="22"/>
      <c r="E179" s="22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 spans="1:23" ht="21.75" customHeight="1" x14ac:dyDescent="0.6">
      <c r="A180" s="21"/>
      <c r="B180" s="23"/>
      <c r="C180" s="21"/>
      <c r="D180" s="22"/>
      <c r="E180" s="22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 spans="1:23" ht="21.75" customHeight="1" x14ac:dyDescent="0.6">
      <c r="A181" s="21"/>
      <c r="B181" s="23"/>
      <c r="C181" s="21"/>
      <c r="D181" s="22"/>
      <c r="E181" s="22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 spans="1:23" ht="21.75" customHeight="1" x14ac:dyDescent="0.6">
      <c r="A182" s="21"/>
      <c r="B182" s="23"/>
      <c r="C182" s="21"/>
      <c r="D182" s="22"/>
      <c r="E182" s="22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 spans="1:23" ht="21.75" customHeight="1" x14ac:dyDescent="0.6">
      <c r="A183" s="21"/>
      <c r="B183" s="23"/>
      <c r="C183" s="21"/>
      <c r="D183" s="22"/>
      <c r="E183" s="22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 spans="1:23" ht="21.75" customHeight="1" x14ac:dyDescent="0.6">
      <c r="A184" s="21"/>
      <c r="B184" s="23"/>
      <c r="C184" s="21"/>
      <c r="D184" s="22"/>
      <c r="E184" s="22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 spans="1:23" ht="21.75" customHeight="1" x14ac:dyDescent="0.6">
      <c r="A185" s="21"/>
      <c r="B185" s="23"/>
      <c r="C185" s="21"/>
      <c r="D185" s="22"/>
      <c r="E185" s="2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 spans="1:23" ht="21.75" customHeight="1" x14ac:dyDescent="0.6">
      <c r="A186" s="21"/>
      <c r="B186" s="23"/>
      <c r="C186" s="21"/>
      <c r="D186" s="22"/>
      <c r="E186" s="22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 spans="1:23" ht="21.75" customHeight="1" x14ac:dyDescent="0.6">
      <c r="A187" s="21"/>
      <c r="B187" s="23"/>
      <c r="C187" s="21"/>
      <c r="D187" s="22"/>
      <c r="E187" s="22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 spans="1:23" ht="21.75" customHeight="1" x14ac:dyDescent="0.6">
      <c r="A188" s="21"/>
      <c r="B188" s="23"/>
      <c r="C188" s="21"/>
      <c r="D188" s="22"/>
      <c r="E188" s="22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 spans="1:23" ht="21.75" customHeight="1" x14ac:dyDescent="0.6">
      <c r="A189" s="21"/>
      <c r="B189" s="23"/>
      <c r="C189" s="21"/>
      <c r="D189" s="22"/>
      <c r="E189" s="22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 spans="1:23" ht="21.75" customHeight="1" x14ac:dyDescent="0.6">
      <c r="A190" s="21"/>
      <c r="B190" s="23"/>
      <c r="C190" s="21"/>
      <c r="D190" s="22"/>
      <c r="E190" s="22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 spans="1:23" ht="21.75" customHeight="1" x14ac:dyDescent="0.6">
      <c r="A191" s="21"/>
      <c r="B191" s="23"/>
      <c r="C191" s="21"/>
      <c r="D191" s="22"/>
      <c r="E191" s="22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 spans="1:23" ht="21.75" customHeight="1" x14ac:dyDescent="0.6">
      <c r="A192" s="21"/>
      <c r="B192" s="23"/>
      <c r="C192" s="21"/>
      <c r="D192" s="22"/>
      <c r="E192" s="22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 spans="1:23" ht="21.75" customHeight="1" x14ac:dyDescent="0.6">
      <c r="A193" s="21"/>
      <c r="B193" s="23"/>
      <c r="C193" s="21"/>
      <c r="D193" s="22"/>
      <c r="E193" s="22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 spans="1:23" ht="21.75" customHeight="1" x14ac:dyDescent="0.6">
      <c r="A194" s="21"/>
      <c r="B194" s="23"/>
      <c r="C194" s="21"/>
      <c r="D194" s="22"/>
      <c r="E194" s="22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 spans="1:23" ht="21.75" customHeight="1" x14ac:dyDescent="0.6">
      <c r="A195" s="21"/>
      <c r="B195" s="23"/>
      <c r="C195" s="21"/>
      <c r="D195" s="22"/>
      <c r="E195" s="22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 spans="1:23" ht="21.75" customHeight="1" x14ac:dyDescent="0.6">
      <c r="A196" s="21"/>
      <c r="B196" s="23"/>
      <c r="C196" s="21"/>
      <c r="D196" s="22"/>
      <c r="E196" s="22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 spans="1:23" ht="21.75" customHeight="1" x14ac:dyDescent="0.6">
      <c r="A197" s="21"/>
      <c r="B197" s="23"/>
      <c r="C197" s="21"/>
      <c r="D197" s="22"/>
      <c r="E197" s="22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 spans="1:23" ht="21.75" customHeight="1" x14ac:dyDescent="0.6">
      <c r="A198" s="21"/>
      <c r="B198" s="23"/>
      <c r="C198" s="21"/>
      <c r="D198" s="22"/>
      <c r="E198" s="22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 spans="1:23" ht="21.75" customHeight="1" x14ac:dyDescent="0.6">
      <c r="A199" s="21"/>
      <c r="B199" s="23"/>
      <c r="C199" s="21"/>
      <c r="D199" s="22"/>
      <c r="E199" s="22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 spans="1:23" ht="21.75" customHeight="1" x14ac:dyDescent="0.6">
      <c r="A200" s="21"/>
      <c r="B200" s="23"/>
      <c r="C200" s="21"/>
      <c r="D200" s="22"/>
      <c r="E200" s="22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 spans="1:23" ht="21.75" customHeight="1" x14ac:dyDescent="0.6">
      <c r="A201" s="21"/>
      <c r="B201" s="23"/>
      <c r="C201" s="21"/>
      <c r="D201" s="22"/>
      <c r="E201" s="22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</row>
    <row r="202" spans="1:23" ht="21.75" customHeight="1" x14ac:dyDescent="0.6">
      <c r="A202" s="21"/>
      <c r="B202" s="23"/>
      <c r="C202" s="21"/>
      <c r="D202" s="22"/>
      <c r="E202" s="22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</row>
    <row r="203" spans="1:23" ht="21.75" customHeight="1" x14ac:dyDescent="0.6">
      <c r="A203" s="21"/>
      <c r="B203" s="23"/>
      <c r="C203" s="21"/>
      <c r="D203" s="22"/>
      <c r="E203" s="22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</row>
    <row r="204" spans="1:23" ht="21.75" customHeight="1" x14ac:dyDescent="0.6">
      <c r="A204" s="21"/>
      <c r="B204" s="23"/>
      <c r="C204" s="21"/>
      <c r="D204" s="22"/>
      <c r="E204" s="22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</row>
    <row r="205" spans="1:23" ht="21.75" customHeight="1" x14ac:dyDescent="0.6">
      <c r="A205" s="21"/>
      <c r="B205" s="23"/>
      <c r="C205" s="21"/>
      <c r="D205" s="22"/>
      <c r="E205" s="22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</row>
    <row r="206" spans="1:23" ht="21.75" customHeight="1" x14ac:dyDescent="0.6">
      <c r="A206" s="21"/>
      <c r="B206" s="23"/>
      <c r="C206" s="21"/>
      <c r="D206" s="22"/>
      <c r="E206" s="22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</row>
    <row r="207" spans="1:23" ht="21.75" customHeight="1" x14ac:dyDescent="0.6">
      <c r="A207" s="21"/>
      <c r="B207" s="23"/>
      <c r="C207" s="21"/>
      <c r="D207" s="22"/>
      <c r="E207" s="22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</row>
    <row r="208" spans="1:23" ht="21.75" customHeight="1" x14ac:dyDescent="0.6">
      <c r="A208" s="21"/>
      <c r="B208" s="23"/>
      <c r="C208" s="21"/>
      <c r="D208" s="22"/>
      <c r="E208" s="22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</row>
    <row r="209" spans="1:23" ht="21.75" customHeight="1" x14ac:dyDescent="0.6">
      <c r="A209" s="21"/>
      <c r="B209" s="23"/>
      <c r="C209" s="21"/>
      <c r="D209" s="22"/>
      <c r="E209" s="22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</row>
    <row r="210" spans="1:23" ht="21.75" customHeight="1" x14ac:dyDescent="0.6">
      <c r="A210" s="21"/>
      <c r="B210" s="23"/>
      <c r="C210" s="21"/>
      <c r="D210" s="22"/>
      <c r="E210" s="22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</row>
    <row r="211" spans="1:23" ht="21.75" customHeight="1" x14ac:dyDescent="0.6">
      <c r="A211" s="21"/>
      <c r="B211" s="23"/>
      <c r="C211" s="21"/>
      <c r="D211" s="22"/>
      <c r="E211" s="2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</row>
    <row r="212" spans="1:23" ht="21.75" customHeight="1" x14ac:dyDescent="0.6">
      <c r="A212" s="21"/>
      <c r="B212" s="23"/>
      <c r="C212" s="21"/>
      <c r="D212" s="22"/>
      <c r="E212" s="22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</row>
    <row r="213" spans="1:23" ht="21.75" customHeight="1" x14ac:dyDescent="0.6">
      <c r="A213" s="21"/>
      <c r="B213" s="23"/>
      <c r="C213" s="21"/>
      <c r="D213" s="22"/>
      <c r="E213" s="22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</row>
    <row r="214" spans="1:23" ht="21.75" customHeight="1" x14ac:dyDescent="0.6">
      <c r="A214" s="21"/>
      <c r="B214" s="23"/>
      <c r="C214" s="21"/>
      <c r="D214" s="22"/>
      <c r="E214" s="22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</row>
    <row r="215" spans="1:23" ht="21.75" customHeight="1" x14ac:dyDescent="0.6">
      <c r="A215" s="21"/>
      <c r="B215" s="23"/>
      <c r="C215" s="21"/>
      <c r="D215" s="22"/>
      <c r="E215" s="22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</row>
    <row r="216" spans="1:23" ht="21.75" customHeight="1" x14ac:dyDescent="0.6">
      <c r="A216" s="21"/>
      <c r="B216" s="23"/>
      <c r="C216" s="21"/>
      <c r="D216" s="22"/>
      <c r="E216" s="22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</row>
    <row r="217" spans="1:23" ht="21.75" customHeight="1" x14ac:dyDescent="0.6">
      <c r="A217" s="21"/>
      <c r="B217" s="23"/>
      <c r="C217" s="21"/>
      <c r="D217" s="22"/>
      <c r="E217" s="22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</row>
    <row r="218" spans="1:23" ht="21.75" customHeight="1" x14ac:dyDescent="0.6">
      <c r="A218" s="21"/>
      <c r="B218" s="23"/>
      <c r="C218" s="21"/>
      <c r="D218" s="22"/>
      <c r="E218" s="22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</row>
    <row r="219" spans="1:23" ht="21.75" customHeight="1" x14ac:dyDescent="0.6">
      <c r="A219" s="21"/>
      <c r="B219" s="23"/>
      <c r="C219" s="21"/>
      <c r="D219" s="22"/>
      <c r="E219" s="22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</row>
    <row r="220" spans="1:23" ht="21.75" customHeight="1" x14ac:dyDescent="0.6">
      <c r="A220" s="21"/>
      <c r="B220" s="23"/>
      <c r="C220" s="21"/>
      <c r="D220" s="22"/>
      <c r="E220" s="22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</row>
    <row r="221" spans="1:23" ht="21.75" customHeight="1" x14ac:dyDescent="0.6">
      <c r="A221" s="21"/>
      <c r="B221" s="23"/>
      <c r="C221" s="21"/>
      <c r="D221" s="22"/>
      <c r="E221" s="22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</row>
    <row r="222" spans="1:23" ht="21.75" customHeight="1" x14ac:dyDescent="0.6">
      <c r="A222" s="21"/>
      <c r="B222" s="23"/>
      <c r="C222" s="21"/>
      <c r="D222" s="22"/>
      <c r="E222" s="22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</row>
    <row r="223" spans="1:23" ht="21.75" customHeight="1" x14ac:dyDescent="0.6">
      <c r="A223" s="21"/>
      <c r="B223" s="23"/>
      <c r="C223" s="21"/>
      <c r="D223" s="22"/>
      <c r="E223" s="22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</row>
    <row r="224" spans="1:23" ht="21.75" customHeight="1" x14ac:dyDescent="0.6">
      <c r="A224" s="21"/>
      <c r="B224" s="23"/>
      <c r="C224" s="21"/>
      <c r="D224" s="22"/>
      <c r="E224" s="22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</row>
    <row r="225" spans="1:23" ht="21.75" customHeight="1" x14ac:dyDescent="0.6">
      <c r="A225" s="21"/>
      <c r="B225" s="23"/>
      <c r="C225" s="21"/>
      <c r="D225" s="22"/>
      <c r="E225" s="22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</row>
    <row r="226" spans="1:23" ht="21.75" customHeight="1" x14ac:dyDescent="0.6">
      <c r="A226" s="21"/>
      <c r="B226" s="23"/>
      <c r="C226" s="21"/>
      <c r="D226" s="22"/>
      <c r="E226" s="22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</row>
    <row r="227" spans="1:23" ht="21.75" customHeight="1" x14ac:dyDescent="0.6">
      <c r="A227" s="21"/>
      <c r="B227" s="23"/>
      <c r="C227" s="21"/>
      <c r="D227" s="22"/>
      <c r="E227" s="22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</row>
    <row r="228" spans="1:23" ht="21.75" customHeight="1" x14ac:dyDescent="0.6">
      <c r="A228" s="21"/>
      <c r="B228" s="23"/>
      <c r="C228" s="21"/>
      <c r="D228" s="22"/>
      <c r="E228" s="22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</row>
    <row r="229" spans="1:23" ht="21.75" customHeight="1" x14ac:dyDescent="0.6">
      <c r="A229" s="21"/>
      <c r="B229" s="23"/>
      <c r="C229" s="21"/>
      <c r="D229" s="22"/>
      <c r="E229" s="22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</row>
    <row r="230" spans="1:23" ht="21.75" customHeight="1" x14ac:dyDescent="0.6">
      <c r="A230" s="21"/>
      <c r="B230" s="23"/>
      <c r="C230" s="21"/>
      <c r="D230" s="22"/>
      <c r="E230" s="22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</row>
    <row r="231" spans="1:23" ht="21.75" customHeight="1" x14ac:dyDescent="0.6">
      <c r="A231" s="21"/>
      <c r="B231" s="23"/>
      <c r="C231" s="21"/>
      <c r="D231" s="22"/>
      <c r="E231" s="22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</row>
    <row r="232" spans="1:23" ht="21.75" customHeight="1" x14ac:dyDescent="0.6">
      <c r="A232" s="21"/>
      <c r="B232" s="23"/>
      <c r="C232" s="21"/>
      <c r="D232" s="22"/>
      <c r="E232" s="22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</row>
    <row r="233" spans="1:23" ht="21.75" customHeight="1" x14ac:dyDescent="0.6">
      <c r="A233" s="21"/>
      <c r="B233" s="23"/>
      <c r="C233" s="21"/>
      <c r="D233" s="22"/>
      <c r="E233" s="22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</row>
    <row r="234" spans="1:23" ht="21.75" customHeight="1" x14ac:dyDescent="0.6">
      <c r="A234" s="21"/>
      <c r="B234" s="23"/>
      <c r="C234" s="21"/>
      <c r="D234" s="22"/>
      <c r="E234" s="22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</row>
    <row r="235" spans="1:23" ht="21.75" customHeight="1" x14ac:dyDescent="0.6">
      <c r="A235" s="21"/>
      <c r="B235" s="23"/>
      <c r="C235" s="21"/>
      <c r="D235" s="22"/>
      <c r="E235" s="22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</row>
    <row r="236" spans="1:23" ht="21.75" customHeight="1" x14ac:dyDescent="0.6">
      <c r="A236" s="21"/>
      <c r="B236" s="23"/>
      <c r="C236" s="21"/>
      <c r="D236" s="22"/>
      <c r="E236" s="22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</row>
    <row r="237" spans="1:23" ht="21.75" customHeight="1" x14ac:dyDescent="0.6">
      <c r="A237" s="21"/>
      <c r="B237" s="23"/>
      <c r="C237" s="21"/>
      <c r="D237" s="22"/>
      <c r="E237" s="2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</row>
    <row r="238" spans="1:23" ht="21.75" customHeight="1" x14ac:dyDescent="0.6">
      <c r="A238" s="21"/>
      <c r="B238" s="23"/>
      <c r="C238" s="21"/>
      <c r="D238" s="22"/>
      <c r="E238" s="22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</row>
    <row r="239" spans="1:23" ht="21.75" customHeight="1" x14ac:dyDescent="0.6">
      <c r="A239" s="21"/>
      <c r="B239" s="23"/>
      <c r="C239" s="21"/>
      <c r="D239" s="22"/>
      <c r="E239" s="22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</row>
    <row r="240" spans="1:23" ht="21.75" customHeight="1" x14ac:dyDescent="0.6">
      <c r="A240" s="21"/>
      <c r="B240" s="23"/>
      <c r="C240" s="21"/>
      <c r="D240" s="22"/>
      <c r="E240" s="22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</row>
    <row r="241" spans="1:23" ht="21.75" customHeight="1" x14ac:dyDescent="0.6">
      <c r="A241" s="21"/>
      <c r="B241" s="23"/>
      <c r="C241" s="21"/>
      <c r="D241" s="22"/>
      <c r="E241" s="22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</row>
    <row r="242" spans="1:23" ht="21.75" customHeight="1" x14ac:dyDescent="0.6">
      <c r="A242" s="21"/>
      <c r="B242" s="23"/>
      <c r="C242" s="21"/>
      <c r="D242" s="22"/>
      <c r="E242" s="22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</row>
    <row r="243" spans="1:23" ht="21.75" customHeight="1" x14ac:dyDescent="0.6">
      <c r="A243" s="21"/>
      <c r="B243" s="23"/>
      <c r="C243" s="21"/>
      <c r="D243" s="22"/>
      <c r="E243" s="22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</row>
    <row r="244" spans="1:23" ht="21.75" customHeight="1" x14ac:dyDescent="0.6">
      <c r="A244" s="21"/>
      <c r="B244" s="23"/>
      <c r="C244" s="21"/>
      <c r="D244" s="22"/>
      <c r="E244" s="22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</row>
    <row r="245" spans="1:23" ht="21.75" customHeight="1" x14ac:dyDescent="0.6">
      <c r="A245" s="21"/>
      <c r="B245" s="23"/>
      <c r="C245" s="21"/>
      <c r="D245" s="22"/>
      <c r="E245" s="22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</row>
    <row r="246" spans="1:23" ht="21.75" customHeight="1" x14ac:dyDescent="0.6">
      <c r="A246" s="21"/>
      <c r="B246" s="23"/>
      <c r="C246" s="21"/>
      <c r="D246" s="22"/>
      <c r="E246" s="22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</row>
    <row r="247" spans="1:23" ht="21.75" customHeight="1" x14ac:dyDescent="0.6">
      <c r="A247" s="21"/>
      <c r="B247" s="23"/>
      <c r="C247" s="21"/>
      <c r="D247" s="22"/>
      <c r="E247" s="22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</row>
    <row r="248" spans="1:23" ht="21.75" customHeight="1" x14ac:dyDescent="0.6">
      <c r="A248" s="21"/>
      <c r="B248" s="23"/>
      <c r="C248" s="21"/>
      <c r="D248" s="22"/>
      <c r="E248" s="22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</row>
    <row r="249" spans="1:23" ht="21.75" customHeight="1" x14ac:dyDescent="0.6">
      <c r="A249" s="21"/>
      <c r="B249" s="23"/>
      <c r="C249" s="21"/>
      <c r="D249" s="22"/>
      <c r="E249" s="22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</row>
    <row r="250" spans="1:23" ht="21.75" customHeight="1" x14ac:dyDescent="0.6">
      <c r="A250" s="21"/>
      <c r="B250" s="23"/>
      <c r="C250" s="21"/>
      <c r="D250" s="22"/>
      <c r="E250" s="22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</row>
    <row r="251" spans="1:23" ht="21.75" customHeight="1" x14ac:dyDescent="0.6">
      <c r="A251" s="21"/>
      <c r="B251" s="23"/>
      <c r="C251" s="21"/>
      <c r="D251" s="22"/>
      <c r="E251" s="22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</row>
    <row r="252" spans="1:23" ht="21.75" customHeight="1" x14ac:dyDescent="0.6">
      <c r="A252" s="21"/>
      <c r="B252" s="23"/>
      <c r="C252" s="21"/>
      <c r="D252" s="22"/>
      <c r="E252" s="22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</row>
    <row r="253" spans="1:23" ht="21.75" customHeight="1" x14ac:dyDescent="0.6">
      <c r="A253" s="21"/>
      <c r="B253" s="23"/>
      <c r="C253" s="21"/>
      <c r="D253" s="22"/>
      <c r="E253" s="22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</row>
    <row r="254" spans="1:23" ht="21.75" customHeight="1" x14ac:dyDescent="0.6">
      <c r="A254" s="21"/>
      <c r="B254" s="23"/>
      <c r="C254" s="21"/>
      <c r="D254" s="22"/>
      <c r="E254" s="22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</row>
    <row r="255" spans="1:23" ht="21.75" customHeight="1" x14ac:dyDescent="0.6">
      <c r="A255" s="21"/>
      <c r="B255" s="23"/>
      <c r="C255" s="21"/>
      <c r="D255" s="22"/>
      <c r="E255" s="22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</row>
    <row r="256" spans="1:23" ht="21.75" customHeight="1" x14ac:dyDescent="0.6">
      <c r="A256" s="21"/>
      <c r="B256" s="23"/>
      <c r="C256" s="21"/>
      <c r="D256" s="22"/>
      <c r="E256" s="22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</row>
    <row r="257" spans="1:23" ht="21.75" customHeight="1" x14ac:dyDescent="0.6">
      <c r="A257" s="21"/>
      <c r="B257" s="23"/>
      <c r="C257" s="21"/>
      <c r="D257" s="22"/>
      <c r="E257" s="22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</row>
    <row r="258" spans="1:23" ht="21.75" customHeight="1" x14ac:dyDescent="0.6">
      <c r="A258" s="21"/>
      <c r="B258" s="23"/>
      <c r="C258" s="21"/>
      <c r="D258" s="22"/>
      <c r="E258" s="22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</row>
    <row r="259" spans="1:23" ht="21.75" customHeight="1" x14ac:dyDescent="0.6">
      <c r="A259" s="21"/>
      <c r="B259" s="23"/>
      <c r="C259" s="21"/>
      <c r="D259" s="22"/>
      <c r="E259" s="22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</row>
    <row r="260" spans="1:23" ht="21.75" customHeight="1" x14ac:dyDescent="0.6">
      <c r="A260" s="21"/>
      <c r="B260" s="23"/>
      <c r="C260" s="21"/>
      <c r="D260" s="22"/>
      <c r="E260" s="22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</row>
    <row r="261" spans="1:23" ht="21.75" customHeight="1" x14ac:dyDescent="0.6">
      <c r="A261" s="21"/>
      <c r="B261" s="23"/>
      <c r="C261" s="21"/>
      <c r="D261" s="22"/>
      <c r="E261" s="22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</row>
    <row r="262" spans="1:23" ht="21.75" customHeight="1" x14ac:dyDescent="0.6">
      <c r="A262" s="21"/>
      <c r="B262" s="23"/>
      <c r="C262" s="21"/>
      <c r="D262" s="22"/>
      <c r="E262" s="22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</row>
    <row r="263" spans="1:23" ht="21.75" customHeight="1" x14ac:dyDescent="0.6">
      <c r="A263" s="21"/>
      <c r="B263" s="23"/>
      <c r="C263" s="21"/>
      <c r="D263" s="22"/>
      <c r="E263" s="2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</row>
    <row r="264" spans="1:23" ht="21.75" customHeight="1" x14ac:dyDescent="0.6">
      <c r="A264" s="21"/>
      <c r="B264" s="23"/>
      <c r="C264" s="21"/>
      <c r="D264" s="22"/>
      <c r="E264" s="22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</row>
    <row r="265" spans="1:23" ht="21.75" customHeight="1" x14ac:dyDescent="0.6">
      <c r="A265" s="21"/>
      <c r="B265" s="23"/>
      <c r="C265" s="21"/>
      <c r="D265" s="22"/>
      <c r="E265" s="22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</row>
    <row r="266" spans="1:23" ht="21.75" customHeight="1" x14ac:dyDescent="0.6">
      <c r="A266" s="21"/>
      <c r="B266" s="23"/>
      <c r="C266" s="21"/>
      <c r="D266" s="22"/>
      <c r="E266" s="22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</row>
    <row r="267" spans="1:23" ht="21.75" customHeight="1" x14ac:dyDescent="0.6">
      <c r="A267" s="21"/>
      <c r="B267" s="23"/>
      <c r="C267" s="21"/>
      <c r="D267" s="22"/>
      <c r="E267" s="22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</row>
    <row r="268" spans="1:23" ht="21.75" customHeight="1" x14ac:dyDescent="0.6">
      <c r="A268" s="21"/>
      <c r="B268" s="23"/>
      <c r="C268" s="21"/>
      <c r="D268" s="22"/>
      <c r="E268" s="22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</row>
    <row r="269" spans="1:23" ht="21.75" customHeight="1" x14ac:dyDescent="0.6">
      <c r="A269" s="21"/>
      <c r="B269" s="23"/>
      <c r="C269" s="21"/>
      <c r="D269" s="22"/>
      <c r="E269" s="22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</row>
    <row r="270" spans="1:23" ht="21.75" customHeight="1" x14ac:dyDescent="0.6">
      <c r="A270" s="21"/>
      <c r="B270" s="23"/>
      <c r="C270" s="21"/>
      <c r="D270" s="22"/>
      <c r="E270" s="22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</row>
    <row r="271" spans="1:23" ht="21.75" customHeight="1" x14ac:dyDescent="0.6">
      <c r="A271" s="21"/>
      <c r="B271" s="23"/>
      <c r="C271" s="21"/>
      <c r="D271" s="22"/>
      <c r="E271" s="22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</row>
    <row r="272" spans="1:23" ht="21.75" customHeight="1" x14ac:dyDescent="0.6">
      <c r="A272" s="21"/>
      <c r="B272" s="23"/>
      <c r="C272" s="21"/>
      <c r="D272" s="22"/>
      <c r="E272" s="22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</row>
    <row r="273" spans="1:23" ht="21.75" customHeight="1" x14ac:dyDescent="0.6">
      <c r="A273" s="21"/>
      <c r="B273" s="23"/>
      <c r="C273" s="21"/>
      <c r="D273" s="22"/>
      <c r="E273" s="22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</row>
    <row r="274" spans="1:23" ht="21.75" customHeight="1" x14ac:dyDescent="0.6">
      <c r="A274" s="21"/>
      <c r="B274" s="23"/>
      <c r="C274" s="21"/>
      <c r="D274" s="22"/>
      <c r="E274" s="22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</row>
    <row r="275" spans="1:23" ht="21.75" customHeight="1" x14ac:dyDescent="0.6">
      <c r="A275" s="21"/>
      <c r="B275" s="23"/>
      <c r="C275" s="21"/>
      <c r="D275" s="22"/>
      <c r="E275" s="22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</row>
    <row r="276" spans="1:23" ht="21.75" customHeight="1" x14ac:dyDescent="0.6">
      <c r="A276" s="21"/>
      <c r="B276" s="23"/>
      <c r="C276" s="21"/>
      <c r="D276" s="22"/>
      <c r="E276" s="22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</row>
    <row r="277" spans="1:23" ht="21.75" customHeight="1" x14ac:dyDescent="0.6">
      <c r="A277" s="21"/>
      <c r="B277" s="23"/>
      <c r="C277" s="21"/>
      <c r="D277" s="22"/>
      <c r="E277" s="22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</row>
    <row r="278" spans="1:23" ht="21.75" customHeight="1" x14ac:dyDescent="0.6">
      <c r="A278" s="21"/>
      <c r="B278" s="23"/>
      <c r="C278" s="21"/>
      <c r="D278" s="22"/>
      <c r="E278" s="22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</row>
    <row r="279" spans="1:23" ht="21.75" customHeight="1" x14ac:dyDescent="0.6">
      <c r="A279" s="21"/>
      <c r="B279" s="23"/>
      <c r="C279" s="21"/>
      <c r="D279" s="22"/>
      <c r="E279" s="22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</row>
    <row r="280" spans="1:23" ht="21.75" customHeight="1" x14ac:dyDescent="0.6">
      <c r="A280" s="21"/>
      <c r="B280" s="23"/>
      <c r="C280" s="21"/>
      <c r="D280" s="22"/>
      <c r="E280" s="22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</row>
    <row r="281" spans="1:23" ht="21.75" customHeight="1" x14ac:dyDescent="0.6">
      <c r="A281" s="21"/>
      <c r="B281" s="23"/>
      <c r="C281" s="21"/>
      <c r="D281" s="22"/>
      <c r="E281" s="22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</row>
    <row r="282" spans="1:23" ht="21.75" customHeight="1" x14ac:dyDescent="0.6">
      <c r="A282" s="21"/>
      <c r="B282" s="23"/>
      <c r="C282" s="21"/>
      <c r="D282" s="22"/>
      <c r="E282" s="22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</row>
    <row r="283" spans="1:23" ht="21.75" customHeight="1" x14ac:dyDescent="0.6">
      <c r="A283" s="21"/>
      <c r="B283" s="23"/>
      <c r="C283" s="21"/>
      <c r="D283" s="22"/>
      <c r="E283" s="22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</row>
    <row r="284" spans="1:23" ht="21.75" customHeight="1" x14ac:dyDescent="0.6">
      <c r="A284" s="21"/>
      <c r="B284" s="23"/>
      <c r="C284" s="21"/>
      <c r="D284" s="22"/>
      <c r="E284" s="22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</row>
    <row r="285" spans="1:23" ht="21.75" customHeight="1" x14ac:dyDescent="0.6">
      <c r="A285" s="21"/>
      <c r="B285" s="23"/>
      <c r="C285" s="21"/>
      <c r="D285" s="22"/>
      <c r="E285" s="22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</row>
    <row r="286" spans="1:23" ht="21.75" customHeight="1" x14ac:dyDescent="0.6">
      <c r="A286" s="21"/>
      <c r="B286" s="23"/>
      <c r="C286" s="21"/>
      <c r="D286" s="22"/>
      <c r="E286" s="22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</row>
    <row r="287" spans="1:23" ht="21.75" customHeight="1" x14ac:dyDescent="0.6">
      <c r="A287" s="21"/>
      <c r="B287" s="23"/>
      <c r="C287" s="21"/>
      <c r="D287" s="22"/>
      <c r="E287" s="22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</row>
    <row r="288" spans="1:23" ht="21.75" customHeight="1" x14ac:dyDescent="0.6">
      <c r="A288" s="21"/>
      <c r="B288" s="23"/>
      <c r="C288" s="21"/>
      <c r="D288" s="22"/>
      <c r="E288" s="22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</row>
    <row r="289" spans="1:23" ht="21.75" customHeight="1" x14ac:dyDescent="0.6">
      <c r="A289" s="21"/>
      <c r="B289" s="23"/>
      <c r="C289" s="21"/>
      <c r="D289" s="22"/>
      <c r="E289" s="2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</row>
    <row r="290" spans="1:23" ht="21.75" customHeight="1" x14ac:dyDescent="0.6">
      <c r="A290" s="21"/>
      <c r="B290" s="23"/>
      <c r="C290" s="21"/>
      <c r="D290" s="22"/>
      <c r="E290" s="22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</row>
    <row r="291" spans="1:23" ht="21.75" customHeight="1" x14ac:dyDescent="0.6">
      <c r="A291" s="21"/>
      <c r="B291" s="23"/>
      <c r="C291" s="21"/>
      <c r="D291" s="22"/>
      <c r="E291" s="22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</row>
    <row r="292" spans="1:23" ht="21.75" customHeight="1" x14ac:dyDescent="0.6">
      <c r="A292" s="21"/>
      <c r="B292" s="23"/>
      <c r="C292" s="21"/>
      <c r="D292" s="22"/>
      <c r="E292" s="22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</row>
    <row r="293" spans="1:23" ht="21.75" customHeight="1" x14ac:dyDescent="0.6">
      <c r="A293" s="21"/>
      <c r="B293" s="23"/>
      <c r="C293" s="21"/>
      <c r="D293" s="22"/>
      <c r="E293" s="22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</row>
    <row r="294" spans="1:23" ht="21.75" customHeight="1" x14ac:dyDescent="0.6">
      <c r="A294" s="21"/>
      <c r="B294" s="23"/>
      <c r="C294" s="21"/>
      <c r="D294" s="22"/>
      <c r="E294" s="22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</row>
    <row r="295" spans="1:23" ht="21.75" customHeight="1" x14ac:dyDescent="0.6">
      <c r="A295" s="21"/>
      <c r="B295" s="23"/>
      <c r="C295" s="21"/>
      <c r="D295" s="22"/>
      <c r="E295" s="22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</row>
    <row r="296" spans="1:23" ht="21.75" customHeight="1" x14ac:dyDescent="0.6">
      <c r="A296" s="21"/>
      <c r="B296" s="23"/>
      <c r="C296" s="21"/>
      <c r="D296" s="22"/>
      <c r="E296" s="22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</row>
    <row r="297" spans="1:23" ht="21.75" customHeight="1" x14ac:dyDescent="0.6">
      <c r="A297" s="21"/>
      <c r="B297" s="23"/>
      <c r="C297" s="21"/>
      <c r="D297" s="22"/>
      <c r="E297" s="22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</row>
    <row r="298" spans="1:23" ht="21.75" customHeight="1" x14ac:dyDescent="0.6">
      <c r="A298" s="21"/>
      <c r="B298" s="23"/>
      <c r="C298" s="21"/>
      <c r="D298" s="22"/>
      <c r="E298" s="22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</row>
    <row r="299" spans="1:23" ht="21.75" customHeight="1" x14ac:dyDescent="0.6">
      <c r="A299" s="21"/>
      <c r="B299" s="23"/>
      <c r="C299" s="21"/>
      <c r="D299" s="22"/>
      <c r="E299" s="22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</row>
    <row r="300" spans="1:23" ht="21.75" customHeight="1" x14ac:dyDescent="0.6">
      <c r="A300" s="21"/>
      <c r="B300" s="23"/>
      <c r="C300" s="21"/>
      <c r="D300" s="22"/>
      <c r="E300" s="22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</row>
    <row r="301" spans="1:23" ht="21.75" customHeight="1" x14ac:dyDescent="0.6">
      <c r="A301" s="21"/>
      <c r="B301" s="23"/>
      <c r="C301" s="21"/>
      <c r="D301" s="22"/>
      <c r="E301" s="22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</row>
    <row r="302" spans="1:23" ht="21.75" customHeight="1" x14ac:dyDescent="0.6">
      <c r="A302" s="21"/>
      <c r="B302" s="23"/>
      <c r="C302" s="21"/>
      <c r="D302" s="22"/>
      <c r="E302" s="22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</row>
    <row r="303" spans="1:23" ht="21.75" customHeight="1" x14ac:dyDescent="0.6">
      <c r="A303" s="21"/>
      <c r="B303" s="23"/>
      <c r="C303" s="21"/>
      <c r="D303" s="22"/>
      <c r="E303" s="22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</row>
    <row r="304" spans="1:23" ht="21.75" customHeight="1" x14ac:dyDescent="0.6">
      <c r="A304" s="21"/>
      <c r="B304" s="23"/>
      <c r="C304" s="21"/>
      <c r="D304" s="22"/>
      <c r="E304" s="22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</row>
    <row r="305" spans="1:23" ht="21.75" customHeight="1" x14ac:dyDescent="0.6">
      <c r="A305" s="21"/>
      <c r="B305" s="23"/>
      <c r="C305" s="21"/>
      <c r="D305" s="22"/>
      <c r="E305" s="22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</row>
    <row r="306" spans="1:23" ht="21.75" customHeight="1" x14ac:dyDescent="0.6">
      <c r="A306" s="21"/>
      <c r="B306" s="23"/>
      <c r="C306" s="21"/>
      <c r="D306" s="22"/>
      <c r="E306" s="22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</row>
    <row r="307" spans="1:23" ht="21.75" customHeight="1" x14ac:dyDescent="0.6">
      <c r="A307" s="21"/>
      <c r="B307" s="23"/>
      <c r="C307" s="21"/>
      <c r="D307" s="22"/>
      <c r="E307" s="22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</row>
    <row r="308" spans="1:23" ht="21.75" customHeight="1" x14ac:dyDescent="0.6">
      <c r="A308" s="21"/>
      <c r="B308" s="23"/>
      <c r="C308" s="21"/>
      <c r="D308" s="22"/>
      <c r="E308" s="22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</row>
    <row r="309" spans="1:23" ht="21.75" customHeight="1" x14ac:dyDescent="0.6">
      <c r="A309" s="21"/>
      <c r="B309" s="23"/>
      <c r="C309" s="21"/>
      <c r="D309" s="22"/>
      <c r="E309" s="22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</row>
    <row r="310" spans="1:23" ht="21.75" customHeight="1" x14ac:dyDescent="0.6">
      <c r="A310" s="21"/>
      <c r="B310" s="23"/>
      <c r="C310" s="21"/>
      <c r="D310" s="22"/>
      <c r="E310" s="22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</row>
    <row r="311" spans="1:23" ht="21.75" customHeight="1" x14ac:dyDescent="0.6">
      <c r="A311" s="21"/>
      <c r="B311" s="23"/>
      <c r="C311" s="21"/>
      <c r="D311" s="22"/>
      <c r="E311" s="22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</row>
    <row r="312" spans="1:23" ht="21.75" customHeight="1" x14ac:dyDescent="0.6">
      <c r="A312" s="21"/>
      <c r="B312" s="23"/>
      <c r="C312" s="21"/>
      <c r="D312" s="22"/>
      <c r="E312" s="22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</row>
    <row r="313" spans="1:23" ht="21.75" customHeight="1" x14ac:dyDescent="0.6">
      <c r="A313" s="21"/>
      <c r="B313" s="23"/>
      <c r="C313" s="21"/>
      <c r="D313" s="22"/>
      <c r="E313" s="22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</row>
    <row r="314" spans="1:23" ht="21.75" customHeight="1" x14ac:dyDescent="0.6">
      <c r="A314" s="21"/>
      <c r="B314" s="23"/>
      <c r="C314" s="21"/>
      <c r="D314" s="22"/>
      <c r="E314" s="22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</row>
    <row r="315" spans="1:23" ht="21.75" customHeight="1" x14ac:dyDescent="0.6">
      <c r="A315" s="21"/>
      <c r="B315" s="23"/>
      <c r="C315" s="21"/>
      <c r="D315" s="22"/>
      <c r="E315" s="2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</row>
    <row r="316" spans="1:23" ht="21.75" customHeight="1" x14ac:dyDescent="0.6">
      <c r="A316" s="21"/>
      <c r="B316" s="23"/>
      <c r="C316" s="21"/>
      <c r="D316" s="22"/>
      <c r="E316" s="22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</row>
    <row r="317" spans="1:23" ht="21.75" customHeight="1" x14ac:dyDescent="0.6">
      <c r="A317" s="21"/>
      <c r="B317" s="23"/>
      <c r="C317" s="21"/>
      <c r="D317" s="22"/>
      <c r="E317" s="22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</row>
    <row r="318" spans="1:23" ht="21.75" customHeight="1" x14ac:dyDescent="0.6">
      <c r="A318" s="21"/>
      <c r="B318" s="23"/>
      <c r="C318" s="21"/>
      <c r="D318" s="22"/>
      <c r="E318" s="22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</row>
    <row r="319" spans="1:23" ht="21.75" customHeight="1" x14ac:dyDescent="0.6">
      <c r="A319" s="21"/>
      <c r="B319" s="23"/>
      <c r="C319" s="21"/>
      <c r="D319" s="22"/>
      <c r="E319" s="22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</row>
    <row r="320" spans="1:23" ht="21.75" customHeight="1" x14ac:dyDescent="0.6">
      <c r="A320" s="21"/>
      <c r="B320" s="23"/>
      <c r="C320" s="21"/>
      <c r="D320" s="22"/>
      <c r="E320" s="22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</row>
    <row r="321" spans="1:23" ht="21.75" customHeight="1" x14ac:dyDescent="0.6">
      <c r="A321" s="21"/>
      <c r="B321" s="23"/>
      <c r="C321" s="21"/>
      <c r="D321" s="22"/>
      <c r="E321" s="22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</row>
    <row r="322" spans="1:23" ht="21.75" customHeight="1" x14ac:dyDescent="0.6">
      <c r="A322" s="21"/>
      <c r="B322" s="23"/>
      <c r="C322" s="21"/>
      <c r="D322" s="22"/>
      <c r="E322" s="22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</row>
    <row r="323" spans="1:23" ht="21.75" customHeight="1" x14ac:dyDescent="0.6">
      <c r="A323" s="21"/>
      <c r="B323" s="23"/>
      <c r="C323" s="21"/>
      <c r="D323" s="22"/>
      <c r="E323" s="22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</row>
    <row r="324" spans="1:23" ht="21.75" customHeight="1" x14ac:dyDescent="0.6">
      <c r="A324" s="21"/>
      <c r="B324" s="23"/>
      <c r="C324" s="21"/>
      <c r="D324" s="22"/>
      <c r="E324" s="22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</row>
    <row r="325" spans="1:23" ht="21.75" customHeight="1" x14ac:dyDescent="0.6">
      <c r="A325" s="21"/>
      <c r="B325" s="23"/>
      <c r="C325" s="21"/>
      <c r="D325" s="22"/>
      <c r="E325" s="22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</row>
    <row r="326" spans="1:23" ht="21.75" customHeight="1" x14ac:dyDescent="0.6">
      <c r="A326" s="21"/>
      <c r="B326" s="23"/>
      <c r="C326" s="21"/>
      <c r="D326" s="22"/>
      <c r="E326" s="22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</row>
    <row r="327" spans="1:23" ht="21.75" customHeight="1" x14ac:dyDescent="0.6">
      <c r="A327" s="21"/>
      <c r="B327" s="23"/>
      <c r="C327" s="21"/>
      <c r="D327" s="22"/>
      <c r="E327" s="22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</row>
    <row r="328" spans="1:23" ht="21.75" customHeight="1" x14ac:dyDescent="0.6">
      <c r="A328" s="21"/>
      <c r="B328" s="23"/>
      <c r="C328" s="21"/>
      <c r="D328" s="22"/>
      <c r="E328" s="22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</row>
    <row r="329" spans="1:23" ht="21.75" customHeight="1" x14ac:dyDescent="0.6">
      <c r="A329" s="21"/>
      <c r="B329" s="23"/>
      <c r="C329" s="21"/>
      <c r="D329" s="22"/>
      <c r="E329" s="22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</row>
    <row r="330" spans="1:23" ht="21.75" customHeight="1" x14ac:dyDescent="0.6">
      <c r="A330" s="21"/>
      <c r="B330" s="23"/>
      <c r="C330" s="21"/>
      <c r="D330" s="22"/>
      <c r="E330" s="22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</row>
    <row r="331" spans="1:23" ht="21.75" customHeight="1" x14ac:dyDescent="0.6">
      <c r="A331" s="21"/>
      <c r="B331" s="23"/>
      <c r="C331" s="21"/>
      <c r="D331" s="22"/>
      <c r="E331" s="22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</row>
    <row r="332" spans="1:23" ht="21.75" customHeight="1" x14ac:dyDescent="0.6">
      <c r="A332" s="21"/>
      <c r="B332" s="23"/>
      <c r="C332" s="21"/>
      <c r="D332" s="22"/>
      <c r="E332" s="22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</row>
    <row r="333" spans="1:23" ht="21.75" customHeight="1" x14ac:dyDescent="0.6">
      <c r="A333" s="21"/>
      <c r="B333" s="23"/>
      <c r="C333" s="21"/>
      <c r="D333" s="22"/>
      <c r="E333" s="22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</row>
    <row r="334" spans="1:23" ht="21.75" customHeight="1" x14ac:dyDescent="0.6">
      <c r="A334" s="21"/>
      <c r="B334" s="23"/>
      <c r="C334" s="21"/>
      <c r="D334" s="22"/>
      <c r="E334" s="22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</row>
    <row r="335" spans="1:23" ht="21.75" customHeight="1" x14ac:dyDescent="0.6">
      <c r="A335" s="21"/>
      <c r="B335" s="23"/>
      <c r="C335" s="21"/>
      <c r="D335" s="22"/>
      <c r="E335" s="22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</row>
    <row r="336" spans="1:23" ht="21.75" customHeight="1" x14ac:dyDescent="0.6">
      <c r="A336" s="21"/>
      <c r="B336" s="23"/>
      <c r="C336" s="21"/>
      <c r="D336" s="22"/>
      <c r="E336" s="22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</row>
    <row r="337" spans="1:23" ht="21.75" customHeight="1" x14ac:dyDescent="0.6">
      <c r="A337" s="21"/>
      <c r="B337" s="23"/>
      <c r="C337" s="21"/>
      <c r="D337" s="22"/>
      <c r="E337" s="22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</row>
    <row r="338" spans="1:23" ht="21.75" customHeight="1" x14ac:dyDescent="0.6">
      <c r="A338" s="21"/>
      <c r="B338" s="23"/>
      <c r="C338" s="21"/>
      <c r="D338" s="22"/>
      <c r="E338" s="22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</row>
    <row r="339" spans="1:23" ht="21.75" customHeight="1" x14ac:dyDescent="0.6">
      <c r="A339" s="21"/>
      <c r="B339" s="23"/>
      <c r="C339" s="21"/>
      <c r="D339" s="22"/>
      <c r="E339" s="22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</row>
    <row r="340" spans="1:23" ht="21.75" customHeight="1" x14ac:dyDescent="0.6">
      <c r="A340" s="21"/>
      <c r="B340" s="23"/>
      <c r="C340" s="21"/>
      <c r="D340" s="22"/>
      <c r="E340" s="22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</row>
    <row r="341" spans="1:23" ht="21.75" customHeight="1" x14ac:dyDescent="0.6">
      <c r="A341" s="21"/>
      <c r="B341" s="23"/>
      <c r="C341" s="21"/>
      <c r="D341" s="22"/>
      <c r="E341" s="22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</row>
    <row r="342" spans="1:23" ht="21.75" customHeight="1" x14ac:dyDescent="0.6">
      <c r="A342" s="21"/>
      <c r="B342" s="23"/>
      <c r="C342" s="21"/>
      <c r="D342" s="22"/>
      <c r="E342" s="22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</row>
    <row r="343" spans="1:23" ht="21.75" customHeight="1" x14ac:dyDescent="0.6">
      <c r="A343" s="21"/>
      <c r="B343" s="23"/>
      <c r="C343" s="21"/>
      <c r="D343" s="22"/>
      <c r="E343" s="22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</row>
    <row r="344" spans="1:23" ht="21.75" customHeight="1" x14ac:dyDescent="0.6">
      <c r="A344" s="21"/>
      <c r="B344" s="23"/>
      <c r="C344" s="21"/>
      <c r="D344" s="22"/>
      <c r="E344" s="22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</row>
    <row r="345" spans="1:23" ht="21.75" customHeight="1" x14ac:dyDescent="0.6">
      <c r="A345" s="21"/>
      <c r="B345" s="23"/>
      <c r="C345" s="21"/>
      <c r="D345" s="22"/>
      <c r="E345" s="22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</row>
    <row r="346" spans="1:23" ht="21.75" customHeight="1" x14ac:dyDescent="0.6">
      <c r="A346" s="21"/>
      <c r="B346" s="23"/>
      <c r="C346" s="21"/>
      <c r="D346" s="22"/>
      <c r="E346" s="22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</row>
    <row r="347" spans="1:23" ht="21.75" customHeight="1" x14ac:dyDescent="0.6">
      <c r="A347" s="21"/>
      <c r="B347" s="23"/>
      <c r="C347" s="21"/>
      <c r="D347" s="22"/>
      <c r="E347" s="22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</row>
    <row r="348" spans="1:23" ht="21.75" customHeight="1" x14ac:dyDescent="0.6">
      <c r="A348" s="21"/>
      <c r="B348" s="23"/>
      <c r="C348" s="21"/>
      <c r="D348" s="22"/>
      <c r="E348" s="22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</row>
    <row r="349" spans="1:23" ht="21.75" customHeight="1" x14ac:dyDescent="0.6">
      <c r="A349" s="21"/>
      <c r="B349" s="23"/>
      <c r="C349" s="21"/>
      <c r="D349" s="22"/>
      <c r="E349" s="22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</row>
    <row r="350" spans="1:23" ht="21.75" customHeight="1" x14ac:dyDescent="0.6">
      <c r="A350" s="21"/>
      <c r="B350" s="23"/>
      <c r="C350" s="21"/>
      <c r="D350" s="22"/>
      <c r="E350" s="22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</row>
    <row r="351" spans="1:23" ht="21.75" customHeight="1" x14ac:dyDescent="0.6">
      <c r="A351" s="21"/>
      <c r="B351" s="23"/>
      <c r="C351" s="21"/>
      <c r="D351" s="22"/>
      <c r="E351" s="22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</row>
    <row r="352" spans="1:23" ht="21.75" customHeight="1" x14ac:dyDescent="0.6">
      <c r="A352" s="21"/>
      <c r="B352" s="23"/>
      <c r="C352" s="21"/>
      <c r="D352" s="22"/>
      <c r="E352" s="22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</row>
    <row r="353" spans="1:23" ht="21.75" customHeight="1" x14ac:dyDescent="0.6">
      <c r="A353" s="21"/>
      <c r="B353" s="23"/>
      <c r="C353" s="21"/>
      <c r="D353" s="22"/>
      <c r="E353" s="22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</row>
    <row r="354" spans="1:23" ht="21.75" customHeight="1" x14ac:dyDescent="0.6">
      <c r="A354" s="21"/>
      <c r="B354" s="23"/>
      <c r="C354" s="21"/>
      <c r="D354" s="22"/>
      <c r="E354" s="22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</row>
    <row r="355" spans="1:23" ht="21.75" customHeight="1" x14ac:dyDescent="0.6">
      <c r="A355" s="21"/>
      <c r="B355" s="23"/>
      <c r="C355" s="21"/>
      <c r="D355" s="22"/>
      <c r="E355" s="22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</row>
    <row r="356" spans="1:23" ht="21.75" customHeight="1" x14ac:dyDescent="0.6">
      <c r="A356" s="21"/>
      <c r="B356" s="23"/>
      <c r="C356" s="21"/>
      <c r="D356" s="22"/>
      <c r="E356" s="22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</row>
    <row r="357" spans="1:23" ht="21.75" customHeight="1" x14ac:dyDescent="0.6">
      <c r="A357" s="21"/>
      <c r="B357" s="23"/>
      <c r="C357" s="21"/>
      <c r="D357" s="22"/>
      <c r="E357" s="22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</row>
    <row r="358" spans="1:23" ht="21.75" customHeight="1" x14ac:dyDescent="0.6">
      <c r="A358" s="21"/>
      <c r="B358" s="23"/>
      <c r="C358" s="21"/>
      <c r="D358" s="22"/>
      <c r="E358" s="22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</row>
    <row r="359" spans="1:23" ht="21.75" customHeight="1" x14ac:dyDescent="0.6">
      <c r="A359" s="21"/>
      <c r="B359" s="23"/>
      <c r="C359" s="21"/>
      <c r="D359" s="22"/>
      <c r="E359" s="22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</row>
    <row r="360" spans="1:23" ht="21.75" customHeight="1" x14ac:dyDescent="0.6">
      <c r="A360" s="21"/>
      <c r="B360" s="23"/>
      <c r="C360" s="21"/>
      <c r="D360" s="22"/>
      <c r="E360" s="22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</row>
    <row r="361" spans="1:23" ht="21.75" customHeight="1" x14ac:dyDescent="0.6">
      <c r="A361" s="21"/>
      <c r="B361" s="23"/>
      <c r="C361" s="21"/>
      <c r="D361" s="22"/>
      <c r="E361" s="22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</row>
    <row r="362" spans="1:23" ht="21.75" customHeight="1" x14ac:dyDescent="0.6">
      <c r="A362" s="21"/>
      <c r="B362" s="23"/>
      <c r="C362" s="21"/>
      <c r="D362" s="22"/>
      <c r="E362" s="22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</row>
    <row r="363" spans="1:23" ht="21.75" customHeight="1" x14ac:dyDescent="0.6">
      <c r="A363" s="21"/>
      <c r="B363" s="23"/>
      <c r="C363" s="21"/>
      <c r="D363" s="22"/>
      <c r="E363" s="22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</row>
    <row r="364" spans="1:23" ht="21.75" customHeight="1" x14ac:dyDescent="0.6">
      <c r="A364" s="21"/>
      <c r="B364" s="23"/>
      <c r="C364" s="21"/>
      <c r="D364" s="22"/>
      <c r="E364" s="22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</row>
    <row r="365" spans="1:23" ht="21.75" customHeight="1" x14ac:dyDescent="0.6">
      <c r="A365" s="21"/>
      <c r="B365" s="23"/>
      <c r="C365" s="21"/>
      <c r="D365" s="22"/>
      <c r="E365" s="22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</row>
    <row r="366" spans="1:23" ht="21.75" customHeight="1" x14ac:dyDescent="0.6">
      <c r="A366" s="21"/>
      <c r="B366" s="23"/>
      <c r="C366" s="21"/>
      <c r="D366" s="22"/>
      <c r="E366" s="22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</row>
    <row r="367" spans="1:23" ht="21.75" customHeight="1" x14ac:dyDescent="0.6">
      <c r="A367" s="21"/>
      <c r="B367" s="23"/>
      <c r="C367" s="21"/>
      <c r="D367" s="22"/>
      <c r="E367" s="22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</row>
    <row r="368" spans="1:23" ht="21.75" customHeight="1" x14ac:dyDescent="0.6">
      <c r="A368" s="21"/>
      <c r="B368" s="23"/>
      <c r="C368" s="21"/>
      <c r="D368" s="22"/>
      <c r="E368" s="22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</row>
    <row r="369" spans="1:23" ht="21.75" customHeight="1" x14ac:dyDescent="0.6">
      <c r="A369" s="21"/>
      <c r="B369" s="23"/>
      <c r="C369" s="21"/>
      <c r="D369" s="22"/>
      <c r="E369" s="22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</row>
    <row r="370" spans="1:23" ht="21.75" customHeight="1" x14ac:dyDescent="0.6">
      <c r="A370" s="21"/>
      <c r="B370" s="23"/>
      <c r="C370" s="21"/>
      <c r="D370" s="22"/>
      <c r="E370" s="22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</row>
    <row r="371" spans="1:23" ht="21.75" customHeight="1" x14ac:dyDescent="0.6">
      <c r="A371" s="21"/>
      <c r="B371" s="23"/>
      <c r="C371" s="21"/>
      <c r="D371" s="22"/>
      <c r="E371" s="22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</row>
    <row r="372" spans="1:23" ht="21.75" customHeight="1" x14ac:dyDescent="0.6">
      <c r="A372" s="21"/>
      <c r="B372" s="23"/>
      <c r="C372" s="21"/>
      <c r="D372" s="22"/>
      <c r="E372" s="22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</row>
    <row r="373" spans="1:23" ht="21.75" customHeight="1" x14ac:dyDescent="0.6">
      <c r="A373" s="21"/>
      <c r="B373" s="23"/>
      <c r="C373" s="21"/>
      <c r="D373" s="22"/>
      <c r="E373" s="22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</row>
    <row r="374" spans="1:23" ht="21.75" customHeight="1" x14ac:dyDescent="0.6">
      <c r="A374" s="21"/>
      <c r="B374" s="23"/>
      <c r="C374" s="21"/>
      <c r="D374" s="22"/>
      <c r="E374" s="22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</row>
    <row r="375" spans="1:23" ht="21.75" customHeight="1" x14ac:dyDescent="0.6">
      <c r="A375" s="21"/>
      <c r="B375" s="23"/>
      <c r="C375" s="21"/>
      <c r="D375" s="22"/>
      <c r="E375" s="22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</row>
    <row r="376" spans="1:23" ht="21.75" customHeight="1" x14ac:dyDescent="0.6">
      <c r="A376" s="21"/>
      <c r="B376" s="23"/>
      <c r="C376" s="21"/>
      <c r="D376" s="22"/>
      <c r="E376" s="22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</row>
    <row r="377" spans="1:23" ht="21.75" customHeight="1" x14ac:dyDescent="0.6">
      <c r="A377" s="21"/>
      <c r="B377" s="23"/>
      <c r="C377" s="21"/>
      <c r="D377" s="22"/>
      <c r="E377" s="22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</row>
    <row r="378" spans="1:23" ht="21.75" customHeight="1" x14ac:dyDescent="0.6">
      <c r="A378" s="21"/>
      <c r="B378" s="23"/>
      <c r="C378" s="21"/>
      <c r="D378" s="22"/>
      <c r="E378" s="22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</row>
    <row r="379" spans="1:23" ht="21.75" customHeight="1" x14ac:dyDescent="0.6">
      <c r="A379" s="21"/>
      <c r="B379" s="23"/>
      <c r="C379" s="21"/>
      <c r="D379" s="22"/>
      <c r="E379" s="22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</row>
    <row r="380" spans="1:23" ht="21.75" customHeight="1" x14ac:dyDescent="0.6">
      <c r="A380" s="21"/>
      <c r="B380" s="23"/>
      <c r="C380" s="21"/>
      <c r="D380" s="22"/>
      <c r="E380" s="22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</row>
    <row r="381" spans="1:23" ht="21.75" customHeight="1" x14ac:dyDescent="0.6">
      <c r="A381" s="21"/>
      <c r="B381" s="23"/>
      <c r="C381" s="21"/>
      <c r="D381" s="22"/>
      <c r="E381" s="22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</row>
    <row r="382" spans="1:23" ht="21.75" customHeight="1" x14ac:dyDescent="0.6">
      <c r="A382" s="21"/>
      <c r="B382" s="23"/>
      <c r="C382" s="21"/>
      <c r="D382" s="22"/>
      <c r="E382" s="22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</row>
    <row r="383" spans="1:23" ht="21.75" customHeight="1" x14ac:dyDescent="0.6">
      <c r="A383" s="21"/>
      <c r="B383" s="23"/>
      <c r="C383" s="21"/>
      <c r="D383" s="22"/>
      <c r="E383" s="22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</row>
    <row r="384" spans="1:23" ht="21.75" customHeight="1" x14ac:dyDescent="0.6">
      <c r="A384" s="21"/>
      <c r="B384" s="23"/>
      <c r="C384" s="21"/>
      <c r="D384" s="22"/>
      <c r="E384" s="22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</row>
    <row r="385" spans="1:23" ht="21.75" customHeight="1" x14ac:dyDescent="0.6">
      <c r="A385" s="21"/>
      <c r="B385" s="23"/>
      <c r="C385" s="21"/>
      <c r="D385" s="22"/>
      <c r="E385" s="22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</row>
    <row r="386" spans="1:23" ht="21.75" customHeight="1" x14ac:dyDescent="0.6">
      <c r="A386" s="21"/>
      <c r="B386" s="23"/>
      <c r="C386" s="21"/>
      <c r="D386" s="22"/>
      <c r="E386" s="22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</row>
    <row r="387" spans="1:23" ht="21.75" customHeight="1" x14ac:dyDescent="0.6">
      <c r="A387" s="21"/>
      <c r="B387" s="23"/>
      <c r="C387" s="21"/>
      <c r="D387" s="22"/>
      <c r="E387" s="22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</row>
    <row r="388" spans="1:23" ht="21.75" customHeight="1" x14ac:dyDescent="0.6">
      <c r="A388" s="21"/>
      <c r="B388" s="23"/>
      <c r="C388" s="21"/>
      <c r="D388" s="22"/>
      <c r="E388" s="22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</row>
    <row r="389" spans="1:23" ht="21.75" customHeight="1" x14ac:dyDescent="0.6">
      <c r="A389" s="21"/>
      <c r="B389" s="23"/>
      <c r="C389" s="21"/>
      <c r="D389" s="22"/>
      <c r="E389" s="22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</row>
    <row r="390" spans="1:23" ht="21.75" customHeight="1" x14ac:dyDescent="0.6">
      <c r="A390" s="21"/>
      <c r="B390" s="23"/>
      <c r="C390" s="21"/>
      <c r="D390" s="22"/>
      <c r="E390" s="22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</row>
    <row r="391" spans="1:23" ht="21.75" customHeight="1" x14ac:dyDescent="0.6">
      <c r="A391" s="21"/>
      <c r="B391" s="23"/>
      <c r="C391" s="21"/>
      <c r="D391" s="22"/>
      <c r="E391" s="22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</row>
    <row r="392" spans="1:23" ht="21.75" customHeight="1" x14ac:dyDescent="0.6">
      <c r="A392" s="21"/>
      <c r="B392" s="23"/>
      <c r="C392" s="21"/>
      <c r="D392" s="22"/>
      <c r="E392" s="22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</row>
    <row r="393" spans="1:23" ht="21.75" customHeight="1" x14ac:dyDescent="0.6">
      <c r="A393" s="21"/>
      <c r="B393" s="23"/>
      <c r="C393" s="21"/>
      <c r="D393" s="22"/>
      <c r="E393" s="22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</row>
    <row r="394" spans="1:23" ht="21.75" customHeight="1" x14ac:dyDescent="0.6">
      <c r="A394" s="21"/>
      <c r="B394" s="23"/>
      <c r="C394" s="21"/>
      <c r="D394" s="22"/>
      <c r="E394" s="22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</row>
    <row r="395" spans="1:23" ht="21.75" customHeight="1" x14ac:dyDescent="0.6">
      <c r="A395" s="21"/>
      <c r="B395" s="23"/>
      <c r="C395" s="21"/>
      <c r="D395" s="22"/>
      <c r="E395" s="22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</row>
    <row r="396" spans="1:23" ht="21.75" customHeight="1" x14ac:dyDescent="0.6">
      <c r="A396" s="21"/>
      <c r="B396" s="23"/>
      <c r="C396" s="21"/>
      <c r="D396" s="22"/>
      <c r="E396" s="22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</row>
    <row r="397" spans="1:23" ht="21.75" customHeight="1" x14ac:dyDescent="0.6">
      <c r="A397" s="21"/>
      <c r="B397" s="23"/>
      <c r="C397" s="21"/>
      <c r="D397" s="22"/>
      <c r="E397" s="22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</row>
    <row r="398" spans="1:23" ht="21.75" customHeight="1" x14ac:dyDescent="0.6">
      <c r="A398" s="21"/>
      <c r="B398" s="23"/>
      <c r="C398" s="21"/>
      <c r="D398" s="22"/>
      <c r="E398" s="22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</row>
    <row r="399" spans="1:23" ht="21.75" customHeight="1" x14ac:dyDescent="0.6">
      <c r="A399" s="21"/>
      <c r="B399" s="23"/>
      <c r="C399" s="21"/>
      <c r="D399" s="22"/>
      <c r="E399" s="22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</row>
    <row r="400" spans="1:23" ht="21.75" customHeight="1" x14ac:dyDescent="0.6">
      <c r="A400" s="21"/>
      <c r="B400" s="23"/>
      <c r="C400" s="21"/>
      <c r="D400" s="22"/>
      <c r="E400" s="22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</row>
    <row r="401" spans="1:23" ht="21.75" customHeight="1" x14ac:dyDescent="0.6">
      <c r="A401" s="21"/>
      <c r="B401" s="23"/>
      <c r="C401" s="21"/>
      <c r="D401" s="22"/>
      <c r="E401" s="22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</row>
    <row r="402" spans="1:23" ht="21.75" customHeight="1" x14ac:dyDescent="0.6">
      <c r="A402" s="21"/>
      <c r="B402" s="23"/>
      <c r="C402" s="21"/>
      <c r="D402" s="22"/>
      <c r="E402" s="22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</row>
    <row r="403" spans="1:23" ht="21.75" customHeight="1" x14ac:dyDescent="0.6">
      <c r="A403" s="21"/>
      <c r="B403" s="23"/>
      <c r="C403" s="21"/>
      <c r="D403" s="22"/>
      <c r="E403" s="22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</row>
    <row r="404" spans="1:23" ht="21.75" customHeight="1" x14ac:dyDescent="0.6">
      <c r="A404" s="21"/>
      <c r="B404" s="23"/>
      <c r="C404" s="21"/>
      <c r="D404" s="22"/>
      <c r="E404" s="22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</row>
    <row r="405" spans="1:23" ht="21.75" customHeight="1" x14ac:dyDescent="0.6">
      <c r="A405" s="21"/>
      <c r="B405" s="23"/>
      <c r="C405" s="21"/>
      <c r="D405" s="22"/>
      <c r="E405" s="22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</row>
    <row r="406" spans="1:23" ht="21.75" customHeight="1" x14ac:dyDescent="0.6">
      <c r="A406" s="21"/>
      <c r="B406" s="23"/>
      <c r="C406" s="21"/>
      <c r="D406" s="22"/>
      <c r="E406" s="22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</row>
    <row r="407" spans="1:23" ht="21.75" customHeight="1" x14ac:dyDescent="0.6">
      <c r="A407" s="21"/>
      <c r="B407" s="23"/>
      <c r="C407" s="21"/>
      <c r="D407" s="22"/>
      <c r="E407" s="22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</row>
    <row r="408" spans="1:23" ht="21.75" customHeight="1" x14ac:dyDescent="0.6">
      <c r="A408" s="21"/>
      <c r="B408" s="23"/>
      <c r="C408" s="21"/>
      <c r="D408" s="22"/>
      <c r="E408" s="22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</row>
    <row r="409" spans="1:23" ht="21.75" customHeight="1" x14ac:dyDescent="0.6">
      <c r="A409" s="21"/>
      <c r="B409" s="23"/>
      <c r="C409" s="21"/>
      <c r="D409" s="22"/>
      <c r="E409" s="22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</row>
    <row r="410" spans="1:23" ht="21.75" customHeight="1" x14ac:dyDescent="0.6">
      <c r="A410" s="21"/>
      <c r="B410" s="23"/>
      <c r="C410" s="21"/>
      <c r="D410" s="22"/>
      <c r="E410" s="22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</row>
    <row r="411" spans="1:23" ht="21.75" customHeight="1" x14ac:dyDescent="0.6">
      <c r="A411" s="21"/>
      <c r="B411" s="23"/>
      <c r="C411" s="21"/>
      <c r="D411" s="22"/>
      <c r="E411" s="22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</row>
    <row r="412" spans="1:23" ht="21.75" customHeight="1" x14ac:dyDescent="0.6">
      <c r="A412" s="21"/>
      <c r="B412" s="23"/>
      <c r="C412" s="21"/>
      <c r="D412" s="22"/>
      <c r="E412" s="22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</row>
    <row r="413" spans="1:23" ht="21.75" customHeight="1" x14ac:dyDescent="0.6">
      <c r="A413" s="21"/>
      <c r="B413" s="23"/>
      <c r="C413" s="21"/>
      <c r="D413" s="22"/>
      <c r="E413" s="22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</row>
    <row r="414" spans="1:23" ht="21.75" customHeight="1" x14ac:dyDescent="0.6">
      <c r="A414" s="21"/>
      <c r="B414" s="23"/>
      <c r="C414" s="21"/>
      <c r="D414" s="22"/>
      <c r="E414" s="22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</row>
    <row r="415" spans="1:23" ht="21.75" customHeight="1" x14ac:dyDescent="0.6">
      <c r="A415" s="21"/>
      <c r="B415" s="23"/>
      <c r="C415" s="21"/>
      <c r="D415" s="22"/>
      <c r="E415" s="22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</row>
    <row r="416" spans="1:23" ht="21.75" customHeight="1" x14ac:dyDescent="0.6">
      <c r="A416" s="21"/>
      <c r="B416" s="23"/>
      <c r="C416" s="21"/>
      <c r="D416" s="22"/>
      <c r="E416" s="22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</row>
    <row r="417" spans="1:23" ht="21.75" customHeight="1" x14ac:dyDescent="0.6">
      <c r="A417" s="21"/>
      <c r="B417" s="23"/>
      <c r="C417" s="21"/>
      <c r="D417" s="22"/>
      <c r="E417" s="22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</row>
    <row r="418" spans="1:23" ht="21.75" customHeight="1" x14ac:dyDescent="0.6">
      <c r="A418" s="21"/>
      <c r="B418" s="23"/>
      <c r="C418" s="21"/>
      <c r="D418" s="22"/>
      <c r="E418" s="22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</row>
    <row r="419" spans="1:23" ht="21.75" customHeight="1" x14ac:dyDescent="0.6">
      <c r="A419" s="21"/>
      <c r="B419" s="23"/>
      <c r="C419" s="21"/>
      <c r="D419" s="22"/>
      <c r="E419" s="22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</row>
    <row r="420" spans="1:23" ht="21.75" customHeight="1" x14ac:dyDescent="0.6">
      <c r="A420" s="21"/>
      <c r="B420" s="23"/>
      <c r="C420" s="21"/>
      <c r="D420" s="22"/>
      <c r="E420" s="22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</row>
    <row r="421" spans="1:23" ht="21.75" customHeight="1" x14ac:dyDescent="0.6">
      <c r="A421" s="21"/>
      <c r="B421" s="23"/>
      <c r="C421" s="21"/>
      <c r="D421" s="22"/>
      <c r="E421" s="22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</row>
    <row r="422" spans="1:23" ht="21.75" customHeight="1" x14ac:dyDescent="0.6">
      <c r="A422" s="21"/>
      <c r="B422" s="23"/>
      <c r="C422" s="21"/>
      <c r="D422" s="22"/>
      <c r="E422" s="22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</row>
    <row r="423" spans="1:23" ht="21.75" customHeight="1" x14ac:dyDescent="0.6">
      <c r="A423" s="21"/>
      <c r="B423" s="23"/>
      <c r="C423" s="21"/>
      <c r="D423" s="22"/>
      <c r="E423" s="22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</row>
    <row r="424" spans="1:23" ht="21.75" customHeight="1" x14ac:dyDescent="0.6">
      <c r="A424" s="21"/>
      <c r="B424" s="23"/>
      <c r="C424" s="21"/>
      <c r="D424" s="22"/>
      <c r="E424" s="22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</row>
    <row r="425" spans="1:23" ht="21.75" customHeight="1" x14ac:dyDescent="0.6">
      <c r="A425" s="21"/>
      <c r="B425" s="23"/>
      <c r="C425" s="21"/>
      <c r="D425" s="22"/>
      <c r="E425" s="22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</row>
    <row r="426" spans="1:23" ht="21.75" customHeight="1" x14ac:dyDescent="0.6">
      <c r="A426" s="21"/>
      <c r="B426" s="23"/>
      <c r="C426" s="21"/>
      <c r="D426" s="22"/>
      <c r="E426" s="22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</row>
    <row r="427" spans="1:23" ht="21.75" customHeight="1" x14ac:dyDescent="0.6">
      <c r="A427" s="21"/>
      <c r="B427" s="23"/>
      <c r="C427" s="21"/>
      <c r="D427" s="22"/>
      <c r="E427" s="22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</row>
    <row r="428" spans="1:23" ht="21.75" customHeight="1" x14ac:dyDescent="0.6">
      <c r="A428" s="21"/>
      <c r="B428" s="23"/>
      <c r="C428" s="21"/>
      <c r="D428" s="22"/>
      <c r="E428" s="22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</row>
    <row r="429" spans="1:23" ht="21.75" customHeight="1" x14ac:dyDescent="0.6">
      <c r="A429" s="21"/>
      <c r="B429" s="23"/>
      <c r="C429" s="21"/>
      <c r="D429" s="22"/>
      <c r="E429" s="22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</row>
    <row r="430" spans="1:23" ht="21.75" customHeight="1" x14ac:dyDescent="0.6">
      <c r="A430" s="21"/>
      <c r="B430" s="23"/>
      <c r="C430" s="21"/>
      <c r="D430" s="22"/>
      <c r="E430" s="22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</row>
    <row r="431" spans="1:23" ht="21.75" customHeight="1" x14ac:dyDescent="0.6">
      <c r="A431" s="21"/>
      <c r="B431" s="23"/>
      <c r="C431" s="21"/>
      <c r="D431" s="22"/>
      <c r="E431" s="22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</row>
    <row r="432" spans="1:23" ht="21.75" customHeight="1" x14ac:dyDescent="0.6">
      <c r="A432" s="21"/>
      <c r="B432" s="23"/>
      <c r="C432" s="21"/>
      <c r="D432" s="22"/>
      <c r="E432" s="22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</row>
    <row r="433" spans="1:23" ht="21.75" customHeight="1" x14ac:dyDescent="0.6">
      <c r="A433" s="21"/>
      <c r="B433" s="23"/>
      <c r="C433" s="21"/>
      <c r="D433" s="22"/>
      <c r="E433" s="22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</row>
    <row r="434" spans="1:23" ht="21.75" customHeight="1" x14ac:dyDescent="0.6">
      <c r="A434" s="21"/>
      <c r="B434" s="23"/>
      <c r="C434" s="21"/>
      <c r="D434" s="22"/>
      <c r="E434" s="22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</row>
    <row r="435" spans="1:23" ht="21.75" customHeight="1" x14ac:dyDescent="0.6">
      <c r="A435" s="21"/>
      <c r="B435" s="23"/>
      <c r="C435" s="21"/>
      <c r="D435" s="22"/>
      <c r="E435" s="22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</row>
    <row r="436" spans="1:23" ht="21.75" customHeight="1" x14ac:dyDescent="0.6">
      <c r="A436" s="21"/>
      <c r="B436" s="23"/>
      <c r="C436" s="21"/>
      <c r="D436" s="22"/>
      <c r="E436" s="22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</row>
    <row r="437" spans="1:23" ht="21.75" customHeight="1" x14ac:dyDescent="0.6">
      <c r="A437" s="21"/>
      <c r="B437" s="23"/>
      <c r="C437" s="21"/>
      <c r="D437" s="22"/>
      <c r="E437" s="22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</row>
    <row r="438" spans="1:23" ht="21.75" customHeight="1" x14ac:dyDescent="0.6">
      <c r="A438" s="21"/>
      <c r="B438" s="23"/>
      <c r="C438" s="21"/>
      <c r="D438" s="22"/>
      <c r="E438" s="22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</row>
    <row r="439" spans="1:23" ht="21.75" customHeight="1" x14ac:dyDescent="0.6">
      <c r="A439" s="21"/>
      <c r="B439" s="23"/>
      <c r="C439" s="21"/>
      <c r="D439" s="22"/>
      <c r="E439" s="22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</row>
    <row r="440" spans="1:23" ht="21.75" customHeight="1" x14ac:dyDescent="0.6">
      <c r="A440" s="21"/>
      <c r="B440" s="23"/>
      <c r="C440" s="21"/>
      <c r="D440" s="22"/>
      <c r="E440" s="22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</row>
    <row r="441" spans="1:23" ht="21.75" customHeight="1" x14ac:dyDescent="0.6">
      <c r="A441" s="21"/>
      <c r="B441" s="23"/>
      <c r="C441" s="21"/>
      <c r="D441" s="22"/>
      <c r="E441" s="22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</row>
    <row r="442" spans="1:23" ht="21.75" customHeight="1" x14ac:dyDescent="0.6">
      <c r="A442" s="21"/>
      <c r="B442" s="23"/>
      <c r="C442" s="21"/>
      <c r="D442" s="22"/>
      <c r="E442" s="22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</row>
    <row r="443" spans="1:23" ht="21.75" customHeight="1" x14ac:dyDescent="0.6">
      <c r="A443" s="21"/>
      <c r="B443" s="23"/>
      <c r="C443" s="21"/>
      <c r="D443" s="22"/>
      <c r="E443" s="22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</row>
    <row r="444" spans="1:23" ht="21.75" customHeight="1" x14ac:dyDescent="0.6">
      <c r="A444" s="21"/>
      <c r="B444" s="23"/>
      <c r="C444" s="21"/>
      <c r="D444" s="22"/>
      <c r="E444" s="22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</row>
    <row r="445" spans="1:23" ht="21.75" customHeight="1" x14ac:dyDescent="0.6">
      <c r="A445" s="21"/>
      <c r="B445" s="23"/>
      <c r="C445" s="21"/>
      <c r="D445" s="22"/>
      <c r="E445" s="22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</row>
    <row r="446" spans="1:23" ht="21.75" customHeight="1" x14ac:dyDescent="0.6">
      <c r="A446" s="21"/>
      <c r="B446" s="23"/>
      <c r="C446" s="21"/>
      <c r="D446" s="22"/>
      <c r="E446" s="22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</row>
    <row r="447" spans="1:23" ht="21.75" customHeight="1" x14ac:dyDescent="0.6">
      <c r="A447" s="21"/>
      <c r="B447" s="23"/>
      <c r="C447" s="21"/>
      <c r="D447" s="22"/>
      <c r="E447" s="22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</row>
    <row r="448" spans="1:23" ht="21.75" customHeight="1" x14ac:dyDescent="0.6">
      <c r="A448" s="21"/>
      <c r="B448" s="23"/>
      <c r="C448" s="21"/>
      <c r="D448" s="22"/>
      <c r="E448" s="22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</row>
    <row r="449" spans="1:23" ht="21.75" customHeight="1" x14ac:dyDescent="0.6">
      <c r="A449" s="21"/>
      <c r="B449" s="23"/>
      <c r="C449" s="21"/>
      <c r="D449" s="22"/>
      <c r="E449" s="22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</row>
    <row r="450" spans="1:23" ht="21.75" customHeight="1" x14ac:dyDescent="0.6">
      <c r="A450" s="21"/>
      <c r="B450" s="23"/>
      <c r="C450" s="21"/>
      <c r="D450" s="22"/>
      <c r="E450" s="22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</row>
    <row r="451" spans="1:23" ht="21.75" customHeight="1" x14ac:dyDescent="0.6">
      <c r="A451" s="21"/>
      <c r="B451" s="23"/>
      <c r="C451" s="21"/>
      <c r="D451" s="22"/>
      <c r="E451" s="22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</row>
    <row r="452" spans="1:23" ht="21.75" customHeight="1" x14ac:dyDescent="0.6">
      <c r="A452" s="21"/>
      <c r="B452" s="23"/>
      <c r="C452" s="21"/>
      <c r="D452" s="22"/>
      <c r="E452" s="22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</row>
    <row r="453" spans="1:23" ht="21.75" customHeight="1" x14ac:dyDescent="0.6">
      <c r="A453" s="21"/>
      <c r="B453" s="23"/>
      <c r="C453" s="21"/>
      <c r="D453" s="22"/>
      <c r="E453" s="22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</row>
    <row r="454" spans="1:23" ht="21.75" customHeight="1" x14ac:dyDescent="0.6">
      <c r="A454" s="21"/>
      <c r="B454" s="23"/>
      <c r="C454" s="21"/>
      <c r="D454" s="22"/>
      <c r="E454" s="22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</row>
    <row r="455" spans="1:23" ht="21.75" customHeight="1" x14ac:dyDescent="0.6">
      <c r="A455" s="21"/>
      <c r="B455" s="23"/>
      <c r="C455" s="21"/>
      <c r="D455" s="22"/>
      <c r="E455" s="22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</row>
    <row r="456" spans="1:23" ht="21.75" customHeight="1" x14ac:dyDescent="0.6">
      <c r="A456" s="21"/>
      <c r="B456" s="23"/>
      <c r="C456" s="21"/>
      <c r="D456" s="22"/>
      <c r="E456" s="22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</row>
    <row r="457" spans="1:23" ht="21.75" customHeight="1" x14ac:dyDescent="0.6">
      <c r="A457" s="21"/>
      <c r="B457" s="23"/>
      <c r="C457" s="21"/>
      <c r="D457" s="22"/>
      <c r="E457" s="22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</row>
    <row r="458" spans="1:23" ht="21.75" customHeight="1" x14ac:dyDescent="0.6">
      <c r="A458" s="21"/>
      <c r="B458" s="23"/>
      <c r="C458" s="21"/>
      <c r="D458" s="22"/>
      <c r="E458" s="22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</row>
    <row r="459" spans="1:23" ht="21.75" customHeight="1" x14ac:dyDescent="0.6">
      <c r="A459" s="21"/>
      <c r="B459" s="23"/>
      <c r="C459" s="21"/>
      <c r="D459" s="22"/>
      <c r="E459" s="22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</row>
    <row r="460" spans="1:23" ht="21.75" customHeight="1" x14ac:dyDescent="0.6">
      <c r="A460" s="21"/>
      <c r="B460" s="23"/>
      <c r="C460" s="21"/>
      <c r="D460" s="22"/>
      <c r="E460" s="22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</row>
    <row r="461" spans="1:23" ht="21.75" customHeight="1" x14ac:dyDescent="0.6">
      <c r="A461" s="21"/>
      <c r="B461" s="23"/>
      <c r="C461" s="21"/>
      <c r="D461" s="22"/>
      <c r="E461" s="22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</row>
    <row r="462" spans="1:23" ht="21.75" customHeight="1" x14ac:dyDescent="0.6">
      <c r="A462" s="21"/>
      <c r="B462" s="23"/>
      <c r="C462" s="21"/>
      <c r="D462" s="22"/>
      <c r="E462" s="22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</row>
    <row r="463" spans="1:23" ht="21.75" customHeight="1" x14ac:dyDescent="0.6">
      <c r="A463" s="21"/>
      <c r="B463" s="23"/>
      <c r="C463" s="21"/>
      <c r="D463" s="22"/>
      <c r="E463" s="22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</row>
    <row r="464" spans="1:23" ht="21.75" customHeight="1" x14ac:dyDescent="0.6">
      <c r="A464" s="21"/>
      <c r="B464" s="23"/>
      <c r="C464" s="21"/>
      <c r="D464" s="22"/>
      <c r="E464" s="22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</row>
    <row r="465" spans="1:23" ht="21.75" customHeight="1" x14ac:dyDescent="0.6">
      <c r="A465" s="21"/>
      <c r="B465" s="23"/>
      <c r="C465" s="21"/>
      <c r="D465" s="22"/>
      <c r="E465" s="22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</row>
    <row r="466" spans="1:23" ht="21.75" customHeight="1" x14ac:dyDescent="0.6">
      <c r="A466" s="21"/>
      <c r="B466" s="23"/>
      <c r="C466" s="21"/>
      <c r="D466" s="22"/>
      <c r="E466" s="22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</row>
    <row r="467" spans="1:23" ht="21.75" customHeight="1" x14ac:dyDescent="0.6">
      <c r="A467" s="21"/>
      <c r="B467" s="23"/>
      <c r="C467" s="21"/>
      <c r="D467" s="22"/>
      <c r="E467" s="22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</row>
    <row r="468" spans="1:23" ht="21.75" customHeight="1" x14ac:dyDescent="0.6">
      <c r="A468" s="21"/>
      <c r="B468" s="23"/>
      <c r="C468" s="21"/>
      <c r="D468" s="22"/>
      <c r="E468" s="22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</row>
    <row r="469" spans="1:23" ht="21.75" customHeight="1" x14ac:dyDescent="0.6">
      <c r="A469" s="21"/>
      <c r="B469" s="23"/>
      <c r="C469" s="21"/>
      <c r="D469" s="22"/>
      <c r="E469" s="22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</row>
    <row r="470" spans="1:23" ht="21.75" customHeight="1" x14ac:dyDescent="0.6">
      <c r="A470" s="21"/>
      <c r="B470" s="23"/>
      <c r="C470" s="21"/>
      <c r="D470" s="22"/>
      <c r="E470" s="22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</row>
    <row r="471" spans="1:23" ht="21.75" customHeight="1" x14ac:dyDescent="0.6">
      <c r="A471" s="21"/>
      <c r="B471" s="23"/>
      <c r="C471" s="21"/>
      <c r="D471" s="22"/>
      <c r="E471" s="22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</row>
    <row r="472" spans="1:23" ht="21.75" customHeight="1" x14ac:dyDescent="0.6">
      <c r="A472" s="21"/>
      <c r="B472" s="23"/>
      <c r="C472" s="21"/>
      <c r="D472" s="22"/>
      <c r="E472" s="22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</row>
    <row r="473" spans="1:23" ht="21.75" customHeight="1" x14ac:dyDescent="0.6">
      <c r="A473" s="21"/>
      <c r="B473" s="23"/>
      <c r="C473" s="21"/>
      <c r="D473" s="22"/>
      <c r="E473" s="22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</row>
    <row r="474" spans="1:23" ht="21.75" customHeight="1" x14ac:dyDescent="0.6">
      <c r="A474" s="21"/>
      <c r="B474" s="23"/>
      <c r="C474" s="21"/>
      <c r="D474" s="22"/>
      <c r="E474" s="22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</row>
    <row r="475" spans="1:23" ht="21.75" customHeight="1" x14ac:dyDescent="0.6">
      <c r="A475" s="21"/>
      <c r="B475" s="23"/>
      <c r="C475" s="21"/>
      <c r="D475" s="22"/>
      <c r="E475" s="22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</row>
    <row r="476" spans="1:23" ht="21.75" customHeight="1" x14ac:dyDescent="0.6">
      <c r="A476" s="21"/>
      <c r="B476" s="23"/>
      <c r="C476" s="21"/>
      <c r="D476" s="22"/>
      <c r="E476" s="22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</row>
    <row r="477" spans="1:23" ht="21.75" customHeight="1" x14ac:dyDescent="0.6">
      <c r="A477" s="21"/>
      <c r="B477" s="23"/>
      <c r="C477" s="21"/>
      <c r="D477" s="22"/>
      <c r="E477" s="22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</row>
    <row r="478" spans="1:23" ht="21.75" customHeight="1" x14ac:dyDescent="0.6">
      <c r="A478" s="21"/>
      <c r="B478" s="23"/>
      <c r="C478" s="21"/>
      <c r="D478" s="22"/>
      <c r="E478" s="22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</row>
    <row r="479" spans="1:23" ht="21.75" customHeight="1" x14ac:dyDescent="0.6">
      <c r="A479" s="21"/>
      <c r="B479" s="23"/>
      <c r="C479" s="21"/>
      <c r="D479" s="22"/>
      <c r="E479" s="22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</row>
    <row r="480" spans="1:23" ht="21.75" customHeight="1" x14ac:dyDescent="0.6">
      <c r="A480" s="21"/>
      <c r="B480" s="23"/>
      <c r="C480" s="21"/>
      <c r="D480" s="22"/>
      <c r="E480" s="22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</row>
    <row r="481" spans="1:23" ht="21.75" customHeight="1" x14ac:dyDescent="0.6">
      <c r="A481" s="21"/>
      <c r="B481" s="23"/>
      <c r="C481" s="21"/>
      <c r="D481" s="22"/>
      <c r="E481" s="22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</row>
    <row r="482" spans="1:23" ht="21.75" customHeight="1" x14ac:dyDescent="0.6">
      <c r="A482" s="21"/>
      <c r="B482" s="23"/>
      <c r="C482" s="21"/>
      <c r="D482" s="22"/>
      <c r="E482" s="22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</row>
    <row r="483" spans="1:23" ht="21.75" customHeight="1" x14ac:dyDescent="0.6">
      <c r="A483" s="21"/>
      <c r="B483" s="23"/>
      <c r="C483" s="21"/>
      <c r="D483" s="22"/>
      <c r="E483" s="22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</row>
    <row r="484" spans="1:23" ht="21.75" customHeight="1" x14ac:dyDescent="0.6">
      <c r="A484" s="21"/>
      <c r="B484" s="23"/>
      <c r="C484" s="21"/>
      <c r="D484" s="22"/>
      <c r="E484" s="22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</row>
    <row r="485" spans="1:23" ht="21.75" customHeight="1" x14ac:dyDescent="0.6">
      <c r="A485" s="21"/>
      <c r="B485" s="23"/>
      <c r="C485" s="21"/>
      <c r="D485" s="22"/>
      <c r="E485" s="22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</row>
    <row r="486" spans="1:23" ht="21.75" customHeight="1" x14ac:dyDescent="0.6">
      <c r="A486" s="21"/>
      <c r="B486" s="23"/>
      <c r="C486" s="21"/>
      <c r="D486" s="22"/>
      <c r="E486" s="22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</row>
    <row r="487" spans="1:23" ht="21.75" customHeight="1" x14ac:dyDescent="0.6">
      <c r="A487" s="21"/>
      <c r="B487" s="23"/>
      <c r="C487" s="21"/>
      <c r="D487" s="22"/>
      <c r="E487" s="22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</row>
    <row r="488" spans="1:23" ht="21.75" customHeight="1" x14ac:dyDescent="0.6">
      <c r="A488" s="21"/>
      <c r="B488" s="23"/>
      <c r="C488" s="21"/>
      <c r="D488" s="22"/>
      <c r="E488" s="22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</row>
    <row r="489" spans="1:23" ht="21.75" customHeight="1" x14ac:dyDescent="0.6">
      <c r="A489" s="21"/>
      <c r="B489" s="23"/>
      <c r="C489" s="21"/>
      <c r="D489" s="22"/>
      <c r="E489" s="22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</row>
    <row r="490" spans="1:23" ht="21.75" customHeight="1" x14ac:dyDescent="0.6">
      <c r="A490" s="21"/>
      <c r="B490" s="23"/>
      <c r="C490" s="21"/>
      <c r="D490" s="22"/>
      <c r="E490" s="22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</row>
    <row r="491" spans="1:23" ht="21.75" customHeight="1" x14ac:dyDescent="0.6">
      <c r="A491" s="21"/>
      <c r="B491" s="23"/>
      <c r="C491" s="21"/>
      <c r="D491" s="22"/>
      <c r="E491" s="22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</row>
    <row r="492" spans="1:23" ht="21.75" customHeight="1" x14ac:dyDescent="0.6">
      <c r="A492" s="21"/>
      <c r="B492" s="23"/>
      <c r="C492" s="21"/>
      <c r="D492" s="22"/>
      <c r="E492" s="22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</row>
    <row r="493" spans="1:23" ht="21.75" customHeight="1" x14ac:dyDescent="0.6">
      <c r="A493" s="21"/>
      <c r="B493" s="23"/>
      <c r="C493" s="21"/>
      <c r="D493" s="22"/>
      <c r="E493" s="22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</row>
    <row r="494" spans="1:23" ht="21.75" customHeight="1" x14ac:dyDescent="0.6">
      <c r="A494" s="21"/>
      <c r="B494" s="23"/>
      <c r="C494" s="21"/>
      <c r="D494" s="22"/>
      <c r="E494" s="22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</row>
    <row r="495" spans="1:23" ht="21.75" customHeight="1" x14ac:dyDescent="0.6">
      <c r="A495" s="21"/>
      <c r="B495" s="23"/>
      <c r="C495" s="21"/>
      <c r="D495" s="22"/>
      <c r="E495" s="22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</row>
    <row r="496" spans="1:23" ht="21.75" customHeight="1" x14ac:dyDescent="0.6">
      <c r="A496" s="21"/>
      <c r="B496" s="23"/>
      <c r="C496" s="21"/>
      <c r="D496" s="22"/>
      <c r="E496" s="22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</row>
    <row r="497" spans="1:23" ht="21.75" customHeight="1" x14ac:dyDescent="0.6">
      <c r="A497" s="21"/>
      <c r="B497" s="23"/>
      <c r="C497" s="21"/>
      <c r="D497" s="22"/>
      <c r="E497" s="22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</row>
    <row r="498" spans="1:23" ht="21.75" customHeight="1" x14ac:dyDescent="0.6">
      <c r="A498" s="21"/>
      <c r="B498" s="23"/>
      <c r="C498" s="21"/>
      <c r="D498" s="22"/>
      <c r="E498" s="22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</row>
    <row r="499" spans="1:23" ht="21.75" customHeight="1" x14ac:dyDescent="0.6">
      <c r="A499" s="21"/>
      <c r="B499" s="23"/>
      <c r="C499" s="21"/>
      <c r="D499" s="22"/>
      <c r="E499" s="22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</row>
    <row r="500" spans="1:23" ht="21.75" customHeight="1" x14ac:dyDescent="0.6">
      <c r="A500" s="21"/>
      <c r="B500" s="23"/>
      <c r="C500" s="21"/>
      <c r="D500" s="22"/>
      <c r="E500" s="22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</row>
    <row r="501" spans="1:23" ht="21.75" customHeight="1" x14ac:dyDescent="0.6">
      <c r="A501" s="21"/>
      <c r="B501" s="23"/>
      <c r="C501" s="21"/>
      <c r="D501" s="22"/>
      <c r="E501" s="22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</row>
    <row r="502" spans="1:23" ht="21.75" customHeight="1" x14ac:dyDescent="0.6">
      <c r="A502" s="21"/>
      <c r="B502" s="23"/>
      <c r="C502" s="21"/>
      <c r="D502" s="22"/>
      <c r="E502" s="22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</row>
    <row r="503" spans="1:23" ht="21.75" customHeight="1" x14ac:dyDescent="0.6">
      <c r="A503" s="21"/>
      <c r="B503" s="23"/>
      <c r="C503" s="21"/>
      <c r="D503" s="22"/>
      <c r="E503" s="22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</row>
    <row r="504" spans="1:23" ht="21.75" customHeight="1" x14ac:dyDescent="0.6">
      <c r="A504" s="21"/>
      <c r="B504" s="23"/>
      <c r="C504" s="21"/>
      <c r="D504" s="22"/>
      <c r="E504" s="22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</row>
    <row r="505" spans="1:23" ht="21.75" customHeight="1" x14ac:dyDescent="0.6">
      <c r="A505" s="21"/>
      <c r="B505" s="23"/>
      <c r="C505" s="21"/>
      <c r="D505" s="22"/>
      <c r="E505" s="22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</row>
    <row r="506" spans="1:23" ht="21.75" customHeight="1" x14ac:dyDescent="0.6">
      <c r="A506" s="21"/>
      <c r="B506" s="23"/>
      <c r="C506" s="21"/>
      <c r="D506" s="22"/>
      <c r="E506" s="22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</row>
    <row r="507" spans="1:23" ht="21.75" customHeight="1" x14ac:dyDescent="0.6">
      <c r="A507" s="21"/>
      <c r="B507" s="23"/>
      <c r="C507" s="21"/>
      <c r="D507" s="22"/>
      <c r="E507" s="22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</row>
    <row r="508" spans="1:23" ht="21.75" customHeight="1" x14ac:dyDescent="0.6">
      <c r="A508" s="21"/>
      <c r="B508" s="23"/>
      <c r="C508" s="21"/>
      <c r="D508" s="22"/>
      <c r="E508" s="22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</row>
    <row r="509" spans="1:23" ht="21.75" customHeight="1" x14ac:dyDescent="0.6">
      <c r="A509" s="21"/>
      <c r="B509" s="23"/>
      <c r="C509" s="21"/>
      <c r="D509" s="22"/>
      <c r="E509" s="22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</row>
    <row r="510" spans="1:23" ht="21.75" customHeight="1" x14ac:dyDescent="0.6">
      <c r="A510" s="21"/>
      <c r="B510" s="23"/>
      <c r="C510" s="21"/>
      <c r="D510" s="22"/>
      <c r="E510" s="22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</row>
    <row r="511" spans="1:23" ht="21.75" customHeight="1" x14ac:dyDescent="0.6">
      <c r="A511" s="21"/>
      <c r="B511" s="23"/>
      <c r="C511" s="21"/>
      <c r="D511" s="22"/>
      <c r="E511" s="22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</row>
    <row r="512" spans="1:23" ht="21.75" customHeight="1" x14ac:dyDescent="0.6">
      <c r="A512" s="21"/>
      <c r="B512" s="23"/>
      <c r="C512" s="21"/>
      <c r="D512" s="22"/>
      <c r="E512" s="22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</row>
    <row r="513" spans="1:23" ht="21.75" customHeight="1" x14ac:dyDescent="0.6">
      <c r="A513" s="21"/>
      <c r="B513" s="23"/>
      <c r="C513" s="21"/>
      <c r="D513" s="22"/>
      <c r="E513" s="22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</row>
    <row r="514" spans="1:23" ht="21.75" customHeight="1" x14ac:dyDescent="0.6">
      <c r="A514" s="21"/>
      <c r="B514" s="23"/>
      <c r="C514" s="21"/>
      <c r="D514" s="22"/>
      <c r="E514" s="22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</row>
    <row r="515" spans="1:23" ht="21.75" customHeight="1" x14ac:dyDescent="0.6">
      <c r="A515" s="21"/>
      <c r="B515" s="23"/>
      <c r="C515" s="21"/>
      <c r="D515" s="22"/>
      <c r="E515" s="22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</row>
    <row r="516" spans="1:23" ht="21.75" customHeight="1" x14ac:dyDescent="0.6">
      <c r="A516" s="21"/>
      <c r="B516" s="23"/>
      <c r="C516" s="21"/>
      <c r="D516" s="22"/>
      <c r="E516" s="22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</row>
    <row r="517" spans="1:23" ht="21.75" customHeight="1" x14ac:dyDescent="0.6">
      <c r="A517" s="21"/>
      <c r="B517" s="23"/>
      <c r="C517" s="21"/>
      <c r="D517" s="22"/>
      <c r="E517" s="22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</row>
    <row r="518" spans="1:23" ht="21.75" customHeight="1" x14ac:dyDescent="0.6">
      <c r="A518" s="21"/>
      <c r="B518" s="23"/>
      <c r="C518" s="21"/>
      <c r="D518" s="22"/>
      <c r="E518" s="22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</row>
    <row r="519" spans="1:23" ht="21.75" customHeight="1" x14ac:dyDescent="0.6">
      <c r="A519" s="21"/>
      <c r="B519" s="23"/>
      <c r="C519" s="21"/>
      <c r="D519" s="22"/>
      <c r="E519" s="22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</row>
    <row r="520" spans="1:23" ht="21.75" customHeight="1" x14ac:dyDescent="0.6">
      <c r="A520" s="21"/>
      <c r="B520" s="23"/>
      <c r="C520" s="21"/>
      <c r="D520" s="22"/>
      <c r="E520" s="22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</row>
    <row r="521" spans="1:23" ht="21.75" customHeight="1" x14ac:dyDescent="0.6">
      <c r="A521" s="21"/>
      <c r="B521" s="23"/>
      <c r="C521" s="21"/>
      <c r="D521" s="22"/>
      <c r="E521" s="22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</row>
    <row r="522" spans="1:23" ht="21.75" customHeight="1" x14ac:dyDescent="0.6">
      <c r="A522" s="21"/>
      <c r="B522" s="23"/>
      <c r="C522" s="21"/>
      <c r="D522" s="22"/>
      <c r="E522" s="22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</row>
    <row r="523" spans="1:23" ht="21.75" customHeight="1" x14ac:dyDescent="0.6">
      <c r="A523" s="21"/>
      <c r="B523" s="23"/>
      <c r="C523" s="21"/>
      <c r="D523" s="22"/>
      <c r="E523" s="22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</row>
    <row r="524" spans="1:23" ht="21.75" customHeight="1" x14ac:dyDescent="0.6">
      <c r="A524" s="21"/>
      <c r="B524" s="23"/>
      <c r="C524" s="21"/>
      <c r="D524" s="22"/>
      <c r="E524" s="22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</row>
    <row r="525" spans="1:23" ht="21.75" customHeight="1" x14ac:dyDescent="0.6">
      <c r="A525" s="21"/>
      <c r="B525" s="23"/>
      <c r="C525" s="21"/>
      <c r="D525" s="22"/>
      <c r="E525" s="22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</row>
    <row r="526" spans="1:23" ht="21.75" customHeight="1" x14ac:dyDescent="0.6">
      <c r="A526" s="21"/>
      <c r="B526" s="23"/>
      <c r="C526" s="21"/>
      <c r="D526" s="22"/>
      <c r="E526" s="22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</row>
    <row r="527" spans="1:23" ht="21.75" customHeight="1" x14ac:dyDescent="0.6">
      <c r="A527" s="21"/>
      <c r="B527" s="23"/>
      <c r="C527" s="21"/>
      <c r="D527" s="22"/>
      <c r="E527" s="22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</row>
    <row r="528" spans="1:23" ht="21.75" customHeight="1" x14ac:dyDescent="0.6">
      <c r="A528" s="21"/>
      <c r="B528" s="23"/>
      <c r="C528" s="21"/>
      <c r="D528" s="22"/>
      <c r="E528" s="22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</row>
    <row r="529" spans="1:23" ht="21.75" customHeight="1" x14ac:dyDescent="0.6">
      <c r="A529" s="21"/>
      <c r="B529" s="23"/>
      <c r="C529" s="21"/>
      <c r="D529" s="22"/>
      <c r="E529" s="22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</row>
    <row r="530" spans="1:23" ht="21.75" customHeight="1" x14ac:dyDescent="0.6">
      <c r="A530" s="21"/>
      <c r="B530" s="23"/>
      <c r="C530" s="21"/>
      <c r="D530" s="22"/>
      <c r="E530" s="22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</row>
    <row r="531" spans="1:23" ht="21.75" customHeight="1" x14ac:dyDescent="0.6">
      <c r="A531" s="21"/>
      <c r="B531" s="23"/>
      <c r="C531" s="21"/>
      <c r="D531" s="22"/>
      <c r="E531" s="22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</row>
    <row r="532" spans="1:23" ht="21.75" customHeight="1" x14ac:dyDescent="0.6">
      <c r="A532" s="21"/>
      <c r="B532" s="23"/>
      <c r="C532" s="21"/>
      <c r="D532" s="22"/>
      <c r="E532" s="22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</row>
    <row r="533" spans="1:23" ht="21.75" customHeight="1" x14ac:dyDescent="0.6">
      <c r="A533" s="21"/>
      <c r="B533" s="23"/>
      <c r="C533" s="21"/>
      <c r="D533" s="22"/>
      <c r="E533" s="22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</row>
    <row r="534" spans="1:23" ht="21.75" customHeight="1" x14ac:dyDescent="0.6">
      <c r="A534" s="21"/>
      <c r="B534" s="23"/>
      <c r="C534" s="21"/>
      <c r="D534" s="22"/>
      <c r="E534" s="22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</row>
    <row r="535" spans="1:23" ht="21.75" customHeight="1" x14ac:dyDescent="0.6">
      <c r="A535" s="21"/>
      <c r="B535" s="23"/>
      <c r="C535" s="21"/>
      <c r="D535" s="22"/>
      <c r="E535" s="22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</row>
    <row r="536" spans="1:23" ht="21.75" customHeight="1" x14ac:dyDescent="0.6">
      <c r="A536" s="21"/>
      <c r="B536" s="23"/>
      <c r="C536" s="21"/>
      <c r="D536" s="22"/>
      <c r="E536" s="22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</row>
    <row r="537" spans="1:23" ht="21.75" customHeight="1" x14ac:dyDescent="0.6">
      <c r="A537" s="21"/>
      <c r="B537" s="23"/>
      <c r="C537" s="21"/>
      <c r="D537" s="22"/>
      <c r="E537" s="22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</row>
    <row r="538" spans="1:23" ht="21.75" customHeight="1" x14ac:dyDescent="0.6">
      <c r="A538" s="21"/>
      <c r="B538" s="23"/>
      <c r="C538" s="21"/>
      <c r="D538" s="22"/>
      <c r="E538" s="22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</row>
    <row r="539" spans="1:23" ht="21.75" customHeight="1" x14ac:dyDescent="0.6">
      <c r="A539" s="21"/>
      <c r="B539" s="23"/>
      <c r="C539" s="21"/>
      <c r="D539" s="22"/>
      <c r="E539" s="22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</row>
    <row r="540" spans="1:23" ht="21.75" customHeight="1" x14ac:dyDescent="0.6">
      <c r="A540" s="21"/>
      <c r="B540" s="23"/>
      <c r="C540" s="21"/>
      <c r="D540" s="22"/>
      <c r="E540" s="22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</row>
    <row r="541" spans="1:23" ht="21.75" customHeight="1" x14ac:dyDescent="0.6">
      <c r="A541" s="21"/>
      <c r="B541" s="23"/>
      <c r="C541" s="21"/>
      <c r="D541" s="22"/>
      <c r="E541" s="22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</row>
    <row r="542" spans="1:23" ht="21.75" customHeight="1" x14ac:dyDescent="0.6">
      <c r="A542" s="21"/>
      <c r="B542" s="23"/>
      <c r="C542" s="21"/>
      <c r="D542" s="22"/>
      <c r="E542" s="22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</row>
    <row r="543" spans="1:23" ht="21.75" customHeight="1" x14ac:dyDescent="0.6">
      <c r="A543" s="21"/>
      <c r="B543" s="23"/>
      <c r="C543" s="21"/>
      <c r="D543" s="22"/>
      <c r="E543" s="22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</row>
    <row r="544" spans="1:23" ht="21.75" customHeight="1" x14ac:dyDescent="0.6">
      <c r="A544" s="21"/>
      <c r="B544" s="23"/>
      <c r="C544" s="21"/>
      <c r="D544" s="22"/>
      <c r="E544" s="22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</row>
    <row r="545" spans="1:23" ht="21.75" customHeight="1" x14ac:dyDescent="0.6">
      <c r="A545" s="21"/>
      <c r="B545" s="23"/>
      <c r="C545" s="21"/>
      <c r="D545" s="22"/>
      <c r="E545" s="22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</row>
    <row r="546" spans="1:23" ht="21.75" customHeight="1" x14ac:dyDescent="0.6">
      <c r="A546" s="21"/>
      <c r="B546" s="23"/>
      <c r="C546" s="21"/>
      <c r="D546" s="22"/>
      <c r="E546" s="22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</row>
    <row r="547" spans="1:23" ht="21.75" customHeight="1" x14ac:dyDescent="0.6">
      <c r="A547" s="21"/>
      <c r="B547" s="23"/>
      <c r="C547" s="21"/>
      <c r="D547" s="22"/>
      <c r="E547" s="22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</row>
    <row r="548" spans="1:23" ht="21.75" customHeight="1" x14ac:dyDescent="0.6">
      <c r="A548" s="21"/>
      <c r="B548" s="23"/>
      <c r="C548" s="21"/>
      <c r="D548" s="22"/>
      <c r="E548" s="22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</row>
    <row r="549" spans="1:23" ht="21.75" customHeight="1" x14ac:dyDescent="0.6">
      <c r="A549" s="21"/>
      <c r="B549" s="23"/>
      <c r="C549" s="21"/>
      <c r="D549" s="22"/>
      <c r="E549" s="22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</row>
    <row r="550" spans="1:23" ht="21.75" customHeight="1" x14ac:dyDescent="0.6">
      <c r="A550" s="21"/>
      <c r="B550" s="23"/>
      <c r="C550" s="21"/>
      <c r="D550" s="22"/>
      <c r="E550" s="22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</row>
    <row r="551" spans="1:23" ht="21.75" customHeight="1" x14ac:dyDescent="0.6">
      <c r="A551" s="21"/>
      <c r="B551" s="23"/>
      <c r="C551" s="21"/>
      <c r="D551" s="22"/>
      <c r="E551" s="22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</row>
    <row r="552" spans="1:23" ht="21.75" customHeight="1" x14ac:dyDescent="0.6">
      <c r="A552" s="21"/>
      <c r="B552" s="23"/>
      <c r="C552" s="21"/>
      <c r="D552" s="22"/>
      <c r="E552" s="22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</row>
    <row r="553" spans="1:23" ht="21.75" customHeight="1" x14ac:dyDescent="0.6">
      <c r="A553" s="21"/>
      <c r="B553" s="23"/>
      <c r="C553" s="21"/>
      <c r="D553" s="22"/>
      <c r="E553" s="22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</row>
    <row r="554" spans="1:23" ht="21.75" customHeight="1" x14ac:dyDescent="0.6">
      <c r="A554" s="21"/>
      <c r="B554" s="23"/>
      <c r="C554" s="21"/>
      <c r="D554" s="22"/>
      <c r="E554" s="22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</row>
    <row r="555" spans="1:23" ht="21.75" customHeight="1" x14ac:dyDescent="0.6">
      <c r="A555" s="21"/>
      <c r="B555" s="23"/>
      <c r="C555" s="21"/>
      <c r="D555" s="22"/>
      <c r="E555" s="22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</row>
    <row r="556" spans="1:23" ht="21.75" customHeight="1" x14ac:dyDescent="0.6">
      <c r="A556" s="21"/>
      <c r="B556" s="23"/>
      <c r="C556" s="21"/>
      <c r="D556" s="22"/>
      <c r="E556" s="22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</row>
    <row r="557" spans="1:23" ht="21.75" customHeight="1" x14ac:dyDescent="0.6">
      <c r="A557" s="21"/>
      <c r="B557" s="23"/>
      <c r="C557" s="21"/>
      <c r="D557" s="22"/>
      <c r="E557" s="22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</row>
    <row r="558" spans="1:23" ht="21.75" customHeight="1" x14ac:dyDescent="0.6">
      <c r="A558" s="21"/>
      <c r="B558" s="23"/>
      <c r="C558" s="21"/>
      <c r="D558" s="22"/>
      <c r="E558" s="22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</row>
    <row r="559" spans="1:23" ht="21.75" customHeight="1" x14ac:dyDescent="0.6">
      <c r="A559" s="21"/>
      <c r="B559" s="23"/>
      <c r="C559" s="21"/>
      <c r="D559" s="22"/>
      <c r="E559" s="22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</row>
    <row r="560" spans="1:23" ht="21.75" customHeight="1" x14ac:dyDescent="0.6">
      <c r="A560" s="21"/>
      <c r="B560" s="23"/>
      <c r="C560" s="21"/>
      <c r="D560" s="22"/>
      <c r="E560" s="22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</row>
    <row r="561" spans="1:23" ht="21.75" customHeight="1" x14ac:dyDescent="0.6">
      <c r="A561" s="21"/>
      <c r="B561" s="23"/>
      <c r="C561" s="21"/>
      <c r="D561" s="22"/>
      <c r="E561" s="22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</row>
    <row r="562" spans="1:23" ht="21.75" customHeight="1" x14ac:dyDescent="0.6">
      <c r="A562" s="21"/>
      <c r="B562" s="23"/>
      <c r="C562" s="21"/>
      <c r="D562" s="22"/>
      <c r="E562" s="22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</row>
    <row r="563" spans="1:23" ht="21.75" customHeight="1" x14ac:dyDescent="0.6">
      <c r="A563" s="21"/>
      <c r="B563" s="23"/>
      <c r="C563" s="21"/>
      <c r="D563" s="22"/>
      <c r="E563" s="22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</row>
    <row r="564" spans="1:23" ht="21.75" customHeight="1" x14ac:dyDescent="0.6">
      <c r="A564" s="21"/>
      <c r="B564" s="23"/>
      <c r="C564" s="21"/>
      <c r="D564" s="22"/>
      <c r="E564" s="22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</row>
    <row r="565" spans="1:23" ht="21.75" customHeight="1" x14ac:dyDescent="0.6">
      <c r="A565" s="21"/>
      <c r="B565" s="23"/>
      <c r="C565" s="21"/>
      <c r="D565" s="22"/>
      <c r="E565" s="22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</row>
    <row r="566" spans="1:23" ht="21.75" customHeight="1" x14ac:dyDescent="0.6">
      <c r="A566" s="21"/>
      <c r="B566" s="23"/>
      <c r="C566" s="21"/>
      <c r="D566" s="22"/>
      <c r="E566" s="22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</row>
    <row r="567" spans="1:23" ht="21.75" customHeight="1" x14ac:dyDescent="0.6">
      <c r="A567" s="21"/>
      <c r="B567" s="23"/>
      <c r="C567" s="21"/>
      <c r="D567" s="22"/>
      <c r="E567" s="22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</row>
    <row r="568" spans="1:23" ht="21.75" customHeight="1" x14ac:dyDescent="0.6">
      <c r="A568" s="21"/>
      <c r="B568" s="23"/>
      <c r="C568" s="21"/>
      <c r="D568" s="22"/>
      <c r="E568" s="22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</row>
    <row r="569" spans="1:23" ht="21.75" customHeight="1" x14ac:dyDescent="0.6">
      <c r="A569" s="21"/>
      <c r="B569" s="23"/>
      <c r="C569" s="21"/>
      <c r="D569" s="22"/>
      <c r="E569" s="22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</row>
    <row r="570" spans="1:23" ht="21.75" customHeight="1" x14ac:dyDescent="0.6">
      <c r="A570" s="21"/>
      <c r="B570" s="23"/>
      <c r="C570" s="21"/>
      <c r="D570" s="22"/>
      <c r="E570" s="22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</row>
    <row r="571" spans="1:23" ht="21.75" customHeight="1" x14ac:dyDescent="0.6">
      <c r="A571" s="21"/>
      <c r="B571" s="23"/>
      <c r="C571" s="21"/>
      <c r="D571" s="22"/>
      <c r="E571" s="22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</row>
    <row r="572" spans="1:23" ht="21.75" customHeight="1" x14ac:dyDescent="0.6">
      <c r="A572" s="21"/>
      <c r="B572" s="23"/>
      <c r="C572" s="21"/>
      <c r="D572" s="22"/>
      <c r="E572" s="22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</row>
    <row r="573" spans="1:23" ht="21.75" customHeight="1" x14ac:dyDescent="0.6">
      <c r="A573" s="21"/>
      <c r="B573" s="23"/>
      <c r="C573" s="21"/>
      <c r="D573" s="22"/>
      <c r="E573" s="22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</row>
    <row r="574" spans="1:23" ht="21.75" customHeight="1" x14ac:dyDescent="0.6">
      <c r="A574" s="21"/>
      <c r="B574" s="23"/>
      <c r="C574" s="21"/>
      <c r="D574" s="22"/>
      <c r="E574" s="22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</row>
    <row r="575" spans="1:23" ht="21.75" customHeight="1" x14ac:dyDescent="0.6">
      <c r="A575" s="21"/>
      <c r="B575" s="23"/>
      <c r="C575" s="21"/>
      <c r="D575" s="22"/>
      <c r="E575" s="22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</row>
    <row r="576" spans="1:23" ht="21.75" customHeight="1" x14ac:dyDescent="0.6">
      <c r="A576" s="21"/>
      <c r="B576" s="23"/>
      <c r="C576" s="21"/>
      <c r="D576" s="22"/>
      <c r="E576" s="22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</row>
    <row r="577" spans="1:23" ht="21.75" customHeight="1" x14ac:dyDescent="0.6">
      <c r="A577" s="21"/>
      <c r="B577" s="23"/>
      <c r="C577" s="21"/>
      <c r="D577" s="22"/>
      <c r="E577" s="22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</row>
    <row r="578" spans="1:23" ht="21.75" customHeight="1" x14ac:dyDescent="0.6">
      <c r="A578" s="21"/>
      <c r="B578" s="23"/>
      <c r="C578" s="21"/>
      <c r="D578" s="22"/>
      <c r="E578" s="22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</row>
    <row r="579" spans="1:23" ht="21.75" customHeight="1" x14ac:dyDescent="0.6">
      <c r="A579" s="21"/>
      <c r="B579" s="23"/>
      <c r="C579" s="21"/>
      <c r="D579" s="22"/>
      <c r="E579" s="22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</row>
    <row r="580" spans="1:23" ht="21.75" customHeight="1" x14ac:dyDescent="0.6">
      <c r="A580" s="21"/>
      <c r="B580" s="23"/>
      <c r="C580" s="21"/>
      <c r="D580" s="22"/>
      <c r="E580" s="22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</row>
    <row r="581" spans="1:23" ht="21.75" customHeight="1" x14ac:dyDescent="0.6">
      <c r="A581" s="21"/>
      <c r="B581" s="23"/>
      <c r="C581" s="21"/>
      <c r="D581" s="22"/>
      <c r="E581" s="22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</row>
    <row r="582" spans="1:23" ht="21.75" customHeight="1" x14ac:dyDescent="0.6">
      <c r="A582" s="21"/>
      <c r="B582" s="23"/>
      <c r="C582" s="21"/>
      <c r="D582" s="22"/>
      <c r="E582" s="22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</row>
    <row r="583" spans="1:23" ht="21.75" customHeight="1" x14ac:dyDescent="0.6">
      <c r="A583" s="21"/>
      <c r="B583" s="23"/>
      <c r="C583" s="21"/>
      <c r="D583" s="22"/>
      <c r="E583" s="22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</row>
    <row r="584" spans="1:23" ht="21.75" customHeight="1" x14ac:dyDescent="0.6">
      <c r="A584" s="21"/>
      <c r="B584" s="23"/>
      <c r="C584" s="21"/>
      <c r="D584" s="22"/>
      <c r="E584" s="22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</row>
    <row r="585" spans="1:23" ht="21.75" customHeight="1" x14ac:dyDescent="0.6">
      <c r="A585" s="21"/>
      <c r="B585" s="23"/>
      <c r="C585" s="21"/>
      <c r="D585" s="22"/>
      <c r="E585" s="22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</row>
    <row r="586" spans="1:23" ht="21.75" customHeight="1" x14ac:dyDescent="0.6">
      <c r="A586" s="21"/>
      <c r="B586" s="23"/>
      <c r="C586" s="21"/>
      <c r="D586" s="22"/>
      <c r="E586" s="22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</row>
    <row r="587" spans="1:23" ht="21.75" customHeight="1" x14ac:dyDescent="0.6">
      <c r="A587" s="21"/>
      <c r="B587" s="23"/>
      <c r="C587" s="21"/>
      <c r="D587" s="22"/>
      <c r="E587" s="22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</row>
    <row r="588" spans="1:23" ht="21.75" customHeight="1" x14ac:dyDescent="0.6">
      <c r="A588" s="21"/>
      <c r="B588" s="23"/>
      <c r="C588" s="21"/>
      <c r="D588" s="22"/>
      <c r="E588" s="22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</row>
    <row r="589" spans="1:23" ht="21.75" customHeight="1" x14ac:dyDescent="0.6">
      <c r="A589" s="21"/>
      <c r="B589" s="23"/>
      <c r="C589" s="21"/>
      <c r="D589" s="22"/>
      <c r="E589" s="22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</row>
    <row r="590" spans="1:23" ht="21.75" customHeight="1" x14ac:dyDescent="0.6">
      <c r="A590" s="21"/>
      <c r="B590" s="23"/>
      <c r="C590" s="21"/>
      <c r="D590" s="22"/>
      <c r="E590" s="22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</row>
    <row r="591" spans="1:23" ht="21.75" customHeight="1" x14ac:dyDescent="0.6">
      <c r="A591" s="21"/>
      <c r="B591" s="23"/>
      <c r="C591" s="21"/>
      <c r="D591" s="22"/>
      <c r="E591" s="22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</row>
    <row r="592" spans="1:23" ht="21.75" customHeight="1" x14ac:dyDescent="0.6">
      <c r="A592" s="21"/>
      <c r="B592" s="23"/>
      <c r="C592" s="21"/>
      <c r="D592" s="22"/>
      <c r="E592" s="22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</row>
    <row r="593" spans="1:23" ht="21.75" customHeight="1" x14ac:dyDescent="0.6">
      <c r="A593" s="21"/>
      <c r="B593" s="23"/>
      <c r="C593" s="21"/>
      <c r="D593" s="22"/>
      <c r="E593" s="22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</row>
    <row r="594" spans="1:23" ht="21.75" customHeight="1" x14ac:dyDescent="0.6">
      <c r="A594" s="21"/>
      <c r="B594" s="23"/>
      <c r="C594" s="21"/>
      <c r="D594" s="22"/>
      <c r="E594" s="22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</row>
    <row r="595" spans="1:23" ht="21.75" customHeight="1" x14ac:dyDescent="0.6">
      <c r="A595" s="21"/>
      <c r="B595" s="23"/>
      <c r="C595" s="21"/>
      <c r="D595" s="22"/>
      <c r="E595" s="22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</row>
    <row r="596" spans="1:23" ht="21.75" customHeight="1" x14ac:dyDescent="0.6">
      <c r="A596" s="21"/>
      <c r="B596" s="23"/>
      <c r="C596" s="21"/>
      <c r="D596" s="22"/>
      <c r="E596" s="22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</row>
    <row r="597" spans="1:23" ht="21.75" customHeight="1" x14ac:dyDescent="0.6">
      <c r="A597" s="21"/>
      <c r="B597" s="23"/>
      <c r="C597" s="21"/>
      <c r="D597" s="22"/>
      <c r="E597" s="22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</row>
    <row r="598" spans="1:23" ht="21.75" customHeight="1" x14ac:dyDescent="0.6">
      <c r="A598" s="21"/>
      <c r="B598" s="23"/>
      <c r="C598" s="21"/>
      <c r="D598" s="22"/>
      <c r="E598" s="22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</row>
    <row r="599" spans="1:23" ht="21.75" customHeight="1" x14ac:dyDescent="0.6">
      <c r="A599" s="21"/>
      <c r="B599" s="23"/>
      <c r="C599" s="21"/>
      <c r="D599" s="22"/>
      <c r="E599" s="22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</row>
    <row r="600" spans="1:23" ht="21.75" customHeight="1" x14ac:dyDescent="0.6">
      <c r="A600" s="21"/>
      <c r="B600" s="23"/>
      <c r="C600" s="21"/>
      <c r="D600" s="22"/>
      <c r="E600" s="22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</row>
    <row r="601" spans="1:23" ht="21.75" customHeight="1" x14ac:dyDescent="0.6">
      <c r="A601" s="21"/>
      <c r="B601" s="23"/>
      <c r="C601" s="21"/>
      <c r="D601" s="22"/>
      <c r="E601" s="22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</row>
    <row r="602" spans="1:23" ht="21.75" customHeight="1" x14ac:dyDescent="0.6">
      <c r="A602" s="21"/>
      <c r="B602" s="23"/>
      <c r="C602" s="21"/>
      <c r="D602" s="22"/>
      <c r="E602" s="22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</row>
    <row r="603" spans="1:23" ht="21.75" customHeight="1" x14ac:dyDescent="0.6">
      <c r="A603" s="21"/>
      <c r="B603" s="23"/>
      <c r="C603" s="21"/>
      <c r="D603" s="22"/>
      <c r="E603" s="22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</row>
    <row r="604" spans="1:23" ht="21.75" customHeight="1" x14ac:dyDescent="0.6">
      <c r="A604" s="21"/>
      <c r="B604" s="23"/>
      <c r="C604" s="21"/>
      <c r="D604" s="22"/>
      <c r="E604" s="22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</row>
    <row r="605" spans="1:23" ht="21.75" customHeight="1" x14ac:dyDescent="0.6">
      <c r="A605" s="21"/>
      <c r="B605" s="23"/>
      <c r="C605" s="21"/>
      <c r="D605" s="22"/>
      <c r="E605" s="22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</row>
    <row r="606" spans="1:23" ht="21.75" customHeight="1" x14ac:dyDescent="0.6">
      <c r="A606" s="21"/>
      <c r="B606" s="23"/>
      <c r="C606" s="21"/>
      <c r="D606" s="22"/>
      <c r="E606" s="22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</row>
    <row r="607" spans="1:23" ht="21.75" customHeight="1" x14ac:dyDescent="0.6">
      <c r="A607" s="21"/>
      <c r="B607" s="23"/>
      <c r="C607" s="21"/>
      <c r="D607" s="22"/>
      <c r="E607" s="22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</row>
    <row r="608" spans="1:23" ht="21.75" customHeight="1" x14ac:dyDescent="0.6">
      <c r="A608" s="21"/>
      <c r="B608" s="23"/>
      <c r="C608" s="21"/>
      <c r="D608" s="22"/>
      <c r="E608" s="22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</row>
    <row r="609" spans="1:23" ht="21.75" customHeight="1" x14ac:dyDescent="0.6">
      <c r="A609" s="21"/>
      <c r="B609" s="23"/>
      <c r="C609" s="21"/>
      <c r="D609" s="22"/>
      <c r="E609" s="22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</row>
    <row r="610" spans="1:23" ht="21.75" customHeight="1" x14ac:dyDescent="0.6">
      <c r="A610" s="21"/>
      <c r="B610" s="23"/>
      <c r="C610" s="21"/>
      <c r="D610" s="22"/>
      <c r="E610" s="22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</row>
    <row r="611" spans="1:23" ht="21.75" customHeight="1" x14ac:dyDescent="0.6">
      <c r="A611" s="21"/>
      <c r="B611" s="23"/>
      <c r="C611" s="21"/>
      <c r="D611" s="22"/>
      <c r="E611" s="22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</row>
    <row r="612" spans="1:23" ht="21.75" customHeight="1" x14ac:dyDescent="0.6">
      <c r="A612" s="21"/>
      <c r="B612" s="23"/>
      <c r="C612" s="21"/>
      <c r="D612" s="22"/>
      <c r="E612" s="22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</row>
    <row r="613" spans="1:23" ht="21.75" customHeight="1" x14ac:dyDescent="0.6">
      <c r="A613" s="21"/>
      <c r="B613" s="23"/>
      <c r="C613" s="21"/>
      <c r="D613" s="22"/>
      <c r="E613" s="22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</row>
    <row r="614" spans="1:23" ht="21.75" customHeight="1" x14ac:dyDescent="0.6">
      <c r="A614" s="21"/>
      <c r="B614" s="23"/>
      <c r="C614" s="21"/>
      <c r="D614" s="22"/>
      <c r="E614" s="22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</row>
    <row r="615" spans="1:23" ht="21.75" customHeight="1" x14ac:dyDescent="0.6">
      <c r="A615" s="21"/>
      <c r="B615" s="23"/>
      <c r="C615" s="21"/>
      <c r="D615" s="22"/>
      <c r="E615" s="22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</row>
    <row r="616" spans="1:23" ht="21.75" customHeight="1" x14ac:dyDescent="0.6">
      <c r="A616" s="21"/>
      <c r="B616" s="23"/>
      <c r="C616" s="21"/>
      <c r="D616" s="22"/>
      <c r="E616" s="22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</row>
    <row r="617" spans="1:23" ht="21.75" customHeight="1" x14ac:dyDescent="0.6">
      <c r="A617" s="21"/>
      <c r="B617" s="23"/>
      <c r="C617" s="21"/>
      <c r="D617" s="22"/>
      <c r="E617" s="22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</row>
    <row r="618" spans="1:23" ht="21.75" customHeight="1" x14ac:dyDescent="0.6">
      <c r="A618" s="21"/>
      <c r="B618" s="23"/>
      <c r="C618" s="21"/>
      <c r="D618" s="22"/>
      <c r="E618" s="22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</row>
    <row r="619" spans="1:23" ht="21.75" customHeight="1" x14ac:dyDescent="0.6">
      <c r="A619" s="21"/>
      <c r="B619" s="23"/>
      <c r="C619" s="21"/>
      <c r="D619" s="22"/>
      <c r="E619" s="22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</row>
    <row r="620" spans="1:23" ht="21.75" customHeight="1" x14ac:dyDescent="0.6">
      <c r="A620" s="21"/>
      <c r="B620" s="23"/>
      <c r="C620" s="21"/>
      <c r="D620" s="22"/>
      <c r="E620" s="22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</row>
    <row r="621" spans="1:23" ht="21.75" customHeight="1" x14ac:dyDescent="0.6">
      <c r="A621" s="21"/>
      <c r="B621" s="23"/>
      <c r="C621" s="21"/>
      <c r="D621" s="22"/>
      <c r="E621" s="22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</row>
    <row r="622" spans="1:23" ht="21.75" customHeight="1" x14ac:dyDescent="0.6">
      <c r="A622" s="21"/>
      <c r="B622" s="23"/>
      <c r="C622" s="21"/>
      <c r="D622" s="22"/>
      <c r="E622" s="22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</row>
    <row r="623" spans="1:23" ht="21.75" customHeight="1" x14ac:dyDescent="0.6">
      <c r="A623" s="21"/>
      <c r="B623" s="23"/>
      <c r="C623" s="21"/>
      <c r="D623" s="22"/>
      <c r="E623" s="22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</row>
    <row r="624" spans="1:23" ht="21.75" customHeight="1" x14ac:dyDescent="0.6">
      <c r="A624" s="21"/>
      <c r="B624" s="23"/>
      <c r="C624" s="21"/>
      <c r="D624" s="22"/>
      <c r="E624" s="22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</row>
    <row r="625" spans="1:23" ht="21.75" customHeight="1" x14ac:dyDescent="0.6">
      <c r="A625" s="21"/>
      <c r="B625" s="23"/>
      <c r="C625" s="21"/>
      <c r="D625" s="22"/>
      <c r="E625" s="22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</row>
    <row r="626" spans="1:23" ht="21.75" customHeight="1" x14ac:dyDescent="0.6">
      <c r="A626" s="21"/>
      <c r="B626" s="23"/>
      <c r="C626" s="21"/>
      <c r="D626" s="22"/>
      <c r="E626" s="22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</row>
    <row r="627" spans="1:23" ht="21.75" customHeight="1" x14ac:dyDescent="0.6">
      <c r="A627" s="21"/>
      <c r="B627" s="23"/>
      <c r="C627" s="21"/>
      <c r="D627" s="22"/>
      <c r="E627" s="22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</row>
    <row r="628" spans="1:23" ht="21.75" customHeight="1" x14ac:dyDescent="0.6">
      <c r="A628" s="21"/>
      <c r="B628" s="23"/>
      <c r="C628" s="21"/>
      <c r="D628" s="22"/>
      <c r="E628" s="22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</row>
    <row r="629" spans="1:23" ht="21.75" customHeight="1" x14ac:dyDescent="0.6">
      <c r="A629" s="21"/>
      <c r="B629" s="23"/>
      <c r="C629" s="21"/>
      <c r="D629" s="22"/>
      <c r="E629" s="22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</row>
    <row r="630" spans="1:23" ht="21.75" customHeight="1" x14ac:dyDescent="0.6">
      <c r="A630" s="21"/>
      <c r="B630" s="23"/>
      <c r="C630" s="21"/>
      <c r="D630" s="22"/>
      <c r="E630" s="22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</row>
    <row r="631" spans="1:23" ht="21.75" customHeight="1" x14ac:dyDescent="0.6">
      <c r="A631" s="21"/>
      <c r="B631" s="23"/>
      <c r="C631" s="21"/>
      <c r="D631" s="22"/>
      <c r="E631" s="22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</row>
    <row r="632" spans="1:23" ht="21.75" customHeight="1" x14ac:dyDescent="0.6">
      <c r="A632" s="21"/>
      <c r="B632" s="23"/>
      <c r="C632" s="21"/>
      <c r="D632" s="22"/>
      <c r="E632" s="22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</row>
    <row r="633" spans="1:23" ht="21.75" customHeight="1" x14ac:dyDescent="0.6">
      <c r="A633" s="21"/>
      <c r="B633" s="23"/>
      <c r="C633" s="21"/>
      <c r="D633" s="22"/>
      <c r="E633" s="22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</row>
    <row r="634" spans="1:23" ht="21.75" customHeight="1" x14ac:dyDescent="0.6">
      <c r="A634" s="21"/>
      <c r="B634" s="23"/>
      <c r="C634" s="21"/>
      <c r="D634" s="22"/>
      <c r="E634" s="22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</row>
    <row r="635" spans="1:23" ht="21.75" customHeight="1" x14ac:dyDescent="0.6">
      <c r="A635" s="21"/>
      <c r="B635" s="23"/>
      <c r="C635" s="21"/>
      <c r="D635" s="22"/>
      <c r="E635" s="22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</row>
    <row r="636" spans="1:23" ht="21.75" customHeight="1" x14ac:dyDescent="0.6">
      <c r="A636" s="21"/>
      <c r="B636" s="23"/>
      <c r="C636" s="21"/>
      <c r="D636" s="22"/>
      <c r="E636" s="22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</row>
    <row r="637" spans="1:23" ht="21.75" customHeight="1" x14ac:dyDescent="0.6">
      <c r="A637" s="21"/>
      <c r="B637" s="23"/>
      <c r="C637" s="21"/>
      <c r="D637" s="22"/>
      <c r="E637" s="22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</row>
    <row r="638" spans="1:23" ht="21.75" customHeight="1" x14ac:dyDescent="0.6">
      <c r="A638" s="21"/>
      <c r="B638" s="23"/>
      <c r="C638" s="21"/>
      <c r="D638" s="22"/>
      <c r="E638" s="22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</row>
    <row r="639" spans="1:23" ht="21.75" customHeight="1" x14ac:dyDescent="0.6">
      <c r="A639" s="21"/>
      <c r="B639" s="23"/>
      <c r="C639" s="21"/>
      <c r="D639" s="22"/>
      <c r="E639" s="22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</row>
    <row r="640" spans="1:23" ht="21.75" customHeight="1" x14ac:dyDescent="0.6">
      <c r="A640" s="21"/>
      <c r="B640" s="23"/>
      <c r="C640" s="21"/>
      <c r="D640" s="22"/>
      <c r="E640" s="22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</row>
    <row r="641" spans="1:23" ht="21.75" customHeight="1" x14ac:dyDescent="0.6">
      <c r="A641" s="21"/>
      <c r="B641" s="23"/>
      <c r="C641" s="21"/>
      <c r="D641" s="22"/>
      <c r="E641" s="22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</row>
    <row r="642" spans="1:23" ht="21.75" customHeight="1" x14ac:dyDescent="0.6">
      <c r="A642" s="21"/>
      <c r="B642" s="23"/>
      <c r="C642" s="21"/>
      <c r="D642" s="22"/>
      <c r="E642" s="22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</row>
    <row r="643" spans="1:23" ht="21.75" customHeight="1" x14ac:dyDescent="0.6">
      <c r="A643" s="21"/>
      <c r="B643" s="23"/>
      <c r="C643" s="21"/>
      <c r="D643" s="22"/>
      <c r="E643" s="22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</row>
    <row r="644" spans="1:23" ht="21.75" customHeight="1" x14ac:dyDescent="0.6">
      <c r="A644" s="21"/>
      <c r="B644" s="23"/>
      <c r="C644" s="21"/>
      <c r="D644" s="22"/>
      <c r="E644" s="22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</row>
    <row r="645" spans="1:23" ht="21.75" customHeight="1" x14ac:dyDescent="0.6">
      <c r="A645" s="21"/>
      <c r="B645" s="23"/>
      <c r="C645" s="21"/>
      <c r="D645" s="22"/>
      <c r="E645" s="22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</row>
    <row r="646" spans="1:23" ht="21.75" customHeight="1" x14ac:dyDescent="0.6">
      <c r="A646" s="21"/>
      <c r="B646" s="23"/>
      <c r="C646" s="21"/>
      <c r="D646" s="22"/>
      <c r="E646" s="22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</row>
    <row r="647" spans="1:23" ht="21.75" customHeight="1" x14ac:dyDescent="0.6">
      <c r="A647" s="21"/>
      <c r="B647" s="23"/>
      <c r="C647" s="21"/>
      <c r="D647" s="22"/>
      <c r="E647" s="22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</row>
    <row r="648" spans="1:23" ht="21.75" customHeight="1" x14ac:dyDescent="0.6">
      <c r="A648" s="21"/>
      <c r="B648" s="23"/>
      <c r="C648" s="21"/>
      <c r="D648" s="22"/>
      <c r="E648" s="22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</row>
    <row r="649" spans="1:23" ht="21.75" customHeight="1" x14ac:dyDescent="0.6">
      <c r="A649" s="21"/>
      <c r="B649" s="23"/>
      <c r="C649" s="21"/>
      <c r="D649" s="22"/>
      <c r="E649" s="22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</row>
    <row r="650" spans="1:23" ht="21.75" customHeight="1" x14ac:dyDescent="0.6">
      <c r="A650" s="21"/>
      <c r="B650" s="23"/>
      <c r="C650" s="21"/>
      <c r="D650" s="22"/>
      <c r="E650" s="22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</row>
    <row r="651" spans="1:23" ht="21.75" customHeight="1" x14ac:dyDescent="0.6">
      <c r="A651" s="21"/>
      <c r="B651" s="23"/>
      <c r="C651" s="21"/>
      <c r="D651" s="22"/>
      <c r="E651" s="22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</row>
    <row r="652" spans="1:23" ht="21.75" customHeight="1" x14ac:dyDescent="0.6">
      <c r="A652" s="21"/>
      <c r="B652" s="23"/>
      <c r="C652" s="21"/>
      <c r="D652" s="22"/>
      <c r="E652" s="22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</row>
    <row r="653" spans="1:23" ht="21.75" customHeight="1" x14ac:dyDescent="0.6">
      <c r="A653" s="21"/>
      <c r="B653" s="23"/>
      <c r="C653" s="21"/>
      <c r="D653" s="22"/>
      <c r="E653" s="22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</row>
    <row r="654" spans="1:23" ht="21.75" customHeight="1" x14ac:dyDescent="0.6">
      <c r="A654" s="21"/>
      <c r="B654" s="23"/>
      <c r="C654" s="21"/>
      <c r="D654" s="22"/>
      <c r="E654" s="22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</row>
    <row r="655" spans="1:23" ht="21.75" customHeight="1" x14ac:dyDescent="0.6">
      <c r="A655" s="21"/>
      <c r="B655" s="23"/>
      <c r="C655" s="21"/>
      <c r="D655" s="22"/>
      <c r="E655" s="22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</row>
    <row r="656" spans="1:23" ht="21.75" customHeight="1" x14ac:dyDescent="0.6">
      <c r="A656" s="21"/>
      <c r="B656" s="23"/>
      <c r="C656" s="21"/>
      <c r="D656" s="22"/>
      <c r="E656" s="22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</row>
    <row r="657" spans="1:23" ht="21.75" customHeight="1" x14ac:dyDescent="0.6">
      <c r="A657" s="21"/>
      <c r="B657" s="23"/>
      <c r="C657" s="21"/>
      <c r="D657" s="22"/>
      <c r="E657" s="22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</row>
    <row r="658" spans="1:23" ht="21.75" customHeight="1" x14ac:dyDescent="0.6">
      <c r="A658" s="21"/>
      <c r="B658" s="23"/>
      <c r="C658" s="21"/>
      <c r="D658" s="22"/>
      <c r="E658" s="22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</row>
    <row r="659" spans="1:23" ht="21.75" customHeight="1" x14ac:dyDescent="0.6">
      <c r="A659" s="21"/>
      <c r="B659" s="23"/>
      <c r="C659" s="21"/>
      <c r="D659" s="22"/>
      <c r="E659" s="22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</row>
    <row r="660" spans="1:23" ht="21.75" customHeight="1" x14ac:dyDescent="0.6">
      <c r="A660" s="21"/>
      <c r="B660" s="23"/>
      <c r="C660" s="21"/>
      <c r="D660" s="22"/>
      <c r="E660" s="22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</row>
    <row r="661" spans="1:23" ht="21.75" customHeight="1" x14ac:dyDescent="0.6">
      <c r="A661" s="21"/>
      <c r="B661" s="23"/>
      <c r="C661" s="21"/>
      <c r="D661" s="22"/>
      <c r="E661" s="22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</row>
    <row r="662" spans="1:23" ht="21.75" customHeight="1" x14ac:dyDescent="0.6">
      <c r="A662" s="21"/>
      <c r="B662" s="23"/>
      <c r="C662" s="21"/>
      <c r="D662" s="22"/>
      <c r="E662" s="22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</row>
    <row r="663" spans="1:23" ht="21.75" customHeight="1" x14ac:dyDescent="0.6">
      <c r="A663" s="21"/>
      <c r="B663" s="23"/>
      <c r="C663" s="21"/>
      <c r="D663" s="22"/>
      <c r="E663" s="22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</row>
    <row r="664" spans="1:23" ht="21.75" customHeight="1" x14ac:dyDescent="0.6">
      <c r="A664" s="21"/>
      <c r="B664" s="23"/>
      <c r="C664" s="21"/>
      <c r="D664" s="22"/>
      <c r="E664" s="22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</row>
    <row r="665" spans="1:23" ht="21.75" customHeight="1" x14ac:dyDescent="0.6">
      <c r="A665" s="21"/>
      <c r="B665" s="23"/>
      <c r="C665" s="21"/>
      <c r="D665" s="22"/>
      <c r="E665" s="22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</row>
    <row r="666" spans="1:23" ht="21.75" customHeight="1" x14ac:dyDescent="0.6">
      <c r="A666" s="21"/>
      <c r="B666" s="23"/>
      <c r="C666" s="21"/>
      <c r="D666" s="22"/>
      <c r="E666" s="22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</row>
    <row r="667" spans="1:23" ht="21.75" customHeight="1" x14ac:dyDescent="0.6">
      <c r="A667" s="21"/>
      <c r="B667" s="23"/>
      <c r="C667" s="21"/>
      <c r="D667" s="22"/>
      <c r="E667" s="22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</row>
    <row r="668" spans="1:23" ht="21.75" customHeight="1" x14ac:dyDescent="0.6">
      <c r="A668" s="21"/>
      <c r="B668" s="23"/>
      <c r="C668" s="21"/>
      <c r="D668" s="22"/>
      <c r="E668" s="22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</row>
    <row r="669" spans="1:23" ht="21.75" customHeight="1" x14ac:dyDescent="0.6">
      <c r="A669" s="21"/>
      <c r="B669" s="23"/>
      <c r="C669" s="21"/>
      <c r="D669" s="22"/>
      <c r="E669" s="22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</row>
    <row r="670" spans="1:23" ht="21.75" customHeight="1" x14ac:dyDescent="0.6">
      <c r="A670" s="21"/>
      <c r="B670" s="23"/>
      <c r="C670" s="21"/>
      <c r="D670" s="22"/>
      <c r="E670" s="22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</row>
    <row r="671" spans="1:23" ht="21.75" customHeight="1" x14ac:dyDescent="0.6">
      <c r="A671" s="21"/>
      <c r="B671" s="23"/>
      <c r="C671" s="21"/>
      <c r="D671" s="22"/>
      <c r="E671" s="22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</row>
    <row r="672" spans="1:23" ht="21.75" customHeight="1" x14ac:dyDescent="0.6">
      <c r="A672" s="21"/>
      <c r="B672" s="23"/>
      <c r="C672" s="21"/>
      <c r="D672" s="22"/>
      <c r="E672" s="22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</row>
    <row r="673" spans="1:23" ht="21.75" customHeight="1" x14ac:dyDescent="0.6">
      <c r="A673" s="21"/>
      <c r="B673" s="23"/>
      <c r="C673" s="21"/>
      <c r="D673" s="22"/>
      <c r="E673" s="22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</row>
    <row r="674" spans="1:23" ht="21.75" customHeight="1" x14ac:dyDescent="0.6">
      <c r="A674" s="21"/>
      <c r="B674" s="23"/>
      <c r="C674" s="21"/>
      <c r="D674" s="22"/>
      <c r="E674" s="22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</row>
    <row r="675" spans="1:23" ht="21.75" customHeight="1" x14ac:dyDescent="0.6">
      <c r="A675" s="21"/>
      <c r="B675" s="23"/>
      <c r="C675" s="21"/>
      <c r="D675" s="22"/>
      <c r="E675" s="22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</row>
    <row r="676" spans="1:23" ht="21.75" customHeight="1" x14ac:dyDescent="0.6">
      <c r="A676" s="21"/>
      <c r="B676" s="23"/>
      <c r="C676" s="21"/>
      <c r="D676" s="22"/>
      <c r="E676" s="22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</row>
    <row r="677" spans="1:23" ht="21.75" customHeight="1" x14ac:dyDescent="0.6">
      <c r="A677" s="21"/>
      <c r="B677" s="23"/>
      <c r="C677" s="21"/>
      <c r="D677" s="22"/>
      <c r="E677" s="22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</row>
    <row r="678" spans="1:23" ht="21.75" customHeight="1" x14ac:dyDescent="0.6">
      <c r="A678" s="21"/>
      <c r="B678" s="23"/>
      <c r="C678" s="21"/>
      <c r="D678" s="22"/>
      <c r="E678" s="22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</row>
    <row r="679" spans="1:23" ht="21.75" customHeight="1" x14ac:dyDescent="0.6">
      <c r="A679" s="21"/>
      <c r="B679" s="23"/>
      <c r="C679" s="21"/>
      <c r="D679" s="22"/>
      <c r="E679" s="22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</row>
    <row r="680" spans="1:23" ht="21.75" customHeight="1" x14ac:dyDescent="0.6">
      <c r="A680" s="21"/>
      <c r="B680" s="23"/>
      <c r="C680" s="21"/>
      <c r="D680" s="22"/>
      <c r="E680" s="22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</row>
    <row r="681" spans="1:23" ht="21.75" customHeight="1" x14ac:dyDescent="0.6">
      <c r="A681" s="21"/>
      <c r="B681" s="23"/>
      <c r="C681" s="21"/>
      <c r="D681" s="22"/>
      <c r="E681" s="22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</row>
    <row r="682" spans="1:23" ht="21.75" customHeight="1" x14ac:dyDescent="0.6">
      <c r="A682" s="21"/>
      <c r="B682" s="23"/>
      <c r="C682" s="21"/>
      <c r="D682" s="22"/>
      <c r="E682" s="22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</row>
    <row r="683" spans="1:23" ht="21.75" customHeight="1" x14ac:dyDescent="0.6">
      <c r="A683" s="21"/>
      <c r="B683" s="23"/>
      <c r="C683" s="21"/>
      <c r="D683" s="22"/>
      <c r="E683" s="22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</row>
    <row r="684" spans="1:23" ht="21.75" customHeight="1" x14ac:dyDescent="0.6">
      <c r="A684" s="21"/>
      <c r="B684" s="23"/>
      <c r="C684" s="21"/>
      <c r="D684" s="22"/>
      <c r="E684" s="22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</row>
    <row r="685" spans="1:23" ht="21.75" customHeight="1" x14ac:dyDescent="0.6">
      <c r="A685" s="21"/>
      <c r="B685" s="23"/>
      <c r="C685" s="21"/>
      <c r="D685" s="22"/>
      <c r="E685" s="22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</row>
    <row r="686" spans="1:23" ht="21.75" customHeight="1" x14ac:dyDescent="0.6">
      <c r="A686" s="21"/>
      <c r="B686" s="23"/>
      <c r="C686" s="21"/>
      <c r="D686" s="22"/>
      <c r="E686" s="22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</row>
    <row r="687" spans="1:23" ht="21.75" customHeight="1" x14ac:dyDescent="0.6">
      <c r="A687" s="21"/>
      <c r="B687" s="23"/>
      <c r="C687" s="21"/>
      <c r="D687" s="22"/>
      <c r="E687" s="22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</row>
    <row r="688" spans="1:23" ht="21.75" customHeight="1" x14ac:dyDescent="0.6">
      <c r="A688" s="21"/>
      <c r="B688" s="23"/>
      <c r="C688" s="21"/>
      <c r="D688" s="22"/>
      <c r="E688" s="22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</row>
    <row r="689" spans="1:23" ht="21.75" customHeight="1" x14ac:dyDescent="0.6">
      <c r="A689" s="21"/>
      <c r="B689" s="23"/>
      <c r="C689" s="21"/>
      <c r="D689" s="22"/>
      <c r="E689" s="22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</row>
    <row r="690" spans="1:23" ht="21.75" customHeight="1" x14ac:dyDescent="0.6">
      <c r="A690" s="21"/>
      <c r="B690" s="23"/>
      <c r="C690" s="21"/>
      <c r="D690" s="22"/>
      <c r="E690" s="22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</row>
    <row r="691" spans="1:23" ht="21.75" customHeight="1" x14ac:dyDescent="0.6">
      <c r="A691" s="21"/>
      <c r="B691" s="23"/>
      <c r="C691" s="21"/>
      <c r="D691" s="22"/>
      <c r="E691" s="22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</row>
    <row r="692" spans="1:23" ht="21.75" customHeight="1" x14ac:dyDescent="0.6">
      <c r="A692" s="21"/>
      <c r="B692" s="23"/>
      <c r="C692" s="21"/>
      <c r="D692" s="22"/>
      <c r="E692" s="22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</row>
    <row r="693" spans="1:23" ht="21.75" customHeight="1" x14ac:dyDescent="0.6">
      <c r="A693" s="21"/>
      <c r="B693" s="23"/>
      <c r="C693" s="21"/>
      <c r="D693" s="22"/>
      <c r="E693" s="22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</row>
    <row r="694" spans="1:23" ht="21.75" customHeight="1" x14ac:dyDescent="0.6">
      <c r="A694" s="21"/>
      <c r="B694" s="23"/>
      <c r="C694" s="21"/>
      <c r="D694" s="22"/>
      <c r="E694" s="22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</row>
    <row r="695" spans="1:23" ht="21.75" customHeight="1" x14ac:dyDescent="0.6">
      <c r="A695" s="21"/>
      <c r="B695" s="23"/>
      <c r="C695" s="21"/>
      <c r="D695" s="22"/>
      <c r="E695" s="22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</row>
    <row r="696" spans="1:23" ht="21.75" customHeight="1" x14ac:dyDescent="0.6">
      <c r="A696" s="21"/>
      <c r="B696" s="23"/>
      <c r="C696" s="21"/>
      <c r="D696" s="22"/>
      <c r="E696" s="22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</row>
    <row r="697" spans="1:23" ht="21.75" customHeight="1" x14ac:dyDescent="0.6">
      <c r="A697" s="21"/>
      <c r="B697" s="23"/>
      <c r="C697" s="21"/>
      <c r="D697" s="22"/>
      <c r="E697" s="22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</row>
    <row r="698" spans="1:23" ht="21.75" customHeight="1" x14ac:dyDescent="0.6">
      <c r="A698" s="21"/>
      <c r="B698" s="23"/>
      <c r="C698" s="21"/>
      <c r="D698" s="22"/>
      <c r="E698" s="22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</row>
    <row r="699" spans="1:23" ht="21.75" customHeight="1" x14ac:dyDescent="0.6">
      <c r="A699" s="21"/>
      <c r="B699" s="23"/>
      <c r="C699" s="21"/>
      <c r="D699" s="22"/>
      <c r="E699" s="22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</row>
    <row r="700" spans="1:23" ht="21.75" customHeight="1" x14ac:dyDescent="0.6">
      <c r="A700" s="21"/>
      <c r="B700" s="23"/>
      <c r="C700" s="21"/>
      <c r="D700" s="22"/>
      <c r="E700" s="22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</row>
    <row r="701" spans="1:23" ht="21.75" customHeight="1" x14ac:dyDescent="0.6">
      <c r="A701" s="21"/>
      <c r="B701" s="23"/>
      <c r="C701" s="21"/>
      <c r="D701" s="22"/>
      <c r="E701" s="22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</row>
    <row r="702" spans="1:23" ht="21.75" customHeight="1" x14ac:dyDescent="0.6">
      <c r="A702" s="21"/>
      <c r="B702" s="23"/>
      <c r="C702" s="21"/>
      <c r="D702" s="22"/>
      <c r="E702" s="22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</row>
    <row r="703" spans="1:23" ht="21.75" customHeight="1" x14ac:dyDescent="0.6">
      <c r="A703" s="21"/>
      <c r="B703" s="23"/>
      <c r="C703" s="21"/>
      <c r="D703" s="22"/>
      <c r="E703" s="22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</row>
    <row r="704" spans="1:23" ht="21.75" customHeight="1" x14ac:dyDescent="0.6">
      <c r="A704" s="21"/>
      <c r="B704" s="23"/>
      <c r="C704" s="21"/>
      <c r="D704" s="22"/>
      <c r="E704" s="22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</row>
    <row r="705" spans="1:23" ht="21.75" customHeight="1" x14ac:dyDescent="0.6">
      <c r="A705" s="21"/>
      <c r="B705" s="23"/>
      <c r="C705" s="21"/>
      <c r="D705" s="22"/>
      <c r="E705" s="22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</row>
    <row r="706" spans="1:23" ht="21.75" customHeight="1" x14ac:dyDescent="0.6">
      <c r="A706" s="21"/>
      <c r="B706" s="23"/>
      <c r="C706" s="21"/>
      <c r="D706" s="22"/>
      <c r="E706" s="22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</row>
    <row r="707" spans="1:23" ht="21.75" customHeight="1" x14ac:dyDescent="0.6">
      <c r="A707" s="21"/>
      <c r="B707" s="23"/>
      <c r="C707" s="21"/>
      <c r="D707" s="22"/>
      <c r="E707" s="22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</row>
    <row r="708" spans="1:23" ht="21.75" customHeight="1" x14ac:dyDescent="0.6">
      <c r="A708" s="21"/>
      <c r="B708" s="23"/>
      <c r="C708" s="21"/>
      <c r="D708" s="22"/>
      <c r="E708" s="22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</row>
    <row r="709" spans="1:23" ht="21.75" customHeight="1" x14ac:dyDescent="0.6">
      <c r="A709" s="21"/>
      <c r="B709" s="23"/>
      <c r="C709" s="21"/>
      <c r="D709" s="22"/>
      <c r="E709" s="22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</row>
    <row r="710" spans="1:23" ht="21.75" customHeight="1" x14ac:dyDescent="0.6">
      <c r="A710" s="21"/>
      <c r="B710" s="23"/>
      <c r="C710" s="21"/>
      <c r="D710" s="22"/>
      <c r="E710" s="22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</row>
    <row r="711" spans="1:23" ht="21.75" customHeight="1" x14ac:dyDescent="0.6">
      <c r="A711" s="21"/>
      <c r="B711" s="23"/>
      <c r="C711" s="21"/>
      <c r="D711" s="22"/>
      <c r="E711" s="22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</row>
    <row r="712" spans="1:23" ht="21.75" customHeight="1" x14ac:dyDescent="0.6">
      <c r="A712" s="21"/>
      <c r="B712" s="23"/>
      <c r="C712" s="21"/>
      <c r="D712" s="22"/>
      <c r="E712" s="22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</row>
    <row r="713" spans="1:23" ht="21.75" customHeight="1" x14ac:dyDescent="0.6">
      <c r="A713" s="21"/>
      <c r="B713" s="23"/>
      <c r="C713" s="21"/>
      <c r="D713" s="22"/>
      <c r="E713" s="22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</row>
    <row r="714" spans="1:23" ht="21.75" customHeight="1" x14ac:dyDescent="0.6">
      <c r="A714" s="21"/>
      <c r="B714" s="23"/>
      <c r="C714" s="21"/>
      <c r="D714" s="22"/>
      <c r="E714" s="22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</row>
    <row r="715" spans="1:23" ht="21.75" customHeight="1" x14ac:dyDescent="0.6">
      <c r="A715" s="21"/>
      <c r="B715" s="23"/>
      <c r="C715" s="21"/>
      <c r="D715" s="22"/>
      <c r="E715" s="22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</row>
    <row r="716" spans="1:23" ht="21.75" customHeight="1" x14ac:dyDescent="0.6">
      <c r="A716" s="21"/>
      <c r="B716" s="23"/>
      <c r="C716" s="21"/>
      <c r="D716" s="22"/>
      <c r="E716" s="22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</row>
    <row r="717" spans="1:23" ht="21.75" customHeight="1" x14ac:dyDescent="0.6">
      <c r="A717" s="21"/>
      <c r="B717" s="23"/>
      <c r="C717" s="21"/>
      <c r="D717" s="22"/>
      <c r="E717" s="22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</row>
    <row r="718" spans="1:23" ht="21.75" customHeight="1" x14ac:dyDescent="0.6">
      <c r="A718" s="21"/>
      <c r="B718" s="23"/>
      <c r="C718" s="21"/>
      <c r="D718" s="22"/>
      <c r="E718" s="22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</row>
    <row r="719" spans="1:23" ht="21.75" customHeight="1" x14ac:dyDescent="0.6">
      <c r="A719" s="21"/>
      <c r="B719" s="23"/>
      <c r="C719" s="21"/>
      <c r="D719" s="22"/>
      <c r="E719" s="22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</row>
    <row r="720" spans="1:23" ht="21.75" customHeight="1" x14ac:dyDescent="0.6">
      <c r="A720" s="21"/>
      <c r="B720" s="23"/>
      <c r="C720" s="21"/>
      <c r="D720" s="22"/>
      <c r="E720" s="22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</row>
    <row r="721" spans="1:23" ht="21.75" customHeight="1" x14ac:dyDescent="0.6">
      <c r="A721" s="21"/>
      <c r="B721" s="23"/>
      <c r="C721" s="21"/>
      <c r="D721" s="22"/>
      <c r="E721" s="22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</row>
    <row r="722" spans="1:23" ht="21.75" customHeight="1" x14ac:dyDescent="0.6">
      <c r="A722" s="21"/>
      <c r="B722" s="23"/>
      <c r="C722" s="21"/>
      <c r="D722" s="22"/>
      <c r="E722" s="22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</row>
    <row r="723" spans="1:23" ht="21.75" customHeight="1" x14ac:dyDescent="0.6">
      <c r="A723" s="21"/>
      <c r="B723" s="23"/>
      <c r="C723" s="21"/>
      <c r="D723" s="22"/>
      <c r="E723" s="22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</row>
    <row r="724" spans="1:23" ht="21.75" customHeight="1" x14ac:dyDescent="0.6">
      <c r="A724" s="21"/>
      <c r="B724" s="23"/>
      <c r="C724" s="21"/>
      <c r="D724" s="22"/>
      <c r="E724" s="22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</row>
    <row r="725" spans="1:23" ht="21.75" customHeight="1" x14ac:dyDescent="0.6">
      <c r="A725" s="21"/>
      <c r="B725" s="23"/>
      <c r="C725" s="21"/>
      <c r="D725" s="22"/>
      <c r="E725" s="22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</row>
    <row r="726" spans="1:23" ht="21.75" customHeight="1" x14ac:dyDescent="0.6">
      <c r="A726" s="21"/>
      <c r="B726" s="23"/>
      <c r="C726" s="21"/>
      <c r="D726" s="22"/>
      <c r="E726" s="22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</row>
    <row r="727" spans="1:23" ht="21.75" customHeight="1" x14ac:dyDescent="0.6">
      <c r="A727" s="21"/>
      <c r="B727" s="23"/>
      <c r="C727" s="21"/>
      <c r="D727" s="22"/>
      <c r="E727" s="22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</row>
    <row r="728" spans="1:23" ht="21.75" customHeight="1" x14ac:dyDescent="0.6">
      <c r="A728" s="21"/>
      <c r="B728" s="23"/>
      <c r="C728" s="21"/>
      <c r="D728" s="22"/>
      <c r="E728" s="22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</row>
    <row r="729" spans="1:23" ht="21.75" customHeight="1" x14ac:dyDescent="0.6">
      <c r="A729" s="21"/>
      <c r="B729" s="23"/>
      <c r="C729" s="21"/>
      <c r="D729" s="22"/>
      <c r="E729" s="22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</row>
    <row r="730" spans="1:23" ht="21.75" customHeight="1" x14ac:dyDescent="0.6">
      <c r="A730" s="21"/>
      <c r="B730" s="23"/>
      <c r="C730" s="21"/>
      <c r="D730" s="22"/>
      <c r="E730" s="22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</row>
    <row r="731" spans="1:23" ht="21.75" customHeight="1" x14ac:dyDescent="0.6">
      <c r="A731" s="21"/>
      <c r="B731" s="23"/>
      <c r="C731" s="21"/>
      <c r="D731" s="22"/>
      <c r="E731" s="22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</row>
    <row r="732" spans="1:23" ht="21.75" customHeight="1" x14ac:dyDescent="0.6">
      <c r="A732" s="21"/>
      <c r="B732" s="23"/>
      <c r="C732" s="21"/>
      <c r="D732" s="22"/>
      <c r="E732" s="22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</row>
    <row r="733" spans="1:23" ht="21.75" customHeight="1" x14ac:dyDescent="0.6">
      <c r="A733" s="21"/>
      <c r="B733" s="23"/>
      <c r="C733" s="21"/>
      <c r="D733" s="22"/>
      <c r="E733" s="22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</row>
    <row r="734" spans="1:23" ht="21.75" customHeight="1" x14ac:dyDescent="0.6">
      <c r="A734" s="21"/>
      <c r="B734" s="23"/>
      <c r="C734" s="21"/>
      <c r="D734" s="22"/>
      <c r="E734" s="22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</row>
    <row r="735" spans="1:23" ht="21.75" customHeight="1" x14ac:dyDescent="0.6">
      <c r="A735" s="21"/>
      <c r="B735" s="23"/>
      <c r="C735" s="21"/>
      <c r="D735" s="22"/>
      <c r="E735" s="22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</row>
    <row r="736" spans="1:23" ht="21.75" customHeight="1" x14ac:dyDescent="0.6">
      <c r="A736" s="21"/>
      <c r="B736" s="23"/>
      <c r="C736" s="21"/>
      <c r="D736" s="22"/>
      <c r="E736" s="22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</row>
    <row r="737" spans="1:23" ht="21.75" customHeight="1" x14ac:dyDescent="0.6">
      <c r="A737" s="21"/>
      <c r="B737" s="23"/>
      <c r="C737" s="21"/>
      <c r="D737" s="22"/>
      <c r="E737" s="22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</row>
    <row r="738" spans="1:23" ht="21.75" customHeight="1" x14ac:dyDescent="0.6">
      <c r="A738" s="21"/>
      <c r="B738" s="23"/>
      <c r="C738" s="21"/>
      <c r="D738" s="22"/>
      <c r="E738" s="22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</row>
    <row r="739" spans="1:23" ht="21.75" customHeight="1" x14ac:dyDescent="0.6">
      <c r="A739" s="21"/>
      <c r="B739" s="23"/>
      <c r="C739" s="21"/>
      <c r="D739" s="22"/>
      <c r="E739" s="22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</row>
    <row r="740" spans="1:23" ht="21.75" customHeight="1" x14ac:dyDescent="0.6">
      <c r="A740" s="21"/>
      <c r="B740" s="23"/>
      <c r="C740" s="21"/>
      <c r="D740" s="22"/>
      <c r="E740" s="22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</row>
    <row r="741" spans="1:23" ht="21.75" customHeight="1" x14ac:dyDescent="0.6">
      <c r="A741" s="21"/>
      <c r="B741" s="23"/>
      <c r="C741" s="21"/>
      <c r="D741" s="22"/>
      <c r="E741" s="22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</row>
    <row r="742" spans="1:23" ht="21.75" customHeight="1" x14ac:dyDescent="0.6">
      <c r="A742" s="21"/>
      <c r="B742" s="23"/>
      <c r="C742" s="21"/>
      <c r="D742" s="22"/>
      <c r="E742" s="22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</row>
    <row r="743" spans="1:23" ht="21.75" customHeight="1" x14ac:dyDescent="0.6">
      <c r="A743" s="21"/>
      <c r="B743" s="23"/>
      <c r="C743" s="21"/>
      <c r="D743" s="22"/>
      <c r="E743" s="22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</row>
    <row r="744" spans="1:23" ht="21.75" customHeight="1" x14ac:dyDescent="0.6">
      <c r="A744" s="21"/>
      <c r="B744" s="23"/>
      <c r="C744" s="21"/>
      <c r="D744" s="22"/>
      <c r="E744" s="22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</row>
    <row r="745" spans="1:23" ht="21.75" customHeight="1" x14ac:dyDescent="0.6">
      <c r="A745" s="21"/>
      <c r="B745" s="23"/>
      <c r="C745" s="21"/>
      <c r="D745" s="22"/>
      <c r="E745" s="22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</row>
    <row r="746" spans="1:23" ht="21.75" customHeight="1" x14ac:dyDescent="0.6">
      <c r="A746" s="21"/>
      <c r="B746" s="23"/>
      <c r="C746" s="21"/>
      <c r="D746" s="22"/>
      <c r="E746" s="22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</row>
    <row r="747" spans="1:23" ht="21.75" customHeight="1" x14ac:dyDescent="0.6">
      <c r="A747" s="21"/>
      <c r="B747" s="23"/>
      <c r="C747" s="21"/>
      <c r="D747" s="22"/>
      <c r="E747" s="22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</row>
    <row r="748" spans="1:23" ht="21.75" customHeight="1" x14ac:dyDescent="0.6">
      <c r="A748" s="21"/>
      <c r="B748" s="23"/>
      <c r="C748" s="21"/>
      <c r="D748" s="22"/>
      <c r="E748" s="22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</row>
    <row r="749" spans="1:23" ht="21.75" customHeight="1" x14ac:dyDescent="0.6">
      <c r="A749" s="21"/>
      <c r="B749" s="23"/>
      <c r="C749" s="21"/>
      <c r="D749" s="22"/>
      <c r="E749" s="22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</row>
    <row r="750" spans="1:23" ht="21.75" customHeight="1" x14ac:dyDescent="0.6">
      <c r="A750" s="21"/>
      <c r="B750" s="23"/>
      <c r="C750" s="21"/>
      <c r="D750" s="22"/>
      <c r="E750" s="22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</row>
    <row r="751" spans="1:23" ht="21.75" customHeight="1" x14ac:dyDescent="0.6">
      <c r="A751" s="21"/>
      <c r="B751" s="23"/>
      <c r="C751" s="21"/>
      <c r="D751" s="22"/>
      <c r="E751" s="22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</row>
    <row r="752" spans="1:23" ht="21.75" customHeight="1" x14ac:dyDescent="0.6">
      <c r="A752" s="21"/>
      <c r="B752" s="23"/>
      <c r="C752" s="21"/>
      <c r="D752" s="22"/>
      <c r="E752" s="22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</row>
    <row r="753" spans="1:23" ht="21.75" customHeight="1" x14ac:dyDescent="0.6">
      <c r="A753" s="21"/>
      <c r="B753" s="23"/>
      <c r="C753" s="21"/>
      <c r="D753" s="22"/>
      <c r="E753" s="22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</row>
    <row r="754" spans="1:23" ht="21.75" customHeight="1" x14ac:dyDescent="0.6">
      <c r="A754" s="21"/>
      <c r="B754" s="23"/>
      <c r="C754" s="21"/>
      <c r="D754" s="22"/>
      <c r="E754" s="22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</row>
    <row r="755" spans="1:23" ht="21.75" customHeight="1" x14ac:dyDescent="0.6">
      <c r="A755" s="21"/>
      <c r="B755" s="23"/>
      <c r="C755" s="21"/>
      <c r="D755" s="22"/>
      <c r="E755" s="22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</row>
    <row r="756" spans="1:23" ht="21.75" customHeight="1" x14ac:dyDescent="0.6">
      <c r="A756" s="21"/>
      <c r="B756" s="23"/>
      <c r="C756" s="21"/>
      <c r="D756" s="22"/>
      <c r="E756" s="22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</row>
    <row r="757" spans="1:23" ht="21.75" customHeight="1" x14ac:dyDescent="0.6">
      <c r="A757" s="21"/>
      <c r="B757" s="23"/>
      <c r="C757" s="21"/>
      <c r="D757" s="22"/>
      <c r="E757" s="22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</row>
    <row r="758" spans="1:23" ht="21.75" customHeight="1" x14ac:dyDescent="0.6">
      <c r="A758" s="21"/>
      <c r="B758" s="23"/>
      <c r="C758" s="21"/>
      <c r="D758" s="22"/>
      <c r="E758" s="22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</row>
    <row r="759" spans="1:23" ht="21.75" customHeight="1" x14ac:dyDescent="0.6">
      <c r="A759" s="21"/>
      <c r="B759" s="23"/>
      <c r="C759" s="21"/>
      <c r="D759" s="22"/>
      <c r="E759" s="22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</row>
    <row r="760" spans="1:23" ht="21.75" customHeight="1" x14ac:dyDescent="0.6">
      <c r="A760" s="21"/>
      <c r="B760" s="23"/>
      <c r="C760" s="21"/>
      <c r="D760" s="22"/>
      <c r="E760" s="22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</row>
    <row r="761" spans="1:23" ht="21.75" customHeight="1" x14ac:dyDescent="0.6">
      <c r="A761" s="21"/>
      <c r="B761" s="23"/>
      <c r="C761" s="21"/>
      <c r="D761" s="22"/>
      <c r="E761" s="22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</row>
    <row r="762" spans="1:23" ht="21.75" customHeight="1" x14ac:dyDescent="0.6">
      <c r="A762" s="21"/>
      <c r="B762" s="23"/>
      <c r="C762" s="21"/>
      <c r="D762" s="22"/>
      <c r="E762" s="22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</row>
    <row r="763" spans="1:23" ht="21.75" customHeight="1" x14ac:dyDescent="0.6">
      <c r="A763" s="21"/>
      <c r="B763" s="23"/>
      <c r="C763" s="21"/>
      <c r="D763" s="22"/>
      <c r="E763" s="22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</row>
    <row r="764" spans="1:23" ht="21.75" customHeight="1" x14ac:dyDescent="0.6">
      <c r="A764" s="21"/>
      <c r="B764" s="23"/>
      <c r="C764" s="21"/>
      <c r="D764" s="22"/>
      <c r="E764" s="22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</row>
    <row r="765" spans="1:23" ht="21.75" customHeight="1" x14ac:dyDescent="0.6">
      <c r="A765" s="21"/>
      <c r="B765" s="23"/>
      <c r="C765" s="21"/>
      <c r="D765" s="22"/>
      <c r="E765" s="22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</row>
    <row r="766" spans="1:23" ht="21.75" customHeight="1" x14ac:dyDescent="0.6">
      <c r="A766" s="21"/>
      <c r="B766" s="23"/>
      <c r="C766" s="21"/>
      <c r="D766" s="22"/>
      <c r="E766" s="22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</row>
    <row r="767" spans="1:23" ht="21.75" customHeight="1" x14ac:dyDescent="0.6">
      <c r="A767" s="21"/>
      <c r="B767" s="23"/>
      <c r="C767" s="21"/>
      <c r="D767" s="22"/>
      <c r="E767" s="22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</row>
    <row r="768" spans="1:23" ht="21.75" customHeight="1" x14ac:dyDescent="0.6">
      <c r="A768" s="21"/>
      <c r="B768" s="23"/>
      <c r="C768" s="21"/>
      <c r="D768" s="22"/>
      <c r="E768" s="22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</row>
    <row r="769" spans="1:23" ht="21.75" customHeight="1" x14ac:dyDescent="0.6">
      <c r="A769" s="21"/>
      <c r="B769" s="23"/>
      <c r="C769" s="21"/>
      <c r="D769" s="22"/>
      <c r="E769" s="22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</row>
    <row r="770" spans="1:23" ht="21.75" customHeight="1" x14ac:dyDescent="0.6">
      <c r="A770" s="21"/>
      <c r="B770" s="23"/>
      <c r="C770" s="21"/>
      <c r="D770" s="22"/>
      <c r="E770" s="22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</row>
    <row r="771" spans="1:23" ht="21.75" customHeight="1" x14ac:dyDescent="0.6">
      <c r="A771" s="21"/>
      <c r="B771" s="23"/>
      <c r="C771" s="21"/>
      <c r="D771" s="22"/>
      <c r="E771" s="22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</row>
    <row r="772" spans="1:23" ht="21.75" customHeight="1" x14ac:dyDescent="0.6">
      <c r="A772" s="21"/>
      <c r="B772" s="23"/>
      <c r="C772" s="21"/>
      <c r="D772" s="22"/>
      <c r="E772" s="22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</row>
    <row r="773" spans="1:23" ht="21.75" customHeight="1" x14ac:dyDescent="0.6">
      <c r="A773" s="21"/>
      <c r="B773" s="23"/>
      <c r="C773" s="21"/>
      <c r="D773" s="22"/>
      <c r="E773" s="22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</row>
    <row r="774" spans="1:23" ht="21.75" customHeight="1" x14ac:dyDescent="0.6">
      <c r="A774" s="21"/>
      <c r="B774" s="23"/>
      <c r="C774" s="21"/>
      <c r="D774" s="22"/>
      <c r="E774" s="22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</row>
    <row r="775" spans="1:23" ht="21.75" customHeight="1" x14ac:dyDescent="0.6">
      <c r="A775" s="21"/>
      <c r="B775" s="23"/>
      <c r="C775" s="21"/>
      <c r="D775" s="22"/>
      <c r="E775" s="22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</row>
    <row r="776" spans="1:23" ht="21.75" customHeight="1" x14ac:dyDescent="0.6">
      <c r="A776" s="21"/>
      <c r="B776" s="23"/>
      <c r="C776" s="21"/>
      <c r="D776" s="22"/>
      <c r="E776" s="22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</row>
    <row r="777" spans="1:23" ht="21.75" customHeight="1" x14ac:dyDescent="0.6">
      <c r="A777" s="21"/>
      <c r="B777" s="23"/>
      <c r="C777" s="21"/>
      <c r="D777" s="22"/>
      <c r="E777" s="22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</row>
    <row r="778" spans="1:23" ht="21.75" customHeight="1" x14ac:dyDescent="0.6">
      <c r="A778" s="21"/>
      <c r="B778" s="23"/>
      <c r="C778" s="21"/>
      <c r="D778" s="22"/>
      <c r="E778" s="22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</row>
    <row r="779" spans="1:23" ht="21.75" customHeight="1" x14ac:dyDescent="0.6">
      <c r="A779" s="21"/>
      <c r="B779" s="23"/>
      <c r="C779" s="21"/>
      <c r="D779" s="22"/>
      <c r="E779" s="22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</row>
    <row r="780" spans="1:23" ht="21.75" customHeight="1" x14ac:dyDescent="0.6">
      <c r="A780" s="21"/>
      <c r="B780" s="23"/>
      <c r="C780" s="21"/>
      <c r="D780" s="22"/>
      <c r="E780" s="22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</row>
    <row r="781" spans="1:23" ht="21.75" customHeight="1" x14ac:dyDescent="0.6">
      <c r="A781" s="21"/>
      <c r="B781" s="23"/>
      <c r="C781" s="21"/>
      <c r="D781" s="22"/>
      <c r="E781" s="22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</row>
    <row r="782" spans="1:23" ht="21.75" customHeight="1" x14ac:dyDescent="0.6">
      <c r="A782" s="21"/>
      <c r="B782" s="23"/>
      <c r="C782" s="21"/>
      <c r="D782" s="22"/>
      <c r="E782" s="22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</row>
    <row r="783" spans="1:23" ht="21.75" customHeight="1" x14ac:dyDescent="0.6">
      <c r="A783" s="21"/>
      <c r="B783" s="23"/>
      <c r="C783" s="21"/>
      <c r="D783" s="22"/>
      <c r="E783" s="22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</row>
    <row r="784" spans="1:23" ht="21.75" customHeight="1" x14ac:dyDescent="0.6">
      <c r="A784" s="21"/>
      <c r="B784" s="23"/>
      <c r="C784" s="21"/>
      <c r="D784" s="22"/>
      <c r="E784" s="22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</row>
    <row r="785" spans="1:23" ht="21.75" customHeight="1" x14ac:dyDescent="0.6">
      <c r="A785" s="21"/>
      <c r="B785" s="23"/>
      <c r="C785" s="21"/>
      <c r="D785" s="22"/>
      <c r="E785" s="22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</row>
    <row r="786" spans="1:23" ht="21.75" customHeight="1" x14ac:dyDescent="0.6">
      <c r="A786" s="21"/>
      <c r="B786" s="23"/>
      <c r="C786" s="21"/>
      <c r="D786" s="22"/>
      <c r="E786" s="22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</row>
    <row r="787" spans="1:23" ht="21.75" customHeight="1" x14ac:dyDescent="0.6">
      <c r="A787" s="21"/>
      <c r="B787" s="23"/>
      <c r="C787" s="21"/>
      <c r="D787" s="22"/>
      <c r="E787" s="22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</row>
    <row r="788" spans="1:23" ht="21.75" customHeight="1" x14ac:dyDescent="0.6">
      <c r="A788" s="21"/>
      <c r="B788" s="23"/>
      <c r="C788" s="21"/>
      <c r="D788" s="22"/>
      <c r="E788" s="22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</row>
    <row r="789" spans="1:23" ht="21.75" customHeight="1" x14ac:dyDescent="0.6">
      <c r="A789" s="21"/>
      <c r="B789" s="23"/>
      <c r="C789" s="21"/>
      <c r="D789" s="22"/>
      <c r="E789" s="22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</row>
    <row r="790" spans="1:23" ht="21.75" customHeight="1" x14ac:dyDescent="0.6">
      <c r="A790" s="21"/>
      <c r="B790" s="23"/>
      <c r="C790" s="21"/>
      <c r="D790" s="22"/>
      <c r="E790" s="22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</row>
    <row r="791" spans="1:23" ht="21.75" customHeight="1" x14ac:dyDescent="0.6">
      <c r="A791" s="21"/>
      <c r="B791" s="23"/>
      <c r="C791" s="21"/>
      <c r="D791" s="22"/>
      <c r="E791" s="22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</row>
    <row r="792" spans="1:23" ht="21.75" customHeight="1" x14ac:dyDescent="0.6">
      <c r="A792" s="21"/>
      <c r="B792" s="23"/>
      <c r="C792" s="21"/>
      <c r="D792" s="22"/>
      <c r="E792" s="22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</row>
    <row r="793" spans="1:23" ht="21.75" customHeight="1" x14ac:dyDescent="0.6">
      <c r="A793" s="21"/>
      <c r="B793" s="23"/>
      <c r="C793" s="21"/>
      <c r="D793" s="22"/>
      <c r="E793" s="22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</row>
    <row r="794" spans="1:23" ht="21.75" customHeight="1" x14ac:dyDescent="0.6">
      <c r="A794" s="21"/>
      <c r="B794" s="23"/>
      <c r="C794" s="21"/>
      <c r="D794" s="22"/>
      <c r="E794" s="22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</row>
    <row r="795" spans="1:23" ht="21.75" customHeight="1" x14ac:dyDescent="0.6">
      <c r="A795" s="21"/>
      <c r="B795" s="23"/>
      <c r="C795" s="21"/>
      <c r="D795" s="22"/>
      <c r="E795" s="22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</row>
    <row r="796" spans="1:23" ht="21.75" customHeight="1" x14ac:dyDescent="0.6">
      <c r="A796" s="21"/>
      <c r="B796" s="23"/>
      <c r="C796" s="21"/>
      <c r="D796" s="22"/>
      <c r="E796" s="22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</row>
    <row r="797" spans="1:23" ht="21.75" customHeight="1" x14ac:dyDescent="0.6">
      <c r="A797" s="21"/>
      <c r="B797" s="23"/>
      <c r="C797" s="21"/>
      <c r="D797" s="22"/>
      <c r="E797" s="22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</row>
    <row r="798" spans="1:23" ht="21.75" customHeight="1" x14ac:dyDescent="0.6">
      <c r="A798" s="21"/>
      <c r="B798" s="23"/>
      <c r="C798" s="21"/>
      <c r="D798" s="22"/>
      <c r="E798" s="22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</row>
    <row r="799" spans="1:23" ht="21.75" customHeight="1" x14ac:dyDescent="0.6">
      <c r="A799" s="21"/>
      <c r="B799" s="23"/>
      <c r="C799" s="21"/>
      <c r="D799" s="22"/>
      <c r="E799" s="22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</row>
    <row r="800" spans="1:23" ht="21.75" customHeight="1" x14ac:dyDescent="0.6">
      <c r="A800" s="21"/>
      <c r="B800" s="23"/>
      <c r="C800" s="21"/>
      <c r="D800" s="22"/>
      <c r="E800" s="22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</row>
    <row r="801" spans="1:23" ht="21.75" customHeight="1" x14ac:dyDescent="0.6">
      <c r="A801" s="21"/>
      <c r="B801" s="23"/>
      <c r="C801" s="21"/>
      <c r="D801" s="22"/>
      <c r="E801" s="22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</row>
    <row r="802" spans="1:23" ht="21.75" customHeight="1" x14ac:dyDescent="0.6">
      <c r="A802" s="21"/>
      <c r="B802" s="23"/>
      <c r="C802" s="21"/>
      <c r="D802" s="22"/>
      <c r="E802" s="22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</row>
    <row r="803" spans="1:23" ht="21.75" customHeight="1" x14ac:dyDescent="0.6">
      <c r="A803" s="21"/>
      <c r="B803" s="23"/>
      <c r="C803" s="21"/>
      <c r="D803" s="22"/>
      <c r="E803" s="22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</row>
    <row r="804" spans="1:23" ht="21.75" customHeight="1" x14ac:dyDescent="0.6">
      <c r="A804" s="21"/>
      <c r="B804" s="23"/>
      <c r="C804" s="21"/>
      <c r="D804" s="22"/>
      <c r="E804" s="22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</row>
    <row r="805" spans="1:23" ht="21.75" customHeight="1" x14ac:dyDescent="0.6">
      <c r="A805" s="21"/>
      <c r="B805" s="23"/>
      <c r="C805" s="21"/>
      <c r="D805" s="22"/>
      <c r="E805" s="22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</row>
    <row r="806" spans="1:23" ht="21.75" customHeight="1" x14ac:dyDescent="0.6">
      <c r="A806" s="21"/>
      <c r="B806" s="23"/>
      <c r="C806" s="21"/>
      <c r="D806" s="22"/>
      <c r="E806" s="22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</row>
    <row r="807" spans="1:23" ht="21.75" customHeight="1" x14ac:dyDescent="0.6">
      <c r="A807" s="21"/>
      <c r="B807" s="23"/>
      <c r="C807" s="21"/>
      <c r="D807" s="22"/>
      <c r="E807" s="22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</row>
    <row r="808" spans="1:23" ht="21.75" customHeight="1" x14ac:dyDescent="0.6">
      <c r="A808" s="21"/>
      <c r="B808" s="23"/>
      <c r="C808" s="21"/>
      <c r="D808" s="22"/>
      <c r="E808" s="22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</row>
    <row r="809" spans="1:23" ht="21.75" customHeight="1" x14ac:dyDescent="0.6">
      <c r="A809" s="21"/>
      <c r="B809" s="23"/>
      <c r="C809" s="21"/>
      <c r="D809" s="22"/>
      <c r="E809" s="22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</row>
    <row r="810" spans="1:23" ht="21.75" customHeight="1" x14ac:dyDescent="0.6">
      <c r="A810" s="21"/>
      <c r="B810" s="23"/>
      <c r="C810" s="21"/>
      <c r="D810" s="22"/>
      <c r="E810" s="22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</row>
    <row r="811" spans="1:23" ht="21.75" customHeight="1" x14ac:dyDescent="0.6">
      <c r="A811" s="21"/>
      <c r="B811" s="23"/>
      <c r="C811" s="21"/>
      <c r="D811" s="22"/>
      <c r="E811" s="22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</row>
    <row r="812" spans="1:23" ht="21.75" customHeight="1" x14ac:dyDescent="0.6">
      <c r="A812" s="21"/>
      <c r="B812" s="23"/>
      <c r="C812" s="21"/>
      <c r="D812" s="22"/>
      <c r="E812" s="22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</row>
    <row r="813" spans="1:23" ht="21.75" customHeight="1" x14ac:dyDescent="0.6">
      <c r="A813" s="21"/>
      <c r="B813" s="23"/>
      <c r="C813" s="21"/>
      <c r="D813" s="22"/>
      <c r="E813" s="22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</row>
    <row r="814" spans="1:23" ht="21.75" customHeight="1" x14ac:dyDescent="0.6">
      <c r="A814" s="21"/>
      <c r="B814" s="23"/>
      <c r="C814" s="21"/>
      <c r="D814" s="22"/>
      <c r="E814" s="22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</row>
    <row r="815" spans="1:23" ht="21.75" customHeight="1" x14ac:dyDescent="0.6">
      <c r="A815" s="21"/>
      <c r="B815" s="23"/>
      <c r="C815" s="21"/>
      <c r="D815" s="22"/>
      <c r="E815" s="22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</row>
    <row r="816" spans="1:23" ht="21.75" customHeight="1" x14ac:dyDescent="0.6">
      <c r="A816" s="21"/>
      <c r="B816" s="23"/>
      <c r="C816" s="21"/>
      <c r="D816" s="22"/>
      <c r="E816" s="22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</row>
    <row r="817" spans="1:23" ht="21.75" customHeight="1" x14ac:dyDescent="0.6">
      <c r="A817" s="21"/>
      <c r="B817" s="23"/>
      <c r="C817" s="21"/>
      <c r="D817" s="22"/>
      <c r="E817" s="22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</row>
    <row r="818" spans="1:23" ht="21.75" customHeight="1" x14ac:dyDescent="0.6">
      <c r="A818" s="21"/>
      <c r="B818" s="23"/>
      <c r="C818" s="21"/>
      <c r="D818" s="22"/>
      <c r="E818" s="22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</row>
    <row r="819" spans="1:23" ht="21.75" customHeight="1" x14ac:dyDescent="0.6">
      <c r="A819" s="21"/>
      <c r="B819" s="23"/>
      <c r="C819" s="21"/>
      <c r="D819" s="22"/>
      <c r="E819" s="22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</row>
    <row r="820" spans="1:23" ht="21.75" customHeight="1" x14ac:dyDescent="0.6">
      <c r="A820" s="21"/>
      <c r="B820" s="23"/>
      <c r="C820" s="21"/>
      <c r="D820" s="22"/>
      <c r="E820" s="22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</row>
    <row r="821" spans="1:23" ht="21.75" customHeight="1" x14ac:dyDescent="0.6">
      <c r="A821" s="21"/>
      <c r="B821" s="23"/>
      <c r="C821" s="21"/>
      <c r="D821" s="22"/>
      <c r="E821" s="22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</row>
    <row r="822" spans="1:23" ht="21.75" customHeight="1" x14ac:dyDescent="0.6">
      <c r="A822" s="21"/>
      <c r="B822" s="23"/>
      <c r="C822" s="21"/>
      <c r="D822" s="22"/>
      <c r="E822" s="22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</row>
    <row r="823" spans="1:23" ht="21.75" customHeight="1" x14ac:dyDescent="0.6">
      <c r="A823" s="21"/>
      <c r="B823" s="23"/>
      <c r="C823" s="21"/>
      <c r="D823" s="22"/>
      <c r="E823" s="22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</row>
    <row r="824" spans="1:23" ht="21.75" customHeight="1" x14ac:dyDescent="0.6">
      <c r="A824" s="21"/>
      <c r="B824" s="23"/>
      <c r="C824" s="21"/>
      <c r="D824" s="22"/>
      <c r="E824" s="22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</row>
    <row r="825" spans="1:23" ht="21.75" customHeight="1" x14ac:dyDescent="0.6">
      <c r="A825" s="21"/>
      <c r="B825" s="23"/>
      <c r="C825" s="21"/>
      <c r="D825" s="22"/>
      <c r="E825" s="22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</row>
    <row r="826" spans="1:23" ht="21.75" customHeight="1" x14ac:dyDescent="0.6">
      <c r="A826" s="21"/>
      <c r="B826" s="23"/>
      <c r="C826" s="21"/>
      <c r="D826" s="22"/>
      <c r="E826" s="22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</row>
    <row r="827" spans="1:23" ht="21.75" customHeight="1" x14ac:dyDescent="0.6">
      <c r="A827" s="21"/>
      <c r="B827" s="23"/>
      <c r="C827" s="21"/>
      <c r="D827" s="22"/>
      <c r="E827" s="22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</row>
    <row r="828" spans="1:23" ht="21.75" customHeight="1" x14ac:dyDescent="0.6">
      <c r="A828" s="21"/>
      <c r="B828" s="23"/>
      <c r="C828" s="21"/>
      <c r="D828" s="22"/>
      <c r="E828" s="22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</row>
    <row r="829" spans="1:23" ht="21.75" customHeight="1" x14ac:dyDescent="0.6">
      <c r="A829" s="21"/>
      <c r="B829" s="23"/>
      <c r="C829" s="21"/>
      <c r="D829" s="22"/>
      <c r="E829" s="22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</row>
    <row r="830" spans="1:23" ht="21.75" customHeight="1" x14ac:dyDescent="0.6">
      <c r="A830" s="21"/>
      <c r="B830" s="23"/>
      <c r="C830" s="21"/>
      <c r="D830" s="22"/>
      <c r="E830" s="22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</row>
    <row r="831" spans="1:23" ht="21.75" customHeight="1" x14ac:dyDescent="0.6">
      <c r="A831" s="21"/>
      <c r="B831" s="23"/>
      <c r="C831" s="21"/>
      <c r="D831" s="22"/>
      <c r="E831" s="22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</row>
    <row r="832" spans="1:23" ht="21.75" customHeight="1" x14ac:dyDescent="0.6">
      <c r="A832" s="21"/>
      <c r="B832" s="23"/>
      <c r="C832" s="21"/>
      <c r="D832" s="22"/>
      <c r="E832" s="22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</row>
    <row r="833" spans="1:23" ht="21.75" customHeight="1" x14ac:dyDescent="0.6">
      <c r="A833" s="21"/>
      <c r="B833" s="23"/>
      <c r="C833" s="21"/>
      <c r="D833" s="22"/>
      <c r="E833" s="22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</row>
    <row r="834" spans="1:23" ht="21.75" customHeight="1" x14ac:dyDescent="0.6">
      <c r="A834" s="21"/>
      <c r="B834" s="23"/>
      <c r="C834" s="21"/>
      <c r="D834" s="22"/>
      <c r="E834" s="22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</row>
    <row r="835" spans="1:23" ht="21.75" customHeight="1" x14ac:dyDescent="0.6">
      <c r="A835" s="21"/>
      <c r="B835" s="23"/>
      <c r="C835" s="21"/>
      <c r="D835" s="22"/>
      <c r="E835" s="22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</row>
    <row r="836" spans="1:23" ht="21.75" customHeight="1" x14ac:dyDescent="0.6">
      <c r="A836" s="21"/>
      <c r="B836" s="23"/>
      <c r="C836" s="21"/>
      <c r="D836" s="22"/>
      <c r="E836" s="22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</row>
    <row r="837" spans="1:23" ht="21.75" customHeight="1" x14ac:dyDescent="0.6">
      <c r="A837" s="21"/>
      <c r="B837" s="23"/>
      <c r="C837" s="21"/>
      <c r="D837" s="22"/>
      <c r="E837" s="22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</row>
    <row r="838" spans="1:23" ht="21.75" customHeight="1" x14ac:dyDescent="0.6">
      <c r="A838" s="21"/>
      <c r="B838" s="23"/>
      <c r="C838" s="21"/>
      <c r="D838" s="22"/>
      <c r="E838" s="22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</row>
    <row r="839" spans="1:23" ht="21.75" customHeight="1" x14ac:dyDescent="0.6">
      <c r="A839" s="21"/>
      <c r="B839" s="23"/>
      <c r="C839" s="21"/>
      <c r="D839" s="22"/>
      <c r="E839" s="22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</row>
    <row r="840" spans="1:23" ht="21.75" customHeight="1" x14ac:dyDescent="0.6">
      <c r="A840" s="21"/>
      <c r="B840" s="23"/>
      <c r="C840" s="21"/>
      <c r="D840" s="22"/>
      <c r="E840" s="22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</row>
    <row r="841" spans="1:23" ht="21.75" customHeight="1" x14ac:dyDescent="0.6">
      <c r="A841" s="21"/>
      <c r="B841" s="23"/>
      <c r="C841" s="21"/>
      <c r="D841" s="22"/>
      <c r="E841" s="22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</row>
    <row r="842" spans="1:23" ht="21.75" customHeight="1" x14ac:dyDescent="0.6">
      <c r="A842" s="21"/>
      <c r="B842" s="23"/>
      <c r="C842" s="21"/>
      <c r="D842" s="22"/>
      <c r="E842" s="22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</row>
    <row r="843" spans="1:23" ht="21.75" customHeight="1" x14ac:dyDescent="0.6">
      <c r="A843" s="21"/>
      <c r="B843" s="23"/>
      <c r="C843" s="21"/>
      <c r="D843" s="22"/>
      <c r="E843" s="22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</row>
    <row r="844" spans="1:23" ht="21.75" customHeight="1" x14ac:dyDescent="0.6">
      <c r="A844" s="21"/>
      <c r="B844" s="23"/>
      <c r="C844" s="21"/>
      <c r="D844" s="22"/>
      <c r="E844" s="22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</row>
    <row r="845" spans="1:23" ht="21.75" customHeight="1" x14ac:dyDescent="0.6">
      <c r="A845" s="21"/>
      <c r="B845" s="23"/>
      <c r="C845" s="21"/>
      <c r="D845" s="22"/>
      <c r="E845" s="22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</row>
    <row r="846" spans="1:23" ht="21.75" customHeight="1" x14ac:dyDescent="0.6">
      <c r="A846" s="21"/>
      <c r="B846" s="23"/>
      <c r="C846" s="21"/>
      <c r="D846" s="22"/>
      <c r="E846" s="22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</row>
    <row r="847" spans="1:23" ht="21.75" customHeight="1" x14ac:dyDescent="0.6">
      <c r="A847" s="21"/>
      <c r="B847" s="23"/>
      <c r="C847" s="21"/>
      <c r="D847" s="22"/>
      <c r="E847" s="22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</row>
    <row r="848" spans="1:23" ht="21.75" customHeight="1" x14ac:dyDescent="0.6">
      <c r="A848" s="21"/>
      <c r="B848" s="23"/>
      <c r="C848" s="21"/>
      <c r="D848" s="22"/>
      <c r="E848" s="22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</row>
    <row r="849" spans="1:23" ht="21.75" customHeight="1" x14ac:dyDescent="0.6">
      <c r="A849" s="21"/>
      <c r="B849" s="23"/>
      <c r="C849" s="21"/>
      <c r="D849" s="22"/>
      <c r="E849" s="22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</row>
    <row r="850" spans="1:23" ht="21.75" customHeight="1" x14ac:dyDescent="0.6">
      <c r="A850" s="21"/>
      <c r="B850" s="23"/>
      <c r="C850" s="21"/>
      <c r="D850" s="22"/>
      <c r="E850" s="22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</row>
    <row r="851" spans="1:23" ht="21.75" customHeight="1" x14ac:dyDescent="0.6">
      <c r="A851" s="21"/>
      <c r="B851" s="23"/>
      <c r="C851" s="21"/>
      <c r="D851" s="22"/>
      <c r="E851" s="22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</row>
    <row r="852" spans="1:23" ht="21.75" customHeight="1" x14ac:dyDescent="0.6">
      <c r="A852" s="21"/>
      <c r="B852" s="23"/>
      <c r="C852" s="21"/>
      <c r="D852" s="22"/>
      <c r="E852" s="22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</row>
    <row r="853" spans="1:23" ht="21.75" customHeight="1" x14ac:dyDescent="0.6">
      <c r="A853" s="21"/>
      <c r="B853" s="23"/>
      <c r="C853" s="21"/>
      <c r="D853" s="22"/>
      <c r="E853" s="22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</row>
    <row r="854" spans="1:23" ht="21.75" customHeight="1" x14ac:dyDescent="0.6">
      <c r="A854" s="21"/>
      <c r="B854" s="23"/>
      <c r="C854" s="21"/>
      <c r="D854" s="22"/>
      <c r="E854" s="22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</row>
    <row r="855" spans="1:23" ht="21.75" customHeight="1" x14ac:dyDescent="0.6">
      <c r="A855" s="21"/>
      <c r="B855" s="23"/>
      <c r="C855" s="21"/>
      <c r="D855" s="22"/>
      <c r="E855" s="22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</row>
    <row r="856" spans="1:23" ht="21.75" customHeight="1" x14ac:dyDescent="0.6">
      <c r="A856" s="21"/>
      <c r="B856" s="23"/>
      <c r="C856" s="21"/>
      <c r="D856" s="22"/>
      <c r="E856" s="22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</row>
    <row r="857" spans="1:23" ht="21.75" customHeight="1" x14ac:dyDescent="0.6">
      <c r="A857" s="21"/>
      <c r="B857" s="23"/>
      <c r="C857" s="21"/>
      <c r="D857" s="22"/>
      <c r="E857" s="22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</row>
    <row r="858" spans="1:23" ht="21.75" customHeight="1" x14ac:dyDescent="0.6">
      <c r="A858" s="21"/>
      <c r="B858" s="23"/>
      <c r="C858" s="21"/>
      <c r="D858" s="22"/>
      <c r="E858" s="22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</row>
    <row r="859" spans="1:23" ht="21.75" customHeight="1" x14ac:dyDescent="0.6">
      <c r="A859" s="21"/>
      <c r="B859" s="23"/>
      <c r="C859" s="21"/>
      <c r="D859" s="22"/>
      <c r="E859" s="22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</row>
    <row r="860" spans="1:23" ht="21.75" customHeight="1" x14ac:dyDescent="0.6">
      <c r="A860" s="21"/>
      <c r="B860" s="23"/>
      <c r="C860" s="21"/>
      <c r="D860" s="22"/>
      <c r="E860" s="22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</row>
    <row r="861" spans="1:23" ht="21.75" customHeight="1" x14ac:dyDescent="0.6">
      <c r="A861" s="21"/>
      <c r="B861" s="23"/>
      <c r="C861" s="21"/>
      <c r="D861" s="22"/>
      <c r="E861" s="22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</row>
    <row r="862" spans="1:23" ht="21.75" customHeight="1" x14ac:dyDescent="0.6">
      <c r="A862" s="21"/>
      <c r="B862" s="23"/>
      <c r="C862" s="21"/>
      <c r="D862" s="22"/>
      <c r="E862" s="22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</row>
    <row r="863" spans="1:23" ht="21.75" customHeight="1" x14ac:dyDescent="0.6">
      <c r="A863" s="21"/>
      <c r="B863" s="23"/>
      <c r="C863" s="21"/>
      <c r="D863" s="22"/>
      <c r="E863" s="22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</row>
    <row r="864" spans="1:23" ht="21.75" customHeight="1" x14ac:dyDescent="0.6">
      <c r="A864" s="21"/>
      <c r="B864" s="23"/>
      <c r="C864" s="21"/>
      <c r="D864" s="22"/>
      <c r="E864" s="22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</row>
    <row r="865" spans="1:23" ht="21.75" customHeight="1" x14ac:dyDescent="0.6">
      <c r="A865" s="21"/>
      <c r="B865" s="23"/>
      <c r="C865" s="21"/>
      <c r="D865" s="22"/>
      <c r="E865" s="22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</row>
    <row r="866" spans="1:23" ht="21.75" customHeight="1" x14ac:dyDescent="0.6">
      <c r="A866" s="21"/>
      <c r="B866" s="23"/>
      <c r="C866" s="21"/>
      <c r="D866" s="22"/>
      <c r="E866" s="22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</row>
    <row r="867" spans="1:23" ht="21.75" customHeight="1" x14ac:dyDescent="0.6">
      <c r="A867" s="21"/>
      <c r="B867" s="23"/>
      <c r="C867" s="21"/>
      <c r="D867" s="22"/>
      <c r="E867" s="22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</row>
    <row r="868" spans="1:23" ht="21.75" customHeight="1" x14ac:dyDescent="0.6">
      <c r="A868" s="21"/>
      <c r="B868" s="23"/>
      <c r="C868" s="21"/>
      <c r="D868" s="22"/>
      <c r="E868" s="22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</row>
    <row r="869" spans="1:23" ht="21.75" customHeight="1" x14ac:dyDescent="0.6">
      <c r="A869" s="21"/>
      <c r="B869" s="23"/>
      <c r="C869" s="21"/>
      <c r="D869" s="22"/>
      <c r="E869" s="22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</row>
    <row r="870" spans="1:23" ht="21.75" customHeight="1" x14ac:dyDescent="0.6">
      <c r="A870" s="21"/>
      <c r="B870" s="23"/>
      <c r="C870" s="21"/>
      <c r="D870" s="22"/>
      <c r="E870" s="22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</row>
    <row r="871" spans="1:23" ht="21.75" customHeight="1" x14ac:dyDescent="0.6">
      <c r="A871" s="21"/>
      <c r="B871" s="23"/>
      <c r="C871" s="21"/>
      <c r="D871" s="22"/>
      <c r="E871" s="22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</row>
    <row r="872" spans="1:23" ht="21.75" customHeight="1" x14ac:dyDescent="0.6">
      <c r="A872" s="21"/>
      <c r="B872" s="23"/>
      <c r="C872" s="21"/>
      <c r="D872" s="22"/>
      <c r="E872" s="22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</row>
    <row r="873" spans="1:23" ht="21.75" customHeight="1" x14ac:dyDescent="0.6">
      <c r="A873" s="21"/>
      <c r="B873" s="23"/>
      <c r="C873" s="21"/>
      <c r="D873" s="22"/>
      <c r="E873" s="22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</row>
    <row r="874" spans="1:23" ht="21.75" customHeight="1" x14ac:dyDescent="0.6">
      <c r="A874" s="21"/>
      <c r="B874" s="23"/>
      <c r="C874" s="21"/>
      <c r="D874" s="22"/>
      <c r="E874" s="22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</row>
    <row r="875" spans="1:23" ht="21.75" customHeight="1" x14ac:dyDescent="0.6">
      <c r="A875" s="21"/>
      <c r="B875" s="23"/>
      <c r="C875" s="21"/>
      <c r="D875" s="22"/>
      <c r="E875" s="22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</row>
    <row r="876" spans="1:23" ht="21.75" customHeight="1" x14ac:dyDescent="0.6">
      <c r="A876" s="21"/>
      <c r="B876" s="23"/>
      <c r="C876" s="21"/>
      <c r="D876" s="22"/>
      <c r="E876" s="22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</row>
    <row r="877" spans="1:23" ht="21.75" customHeight="1" x14ac:dyDescent="0.6">
      <c r="A877" s="21"/>
      <c r="B877" s="23"/>
      <c r="C877" s="21"/>
      <c r="D877" s="22"/>
      <c r="E877" s="22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</row>
    <row r="878" spans="1:23" ht="21.75" customHeight="1" x14ac:dyDescent="0.6">
      <c r="A878" s="21"/>
      <c r="B878" s="23"/>
      <c r="C878" s="21"/>
      <c r="D878" s="22"/>
      <c r="E878" s="22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</row>
    <row r="879" spans="1:23" ht="21.75" customHeight="1" x14ac:dyDescent="0.6">
      <c r="A879" s="21"/>
      <c r="B879" s="23"/>
      <c r="C879" s="21"/>
      <c r="D879" s="22"/>
      <c r="E879" s="22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</row>
    <row r="880" spans="1:23" ht="21.75" customHeight="1" x14ac:dyDescent="0.6">
      <c r="A880" s="21"/>
      <c r="B880" s="23"/>
      <c r="C880" s="21"/>
      <c r="D880" s="22"/>
      <c r="E880" s="22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</row>
    <row r="881" spans="1:23" ht="21.75" customHeight="1" x14ac:dyDescent="0.6">
      <c r="A881" s="21"/>
      <c r="B881" s="23"/>
      <c r="C881" s="21"/>
      <c r="D881" s="22"/>
      <c r="E881" s="22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</row>
    <row r="882" spans="1:23" ht="21.75" customHeight="1" x14ac:dyDescent="0.6">
      <c r="A882" s="21"/>
      <c r="B882" s="23"/>
      <c r="C882" s="21"/>
      <c r="D882" s="22"/>
      <c r="E882" s="22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</row>
    <row r="883" spans="1:23" ht="21.75" customHeight="1" x14ac:dyDescent="0.6">
      <c r="A883" s="21"/>
      <c r="B883" s="23"/>
      <c r="C883" s="21"/>
      <c r="D883" s="22"/>
      <c r="E883" s="22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</row>
    <row r="884" spans="1:23" ht="21.75" customHeight="1" x14ac:dyDescent="0.6">
      <c r="A884" s="21"/>
      <c r="B884" s="23"/>
      <c r="C884" s="21"/>
      <c r="D884" s="22"/>
      <c r="E884" s="22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</row>
    <row r="885" spans="1:23" ht="21.75" customHeight="1" x14ac:dyDescent="0.6">
      <c r="A885" s="21"/>
      <c r="B885" s="23"/>
      <c r="C885" s="21"/>
      <c r="D885" s="22"/>
      <c r="E885" s="22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</row>
    <row r="886" spans="1:23" ht="21.75" customHeight="1" x14ac:dyDescent="0.6">
      <c r="A886" s="21"/>
      <c r="B886" s="23"/>
      <c r="C886" s="21"/>
      <c r="D886" s="22"/>
      <c r="E886" s="22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</row>
    <row r="887" spans="1:23" ht="21.75" customHeight="1" x14ac:dyDescent="0.6">
      <c r="A887" s="21"/>
      <c r="B887" s="23"/>
      <c r="C887" s="21"/>
      <c r="D887" s="22"/>
      <c r="E887" s="22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</row>
    <row r="888" spans="1:23" ht="21.75" customHeight="1" x14ac:dyDescent="0.6">
      <c r="A888" s="21"/>
      <c r="B888" s="23"/>
      <c r="C888" s="21"/>
      <c r="D888" s="22"/>
      <c r="E888" s="22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</row>
    <row r="889" spans="1:23" ht="21.75" customHeight="1" x14ac:dyDescent="0.6">
      <c r="A889" s="21"/>
      <c r="B889" s="23"/>
      <c r="C889" s="21"/>
      <c r="D889" s="22"/>
      <c r="E889" s="22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</row>
    <row r="890" spans="1:23" ht="21.75" customHeight="1" x14ac:dyDescent="0.6">
      <c r="A890" s="21"/>
      <c r="B890" s="23"/>
      <c r="C890" s="21"/>
      <c r="D890" s="22"/>
      <c r="E890" s="22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</row>
    <row r="891" spans="1:23" ht="21.75" customHeight="1" x14ac:dyDescent="0.6">
      <c r="A891" s="21"/>
      <c r="B891" s="23"/>
      <c r="C891" s="21"/>
      <c r="D891" s="22"/>
      <c r="E891" s="22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</row>
    <row r="892" spans="1:23" ht="21.75" customHeight="1" x14ac:dyDescent="0.6">
      <c r="A892" s="21"/>
      <c r="B892" s="23"/>
      <c r="C892" s="21"/>
      <c r="D892" s="22"/>
      <c r="E892" s="22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</row>
    <row r="893" spans="1:23" ht="21.75" customHeight="1" x14ac:dyDescent="0.6">
      <c r="A893" s="21"/>
      <c r="B893" s="23"/>
      <c r="C893" s="21"/>
      <c r="D893" s="22"/>
      <c r="E893" s="22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</row>
    <row r="894" spans="1:23" ht="21.75" customHeight="1" x14ac:dyDescent="0.6">
      <c r="A894" s="21"/>
      <c r="B894" s="23"/>
      <c r="C894" s="21"/>
      <c r="D894" s="22"/>
      <c r="E894" s="22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</row>
    <row r="895" spans="1:23" ht="21.75" customHeight="1" x14ac:dyDescent="0.6">
      <c r="A895" s="21"/>
      <c r="B895" s="23"/>
      <c r="C895" s="21"/>
      <c r="D895" s="22"/>
      <c r="E895" s="22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</row>
    <row r="896" spans="1:23" ht="21.75" customHeight="1" x14ac:dyDescent="0.6">
      <c r="A896" s="21"/>
      <c r="B896" s="23"/>
      <c r="C896" s="21"/>
      <c r="D896" s="22"/>
      <c r="E896" s="22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</row>
    <row r="897" spans="1:23" ht="21.75" customHeight="1" x14ac:dyDescent="0.6">
      <c r="A897" s="21"/>
      <c r="B897" s="23"/>
      <c r="C897" s="21"/>
      <c r="D897" s="22"/>
      <c r="E897" s="22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</row>
    <row r="898" spans="1:23" ht="21.75" customHeight="1" x14ac:dyDescent="0.6">
      <c r="A898" s="21"/>
      <c r="B898" s="23"/>
      <c r="C898" s="21"/>
      <c r="D898" s="22"/>
      <c r="E898" s="22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</row>
    <row r="899" spans="1:23" ht="21.75" customHeight="1" x14ac:dyDescent="0.6">
      <c r="A899" s="21"/>
      <c r="B899" s="23"/>
      <c r="C899" s="21"/>
      <c r="D899" s="22"/>
      <c r="E899" s="22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</row>
    <row r="900" spans="1:23" ht="21.75" customHeight="1" x14ac:dyDescent="0.6">
      <c r="A900" s="21"/>
      <c r="B900" s="23"/>
      <c r="C900" s="21"/>
      <c r="D900" s="22"/>
      <c r="E900" s="22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</row>
    <row r="901" spans="1:23" ht="21.75" customHeight="1" x14ac:dyDescent="0.6">
      <c r="A901" s="21"/>
      <c r="B901" s="23"/>
      <c r="C901" s="21"/>
      <c r="D901" s="22"/>
      <c r="E901" s="22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</row>
    <row r="902" spans="1:23" ht="21.75" customHeight="1" x14ac:dyDescent="0.6">
      <c r="A902" s="21"/>
      <c r="B902" s="23"/>
      <c r="C902" s="21"/>
      <c r="D902" s="22"/>
      <c r="E902" s="22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</row>
    <row r="903" spans="1:23" ht="21.75" customHeight="1" x14ac:dyDescent="0.6">
      <c r="A903" s="21"/>
      <c r="B903" s="23"/>
      <c r="C903" s="21"/>
      <c r="D903" s="22"/>
      <c r="E903" s="22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</row>
    <row r="904" spans="1:23" ht="21.75" customHeight="1" x14ac:dyDescent="0.6">
      <c r="A904" s="21"/>
      <c r="B904" s="23"/>
      <c r="C904" s="21"/>
      <c r="D904" s="22"/>
      <c r="E904" s="22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</row>
    <row r="905" spans="1:23" ht="21.75" customHeight="1" x14ac:dyDescent="0.6">
      <c r="A905" s="21"/>
      <c r="B905" s="23"/>
      <c r="C905" s="21"/>
      <c r="D905" s="22"/>
      <c r="E905" s="22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</row>
    <row r="906" spans="1:23" ht="21.75" customHeight="1" x14ac:dyDescent="0.6">
      <c r="A906" s="21"/>
      <c r="B906" s="23"/>
      <c r="C906" s="21"/>
      <c r="D906" s="22"/>
      <c r="E906" s="22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</row>
    <row r="907" spans="1:23" ht="21.75" customHeight="1" x14ac:dyDescent="0.6">
      <c r="A907" s="21"/>
      <c r="B907" s="23"/>
      <c r="C907" s="21"/>
      <c r="D907" s="22"/>
      <c r="E907" s="22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</row>
    <row r="908" spans="1:23" ht="21.75" customHeight="1" x14ac:dyDescent="0.6">
      <c r="A908" s="21"/>
      <c r="B908" s="23"/>
      <c r="C908" s="21"/>
      <c r="D908" s="22"/>
      <c r="E908" s="22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</row>
    <row r="909" spans="1:23" ht="21.75" customHeight="1" x14ac:dyDescent="0.6">
      <c r="A909" s="21"/>
      <c r="B909" s="23"/>
      <c r="C909" s="21"/>
      <c r="D909" s="22"/>
      <c r="E909" s="22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</row>
    <row r="910" spans="1:23" ht="21.75" customHeight="1" x14ac:dyDescent="0.6">
      <c r="A910" s="21"/>
      <c r="B910" s="23"/>
      <c r="C910" s="21"/>
      <c r="D910" s="22"/>
      <c r="E910" s="22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</row>
    <row r="911" spans="1:23" ht="21.75" customHeight="1" x14ac:dyDescent="0.6">
      <c r="A911" s="21"/>
      <c r="B911" s="23"/>
      <c r="C911" s="21"/>
      <c r="D911" s="22"/>
      <c r="E911" s="22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</row>
    <row r="912" spans="1:23" ht="21.75" customHeight="1" x14ac:dyDescent="0.6">
      <c r="A912" s="21"/>
      <c r="B912" s="23"/>
      <c r="C912" s="21"/>
      <c r="D912" s="22"/>
      <c r="E912" s="22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</row>
    <row r="913" spans="1:23" ht="21.75" customHeight="1" x14ac:dyDescent="0.6">
      <c r="A913" s="21"/>
      <c r="B913" s="23"/>
      <c r="C913" s="21"/>
      <c r="D913" s="22"/>
      <c r="E913" s="22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</row>
    <row r="914" spans="1:23" ht="21.75" customHeight="1" x14ac:dyDescent="0.6">
      <c r="A914" s="21"/>
      <c r="B914" s="23"/>
      <c r="C914" s="21"/>
      <c r="D914" s="22"/>
      <c r="E914" s="22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</row>
    <row r="915" spans="1:23" ht="21.75" customHeight="1" x14ac:dyDescent="0.6">
      <c r="A915" s="21"/>
      <c r="B915" s="23"/>
      <c r="C915" s="21"/>
      <c r="D915" s="22"/>
      <c r="E915" s="22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</row>
    <row r="916" spans="1:23" ht="21.75" customHeight="1" x14ac:dyDescent="0.6">
      <c r="A916" s="21"/>
      <c r="B916" s="23"/>
      <c r="C916" s="21"/>
      <c r="D916" s="22"/>
      <c r="E916" s="22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</row>
    <row r="917" spans="1:23" ht="21.75" customHeight="1" x14ac:dyDescent="0.6">
      <c r="A917" s="21"/>
      <c r="B917" s="23"/>
      <c r="C917" s="21"/>
      <c r="D917" s="22"/>
      <c r="E917" s="22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</row>
    <row r="918" spans="1:23" ht="21.75" customHeight="1" x14ac:dyDescent="0.6">
      <c r="A918" s="21"/>
      <c r="B918" s="23"/>
      <c r="C918" s="21"/>
      <c r="D918" s="22"/>
      <c r="E918" s="22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</row>
    <row r="919" spans="1:23" ht="21.75" customHeight="1" x14ac:dyDescent="0.6">
      <c r="A919" s="21"/>
      <c r="B919" s="23"/>
      <c r="C919" s="21"/>
      <c r="D919" s="22"/>
      <c r="E919" s="22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</row>
    <row r="920" spans="1:23" ht="21.75" customHeight="1" x14ac:dyDescent="0.6">
      <c r="A920" s="21"/>
      <c r="B920" s="23"/>
      <c r="C920" s="21"/>
      <c r="D920" s="22"/>
      <c r="E920" s="22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</row>
    <row r="921" spans="1:23" ht="21.75" customHeight="1" x14ac:dyDescent="0.6">
      <c r="A921" s="21"/>
      <c r="B921" s="23"/>
      <c r="C921" s="21"/>
      <c r="D921" s="22"/>
      <c r="E921" s="22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</row>
    <row r="922" spans="1:23" ht="21.75" customHeight="1" x14ac:dyDescent="0.6">
      <c r="A922" s="21"/>
      <c r="B922" s="23"/>
      <c r="C922" s="21"/>
      <c r="D922" s="22"/>
      <c r="E922" s="22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</row>
    <row r="923" spans="1:23" ht="21.75" customHeight="1" x14ac:dyDescent="0.6">
      <c r="A923" s="21"/>
      <c r="B923" s="23"/>
      <c r="C923" s="21"/>
      <c r="D923" s="22"/>
      <c r="E923" s="22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</row>
    <row r="924" spans="1:23" ht="21.75" customHeight="1" x14ac:dyDescent="0.6">
      <c r="A924" s="21"/>
      <c r="B924" s="23"/>
      <c r="C924" s="21"/>
      <c r="D924" s="22"/>
      <c r="E924" s="22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</row>
    <row r="925" spans="1:23" ht="21.75" customHeight="1" x14ac:dyDescent="0.6">
      <c r="A925" s="21"/>
      <c r="B925" s="23"/>
      <c r="C925" s="21"/>
      <c r="D925" s="22"/>
      <c r="E925" s="22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</row>
    <row r="926" spans="1:23" ht="21.75" customHeight="1" x14ac:dyDescent="0.6">
      <c r="A926" s="21"/>
      <c r="B926" s="23"/>
      <c r="C926" s="21"/>
      <c r="D926" s="22"/>
      <c r="E926" s="22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</row>
    <row r="927" spans="1:23" ht="21.75" customHeight="1" x14ac:dyDescent="0.6">
      <c r="A927" s="21"/>
      <c r="B927" s="23"/>
      <c r="C927" s="21"/>
      <c r="D927" s="22"/>
      <c r="E927" s="22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</row>
    <row r="928" spans="1:23" ht="21.75" customHeight="1" x14ac:dyDescent="0.6">
      <c r="A928" s="21"/>
      <c r="B928" s="23"/>
      <c r="C928" s="21"/>
      <c r="D928" s="22"/>
      <c r="E928" s="22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</row>
    <row r="929" spans="1:23" ht="21.75" customHeight="1" x14ac:dyDescent="0.6">
      <c r="A929" s="21"/>
      <c r="B929" s="23"/>
      <c r="C929" s="21"/>
      <c r="D929" s="22"/>
      <c r="E929" s="22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</row>
    <row r="930" spans="1:23" ht="21.75" customHeight="1" x14ac:dyDescent="0.6">
      <c r="A930" s="21"/>
      <c r="B930" s="23"/>
      <c r="C930" s="21"/>
      <c r="D930" s="22"/>
      <c r="E930" s="22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</row>
    <row r="931" spans="1:23" ht="21.75" customHeight="1" x14ac:dyDescent="0.6">
      <c r="A931" s="21"/>
      <c r="B931" s="23"/>
      <c r="C931" s="21"/>
      <c r="D931" s="22"/>
      <c r="E931" s="22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</row>
    <row r="932" spans="1:23" ht="21.75" customHeight="1" x14ac:dyDescent="0.6">
      <c r="A932" s="21"/>
      <c r="B932" s="23"/>
      <c r="C932" s="21"/>
      <c r="D932" s="22"/>
      <c r="E932" s="22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</row>
    <row r="933" spans="1:23" ht="21.75" customHeight="1" x14ac:dyDescent="0.6">
      <c r="A933" s="21"/>
      <c r="B933" s="23"/>
      <c r="C933" s="21"/>
      <c r="D933" s="22"/>
      <c r="E933" s="22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</row>
    <row r="934" spans="1:23" ht="21.75" customHeight="1" x14ac:dyDescent="0.6">
      <c r="A934" s="21"/>
      <c r="B934" s="23"/>
      <c r="C934" s="21"/>
      <c r="D934" s="22"/>
      <c r="E934" s="22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</row>
    <row r="935" spans="1:23" ht="21.75" customHeight="1" x14ac:dyDescent="0.6">
      <c r="A935" s="21"/>
      <c r="B935" s="23"/>
      <c r="C935" s="21"/>
      <c r="D935" s="22"/>
      <c r="E935" s="22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</row>
    <row r="936" spans="1:23" ht="21.75" customHeight="1" x14ac:dyDescent="0.6">
      <c r="A936" s="21"/>
      <c r="B936" s="23"/>
      <c r="C936" s="21"/>
      <c r="D936" s="22"/>
      <c r="E936" s="22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</row>
    <row r="937" spans="1:23" ht="21.75" customHeight="1" x14ac:dyDescent="0.6">
      <c r="A937" s="21"/>
      <c r="B937" s="23"/>
      <c r="C937" s="21"/>
      <c r="D937" s="22"/>
      <c r="E937" s="22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</row>
    <row r="938" spans="1:23" ht="21.75" customHeight="1" x14ac:dyDescent="0.6">
      <c r="A938" s="21"/>
      <c r="B938" s="23"/>
      <c r="C938" s="21"/>
      <c r="D938" s="22"/>
      <c r="E938" s="22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</row>
    <row r="939" spans="1:23" ht="21.75" customHeight="1" x14ac:dyDescent="0.6">
      <c r="A939" s="21"/>
      <c r="B939" s="23"/>
      <c r="C939" s="21"/>
      <c r="D939" s="22"/>
      <c r="E939" s="22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</row>
    <row r="940" spans="1:23" ht="21.75" customHeight="1" x14ac:dyDescent="0.6">
      <c r="A940" s="21"/>
      <c r="B940" s="23"/>
      <c r="C940" s="21"/>
      <c r="D940" s="22"/>
      <c r="E940" s="22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</row>
    <row r="941" spans="1:23" ht="21.75" customHeight="1" x14ac:dyDescent="0.6">
      <c r="A941" s="21"/>
      <c r="B941" s="23"/>
      <c r="C941" s="21"/>
      <c r="D941" s="22"/>
      <c r="E941" s="22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</row>
    <row r="942" spans="1:23" ht="21.75" customHeight="1" x14ac:dyDescent="0.6">
      <c r="A942" s="21"/>
      <c r="B942" s="23"/>
      <c r="C942" s="21"/>
      <c r="D942" s="22"/>
      <c r="E942" s="22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</row>
    <row r="943" spans="1:23" ht="21.75" customHeight="1" x14ac:dyDescent="0.6">
      <c r="A943" s="21"/>
      <c r="B943" s="23"/>
      <c r="C943" s="21"/>
      <c r="D943" s="22"/>
      <c r="E943" s="22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</row>
    <row r="944" spans="1:23" ht="21.75" customHeight="1" x14ac:dyDescent="0.6">
      <c r="A944" s="21"/>
      <c r="B944" s="23"/>
      <c r="C944" s="21"/>
      <c r="D944" s="22"/>
      <c r="E944" s="22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</row>
    <row r="945" spans="1:23" ht="21.75" customHeight="1" x14ac:dyDescent="0.6">
      <c r="A945" s="21"/>
      <c r="B945" s="23"/>
      <c r="C945" s="21"/>
      <c r="D945" s="22"/>
      <c r="E945" s="22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</row>
    <row r="946" spans="1:23" ht="21.75" customHeight="1" x14ac:dyDescent="0.6">
      <c r="A946" s="21"/>
      <c r="B946" s="23"/>
      <c r="C946" s="21"/>
      <c r="D946" s="22"/>
      <c r="E946" s="22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</row>
    <row r="947" spans="1:23" ht="21.75" customHeight="1" x14ac:dyDescent="0.6">
      <c r="A947" s="21"/>
      <c r="B947" s="23"/>
      <c r="C947" s="21"/>
      <c r="D947" s="22"/>
      <c r="E947" s="22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</row>
    <row r="948" spans="1:23" ht="21.75" customHeight="1" x14ac:dyDescent="0.6">
      <c r="A948" s="21"/>
      <c r="B948" s="23"/>
      <c r="C948" s="21"/>
      <c r="D948" s="22"/>
      <c r="E948" s="22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</row>
    <row r="949" spans="1:23" ht="21.75" customHeight="1" x14ac:dyDescent="0.6">
      <c r="A949" s="21"/>
      <c r="B949" s="23"/>
      <c r="C949" s="21"/>
      <c r="D949" s="22"/>
      <c r="E949" s="22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</row>
    <row r="950" spans="1:23" ht="21.75" customHeight="1" x14ac:dyDescent="0.6">
      <c r="A950" s="21"/>
      <c r="B950" s="23"/>
      <c r="C950" s="21"/>
      <c r="D950" s="22"/>
      <c r="E950" s="22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</row>
    <row r="951" spans="1:23" ht="21.75" customHeight="1" x14ac:dyDescent="0.6">
      <c r="A951" s="21"/>
      <c r="B951" s="23"/>
      <c r="C951" s="21"/>
      <c r="D951" s="22"/>
      <c r="E951" s="22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</row>
    <row r="952" spans="1:23" ht="21.75" customHeight="1" x14ac:dyDescent="0.6">
      <c r="A952" s="21"/>
      <c r="B952" s="23"/>
      <c r="C952" s="21"/>
      <c r="D952" s="22"/>
      <c r="E952" s="22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</row>
    <row r="953" spans="1:23" ht="21.75" customHeight="1" x14ac:dyDescent="0.6">
      <c r="A953" s="21"/>
      <c r="B953" s="23"/>
      <c r="C953" s="21"/>
      <c r="D953" s="22"/>
      <c r="E953" s="22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</row>
    <row r="954" spans="1:23" ht="21.75" customHeight="1" x14ac:dyDescent="0.6">
      <c r="A954" s="21"/>
      <c r="B954" s="23"/>
      <c r="C954" s="21"/>
      <c r="D954" s="22"/>
      <c r="E954" s="22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</row>
    <row r="955" spans="1:23" ht="21.75" customHeight="1" x14ac:dyDescent="0.6">
      <c r="A955" s="21"/>
      <c r="B955" s="23"/>
      <c r="C955" s="21"/>
      <c r="D955" s="22"/>
      <c r="E955" s="22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</row>
    <row r="956" spans="1:23" ht="21.75" customHeight="1" x14ac:dyDescent="0.6">
      <c r="A956" s="21"/>
      <c r="B956" s="23"/>
      <c r="C956" s="21"/>
      <c r="D956" s="22"/>
      <c r="E956" s="22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</row>
    <row r="957" spans="1:23" ht="21.75" customHeight="1" x14ac:dyDescent="0.6">
      <c r="A957" s="21"/>
      <c r="B957" s="23"/>
      <c r="C957" s="21"/>
      <c r="D957" s="22"/>
      <c r="E957" s="22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</row>
    <row r="958" spans="1:23" ht="21.75" customHeight="1" x14ac:dyDescent="0.6">
      <c r="A958" s="21"/>
      <c r="B958" s="23"/>
      <c r="C958" s="21"/>
      <c r="D958" s="22"/>
      <c r="E958" s="22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</row>
    <row r="959" spans="1:23" ht="21.75" customHeight="1" x14ac:dyDescent="0.6">
      <c r="A959" s="21"/>
      <c r="B959" s="23"/>
      <c r="C959" s="21"/>
      <c r="D959" s="22"/>
      <c r="E959" s="22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</row>
    <row r="960" spans="1:23" ht="21.75" customHeight="1" x14ac:dyDescent="0.6">
      <c r="A960" s="21"/>
      <c r="B960" s="23"/>
      <c r="C960" s="21"/>
      <c r="D960" s="22"/>
      <c r="E960" s="22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</row>
    <row r="961" spans="1:23" ht="21.75" customHeight="1" x14ac:dyDescent="0.6">
      <c r="A961" s="21"/>
      <c r="B961" s="23"/>
      <c r="C961" s="21"/>
      <c r="D961" s="22"/>
      <c r="E961" s="22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</row>
    <row r="962" spans="1:23" ht="21.75" customHeight="1" x14ac:dyDescent="0.6">
      <c r="A962" s="21"/>
      <c r="B962" s="23"/>
      <c r="C962" s="21"/>
      <c r="D962" s="22"/>
      <c r="E962" s="22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</row>
    <row r="963" spans="1:23" ht="21.75" customHeight="1" x14ac:dyDescent="0.6">
      <c r="A963" s="21"/>
      <c r="B963" s="23"/>
      <c r="C963" s="21"/>
      <c r="D963" s="22"/>
      <c r="E963" s="22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</row>
    <row r="964" spans="1:23" ht="21.75" customHeight="1" x14ac:dyDescent="0.6">
      <c r="A964" s="21"/>
      <c r="B964" s="23"/>
      <c r="C964" s="21"/>
      <c r="D964" s="22"/>
      <c r="E964" s="22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</row>
    <row r="965" spans="1:23" ht="21.75" customHeight="1" x14ac:dyDescent="0.6">
      <c r="A965" s="21"/>
      <c r="B965" s="23"/>
      <c r="C965" s="21"/>
      <c r="D965" s="22"/>
      <c r="E965" s="22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</row>
    <row r="966" spans="1:23" ht="21.75" customHeight="1" x14ac:dyDescent="0.6">
      <c r="A966" s="21"/>
      <c r="B966" s="23"/>
      <c r="C966" s="21"/>
      <c r="D966" s="22"/>
      <c r="E966" s="22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</row>
    <row r="967" spans="1:23" ht="21.75" customHeight="1" x14ac:dyDescent="0.6">
      <c r="A967" s="21"/>
      <c r="B967" s="23"/>
      <c r="C967" s="21"/>
      <c r="D967" s="22"/>
      <c r="E967" s="22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</row>
    <row r="968" spans="1:23" ht="21.75" customHeight="1" x14ac:dyDescent="0.6">
      <c r="A968" s="21"/>
      <c r="B968" s="23"/>
      <c r="C968" s="21"/>
      <c r="D968" s="22"/>
      <c r="E968" s="22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</row>
    <row r="969" spans="1:23" ht="21.75" customHeight="1" x14ac:dyDescent="0.6">
      <c r="A969" s="21"/>
      <c r="B969" s="23"/>
      <c r="C969" s="21"/>
      <c r="D969" s="22"/>
      <c r="E969" s="22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</row>
    <row r="970" spans="1:23" ht="21.75" customHeight="1" x14ac:dyDescent="0.6">
      <c r="A970" s="21"/>
      <c r="B970" s="23"/>
      <c r="C970" s="21"/>
      <c r="D970" s="22"/>
      <c r="E970" s="22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</row>
    <row r="971" spans="1:23" ht="21.75" customHeight="1" x14ac:dyDescent="0.6">
      <c r="A971" s="21"/>
      <c r="B971" s="23"/>
      <c r="C971" s="21"/>
      <c r="D971" s="22"/>
      <c r="E971" s="22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</row>
    <row r="972" spans="1:23" ht="21.75" customHeight="1" x14ac:dyDescent="0.6">
      <c r="A972" s="21"/>
      <c r="B972" s="23"/>
      <c r="C972" s="21"/>
      <c r="D972" s="22"/>
      <c r="E972" s="22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</row>
    <row r="973" spans="1:23" ht="21.75" customHeight="1" x14ac:dyDescent="0.6">
      <c r="A973" s="21"/>
      <c r="B973" s="23"/>
      <c r="C973" s="21"/>
      <c r="D973" s="22"/>
      <c r="E973" s="22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</row>
    <row r="974" spans="1:23" ht="21.75" customHeight="1" x14ac:dyDescent="0.6">
      <c r="A974" s="21"/>
      <c r="B974" s="23"/>
      <c r="C974" s="21"/>
      <c r="D974" s="22"/>
      <c r="E974" s="22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</row>
    <row r="975" spans="1:23" ht="21.75" customHeight="1" x14ac:dyDescent="0.6">
      <c r="A975" s="21"/>
      <c r="B975" s="23"/>
      <c r="C975" s="21"/>
      <c r="D975" s="22"/>
      <c r="E975" s="22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</row>
    <row r="976" spans="1:23" ht="21.75" customHeight="1" x14ac:dyDescent="0.6">
      <c r="A976" s="21"/>
      <c r="B976" s="23"/>
      <c r="C976" s="21"/>
      <c r="D976" s="22"/>
      <c r="E976" s="22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</row>
    <row r="977" spans="1:23" ht="21.75" customHeight="1" x14ac:dyDescent="0.6">
      <c r="A977" s="21"/>
      <c r="B977" s="23"/>
      <c r="C977" s="21"/>
      <c r="D977" s="22"/>
      <c r="E977" s="22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</row>
    <row r="978" spans="1:23" ht="21.75" customHeight="1" x14ac:dyDescent="0.6">
      <c r="A978" s="21"/>
      <c r="B978" s="23"/>
      <c r="C978" s="21"/>
      <c r="D978" s="22"/>
      <c r="E978" s="22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</row>
    <row r="979" spans="1:23" ht="21.75" customHeight="1" x14ac:dyDescent="0.6">
      <c r="A979" s="21"/>
      <c r="B979" s="23"/>
      <c r="C979" s="21"/>
      <c r="D979" s="22"/>
      <c r="E979" s="22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</row>
    <row r="980" spans="1:23" ht="21.75" customHeight="1" x14ac:dyDescent="0.6">
      <c r="A980" s="21"/>
      <c r="B980" s="23"/>
      <c r="C980" s="21"/>
      <c r="D980" s="22"/>
      <c r="E980" s="22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</row>
    <row r="981" spans="1:23" ht="21.75" customHeight="1" x14ac:dyDescent="0.6">
      <c r="A981" s="21"/>
      <c r="B981" s="23"/>
      <c r="C981" s="21"/>
      <c r="D981" s="22"/>
      <c r="E981" s="22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</row>
    <row r="982" spans="1:23" ht="21.75" customHeight="1" x14ac:dyDescent="0.6">
      <c r="A982" s="21"/>
      <c r="B982" s="23"/>
      <c r="C982" s="21"/>
      <c r="D982" s="22"/>
      <c r="E982" s="22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</row>
    <row r="983" spans="1:23" ht="21.75" customHeight="1" x14ac:dyDescent="0.6">
      <c r="A983" s="21"/>
      <c r="B983" s="23"/>
      <c r="C983" s="21"/>
      <c r="D983" s="22"/>
      <c r="E983" s="22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</row>
    <row r="984" spans="1:23" ht="21.75" customHeight="1" x14ac:dyDescent="0.6">
      <c r="A984" s="21"/>
      <c r="B984" s="23"/>
      <c r="C984" s="21"/>
      <c r="D984" s="22"/>
      <c r="E984" s="22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</row>
    <row r="985" spans="1:23" ht="21.75" customHeight="1" x14ac:dyDescent="0.6">
      <c r="A985" s="21"/>
      <c r="B985" s="23"/>
      <c r="C985" s="21"/>
      <c r="D985" s="22"/>
      <c r="E985" s="22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</row>
    <row r="986" spans="1:23" ht="21.75" customHeight="1" x14ac:dyDescent="0.6">
      <c r="A986" s="21"/>
      <c r="B986" s="23"/>
      <c r="C986" s="21"/>
      <c r="D986" s="22"/>
      <c r="E986" s="22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</row>
    <row r="987" spans="1:23" ht="21.75" customHeight="1" x14ac:dyDescent="0.6">
      <c r="A987" s="21"/>
      <c r="B987" s="23"/>
      <c r="C987" s="21"/>
      <c r="D987" s="22"/>
      <c r="E987" s="22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</row>
    <row r="988" spans="1:23" ht="21.75" customHeight="1" x14ac:dyDescent="0.6">
      <c r="A988" s="21"/>
      <c r="B988" s="23"/>
      <c r="C988" s="21"/>
      <c r="D988" s="22"/>
      <c r="E988" s="22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</row>
    <row r="989" spans="1:23" ht="21.75" customHeight="1" x14ac:dyDescent="0.6">
      <c r="A989" s="21"/>
      <c r="B989" s="23"/>
      <c r="C989" s="21"/>
      <c r="D989" s="22"/>
      <c r="E989" s="22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</row>
    <row r="990" spans="1:23" ht="21.75" customHeight="1" x14ac:dyDescent="0.6">
      <c r="A990" s="21"/>
      <c r="B990" s="23"/>
      <c r="C990" s="21"/>
      <c r="D990" s="22"/>
      <c r="E990" s="22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</row>
    <row r="991" spans="1:23" ht="21.75" customHeight="1" x14ac:dyDescent="0.6">
      <c r="A991" s="21"/>
      <c r="B991" s="23"/>
      <c r="C991" s="21"/>
      <c r="D991" s="22"/>
      <c r="E991" s="22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</row>
    <row r="992" spans="1:23" ht="21.75" customHeight="1" x14ac:dyDescent="0.6">
      <c r="A992" s="21"/>
      <c r="B992" s="23"/>
      <c r="C992" s="21"/>
      <c r="D992" s="22"/>
      <c r="E992" s="22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</row>
    <row r="993" spans="1:23" ht="21.75" customHeight="1" x14ac:dyDescent="0.6">
      <c r="A993" s="21"/>
      <c r="B993" s="23"/>
      <c r="C993" s="21"/>
      <c r="D993" s="22"/>
      <c r="E993" s="22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</row>
    <row r="994" spans="1:23" ht="21.75" customHeight="1" x14ac:dyDescent="0.6">
      <c r="A994" s="21"/>
      <c r="B994" s="23"/>
      <c r="C994" s="21"/>
      <c r="D994" s="22"/>
      <c r="E994" s="22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</row>
    <row r="995" spans="1:23" ht="21.75" customHeight="1" x14ac:dyDescent="0.6">
      <c r="A995" s="21"/>
      <c r="B995" s="23"/>
      <c r="C995" s="21"/>
      <c r="D995" s="22"/>
      <c r="E995" s="22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</row>
    <row r="996" spans="1:23" ht="21.75" customHeight="1" x14ac:dyDescent="0.6">
      <c r="A996" s="21"/>
      <c r="B996" s="23"/>
      <c r="C996" s="21"/>
      <c r="D996" s="22"/>
      <c r="E996" s="22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</row>
    <row r="997" spans="1:23" ht="21.75" customHeight="1" x14ac:dyDescent="0.6">
      <c r="A997" s="21"/>
      <c r="B997" s="23"/>
      <c r="C997" s="21"/>
      <c r="D997" s="22"/>
      <c r="E997" s="22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</row>
    <row r="998" spans="1:23" ht="21.75" customHeight="1" x14ac:dyDescent="0.6">
      <c r="A998" s="21"/>
      <c r="B998" s="23"/>
      <c r="C998" s="21"/>
      <c r="D998" s="22"/>
      <c r="E998" s="22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</row>
    <row r="999" spans="1:23" ht="21.75" customHeight="1" x14ac:dyDescent="0.6">
      <c r="A999" s="21"/>
      <c r="B999" s="23"/>
      <c r="C999" s="21"/>
      <c r="D999" s="22"/>
      <c r="E999" s="22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</row>
    <row r="1000" spans="1:23" ht="21.75" customHeight="1" x14ac:dyDescent="0.6">
      <c r="A1000" s="21"/>
      <c r="B1000" s="23"/>
      <c r="C1000" s="21"/>
      <c r="D1000" s="22"/>
      <c r="E1000" s="22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</row>
    <row r="1001" spans="1:23" ht="21.75" customHeight="1" x14ac:dyDescent="0.6">
      <c r="A1001" s="21"/>
      <c r="B1001" s="23"/>
      <c r="C1001" s="21"/>
      <c r="D1001" s="22"/>
      <c r="E1001" s="22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</row>
    <row r="1002" spans="1:23" ht="21.75" customHeight="1" x14ac:dyDescent="0.6">
      <c r="A1002" s="21"/>
      <c r="B1002" s="23"/>
      <c r="C1002" s="21"/>
      <c r="D1002" s="22"/>
      <c r="E1002" s="22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</row>
  </sheetData>
  <mergeCells count="3">
    <mergeCell ref="A1:A2"/>
    <mergeCell ref="B1:C1"/>
    <mergeCell ref="E1:E2"/>
  </mergeCells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98C1-5F2A-4971-BE3E-322CB44922C2}">
  <sheetPr>
    <tabColor rgb="FFFF0000"/>
  </sheetPr>
  <dimension ref="A1:S1018"/>
  <sheetViews>
    <sheetView showGridLines="0" zoomScale="55" zoomScaleNormal="55" workbookViewId="0">
      <selection activeCell="D22" sqref="D22"/>
    </sheetView>
  </sheetViews>
  <sheetFormatPr defaultColWidth="14.42578125" defaultRowHeight="15" customHeight="1" x14ac:dyDescent="0.25"/>
  <cols>
    <col min="1" max="1" width="59.140625" bestFit="1" customWidth="1"/>
    <col min="2" max="2" width="21.7109375" customWidth="1"/>
    <col min="3" max="3" width="18.42578125" style="19" bestFit="1" customWidth="1"/>
    <col min="4" max="4" width="21.7109375" style="19" customWidth="1"/>
    <col min="5" max="6" width="17.7109375" customWidth="1"/>
    <col min="7" max="7" width="29.7109375" customWidth="1"/>
    <col min="8" max="8" width="9.28515625" customWidth="1"/>
    <col min="9" max="10" width="19.28515625" customWidth="1"/>
    <col min="11" max="18" width="9.140625" customWidth="1"/>
  </cols>
  <sheetData>
    <row r="1" spans="1:18" ht="22.5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22.5" customHeight="1" thickBot="1" x14ac:dyDescent="0.3">
      <c r="A2" s="71" t="s">
        <v>4</v>
      </c>
      <c r="B2" s="4">
        <f>[3]ORÇAMENTO_EXECUTIVO!B2</f>
        <v>4305949.8890799256</v>
      </c>
      <c r="C2" s="5">
        <f t="shared" ref="C2:C18" ca="1" si="0">B2/B$19</f>
        <v>0.107588762091434</v>
      </c>
      <c r="D2" s="70">
        <f>B2/AREAS_PRIVATIVAS!G$2</f>
        <v>678.79717649246084</v>
      </c>
      <c r="E2" s="3"/>
      <c r="F2" s="6" t="s">
        <v>78</v>
      </c>
      <c r="G2" s="79">
        <f>B22</f>
        <v>6343.5</v>
      </c>
      <c r="H2" s="78"/>
      <c r="I2" s="7" t="s">
        <v>6</v>
      </c>
      <c r="J2" s="3"/>
      <c r="K2" s="3"/>
      <c r="L2" s="3"/>
      <c r="M2" s="3"/>
      <c r="N2" s="3"/>
      <c r="O2" s="3"/>
      <c r="P2" s="3"/>
      <c r="Q2" s="3"/>
      <c r="R2" s="3"/>
    </row>
    <row r="3" spans="1:18" ht="22.5" customHeight="1" x14ac:dyDescent="0.25">
      <c r="A3" s="75" t="s">
        <v>7</v>
      </c>
      <c r="B3" s="74">
        <f ca="1">ANÁLISE_CUSTOS!B4</f>
        <v>198728.54458902398</v>
      </c>
      <c r="C3" s="73">
        <f t="shared" ca="1" si="0"/>
        <v>4.9654451759386393E-3</v>
      </c>
      <c r="D3" s="72">
        <f ca="1">B3/AREAS_PRIVATIVAS!G$2</f>
        <v>31.327901724446122</v>
      </c>
      <c r="E3" s="3"/>
      <c r="F3" s="77"/>
      <c r="G3" s="3"/>
      <c r="H3" s="3"/>
      <c r="I3" s="9"/>
      <c r="J3" s="3"/>
      <c r="K3" s="3"/>
      <c r="L3" s="3"/>
      <c r="M3" s="3"/>
      <c r="N3" s="3"/>
      <c r="O3" s="3"/>
      <c r="P3" s="3"/>
      <c r="Q3" s="3"/>
      <c r="R3" s="3"/>
    </row>
    <row r="4" spans="1:18" ht="19.5" customHeight="1" x14ac:dyDescent="0.25">
      <c r="A4" s="71" t="s">
        <v>8</v>
      </c>
      <c r="B4" s="4">
        <f ca="1">ANÁLISE_CUSTOS!B5</f>
        <v>1941462.0984345428</v>
      </c>
      <c r="C4" s="5">
        <f t="shared" ca="1" si="0"/>
        <v>4.8509506426848502E-2</v>
      </c>
      <c r="D4" s="70">
        <f ca="1">B4/AREAS_PRIVATIVAS!G$2</f>
        <v>306.05534774722832</v>
      </c>
      <c r="E4" s="3"/>
      <c r="F4" s="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9.5" customHeight="1" x14ac:dyDescent="0.25">
      <c r="A5" s="75" t="s">
        <v>9</v>
      </c>
      <c r="B5" s="74">
        <f ca="1">ANÁLISE_CUSTOS!B6</f>
        <v>6615187.3552938532</v>
      </c>
      <c r="C5" s="73">
        <f t="shared" ca="1" si="0"/>
        <v>0.16528752932400004</v>
      </c>
      <c r="D5" s="72">
        <f ca="1">B5/AREAS_PRIVATIVAS!G$2</f>
        <v>1042.8292512483413</v>
      </c>
      <c r="E5" s="3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9.5" customHeight="1" x14ac:dyDescent="0.25">
      <c r="A6" s="71" t="s">
        <v>10</v>
      </c>
      <c r="B6" s="4">
        <f ca="1">ANÁLISE_CUSTOS!B7</f>
        <v>1669934.1888865917</v>
      </c>
      <c r="C6" s="5">
        <f t="shared" ca="1" si="0"/>
        <v>4.1725091277098329E-2</v>
      </c>
      <c r="D6" s="70">
        <f ca="1">B6/AREAS_PRIVATIVAS!G$2</f>
        <v>263.25123179421325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9.5" customHeight="1" x14ac:dyDescent="0.25">
      <c r="A7" s="75" t="s">
        <v>11</v>
      </c>
      <c r="B7" s="74">
        <f ca="1">ANÁLISE_CUSTOS!B8</f>
        <v>4311922.0907457341</v>
      </c>
      <c r="C7" s="73">
        <f t="shared" ca="1" si="0"/>
        <v>0.10773798393579737</v>
      </c>
      <c r="D7" s="72">
        <f ca="1">B7/AREAS_PRIVATIVAS!G$2</f>
        <v>679.73864439910676</v>
      </c>
      <c r="E7" s="3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9.5" customHeight="1" x14ac:dyDescent="0.25">
      <c r="A8" s="71" t="s">
        <v>12</v>
      </c>
      <c r="B8" s="4">
        <f ca="1">ANÁLISE_CUSTOS!B9</f>
        <v>1997062.2669022223</v>
      </c>
      <c r="C8" s="5">
        <f t="shared" ca="1" si="0"/>
        <v>4.9898736086181818E-2</v>
      </c>
      <c r="D8" s="70">
        <f ca="1">B8/AREAS_PRIVATIVAS!G$2</f>
        <v>314.82025173834984</v>
      </c>
      <c r="E8" s="76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9.5" customHeight="1" x14ac:dyDescent="0.25">
      <c r="A9" s="75" t="s">
        <v>13</v>
      </c>
      <c r="B9" s="74">
        <f ca="1">ANÁLISE_CUSTOS!B10</f>
        <v>948728.56679100019</v>
      </c>
      <c r="C9" s="73">
        <f t="shared" ca="1" si="0"/>
        <v>2.3704997663972917E-2</v>
      </c>
      <c r="D9" s="72">
        <f ca="1">B9/AREAS_PRIVATIVAS!G$2</f>
        <v>149.55916556963825</v>
      </c>
      <c r="E9" s="3"/>
      <c r="F9" s="9"/>
      <c r="G9" s="11"/>
      <c r="H9" s="11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9.5" customHeight="1" x14ac:dyDescent="0.25">
      <c r="A10" s="71" t="s">
        <v>77</v>
      </c>
      <c r="B10" s="4">
        <f ca="1">ANÁLISE_CUSTOS!B11</f>
        <v>3214008.858001166</v>
      </c>
      <c r="C10" s="5">
        <f t="shared" ca="1" si="0"/>
        <v>8.0305447878107089E-2</v>
      </c>
      <c r="D10" s="70">
        <f ca="1">B10/AREAS_PRIVATIVAS!G$2</f>
        <v>506.66175738963756</v>
      </c>
      <c r="E10" s="3"/>
      <c r="F10" s="1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9.5" customHeight="1" x14ac:dyDescent="0.25">
      <c r="A11" s="75" t="s">
        <v>14</v>
      </c>
      <c r="B11" s="74">
        <f ca="1">ANÁLISE_CUSTOS!B12</f>
        <v>753156.09809219011</v>
      </c>
      <c r="C11" s="73">
        <f t="shared" ca="1" si="0"/>
        <v>1.8818410418767719E-2</v>
      </c>
      <c r="D11" s="72">
        <f ca="1">B11/AREAS_PRIVATIVAS!G$2</f>
        <v>118.72879295218571</v>
      </c>
      <c r="E11" s="3"/>
      <c r="F11" s="3"/>
      <c r="G11" s="13"/>
      <c r="H11" s="1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9.5" customHeight="1" x14ac:dyDescent="0.25">
      <c r="A12" s="71" t="s">
        <v>76</v>
      </c>
      <c r="B12" s="4">
        <f ca="1">ANÁLISE_CUSTOS!B13</f>
        <v>4313008.1837960519</v>
      </c>
      <c r="C12" s="5">
        <f t="shared" ca="1" si="0"/>
        <v>0.10776512113195846</v>
      </c>
      <c r="D12" s="70">
        <f ca="1">B12/AREAS_PRIVATIVAS!G$2</f>
        <v>679.90985793269522</v>
      </c>
      <c r="E12" s="3"/>
      <c r="F12" s="3"/>
      <c r="G12" s="12"/>
      <c r="H12" s="12"/>
      <c r="I12" s="3"/>
      <c r="J12" s="3"/>
      <c r="K12" s="3"/>
      <c r="L12" s="3"/>
      <c r="M12" s="3"/>
      <c r="N12" s="3"/>
      <c r="P12" s="3"/>
      <c r="Q12" s="3"/>
      <c r="R12" s="3"/>
    </row>
    <row r="13" spans="1:18" ht="19.5" customHeight="1" x14ac:dyDescent="0.25">
      <c r="A13" s="75" t="s">
        <v>15</v>
      </c>
      <c r="B13" s="74">
        <f ca="1">ANÁLISE_CUSTOS!B14</f>
        <v>1273615.850741019</v>
      </c>
      <c r="C13" s="73">
        <f t="shared" ca="1" si="0"/>
        <v>3.1822653837370603E-2</v>
      </c>
      <c r="D13" s="72">
        <f ca="1">B13/AREAS_PRIVATIVAS!G$2</f>
        <v>200.77494297170631</v>
      </c>
      <c r="E13" s="3"/>
      <c r="F13" s="3"/>
      <c r="G13" s="3"/>
      <c r="H13" s="3"/>
      <c r="I13" s="3"/>
      <c r="J13" s="3"/>
      <c r="K13" s="3"/>
      <c r="L13" s="3"/>
      <c r="M13" s="3"/>
      <c r="N13" s="3"/>
      <c r="P13" s="3"/>
      <c r="Q13" s="3"/>
      <c r="R13" s="3"/>
    </row>
    <row r="14" spans="1:18" ht="19.5" customHeight="1" x14ac:dyDescent="0.25">
      <c r="A14" s="71" t="s">
        <v>16</v>
      </c>
      <c r="B14" s="4">
        <f ca="1">ANÁLISE_CUSTOS!B15</f>
        <v>3821896.5816228217</v>
      </c>
      <c r="C14" s="5">
        <f t="shared" ca="1" si="0"/>
        <v>9.5494172633333735E-2</v>
      </c>
      <c r="D14" s="70">
        <f ca="1">B14/AREAS_PRIVATIVAS!G$2</f>
        <v>602.49019967255015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9.5" customHeight="1" x14ac:dyDescent="0.25">
      <c r="A15" s="75" t="s">
        <v>17</v>
      </c>
      <c r="B15" s="74">
        <f ca="1">ANÁLISE_CUSTOS!B16</f>
        <v>375409.40763087</v>
      </c>
      <c r="C15" s="73">
        <f t="shared" ca="1" si="0"/>
        <v>9.3800054540611813E-3</v>
      </c>
      <c r="D15" s="72">
        <f ca="1">B15/AREAS_PRIVATIVAS!G$2</f>
        <v>59.180169879541261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9.149999999999999" customHeight="1" x14ac:dyDescent="0.25">
      <c r="A16" s="71" t="s">
        <v>18</v>
      </c>
      <c r="B16" s="4">
        <f ca="1">ANÁLISE_CUSTOS!B17</f>
        <v>1517055.5979890632</v>
      </c>
      <c r="C16" s="5">
        <f t="shared" ca="1" si="0"/>
        <v>3.7905256218947574E-2</v>
      </c>
      <c r="D16" s="70">
        <f ca="1">B16/AREAS_PRIVATIVAS!G$2</f>
        <v>239.15119381872205</v>
      </c>
      <c r="E16" s="3"/>
      <c r="F16" s="3"/>
      <c r="G16" s="3"/>
      <c r="H16" s="3"/>
      <c r="I16" s="3"/>
      <c r="J16" s="3"/>
      <c r="K16" s="3"/>
      <c r="L16" s="3"/>
      <c r="M16" s="3"/>
      <c r="N16" s="3"/>
      <c r="P16" s="3"/>
      <c r="Q16" s="3"/>
      <c r="R16" s="3"/>
    </row>
    <row r="17" spans="1:19" ht="19.5" customHeight="1" x14ac:dyDescent="0.25">
      <c r="A17" s="75" t="s">
        <v>19</v>
      </c>
      <c r="B17" s="74">
        <f>[3]ORÇAMENTO_EXECUTIVO!B17</f>
        <v>1572023.04</v>
      </c>
      <c r="C17" s="73">
        <f t="shared" ca="1" si="0"/>
        <v>3.9278676531219955E-2</v>
      </c>
      <c r="D17" s="72">
        <f>B17/AREAS_PRIVATIVAS!G$2</f>
        <v>247.81635374793095</v>
      </c>
      <c r="E17" s="3"/>
      <c r="F17" s="3"/>
      <c r="G17" s="3"/>
      <c r="H17" s="3"/>
      <c r="I17" s="3"/>
      <c r="J17" s="3"/>
      <c r="K17" s="3"/>
      <c r="L17" s="3"/>
      <c r="M17" s="3"/>
      <c r="N17" s="3"/>
      <c r="P17" s="3"/>
      <c r="Q17" s="3"/>
      <c r="R17" s="3"/>
    </row>
    <row r="18" spans="1:19" ht="19.5" customHeight="1" x14ac:dyDescent="0.25">
      <c r="A18" s="71" t="s">
        <v>20</v>
      </c>
      <c r="B18" s="4">
        <f>[3]ORÇAMENTO_EXECUTIVO!B18</f>
        <v>1193153.0175220789</v>
      </c>
      <c r="C18" s="5">
        <f t="shared" ca="1" si="0"/>
        <v>2.9812203914962185E-2</v>
      </c>
      <c r="D18" s="70">
        <f>B18/AREAS_PRIVATIVAS!G$2</f>
        <v>188.09064672847464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P18" s="3"/>
      <c r="Q18" s="3"/>
      <c r="R18" s="3"/>
    </row>
    <row r="19" spans="1:19" ht="19.5" customHeight="1" x14ac:dyDescent="0.25">
      <c r="A19" s="1" t="s">
        <v>21</v>
      </c>
      <c r="B19" s="14">
        <f ca="1">SUM(B2:B18)</f>
        <v>40022301.636118151</v>
      </c>
      <c r="C19" s="15">
        <f ca="1">SUM(C2:C18)</f>
        <v>1</v>
      </c>
      <c r="D19" s="16">
        <f ca="1">SUM(D2:D18)</f>
        <v>6309.1828858072295</v>
      </c>
      <c r="E19" s="12"/>
      <c r="F19" s="3"/>
      <c r="G19" s="3"/>
      <c r="H19" s="3"/>
      <c r="I19" s="3"/>
      <c r="J19" s="3"/>
      <c r="K19" s="3"/>
      <c r="L19" s="3"/>
      <c r="M19" s="3"/>
      <c r="N19" s="3"/>
      <c r="P19" s="3"/>
      <c r="Q19" s="3"/>
      <c r="R19" s="3"/>
    </row>
    <row r="20" spans="1:19" ht="22.5" customHeight="1" x14ac:dyDescent="0.25">
      <c r="A20" s="3"/>
      <c r="B20" s="3"/>
      <c r="C20" s="9"/>
      <c r="D20" s="9"/>
      <c r="E20" s="3"/>
      <c r="F20" s="12"/>
      <c r="G20" s="3"/>
      <c r="H20" s="3"/>
      <c r="I20" s="3"/>
      <c r="J20" s="3"/>
      <c r="K20" s="3"/>
      <c r="L20" s="3"/>
      <c r="M20" s="3"/>
      <c r="N20" s="3"/>
      <c r="P20" s="3"/>
      <c r="Q20" s="3"/>
      <c r="R20" s="3"/>
    </row>
    <row r="21" spans="1:19" ht="22.5" customHeight="1" x14ac:dyDescent="0.25">
      <c r="A21" s="69" t="s">
        <v>75</v>
      </c>
      <c r="B21" s="2" t="s">
        <v>74</v>
      </c>
      <c r="C21" s="2" t="s">
        <v>73</v>
      </c>
      <c r="D21" s="68" t="s">
        <v>72</v>
      </c>
      <c r="E21" s="9"/>
      <c r="F21" s="3"/>
      <c r="G21" s="3"/>
      <c r="H21" s="3"/>
      <c r="I21" s="3"/>
      <c r="J21" s="3"/>
      <c r="K21" s="9"/>
      <c r="L21" s="3"/>
      <c r="M21" s="3"/>
      <c r="N21" s="3"/>
      <c r="P21" s="3"/>
      <c r="Q21" s="3"/>
      <c r="R21" s="3"/>
      <c r="S21" s="3"/>
    </row>
    <row r="22" spans="1:19" ht="19.149999999999999" customHeight="1" x14ac:dyDescent="0.25">
      <c r="A22" s="67" t="s">
        <v>71</v>
      </c>
      <c r="B22" s="57">
        <v>6343.5</v>
      </c>
      <c r="C22" s="57"/>
      <c r="D22" s="66">
        <f>[3]ORÇAMENTO_EXECUTIVO!B19/AREAS_PRIVATIVAS!B22</f>
        <v>6457.7788710109644</v>
      </c>
      <c r="E22" s="9"/>
      <c r="F22" s="3"/>
      <c r="G22" s="3"/>
      <c r="H22" s="3"/>
      <c r="I22" s="3"/>
      <c r="J22" s="3"/>
      <c r="K22" s="9"/>
      <c r="L22" s="3"/>
      <c r="M22" s="3"/>
      <c r="N22" s="3"/>
      <c r="P22" s="3"/>
      <c r="Q22" s="3"/>
      <c r="R22" s="3"/>
      <c r="S22" s="3"/>
    </row>
    <row r="23" spans="1:19" ht="19.5" customHeight="1" x14ac:dyDescent="0.25">
      <c r="A23" s="55" t="s">
        <v>70</v>
      </c>
      <c r="B23" s="54"/>
      <c r="C23" s="54">
        <v>1</v>
      </c>
      <c r="D23" s="53">
        <f t="shared" ref="D23:D45" si="1">B23*$D$22</f>
        <v>0</v>
      </c>
      <c r="E23" s="9"/>
      <c r="F23" s="10"/>
      <c r="G23" s="3"/>
      <c r="H23" s="3"/>
      <c r="I23" s="3"/>
      <c r="J23" s="3"/>
      <c r="K23" s="9"/>
      <c r="L23" s="10"/>
      <c r="M23" s="3"/>
      <c r="N23" s="3"/>
      <c r="P23" s="3"/>
      <c r="Q23" s="3"/>
      <c r="R23" s="3"/>
      <c r="S23" s="3"/>
    </row>
    <row r="24" spans="1:19" ht="19.5" customHeight="1" x14ac:dyDescent="0.45">
      <c r="A24" s="58" t="s">
        <v>69</v>
      </c>
      <c r="B24" s="57"/>
      <c r="C24" s="57">
        <v>1</v>
      </c>
      <c r="D24" s="56">
        <f t="shared" si="1"/>
        <v>0</v>
      </c>
      <c r="E24" s="9"/>
      <c r="F24" s="17"/>
      <c r="G24" s="3"/>
      <c r="H24" s="3"/>
      <c r="I24" s="3"/>
      <c r="J24" s="3"/>
      <c r="K24" s="9"/>
      <c r="L24" s="17"/>
      <c r="M24" s="3"/>
      <c r="N24" s="3"/>
      <c r="P24" s="3"/>
      <c r="Q24" s="3"/>
      <c r="R24" s="3"/>
      <c r="S24" s="3"/>
    </row>
    <row r="25" spans="1:19" ht="19.5" customHeight="1" x14ac:dyDescent="0.25">
      <c r="A25" s="65" t="s">
        <v>68</v>
      </c>
      <c r="B25" s="64"/>
      <c r="C25" s="64">
        <v>1</v>
      </c>
      <c r="D25" s="63">
        <f t="shared" si="1"/>
        <v>0</v>
      </c>
      <c r="E25" s="9"/>
      <c r="F25" s="18"/>
      <c r="G25" s="3"/>
      <c r="H25" s="3"/>
      <c r="I25" s="3"/>
      <c r="J25" s="3"/>
      <c r="K25" s="9"/>
      <c r="L25" s="18"/>
      <c r="M25" s="3"/>
      <c r="N25" s="3"/>
      <c r="P25" s="3"/>
      <c r="Q25" s="3"/>
      <c r="R25" s="3"/>
      <c r="S25" s="3"/>
    </row>
    <row r="26" spans="1:19" ht="19.5" customHeight="1" x14ac:dyDescent="0.45">
      <c r="A26" s="58" t="s">
        <v>67</v>
      </c>
      <c r="B26" s="57"/>
      <c r="C26" s="57">
        <v>1</v>
      </c>
      <c r="D26" s="56">
        <f t="shared" si="1"/>
        <v>0</v>
      </c>
      <c r="E26" s="9"/>
      <c r="F26" s="62"/>
      <c r="G26" s="3"/>
      <c r="H26" s="3"/>
      <c r="I26" s="3"/>
      <c r="J26" s="3"/>
      <c r="K26" s="9"/>
      <c r="L26" s="62"/>
      <c r="M26" s="3"/>
      <c r="N26" s="3"/>
      <c r="P26" s="3"/>
      <c r="Q26" s="3"/>
      <c r="R26" s="3"/>
      <c r="S26" s="3"/>
    </row>
    <row r="27" spans="1:19" ht="19.5" customHeight="1" x14ac:dyDescent="0.25">
      <c r="A27" s="55" t="s">
        <v>66</v>
      </c>
      <c r="B27" s="54"/>
      <c r="C27" s="54">
        <v>1</v>
      </c>
      <c r="D27" s="53">
        <f t="shared" si="1"/>
        <v>0</v>
      </c>
      <c r="E27" s="9"/>
      <c r="F27" s="18"/>
      <c r="G27" s="3"/>
      <c r="H27" s="3"/>
      <c r="I27" s="3"/>
      <c r="J27" s="3"/>
      <c r="K27" s="9"/>
      <c r="L27" s="18"/>
      <c r="M27" s="3"/>
      <c r="N27" s="3"/>
      <c r="P27" s="3"/>
      <c r="Q27" s="3"/>
      <c r="R27" s="3"/>
      <c r="S27" s="3"/>
    </row>
    <row r="28" spans="1:19" ht="19.5" customHeight="1" x14ac:dyDescent="0.45">
      <c r="A28" s="61" t="s">
        <v>65</v>
      </c>
      <c r="B28" s="60"/>
      <c r="C28" s="60">
        <v>1</v>
      </c>
      <c r="D28" s="59">
        <f t="shared" si="1"/>
        <v>0</v>
      </c>
      <c r="E28" s="9"/>
      <c r="F28" s="17"/>
      <c r="G28" s="3"/>
      <c r="H28" s="3"/>
      <c r="I28" s="3"/>
      <c r="J28" s="3"/>
      <c r="K28" s="9"/>
      <c r="L28" s="17"/>
      <c r="M28" s="3"/>
      <c r="N28" s="3"/>
      <c r="P28" s="3"/>
      <c r="Q28" s="3"/>
      <c r="R28" s="3"/>
      <c r="S28" s="3"/>
    </row>
    <row r="29" spans="1:19" ht="19.149999999999999" customHeight="1" x14ac:dyDescent="0.25">
      <c r="A29" s="55" t="s">
        <v>64</v>
      </c>
      <c r="B29" s="54"/>
      <c r="C29" s="54">
        <v>1</v>
      </c>
      <c r="D29" s="53">
        <f t="shared" si="1"/>
        <v>0</v>
      </c>
      <c r="E29" s="9"/>
      <c r="F29" s="3"/>
      <c r="G29" s="3"/>
      <c r="H29" s="3"/>
      <c r="I29" s="3"/>
      <c r="J29" s="3"/>
      <c r="K29" s="3"/>
      <c r="L29" s="3"/>
      <c r="M29" s="3"/>
      <c r="N29" s="3"/>
      <c r="P29" s="3"/>
      <c r="Q29" s="3"/>
      <c r="R29" s="3"/>
      <c r="S29" s="3"/>
    </row>
    <row r="30" spans="1:19" ht="18.600000000000001" customHeight="1" x14ac:dyDescent="0.25">
      <c r="A30" s="58" t="s">
        <v>63</v>
      </c>
      <c r="B30" s="57"/>
      <c r="C30" s="57">
        <v>1</v>
      </c>
      <c r="D30" s="56">
        <f t="shared" si="1"/>
        <v>0</v>
      </c>
      <c r="E30" s="9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/>
    </row>
    <row r="31" spans="1:19" ht="19.5" customHeight="1" x14ac:dyDescent="0.25">
      <c r="A31" s="55" t="s">
        <v>62</v>
      </c>
      <c r="B31" s="54"/>
      <c r="C31" s="54">
        <v>1</v>
      </c>
      <c r="D31" s="53">
        <f t="shared" si="1"/>
        <v>0</v>
      </c>
      <c r="E31" s="9"/>
      <c r="F31" s="3"/>
      <c r="J31" s="3"/>
      <c r="K31" s="3"/>
      <c r="L31" s="3"/>
      <c r="M31" s="3"/>
      <c r="N31" s="3"/>
      <c r="P31" s="3"/>
      <c r="Q31" s="3"/>
      <c r="R31" s="3"/>
      <c r="S31" s="3"/>
    </row>
    <row r="32" spans="1:19" ht="18.600000000000001" customHeight="1" x14ac:dyDescent="0.25">
      <c r="A32" s="58" t="s">
        <v>61</v>
      </c>
      <c r="B32" s="57"/>
      <c r="C32" s="57">
        <v>1</v>
      </c>
      <c r="D32" s="56">
        <f t="shared" si="1"/>
        <v>0</v>
      </c>
      <c r="E32" s="9"/>
      <c r="F32" s="3"/>
      <c r="J32" s="3"/>
      <c r="K32" s="3"/>
      <c r="L32" s="3"/>
      <c r="M32" s="3"/>
      <c r="N32" s="3"/>
      <c r="P32" s="3"/>
      <c r="Q32" s="3"/>
      <c r="R32" s="3"/>
      <c r="S32" s="3"/>
    </row>
    <row r="33" spans="1:19" ht="19.5" customHeight="1" x14ac:dyDescent="0.25">
      <c r="A33" s="55" t="s">
        <v>60</v>
      </c>
      <c r="B33" s="54"/>
      <c r="C33" s="54">
        <v>1</v>
      </c>
      <c r="D33" s="53">
        <f t="shared" si="1"/>
        <v>0</v>
      </c>
      <c r="E33" s="9"/>
      <c r="F33" s="3"/>
      <c r="J33" s="3"/>
      <c r="K33" s="3"/>
      <c r="L33" s="3"/>
      <c r="M33" s="3"/>
      <c r="N33" s="3"/>
      <c r="P33" s="3"/>
      <c r="Q33" s="3"/>
      <c r="R33" s="3"/>
      <c r="S33" s="3"/>
    </row>
    <row r="34" spans="1:19" ht="18.600000000000001" customHeight="1" x14ac:dyDescent="0.25">
      <c r="A34" s="58" t="s">
        <v>59</v>
      </c>
      <c r="B34" s="57"/>
      <c r="C34" s="57">
        <v>1</v>
      </c>
      <c r="D34" s="56">
        <f t="shared" si="1"/>
        <v>0</v>
      </c>
      <c r="E34" s="9"/>
      <c r="F34" s="3"/>
      <c r="J34" s="3"/>
      <c r="K34" s="3"/>
      <c r="L34" s="3"/>
      <c r="M34" s="3"/>
      <c r="N34" s="3"/>
      <c r="P34" s="3"/>
      <c r="Q34" s="3"/>
      <c r="R34" s="3"/>
      <c r="S34" s="3"/>
    </row>
    <row r="35" spans="1:19" ht="19.5" customHeight="1" x14ac:dyDescent="0.25">
      <c r="A35" s="55" t="s">
        <v>58</v>
      </c>
      <c r="B35" s="54"/>
      <c r="C35" s="54">
        <v>1</v>
      </c>
      <c r="D35" s="53">
        <f t="shared" si="1"/>
        <v>0</v>
      </c>
      <c r="E35" s="9"/>
      <c r="F35" s="3"/>
      <c r="J35" s="3"/>
      <c r="K35" s="3"/>
      <c r="L35" s="3"/>
      <c r="M35" s="3"/>
      <c r="N35" s="3"/>
      <c r="P35" s="3"/>
      <c r="Q35" s="3"/>
      <c r="R35" s="3"/>
      <c r="S35" s="3"/>
    </row>
    <row r="36" spans="1:19" ht="18.600000000000001" customHeight="1" x14ac:dyDescent="0.25">
      <c r="A36" s="58" t="s">
        <v>57</v>
      </c>
      <c r="B36" s="57"/>
      <c r="C36" s="57">
        <v>1</v>
      </c>
      <c r="D36" s="56">
        <f t="shared" si="1"/>
        <v>0</v>
      </c>
      <c r="E36" s="9"/>
      <c r="F36" s="3"/>
      <c r="J36" s="3"/>
      <c r="K36" s="3"/>
      <c r="L36" s="3"/>
      <c r="M36" s="3"/>
      <c r="N36" s="3"/>
      <c r="P36" s="3"/>
      <c r="Q36" s="3"/>
      <c r="R36" s="3"/>
      <c r="S36" s="3"/>
    </row>
    <row r="37" spans="1:19" ht="19.5" customHeight="1" x14ac:dyDescent="0.25">
      <c r="A37" s="55" t="s">
        <v>56</v>
      </c>
      <c r="B37" s="54"/>
      <c r="C37" s="54">
        <v>1</v>
      </c>
      <c r="D37" s="53">
        <f t="shared" si="1"/>
        <v>0</v>
      </c>
      <c r="E37" s="9"/>
      <c r="F37" s="3"/>
      <c r="J37" s="3"/>
      <c r="K37" s="3"/>
      <c r="L37" s="3"/>
      <c r="M37" s="3"/>
      <c r="N37" s="3"/>
      <c r="P37" s="3"/>
      <c r="Q37" s="3"/>
      <c r="R37" s="3"/>
      <c r="S37" s="3"/>
    </row>
    <row r="38" spans="1:19" ht="18.600000000000001" customHeight="1" x14ac:dyDescent="0.25">
      <c r="A38" s="58" t="s">
        <v>55</v>
      </c>
      <c r="B38" s="57"/>
      <c r="C38" s="57">
        <v>1</v>
      </c>
      <c r="D38" s="56">
        <f t="shared" si="1"/>
        <v>0</v>
      </c>
      <c r="E38" s="9"/>
      <c r="F38" s="3"/>
      <c r="J38" s="3"/>
      <c r="K38" s="3"/>
      <c r="L38" s="3"/>
      <c r="M38" s="3"/>
      <c r="N38" s="3"/>
      <c r="P38" s="3"/>
      <c r="Q38" s="3"/>
      <c r="R38" s="3"/>
      <c r="S38" s="3"/>
    </row>
    <row r="39" spans="1:19" ht="19.5" customHeight="1" x14ac:dyDescent="0.25">
      <c r="A39" s="55" t="s">
        <v>54</v>
      </c>
      <c r="B39" s="54"/>
      <c r="C39" s="54">
        <v>1</v>
      </c>
      <c r="D39" s="53">
        <f t="shared" si="1"/>
        <v>0</v>
      </c>
      <c r="E39" s="9"/>
      <c r="F39" s="3"/>
      <c r="J39" s="3"/>
      <c r="K39" s="3"/>
      <c r="L39" s="3"/>
      <c r="M39" s="3"/>
      <c r="N39" s="3"/>
      <c r="P39" s="3"/>
      <c r="Q39" s="3"/>
      <c r="R39" s="3"/>
      <c r="S39" s="3"/>
    </row>
    <row r="40" spans="1:19" ht="18.600000000000001" customHeight="1" x14ac:dyDescent="0.25">
      <c r="A40" s="58" t="s">
        <v>53</v>
      </c>
      <c r="B40" s="57"/>
      <c r="C40" s="57">
        <v>1</v>
      </c>
      <c r="D40" s="56">
        <f t="shared" si="1"/>
        <v>0</v>
      </c>
      <c r="E40" s="9"/>
      <c r="F40" s="3"/>
      <c r="J40" s="3"/>
      <c r="K40" s="3"/>
      <c r="L40" s="3"/>
      <c r="M40" s="3"/>
      <c r="N40" s="3"/>
      <c r="P40" s="3"/>
      <c r="Q40" s="3"/>
      <c r="R40" s="3"/>
      <c r="S40" s="3"/>
    </row>
    <row r="41" spans="1:19" ht="19.5" customHeight="1" x14ac:dyDescent="0.25">
      <c r="A41" s="55" t="s">
        <v>52</v>
      </c>
      <c r="B41" s="54"/>
      <c r="C41" s="54">
        <v>1</v>
      </c>
      <c r="D41" s="53">
        <f t="shared" si="1"/>
        <v>0</v>
      </c>
      <c r="E41" s="9"/>
      <c r="F41" s="3"/>
      <c r="J41" s="3"/>
      <c r="K41" s="3"/>
      <c r="L41" s="3"/>
      <c r="M41" s="3"/>
      <c r="N41" s="3"/>
      <c r="P41" s="3"/>
      <c r="Q41" s="3"/>
      <c r="R41" s="3"/>
      <c r="S41" s="3"/>
    </row>
    <row r="42" spans="1:19" ht="18.600000000000001" customHeight="1" x14ac:dyDescent="0.25">
      <c r="A42" s="58" t="s">
        <v>51</v>
      </c>
      <c r="B42" s="57"/>
      <c r="C42" s="57">
        <v>1</v>
      </c>
      <c r="D42" s="56">
        <f t="shared" si="1"/>
        <v>0</v>
      </c>
      <c r="E42" s="9"/>
      <c r="F42" s="3"/>
      <c r="J42" s="3"/>
      <c r="K42" s="3"/>
      <c r="L42" s="3"/>
      <c r="M42" s="3"/>
      <c r="N42" s="3"/>
      <c r="P42" s="3"/>
      <c r="Q42" s="3"/>
      <c r="R42" s="3"/>
      <c r="S42" s="3"/>
    </row>
    <row r="43" spans="1:19" ht="19.5" customHeight="1" x14ac:dyDescent="0.25">
      <c r="A43" s="55" t="s">
        <v>50</v>
      </c>
      <c r="B43" s="54"/>
      <c r="C43" s="54">
        <v>1</v>
      </c>
      <c r="D43" s="53">
        <f t="shared" si="1"/>
        <v>0</v>
      </c>
      <c r="E43" s="9"/>
      <c r="F43" s="3"/>
      <c r="J43" s="3"/>
      <c r="K43" s="3"/>
      <c r="L43" s="3"/>
      <c r="M43" s="3"/>
      <c r="N43" s="3"/>
      <c r="P43" s="3"/>
      <c r="Q43" s="3"/>
      <c r="R43" s="3"/>
      <c r="S43" s="3"/>
    </row>
    <row r="44" spans="1:19" ht="18.600000000000001" customHeight="1" x14ac:dyDescent="0.25">
      <c r="A44" s="58" t="s">
        <v>49</v>
      </c>
      <c r="B44" s="57"/>
      <c r="C44" s="57">
        <v>1</v>
      </c>
      <c r="D44" s="56">
        <f t="shared" si="1"/>
        <v>0</v>
      </c>
      <c r="E44" s="9"/>
      <c r="F44" s="3"/>
      <c r="J44" s="3"/>
      <c r="K44" s="3"/>
      <c r="L44" s="3"/>
      <c r="M44" s="3"/>
      <c r="N44" s="3"/>
      <c r="P44" s="3"/>
      <c r="Q44" s="3"/>
      <c r="R44" s="3"/>
      <c r="S44" s="3"/>
    </row>
    <row r="45" spans="1:19" ht="19.5" customHeight="1" x14ac:dyDescent="0.25">
      <c r="A45" s="55" t="s">
        <v>48</v>
      </c>
      <c r="B45" s="54"/>
      <c r="C45" s="54">
        <v>1</v>
      </c>
      <c r="D45" s="53">
        <f t="shared" si="1"/>
        <v>0</v>
      </c>
      <c r="E45" s="9"/>
      <c r="F45" s="3"/>
      <c r="J45" s="3"/>
      <c r="K45" s="3"/>
      <c r="L45" s="3"/>
      <c r="M45" s="3"/>
      <c r="N45" s="3"/>
      <c r="P45" s="3"/>
      <c r="Q45" s="3"/>
      <c r="R45" s="3"/>
      <c r="S45" s="3"/>
    </row>
    <row r="46" spans="1:19" ht="19.5" customHeight="1" x14ac:dyDescent="0.25">
      <c r="A46" s="52" t="s">
        <v>47</v>
      </c>
      <c r="B46" s="51"/>
      <c r="C46" s="51">
        <v>1</v>
      </c>
      <c r="D46" s="50">
        <f>B46*D22</f>
        <v>0</v>
      </c>
      <c r="E46" s="9"/>
      <c r="I46" s="3"/>
      <c r="J46" s="3"/>
      <c r="K46" s="3"/>
      <c r="L46" s="3"/>
      <c r="M46" s="3"/>
      <c r="N46" s="3"/>
      <c r="P46" s="3"/>
      <c r="Q46" s="3"/>
      <c r="R46" s="3"/>
    </row>
    <row r="47" spans="1:19" ht="19.5" customHeight="1" x14ac:dyDescent="0.25">
      <c r="A47" s="3"/>
      <c r="B47" s="3"/>
      <c r="C47" s="3"/>
      <c r="D47" s="9"/>
      <c r="E47" s="9"/>
      <c r="I47" s="3"/>
      <c r="J47" s="3"/>
      <c r="K47" s="3"/>
      <c r="L47" s="3"/>
      <c r="M47" s="3"/>
      <c r="N47" s="3"/>
      <c r="P47" s="3"/>
      <c r="Q47" s="3"/>
      <c r="R47" s="3"/>
    </row>
    <row r="48" spans="1:19" ht="19.5" customHeight="1" thickBot="1" x14ac:dyDescent="0.3">
      <c r="A48" s="3"/>
      <c r="B48" s="3"/>
      <c r="C48" s="9"/>
      <c r="D48" s="9"/>
      <c r="E48" s="3"/>
      <c r="I48" s="3"/>
      <c r="J48" s="3"/>
      <c r="K48" s="3"/>
      <c r="L48" s="3"/>
      <c r="M48" s="3"/>
      <c r="N48" s="3"/>
      <c r="P48" s="3"/>
      <c r="Q48" s="3"/>
      <c r="R48" s="3"/>
    </row>
    <row r="49" spans="1:18" ht="19.5" customHeight="1" x14ac:dyDescent="0.25">
      <c r="A49" s="49" t="s">
        <v>46</v>
      </c>
      <c r="B49" s="48"/>
      <c r="C49" s="47"/>
      <c r="D49" s="9"/>
      <c r="E49" s="3"/>
      <c r="I49" s="3"/>
      <c r="J49" s="3"/>
      <c r="K49" s="3"/>
      <c r="L49" s="3"/>
      <c r="M49" s="3"/>
      <c r="N49" s="3"/>
      <c r="P49" s="3"/>
      <c r="Q49" s="3"/>
      <c r="R49" s="3"/>
    </row>
    <row r="50" spans="1:18" ht="19.5" customHeight="1" x14ac:dyDescent="0.25">
      <c r="A50" s="3"/>
      <c r="B50" s="3"/>
      <c r="C50" s="9"/>
      <c r="D50" s="9"/>
      <c r="E50" s="3"/>
      <c r="F50" s="46"/>
      <c r="G50" s="45"/>
      <c r="H50" s="45"/>
      <c r="I50" s="3"/>
      <c r="J50" s="3"/>
      <c r="K50" s="3"/>
      <c r="L50" s="3"/>
      <c r="M50" s="3"/>
      <c r="N50" s="3"/>
      <c r="P50" s="3"/>
      <c r="Q50" s="3"/>
      <c r="R50" s="3"/>
    </row>
    <row r="51" spans="1:18" ht="19.5" customHeight="1" x14ac:dyDescent="0.25">
      <c r="A51" s="3"/>
      <c r="B51" s="3"/>
      <c r="C51" s="9"/>
      <c r="D51" s="9"/>
      <c r="E51" s="3"/>
      <c r="F51" s="46"/>
      <c r="G51" s="45"/>
      <c r="H51" s="45"/>
      <c r="I51" s="3"/>
      <c r="J51" s="3"/>
      <c r="K51" s="3"/>
      <c r="L51" s="3"/>
      <c r="M51" s="3"/>
      <c r="N51" s="3"/>
      <c r="P51" s="3"/>
      <c r="Q51" s="3"/>
      <c r="R51" s="3"/>
    </row>
    <row r="52" spans="1:18" ht="19.5" customHeight="1" x14ac:dyDescent="0.25">
      <c r="A52" s="3"/>
      <c r="B52" s="3"/>
      <c r="C52" s="9"/>
      <c r="D52" s="9"/>
      <c r="E52" s="3"/>
      <c r="F52" s="46"/>
      <c r="G52" s="45"/>
      <c r="H52" s="45"/>
      <c r="I52" s="3"/>
      <c r="J52" s="3"/>
      <c r="K52" s="3"/>
      <c r="L52" s="3"/>
      <c r="M52" s="3"/>
      <c r="N52" s="3"/>
      <c r="P52" s="3"/>
      <c r="Q52" s="3"/>
      <c r="R52" s="3"/>
    </row>
    <row r="53" spans="1:18" ht="19.5" customHeight="1" x14ac:dyDescent="0.25">
      <c r="A53" s="3"/>
      <c r="B53" s="3"/>
      <c r="C53" s="9"/>
      <c r="D53" s="9"/>
      <c r="E53" s="3"/>
      <c r="F53" s="46"/>
      <c r="G53" s="45"/>
      <c r="H53" s="45"/>
      <c r="I53" s="3"/>
      <c r="J53" s="3"/>
      <c r="K53" s="3"/>
      <c r="L53" s="3"/>
      <c r="M53" s="3"/>
      <c r="N53" s="3"/>
      <c r="P53" s="3"/>
      <c r="Q53" s="3"/>
      <c r="R53" s="3"/>
    </row>
    <row r="54" spans="1:18" ht="19.5" customHeight="1" x14ac:dyDescent="0.25">
      <c r="A54" s="3"/>
      <c r="B54" s="3"/>
      <c r="C54" s="9"/>
      <c r="D54" s="9"/>
      <c r="E54" s="3"/>
      <c r="F54" s="46"/>
      <c r="G54" s="45"/>
      <c r="H54" s="45"/>
      <c r="I54" s="3"/>
      <c r="J54" s="3"/>
      <c r="K54" s="3"/>
      <c r="L54" s="3"/>
      <c r="M54" s="3"/>
      <c r="N54" s="3"/>
      <c r="P54" s="3"/>
      <c r="Q54" s="3"/>
      <c r="R54" s="3"/>
    </row>
    <row r="55" spans="1:18" ht="19.5" customHeight="1" x14ac:dyDescent="0.25">
      <c r="A55" s="3"/>
      <c r="B55" s="3"/>
      <c r="C55" s="9"/>
      <c r="D55" s="9"/>
      <c r="E55" s="3"/>
      <c r="F55" s="46"/>
      <c r="G55" s="45"/>
      <c r="H55" s="45"/>
      <c r="I55" s="3"/>
      <c r="J55" s="3"/>
      <c r="K55" s="3"/>
      <c r="L55" s="3"/>
      <c r="M55" s="3"/>
      <c r="N55" s="3"/>
      <c r="P55" s="3"/>
      <c r="Q55" s="3"/>
      <c r="R55" s="3"/>
    </row>
    <row r="56" spans="1:18" ht="19.5" customHeight="1" x14ac:dyDescent="0.25">
      <c r="A56" s="3"/>
      <c r="B56" s="3"/>
      <c r="C56" s="9"/>
      <c r="D56" s="9"/>
      <c r="E56" s="3"/>
      <c r="F56" s="46"/>
      <c r="G56" s="45"/>
      <c r="H56" s="45"/>
      <c r="I56" s="3"/>
      <c r="J56" s="3"/>
      <c r="K56" s="3"/>
      <c r="L56" s="3"/>
      <c r="M56" s="3"/>
      <c r="N56" s="3"/>
      <c r="P56" s="3"/>
      <c r="Q56" s="3"/>
      <c r="R56" s="3"/>
    </row>
    <row r="57" spans="1:18" ht="19.5" customHeight="1" x14ac:dyDescent="0.25">
      <c r="A57" s="3"/>
      <c r="B57" s="3"/>
      <c r="C57" s="9"/>
      <c r="D57" s="9"/>
      <c r="E57" s="3"/>
      <c r="F57" s="46"/>
      <c r="G57" s="45"/>
      <c r="H57" s="45"/>
      <c r="I57" s="3"/>
      <c r="J57" s="3"/>
      <c r="K57" s="3"/>
      <c r="L57" s="3"/>
      <c r="M57" s="3"/>
      <c r="N57" s="3"/>
      <c r="P57" s="3"/>
      <c r="Q57" s="3"/>
      <c r="R57" s="3"/>
    </row>
    <row r="58" spans="1:18" ht="19.5" customHeight="1" x14ac:dyDescent="0.25">
      <c r="A58" s="3"/>
      <c r="B58" s="3"/>
      <c r="C58" s="9"/>
      <c r="D58" s="9"/>
      <c r="E58" s="3"/>
      <c r="F58" s="46"/>
      <c r="G58" s="45"/>
      <c r="H58" s="3"/>
      <c r="I58" s="3"/>
      <c r="J58" s="3"/>
      <c r="K58" s="3"/>
      <c r="L58" s="3"/>
      <c r="N58" s="3"/>
      <c r="P58" s="3"/>
      <c r="Q58" s="3"/>
      <c r="R58" s="3"/>
    </row>
    <row r="59" spans="1:18" ht="19.5" customHeight="1" x14ac:dyDescent="0.25">
      <c r="A59" s="3"/>
      <c r="B59" s="3"/>
      <c r="C59" s="9"/>
      <c r="D59" s="9"/>
      <c r="E59" s="3"/>
      <c r="F59" s="3"/>
      <c r="G59" s="3"/>
      <c r="H59" s="3"/>
      <c r="I59" s="3"/>
      <c r="J59" s="3"/>
      <c r="K59" s="3"/>
      <c r="L59" s="3"/>
      <c r="N59" s="3"/>
      <c r="P59" s="3"/>
      <c r="Q59" s="3"/>
      <c r="R59" s="3"/>
    </row>
    <row r="60" spans="1:18" ht="19.5" customHeight="1" x14ac:dyDescent="0.25">
      <c r="A60" s="3"/>
      <c r="B60" s="3"/>
      <c r="C60" s="9"/>
      <c r="D60" s="9"/>
      <c r="E60" s="3"/>
      <c r="F60" s="3"/>
      <c r="G60" s="3"/>
      <c r="H60" s="3"/>
      <c r="I60" s="3"/>
      <c r="J60" s="3"/>
      <c r="K60" s="3"/>
      <c r="L60" s="3"/>
      <c r="N60" s="3"/>
      <c r="P60" s="3"/>
      <c r="Q60" s="3"/>
      <c r="R60" s="3"/>
    </row>
    <row r="61" spans="1:18" ht="19.5" customHeight="1" x14ac:dyDescent="0.25">
      <c r="A61" s="3"/>
      <c r="B61" s="3"/>
      <c r="C61" s="9"/>
      <c r="D61" s="9"/>
      <c r="E61" s="3"/>
      <c r="F61" s="3"/>
      <c r="G61" s="3"/>
      <c r="H61" s="3"/>
      <c r="I61" s="3"/>
      <c r="J61" s="3"/>
      <c r="K61" s="3"/>
      <c r="L61" s="3"/>
      <c r="N61" s="3"/>
      <c r="P61" s="3"/>
      <c r="Q61" s="3"/>
      <c r="R61" s="3"/>
    </row>
    <row r="62" spans="1:18" ht="19.5" customHeight="1" x14ac:dyDescent="0.25">
      <c r="A62" s="3"/>
      <c r="B62" s="3"/>
      <c r="C62" s="9"/>
      <c r="D62" s="9"/>
      <c r="E62" s="3"/>
      <c r="F62" s="3"/>
      <c r="G62" s="3"/>
      <c r="H62" s="3"/>
      <c r="I62" s="3"/>
      <c r="J62" s="3"/>
      <c r="K62" s="3"/>
      <c r="L62" s="3"/>
      <c r="N62" s="3"/>
      <c r="P62" s="3"/>
      <c r="Q62" s="3"/>
      <c r="R62" s="3"/>
    </row>
    <row r="63" spans="1:18" ht="19.5" customHeight="1" x14ac:dyDescent="0.25">
      <c r="A63" s="3"/>
      <c r="B63" s="3"/>
      <c r="C63" s="9"/>
      <c r="D63" s="9"/>
      <c r="E63" s="3"/>
      <c r="F63" s="3"/>
      <c r="G63" s="3"/>
      <c r="H63" s="3"/>
      <c r="I63" s="3"/>
      <c r="J63" s="3"/>
      <c r="K63" s="3"/>
      <c r="L63" s="3"/>
      <c r="N63" s="3"/>
      <c r="P63" s="3"/>
      <c r="Q63" s="3"/>
      <c r="R63" s="3"/>
    </row>
    <row r="64" spans="1:18" ht="19.5" customHeight="1" x14ac:dyDescent="0.25">
      <c r="A64" s="3"/>
      <c r="B64" s="3"/>
      <c r="C64" s="9"/>
      <c r="D64" s="9"/>
      <c r="E64" s="3"/>
      <c r="F64" s="3"/>
      <c r="G64" s="3"/>
      <c r="H64" s="3"/>
      <c r="I64" s="3"/>
      <c r="J64" s="3"/>
      <c r="K64" s="3"/>
      <c r="L64" s="3"/>
      <c r="N64" s="3"/>
      <c r="P64" s="3"/>
      <c r="Q64" s="3"/>
      <c r="R64" s="3"/>
    </row>
    <row r="65" spans="1:18" ht="19.5" customHeight="1" x14ac:dyDescent="0.25">
      <c r="A65" s="3"/>
      <c r="B65" s="3"/>
      <c r="C65" s="9"/>
      <c r="D65" s="9"/>
      <c r="E65" s="3"/>
      <c r="F65" s="3"/>
      <c r="G65" s="3"/>
      <c r="H65" s="3"/>
      <c r="I65" s="3"/>
      <c r="J65" s="3"/>
      <c r="K65" s="3"/>
      <c r="L65" s="3"/>
      <c r="N65" s="3"/>
      <c r="P65" s="3"/>
      <c r="Q65" s="3"/>
      <c r="R65" s="3"/>
    </row>
    <row r="66" spans="1:18" ht="19.5" customHeight="1" x14ac:dyDescent="0.25">
      <c r="A66" s="3"/>
      <c r="B66" s="3"/>
      <c r="C66" s="9"/>
      <c r="D66" s="9"/>
      <c r="E66" s="3"/>
      <c r="F66" s="3"/>
      <c r="G66" s="3"/>
      <c r="H66" s="3"/>
      <c r="I66" s="3"/>
      <c r="J66" s="3"/>
      <c r="K66" s="3"/>
      <c r="L66" s="3"/>
      <c r="N66" s="3"/>
      <c r="P66" s="3"/>
      <c r="Q66" s="3"/>
      <c r="R66" s="3"/>
    </row>
    <row r="67" spans="1:18" ht="19.5" customHeight="1" x14ac:dyDescent="0.25">
      <c r="A67" s="3"/>
      <c r="B67" s="3"/>
      <c r="C67" s="9"/>
      <c r="D67" s="9"/>
      <c r="E67" s="3"/>
      <c r="F67" s="3"/>
      <c r="G67" s="3"/>
      <c r="H67" s="3"/>
      <c r="I67" s="3"/>
      <c r="J67" s="3"/>
      <c r="K67" s="3"/>
      <c r="L67" s="3"/>
      <c r="N67" s="3"/>
      <c r="P67" s="3"/>
      <c r="Q67" s="3"/>
      <c r="R67" s="3"/>
    </row>
    <row r="68" spans="1:18" ht="19.5" customHeight="1" x14ac:dyDescent="0.25">
      <c r="A68" s="3"/>
      <c r="B68" s="3"/>
      <c r="C68" s="9"/>
      <c r="D68" s="9"/>
      <c r="E68" s="3"/>
      <c r="F68" s="3"/>
      <c r="G68" s="3"/>
      <c r="H68" s="3"/>
      <c r="I68" s="3"/>
      <c r="J68" s="3"/>
      <c r="K68" s="3"/>
      <c r="L68" s="3"/>
      <c r="N68" s="3"/>
      <c r="P68" s="3"/>
      <c r="Q68" s="3"/>
      <c r="R68" s="3"/>
    </row>
    <row r="69" spans="1:18" ht="19.5" customHeight="1" x14ac:dyDescent="0.25">
      <c r="A69" s="3"/>
      <c r="B69" s="3"/>
      <c r="C69" s="9"/>
      <c r="D69" s="9"/>
      <c r="E69" s="3"/>
      <c r="F69" s="3"/>
      <c r="G69" s="3"/>
      <c r="H69" s="3"/>
      <c r="I69" s="3"/>
      <c r="J69" s="3"/>
      <c r="K69" s="3"/>
      <c r="L69" s="3"/>
      <c r="N69" s="3"/>
      <c r="P69" s="3"/>
      <c r="Q69" s="3"/>
      <c r="R69" s="3"/>
    </row>
    <row r="70" spans="1:18" ht="19.5" customHeight="1" x14ac:dyDescent="0.25">
      <c r="A70" s="3"/>
      <c r="B70" s="3"/>
      <c r="C70" s="9"/>
      <c r="D70" s="9"/>
      <c r="E70" s="3"/>
      <c r="F70" s="3"/>
      <c r="G70" s="3"/>
      <c r="H70" s="3"/>
      <c r="I70" s="3"/>
      <c r="J70" s="3"/>
      <c r="K70" s="3"/>
      <c r="L70" s="3"/>
      <c r="N70" s="3"/>
      <c r="P70" s="3"/>
      <c r="Q70" s="3"/>
      <c r="R70" s="3"/>
    </row>
    <row r="71" spans="1:18" ht="19.5" customHeight="1" x14ac:dyDescent="0.25">
      <c r="A71" s="3"/>
      <c r="B71" s="3"/>
      <c r="C71" s="9"/>
      <c r="D71" s="9"/>
      <c r="E71" s="3"/>
      <c r="F71" s="3"/>
      <c r="G71" s="3"/>
      <c r="H71" s="3"/>
      <c r="I71" s="3"/>
      <c r="J71" s="3"/>
      <c r="K71" s="3"/>
      <c r="L71" s="3"/>
      <c r="N71" s="3"/>
      <c r="P71" s="3"/>
      <c r="Q71" s="3"/>
      <c r="R71" s="3"/>
    </row>
    <row r="72" spans="1:18" ht="19.5" customHeight="1" x14ac:dyDescent="0.25">
      <c r="A72" s="3"/>
      <c r="B72" s="3"/>
      <c r="C72" s="9"/>
      <c r="D72" s="9"/>
      <c r="E72" s="3"/>
      <c r="F72" s="3"/>
      <c r="G72" s="3"/>
      <c r="H72" s="3"/>
      <c r="I72" s="3"/>
      <c r="J72" s="3"/>
      <c r="K72" s="3"/>
      <c r="L72" s="3"/>
      <c r="N72" s="3"/>
      <c r="P72" s="3"/>
      <c r="Q72" s="3"/>
      <c r="R72" s="3"/>
    </row>
    <row r="73" spans="1:18" ht="19.5" customHeight="1" x14ac:dyDescent="0.25">
      <c r="A73" s="3"/>
      <c r="B73" s="3"/>
      <c r="C73" s="9"/>
      <c r="D73" s="9"/>
      <c r="E73" s="3"/>
      <c r="F73" s="3"/>
      <c r="G73" s="3"/>
      <c r="H73" s="3"/>
      <c r="I73" s="3"/>
      <c r="J73" s="3"/>
      <c r="K73" s="3"/>
      <c r="L73" s="3"/>
      <c r="N73" s="3"/>
      <c r="P73" s="3"/>
      <c r="Q73" s="3"/>
      <c r="R73" s="3"/>
    </row>
    <row r="74" spans="1:18" ht="19.5" customHeight="1" x14ac:dyDescent="0.25">
      <c r="A74" s="3"/>
      <c r="B74" s="3"/>
      <c r="C74" s="9"/>
      <c r="D74" s="9"/>
      <c r="E74" s="3"/>
      <c r="F74" s="3"/>
      <c r="G74" s="3"/>
      <c r="H74" s="3"/>
      <c r="I74" s="3"/>
      <c r="J74" s="3"/>
      <c r="K74" s="3"/>
      <c r="L74" s="3"/>
      <c r="N74" s="3"/>
      <c r="P74" s="3"/>
      <c r="Q74" s="3"/>
      <c r="R74" s="3"/>
    </row>
    <row r="75" spans="1:18" ht="19.5" customHeight="1" x14ac:dyDescent="0.25">
      <c r="A75" s="3"/>
      <c r="B75" s="3"/>
      <c r="C75" s="9"/>
      <c r="D75" s="9"/>
      <c r="E75" s="3"/>
      <c r="F75" s="3"/>
      <c r="G75" s="3"/>
      <c r="H75" s="3"/>
      <c r="I75" s="3"/>
      <c r="J75" s="3"/>
      <c r="K75" s="3"/>
      <c r="L75" s="3"/>
      <c r="N75" s="3"/>
      <c r="P75" s="3"/>
      <c r="Q75" s="3"/>
      <c r="R75" s="3"/>
    </row>
    <row r="76" spans="1:18" ht="19.5" customHeight="1" x14ac:dyDescent="0.25">
      <c r="A76" s="3"/>
      <c r="B76" s="3"/>
      <c r="C76" s="9"/>
      <c r="D76" s="9"/>
      <c r="E76" s="3"/>
      <c r="F76" s="3"/>
      <c r="G76" s="3"/>
      <c r="H76" s="3"/>
      <c r="I76" s="3"/>
      <c r="J76" s="3"/>
      <c r="K76" s="3"/>
      <c r="L76" s="3"/>
      <c r="N76" s="3"/>
      <c r="P76" s="3"/>
      <c r="Q76" s="3"/>
      <c r="R76" s="3"/>
    </row>
    <row r="77" spans="1:18" ht="19.5" customHeight="1" x14ac:dyDescent="0.25">
      <c r="A77" s="3"/>
      <c r="B77" s="3"/>
      <c r="C77" s="9"/>
      <c r="D77" s="9"/>
      <c r="E77" s="3"/>
      <c r="F77" s="3"/>
      <c r="G77" s="3"/>
      <c r="H77" s="3"/>
      <c r="I77" s="3"/>
      <c r="J77" s="3"/>
      <c r="K77" s="3"/>
      <c r="L77" s="3"/>
      <c r="N77" s="3"/>
      <c r="P77" s="3"/>
      <c r="Q77" s="3"/>
      <c r="R77" s="3"/>
    </row>
    <row r="78" spans="1:18" ht="19.5" customHeight="1" x14ac:dyDescent="0.25">
      <c r="A78" s="3"/>
      <c r="B78" s="3"/>
      <c r="C78" s="9"/>
      <c r="D78" s="9"/>
      <c r="E78" s="3"/>
      <c r="F78" s="3"/>
      <c r="G78" s="3"/>
      <c r="H78" s="3"/>
      <c r="I78" s="3"/>
      <c r="J78" s="3"/>
      <c r="K78" s="3"/>
      <c r="L78" s="3"/>
      <c r="N78" s="3"/>
      <c r="P78" s="3"/>
      <c r="Q78" s="3"/>
      <c r="R78" s="3"/>
    </row>
    <row r="79" spans="1:18" ht="19.5" customHeight="1" x14ac:dyDescent="0.25">
      <c r="A79" s="3"/>
      <c r="B79" s="3"/>
      <c r="C79" s="9"/>
      <c r="D79" s="9"/>
      <c r="E79" s="3"/>
      <c r="F79" s="3"/>
      <c r="G79" s="3"/>
      <c r="H79" s="3"/>
      <c r="I79" s="3"/>
      <c r="J79" s="3"/>
      <c r="K79" s="3"/>
      <c r="L79" s="3"/>
      <c r="N79" s="3"/>
      <c r="P79" s="3"/>
      <c r="Q79" s="3"/>
      <c r="R79" s="3"/>
    </row>
    <row r="80" spans="1:18" ht="19.5" customHeight="1" x14ac:dyDescent="0.25">
      <c r="A80" s="3"/>
      <c r="B80" s="3"/>
      <c r="C80" s="9"/>
      <c r="D80" s="9"/>
      <c r="E80" s="3"/>
      <c r="F80" s="3"/>
      <c r="G80" s="3"/>
      <c r="H80" s="3"/>
      <c r="I80" s="3"/>
      <c r="J80" s="3"/>
      <c r="K80" s="3"/>
      <c r="L80" s="3"/>
      <c r="N80" s="3"/>
      <c r="P80" s="3"/>
      <c r="Q80" s="3"/>
      <c r="R80" s="3"/>
    </row>
    <row r="81" spans="1:18" ht="19.5" customHeight="1" x14ac:dyDescent="0.25">
      <c r="A81" s="3"/>
      <c r="B81" s="3"/>
      <c r="C81" s="9"/>
      <c r="D81" s="9"/>
      <c r="E81" s="3"/>
      <c r="F81" s="3"/>
      <c r="G81" s="3"/>
      <c r="H81" s="3"/>
      <c r="I81" s="3"/>
      <c r="J81" s="3"/>
      <c r="K81" s="3"/>
      <c r="L81" s="3"/>
      <c r="N81" s="3"/>
      <c r="P81" s="3"/>
      <c r="Q81" s="3"/>
      <c r="R81" s="3"/>
    </row>
    <row r="82" spans="1:18" ht="19.5" customHeight="1" x14ac:dyDescent="0.25">
      <c r="A82" s="3"/>
      <c r="B82" s="3"/>
      <c r="C82" s="9"/>
      <c r="D82" s="9"/>
      <c r="E82" s="3"/>
      <c r="F82" s="3"/>
      <c r="G82" s="3"/>
      <c r="H82" s="3"/>
      <c r="I82" s="3"/>
      <c r="J82" s="3"/>
      <c r="K82" s="3"/>
      <c r="L82" s="3"/>
      <c r="N82" s="3"/>
      <c r="P82" s="3"/>
      <c r="Q82" s="3"/>
      <c r="R82" s="3"/>
    </row>
    <row r="83" spans="1:18" ht="19.5" customHeight="1" x14ac:dyDescent="0.25">
      <c r="A83" s="3"/>
      <c r="B83" s="3"/>
      <c r="C83" s="9"/>
      <c r="D83" s="9"/>
      <c r="E83" s="3"/>
      <c r="F83" s="3"/>
      <c r="G83" s="3"/>
      <c r="H83" s="3"/>
      <c r="I83" s="3"/>
      <c r="J83" s="3"/>
      <c r="K83" s="3"/>
      <c r="L83" s="3"/>
      <c r="N83" s="3"/>
      <c r="P83" s="3"/>
      <c r="Q83" s="3"/>
      <c r="R83" s="3"/>
    </row>
    <row r="84" spans="1:18" ht="19.5" customHeight="1" x14ac:dyDescent="0.25">
      <c r="A84" s="3"/>
      <c r="B84" s="3"/>
      <c r="C84" s="9"/>
      <c r="D84" s="9"/>
      <c r="E84" s="3"/>
      <c r="F84" s="3"/>
      <c r="G84" s="3"/>
      <c r="H84" s="3"/>
      <c r="I84" s="3"/>
      <c r="J84" s="3"/>
      <c r="K84" s="3"/>
      <c r="L84" s="3"/>
      <c r="N84" s="3"/>
      <c r="P84" s="3"/>
      <c r="Q84" s="3"/>
      <c r="R84" s="3"/>
    </row>
    <row r="85" spans="1:18" ht="19.5" customHeight="1" x14ac:dyDescent="0.25">
      <c r="A85" s="3"/>
      <c r="B85" s="3"/>
      <c r="C85" s="9"/>
      <c r="D85" s="9"/>
      <c r="E85" s="3"/>
      <c r="F85" s="3"/>
      <c r="G85" s="3"/>
      <c r="H85" s="3"/>
      <c r="I85" s="3"/>
      <c r="J85" s="3"/>
      <c r="K85" s="3"/>
      <c r="L85" s="3"/>
      <c r="N85" s="3"/>
      <c r="P85" s="3"/>
      <c r="Q85" s="3"/>
      <c r="R85" s="3"/>
    </row>
    <row r="86" spans="1:18" ht="19.5" customHeight="1" x14ac:dyDescent="0.25">
      <c r="A86" s="3"/>
      <c r="B86" s="3"/>
      <c r="C86" s="9"/>
      <c r="D86" s="9"/>
      <c r="E86" s="3"/>
      <c r="F86" s="3"/>
      <c r="G86" s="3"/>
      <c r="H86" s="3"/>
      <c r="I86" s="3"/>
      <c r="J86" s="3"/>
      <c r="K86" s="3"/>
      <c r="L86" s="3"/>
      <c r="N86" s="3"/>
      <c r="P86" s="3"/>
      <c r="Q86" s="3"/>
      <c r="R86" s="3"/>
    </row>
    <row r="87" spans="1:18" ht="19.5" customHeight="1" x14ac:dyDescent="0.25">
      <c r="A87" s="3"/>
      <c r="B87" s="3"/>
      <c r="C87" s="9"/>
      <c r="D87" s="9"/>
      <c r="E87" s="3"/>
      <c r="F87" s="3"/>
      <c r="G87" s="3"/>
      <c r="H87" s="3"/>
      <c r="I87" s="3"/>
      <c r="J87" s="3"/>
      <c r="K87" s="3"/>
      <c r="L87" s="3"/>
      <c r="N87" s="3"/>
      <c r="P87" s="3"/>
      <c r="Q87" s="3"/>
      <c r="R87" s="3"/>
    </row>
    <row r="88" spans="1:18" ht="19.5" customHeight="1" x14ac:dyDescent="0.25">
      <c r="A88" s="3"/>
      <c r="B88" s="3"/>
      <c r="C88" s="9"/>
      <c r="D88" s="9"/>
      <c r="E88" s="3"/>
      <c r="F88" s="3"/>
      <c r="G88" s="3"/>
      <c r="H88" s="3"/>
      <c r="I88" s="3"/>
      <c r="J88" s="3"/>
      <c r="K88" s="3"/>
      <c r="L88" s="3"/>
      <c r="N88" s="3"/>
      <c r="P88" s="3"/>
      <c r="Q88" s="3"/>
      <c r="R88" s="3"/>
    </row>
    <row r="89" spans="1:18" ht="19.5" customHeight="1" x14ac:dyDescent="0.25">
      <c r="A89" s="3"/>
      <c r="B89" s="3"/>
      <c r="C89" s="9"/>
      <c r="D89" s="9"/>
      <c r="E89" s="3"/>
      <c r="F89" s="3"/>
      <c r="G89" s="3"/>
      <c r="H89" s="3"/>
      <c r="I89" s="3"/>
      <c r="J89" s="3"/>
      <c r="K89" s="3"/>
      <c r="L89" s="3"/>
      <c r="N89" s="3"/>
      <c r="P89" s="3"/>
      <c r="Q89" s="3"/>
      <c r="R89" s="3"/>
    </row>
    <row r="90" spans="1:18" ht="19.5" customHeight="1" x14ac:dyDescent="0.25">
      <c r="A90" s="3"/>
      <c r="B90" s="3"/>
      <c r="C90" s="9"/>
      <c r="D90" s="9"/>
      <c r="E90" s="3"/>
      <c r="F90" s="3"/>
      <c r="G90" s="3"/>
      <c r="H90" s="3"/>
      <c r="I90" s="3"/>
      <c r="J90" s="3"/>
      <c r="K90" s="3"/>
      <c r="L90" s="3"/>
      <c r="N90" s="3"/>
      <c r="P90" s="3"/>
      <c r="Q90" s="3"/>
      <c r="R90" s="3"/>
    </row>
    <row r="91" spans="1:18" ht="19.5" customHeight="1" x14ac:dyDescent="0.25">
      <c r="A91" s="3"/>
      <c r="B91" s="3"/>
      <c r="C91" s="9"/>
      <c r="D91" s="9"/>
      <c r="E91" s="3"/>
      <c r="F91" s="3"/>
      <c r="G91" s="3"/>
      <c r="H91" s="3"/>
      <c r="I91" s="3"/>
      <c r="J91" s="3"/>
      <c r="K91" s="3"/>
      <c r="L91" s="3"/>
      <c r="N91" s="3"/>
      <c r="P91" s="3"/>
      <c r="Q91" s="3"/>
      <c r="R91" s="3"/>
    </row>
    <row r="92" spans="1:18" ht="19.5" customHeight="1" x14ac:dyDescent="0.25">
      <c r="A92" s="3"/>
      <c r="B92" s="3"/>
      <c r="C92" s="9"/>
      <c r="D92" s="9"/>
      <c r="E92" s="3"/>
      <c r="F92" s="3"/>
      <c r="G92" s="3"/>
      <c r="H92" s="3"/>
      <c r="I92" s="3"/>
      <c r="J92" s="3"/>
      <c r="K92" s="3"/>
      <c r="L92" s="3"/>
      <c r="N92" s="3"/>
      <c r="P92" s="3"/>
      <c r="Q92" s="3"/>
      <c r="R92" s="3"/>
    </row>
    <row r="93" spans="1:18" ht="19.5" customHeight="1" x14ac:dyDescent="0.25">
      <c r="A93" s="3"/>
      <c r="B93" s="3"/>
      <c r="C93" s="9"/>
      <c r="D93" s="9"/>
      <c r="E93" s="3"/>
      <c r="F93" s="3"/>
      <c r="G93" s="3"/>
      <c r="H93" s="3"/>
      <c r="I93" s="3"/>
      <c r="J93" s="3"/>
      <c r="K93" s="3"/>
      <c r="L93" s="3"/>
      <c r="N93" s="3"/>
      <c r="P93" s="3"/>
      <c r="Q93" s="3"/>
      <c r="R93" s="3"/>
    </row>
    <row r="94" spans="1:18" ht="19.5" customHeight="1" x14ac:dyDescent="0.25">
      <c r="A94" s="3"/>
      <c r="B94" s="3"/>
      <c r="C94" s="9"/>
      <c r="D94" s="9"/>
      <c r="E94" s="3"/>
      <c r="F94" s="3"/>
      <c r="G94" s="3"/>
      <c r="H94" s="3"/>
      <c r="I94" s="3"/>
      <c r="J94" s="3"/>
      <c r="K94" s="3"/>
      <c r="L94" s="3"/>
      <c r="N94" s="3"/>
      <c r="P94" s="3"/>
      <c r="Q94" s="3"/>
      <c r="R94" s="3"/>
    </row>
    <row r="95" spans="1:18" ht="19.5" customHeight="1" x14ac:dyDescent="0.25">
      <c r="A95" s="3"/>
      <c r="B95" s="3"/>
      <c r="C95" s="9"/>
      <c r="D95" s="9"/>
      <c r="E95" s="3"/>
      <c r="F95" s="3"/>
      <c r="G95" s="3"/>
      <c r="H95" s="3"/>
      <c r="I95" s="3"/>
      <c r="J95" s="3"/>
      <c r="K95" s="3"/>
      <c r="L95" s="3"/>
      <c r="N95" s="3"/>
      <c r="P95" s="3"/>
      <c r="Q95" s="3"/>
      <c r="R95" s="3"/>
    </row>
    <row r="96" spans="1:18" ht="19.5" customHeight="1" x14ac:dyDescent="0.25">
      <c r="A96" s="3"/>
      <c r="B96" s="3"/>
      <c r="C96" s="9"/>
      <c r="D96" s="9"/>
      <c r="E96" s="3"/>
      <c r="F96" s="3"/>
      <c r="G96" s="3"/>
      <c r="H96" s="3"/>
      <c r="I96" s="3"/>
      <c r="J96" s="3"/>
      <c r="K96" s="3"/>
      <c r="L96" s="3"/>
      <c r="N96" s="3"/>
      <c r="P96" s="3"/>
      <c r="Q96" s="3"/>
      <c r="R96" s="3"/>
    </row>
    <row r="97" spans="1:18" ht="19.5" customHeight="1" x14ac:dyDescent="0.25">
      <c r="A97" s="3"/>
      <c r="B97" s="3"/>
      <c r="C97" s="9"/>
      <c r="D97" s="9"/>
      <c r="E97" s="3"/>
      <c r="F97" s="3"/>
      <c r="G97" s="3"/>
      <c r="H97" s="3"/>
      <c r="I97" s="3"/>
      <c r="J97" s="3"/>
      <c r="K97" s="3"/>
      <c r="L97" s="3"/>
      <c r="N97" s="3"/>
      <c r="P97" s="3"/>
      <c r="Q97" s="3"/>
      <c r="R97" s="3"/>
    </row>
    <row r="98" spans="1:18" ht="19.5" customHeight="1" x14ac:dyDescent="0.25">
      <c r="A98" s="3"/>
      <c r="B98" s="3"/>
      <c r="C98" s="9"/>
      <c r="D98" s="9"/>
      <c r="E98" s="3"/>
      <c r="F98" s="3"/>
      <c r="G98" s="3"/>
      <c r="H98" s="3"/>
      <c r="I98" s="3"/>
      <c r="J98" s="3"/>
      <c r="K98" s="3"/>
      <c r="L98" s="3"/>
      <c r="N98" s="3"/>
      <c r="P98" s="3"/>
      <c r="Q98" s="3"/>
      <c r="R98" s="3"/>
    </row>
    <row r="99" spans="1:18" ht="19.5" customHeight="1" x14ac:dyDescent="0.25">
      <c r="A99" s="3"/>
      <c r="B99" s="3"/>
      <c r="C99" s="9"/>
      <c r="D99" s="9"/>
      <c r="E99" s="3"/>
      <c r="F99" s="3"/>
      <c r="G99" s="3"/>
      <c r="H99" s="3"/>
      <c r="I99" s="3"/>
      <c r="J99" s="3"/>
      <c r="K99" s="3"/>
      <c r="L99" s="3"/>
      <c r="N99" s="3"/>
      <c r="P99" s="3"/>
      <c r="Q99" s="3"/>
      <c r="R99" s="3"/>
    </row>
    <row r="100" spans="1:18" ht="19.5" customHeight="1" x14ac:dyDescent="0.25">
      <c r="A100" s="3"/>
      <c r="B100" s="3"/>
      <c r="C100" s="9"/>
      <c r="D100" s="9"/>
      <c r="E100" s="3"/>
      <c r="F100" s="3"/>
      <c r="G100" s="3"/>
      <c r="H100" s="3"/>
      <c r="I100" s="3"/>
      <c r="J100" s="3"/>
      <c r="K100" s="3"/>
      <c r="L100" s="3"/>
      <c r="N100" s="3"/>
      <c r="P100" s="3"/>
      <c r="Q100" s="3"/>
      <c r="R100" s="3"/>
    </row>
    <row r="101" spans="1:18" ht="19.5" customHeight="1" x14ac:dyDescent="0.25">
      <c r="A101" s="3"/>
      <c r="B101" s="3"/>
      <c r="C101" s="9"/>
      <c r="D101" s="9"/>
      <c r="E101" s="3"/>
      <c r="F101" s="3"/>
      <c r="G101" s="3"/>
      <c r="H101" s="3"/>
      <c r="I101" s="3"/>
      <c r="J101" s="3"/>
      <c r="K101" s="3"/>
      <c r="L101" s="3"/>
      <c r="N101" s="3"/>
      <c r="P101" s="3"/>
      <c r="Q101" s="3"/>
      <c r="R101" s="3"/>
    </row>
    <row r="102" spans="1:18" ht="19.5" customHeight="1" x14ac:dyDescent="0.25">
      <c r="A102" s="3"/>
      <c r="B102" s="3"/>
      <c r="C102" s="9"/>
      <c r="D102" s="9"/>
      <c r="E102" s="3"/>
      <c r="F102" s="3"/>
      <c r="G102" s="3"/>
      <c r="H102" s="3"/>
      <c r="I102" s="3"/>
      <c r="J102" s="3"/>
      <c r="K102" s="3"/>
      <c r="L102" s="3"/>
      <c r="N102" s="3"/>
      <c r="P102" s="3"/>
      <c r="Q102" s="3"/>
      <c r="R102" s="3"/>
    </row>
    <row r="103" spans="1:18" ht="19.5" customHeight="1" x14ac:dyDescent="0.25">
      <c r="A103" s="3"/>
      <c r="B103" s="3"/>
      <c r="C103" s="9"/>
      <c r="D103" s="9"/>
      <c r="E103" s="3"/>
      <c r="F103" s="3"/>
      <c r="G103" s="3"/>
      <c r="H103" s="3"/>
      <c r="I103" s="3"/>
      <c r="J103" s="3"/>
      <c r="K103" s="3"/>
      <c r="L103" s="3"/>
      <c r="N103" s="3"/>
      <c r="P103" s="3"/>
      <c r="Q103" s="3"/>
      <c r="R103" s="3"/>
    </row>
    <row r="104" spans="1:18" ht="19.5" customHeight="1" x14ac:dyDescent="0.25">
      <c r="A104" s="3"/>
      <c r="B104" s="3"/>
      <c r="C104" s="9"/>
      <c r="D104" s="9"/>
      <c r="E104" s="3"/>
      <c r="F104" s="3"/>
      <c r="G104" s="3"/>
      <c r="H104" s="3"/>
      <c r="I104" s="3"/>
      <c r="J104" s="3"/>
      <c r="K104" s="3"/>
      <c r="L104" s="3"/>
      <c r="N104" s="3"/>
      <c r="P104" s="3"/>
      <c r="Q104" s="3"/>
      <c r="R104" s="3"/>
    </row>
    <row r="105" spans="1:18" ht="19.5" customHeight="1" x14ac:dyDescent="0.25">
      <c r="A105" s="3"/>
      <c r="B105" s="3"/>
      <c r="C105" s="9"/>
      <c r="D105" s="9"/>
      <c r="E105" s="3"/>
      <c r="F105" s="3"/>
      <c r="G105" s="3"/>
      <c r="H105" s="3"/>
      <c r="I105" s="3"/>
      <c r="J105" s="3"/>
      <c r="K105" s="3"/>
      <c r="L105" s="3"/>
      <c r="N105" s="3"/>
      <c r="P105" s="3"/>
      <c r="Q105" s="3"/>
      <c r="R105" s="3"/>
    </row>
    <row r="106" spans="1:18" ht="19.5" customHeight="1" x14ac:dyDescent="0.25">
      <c r="A106" s="3"/>
      <c r="B106" s="3"/>
      <c r="C106" s="9"/>
      <c r="D106" s="9"/>
      <c r="E106" s="3"/>
      <c r="F106" s="3"/>
      <c r="G106" s="3"/>
      <c r="H106" s="3"/>
      <c r="I106" s="3"/>
      <c r="J106" s="3"/>
      <c r="K106" s="3"/>
      <c r="L106" s="3"/>
      <c r="N106" s="3"/>
      <c r="P106" s="3"/>
      <c r="Q106" s="3"/>
      <c r="R106" s="3"/>
    </row>
    <row r="107" spans="1:18" ht="19.5" customHeight="1" x14ac:dyDescent="0.25">
      <c r="A107" s="3"/>
      <c r="B107" s="3"/>
      <c r="C107" s="9"/>
      <c r="D107" s="9"/>
      <c r="E107" s="3"/>
      <c r="F107" s="3"/>
      <c r="G107" s="3"/>
      <c r="H107" s="3"/>
      <c r="I107" s="3"/>
      <c r="J107" s="3"/>
      <c r="K107" s="3"/>
      <c r="L107" s="3"/>
      <c r="N107" s="3"/>
      <c r="P107" s="3"/>
      <c r="Q107" s="3"/>
      <c r="R107" s="3"/>
    </row>
    <row r="108" spans="1:18" ht="19.5" customHeight="1" x14ac:dyDescent="0.25">
      <c r="A108" s="3"/>
      <c r="B108" s="3"/>
      <c r="C108" s="9"/>
      <c r="D108" s="9"/>
      <c r="E108" s="3"/>
      <c r="F108" s="3"/>
      <c r="G108" s="3"/>
      <c r="H108" s="3"/>
      <c r="I108" s="3"/>
      <c r="J108" s="3"/>
      <c r="K108" s="3"/>
      <c r="L108" s="3"/>
      <c r="N108" s="3"/>
      <c r="P108" s="3"/>
      <c r="Q108" s="3"/>
      <c r="R108" s="3"/>
    </row>
    <row r="109" spans="1:18" ht="19.5" customHeight="1" x14ac:dyDescent="0.25">
      <c r="A109" s="3"/>
      <c r="B109" s="3"/>
      <c r="C109" s="9"/>
      <c r="D109" s="9"/>
      <c r="E109" s="3"/>
      <c r="F109" s="3"/>
      <c r="G109" s="3"/>
      <c r="H109" s="3"/>
      <c r="I109" s="3"/>
      <c r="J109" s="3"/>
      <c r="K109" s="3"/>
      <c r="L109" s="3"/>
      <c r="N109" s="3"/>
      <c r="P109" s="3"/>
      <c r="Q109" s="3"/>
      <c r="R109" s="3"/>
    </row>
    <row r="110" spans="1:18" ht="19.5" customHeight="1" x14ac:dyDescent="0.25">
      <c r="A110" s="3"/>
      <c r="B110" s="3"/>
      <c r="C110" s="9"/>
      <c r="D110" s="9"/>
      <c r="E110" s="3"/>
      <c r="F110" s="3"/>
      <c r="G110" s="3"/>
      <c r="H110" s="3"/>
      <c r="I110" s="3"/>
      <c r="J110" s="3"/>
      <c r="K110" s="3"/>
      <c r="L110" s="3"/>
      <c r="N110" s="3"/>
      <c r="P110" s="3"/>
      <c r="Q110" s="3"/>
      <c r="R110" s="3"/>
    </row>
    <row r="111" spans="1:18" ht="19.5" customHeight="1" x14ac:dyDescent="0.25">
      <c r="A111" s="3"/>
      <c r="B111" s="3"/>
      <c r="C111" s="9"/>
      <c r="D111" s="9"/>
      <c r="E111" s="3"/>
      <c r="F111" s="3"/>
      <c r="G111" s="3"/>
      <c r="H111" s="3"/>
      <c r="I111" s="3"/>
      <c r="J111" s="3"/>
      <c r="K111" s="3"/>
      <c r="L111" s="3"/>
      <c r="N111" s="3"/>
      <c r="P111" s="3"/>
      <c r="Q111" s="3"/>
      <c r="R111" s="3"/>
    </row>
    <row r="112" spans="1:18" ht="19.5" customHeight="1" x14ac:dyDescent="0.25">
      <c r="A112" s="3"/>
      <c r="B112" s="3"/>
      <c r="C112" s="9"/>
      <c r="D112" s="9"/>
      <c r="E112" s="3"/>
      <c r="F112" s="3"/>
      <c r="G112" s="3"/>
      <c r="H112" s="3"/>
      <c r="I112" s="3"/>
      <c r="J112" s="3"/>
      <c r="K112" s="3"/>
      <c r="L112" s="3"/>
      <c r="N112" s="3"/>
      <c r="P112" s="3"/>
      <c r="Q112" s="3"/>
      <c r="R112" s="3"/>
    </row>
    <row r="113" spans="1:18" ht="19.5" customHeight="1" x14ac:dyDescent="0.25">
      <c r="A113" s="3"/>
      <c r="B113" s="3"/>
      <c r="C113" s="9"/>
      <c r="D113" s="9"/>
      <c r="E113" s="3"/>
      <c r="F113" s="3"/>
      <c r="G113" s="3"/>
      <c r="H113" s="3"/>
      <c r="I113" s="3"/>
      <c r="J113" s="3"/>
      <c r="K113" s="3"/>
      <c r="L113" s="3"/>
      <c r="N113" s="3"/>
      <c r="P113" s="3"/>
      <c r="Q113" s="3"/>
      <c r="R113" s="3"/>
    </row>
    <row r="114" spans="1:18" ht="19.5" customHeight="1" x14ac:dyDescent="0.25">
      <c r="A114" s="3"/>
      <c r="B114" s="3"/>
      <c r="C114" s="9"/>
      <c r="D114" s="9"/>
      <c r="E114" s="3"/>
      <c r="F114" s="3"/>
      <c r="G114" s="3"/>
      <c r="H114" s="3"/>
      <c r="I114" s="3"/>
      <c r="J114" s="3"/>
      <c r="K114" s="3"/>
      <c r="L114" s="3"/>
      <c r="N114" s="3"/>
      <c r="P114" s="3"/>
      <c r="Q114" s="3"/>
      <c r="R114" s="3"/>
    </row>
    <row r="115" spans="1:18" ht="19.5" customHeight="1" x14ac:dyDescent="0.25">
      <c r="A115" s="3"/>
      <c r="B115" s="3"/>
      <c r="C115" s="9"/>
      <c r="D115" s="9"/>
      <c r="E115" s="3"/>
      <c r="F115" s="3"/>
      <c r="G115" s="3"/>
      <c r="H115" s="3"/>
      <c r="I115" s="3"/>
      <c r="J115" s="3"/>
      <c r="K115" s="3"/>
      <c r="L115" s="3"/>
      <c r="N115" s="3"/>
      <c r="P115" s="3"/>
      <c r="Q115" s="3"/>
      <c r="R115" s="3"/>
    </row>
    <row r="116" spans="1:18" ht="19.5" customHeight="1" x14ac:dyDescent="0.25">
      <c r="A116" s="3"/>
      <c r="B116" s="3"/>
      <c r="C116" s="9"/>
      <c r="D116" s="9"/>
      <c r="E116" s="3"/>
      <c r="F116" s="3"/>
      <c r="G116" s="3"/>
      <c r="H116" s="3"/>
      <c r="I116" s="3"/>
      <c r="J116" s="3"/>
      <c r="K116" s="3"/>
      <c r="L116" s="3"/>
      <c r="N116" s="3"/>
      <c r="P116" s="3"/>
      <c r="Q116" s="3"/>
      <c r="R116" s="3"/>
    </row>
    <row r="117" spans="1:18" ht="19.5" customHeight="1" x14ac:dyDescent="0.25">
      <c r="A117" s="3"/>
      <c r="B117" s="3"/>
      <c r="C117" s="9"/>
      <c r="D117" s="9"/>
      <c r="E117" s="3"/>
      <c r="F117" s="3"/>
      <c r="G117" s="3"/>
      <c r="H117" s="3"/>
      <c r="I117" s="3"/>
      <c r="J117" s="3"/>
      <c r="K117" s="3"/>
      <c r="L117" s="3"/>
      <c r="N117" s="3"/>
      <c r="P117" s="3"/>
      <c r="Q117" s="3"/>
      <c r="R117" s="3"/>
    </row>
    <row r="118" spans="1:18" ht="19.5" customHeight="1" x14ac:dyDescent="0.25">
      <c r="A118" s="3"/>
      <c r="B118" s="3"/>
      <c r="C118" s="9"/>
      <c r="D118" s="9"/>
      <c r="E118" s="3"/>
      <c r="F118" s="3"/>
      <c r="G118" s="3"/>
      <c r="H118" s="3"/>
      <c r="I118" s="3"/>
      <c r="J118" s="3"/>
      <c r="K118" s="3"/>
      <c r="L118" s="3"/>
      <c r="N118" s="3"/>
      <c r="P118" s="3"/>
      <c r="Q118" s="3"/>
      <c r="R118" s="3"/>
    </row>
    <row r="119" spans="1:18" ht="19.5" customHeight="1" x14ac:dyDescent="0.25">
      <c r="A119" s="3"/>
      <c r="B119" s="3"/>
      <c r="C119" s="9"/>
      <c r="D119" s="9"/>
      <c r="E119" s="3"/>
      <c r="F119" s="3"/>
      <c r="G119" s="3"/>
      <c r="H119" s="3"/>
      <c r="I119" s="3"/>
      <c r="J119" s="3"/>
      <c r="K119" s="3"/>
      <c r="L119" s="3"/>
      <c r="N119" s="3"/>
      <c r="P119" s="3"/>
      <c r="Q119" s="3"/>
      <c r="R119" s="3"/>
    </row>
    <row r="120" spans="1:18" ht="19.5" customHeight="1" x14ac:dyDescent="0.25">
      <c r="A120" s="3"/>
      <c r="B120" s="3"/>
      <c r="C120" s="9"/>
      <c r="D120" s="9"/>
      <c r="E120" s="3"/>
      <c r="F120" s="3"/>
      <c r="G120" s="3"/>
      <c r="H120" s="3"/>
      <c r="I120" s="3"/>
      <c r="J120" s="3"/>
      <c r="K120" s="3"/>
      <c r="L120" s="3"/>
      <c r="N120" s="3"/>
      <c r="P120" s="3"/>
      <c r="Q120" s="3"/>
      <c r="R120" s="3"/>
    </row>
    <row r="121" spans="1:18" ht="19.5" customHeight="1" x14ac:dyDescent="0.25">
      <c r="A121" s="3"/>
      <c r="B121" s="3"/>
      <c r="C121" s="9"/>
      <c r="D121" s="9"/>
      <c r="E121" s="3"/>
      <c r="F121" s="3"/>
      <c r="G121" s="3"/>
      <c r="H121" s="3"/>
      <c r="I121" s="3"/>
      <c r="J121" s="3"/>
      <c r="K121" s="3"/>
      <c r="L121" s="3"/>
      <c r="N121" s="3"/>
      <c r="P121" s="3"/>
      <c r="Q121" s="3"/>
      <c r="R121" s="3"/>
    </row>
    <row r="122" spans="1:18" ht="19.5" customHeight="1" x14ac:dyDescent="0.25">
      <c r="A122" s="3"/>
      <c r="B122" s="3"/>
      <c r="C122" s="9"/>
      <c r="D122" s="9"/>
      <c r="E122" s="3"/>
      <c r="F122" s="3"/>
      <c r="G122" s="3"/>
      <c r="H122" s="3"/>
      <c r="I122" s="3"/>
      <c r="J122" s="3"/>
      <c r="K122" s="3"/>
      <c r="L122" s="3"/>
      <c r="N122" s="3"/>
      <c r="P122" s="3"/>
      <c r="Q122" s="3"/>
      <c r="R122" s="3"/>
    </row>
    <row r="123" spans="1:18" ht="19.5" customHeight="1" x14ac:dyDescent="0.25">
      <c r="A123" s="3"/>
      <c r="B123" s="3"/>
      <c r="C123" s="9"/>
      <c r="D123" s="9"/>
      <c r="E123" s="3"/>
      <c r="F123" s="3"/>
      <c r="G123" s="3"/>
      <c r="H123" s="3"/>
      <c r="I123" s="3"/>
      <c r="J123" s="3"/>
      <c r="K123" s="3"/>
      <c r="L123" s="3"/>
      <c r="N123" s="3"/>
      <c r="P123" s="3"/>
      <c r="Q123" s="3"/>
      <c r="R123" s="3"/>
    </row>
    <row r="124" spans="1:18" ht="19.5" customHeight="1" x14ac:dyDescent="0.25">
      <c r="A124" s="3"/>
      <c r="B124" s="3"/>
      <c r="C124" s="9"/>
      <c r="D124" s="9"/>
      <c r="E124" s="3"/>
      <c r="F124" s="3"/>
      <c r="G124" s="3"/>
      <c r="H124" s="3"/>
      <c r="I124" s="3"/>
      <c r="J124" s="3"/>
      <c r="K124" s="3"/>
      <c r="L124" s="3"/>
      <c r="N124" s="3"/>
      <c r="P124" s="3"/>
      <c r="Q124" s="3"/>
      <c r="R124" s="3"/>
    </row>
    <row r="125" spans="1:18" ht="19.5" customHeight="1" x14ac:dyDescent="0.25">
      <c r="A125" s="3"/>
      <c r="B125" s="3"/>
      <c r="C125" s="9"/>
      <c r="D125" s="9"/>
      <c r="E125" s="3"/>
      <c r="F125" s="3"/>
      <c r="G125" s="3"/>
      <c r="H125" s="3"/>
      <c r="I125" s="3"/>
      <c r="J125" s="3"/>
      <c r="K125" s="3"/>
      <c r="L125" s="3"/>
      <c r="N125" s="3"/>
      <c r="P125" s="3"/>
      <c r="Q125" s="3"/>
      <c r="R125" s="3"/>
    </row>
    <row r="126" spans="1:18" ht="19.5" customHeight="1" x14ac:dyDescent="0.25">
      <c r="A126" s="3"/>
      <c r="B126" s="3"/>
      <c r="C126" s="9"/>
      <c r="D126" s="9"/>
      <c r="E126" s="3"/>
      <c r="F126" s="3"/>
      <c r="G126" s="3"/>
      <c r="H126" s="3"/>
      <c r="I126" s="3"/>
      <c r="J126" s="3"/>
      <c r="K126" s="3"/>
      <c r="L126" s="3"/>
      <c r="N126" s="3"/>
      <c r="P126" s="3"/>
      <c r="Q126" s="3"/>
      <c r="R126" s="3"/>
    </row>
    <row r="127" spans="1:18" ht="19.5" customHeight="1" x14ac:dyDescent="0.25">
      <c r="A127" s="3"/>
      <c r="B127" s="3"/>
      <c r="C127" s="9"/>
      <c r="D127" s="9"/>
      <c r="E127" s="3"/>
      <c r="F127" s="3"/>
      <c r="G127" s="3"/>
      <c r="H127" s="3"/>
      <c r="I127" s="3"/>
      <c r="J127" s="3"/>
      <c r="K127" s="3"/>
      <c r="L127" s="3"/>
      <c r="N127" s="3"/>
      <c r="P127" s="3"/>
      <c r="Q127" s="3"/>
      <c r="R127" s="3"/>
    </row>
    <row r="128" spans="1:18" ht="19.5" customHeight="1" x14ac:dyDescent="0.25">
      <c r="A128" s="3"/>
      <c r="B128" s="3"/>
      <c r="C128" s="9"/>
      <c r="D128" s="9"/>
      <c r="E128" s="3"/>
      <c r="F128" s="3"/>
      <c r="G128" s="3"/>
      <c r="H128" s="3"/>
      <c r="I128" s="3"/>
      <c r="J128" s="3"/>
      <c r="K128" s="3"/>
      <c r="L128" s="3"/>
      <c r="N128" s="3"/>
      <c r="P128" s="3"/>
      <c r="Q128" s="3"/>
      <c r="R128" s="3"/>
    </row>
    <row r="129" spans="1:18" ht="19.5" customHeight="1" x14ac:dyDescent="0.25">
      <c r="A129" s="3"/>
      <c r="B129" s="3"/>
      <c r="C129" s="9"/>
      <c r="D129" s="9"/>
      <c r="E129" s="3"/>
      <c r="F129" s="3"/>
      <c r="G129" s="3"/>
      <c r="H129" s="3"/>
      <c r="I129" s="3"/>
      <c r="J129" s="3"/>
      <c r="K129" s="3"/>
      <c r="L129" s="3"/>
      <c r="N129" s="3"/>
      <c r="P129" s="3"/>
      <c r="Q129" s="3"/>
      <c r="R129" s="3"/>
    </row>
    <row r="130" spans="1:18" ht="19.5" customHeight="1" x14ac:dyDescent="0.25">
      <c r="A130" s="3"/>
      <c r="B130" s="3"/>
      <c r="C130" s="9"/>
      <c r="D130" s="9"/>
      <c r="E130" s="3"/>
      <c r="F130" s="3"/>
      <c r="G130" s="3"/>
      <c r="H130" s="3"/>
      <c r="I130" s="3"/>
      <c r="J130" s="3"/>
      <c r="K130" s="3"/>
      <c r="L130" s="3"/>
      <c r="N130" s="3"/>
      <c r="P130" s="3"/>
      <c r="Q130" s="3"/>
      <c r="R130" s="3"/>
    </row>
    <row r="131" spans="1:18" ht="19.5" customHeight="1" x14ac:dyDescent="0.25">
      <c r="A131" s="3"/>
      <c r="B131" s="3"/>
      <c r="C131" s="9"/>
      <c r="D131" s="9"/>
      <c r="E131" s="3"/>
      <c r="F131" s="3"/>
      <c r="G131" s="3"/>
      <c r="H131" s="3"/>
      <c r="I131" s="3"/>
      <c r="J131" s="3"/>
      <c r="K131" s="3"/>
      <c r="L131" s="3"/>
      <c r="N131" s="3"/>
      <c r="P131" s="3"/>
      <c r="Q131" s="3"/>
      <c r="R131" s="3"/>
    </row>
    <row r="132" spans="1:18" ht="19.5" customHeight="1" x14ac:dyDescent="0.25">
      <c r="A132" s="3"/>
      <c r="B132" s="3"/>
      <c r="C132" s="9"/>
      <c r="D132" s="9"/>
      <c r="E132" s="3"/>
      <c r="F132" s="3"/>
      <c r="G132" s="3"/>
      <c r="H132" s="3"/>
      <c r="I132" s="3"/>
      <c r="J132" s="3"/>
      <c r="K132" s="3"/>
      <c r="L132" s="3"/>
      <c r="N132" s="3"/>
      <c r="P132" s="3"/>
      <c r="Q132" s="3"/>
      <c r="R132" s="3"/>
    </row>
    <row r="133" spans="1:18" ht="19.5" customHeight="1" x14ac:dyDescent="0.25">
      <c r="A133" s="3"/>
      <c r="B133" s="3"/>
      <c r="C133" s="9"/>
      <c r="D133" s="9"/>
      <c r="E133" s="3"/>
      <c r="F133" s="3"/>
      <c r="G133" s="3"/>
      <c r="H133" s="3"/>
      <c r="I133" s="3"/>
      <c r="J133" s="3"/>
      <c r="K133" s="3"/>
      <c r="L133" s="3"/>
      <c r="N133" s="3"/>
      <c r="P133" s="3"/>
      <c r="Q133" s="3"/>
      <c r="R133" s="3"/>
    </row>
    <row r="134" spans="1:18" ht="19.5" customHeight="1" x14ac:dyDescent="0.25">
      <c r="A134" s="3"/>
      <c r="B134" s="3"/>
      <c r="C134" s="9"/>
      <c r="D134" s="9"/>
      <c r="E134" s="3"/>
      <c r="F134" s="3"/>
      <c r="G134" s="3"/>
      <c r="H134" s="3"/>
      <c r="I134" s="3"/>
      <c r="J134" s="3"/>
      <c r="K134" s="3"/>
      <c r="L134" s="3"/>
      <c r="N134" s="3"/>
      <c r="P134" s="3"/>
      <c r="Q134" s="3"/>
      <c r="R134" s="3"/>
    </row>
    <row r="135" spans="1:18" ht="19.5" customHeight="1" x14ac:dyDescent="0.25">
      <c r="A135" s="3"/>
      <c r="B135" s="3"/>
      <c r="C135" s="9"/>
      <c r="D135" s="9"/>
      <c r="E135" s="3"/>
      <c r="F135" s="3"/>
      <c r="G135" s="3"/>
      <c r="H135" s="3"/>
      <c r="I135" s="3"/>
      <c r="J135" s="3"/>
      <c r="K135" s="3"/>
      <c r="L135" s="3"/>
      <c r="N135" s="3"/>
      <c r="P135" s="3"/>
      <c r="Q135" s="3"/>
      <c r="R135" s="3"/>
    </row>
    <row r="136" spans="1:18" ht="19.5" customHeight="1" x14ac:dyDescent="0.25">
      <c r="A136" s="3"/>
      <c r="B136" s="3"/>
      <c r="C136" s="9"/>
      <c r="D136" s="9"/>
      <c r="E136" s="3"/>
      <c r="F136" s="3"/>
      <c r="G136" s="3"/>
      <c r="H136" s="3"/>
      <c r="I136" s="3"/>
      <c r="J136" s="3"/>
      <c r="K136" s="3"/>
      <c r="L136" s="3"/>
      <c r="N136" s="3"/>
      <c r="P136" s="3"/>
      <c r="Q136" s="3"/>
      <c r="R136" s="3"/>
    </row>
    <row r="137" spans="1:18" ht="19.5" customHeight="1" x14ac:dyDescent="0.25">
      <c r="A137" s="3"/>
      <c r="B137" s="3"/>
      <c r="C137" s="9"/>
      <c r="D137" s="9"/>
      <c r="E137" s="3"/>
      <c r="F137" s="3"/>
      <c r="G137" s="3"/>
      <c r="H137" s="3"/>
      <c r="I137" s="3"/>
      <c r="J137" s="3"/>
      <c r="K137" s="3"/>
      <c r="L137" s="3"/>
      <c r="N137" s="3"/>
      <c r="P137" s="3"/>
      <c r="Q137" s="3"/>
      <c r="R137" s="3"/>
    </row>
    <row r="138" spans="1:18" ht="19.5" customHeight="1" x14ac:dyDescent="0.25">
      <c r="A138" s="3"/>
      <c r="B138" s="3"/>
      <c r="C138" s="9"/>
      <c r="D138" s="9"/>
      <c r="E138" s="3"/>
      <c r="F138" s="3"/>
      <c r="G138" s="3"/>
      <c r="H138" s="3"/>
      <c r="I138" s="3"/>
      <c r="J138" s="3"/>
      <c r="K138" s="3"/>
      <c r="L138" s="3"/>
      <c r="N138" s="3"/>
      <c r="P138" s="3"/>
      <c r="Q138" s="3"/>
      <c r="R138" s="3"/>
    </row>
    <row r="139" spans="1:18" ht="19.5" customHeight="1" x14ac:dyDescent="0.25">
      <c r="A139" s="3"/>
      <c r="B139" s="3"/>
      <c r="C139" s="9"/>
      <c r="D139" s="9"/>
      <c r="E139" s="3"/>
      <c r="F139" s="3"/>
      <c r="G139" s="3"/>
      <c r="H139" s="3"/>
      <c r="I139" s="3"/>
      <c r="J139" s="3"/>
      <c r="K139" s="3"/>
      <c r="L139" s="3"/>
      <c r="N139" s="3"/>
      <c r="P139" s="3"/>
      <c r="Q139" s="3"/>
      <c r="R139" s="3"/>
    </row>
    <row r="140" spans="1:18" ht="19.5" customHeight="1" x14ac:dyDescent="0.25">
      <c r="A140" s="3"/>
      <c r="B140" s="3"/>
      <c r="C140" s="9"/>
      <c r="D140" s="9"/>
      <c r="E140" s="3"/>
      <c r="F140" s="3"/>
      <c r="G140" s="3"/>
      <c r="H140" s="3"/>
      <c r="I140" s="3"/>
      <c r="J140" s="3"/>
      <c r="K140" s="3"/>
      <c r="L140" s="3"/>
      <c r="N140" s="3"/>
      <c r="P140" s="3"/>
      <c r="Q140" s="3"/>
      <c r="R140" s="3"/>
    </row>
    <row r="141" spans="1:18" ht="19.5" customHeight="1" x14ac:dyDescent="0.25">
      <c r="A141" s="3"/>
      <c r="B141" s="3"/>
      <c r="C141" s="9"/>
      <c r="D141" s="9"/>
      <c r="E141" s="3"/>
      <c r="F141" s="3"/>
      <c r="G141" s="3"/>
      <c r="H141" s="3"/>
      <c r="I141" s="3"/>
      <c r="J141" s="3"/>
      <c r="K141" s="3"/>
      <c r="L141" s="3"/>
      <c r="N141" s="3"/>
      <c r="P141" s="3"/>
      <c r="Q141" s="3"/>
      <c r="R141" s="3"/>
    </row>
    <row r="142" spans="1:18" ht="19.5" customHeight="1" x14ac:dyDescent="0.25">
      <c r="A142" s="3"/>
      <c r="B142" s="3"/>
      <c r="C142" s="9"/>
      <c r="D142" s="9"/>
      <c r="E142" s="3"/>
      <c r="F142" s="3"/>
      <c r="G142" s="3"/>
      <c r="H142" s="3"/>
      <c r="I142" s="3"/>
      <c r="J142" s="3"/>
      <c r="K142" s="3"/>
      <c r="L142" s="3"/>
      <c r="N142" s="3"/>
      <c r="P142" s="3"/>
      <c r="Q142" s="3"/>
      <c r="R142" s="3"/>
    </row>
    <row r="143" spans="1:18" ht="19.5" customHeight="1" x14ac:dyDescent="0.25">
      <c r="A143" s="3"/>
      <c r="B143" s="3"/>
      <c r="C143" s="9"/>
      <c r="D143" s="9"/>
      <c r="E143" s="3"/>
      <c r="F143" s="3"/>
      <c r="G143" s="3"/>
      <c r="H143" s="3"/>
      <c r="I143" s="3"/>
      <c r="J143" s="3"/>
      <c r="K143" s="3"/>
      <c r="L143" s="3"/>
      <c r="N143" s="3"/>
      <c r="P143" s="3"/>
      <c r="Q143" s="3"/>
      <c r="R143" s="3"/>
    </row>
    <row r="144" spans="1:18" ht="19.5" customHeight="1" x14ac:dyDescent="0.25">
      <c r="A144" s="3"/>
      <c r="B144" s="3"/>
      <c r="C144" s="9"/>
      <c r="D144" s="9"/>
      <c r="E144" s="3"/>
      <c r="F144" s="3"/>
      <c r="G144" s="3"/>
      <c r="H144" s="3"/>
      <c r="I144" s="3"/>
      <c r="J144" s="3"/>
      <c r="K144" s="3"/>
      <c r="L144" s="3"/>
      <c r="N144" s="3"/>
      <c r="P144" s="3"/>
      <c r="Q144" s="3"/>
      <c r="R144" s="3"/>
    </row>
    <row r="145" spans="1:18" ht="19.5" customHeight="1" x14ac:dyDescent="0.25">
      <c r="A145" s="3"/>
      <c r="B145" s="3"/>
      <c r="C145" s="9"/>
      <c r="D145" s="9"/>
      <c r="E145" s="3"/>
      <c r="F145" s="3"/>
      <c r="G145" s="3"/>
      <c r="H145" s="3"/>
      <c r="I145" s="3"/>
      <c r="J145" s="3"/>
      <c r="K145" s="3"/>
      <c r="L145" s="3"/>
      <c r="N145" s="3"/>
      <c r="P145" s="3"/>
      <c r="Q145" s="3"/>
      <c r="R145" s="3"/>
    </row>
    <row r="146" spans="1:18" ht="19.5" customHeight="1" x14ac:dyDescent="0.25">
      <c r="A146" s="3"/>
      <c r="B146" s="3"/>
      <c r="C146" s="9"/>
      <c r="D146" s="9"/>
      <c r="E146" s="3"/>
      <c r="F146" s="3"/>
      <c r="G146" s="3"/>
      <c r="H146" s="3"/>
      <c r="I146" s="3"/>
      <c r="J146" s="3"/>
      <c r="K146" s="3"/>
      <c r="L146" s="3"/>
      <c r="N146" s="3"/>
      <c r="P146" s="3"/>
      <c r="Q146" s="3"/>
      <c r="R146" s="3"/>
    </row>
    <row r="147" spans="1:18" ht="19.5" customHeight="1" x14ac:dyDescent="0.25">
      <c r="A147" s="3"/>
      <c r="B147" s="3"/>
      <c r="C147" s="9"/>
      <c r="D147" s="9"/>
      <c r="E147" s="3"/>
      <c r="F147" s="3"/>
      <c r="G147" s="3"/>
      <c r="H147" s="3"/>
      <c r="I147" s="3"/>
      <c r="J147" s="3"/>
      <c r="K147" s="3"/>
      <c r="L147" s="3"/>
      <c r="N147" s="3"/>
      <c r="P147" s="3"/>
      <c r="Q147" s="3"/>
      <c r="R147" s="3"/>
    </row>
    <row r="148" spans="1:18" ht="19.5" customHeight="1" x14ac:dyDescent="0.25">
      <c r="A148" s="3"/>
      <c r="B148" s="3"/>
      <c r="C148" s="9"/>
      <c r="D148" s="9"/>
      <c r="E148" s="3"/>
      <c r="F148" s="3"/>
      <c r="G148" s="3"/>
      <c r="H148" s="3"/>
      <c r="I148" s="3"/>
      <c r="J148" s="3"/>
      <c r="K148" s="3"/>
      <c r="L148" s="3"/>
      <c r="N148" s="3"/>
      <c r="P148" s="3"/>
      <c r="Q148" s="3"/>
      <c r="R148" s="3"/>
    </row>
    <row r="149" spans="1:18" ht="19.5" customHeight="1" x14ac:dyDescent="0.25">
      <c r="A149" s="3"/>
      <c r="B149" s="3"/>
      <c r="C149" s="9"/>
      <c r="D149" s="9"/>
      <c r="E149" s="3"/>
      <c r="F149" s="3"/>
      <c r="G149" s="3"/>
      <c r="H149" s="3"/>
      <c r="I149" s="3"/>
      <c r="J149" s="3"/>
      <c r="K149" s="3"/>
      <c r="L149" s="3"/>
      <c r="N149" s="3"/>
      <c r="P149" s="3"/>
      <c r="Q149" s="3"/>
      <c r="R149" s="3"/>
    </row>
    <row r="150" spans="1:18" ht="19.5" customHeight="1" x14ac:dyDescent="0.25">
      <c r="A150" s="3"/>
      <c r="B150" s="3"/>
      <c r="C150" s="9"/>
      <c r="D150" s="9"/>
      <c r="E150" s="3"/>
      <c r="F150" s="3"/>
      <c r="G150" s="3"/>
      <c r="H150" s="3"/>
      <c r="I150" s="3"/>
      <c r="J150" s="3"/>
      <c r="K150" s="3"/>
      <c r="L150" s="3"/>
      <c r="N150" s="3"/>
      <c r="P150" s="3"/>
      <c r="Q150" s="3"/>
      <c r="R150" s="3"/>
    </row>
    <row r="151" spans="1:18" ht="19.5" customHeight="1" x14ac:dyDescent="0.25">
      <c r="A151" s="3"/>
      <c r="B151" s="3"/>
      <c r="C151" s="9"/>
      <c r="D151" s="9"/>
      <c r="E151" s="3"/>
      <c r="F151" s="3"/>
      <c r="G151" s="3"/>
      <c r="H151" s="3"/>
      <c r="I151" s="3"/>
      <c r="J151" s="3"/>
      <c r="K151" s="3"/>
      <c r="L151" s="3"/>
      <c r="N151" s="3"/>
      <c r="P151" s="3"/>
      <c r="Q151" s="3"/>
      <c r="R151" s="3"/>
    </row>
    <row r="152" spans="1:18" ht="19.5" customHeight="1" x14ac:dyDescent="0.25">
      <c r="A152" s="3"/>
      <c r="B152" s="3"/>
      <c r="C152" s="9"/>
      <c r="D152" s="9"/>
      <c r="E152" s="3"/>
      <c r="F152" s="3"/>
      <c r="G152" s="3"/>
      <c r="H152" s="3"/>
      <c r="I152" s="3"/>
      <c r="J152" s="3"/>
      <c r="K152" s="3"/>
      <c r="L152" s="3"/>
      <c r="N152" s="3"/>
      <c r="P152" s="3"/>
      <c r="Q152" s="3"/>
      <c r="R152" s="3"/>
    </row>
    <row r="153" spans="1:18" ht="19.5" customHeight="1" x14ac:dyDescent="0.25">
      <c r="A153" s="3"/>
      <c r="B153" s="3"/>
      <c r="C153" s="9"/>
      <c r="D153" s="9"/>
      <c r="E153" s="3"/>
      <c r="F153" s="3"/>
      <c r="G153" s="3"/>
      <c r="H153" s="3"/>
      <c r="I153" s="3"/>
      <c r="J153" s="3"/>
      <c r="K153" s="3"/>
      <c r="L153" s="3"/>
      <c r="N153" s="3"/>
      <c r="P153" s="3"/>
      <c r="Q153" s="3"/>
      <c r="R153" s="3"/>
    </row>
    <row r="154" spans="1:18" ht="19.5" customHeight="1" x14ac:dyDescent="0.25">
      <c r="A154" s="3"/>
      <c r="B154" s="3"/>
      <c r="C154" s="9"/>
      <c r="D154" s="9"/>
      <c r="E154" s="3"/>
      <c r="F154" s="3"/>
      <c r="G154" s="3"/>
      <c r="H154" s="3"/>
      <c r="I154" s="3"/>
      <c r="J154" s="3"/>
      <c r="K154" s="3"/>
      <c r="L154" s="3"/>
      <c r="N154" s="3"/>
      <c r="P154" s="3"/>
      <c r="Q154" s="3"/>
      <c r="R154" s="3"/>
    </row>
    <row r="155" spans="1:18" ht="19.5" customHeight="1" x14ac:dyDescent="0.25">
      <c r="A155" s="3"/>
      <c r="B155" s="3"/>
      <c r="C155" s="9"/>
      <c r="D155" s="9"/>
      <c r="E155" s="3"/>
      <c r="F155" s="3"/>
      <c r="G155" s="3"/>
      <c r="H155" s="3"/>
      <c r="I155" s="3"/>
      <c r="J155" s="3"/>
      <c r="K155" s="3"/>
      <c r="L155" s="3"/>
      <c r="N155" s="3"/>
      <c r="P155" s="3"/>
      <c r="Q155" s="3"/>
      <c r="R155" s="3"/>
    </row>
    <row r="156" spans="1:18" ht="19.5" customHeight="1" x14ac:dyDescent="0.25">
      <c r="A156" s="3"/>
      <c r="B156" s="3"/>
      <c r="C156" s="9"/>
      <c r="D156" s="9"/>
      <c r="E156" s="3"/>
      <c r="F156" s="3"/>
      <c r="G156" s="3"/>
      <c r="H156" s="3"/>
      <c r="I156" s="3"/>
      <c r="J156" s="3"/>
      <c r="K156" s="3"/>
      <c r="L156" s="3"/>
      <c r="N156" s="3"/>
      <c r="P156" s="3"/>
      <c r="Q156" s="3"/>
      <c r="R156" s="3"/>
    </row>
    <row r="157" spans="1:18" ht="19.5" customHeight="1" x14ac:dyDescent="0.25">
      <c r="A157" s="3"/>
      <c r="B157" s="3"/>
      <c r="C157" s="9"/>
      <c r="D157" s="9"/>
      <c r="E157" s="3"/>
      <c r="F157" s="3"/>
      <c r="G157" s="3"/>
      <c r="H157" s="3"/>
      <c r="I157" s="3"/>
      <c r="J157" s="3"/>
      <c r="K157" s="3"/>
      <c r="L157" s="3"/>
      <c r="N157" s="3"/>
      <c r="P157" s="3"/>
      <c r="Q157" s="3"/>
      <c r="R157" s="3"/>
    </row>
    <row r="158" spans="1:18" ht="19.5" customHeight="1" x14ac:dyDescent="0.25">
      <c r="A158" s="3"/>
      <c r="B158" s="3"/>
      <c r="C158" s="9"/>
      <c r="D158" s="9"/>
      <c r="E158" s="3"/>
      <c r="F158" s="3"/>
      <c r="G158" s="3"/>
      <c r="H158" s="3"/>
      <c r="I158" s="3"/>
      <c r="J158" s="3"/>
      <c r="K158" s="3"/>
      <c r="L158" s="3"/>
      <c r="N158" s="3"/>
      <c r="P158" s="3"/>
      <c r="Q158" s="3"/>
      <c r="R158" s="3"/>
    </row>
    <row r="159" spans="1:18" ht="19.5" customHeight="1" x14ac:dyDescent="0.25">
      <c r="A159" s="3"/>
      <c r="B159" s="3"/>
      <c r="C159" s="9"/>
      <c r="D159" s="9"/>
      <c r="E159" s="3"/>
      <c r="F159" s="3"/>
      <c r="G159" s="3"/>
      <c r="H159" s="3"/>
      <c r="I159" s="3"/>
      <c r="J159" s="3"/>
      <c r="K159" s="3"/>
      <c r="L159" s="3"/>
      <c r="N159" s="3"/>
      <c r="P159" s="3"/>
      <c r="Q159" s="3"/>
      <c r="R159" s="3"/>
    </row>
    <row r="160" spans="1:18" ht="19.5" customHeight="1" x14ac:dyDescent="0.25">
      <c r="A160" s="3"/>
      <c r="B160" s="3"/>
      <c r="C160" s="9"/>
      <c r="D160" s="9"/>
      <c r="E160" s="3"/>
      <c r="F160" s="3"/>
      <c r="G160" s="3"/>
      <c r="H160" s="3"/>
      <c r="I160" s="3"/>
      <c r="J160" s="3"/>
      <c r="K160" s="3"/>
      <c r="L160" s="3"/>
      <c r="N160" s="3"/>
      <c r="P160" s="3"/>
      <c r="Q160" s="3"/>
      <c r="R160" s="3"/>
    </row>
    <row r="161" spans="1:18" ht="19.5" customHeight="1" x14ac:dyDescent="0.25">
      <c r="A161" s="3"/>
      <c r="B161" s="3"/>
      <c r="C161" s="9"/>
      <c r="D161" s="9"/>
      <c r="E161" s="3"/>
      <c r="F161" s="3"/>
      <c r="G161" s="3"/>
      <c r="H161" s="3"/>
      <c r="I161" s="3"/>
      <c r="J161" s="3"/>
      <c r="K161" s="3"/>
      <c r="L161" s="3"/>
      <c r="N161" s="3"/>
      <c r="P161" s="3"/>
      <c r="Q161" s="3"/>
      <c r="R161" s="3"/>
    </row>
    <row r="162" spans="1:18" ht="19.5" customHeight="1" x14ac:dyDescent="0.25">
      <c r="A162" s="3"/>
      <c r="B162" s="3"/>
      <c r="C162" s="9"/>
      <c r="D162" s="9"/>
      <c r="E162" s="3"/>
      <c r="F162" s="3"/>
      <c r="G162" s="3"/>
      <c r="H162" s="3"/>
      <c r="I162" s="3"/>
      <c r="J162" s="3"/>
      <c r="K162" s="3"/>
      <c r="L162" s="3"/>
      <c r="N162" s="3"/>
      <c r="P162" s="3"/>
      <c r="Q162" s="3"/>
      <c r="R162" s="3"/>
    </row>
    <row r="163" spans="1:18" ht="19.5" customHeight="1" x14ac:dyDescent="0.25">
      <c r="A163" s="3"/>
      <c r="B163" s="3"/>
      <c r="C163" s="9"/>
      <c r="D163" s="9"/>
      <c r="E163" s="3"/>
      <c r="F163" s="3"/>
      <c r="G163" s="3"/>
      <c r="H163" s="3"/>
      <c r="I163" s="3"/>
      <c r="J163" s="3"/>
      <c r="K163" s="3"/>
      <c r="L163" s="3"/>
      <c r="N163" s="3"/>
      <c r="P163" s="3"/>
      <c r="Q163" s="3"/>
      <c r="R163" s="3"/>
    </row>
    <row r="164" spans="1:18" ht="19.5" customHeight="1" x14ac:dyDescent="0.25">
      <c r="A164" s="3"/>
      <c r="B164" s="3"/>
      <c r="C164" s="9"/>
      <c r="D164" s="9"/>
      <c r="E164" s="3"/>
      <c r="F164" s="3"/>
      <c r="G164" s="3"/>
      <c r="H164" s="3"/>
      <c r="I164" s="3"/>
      <c r="J164" s="3"/>
      <c r="K164" s="3"/>
      <c r="L164" s="3"/>
      <c r="N164" s="3"/>
      <c r="P164" s="3"/>
      <c r="Q164" s="3"/>
      <c r="R164" s="3"/>
    </row>
    <row r="165" spans="1:18" ht="19.5" customHeight="1" x14ac:dyDescent="0.25">
      <c r="A165" s="3"/>
      <c r="B165" s="3"/>
      <c r="C165" s="9"/>
      <c r="D165" s="9"/>
      <c r="E165" s="3"/>
      <c r="F165" s="3"/>
      <c r="G165" s="3"/>
      <c r="H165" s="3"/>
      <c r="I165" s="3"/>
      <c r="J165" s="3"/>
      <c r="K165" s="3"/>
      <c r="L165" s="3"/>
      <c r="N165" s="3"/>
      <c r="P165" s="3"/>
      <c r="Q165" s="3"/>
      <c r="R165" s="3"/>
    </row>
    <row r="166" spans="1:18" ht="19.5" customHeight="1" x14ac:dyDescent="0.25">
      <c r="A166" s="3"/>
      <c r="B166" s="3"/>
      <c r="C166" s="9"/>
      <c r="D166" s="9"/>
      <c r="E166" s="3"/>
      <c r="F166" s="3"/>
      <c r="G166" s="3"/>
      <c r="H166" s="3"/>
      <c r="I166" s="3"/>
      <c r="J166" s="3"/>
      <c r="K166" s="3"/>
      <c r="L166" s="3"/>
      <c r="N166" s="3"/>
      <c r="P166" s="3"/>
      <c r="Q166" s="3"/>
      <c r="R166" s="3"/>
    </row>
    <row r="167" spans="1:18" ht="19.5" customHeight="1" x14ac:dyDescent="0.25">
      <c r="A167" s="3"/>
      <c r="B167" s="3"/>
      <c r="C167" s="9"/>
      <c r="D167" s="9"/>
      <c r="E167" s="3"/>
      <c r="F167" s="3"/>
      <c r="G167" s="3"/>
      <c r="H167" s="3"/>
      <c r="I167" s="3"/>
      <c r="J167" s="3"/>
      <c r="K167" s="3"/>
      <c r="L167" s="3"/>
      <c r="N167" s="3"/>
      <c r="P167" s="3"/>
      <c r="Q167" s="3"/>
      <c r="R167" s="3"/>
    </row>
    <row r="168" spans="1:18" ht="19.5" customHeight="1" x14ac:dyDescent="0.25">
      <c r="A168" s="3"/>
      <c r="B168" s="3"/>
      <c r="C168" s="9"/>
      <c r="D168" s="9"/>
      <c r="E168" s="3"/>
      <c r="F168" s="3"/>
      <c r="G168" s="3"/>
      <c r="H168" s="3"/>
      <c r="I168" s="3"/>
      <c r="J168" s="3"/>
      <c r="K168" s="3"/>
      <c r="L168" s="3"/>
      <c r="N168" s="3"/>
      <c r="P168" s="3"/>
      <c r="Q168" s="3"/>
      <c r="R168" s="3"/>
    </row>
    <row r="169" spans="1:18" ht="19.5" customHeight="1" x14ac:dyDescent="0.25">
      <c r="A169" s="3"/>
      <c r="B169" s="3"/>
      <c r="C169" s="9"/>
      <c r="D169" s="9"/>
      <c r="E169" s="3"/>
      <c r="F169" s="3"/>
      <c r="G169" s="3"/>
      <c r="H169" s="3"/>
      <c r="I169" s="3"/>
      <c r="J169" s="3"/>
      <c r="K169" s="3"/>
      <c r="L169" s="3"/>
      <c r="N169" s="3"/>
      <c r="P169" s="3"/>
      <c r="Q169" s="3"/>
      <c r="R169" s="3"/>
    </row>
    <row r="170" spans="1:18" ht="19.5" customHeight="1" x14ac:dyDescent="0.25">
      <c r="A170" s="3"/>
      <c r="B170" s="3"/>
      <c r="C170" s="9"/>
      <c r="D170" s="9"/>
      <c r="E170" s="3"/>
      <c r="F170" s="3"/>
      <c r="G170" s="3"/>
      <c r="H170" s="3"/>
      <c r="I170" s="3"/>
      <c r="J170" s="3"/>
      <c r="K170" s="3"/>
      <c r="L170" s="3"/>
      <c r="N170" s="3"/>
      <c r="P170" s="3"/>
      <c r="Q170" s="3"/>
      <c r="R170" s="3"/>
    </row>
    <row r="171" spans="1:18" ht="19.5" customHeight="1" x14ac:dyDescent="0.25">
      <c r="A171" s="3"/>
      <c r="B171" s="3"/>
      <c r="C171" s="9"/>
      <c r="D171" s="9"/>
      <c r="E171" s="3"/>
      <c r="F171" s="3"/>
      <c r="G171" s="3"/>
      <c r="H171" s="3"/>
      <c r="I171" s="3"/>
      <c r="J171" s="3"/>
      <c r="K171" s="3"/>
      <c r="L171" s="3"/>
      <c r="N171" s="3"/>
      <c r="P171" s="3"/>
      <c r="Q171" s="3"/>
      <c r="R171" s="3"/>
    </row>
    <row r="172" spans="1:18" ht="19.5" customHeight="1" x14ac:dyDescent="0.25">
      <c r="A172" s="3"/>
      <c r="B172" s="3"/>
      <c r="C172" s="9"/>
      <c r="D172" s="9"/>
      <c r="E172" s="3"/>
      <c r="F172" s="3"/>
      <c r="G172" s="3"/>
      <c r="H172" s="3"/>
      <c r="I172" s="3"/>
      <c r="J172" s="3"/>
      <c r="K172" s="3"/>
      <c r="L172" s="3"/>
      <c r="N172" s="3"/>
      <c r="P172" s="3"/>
      <c r="Q172" s="3"/>
      <c r="R172" s="3"/>
    </row>
    <row r="173" spans="1:18" ht="19.5" customHeight="1" x14ac:dyDescent="0.25">
      <c r="A173" s="3"/>
      <c r="B173" s="3"/>
      <c r="C173" s="9"/>
      <c r="D173" s="9"/>
      <c r="E173" s="3"/>
      <c r="F173" s="3"/>
      <c r="G173" s="3"/>
      <c r="H173" s="3"/>
      <c r="I173" s="3"/>
      <c r="J173" s="3"/>
      <c r="K173" s="3"/>
      <c r="L173" s="3"/>
      <c r="N173" s="3"/>
      <c r="P173" s="3"/>
      <c r="Q173" s="3"/>
      <c r="R173" s="3"/>
    </row>
    <row r="174" spans="1:18" ht="19.5" customHeight="1" x14ac:dyDescent="0.25">
      <c r="A174" s="3"/>
      <c r="B174" s="3"/>
      <c r="C174" s="9"/>
      <c r="D174" s="9"/>
      <c r="E174" s="3"/>
      <c r="F174" s="3"/>
      <c r="G174" s="3"/>
      <c r="H174" s="3"/>
      <c r="I174" s="3"/>
      <c r="J174" s="3"/>
      <c r="K174" s="3"/>
      <c r="L174" s="3"/>
      <c r="N174" s="3"/>
      <c r="P174" s="3"/>
      <c r="Q174" s="3"/>
      <c r="R174" s="3"/>
    </row>
    <row r="175" spans="1:18" ht="19.5" customHeight="1" x14ac:dyDescent="0.25">
      <c r="A175" s="3"/>
      <c r="B175" s="3"/>
      <c r="C175" s="9"/>
      <c r="D175" s="9"/>
      <c r="E175" s="3"/>
      <c r="F175" s="3"/>
      <c r="G175" s="3"/>
      <c r="H175" s="3"/>
      <c r="I175" s="3"/>
      <c r="J175" s="3"/>
      <c r="K175" s="3"/>
      <c r="L175" s="3"/>
      <c r="N175" s="3"/>
      <c r="P175" s="3"/>
      <c r="Q175" s="3"/>
      <c r="R175" s="3"/>
    </row>
    <row r="176" spans="1:18" ht="19.5" customHeight="1" x14ac:dyDescent="0.25">
      <c r="A176" s="3"/>
      <c r="B176" s="3"/>
      <c r="C176" s="9"/>
      <c r="D176" s="9"/>
      <c r="E176" s="3"/>
      <c r="F176" s="3"/>
      <c r="G176" s="3"/>
      <c r="H176" s="3"/>
      <c r="I176" s="3"/>
      <c r="J176" s="3"/>
      <c r="K176" s="3"/>
      <c r="L176" s="3"/>
      <c r="N176" s="3"/>
      <c r="P176" s="3"/>
      <c r="Q176" s="3"/>
      <c r="R176" s="3"/>
    </row>
    <row r="177" spans="1:18" ht="19.5" customHeight="1" x14ac:dyDescent="0.25">
      <c r="A177" s="3"/>
      <c r="B177" s="3"/>
      <c r="C177" s="9"/>
      <c r="D177" s="9"/>
      <c r="E177" s="3"/>
      <c r="F177" s="3"/>
      <c r="G177" s="3"/>
      <c r="H177" s="3"/>
      <c r="I177" s="3"/>
      <c r="J177" s="3"/>
      <c r="K177" s="3"/>
      <c r="L177" s="3"/>
      <c r="N177" s="3"/>
      <c r="P177" s="3"/>
      <c r="Q177" s="3"/>
      <c r="R177" s="3"/>
    </row>
    <row r="178" spans="1:18" ht="19.5" customHeight="1" x14ac:dyDescent="0.25">
      <c r="A178" s="3"/>
      <c r="B178" s="3"/>
      <c r="C178" s="9"/>
      <c r="D178" s="9"/>
      <c r="E178" s="3"/>
      <c r="F178" s="3"/>
      <c r="G178" s="3"/>
      <c r="H178" s="3"/>
      <c r="I178" s="3"/>
      <c r="J178" s="3"/>
      <c r="K178" s="3"/>
      <c r="L178" s="3"/>
      <c r="N178" s="3"/>
      <c r="P178" s="3"/>
      <c r="Q178" s="3"/>
      <c r="R178" s="3"/>
    </row>
    <row r="179" spans="1:18" ht="19.5" customHeight="1" x14ac:dyDescent="0.25">
      <c r="A179" s="3"/>
      <c r="B179" s="3"/>
      <c r="C179" s="9"/>
      <c r="D179" s="9"/>
      <c r="E179" s="3"/>
      <c r="F179" s="3"/>
      <c r="G179" s="3"/>
      <c r="H179" s="3"/>
      <c r="I179" s="3"/>
      <c r="J179" s="3"/>
      <c r="K179" s="3"/>
      <c r="L179" s="3"/>
      <c r="N179" s="3"/>
      <c r="P179" s="3"/>
      <c r="Q179" s="3"/>
      <c r="R179" s="3"/>
    </row>
    <row r="180" spans="1:18" ht="19.5" customHeight="1" x14ac:dyDescent="0.25">
      <c r="A180" s="3"/>
      <c r="B180" s="3"/>
      <c r="C180" s="9"/>
      <c r="D180" s="9"/>
      <c r="E180" s="3"/>
      <c r="F180" s="3"/>
      <c r="G180" s="3"/>
      <c r="H180" s="3"/>
      <c r="I180" s="3"/>
      <c r="J180" s="3"/>
      <c r="K180" s="3"/>
      <c r="L180" s="3"/>
      <c r="N180" s="3"/>
      <c r="P180" s="3"/>
      <c r="Q180" s="3"/>
      <c r="R180" s="3"/>
    </row>
    <row r="181" spans="1:18" ht="19.5" customHeight="1" x14ac:dyDescent="0.25">
      <c r="A181" s="3"/>
      <c r="B181" s="3"/>
      <c r="C181" s="9"/>
      <c r="D181" s="9"/>
      <c r="E181" s="3"/>
      <c r="F181" s="3"/>
      <c r="G181" s="3"/>
      <c r="H181" s="3"/>
      <c r="I181" s="3"/>
      <c r="J181" s="3"/>
      <c r="K181" s="3"/>
      <c r="L181" s="3"/>
      <c r="N181" s="3"/>
      <c r="P181" s="3"/>
      <c r="Q181" s="3"/>
      <c r="R181" s="3"/>
    </row>
    <row r="182" spans="1:18" ht="19.5" customHeight="1" x14ac:dyDescent="0.25">
      <c r="A182" s="3"/>
      <c r="B182" s="3"/>
      <c r="C182" s="9"/>
      <c r="D182" s="9"/>
      <c r="E182" s="3"/>
      <c r="F182" s="3"/>
      <c r="G182" s="3"/>
      <c r="H182" s="3"/>
      <c r="I182" s="3"/>
      <c r="J182" s="3"/>
      <c r="K182" s="3"/>
      <c r="L182" s="3"/>
      <c r="N182" s="3"/>
      <c r="P182" s="3"/>
      <c r="Q182" s="3"/>
      <c r="R182" s="3"/>
    </row>
    <row r="183" spans="1:18" ht="19.5" customHeight="1" x14ac:dyDescent="0.25">
      <c r="A183" s="3"/>
      <c r="B183" s="3"/>
      <c r="C183" s="9"/>
      <c r="D183" s="9"/>
      <c r="E183" s="3"/>
      <c r="F183" s="3"/>
      <c r="G183" s="3"/>
      <c r="H183" s="3"/>
      <c r="I183" s="3"/>
      <c r="J183" s="3"/>
      <c r="K183" s="3"/>
      <c r="L183" s="3"/>
      <c r="N183" s="3"/>
      <c r="P183" s="3"/>
      <c r="Q183" s="3"/>
      <c r="R183" s="3"/>
    </row>
    <row r="184" spans="1:18" ht="19.5" customHeight="1" x14ac:dyDescent="0.25">
      <c r="A184" s="3"/>
      <c r="B184" s="3"/>
      <c r="C184" s="9"/>
      <c r="D184" s="9"/>
      <c r="E184" s="3"/>
      <c r="F184" s="3"/>
      <c r="G184" s="3"/>
      <c r="H184" s="3"/>
      <c r="I184" s="3"/>
      <c r="J184" s="3"/>
      <c r="K184" s="3"/>
      <c r="L184" s="3"/>
      <c r="N184" s="3"/>
      <c r="P184" s="3"/>
      <c r="Q184" s="3"/>
      <c r="R184" s="3"/>
    </row>
    <row r="185" spans="1:18" ht="19.5" customHeight="1" x14ac:dyDescent="0.25">
      <c r="A185" s="3"/>
      <c r="B185" s="3"/>
      <c r="C185" s="9"/>
      <c r="D185" s="9"/>
      <c r="E185" s="3"/>
      <c r="F185" s="3"/>
      <c r="G185" s="3"/>
      <c r="H185" s="3"/>
      <c r="I185" s="3"/>
      <c r="J185" s="3"/>
      <c r="K185" s="3"/>
      <c r="L185" s="3"/>
      <c r="N185" s="3"/>
      <c r="P185" s="3"/>
      <c r="Q185" s="3"/>
      <c r="R185" s="3"/>
    </row>
    <row r="186" spans="1:18" ht="19.5" customHeight="1" x14ac:dyDescent="0.25">
      <c r="A186" s="3"/>
      <c r="B186" s="3"/>
      <c r="C186" s="9"/>
      <c r="D186" s="9"/>
      <c r="E186" s="3"/>
      <c r="F186" s="3"/>
      <c r="G186" s="3"/>
      <c r="H186" s="3"/>
      <c r="I186" s="3"/>
      <c r="J186" s="3"/>
      <c r="K186" s="3"/>
      <c r="L186" s="3"/>
      <c r="N186" s="3"/>
      <c r="P186" s="3"/>
      <c r="Q186" s="3"/>
      <c r="R186" s="3"/>
    </row>
    <row r="187" spans="1:18" ht="19.5" customHeight="1" x14ac:dyDescent="0.25">
      <c r="A187" s="3"/>
      <c r="B187" s="3"/>
      <c r="C187" s="9"/>
      <c r="D187" s="9"/>
      <c r="E187" s="3"/>
      <c r="F187" s="3"/>
      <c r="G187" s="3"/>
      <c r="H187" s="3"/>
      <c r="I187" s="3"/>
      <c r="J187" s="3"/>
      <c r="K187" s="3"/>
      <c r="L187" s="3"/>
      <c r="N187" s="3"/>
      <c r="P187" s="3"/>
      <c r="Q187" s="3"/>
      <c r="R187" s="3"/>
    </row>
    <row r="188" spans="1:18" ht="19.5" customHeight="1" x14ac:dyDescent="0.25">
      <c r="A188" s="3"/>
      <c r="B188" s="3"/>
      <c r="C188" s="9"/>
      <c r="D188" s="9"/>
      <c r="E188" s="3"/>
      <c r="F188" s="3"/>
      <c r="G188" s="3"/>
      <c r="H188" s="3"/>
      <c r="I188" s="3"/>
      <c r="J188" s="3"/>
      <c r="K188" s="3"/>
      <c r="L188" s="3"/>
      <c r="N188" s="3"/>
      <c r="P188" s="3"/>
      <c r="Q188" s="3"/>
      <c r="R188" s="3"/>
    </row>
    <row r="189" spans="1:18" ht="19.5" customHeight="1" x14ac:dyDescent="0.25">
      <c r="A189" s="3"/>
      <c r="B189" s="3"/>
      <c r="C189" s="9"/>
      <c r="D189" s="9"/>
      <c r="E189" s="3"/>
      <c r="F189" s="3"/>
      <c r="G189" s="3"/>
      <c r="H189" s="3"/>
      <c r="I189" s="3"/>
      <c r="J189" s="3"/>
      <c r="K189" s="3"/>
      <c r="L189" s="3"/>
      <c r="N189" s="3"/>
      <c r="P189" s="3"/>
      <c r="Q189" s="3"/>
      <c r="R189" s="3"/>
    </row>
    <row r="190" spans="1:18" ht="19.5" customHeight="1" x14ac:dyDescent="0.25">
      <c r="A190" s="3"/>
      <c r="B190" s="3"/>
      <c r="C190" s="9"/>
      <c r="D190" s="9"/>
      <c r="E190" s="3"/>
      <c r="F190" s="3"/>
      <c r="G190" s="3"/>
      <c r="H190" s="3"/>
      <c r="I190" s="3"/>
      <c r="J190" s="3"/>
      <c r="K190" s="3"/>
      <c r="L190" s="3"/>
      <c r="N190" s="3"/>
      <c r="P190" s="3"/>
      <c r="Q190" s="3"/>
      <c r="R190" s="3"/>
    </row>
    <row r="191" spans="1:18" ht="19.5" customHeight="1" x14ac:dyDescent="0.25">
      <c r="A191" s="3"/>
      <c r="B191" s="3"/>
      <c r="C191" s="9"/>
      <c r="D191" s="9"/>
      <c r="E191" s="3"/>
      <c r="F191" s="3"/>
      <c r="G191" s="3"/>
      <c r="H191" s="3"/>
      <c r="I191" s="3"/>
      <c r="J191" s="3"/>
      <c r="K191" s="3"/>
      <c r="L191" s="3"/>
      <c r="N191" s="3"/>
      <c r="P191" s="3"/>
      <c r="Q191" s="3"/>
      <c r="R191" s="3"/>
    </row>
    <row r="192" spans="1:18" ht="19.5" customHeight="1" x14ac:dyDescent="0.25">
      <c r="A192" s="3"/>
      <c r="B192" s="3"/>
      <c r="C192" s="9"/>
      <c r="D192" s="9"/>
      <c r="E192" s="3"/>
      <c r="F192" s="3"/>
      <c r="G192" s="3"/>
      <c r="H192" s="3"/>
      <c r="I192" s="3"/>
      <c r="J192" s="3"/>
      <c r="K192" s="3"/>
      <c r="L192" s="3"/>
      <c r="N192" s="3"/>
      <c r="P192" s="3"/>
      <c r="Q192" s="3"/>
      <c r="R192" s="3"/>
    </row>
    <row r="193" spans="1:18" ht="19.5" customHeight="1" x14ac:dyDescent="0.25">
      <c r="A193" s="3"/>
      <c r="B193" s="3"/>
      <c r="C193" s="9"/>
      <c r="D193" s="9"/>
      <c r="E193" s="3"/>
      <c r="F193" s="3"/>
      <c r="G193" s="3"/>
      <c r="H193" s="3"/>
      <c r="I193" s="3"/>
      <c r="J193" s="3"/>
      <c r="K193" s="3"/>
      <c r="L193" s="3"/>
      <c r="N193" s="3"/>
      <c r="P193" s="3"/>
      <c r="Q193" s="3"/>
      <c r="R193" s="3"/>
    </row>
    <row r="194" spans="1:18" ht="19.5" customHeight="1" x14ac:dyDescent="0.25">
      <c r="A194" s="3"/>
      <c r="B194" s="3"/>
      <c r="C194" s="9"/>
      <c r="D194" s="9"/>
      <c r="E194" s="3"/>
      <c r="F194" s="3"/>
      <c r="G194" s="3"/>
      <c r="H194" s="3"/>
      <c r="I194" s="3"/>
      <c r="J194" s="3"/>
      <c r="K194" s="3"/>
      <c r="L194" s="3"/>
      <c r="N194" s="3"/>
      <c r="P194" s="3"/>
      <c r="Q194" s="3"/>
      <c r="R194" s="3"/>
    </row>
    <row r="195" spans="1:18" ht="19.5" customHeight="1" x14ac:dyDescent="0.25">
      <c r="A195" s="3"/>
      <c r="B195" s="3"/>
      <c r="C195" s="9"/>
      <c r="D195" s="9"/>
      <c r="E195" s="3"/>
      <c r="F195" s="3"/>
      <c r="G195" s="3"/>
      <c r="H195" s="3"/>
      <c r="I195" s="3"/>
      <c r="J195" s="3"/>
      <c r="K195" s="3"/>
      <c r="L195" s="3"/>
      <c r="N195" s="3"/>
      <c r="P195" s="3"/>
      <c r="Q195" s="3"/>
      <c r="R195" s="3"/>
    </row>
    <row r="196" spans="1:18" ht="19.5" customHeight="1" x14ac:dyDescent="0.25">
      <c r="A196" s="3"/>
      <c r="B196" s="3"/>
      <c r="C196" s="9"/>
      <c r="D196" s="9"/>
      <c r="E196" s="3"/>
      <c r="F196" s="3"/>
      <c r="G196" s="3"/>
      <c r="H196" s="3"/>
      <c r="I196" s="3"/>
      <c r="J196" s="3"/>
      <c r="K196" s="3"/>
      <c r="L196" s="3"/>
      <c r="N196" s="3"/>
      <c r="P196" s="3"/>
      <c r="Q196" s="3"/>
      <c r="R196" s="3"/>
    </row>
    <row r="197" spans="1:18" ht="19.5" customHeight="1" x14ac:dyDescent="0.25">
      <c r="A197" s="3"/>
      <c r="B197" s="3"/>
      <c r="C197" s="9"/>
      <c r="D197" s="9"/>
      <c r="E197" s="3"/>
      <c r="F197" s="3"/>
      <c r="G197" s="3"/>
      <c r="H197" s="3"/>
      <c r="I197" s="3"/>
      <c r="J197" s="3"/>
      <c r="K197" s="3"/>
      <c r="L197" s="3"/>
      <c r="N197" s="3"/>
      <c r="P197" s="3"/>
      <c r="Q197" s="3"/>
      <c r="R197" s="3"/>
    </row>
    <row r="198" spans="1:18" ht="19.5" customHeight="1" x14ac:dyDescent="0.25">
      <c r="A198" s="3"/>
      <c r="B198" s="3"/>
      <c r="C198" s="9"/>
      <c r="D198" s="9"/>
      <c r="E198" s="3"/>
      <c r="F198" s="3"/>
      <c r="G198" s="3"/>
      <c r="H198" s="3"/>
      <c r="I198" s="3"/>
      <c r="J198" s="3"/>
      <c r="K198" s="3"/>
      <c r="L198" s="3"/>
      <c r="N198" s="3"/>
      <c r="P198" s="3"/>
      <c r="Q198" s="3"/>
      <c r="R198" s="3"/>
    </row>
    <row r="199" spans="1:18" ht="19.5" customHeight="1" x14ac:dyDescent="0.25">
      <c r="A199" s="3"/>
      <c r="B199" s="3"/>
      <c r="C199" s="9"/>
      <c r="D199" s="9"/>
      <c r="E199" s="3"/>
      <c r="F199" s="3"/>
      <c r="G199" s="3"/>
      <c r="H199" s="3"/>
      <c r="I199" s="3"/>
      <c r="J199" s="3"/>
      <c r="K199" s="3"/>
      <c r="L199" s="3"/>
      <c r="N199" s="3"/>
      <c r="P199" s="3"/>
      <c r="Q199" s="3"/>
      <c r="R199" s="3"/>
    </row>
    <row r="200" spans="1:18" ht="19.5" customHeight="1" x14ac:dyDescent="0.25">
      <c r="A200" s="3"/>
      <c r="B200" s="3"/>
      <c r="C200" s="9"/>
      <c r="D200" s="9"/>
      <c r="E200" s="3"/>
      <c r="F200" s="3"/>
      <c r="G200" s="3"/>
      <c r="H200" s="3"/>
      <c r="I200" s="3"/>
      <c r="J200" s="3"/>
      <c r="K200" s="3"/>
      <c r="L200" s="3"/>
      <c r="N200" s="3"/>
      <c r="P200" s="3"/>
      <c r="Q200" s="3"/>
      <c r="R200" s="3"/>
    </row>
    <row r="201" spans="1:18" ht="19.5" customHeight="1" x14ac:dyDescent="0.25">
      <c r="A201" s="3"/>
      <c r="B201" s="3"/>
      <c r="C201" s="9"/>
      <c r="D201" s="9"/>
      <c r="E201" s="3"/>
      <c r="F201" s="3"/>
      <c r="G201" s="3"/>
      <c r="H201" s="3"/>
      <c r="I201" s="3"/>
      <c r="J201" s="3"/>
      <c r="K201" s="3"/>
      <c r="L201" s="3"/>
      <c r="N201" s="3"/>
      <c r="P201" s="3"/>
      <c r="Q201" s="3"/>
      <c r="R201" s="3"/>
    </row>
    <row r="202" spans="1:18" ht="19.5" customHeight="1" x14ac:dyDescent="0.25">
      <c r="A202" s="3"/>
      <c r="B202" s="3"/>
      <c r="C202" s="9"/>
      <c r="D202" s="9"/>
      <c r="E202" s="3"/>
      <c r="F202" s="3"/>
      <c r="G202" s="3"/>
      <c r="H202" s="3"/>
      <c r="I202" s="3"/>
      <c r="J202" s="3"/>
      <c r="K202" s="3"/>
      <c r="L202" s="3"/>
      <c r="N202" s="3"/>
      <c r="P202" s="3"/>
      <c r="Q202" s="3"/>
      <c r="R202" s="3"/>
    </row>
    <row r="203" spans="1:18" ht="19.5" customHeight="1" x14ac:dyDescent="0.25">
      <c r="A203" s="3"/>
      <c r="B203" s="3"/>
      <c r="C203" s="9"/>
      <c r="D203" s="9"/>
      <c r="E203" s="3"/>
      <c r="F203" s="3"/>
      <c r="G203" s="3"/>
      <c r="H203" s="3"/>
      <c r="I203" s="3"/>
      <c r="J203" s="3"/>
      <c r="K203" s="3"/>
      <c r="L203" s="3"/>
      <c r="N203" s="3"/>
      <c r="P203" s="3"/>
      <c r="Q203" s="3"/>
      <c r="R203" s="3"/>
    </row>
    <row r="204" spans="1:18" ht="19.5" customHeight="1" x14ac:dyDescent="0.25">
      <c r="A204" s="3"/>
      <c r="B204" s="3"/>
      <c r="C204" s="9"/>
      <c r="D204" s="9"/>
      <c r="E204" s="3"/>
      <c r="F204" s="3"/>
      <c r="G204" s="3"/>
      <c r="H204" s="3"/>
      <c r="I204" s="3"/>
      <c r="J204" s="3"/>
      <c r="K204" s="3"/>
      <c r="L204" s="3"/>
      <c r="N204" s="3"/>
      <c r="P204" s="3"/>
      <c r="Q204" s="3"/>
      <c r="R204" s="3"/>
    </row>
    <row r="205" spans="1:18" ht="19.5" customHeight="1" x14ac:dyDescent="0.25">
      <c r="A205" s="3"/>
      <c r="B205" s="3"/>
      <c r="C205" s="9"/>
      <c r="D205" s="9"/>
      <c r="E205" s="3"/>
      <c r="F205" s="3"/>
      <c r="G205" s="3"/>
      <c r="H205" s="3"/>
      <c r="I205" s="3"/>
      <c r="J205" s="3"/>
      <c r="K205" s="3"/>
      <c r="L205" s="3"/>
      <c r="N205" s="3"/>
      <c r="P205" s="3"/>
      <c r="Q205" s="3"/>
      <c r="R205" s="3"/>
    </row>
    <row r="206" spans="1:18" ht="19.5" customHeight="1" x14ac:dyDescent="0.25">
      <c r="A206" s="3"/>
      <c r="B206" s="3"/>
      <c r="C206" s="9"/>
      <c r="D206" s="9"/>
      <c r="E206" s="3"/>
      <c r="F206" s="3"/>
      <c r="G206" s="3"/>
      <c r="H206" s="3"/>
      <c r="I206" s="3"/>
      <c r="J206" s="3"/>
      <c r="K206" s="3"/>
      <c r="L206" s="3"/>
      <c r="N206" s="3"/>
      <c r="P206" s="3"/>
      <c r="Q206" s="3"/>
      <c r="R206" s="3"/>
    </row>
    <row r="207" spans="1:18" ht="19.5" customHeight="1" x14ac:dyDescent="0.25">
      <c r="A207" s="3"/>
      <c r="B207" s="3"/>
      <c r="C207" s="9"/>
      <c r="D207" s="9"/>
      <c r="E207" s="3"/>
      <c r="F207" s="3"/>
      <c r="G207" s="3"/>
      <c r="H207" s="3"/>
      <c r="I207" s="3"/>
      <c r="J207" s="3"/>
      <c r="K207" s="3"/>
      <c r="L207" s="3"/>
      <c r="N207" s="3"/>
      <c r="P207" s="3"/>
      <c r="Q207" s="3"/>
      <c r="R207" s="3"/>
    </row>
    <row r="208" spans="1:18" ht="19.5" customHeight="1" x14ac:dyDescent="0.25">
      <c r="A208" s="3"/>
      <c r="B208" s="3"/>
      <c r="C208" s="9"/>
      <c r="D208" s="9"/>
      <c r="E208" s="3"/>
      <c r="F208" s="3"/>
      <c r="G208" s="3"/>
      <c r="H208" s="3"/>
      <c r="I208" s="3"/>
      <c r="J208" s="3"/>
      <c r="K208" s="3"/>
      <c r="L208" s="3"/>
      <c r="N208" s="3"/>
      <c r="P208" s="3"/>
      <c r="Q208" s="3"/>
      <c r="R208" s="3"/>
    </row>
    <row r="209" spans="1:18" ht="19.5" customHeight="1" x14ac:dyDescent="0.25">
      <c r="A209" s="3"/>
      <c r="B209" s="3"/>
      <c r="C209" s="9"/>
      <c r="D209" s="9"/>
      <c r="E209" s="3"/>
      <c r="F209" s="3"/>
      <c r="G209" s="3"/>
      <c r="H209" s="3"/>
      <c r="I209" s="3"/>
      <c r="J209" s="3"/>
      <c r="K209" s="3"/>
      <c r="L209" s="3"/>
      <c r="N209" s="3"/>
      <c r="P209" s="3"/>
      <c r="Q209" s="3"/>
      <c r="R209" s="3"/>
    </row>
    <row r="210" spans="1:18" ht="19.5" customHeight="1" x14ac:dyDescent="0.25">
      <c r="A210" s="3"/>
      <c r="B210" s="3"/>
      <c r="C210" s="9"/>
      <c r="D210" s="9"/>
      <c r="E210" s="3"/>
      <c r="F210" s="3"/>
      <c r="G210" s="3"/>
      <c r="H210" s="3"/>
      <c r="I210" s="3"/>
      <c r="J210" s="3"/>
      <c r="K210" s="3"/>
      <c r="L210" s="3"/>
      <c r="N210" s="3"/>
      <c r="P210" s="3"/>
      <c r="Q210" s="3"/>
      <c r="R210" s="3"/>
    </row>
    <row r="211" spans="1:18" ht="19.5" customHeight="1" x14ac:dyDescent="0.25">
      <c r="A211" s="3"/>
      <c r="B211" s="3"/>
      <c r="C211" s="9"/>
      <c r="D211" s="9"/>
      <c r="E211" s="3"/>
      <c r="F211" s="3"/>
      <c r="G211" s="3"/>
      <c r="H211" s="3"/>
      <c r="I211" s="3"/>
      <c r="J211" s="3"/>
      <c r="K211" s="3"/>
      <c r="L211" s="3"/>
      <c r="N211" s="3"/>
      <c r="P211" s="3"/>
      <c r="Q211" s="3"/>
      <c r="R211" s="3"/>
    </row>
    <row r="212" spans="1:18" ht="19.5" customHeight="1" x14ac:dyDescent="0.25">
      <c r="A212" s="3"/>
      <c r="B212" s="3"/>
      <c r="C212" s="9"/>
      <c r="D212" s="9"/>
      <c r="E212" s="3"/>
      <c r="F212" s="3"/>
      <c r="G212" s="3"/>
      <c r="H212" s="3"/>
      <c r="I212" s="3"/>
      <c r="J212" s="3"/>
      <c r="K212" s="3"/>
      <c r="L212" s="3"/>
      <c r="N212" s="3"/>
      <c r="P212" s="3"/>
      <c r="Q212" s="3"/>
      <c r="R212" s="3"/>
    </row>
    <row r="213" spans="1:18" ht="19.5" customHeight="1" x14ac:dyDescent="0.25">
      <c r="A213" s="3"/>
      <c r="B213" s="3"/>
      <c r="C213" s="9"/>
      <c r="D213" s="9"/>
      <c r="E213" s="3"/>
      <c r="F213" s="3"/>
      <c r="G213" s="3"/>
      <c r="H213" s="3"/>
      <c r="I213" s="3"/>
      <c r="J213" s="3"/>
      <c r="K213" s="3"/>
      <c r="L213" s="3"/>
      <c r="N213" s="3"/>
      <c r="P213" s="3"/>
      <c r="Q213" s="3"/>
      <c r="R213" s="3"/>
    </row>
    <row r="214" spans="1:18" ht="19.5" customHeight="1" x14ac:dyDescent="0.25">
      <c r="A214" s="3"/>
      <c r="B214" s="3"/>
      <c r="C214" s="9"/>
      <c r="D214" s="9"/>
      <c r="E214" s="3"/>
      <c r="F214" s="3"/>
      <c r="G214" s="3"/>
      <c r="H214" s="3"/>
      <c r="I214" s="3"/>
      <c r="J214" s="3"/>
      <c r="K214" s="3"/>
      <c r="L214" s="3"/>
      <c r="N214" s="3"/>
      <c r="P214" s="3"/>
      <c r="Q214" s="3"/>
      <c r="R214" s="3"/>
    </row>
    <row r="215" spans="1:18" ht="19.5" customHeight="1" x14ac:dyDescent="0.25">
      <c r="A215" s="3"/>
      <c r="B215" s="3"/>
      <c r="C215" s="9"/>
      <c r="D215" s="9"/>
      <c r="E215" s="3"/>
      <c r="F215" s="3"/>
      <c r="G215" s="3"/>
      <c r="H215" s="3"/>
      <c r="I215" s="3"/>
      <c r="J215" s="3"/>
      <c r="K215" s="3"/>
      <c r="L215" s="3"/>
      <c r="N215" s="3"/>
      <c r="P215" s="3"/>
      <c r="Q215" s="3"/>
      <c r="R215" s="3"/>
    </row>
    <row r="216" spans="1:18" ht="19.5" customHeight="1" x14ac:dyDescent="0.25">
      <c r="A216" s="3"/>
      <c r="B216" s="3"/>
      <c r="C216" s="9"/>
      <c r="D216" s="9"/>
      <c r="E216" s="3"/>
      <c r="F216" s="3"/>
      <c r="G216" s="3"/>
      <c r="H216" s="3"/>
      <c r="I216" s="3"/>
      <c r="J216" s="3"/>
      <c r="K216" s="3"/>
      <c r="L216" s="3"/>
      <c r="N216" s="3"/>
      <c r="P216" s="3"/>
      <c r="Q216" s="3"/>
      <c r="R216" s="3"/>
    </row>
    <row r="217" spans="1:18" ht="19.5" customHeight="1" x14ac:dyDescent="0.25">
      <c r="A217" s="3"/>
      <c r="B217" s="3"/>
      <c r="C217" s="9"/>
      <c r="D217" s="9"/>
      <c r="E217" s="3"/>
      <c r="F217" s="3"/>
      <c r="G217" s="3"/>
      <c r="H217" s="3"/>
      <c r="I217" s="3"/>
      <c r="J217" s="3"/>
      <c r="K217" s="3"/>
      <c r="L217" s="3"/>
      <c r="N217" s="3"/>
      <c r="P217" s="3"/>
      <c r="Q217" s="3"/>
      <c r="R217" s="3"/>
    </row>
    <row r="218" spans="1:18" ht="19.5" customHeight="1" x14ac:dyDescent="0.25">
      <c r="A218" s="3"/>
      <c r="B218" s="3"/>
      <c r="C218" s="9"/>
      <c r="D218" s="9"/>
      <c r="E218" s="3"/>
      <c r="F218" s="3"/>
      <c r="G218" s="3"/>
      <c r="H218" s="3"/>
      <c r="I218" s="3"/>
      <c r="J218" s="3"/>
      <c r="K218" s="3"/>
      <c r="L218" s="3"/>
      <c r="N218" s="3"/>
      <c r="P218" s="3"/>
      <c r="Q218" s="3"/>
      <c r="R218" s="3"/>
    </row>
    <row r="219" spans="1:18" ht="19.5" customHeight="1" x14ac:dyDescent="0.25">
      <c r="A219" s="3"/>
      <c r="B219" s="3"/>
      <c r="C219" s="9"/>
      <c r="D219" s="9"/>
      <c r="E219" s="3"/>
      <c r="F219" s="3"/>
      <c r="G219" s="3"/>
      <c r="H219" s="3"/>
      <c r="I219" s="3"/>
      <c r="J219" s="3"/>
      <c r="K219" s="3"/>
      <c r="L219" s="3"/>
      <c r="N219" s="3"/>
      <c r="P219" s="3"/>
      <c r="Q219" s="3"/>
      <c r="R219" s="3"/>
    </row>
    <row r="220" spans="1:18" ht="19.5" customHeight="1" x14ac:dyDescent="0.25">
      <c r="A220" s="3"/>
      <c r="B220" s="3"/>
      <c r="C220" s="9"/>
      <c r="D220" s="9"/>
      <c r="E220" s="3"/>
      <c r="F220" s="3"/>
      <c r="G220" s="3"/>
      <c r="H220" s="3"/>
      <c r="I220" s="3"/>
      <c r="J220" s="3"/>
      <c r="K220" s="3"/>
      <c r="L220" s="3"/>
      <c r="N220" s="3"/>
      <c r="P220" s="3"/>
      <c r="Q220" s="3"/>
      <c r="R220" s="3"/>
    </row>
    <row r="221" spans="1:18" ht="19.5" customHeight="1" x14ac:dyDescent="0.25">
      <c r="A221" s="3"/>
      <c r="B221" s="3"/>
      <c r="C221" s="9"/>
      <c r="D221" s="9"/>
      <c r="E221" s="3"/>
      <c r="F221" s="3"/>
      <c r="G221" s="3"/>
      <c r="H221" s="3"/>
      <c r="I221" s="3"/>
      <c r="J221" s="3"/>
      <c r="K221" s="3"/>
      <c r="L221" s="3"/>
      <c r="N221" s="3"/>
      <c r="P221" s="3"/>
      <c r="Q221" s="3"/>
      <c r="R221" s="3"/>
    </row>
    <row r="222" spans="1:18" ht="19.5" customHeight="1" x14ac:dyDescent="0.25">
      <c r="A222" s="3"/>
      <c r="B222" s="3"/>
      <c r="C222" s="9"/>
      <c r="D222" s="9"/>
      <c r="E222" s="3"/>
      <c r="F222" s="3"/>
      <c r="G222" s="3"/>
      <c r="H222" s="3"/>
      <c r="I222" s="3"/>
      <c r="J222" s="3"/>
      <c r="K222" s="3"/>
      <c r="L222" s="3"/>
      <c r="N222" s="3"/>
      <c r="P222" s="3"/>
      <c r="Q222" s="3"/>
      <c r="R222" s="3"/>
    </row>
    <row r="223" spans="1:18" ht="19.5" customHeight="1" x14ac:dyDescent="0.25">
      <c r="A223" s="3"/>
      <c r="B223" s="3"/>
      <c r="C223" s="9"/>
      <c r="D223" s="9"/>
      <c r="E223" s="3"/>
      <c r="F223" s="3"/>
      <c r="G223" s="3"/>
      <c r="H223" s="3"/>
      <c r="I223" s="3"/>
      <c r="J223" s="3"/>
      <c r="K223" s="3"/>
      <c r="L223" s="3"/>
      <c r="N223" s="3"/>
      <c r="P223" s="3"/>
      <c r="Q223" s="3"/>
      <c r="R223" s="3"/>
    </row>
    <row r="224" spans="1:18" ht="19.5" customHeight="1" x14ac:dyDescent="0.25">
      <c r="A224" s="3"/>
      <c r="B224" s="3"/>
      <c r="C224" s="9"/>
      <c r="D224" s="9"/>
      <c r="E224" s="3"/>
      <c r="F224" s="3"/>
      <c r="G224" s="3"/>
      <c r="H224" s="3"/>
      <c r="I224" s="3"/>
      <c r="J224" s="3"/>
      <c r="K224" s="3"/>
      <c r="L224" s="3"/>
      <c r="N224" s="3"/>
      <c r="P224" s="3"/>
      <c r="Q224" s="3"/>
      <c r="R224" s="3"/>
    </row>
    <row r="225" spans="1:18" ht="19.5" customHeight="1" x14ac:dyDescent="0.25">
      <c r="A225" s="3"/>
      <c r="B225" s="3"/>
      <c r="C225" s="9"/>
      <c r="D225" s="9"/>
      <c r="E225" s="3"/>
      <c r="F225" s="3"/>
      <c r="G225" s="3"/>
      <c r="H225" s="3"/>
      <c r="I225" s="3"/>
      <c r="J225" s="3"/>
      <c r="K225" s="3"/>
      <c r="L225" s="3"/>
      <c r="N225" s="3"/>
      <c r="P225" s="3"/>
      <c r="Q225" s="3"/>
      <c r="R225" s="3"/>
    </row>
    <row r="226" spans="1:18" ht="19.5" customHeight="1" x14ac:dyDescent="0.25">
      <c r="A226" s="3"/>
      <c r="B226" s="3"/>
      <c r="C226" s="9"/>
      <c r="D226" s="9"/>
      <c r="E226" s="3"/>
      <c r="F226" s="3"/>
      <c r="G226" s="3"/>
      <c r="H226" s="3"/>
      <c r="I226" s="3"/>
      <c r="J226" s="3"/>
      <c r="K226" s="3"/>
      <c r="L226" s="3"/>
      <c r="N226" s="3"/>
      <c r="P226" s="3"/>
      <c r="Q226" s="3"/>
      <c r="R226" s="3"/>
    </row>
    <row r="227" spans="1:18" ht="19.5" customHeight="1" x14ac:dyDescent="0.25">
      <c r="A227" s="3"/>
      <c r="B227" s="3"/>
      <c r="C227" s="9"/>
      <c r="D227" s="9"/>
      <c r="E227" s="3"/>
      <c r="F227" s="3"/>
      <c r="G227" s="3"/>
      <c r="H227" s="3"/>
      <c r="I227" s="3"/>
      <c r="J227" s="3"/>
      <c r="K227" s="3"/>
      <c r="L227" s="3"/>
      <c r="N227" s="3"/>
      <c r="P227" s="3"/>
      <c r="Q227" s="3"/>
      <c r="R227" s="3"/>
    </row>
    <row r="228" spans="1:18" ht="19.5" customHeight="1" x14ac:dyDescent="0.25">
      <c r="A228" s="3"/>
      <c r="B228" s="3"/>
      <c r="C228" s="9"/>
      <c r="D228" s="9"/>
      <c r="E228" s="3"/>
      <c r="F228" s="3"/>
      <c r="G228" s="3"/>
      <c r="H228" s="3"/>
      <c r="I228" s="3"/>
      <c r="J228" s="3"/>
      <c r="K228" s="3"/>
      <c r="L228" s="3"/>
      <c r="N228" s="3"/>
      <c r="P228" s="3"/>
      <c r="Q228" s="3"/>
      <c r="R228" s="3"/>
    </row>
    <row r="229" spans="1:18" ht="19.5" customHeight="1" x14ac:dyDescent="0.25">
      <c r="A229" s="3"/>
      <c r="B229" s="3"/>
      <c r="C229" s="9"/>
      <c r="D229" s="9"/>
      <c r="E229" s="3"/>
      <c r="F229" s="3"/>
      <c r="G229" s="3"/>
      <c r="H229" s="3"/>
      <c r="I229" s="3"/>
      <c r="J229" s="3"/>
      <c r="K229" s="3"/>
      <c r="L229" s="3"/>
      <c r="N229" s="3"/>
      <c r="P229" s="3"/>
      <c r="Q229" s="3"/>
      <c r="R229" s="3"/>
    </row>
    <row r="230" spans="1:18" ht="19.5" customHeight="1" x14ac:dyDescent="0.25">
      <c r="A230" s="3"/>
      <c r="B230" s="3"/>
      <c r="C230" s="9"/>
      <c r="D230" s="9"/>
      <c r="E230" s="3"/>
      <c r="F230" s="3"/>
      <c r="G230" s="3"/>
      <c r="H230" s="3"/>
      <c r="I230" s="3"/>
      <c r="J230" s="3"/>
      <c r="K230" s="3"/>
      <c r="L230" s="3"/>
      <c r="N230" s="3"/>
      <c r="P230" s="3"/>
      <c r="Q230" s="3"/>
      <c r="R230" s="3"/>
    </row>
    <row r="231" spans="1:18" ht="19.5" customHeight="1" x14ac:dyDescent="0.25">
      <c r="A231" s="3"/>
      <c r="B231" s="3"/>
      <c r="C231" s="9"/>
      <c r="D231" s="9"/>
      <c r="E231" s="3"/>
      <c r="F231" s="3"/>
      <c r="G231" s="3"/>
      <c r="H231" s="3"/>
      <c r="I231" s="3"/>
      <c r="J231" s="3"/>
      <c r="K231" s="3"/>
      <c r="L231" s="3"/>
      <c r="N231" s="3"/>
      <c r="P231" s="3"/>
      <c r="Q231" s="3"/>
      <c r="R231" s="3"/>
    </row>
    <row r="232" spans="1:18" ht="19.5" customHeight="1" x14ac:dyDescent="0.25">
      <c r="A232" s="3"/>
      <c r="B232" s="3"/>
      <c r="C232" s="9"/>
      <c r="D232" s="9"/>
      <c r="E232" s="3"/>
      <c r="F232" s="3"/>
      <c r="G232" s="3"/>
      <c r="H232" s="3"/>
      <c r="I232" s="3"/>
      <c r="J232" s="3"/>
      <c r="K232" s="3"/>
      <c r="L232" s="3"/>
      <c r="N232" s="3"/>
      <c r="P232" s="3"/>
      <c r="Q232" s="3"/>
      <c r="R232" s="3"/>
    </row>
    <row r="233" spans="1:18" ht="19.5" customHeight="1" x14ac:dyDescent="0.25">
      <c r="A233" s="3"/>
      <c r="B233" s="3"/>
      <c r="C233" s="9"/>
      <c r="D233" s="9"/>
      <c r="E233" s="3"/>
      <c r="F233" s="3"/>
      <c r="G233" s="3"/>
      <c r="H233" s="3"/>
      <c r="I233" s="3"/>
      <c r="J233" s="3"/>
      <c r="K233" s="3"/>
      <c r="L233" s="3"/>
      <c r="N233" s="3"/>
      <c r="P233" s="3"/>
      <c r="Q233" s="3"/>
      <c r="R233" s="3"/>
    </row>
    <row r="234" spans="1:18" ht="19.5" customHeight="1" x14ac:dyDescent="0.25">
      <c r="A234" s="3"/>
      <c r="B234" s="3"/>
      <c r="C234" s="9"/>
      <c r="D234" s="9"/>
      <c r="E234" s="3"/>
      <c r="F234" s="3"/>
      <c r="G234" s="3"/>
      <c r="H234" s="3"/>
      <c r="I234" s="3"/>
      <c r="J234" s="3"/>
      <c r="K234" s="3"/>
      <c r="L234" s="3"/>
      <c r="N234" s="3"/>
      <c r="P234" s="3"/>
      <c r="Q234" s="3"/>
      <c r="R234" s="3"/>
    </row>
    <row r="235" spans="1:18" ht="19.5" customHeight="1" x14ac:dyDescent="0.25">
      <c r="A235" s="3"/>
      <c r="B235" s="3"/>
      <c r="C235" s="9"/>
      <c r="D235" s="9"/>
      <c r="E235" s="3"/>
      <c r="F235" s="3"/>
      <c r="G235" s="3"/>
      <c r="H235" s="3"/>
      <c r="I235" s="3"/>
      <c r="J235" s="3"/>
      <c r="K235" s="3"/>
      <c r="L235" s="3"/>
      <c r="N235" s="3"/>
      <c r="P235" s="3"/>
      <c r="Q235" s="3"/>
      <c r="R235" s="3"/>
    </row>
    <row r="236" spans="1:18" ht="19.5" customHeight="1" x14ac:dyDescent="0.25">
      <c r="A236" s="3"/>
      <c r="B236" s="3"/>
      <c r="C236" s="9"/>
      <c r="D236" s="9"/>
      <c r="E236" s="3"/>
      <c r="F236" s="3"/>
      <c r="G236" s="3"/>
      <c r="H236" s="3"/>
      <c r="I236" s="3"/>
      <c r="J236" s="3"/>
      <c r="K236" s="3"/>
      <c r="L236" s="3"/>
      <c r="N236" s="3"/>
      <c r="P236" s="3"/>
      <c r="Q236" s="3"/>
      <c r="R236" s="3"/>
    </row>
    <row r="237" spans="1:18" ht="19.5" customHeight="1" x14ac:dyDescent="0.25">
      <c r="A237" s="3"/>
      <c r="B237" s="3"/>
      <c r="C237" s="9"/>
      <c r="D237" s="9"/>
      <c r="E237" s="3"/>
      <c r="F237" s="3"/>
      <c r="G237" s="3"/>
      <c r="H237" s="3"/>
      <c r="I237" s="3"/>
      <c r="J237" s="3"/>
      <c r="K237" s="3"/>
      <c r="L237" s="3"/>
      <c r="N237" s="3"/>
      <c r="P237" s="3"/>
      <c r="Q237" s="3"/>
      <c r="R237" s="3"/>
    </row>
    <row r="238" spans="1:18" ht="19.5" customHeight="1" x14ac:dyDescent="0.25">
      <c r="A238" s="3"/>
      <c r="B238" s="3"/>
      <c r="C238" s="9"/>
      <c r="D238" s="9"/>
      <c r="E238" s="3"/>
      <c r="F238" s="3"/>
      <c r="G238" s="3"/>
      <c r="H238" s="3"/>
      <c r="I238" s="3"/>
      <c r="J238" s="3"/>
      <c r="K238" s="3"/>
      <c r="L238" s="3"/>
      <c r="N238" s="3"/>
      <c r="P238" s="3"/>
      <c r="Q238" s="3"/>
      <c r="R238" s="3"/>
    </row>
    <row r="239" spans="1:18" ht="19.5" customHeight="1" x14ac:dyDescent="0.25">
      <c r="A239" s="3"/>
      <c r="B239" s="3"/>
      <c r="C239" s="9"/>
      <c r="D239" s="9"/>
      <c r="E239" s="3"/>
      <c r="F239" s="3"/>
      <c r="G239" s="3"/>
      <c r="H239" s="3"/>
      <c r="I239" s="3"/>
      <c r="J239" s="3"/>
      <c r="K239" s="3"/>
      <c r="L239" s="3"/>
      <c r="N239" s="3"/>
      <c r="P239" s="3"/>
      <c r="Q239" s="3"/>
      <c r="R239" s="3"/>
    </row>
    <row r="240" spans="1:18" ht="19.5" customHeight="1" x14ac:dyDescent="0.25">
      <c r="A240" s="3"/>
      <c r="B240" s="3"/>
      <c r="C240" s="9"/>
      <c r="D240" s="9"/>
      <c r="E240" s="3"/>
      <c r="F240" s="3"/>
      <c r="G240" s="3"/>
      <c r="H240" s="3"/>
      <c r="I240" s="3"/>
      <c r="J240" s="3"/>
      <c r="K240" s="3"/>
      <c r="L240" s="3"/>
      <c r="N240" s="3"/>
      <c r="P240" s="3"/>
      <c r="Q240" s="3"/>
      <c r="R240" s="3"/>
    </row>
    <row r="241" spans="1:18" ht="19.5" customHeight="1" x14ac:dyDescent="0.25">
      <c r="A241" s="3"/>
      <c r="B241" s="3"/>
      <c r="C241" s="9"/>
      <c r="D241" s="9"/>
      <c r="E241" s="3"/>
      <c r="F241" s="3"/>
      <c r="G241" s="3"/>
      <c r="H241" s="3"/>
      <c r="I241" s="3"/>
      <c r="J241" s="3"/>
      <c r="K241" s="3"/>
      <c r="L241" s="3"/>
      <c r="N241" s="3"/>
      <c r="P241" s="3"/>
      <c r="Q241" s="3"/>
      <c r="R241" s="3"/>
    </row>
    <row r="242" spans="1:18" ht="19.5" customHeight="1" x14ac:dyDescent="0.25">
      <c r="A242" s="3"/>
      <c r="B242" s="3"/>
      <c r="C242" s="9"/>
      <c r="D242" s="9"/>
      <c r="E242" s="3"/>
      <c r="F242" s="3"/>
      <c r="G242" s="3"/>
      <c r="H242" s="3"/>
      <c r="I242" s="3"/>
      <c r="J242" s="3"/>
      <c r="K242" s="3"/>
      <c r="L242" s="3"/>
      <c r="N242" s="3"/>
      <c r="P242" s="3"/>
      <c r="Q242" s="3"/>
      <c r="R242" s="3"/>
    </row>
    <row r="243" spans="1:18" ht="19.5" customHeight="1" x14ac:dyDescent="0.25">
      <c r="A243" s="3"/>
      <c r="B243" s="3"/>
      <c r="C243" s="9"/>
      <c r="D243" s="9"/>
      <c r="E243" s="3"/>
      <c r="F243" s="3"/>
      <c r="G243" s="3"/>
      <c r="H243" s="3"/>
      <c r="I243" s="3"/>
      <c r="J243" s="3"/>
      <c r="K243" s="3"/>
      <c r="L243" s="3"/>
      <c r="N243" s="3"/>
      <c r="P243" s="3"/>
      <c r="Q243" s="3"/>
      <c r="R243" s="3"/>
    </row>
    <row r="244" spans="1:18" ht="19.5" customHeight="1" x14ac:dyDescent="0.25">
      <c r="A244" s="3"/>
      <c r="B244" s="3"/>
      <c r="C244" s="9"/>
      <c r="D244" s="9"/>
      <c r="E244" s="3"/>
      <c r="F244" s="3"/>
      <c r="G244" s="3"/>
      <c r="H244" s="3"/>
      <c r="I244" s="3"/>
      <c r="J244" s="3"/>
      <c r="K244" s="3"/>
      <c r="L244" s="3"/>
      <c r="N244" s="3"/>
      <c r="P244" s="3"/>
      <c r="Q244" s="3"/>
      <c r="R244" s="3"/>
    </row>
    <row r="245" spans="1:18" ht="19.5" customHeight="1" x14ac:dyDescent="0.25">
      <c r="A245" s="3"/>
      <c r="B245" s="3"/>
      <c r="C245" s="9"/>
      <c r="D245" s="9"/>
      <c r="E245" s="3"/>
      <c r="F245" s="3"/>
      <c r="G245" s="3"/>
      <c r="H245" s="3"/>
      <c r="I245" s="3"/>
      <c r="J245" s="3"/>
      <c r="K245" s="3"/>
      <c r="L245" s="3"/>
      <c r="N245" s="3"/>
      <c r="P245" s="3"/>
      <c r="Q245" s="3"/>
      <c r="R245" s="3"/>
    </row>
    <row r="246" spans="1:18" ht="19.5" customHeight="1" x14ac:dyDescent="0.25">
      <c r="A246" s="3"/>
      <c r="B246" s="3"/>
      <c r="C246" s="9"/>
      <c r="D246" s="9"/>
      <c r="E246" s="3"/>
      <c r="F246" s="3"/>
      <c r="G246" s="3"/>
      <c r="H246" s="3"/>
      <c r="I246" s="3"/>
      <c r="J246" s="3"/>
      <c r="K246" s="3"/>
      <c r="L246" s="3"/>
      <c r="N246" s="3"/>
      <c r="P246" s="3"/>
      <c r="Q246" s="3"/>
      <c r="R246" s="3"/>
    </row>
    <row r="247" spans="1:18" ht="19.5" customHeight="1" x14ac:dyDescent="0.25">
      <c r="A247" s="3"/>
      <c r="B247" s="3"/>
      <c r="C247" s="9"/>
      <c r="D247" s="9"/>
      <c r="E247" s="3"/>
      <c r="F247" s="3"/>
      <c r="G247" s="3"/>
      <c r="H247" s="3"/>
      <c r="I247" s="3"/>
      <c r="J247" s="3"/>
      <c r="K247" s="3"/>
      <c r="L247" s="3"/>
      <c r="N247" s="3"/>
      <c r="P247" s="3"/>
      <c r="Q247" s="3"/>
      <c r="R247" s="3"/>
    </row>
    <row r="248" spans="1:18" ht="19.5" customHeight="1" x14ac:dyDescent="0.25">
      <c r="A248" s="3"/>
      <c r="B248" s="3"/>
      <c r="C248" s="9"/>
      <c r="D248" s="9"/>
      <c r="E248" s="3"/>
      <c r="F248" s="3"/>
      <c r="G248" s="3"/>
      <c r="H248" s="3"/>
      <c r="I248" s="3"/>
      <c r="J248" s="3"/>
      <c r="K248" s="3"/>
      <c r="L248" s="3"/>
      <c r="N248" s="3"/>
      <c r="P248" s="3"/>
      <c r="Q248" s="3"/>
      <c r="R248" s="3"/>
    </row>
    <row r="249" spans="1:18" ht="19.5" customHeight="1" x14ac:dyDescent="0.25">
      <c r="A249" s="3"/>
      <c r="B249" s="3"/>
      <c r="C249" s="9"/>
      <c r="D249" s="9"/>
      <c r="E249" s="3"/>
      <c r="F249" s="3"/>
      <c r="G249" s="3"/>
      <c r="H249" s="3"/>
      <c r="I249" s="3"/>
      <c r="J249" s="3"/>
      <c r="K249" s="3"/>
      <c r="L249" s="3"/>
      <c r="N249" s="3"/>
      <c r="P249" s="3"/>
      <c r="Q249" s="3"/>
      <c r="R249" s="3"/>
    </row>
    <row r="250" spans="1:18" ht="19.5" customHeight="1" x14ac:dyDescent="0.25">
      <c r="A250" s="3"/>
      <c r="B250" s="3"/>
      <c r="C250" s="9"/>
      <c r="D250" s="9"/>
      <c r="E250" s="3"/>
      <c r="F250" s="3"/>
      <c r="G250" s="3"/>
      <c r="H250" s="3"/>
      <c r="I250" s="3"/>
      <c r="J250" s="3"/>
      <c r="K250" s="3"/>
      <c r="L250" s="3"/>
      <c r="N250" s="3"/>
      <c r="P250" s="3"/>
      <c r="Q250" s="3"/>
      <c r="R250" s="3"/>
    </row>
    <row r="251" spans="1:18" ht="19.5" customHeight="1" x14ac:dyDescent="0.25">
      <c r="A251" s="3"/>
      <c r="B251" s="3"/>
      <c r="C251" s="9"/>
      <c r="D251" s="9"/>
      <c r="E251" s="3"/>
      <c r="F251" s="3"/>
      <c r="G251" s="3"/>
      <c r="H251" s="3"/>
      <c r="I251" s="3"/>
      <c r="J251" s="3"/>
      <c r="K251" s="3"/>
      <c r="L251" s="3"/>
      <c r="N251" s="3"/>
      <c r="P251" s="3"/>
      <c r="Q251" s="3"/>
      <c r="R251" s="3"/>
    </row>
    <row r="252" spans="1:18" ht="19.5" customHeight="1" x14ac:dyDescent="0.25">
      <c r="A252" s="3"/>
      <c r="B252" s="3"/>
      <c r="C252" s="9"/>
      <c r="D252" s="9"/>
      <c r="E252" s="3"/>
      <c r="F252" s="3"/>
      <c r="G252" s="3"/>
      <c r="H252" s="3"/>
      <c r="I252" s="3"/>
      <c r="J252" s="3"/>
      <c r="K252" s="3"/>
      <c r="L252" s="3"/>
      <c r="N252" s="3"/>
      <c r="P252" s="3"/>
      <c r="Q252" s="3"/>
      <c r="R252" s="3"/>
    </row>
    <row r="253" spans="1:18" ht="19.5" customHeight="1" x14ac:dyDescent="0.25">
      <c r="A253" s="3"/>
      <c r="B253" s="3"/>
      <c r="C253" s="9"/>
      <c r="D253" s="9"/>
      <c r="E253" s="3"/>
      <c r="F253" s="3"/>
      <c r="G253" s="3"/>
      <c r="H253" s="3"/>
      <c r="I253" s="3"/>
      <c r="J253" s="3"/>
      <c r="K253" s="3"/>
      <c r="L253" s="3"/>
      <c r="N253" s="3"/>
      <c r="P253" s="3"/>
      <c r="Q253" s="3"/>
      <c r="R253" s="3"/>
    </row>
    <row r="254" spans="1:18" ht="19.5" customHeight="1" x14ac:dyDescent="0.25">
      <c r="A254" s="3"/>
      <c r="B254" s="3"/>
      <c r="C254" s="9"/>
      <c r="D254" s="9"/>
      <c r="E254" s="3"/>
      <c r="F254" s="3"/>
      <c r="G254" s="3"/>
      <c r="H254" s="3"/>
      <c r="I254" s="3"/>
      <c r="J254" s="3"/>
      <c r="K254" s="3"/>
      <c r="L254" s="3"/>
      <c r="N254" s="3"/>
      <c r="P254" s="3"/>
      <c r="Q254" s="3"/>
      <c r="R254" s="3"/>
    </row>
    <row r="255" spans="1:18" ht="19.5" customHeight="1" x14ac:dyDescent="0.25">
      <c r="A255" s="3"/>
      <c r="B255" s="3"/>
      <c r="C255" s="9"/>
      <c r="D255" s="9"/>
      <c r="E255" s="3"/>
      <c r="F255" s="3"/>
      <c r="G255" s="3"/>
      <c r="H255" s="3"/>
      <c r="I255" s="3"/>
      <c r="J255" s="3"/>
      <c r="K255" s="3"/>
      <c r="L255" s="3"/>
      <c r="N255" s="3"/>
      <c r="P255" s="3"/>
      <c r="Q255" s="3"/>
      <c r="R255" s="3"/>
    </row>
    <row r="256" spans="1:18" ht="19.5" customHeight="1" x14ac:dyDescent="0.25">
      <c r="A256" s="3"/>
      <c r="B256" s="3"/>
      <c r="C256" s="9"/>
      <c r="D256" s="9"/>
      <c r="E256" s="3"/>
      <c r="F256" s="3"/>
      <c r="G256" s="3"/>
      <c r="H256" s="3"/>
      <c r="I256" s="3"/>
      <c r="J256" s="3"/>
      <c r="K256" s="3"/>
      <c r="L256" s="3"/>
      <c r="N256" s="3"/>
      <c r="P256" s="3"/>
      <c r="Q256" s="3"/>
      <c r="R256" s="3"/>
    </row>
    <row r="257" spans="1:18" ht="19.5" customHeight="1" x14ac:dyDescent="0.25">
      <c r="A257" s="3"/>
      <c r="B257" s="3"/>
      <c r="C257" s="9"/>
      <c r="D257" s="9"/>
      <c r="E257" s="3"/>
      <c r="F257" s="3"/>
      <c r="G257" s="3"/>
      <c r="H257" s="3"/>
      <c r="I257" s="3"/>
      <c r="J257" s="3"/>
      <c r="K257" s="3"/>
      <c r="L257" s="3"/>
      <c r="N257" s="3"/>
      <c r="P257" s="3"/>
      <c r="Q257" s="3"/>
      <c r="R257" s="3"/>
    </row>
    <row r="258" spans="1:18" ht="19.5" customHeight="1" x14ac:dyDescent="0.25">
      <c r="A258" s="3"/>
      <c r="B258" s="3"/>
      <c r="C258" s="9"/>
      <c r="D258" s="9"/>
      <c r="E258" s="3"/>
      <c r="F258" s="3"/>
      <c r="G258" s="3"/>
      <c r="H258" s="3"/>
      <c r="I258" s="3"/>
      <c r="J258" s="3"/>
      <c r="K258" s="3"/>
      <c r="L258" s="3"/>
      <c r="N258" s="3"/>
      <c r="P258" s="3"/>
      <c r="Q258" s="3"/>
      <c r="R258" s="3"/>
    </row>
    <row r="259" spans="1:18" ht="19.5" customHeight="1" x14ac:dyDescent="0.25">
      <c r="A259" s="3"/>
      <c r="B259" s="3"/>
      <c r="C259" s="9"/>
      <c r="D259" s="9"/>
      <c r="E259" s="3"/>
      <c r="F259" s="3"/>
      <c r="G259" s="3"/>
      <c r="H259" s="3"/>
      <c r="I259" s="3"/>
      <c r="J259" s="3"/>
      <c r="K259" s="3"/>
      <c r="L259" s="3"/>
      <c r="N259" s="3"/>
      <c r="P259" s="3"/>
      <c r="Q259" s="3"/>
      <c r="R259" s="3"/>
    </row>
    <row r="260" spans="1:18" ht="19.5" customHeight="1" x14ac:dyDescent="0.25">
      <c r="A260" s="3"/>
      <c r="B260" s="3"/>
      <c r="C260" s="9"/>
      <c r="D260" s="9"/>
      <c r="E260" s="3"/>
      <c r="F260" s="3"/>
      <c r="G260" s="3"/>
      <c r="H260" s="3"/>
      <c r="I260" s="3"/>
      <c r="J260" s="3"/>
      <c r="K260" s="3"/>
      <c r="L260" s="3"/>
      <c r="N260" s="3"/>
      <c r="P260" s="3"/>
      <c r="Q260" s="3"/>
      <c r="R260" s="3"/>
    </row>
    <row r="261" spans="1:18" ht="19.5" customHeight="1" x14ac:dyDescent="0.25">
      <c r="A261" s="3"/>
      <c r="B261" s="3"/>
      <c r="C261" s="9"/>
      <c r="D261" s="9"/>
      <c r="E261" s="3"/>
      <c r="F261" s="3"/>
      <c r="G261" s="3"/>
      <c r="H261" s="3"/>
      <c r="I261" s="3"/>
      <c r="J261" s="3"/>
      <c r="K261" s="3"/>
      <c r="L261" s="3"/>
      <c r="N261" s="3"/>
      <c r="P261" s="3"/>
      <c r="Q261" s="3"/>
      <c r="R261" s="3"/>
    </row>
    <row r="262" spans="1:18" ht="19.5" customHeight="1" x14ac:dyDescent="0.25">
      <c r="A262" s="3"/>
      <c r="B262" s="3"/>
      <c r="C262" s="9"/>
      <c r="D262" s="9"/>
      <c r="E262" s="3"/>
      <c r="F262" s="3"/>
      <c r="G262" s="3"/>
      <c r="H262" s="3"/>
      <c r="I262" s="3"/>
      <c r="J262" s="3"/>
      <c r="K262" s="3"/>
      <c r="L262" s="3"/>
      <c r="N262" s="3"/>
      <c r="P262" s="3"/>
      <c r="Q262" s="3"/>
      <c r="R262" s="3"/>
    </row>
    <row r="263" spans="1:18" ht="19.5" customHeight="1" x14ac:dyDescent="0.25">
      <c r="A263" s="3"/>
      <c r="B263" s="3"/>
      <c r="C263" s="9"/>
      <c r="D263" s="9"/>
      <c r="E263" s="3"/>
      <c r="F263" s="3"/>
      <c r="G263" s="3"/>
      <c r="H263" s="3"/>
      <c r="I263" s="3"/>
      <c r="J263" s="3"/>
      <c r="K263" s="3"/>
      <c r="L263" s="3"/>
      <c r="N263" s="3"/>
      <c r="P263" s="3"/>
      <c r="Q263" s="3"/>
      <c r="R263" s="3"/>
    </row>
    <row r="264" spans="1:18" ht="19.5" customHeight="1" x14ac:dyDescent="0.25">
      <c r="A264" s="3"/>
      <c r="B264" s="3"/>
      <c r="C264" s="9"/>
      <c r="D264" s="9"/>
      <c r="E264" s="3"/>
      <c r="F264" s="3"/>
      <c r="G264" s="3"/>
      <c r="H264" s="3"/>
      <c r="I264" s="3"/>
      <c r="J264" s="3"/>
      <c r="K264" s="3"/>
      <c r="L264" s="3"/>
      <c r="N264" s="3"/>
      <c r="P264" s="3"/>
      <c r="Q264" s="3"/>
      <c r="R264" s="3"/>
    </row>
    <row r="265" spans="1:18" ht="19.5" customHeight="1" x14ac:dyDescent="0.25">
      <c r="A265" s="3"/>
      <c r="B265" s="3"/>
      <c r="C265" s="9"/>
      <c r="D265" s="9"/>
      <c r="E265" s="3"/>
      <c r="F265" s="3"/>
      <c r="G265" s="3"/>
      <c r="H265" s="3"/>
      <c r="I265" s="3"/>
      <c r="J265" s="3"/>
      <c r="K265" s="3"/>
      <c r="L265" s="3"/>
      <c r="N265" s="3"/>
      <c r="P265" s="3"/>
      <c r="Q265" s="3"/>
      <c r="R265" s="3"/>
    </row>
    <row r="266" spans="1:18" ht="19.5" customHeight="1" x14ac:dyDescent="0.25">
      <c r="A266" s="3"/>
      <c r="B266" s="3"/>
      <c r="C266" s="9"/>
      <c r="D266" s="9"/>
      <c r="E266" s="3"/>
      <c r="F266" s="3"/>
      <c r="G266" s="3"/>
      <c r="H266" s="3"/>
      <c r="I266" s="3"/>
      <c r="J266" s="3"/>
      <c r="K266" s="3"/>
      <c r="L266" s="3"/>
      <c r="N266" s="3"/>
      <c r="P266" s="3"/>
      <c r="Q266" s="3"/>
      <c r="R266" s="3"/>
    </row>
    <row r="267" spans="1:18" ht="19.5" customHeight="1" x14ac:dyDescent="0.25">
      <c r="A267" s="3"/>
      <c r="B267" s="3"/>
      <c r="C267" s="9"/>
      <c r="D267" s="9"/>
      <c r="E267" s="3"/>
      <c r="F267" s="3"/>
      <c r="G267" s="3"/>
      <c r="H267" s="3"/>
      <c r="I267" s="3"/>
      <c r="J267" s="3"/>
      <c r="K267" s="3"/>
      <c r="L267" s="3"/>
      <c r="N267" s="3"/>
      <c r="P267" s="3"/>
      <c r="Q267" s="3"/>
      <c r="R267" s="3"/>
    </row>
    <row r="268" spans="1:18" ht="19.5" customHeight="1" x14ac:dyDescent="0.25">
      <c r="A268" s="3"/>
      <c r="B268" s="3"/>
      <c r="C268" s="9"/>
      <c r="D268" s="9"/>
      <c r="E268" s="3"/>
      <c r="F268" s="3"/>
      <c r="G268" s="3"/>
      <c r="H268" s="3"/>
      <c r="I268" s="3"/>
      <c r="J268" s="3"/>
      <c r="K268" s="3"/>
      <c r="L268" s="3"/>
      <c r="N268" s="3"/>
      <c r="P268" s="3"/>
      <c r="Q268" s="3"/>
      <c r="R268" s="3"/>
    </row>
    <row r="269" spans="1:18" ht="19.5" customHeight="1" x14ac:dyDescent="0.25">
      <c r="A269" s="3"/>
      <c r="B269" s="3"/>
      <c r="C269" s="9"/>
      <c r="D269" s="9"/>
      <c r="E269" s="3"/>
      <c r="F269" s="3"/>
      <c r="G269" s="3"/>
      <c r="H269" s="3"/>
      <c r="I269" s="3"/>
      <c r="J269" s="3"/>
      <c r="K269" s="3"/>
      <c r="L269" s="3"/>
      <c r="N269" s="3"/>
      <c r="P269" s="3"/>
      <c r="Q269" s="3"/>
      <c r="R269" s="3"/>
    </row>
    <row r="270" spans="1:18" ht="19.5" customHeight="1" x14ac:dyDescent="0.25">
      <c r="A270" s="3"/>
      <c r="B270" s="3"/>
      <c r="C270" s="9"/>
      <c r="D270" s="9"/>
      <c r="E270" s="3"/>
      <c r="F270" s="3"/>
      <c r="G270" s="3"/>
      <c r="H270" s="3"/>
      <c r="I270" s="3"/>
      <c r="J270" s="3"/>
      <c r="K270" s="3"/>
      <c r="L270" s="3"/>
      <c r="N270" s="3"/>
      <c r="P270" s="3"/>
      <c r="Q270" s="3"/>
      <c r="R270" s="3"/>
    </row>
    <row r="271" spans="1:18" ht="19.5" customHeight="1" x14ac:dyDescent="0.25">
      <c r="A271" s="3"/>
      <c r="B271" s="3"/>
      <c r="C271" s="9"/>
      <c r="D271" s="9"/>
      <c r="E271" s="3"/>
      <c r="F271" s="3"/>
      <c r="G271" s="3"/>
      <c r="H271" s="3"/>
      <c r="I271" s="3"/>
      <c r="J271" s="3"/>
      <c r="K271" s="3"/>
      <c r="L271" s="3"/>
      <c r="N271" s="3"/>
      <c r="P271" s="3"/>
      <c r="Q271" s="3"/>
      <c r="R271" s="3"/>
    </row>
    <row r="272" spans="1:18" ht="19.5" customHeight="1" x14ac:dyDescent="0.25">
      <c r="A272" s="3"/>
      <c r="B272" s="3"/>
      <c r="C272" s="9"/>
      <c r="D272" s="9"/>
      <c r="E272" s="3"/>
      <c r="F272" s="3"/>
      <c r="G272" s="3"/>
      <c r="H272" s="3"/>
      <c r="I272" s="3"/>
      <c r="J272" s="3"/>
      <c r="K272" s="3"/>
      <c r="L272" s="3"/>
      <c r="N272" s="3"/>
      <c r="P272" s="3"/>
      <c r="Q272" s="3"/>
      <c r="R272" s="3"/>
    </row>
    <row r="273" spans="1:18" ht="19.5" customHeight="1" x14ac:dyDescent="0.25">
      <c r="A273" s="3"/>
      <c r="B273" s="3"/>
      <c r="C273" s="9"/>
      <c r="D273" s="9"/>
      <c r="E273" s="3"/>
      <c r="F273" s="3"/>
      <c r="G273" s="3"/>
      <c r="H273" s="3"/>
      <c r="I273" s="3"/>
      <c r="J273" s="3"/>
      <c r="K273" s="3"/>
      <c r="L273" s="3"/>
      <c r="N273" s="3"/>
      <c r="P273" s="3"/>
      <c r="Q273" s="3"/>
      <c r="R273" s="3"/>
    </row>
    <row r="274" spans="1:18" ht="19.5" customHeight="1" x14ac:dyDescent="0.25">
      <c r="A274" s="3"/>
      <c r="B274" s="3"/>
      <c r="C274" s="9"/>
      <c r="D274" s="9"/>
      <c r="E274" s="3"/>
      <c r="F274" s="3"/>
      <c r="G274" s="3"/>
      <c r="H274" s="3"/>
      <c r="I274" s="3"/>
      <c r="J274" s="3"/>
      <c r="K274" s="3"/>
      <c r="L274" s="3"/>
      <c r="N274" s="3"/>
      <c r="P274" s="3"/>
      <c r="Q274" s="3"/>
      <c r="R274" s="3"/>
    </row>
    <row r="275" spans="1:18" ht="19.5" customHeight="1" x14ac:dyDescent="0.25">
      <c r="A275" s="3"/>
      <c r="B275" s="3"/>
      <c r="C275" s="9"/>
      <c r="D275" s="9"/>
      <c r="E275" s="3"/>
      <c r="F275" s="3"/>
      <c r="G275" s="3"/>
      <c r="H275" s="3"/>
      <c r="I275" s="3"/>
      <c r="J275" s="3"/>
      <c r="K275" s="3"/>
      <c r="L275" s="3"/>
      <c r="N275" s="3"/>
      <c r="P275" s="3"/>
      <c r="Q275" s="3"/>
      <c r="R275" s="3"/>
    </row>
    <row r="276" spans="1:18" ht="19.5" customHeight="1" x14ac:dyDescent="0.25">
      <c r="A276" s="3"/>
      <c r="B276" s="3"/>
      <c r="C276" s="9"/>
      <c r="D276" s="9"/>
      <c r="E276" s="3"/>
      <c r="F276" s="3"/>
      <c r="G276" s="3"/>
      <c r="H276" s="3"/>
      <c r="I276" s="3"/>
      <c r="J276" s="3"/>
      <c r="K276" s="3"/>
      <c r="L276" s="3"/>
      <c r="N276" s="3"/>
      <c r="P276" s="3"/>
      <c r="Q276" s="3"/>
      <c r="R276" s="3"/>
    </row>
    <row r="277" spans="1:18" ht="19.5" customHeight="1" x14ac:dyDescent="0.25">
      <c r="A277" s="3"/>
      <c r="B277" s="3"/>
      <c r="C277" s="9"/>
      <c r="D277" s="9"/>
      <c r="E277" s="3"/>
      <c r="F277" s="3"/>
      <c r="G277" s="3"/>
      <c r="H277" s="3"/>
      <c r="I277" s="3"/>
      <c r="J277" s="3"/>
      <c r="K277" s="3"/>
      <c r="L277" s="3"/>
      <c r="N277" s="3"/>
      <c r="P277" s="3"/>
      <c r="Q277" s="3"/>
      <c r="R277" s="3"/>
    </row>
    <row r="278" spans="1:18" ht="19.5" customHeight="1" x14ac:dyDescent="0.25">
      <c r="A278" s="3"/>
      <c r="B278" s="3"/>
      <c r="C278" s="9"/>
      <c r="D278" s="9"/>
      <c r="E278" s="3"/>
      <c r="F278" s="3"/>
      <c r="G278" s="3"/>
      <c r="H278" s="3"/>
      <c r="I278" s="3"/>
      <c r="J278" s="3"/>
      <c r="K278" s="3"/>
      <c r="L278" s="3"/>
      <c r="N278" s="3"/>
      <c r="P278" s="3"/>
      <c r="Q278" s="3"/>
      <c r="R278" s="3"/>
    </row>
    <row r="279" spans="1:18" ht="19.5" customHeight="1" x14ac:dyDescent="0.25">
      <c r="A279" s="3"/>
      <c r="B279" s="3"/>
      <c r="C279" s="9"/>
      <c r="D279" s="9"/>
      <c r="E279" s="3"/>
      <c r="F279" s="3"/>
      <c r="G279" s="3"/>
      <c r="H279" s="3"/>
      <c r="I279" s="3"/>
      <c r="J279" s="3"/>
      <c r="K279" s="3"/>
      <c r="L279" s="3"/>
      <c r="N279" s="3"/>
      <c r="P279" s="3"/>
      <c r="Q279" s="3"/>
      <c r="R279" s="3"/>
    </row>
    <row r="280" spans="1:18" ht="19.5" customHeight="1" x14ac:dyDescent="0.25">
      <c r="A280" s="3"/>
      <c r="B280" s="3"/>
      <c r="C280" s="9"/>
      <c r="D280" s="9"/>
      <c r="E280" s="3"/>
      <c r="F280" s="3"/>
      <c r="G280" s="3"/>
      <c r="H280" s="3"/>
      <c r="I280" s="3"/>
      <c r="J280" s="3"/>
      <c r="K280" s="3"/>
      <c r="L280" s="3"/>
      <c r="N280" s="3"/>
      <c r="P280" s="3"/>
      <c r="Q280" s="3"/>
      <c r="R280" s="3"/>
    </row>
    <row r="281" spans="1:18" ht="19.5" customHeight="1" x14ac:dyDescent="0.25">
      <c r="A281" s="3"/>
      <c r="B281" s="3"/>
      <c r="C281" s="9"/>
      <c r="D281" s="9"/>
      <c r="E281" s="3"/>
      <c r="F281" s="3"/>
      <c r="G281" s="3"/>
      <c r="H281" s="3"/>
      <c r="I281" s="3"/>
      <c r="J281" s="3"/>
      <c r="K281" s="3"/>
      <c r="L281" s="3"/>
      <c r="N281" s="3"/>
      <c r="P281" s="3"/>
      <c r="Q281" s="3"/>
      <c r="R281" s="3"/>
    </row>
    <row r="282" spans="1:18" ht="19.5" customHeight="1" x14ac:dyDescent="0.25">
      <c r="A282" s="3"/>
      <c r="B282" s="3"/>
      <c r="C282" s="9"/>
      <c r="D282" s="9"/>
      <c r="E282" s="3"/>
      <c r="F282" s="3"/>
      <c r="G282" s="3"/>
      <c r="H282" s="3"/>
      <c r="I282" s="3"/>
      <c r="J282" s="3"/>
      <c r="K282" s="3"/>
      <c r="L282" s="3"/>
      <c r="N282" s="3"/>
      <c r="P282" s="3"/>
      <c r="Q282" s="3"/>
      <c r="R282" s="3"/>
    </row>
    <row r="283" spans="1:18" ht="19.5" customHeight="1" x14ac:dyDescent="0.25">
      <c r="A283" s="3"/>
      <c r="B283" s="3"/>
      <c r="C283" s="9"/>
      <c r="D283" s="9"/>
      <c r="E283" s="3"/>
      <c r="F283" s="3"/>
      <c r="G283" s="3"/>
      <c r="H283" s="3"/>
      <c r="I283" s="3"/>
      <c r="J283" s="3"/>
      <c r="K283" s="3"/>
      <c r="L283" s="3"/>
      <c r="N283" s="3"/>
      <c r="P283" s="3"/>
      <c r="Q283" s="3"/>
      <c r="R283" s="3"/>
    </row>
    <row r="284" spans="1:18" ht="19.5" customHeight="1" x14ac:dyDescent="0.25">
      <c r="A284" s="3"/>
      <c r="B284" s="3"/>
      <c r="C284" s="9"/>
      <c r="D284" s="9"/>
      <c r="E284" s="3"/>
      <c r="F284" s="3"/>
      <c r="G284" s="3"/>
      <c r="H284" s="3"/>
      <c r="I284" s="3"/>
      <c r="J284" s="3"/>
      <c r="K284" s="3"/>
      <c r="L284" s="3"/>
      <c r="N284" s="3"/>
      <c r="P284" s="3"/>
      <c r="Q284" s="3"/>
      <c r="R284" s="3"/>
    </row>
    <row r="285" spans="1:18" ht="19.5" customHeight="1" x14ac:dyDescent="0.25">
      <c r="A285" s="3"/>
      <c r="B285" s="3"/>
      <c r="C285" s="9"/>
      <c r="D285" s="9"/>
      <c r="E285" s="3"/>
      <c r="F285" s="3"/>
      <c r="G285" s="3"/>
      <c r="H285" s="3"/>
      <c r="I285" s="3"/>
      <c r="J285" s="3"/>
      <c r="K285" s="3"/>
      <c r="L285" s="3"/>
      <c r="N285" s="3"/>
      <c r="P285" s="3"/>
      <c r="Q285" s="3"/>
      <c r="R285" s="3"/>
    </row>
    <row r="286" spans="1:18" ht="19.5" customHeight="1" x14ac:dyDescent="0.25">
      <c r="A286" s="3"/>
      <c r="B286" s="3"/>
      <c r="C286" s="9"/>
      <c r="D286" s="9"/>
      <c r="E286" s="3"/>
      <c r="F286" s="3"/>
      <c r="G286" s="3"/>
      <c r="H286" s="3"/>
      <c r="I286" s="3"/>
      <c r="J286" s="3"/>
      <c r="K286" s="3"/>
      <c r="L286" s="3"/>
      <c r="N286" s="3"/>
      <c r="P286" s="3"/>
      <c r="Q286" s="3"/>
      <c r="R286" s="3"/>
    </row>
    <row r="287" spans="1:18" ht="19.5" customHeight="1" x14ac:dyDescent="0.25">
      <c r="A287" s="3"/>
      <c r="B287" s="3"/>
      <c r="C287" s="9"/>
      <c r="D287" s="9"/>
      <c r="E287" s="3"/>
      <c r="F287" s="3"/>
      <c r="G287" s="3"/>
      <c r="H287" s="3"/>
      <c r="I287" s="3"/>
      <c r="J287" s="3"/>
      <c r="K287" s="3"/>
      <c r="L287" s="3"/>
      <c r="N287" s="3"/>
      <c r="P287" s="3"/>
      <c r="Q287" s="3"/>
      <c r="R287" s="3"/>
    </row>
    <row r="288" spans="1:18" ht="19.5" customHeight="1" x14ac:dyDescent="0.25">
      <c r="A288" s="3"/>
      <c r="B288" s="3"/>
      <c r="C288" s="9"/>
      <c r="D288" s="9"/>
      <c r="E288" s="3"/>
      <c r="F288" s="3"/>
      <c r="G288" s="3"/>
      <c r="H288" s="3"/>
      <c r="I288" s="3"/>
      <c r="J288" s="3"/>
      <c r="K288" s="3"/>
      <c r="L288" s="3"/>
      <c r="N288" s="3"/>
      <c r="P288" s="3"/>
      <c r="Q288" s="3"/>
      <c r="R288" s="3"/>
    </row>
    <row r="289" spans="1:18" ht="19.5" customHeight="1" x14ac:dyDescent="0.25">
      <c r="A289" s="3"/>
      <c r="B289" s="3"/>
      <c r="C289" s="9"/>
      <c r="D289" s="9"/>
      <c r="E289" s="3"/>
      <c r="F289" s="3"/>
      <c r="G289" s="3"/>
      <c r="H289" s="3"/>
      <c r="I289" s="3"/>
      <c r="J289" s="3"/>
      <c r="K289" s="3"/>
      <c r="L289" s="3"/>
      <c r="N289" s="3"/>
      <c r="P289" s="3"/>
      <c r="Q289" s="3"/>
      <c r="R289" s="3"/>
    </row>
    <row r="290" spans="1:18" ht="19.5" customHeight="1" x14ac:dyDescent="0.25">
      <c r="A290" s="3"/>
      <c r="B290" s="3"/>
      <c r="C290" s="9"/>
      <c r="D290" s="9"/>
      <c r="E290" s="3"/>
      <c r="F290" s="3"/>
      <c r="G290" s="3"/>
      <c r="H290" s="3"/>
      <c r="I290" s="3"/>
      <c r="J290" s="3"/>
      <c r="K290" s="3"/>
      <c r="L290" s="3"/>
      <c r="N290" s="3"/>
      <c r="P290" s="3"/>
      <c r="Q290" s="3"/>
      <c r="R290" s="3"/>
    </row>
    <row r="291" spans="1:18" ht="19.5" customHeight="1" x14ac:dyDescent="0.25">
      <c r="A291" s="3"/>
      <c r="B291" s="3"/>
      <c r="C291" s="9"/>
      <c r="D291" s="9"/>
      <c r="E291" s="3"/>
      <c r="F291" s="3"/>
      <c r="G291" s="3"/>
      <c r="H291" s="3"/>
      <c r="I291" s="3"/>
      <c r="J291" s="3"/>
      <c r="K291" s="3"/>
      <c r="L291" s="3"/>
      <c r="N291" s="3"/>
      <c r="P291" s="3"/>
      <c r="Q291" s="3"/>
      <c r="R291" s="3"/>
    </row>
    <row r="292" spans="1:18" ht="19.5" customHeight="1" x14ac:dyDescent="0.25">
      <c r="A292" s="3"/>
      <c r="B292" s="3"/>
      <c r="C292" s="9"/>
      <c r="D292" s="9"/>
      <c r="E292" s="3"/>
      <c r="F292" s="3"/>
      <c r="G292" s="3"/>
      <c r="H292" s="3"/>
      <c r="I292" s="3"/>
      <c r="J292" s="3"/>
      <c r="K292" s="3"/>
      <c r="L292" s="3"/>
      <c r="N292" s="3"/>
      <c r="P292" s="3"/>
      <c r="Q292" s="3"/>
      <c r="R292" s="3"/>
    </row>
    <row r="293" spans="1:18" ht="19.5" customHeight="1" x14ac:dyDescent="0.25">
      <c r="A293" s="3"/>
      <c r="B293" s="3"/>
      <c r="C293" s="9"/>
      <c r="D293" s="9"/>
      <c r="E293" s="3"/>
      <c r="F293" s="3"/>
      <c r="G293" s="3"/>
      <c r="H293" s="3"/>
      <c r="I293" s="3"/>
      <c r="J293" s="3"/>
      <c r="K293" s="3"/>
      <c r="L293" s="3"/>
      <c r="N293" s="3"/>
      <c r="P293" s="3"/>
      <c r="Q293" s="3"/>
      <c r="R293" s="3"/>
    </row>
    <row r="294" spans="1:18" ht="19.5" customHeight="1" x14ac:dyDescent="0.25">
      <c r="A294" s="3"/>
      <c r="B294" s="3"/>
      <c r="C294" s="9"/>
      <c r="D294" s="9"/>
      <c r="E294" s="3"/>
      <c r="F294" s="3"/>
      <c r="G294" s="3"/>
      <c r="H294" s="3"/>
      <c r="I294" s="3"/>
      <c r="J294" s="3"/>
      <c r="K294" s="3"/>
      <c r="L294" s="3"/>
      <c r="N294" s="3"/>
      <c r="P294" s="3"/>
      <c r="Q294" s="3"/>
      <c r="R294" s="3"/>
    </row>
    <row r="295" spans="1:18" ht="19.5" customHeight="1" x14ac:dyDescent="0.25">
      <c r="A295" s="3"/>
      <c r="B295" s="3"/>
      <c r="C295" s="9"/>
      <c r="D295" s="9"/>
      <c r="E295" s="3"/>
      <c r="F295" s="3"/>
      <c r="G295" s="3"/>
      <c r="H295" s="3"/>
      <c r="I295" s="3"/>
      <c r="J295" s="3"/>
      <c r="K295" s="3"/>
      <c r="L295" s="3"/>
      <c r="N295" s="3"/>
      <c r="P295" s="3"/>
      <c r="Q295" s="3"/>
      <c r="R295" s="3"/>
    </row>
    <row r="296" spans="1:18" ht="19.5" customHeight="1" x14ac:dyDescent="0.25">
      <c r="A296" s="3"/>
      <c r="B296" s="3"/>
      <c r="C296" s="9"/>
      <c r="D296" s="9"/>
      <c r="E296" s="3"/>
      <c r="F296" s="3"/>
      <c r="G296" s="3"/>
      <c r="H296" s="3"/>
      <c r="I296" s="3"/>
      <c r="J296" s="3"/>
      <c r="K296" s="3"/>
      <c r="L296" s="3"/>
      <c r="N296" s="3"/>
      <c r="P296" s="3"/>
      <c r="Q296" s="3"/>
      <c r="R296" s="3"/>
    </row>
    <row r="297" spans="1:18" ht="19.5" customHeight="1" x14ac:dyDescent="0.25">
      <c r="A297" s="3"/>
      <c r="B297" s="3"/>
      <c r="C297" s="9"/>
      <c r="D297" s="9"/>
      <c r="E297" s="3"/>
      <c r="F297" s="3"/>
      <c r="G297" s="3"/>
      <c r="H297" s="3"/>
      <c r="I297" s="3"/>
      <c r="J297" s="3"/>
      <c r="K297" s="3"/>
      <c r="L297" s="3"/>
      <c r="N297" s="3"/>
      <c r="P297" s="3"/>
      <c r="Q297" s="3"/>
      <c r="R297" s="3"/>
    </row>
    <row r="298" spans="1:18" ht="19.5" customHeight="1" x14ac:dyDescent="0.25">
      <c r="A298" s="3"/>
      <c r="B298" s="3"/>
      <c r="C298" s="9"/>
      <c r="D298" s="9"/>
      <c r="E298" s="3"/>
      <c r="F298" s="3"/>
      <c r="G298" s="3"/>
      <c r="H298" s="3"/>
      <c r="I298" s="3"/>
      <c r="J298" s="3"/>
      <c r="K298" s="3"/>
      <c r="L298" s="3"/>
      <c r="N298" s="3"/>
      <c r="P298" s="3"/>
      <c r="Q298" s="3"/>
      <c r="R298" s="3"/>
    </row>
    <row r="299" spans="1:18" ht="19.5" customHeight="1" x14ac:dyDescent="0.25">
      <c r="A299" s="3"/>
      <c r="B299" s="3"/>
      <c r="C299" s="9"/>
      <c r="D299" s="9"/>
      <c r="E299" s="3"/>
      <c r="F299" s="3"/>
      <c r="G299" s="3"/>
      <c r="H299" s="3"/>
      <c r="I299" s="3"/>
      <c r="J299" s="3"/>
      <c r="K299" s="3"/>
      <c r="L299" s="3"/>
      <c r="N299" s="3"/>
      <c r="P299" s="3"/>
      <c r="Q299" s="3"/>
      <c r="R299" s="3"/>
    </row>
    <row r="300" spans="1:18" ht="19.5" customHeight="1" x14ac:dyDescent="0.25">
      <c r="A300" s="3"/>
      <c r="B300" s="3"/>
      <c r="C300" s="9"/>
      <c r="D300" s="9"/>
      <c r="E300" s="3"/>
      <c r="F300" s="3"/>
      <c r="G300" s="3"/>
      <c r="H300" s="3"/>
      <c r="I300" s="3"/>
      <c r="J300" s="3"/>
      <c r="K300" s="3"/>
      <c r="L300" s="3"/>
      <c r="N300" s="3"/>
      <c r="P300" s="3"/>
      <c r="Q300" s="3"/>
      <c r="R300" s="3"/>
    </row>
    <row r="301" spans="1:18" ht="19.5" customHeight="1" x14ac:dyDescent="0.25">
      <c r="A301" s="3"/>
      <c r="B301" s="3"/>
      <c r="C301" s="9"/>
      <c r="D301" s="9"/>
      <c r="E301" s="3"/>
      <c r="F301" s="3"/>
      <c r="G301" s="3"/>
      <c r="H301" s="3"/>
      <c r="I301" s="3"/>
      <c r="J301" s="3"/>
      <c r="K301" s="3"/>
      <c r="L301" s="3"/>
      <c r="N301" s="3"/>
      <c r="P301" s="3"/>
      <c r="Q301" s="3"/>
      <c r="R301" s="3"/>
    </row>
    <row r="302" spans="1:18" ht="19.5" customHeight="1" x14ac:dyDescent="0.25">
      <c r="A302" s="3"/>
      <c r="B302" s="3"/>
      <c r="C302" s="9"/>
      <c r="D302" s="9"/>
      <c r="E302" s="3"/>
      <c r="F302" s="3"/>
      <c r="G302" s="3"/>
      <c r="H302" s="3"/>
      <c r="I302" s="3"/>
      <c r="J302" s="3"/>
      <c r="K302" s="3"/>
      <c r="L302" s="3"/>
      <c r="N302" s="3"/>
      <c r="P302" s="3"/>
      <c r="Q302" s="3"/>
      <c r="R302" s="3"/>
    </row>
    <row r="303" spans="1:18" ht="19.5" customHeight="1" x14ac:dyDescent="0.25">
      <c r="A303" s="3"/>
      <c r="B303" s="3"/>
      <c r="C303" s="9"/>
      <c r="D303" s="9"/>
      <c r="E303" s="3"/>
      <c r="F303" s="3"/>
      <c r="G303" s="3"/>
      <c r="H303" s="3"/>
      <c r="I303" s="3"/>
      <c r="J303" s="3"/>
      <c r="K303" s="3"/>
      <c r="L303" s="3"/>
      <c r="N303" s="3"/>
      <c r="P303" s="3"/>
      <c r="Q303" s="3"/>
      <c r="R303" s="3"/>
    </row>
    <row r="304" spans="1:18" ht="19.5" customHeight="1" x14ac:dyDescent="0.25">
      <c r="A304" s="3"/>
      <c r="B304" s="3"/>
      <c r="C304" s="9"/>
      <c r="D304" s="9"/>
      <c r="E304" s="3"/>
      <c r="F304" s="3"/>
      <c r="G304" s="3"/>
      <c r="H304" s="3"/>
      <c r="I304" s="3"/>
      <c r="J304" s="3"/>
      <c r="K304" s="3"/>
      <c r="L304" s="3"/>
      <c r="N304" s="3"/>
      <c r="P304" s="3"/>
      <c r="Q304" s="3"/>
      <c r="R304" s="3"/>
    </row>
    <row r="305" spans="1:18" ht="19.5" customHeight="1" x14ac:dyDescent="0.25">
      <c r="A305" s="3"/>
      <c r="B305" s="3"/>
      <c r="C305" s="9"/>
      <c r="D305" s="9"/>
      <c r="E305" s="3"/>
      <c r="F305" s="3"/>
      <c r="G305" s="3"/>
      <c r="H305" s="3"/>
      <c r="I305" s="3"/>
      <c r="J305" s="3"/>
      <c r="K305" s="3"/>
      <c r="L305" s="3"/>
      <c r="N305" s="3"/>
      <c r="P305" s="3"/>
      <c r="Q305" s="3"/>
      <c r="R305" s="3"/>
    </row>
    <row r="306" spans="1:18" ht="19.5" customHeight="1" x14ac:dyDescent="0.25">
      <c r="A306" s="3"/>
      <c r="B306" s="3"/>
      <c r="C306" s="9"/>
      <c r="D306" s="9"/>
      <c r="E306" s="3"/>
      <c r="F306" s="3"/>
      <c r="G306" s="3"/>
      <c r="H306" s="3"/>
      <c r="I306" s="3"/>
      <c r="J306" s="3"/>
      <c r="K306" s="3"/>
      <c r="L306" s="3"/>
      <c r="N306" s="3"/>
      <c r="P306" s="3"/>
      <c r="Q306" s="3"/>
      <c r="R306" s="3"/>
    </row>
    <row r="307" spans="1:18" ht="19.5" customHeight="1" x14ac:dyDescent="0.25">
      <c r="A307" s="3"/>
      <c r="B307" s="3"/>
      <c r="C307" s="9"/>
      <c r="D307" s="9"/>
      <c r="E307" s="3"/>
      <c r="F307" s="3"/>
      <c r="G307" s="3"/>
      <c r="H307" s="3"/>
      <c r="I307" s="3"/>
      <c r="J307" s="3"/>
      <c r="K307" s="3"/>
      <c r="L307" s="3"/>
      <c r="N307" s="3"/>
      <c r="P307" s="3"/>
      <c r="Q307" s="3"/>
      <c r="R307" s="3"/>
    </row>
    <row r="308" spans="1:18" ht="19.5" customHeight="1" x14ac:dyDescent="0.25">
      <c r="A308" s="3"/>
      <c r="B308" s="3"/>
      <c r="C308" s="9"/>
      <c r="D308" s="9"/>
      <c r="E308" s="3"/>
      <c r="F308" s="3"/>
      <c r="G308" s="3"/>
      <c r="H308" s="3"/>
      <c r="I308" s="3"/>
      <c r="J308" s="3"/>
      <c r="K308" s="3"/>
      <c r="L308" s="3"/>
      <c r="N308" s="3"/>
      <c r="P308" s="3"/>
      <c r="Q308" s="3"/>
      <c r="R308" s="3"/>
    </row>
    <row r="309" spans="1:18" ht="19.5" customHeight="1" x14ac:dyDescent="0.25">
      <c r="A309" s="3"/>
      <c r="B309" s="3"/>
      <c r="C309" s="9"/>
      <c r="D309" s="9"/>
      <c r="E309" s="3"/>
      <c r="F309" s="3"/>
      <c r="G309" s="3"/>
      <c r="H309" s="3"/>
      <c r="I309" s="3"/>
      <c r="J309" s="3"/>
      <c r="K309" s="3"/>
      <c r="L309" s="3"/>
      <c r="N309" s="3"/>
      <c r="P309" s="3"/>
      <c r="Q309" s="3"/>
      <c r="R309" s="3"/>
    </row>
    <row r="310" spans="1:18" ht="19.5" customHeight="1" x14ac:dyDescent="0.25">
      <c r="A310" s="3"/>
      <c r="B310" s="3"/>
      <c r="C310" s="9"/>
      <c r="D310" s="9"/>
      <c r="E310" s="3"/>
      <c r="F310" s="3"/>
      <c r="G310" s="3"/>
      <c r="H310" s="3"/>
      <c r="I310" s="3"/>
      <c r="J310" s="3"/>
      <c r="K310" s="3"/>
      <c r="L310" s="3"/>
      <c r="N310" s="3"/>
      <c r="P310" s="3"/>
      <c r="Q310" s="3"/>
      <c r="R310" s="3"/>
    </row>
    <row r="311" spans="1:18" ht="19.5" customHeight="1" x14ac:dyDescent="0.25">
      <c r="A311" s="3"/>
      <c r="B311" s="3"/>
      <c r="C311" s="9"/>
      <c r="D311" s="9"/>
      <c r="E311" s="3"/>
      <c r="F311" s="3"/>
      <c r="G311" s="3"/>
      <c r="H311" s="3"/>
      <c r="I311" s="3"/>
      <c r="J311" s="3"/>
      <c r="K311" s="3"/>
      <c r="L311" s="3"/>
      <c r="N311" s="3"/>
      <c r="P311" s="3"/>
      <c r="Q311" s="3"/>
      <c r="R311" s="3"/>
    </row>
    <row r="312" spans="1:18" ht="19.5" customHeight="1" x14ac:dyDescent="0.25">
      <c r="A312" s="3"/>
      <c r="B312" s="3"/>
      <c r="C312" s="9"/>
      <c r="D312" s="9"/>
      <c r="E312" s="3"/>
      <c r="F312" s="3"/>
      <c r="G312" s="3"/>
      <c r="H312" s="3"/>
      <c r="I312" s="3"/>
      <c r="J312" s="3"/>
      <c r="K312" s="3"/>
      <c r="L312" s="3"/>
      <c r="N312" s="3"/>
      <c r="P312" s="3"/>
      <c r="Q312" s="3"/>
      <c r="R312" s="3"/>
    </row>
    <row r="313" spans="1:18" ht="19.5" customHeight="1" x14ac:dyDescent="0.25">
      <c r="A313" s="3"/>
      <c r="B313" s="3"/>
      <c r="C313" s="9"/>
      <c r="D313" s="9"/>
      <c r="E313" s="3"/>
      <c r="F313" s="3"/>
      <c r="G313" s="3"/>
      <c r="H313" s="3"/>
      <c r="I313" s="3"/>
      <c r="J313" s="3"/>
      <c r="K313" s="3"/>
      <c r="L313" s="3"/>
      <c r="N313" s="3"/>
      <c r="P313" s="3"/>
      <c r="Q313" s="3"/>
      <c r="R313" s="3"/>
    </row>
    <row r="314" spans="1:18" ht="19.5" customHeight="1" x14ac:dyDescent="0.25">
      <c r="A314" s="3"/>
      <c r="B314" s="3"/>
      <c r="C314" s="9"/>
      <c r="D314" s="9"/>
      <c r="E314" s="3"/>
      <c r="F314" s="3"/>
      <c r="G314" s="3"/>
      <c r="H314" s="3"/>
      <c r="I314" s="3"/>
      <c r="J314" s="3"/>
      <c r="K314" s="3"/>
      <c r="L314" s="3"/>
      <c r="N314" s="3"/>
      <c r="P314" s="3"/>
      <c r="Q314" s="3"/>
      <c r="R314" s="3"/>
    </row>
    <row r="315" spans="1:18" ht="19.5" customHeight="1" x14ac:dyDescent="0.25">
      <c r="A315" s="3"/>
      <c r="B315" s="3"/>
      <c r="C315" s="9"/>
      <c r="D315" s="9"/>
      <c r="E315" s="3"/>
      <c r="F315" s="3"/>
      <c r="G315" s="3"/>
      <c r="H315" s="3"/>
      <c r="I315" s="3"/>
      <c r="J315" s="3"/>
      <c r="K315" s="3"/>
      <c r="L315" s="3"/>
      <c r="N315" s="3"/>
      <c r="P315" s="3"/>
      <c r="Q315" s="3"/>
      <c r="R315" s="3"/>
    </row>
    <row r="316" spans="1:18" ht="19.5" customHeight="1" x14ac:dyDescent="0.25">
      <c r="A316" s="3"/>
      <c r="B316" s="3"/>
      <c r="C316" s="9"/>
      <c r="D316" s="9"/>
      <c r="E316" s="3"/>
      <c r="F316" s="3"/>
      <c r="G316" s="3"/>
      <c r="H316" s="3"/>
      <c r="I316" s="3"/>
      <c r="J316" s="3"/>
      <c r="K316" s="3"/>
      <c r="L316" s="3"/>
      <c r="N316" s="3"/>
      <c r="P316" s="3"/>
      <c r="Q316" s="3"/>
      <c r="R316" s="3"/>
    </row>
    <row r="317" spans="1:18" ht="19.5" customHeight="1" x14ac:dyDescent="0.25">
      <c r="A317" s="3"/>
      <c r="B317" s="3"/>
      <c r="C317" s="9"/>
      <c r="D317" s="9"/>
      <c r="E317" s="3"/>
      <c r="F317" s="3"/>
      <c r="G317" s="3"/>
      <c r="H317" s="3"/>
      <c r="I317" s="3"/>
      <c r="J317" s="3"/>
      <c r="K317" s="3"/>
      <c r="L317" s="3"/>
      <c r="N317" s="3"/>
      <c r="P317" s="3"/>
      <c r="Q317" s="3"/>
      <c r="R317" s="3"/>
    </row>
    <row r="318" spans="1:18" ht="19.5" customHeight="1" x14ac:dyDescent="0.25">
      <c r="A318" s="3"/>
      <c r="B318" s="3"/>
      <c r="C318" s="9"/>
      <c r="D318" s="9"/>
      <c r="E318" s="3"/>
      <c r="F318" s="3"/>
      <c r="G318" s="3"/>
      <c r="H318" s="3"/>
      <c r="I318" s="3"/>
      <c r="J318" s="3"/>
      <c r="K318" s="3"/>
      <c r="L318" s="3"/>
      <c r="N318" s="3"/>
      <c r="P318" s="3"/>
      <c r="Q318" s="3"/>
      <c r="R318" s="3"/>
    </row>
    <row r="319" spans="1:18" ht="19.5" customHeight="1" x14ac:dyDescent="0.25">
      <c r="A319" s="3"/>
      <c r="B319" s="3"/>
      <c r="C319" s="9"/>
      <c r="D319" s="9"/>
      <c r="E319" s="3"/>
      <c r="F319" s="3"/>
      <c r="G319" s="3"/>
      <c r="H319" s="3"/>
      <c r="I319" s="3"/>
      <c r="J319" s="3"/>
      <c r="K319" s="3"/>
      <c r="L319" s="3"/>
      <c r="N319" s="3"/>
      <c r="P319" s="3"/>
      <c r="Q319" s="3"/>
      <c r="R319" s="3"/>
    </row>
    <row r="320" spans="1:18" ht="19.5" customHeight="1" x14ac:dyDescent="0.25">
      <c r="A320" s="3"/>
      <c r="B320" s="3"/>
      <c r="C320" s="9"/>
      <c r="D320" s="9"/>
      <c r="E320" s="3"/>
      <c r="F320" s="3"/>
      <c r="G320" s="3"/>
      <c r="H320" s="3"/>
      <c r="I320" s="3"/>
      <c r="J320" s="3"/>
      <c r="K320" s="3"/>
      <c r="L320" s="3"/>
      <c r="N320" s="3"/>
      <c r="P320" s="3"/>
      <c r="Q320" s="3"/>
      <c r="R320" s="3"/>
    </row>
    <row r="321" spans="1:18" ht="19.5" customHeight="1" x14ac:dyDescent="0.25">
      <c r="A321" s="3"/>
      <c r="B321" s="3"/>
      <c r="C321" s="9"/>
      <c r="D321" s="9"/>
      <c r="E321" s="3"/>
      <c r="F321" s="3"/>
      <c r="G321" s="3"/>
      <c r="H321" s="3"/>
      <c r="I321" s="3"/>
      <c r="J321" s="3"/>
      <c r="K321" s="3"/>
      <c r="L321" s="3"/>
      <c r="N321" s="3"/>
      <c r="P321" s="3"/>
      <c r="Q321" s="3"/>
      <c r="R321" s="3"/>
    </row>
    <row r="322" spans="1:18" ht="19.5" customHeight="1" x14ac:dyDescent="0.25">
      <c r="A322" s="3"/>
      <c r="B322" s="3"/>
      <c r="C322" s="9"/>
      <c r="D322" s="9"/>
      <c r="E322" s="3"/>
      <c r="F322" s="3"/>
      <c r="G322" s="3"/>
      <c r="H322" s="3"/>
      <c r="I322" s="3"/>
      <c r="J322" s="3"/>
      <c r="K322" s="3"/>
      <c r="L322" s="3"/>
      <c r="N322" s="3"/>
      <c r="P322" s="3"/>
      <c r="Q322" s="3"/>
      <c r="R322" s="3"/>
    </row>
    <row r="323" spans="1:18" ht="19.5" customHeight="1" x14ac:dyDescent="0.25">
      <c r="A323" s="3"/>
      <c r="B323" s="3"/>
      <c r="C323" s="9"/>
      <c r="D323" s="9"/>
      <c r="E323" s="3"/>
      <c r="F323" s="3"/>
      <c r="G323" s="3"/>
      <c r="H323" s="3"/>
      <c r="I323" s="3"/>
      <c r="J323" s="3"/>
      <c r="K323" s="3"/>
      <c r="L323" s="3"/>
      <c r="N323" s="3"/>
      <c r="P323" s="3"/>
      <c r="Q323" s="3"/>
      <c r="R323" s="3"/>
    </row>
    <row r="324" spans="1:18" ht="19.5" customHeight="1" x14ac:dyDescent="0.25">
      <c r="A324" s="3"/>
      <c r="B324" s="3"/>
      <c r="C324" s="9"/>
      <c r="D324" s="9"/>
      <c r="E324" s="3"/>
      <c r="F324" s="3"/>
      <c r="G324" s="3"/>
      <c r="H324" s="3"/>
      <c r="I324" s="3"/>
      <c r="J324" s="3"/>
      <c r="K324" s="3"/>
      <c r="L324" s="3"/>
      <c r="N324" s="3"/>
      <c r="P324" s="3"/>
      <c r="Q324" s="3"/>
      <c r="R324" s="3"/>
    </row>
    <row r="325" spans="1:18" ht="19.5" customHeight="1" x14ac:dyDescent="0.25">
      <c r="A325" s="3"/>
      <c r="B325" s="3"/>
      <c r="C325" s="9"/>
      <c r="D325" s="9"/>
      <c r="E325" s="3"/>
      <c r="F325" s="3"/>
      <c r="G325" s="3"/>
      <c r="H325" s="3"/>
      <c r="I325" s="3"/>
      <c r="J325" s="3"/>
      <c r="K325" s="3"/>
      <c r="L325" s="3"/>
      <c r="N325" s="3"/>
      <c r="P325" s="3"/>
      <c r="Q325" s="3"/>
      <c r="R325" s="3"/>
    </row>
    <row r="326" spans="1:18" ht="19.5" customHeight="1" x14ac:dyDescent="0.25">
      <c r="A326" s="3"/>
      <c r="B326" s="3"/>
      <c r="C326" s="9"/>
      <c r="D326" s="9"/>
      <c r="E326" s="3"/>
      <c r="F326" s="3"/>
      <c r="G326" s="3"/>
      <c r="H326" s="3"/>
      <c r="I326" s="3"/>
      <c r="J326" s="3"/>
      <c r="K326" s="3"/>
      <c r="L326" s="3"/>
      <c r="N326" s="3"/>
      <c r="P326" s="3"/>
      <c r="Q326" s="3"/>
      <c r="R326" s="3"/>
    </row>
    <row r="327" spans="1:18" ht="19.5" customHeight="1" x14ac:dyDescent="0.25">
      <c r="A327" s="3"/>
      <c r="B327" s="3"/>
      <c r="C327" s="9"/>
      <c r="D327" s="9"/>
      <c r="E327" s="3"/>
      <c r="F327" s="3"/>
      <c r="G327" s="3"/>
      <c r="H327" s="3"/>
      <c r="I327" s="3"/>
      <c r="J327" s="3"/>
      <c r="K327" s="3"/>
      <c r="L327" s="3"/>
      <c r="N327" s="3"/>
      <c r="P327" s="3"/>
      <c r="Q327" s="3"/>
      <c r="R327" s="3"/>
    </row>
    <row r="328" spans="1:18" ht="19.5" customHeight="1" x14ac:dyDescent="0.25">
      <c r="A328" s="3"/>
      <c r="B328" s="3"/>
      <c r="C328" s="9"/>
      <c r="D328" s="9"/>
      <c r="E328" s="3"/>
      <c r="F328" s="3"/>
      <c r="G328" s="3"/>
      <c r="H328" s="3"/>
      <c r="I328" s="3"/>
      <c r="J328" s="3"/>
      <c r="K328" s="3"/>
      <c r="L328" s="3"/>
      <c r="N328" s="3"/>
      <c r="P328" s="3"/>
      <c r="Q328" s="3"/>
      <c r="R328" s="3"/>
    </row>
    <row r="329" spans="1:18" ht="19.5" customHeight="1" x14ac:dyDescent="0.25">
      <c r="A329" s="3"/>
      <c r="B329" s="3"/>
      <c r="C329" s="9"/>
      <c r="D329" s="9"/>
      <c r="E329" s="3"/>
      <c r="F329" s="3"/>
      <c r="G329" s="3"/>
      <c r="H329" s="3"/>
      <c r="I329" s="3"/>
      <c r="J329" s="3"/>
      <c r="K329" s="3"/>
      <c r="L329" s="3"/>
      <c r="N329" s="3"/>
      <c r="P329" s="3"/>
      <c r="Q329" s="3"/>
      <c r="R329" s="3"/>
    </row>
    <row r="330" spans="1:18" ht="19.5" customHeight="1" x14ac:dyDescent="0.25">
      <c r="A330" s="3"/>
      <c r="B330" s="3"/>
      <c r="C330" s="9"/>
      <c r="D330" s="9"/>
      <c r="E330" s="3"/>
      <c r="F330" s="3"/>
      <c r="G330" s="3"/>
      <c r="H330" s="3"/>
      <c r="I330" s="3"/>
      <c r="J330" s="3"/>
      <c r="K330" s="3"/>
      <c r="L330" s="3"/>
      <c r="N330" s="3"/>
      <c r="P330" s="3"/>
      <c r="Q330" s="3"/>
      <c r="R330" s="3"/>
    </row>
    <row r="331" spans="1:18" ht="19.5" customHeight="1" x14ac:dyDescent="0.25">
      <c r="A331" s="3"/>
      <c r="B331" s="3"/>
      <c r="C331" s="9"/>
      <c r="D331" s="9"/>
      <c r="E331" s="3"/>
      <c r="F331" s="3"/>
      <c r="G331" s="3"/>
      <c r="H331" s="3"/>
      <c r="I331" s="3"/>
      <c r="J331" s="3"/>
      <c r="K331" s="3"/>
      <c r="L331" s="3"/>
      <c r="N331" s="3"/>
      <c r="P331" s="3"/>
      <c r="Q331" s="3"/>
      <c r="R331" s="3"/>
    </row>
    <row r="332" spans="1:18" ht="19.5" customHeight="1" x14ac:dyDescent="0.25">
      <c r="A332" s="3"/>
      <c r="B332" s="3"/>
      <c r="C332" s="9"/>
      <c r="D332" s="9"/>
      <c r="E332" s="3"/>
      <c r="F332" s="3"/>
      <c r="G332" s="3"/>
      <c r="H332" s="3"/>
      <c r="I332" s="3"/>
      <c r="J332" s="3"/>
      <c r="K332" s="3"/>
      <c r="L332" s="3"/>
      <c r="N332" s="3"/>
      <c r="P332" s="3"/>
      <c r="Q332" s="3"/>
      <c r="R332" s="3"/>
    </row>
    <row r="333" spans="1:18" ht="19.5" customHeight="1" x14ac:dyDescent="0.25">
      <c r="A333" s="3"/>
      <c r="B333" s="3"/>
      <c r="C333" s="9"/>
      <c r="D333" s="9"/>
      <c r="E333" s="3"/>
      <c r="F333" s="3"/>
      <c r="G333" s="3"/>
      <c r="H333" s="3"/>
      <c r="I333" s="3"/>
      <c r="J333" s="3"/>
      <c r="K333" s="3"/>
      <c r="L333" s="3"/>
      <c r="N333" s="3"/>
      <c r="P333" s="3"/>
      <c r="Q333" s="3"/>
      <c r="R333" s="3"/>
    </row>
    <row r="334" spans="1:18" ht="19.5" customHeight="1" x14ac:dyDescent="0.25">
      <c r="A334" s="3"/>
      <c r="B334" s="3"/>
      <c r="C334" s="9"/>
      <c r="D334" s="9"/>
      <c r="E334" s="3"/>
      <c r="F334" s="3"/>
      <c r="G334" s="3"/>
      <c r="H334" s="3"/>
      <c r="I334" s="3"/>
      <c r="J334" s="3"/>
      <c r="K334" s="3"/>
      <c r="L334" s="3"/>
      <c r="N334" s="3"/>
      <c r="P334" s="3"/>
      <c r="Q334" s="3"/>
      <c r="R334" s="3"/>
    </row>
    <row r="335" spans="1:18" ht="19.5" customHeight="1" x14ac:dyDescent="0.25">
      <c r="A335" s="3"/>
      <c r="B335" s="3"/>
      <c r="C335" s="9"/>
      <c r="D335" s="9"/>
      <c r="E335" s="3"/>
      <c r="F335" s="3"/>
      <c r="G335" s="3"/>
      <c r="H335" s="3"/>
      <c r="I335" s="3"/>
      <c r="J335" s="3"/>
      <c r="K335" s="3"/>
      <c r="L335" s="3"/>
      <c r="N335" s="3"/>
      <c r="P335" s="3"/>
      <c r="Q335" s="3"/>
      <c r="R335" s="3"/>
    </row>
    <row r="336" spans="1:18" ht="19.5" customHeight="1" x14ac:dyDescent="0.25">
      <c r="A336" s="3"/>
      <c r="B336" s="3"/>
      <c r="C336" s="9"/>
      <c r="D336" s="9"/>
      <c r="E336" s="3"/>
      <c r="F336" s="3"/>
      <c r="G336" s="3"/>
      <c r="H336" s="3"/>
      <c r="I336" s="3"/>
      <c r="J336" s="3"/>
      <c r="K336" s="3"/>
      <c r="L336" s="3"/>
      <c r="N336" s="3"/>
      <c r="P336" s="3"/>
      <c r="Q336" s="3"/>
      <c r="R336" s="3"/>
    </row>
    <row r="337" spans="1:18" ht="19.5" customHeight="1" x14ac:dyDescent="0.25">
      <c r="A337" s="3"/>
      <c r="B337" s="3"/>
      <c r="C337" s="9"/>
      <c r="D337" s="9"/>
      <c r="E337" s="3"/>
      <c r="F337" s="3"/>
      <c r="G337" s="3"/>
      <c r="H337" s="3"/>
      <c r="I337" s="3"/>
      <c r="J337" s="3"/>
      <c r="K337" s="3"/>
      <c r="L337" s="3"/>
      <c r="N337" s="3"/>
      <c r="P337" s="3"/>
      <c r="Q337" s="3"/>
      <c r="R337" s="3"/>
    </row>
    <row r="338" spans="1:18" ht="19.5" customHeight="1" x14ac:dyDescent="0.25">
      <c r="A338" s="3"/>
      <c r="B338" s="3"/>
      <c r="C338" s="9"/>
      <c r="D338" s="9"/>
      <c r="E338" s="3"/>
      <c r="F338" s="3"/>
      <c r="G338" s="3"/>
      <c r="H338" s="3"/>
      <c r="I338" s="3"/>
      <c r="J338" s="3"/>
      <c r="K338" s="3"/>
      <c r="L338" s="3"/>
      <c r="N338" s="3"/>
      <c r="P338" s="3"/>
      <c r="Q338" s="3"/>
      <c r="R338" s="3"/>
    </row>
    <row r="339" spans="1:18" ht="19.5" customHeight="1" x14ac:dyDescent="0.25">
      <c r="A339" s="3"/>
      <c r="B339" s="3"/>
      <c r="C339" s="9"/>
      <c r="D339" s="9"/>
      <c r="E339" s="3"/>
      <c r="F339" s="3"/>
      <c r="G339" s="3"/>
      <c r="H339" s="3"/>
      <c r="I339" s="3"/>
      <c r="J339" s="3"/>
      <c r="K339" s="3"/>
      <c r="L339" s="3"/>
      <c r="N339" s="3"/>
      <c r="P339" s="3"/>
      <c r="Q339" s="3"/>
      <c r="R339" s="3"/>
    </row>
    <row r="340" spans="1:18" ht="19.5" customHeight="1" x14ac:dyDescent="0.25">
      <c r="A340" s="3"/>
      <c r="B340" s="3"/>
      <c r="C340" s="9"/>
      <c r="D340" s="9"/>
      <c r="E340" s="3"/>
      <c r="F340" s="3"/>
      <c r="G340" s="3"/>
      <c r="H340" s="3"/>
      <c r="I340" s="3"/>
      <c r="J340" s="3"/>
      <c r="K340" s="3"/>
      <c r="L340" s="3"/>
      <c r="N340" s="3"/>
      <c r="P340" s="3"/>
      <c r="Q340" s="3"/>
      <c r="R340" s="3"/>
    </row>
    <row r="341" spans="1:18" ht="19.5" customHeight="1" x14ac:dyDescent="0.25">
      <c r="A341" s="3"/>
      <c r="B341" s="3"/>
      <c r="C341" s="9"/>
      <c r="D341" s="9"/>
      <c r="E341" s="3"/>
      <c r="F341" s="3"/>
      <c r="G341" s="3"/>
      <c r="H341" s="3"/>
      <c r="I341" s="3"/>
      <c r="J341" s="3"/>
      <c r="K341" s="3"/>
      <c r="L341" s="3"/>
      <c r="N341" s="3"/>
      <c r="P341" s="3"/>
      <c r="Q341" s="3"/>
      <c r="R341" s="3"/>
    </row>
    <row r="342" spans="1:18" ht="19.5" customHeight="1" x14ac:dyDescent="0.25">
      <c r="A342" s="3"/>
      <c r="B342" s="3"/>
      <c r="C342" s="9"/>
      <c r="D342" s="9"/>
      <c r="E342" s="3"/>
      <c r="F342" s="3"/>
      <c r="G342" s="3"/>
      <c r="H342" s="3"/>
      <c r="I342" s="3"/>
      <c r="J342" s="3"/>
      <c r="K342" s="3"/>
      <c r="L342" s="3"/>
      <c r="N342" s="3"/>
      <c r="P342" s="3"/>
      <c r="Q342" s="3"/>
      <c r="R342" s="3"/>
    </row>
    <row r="343" spans="1:18" ht="19.5" customHeight="1" x14ac:dyDescent="0.25">
      <c r="A343" s="3"/>
      <c r="B343" s="3"/>
      <c r="C343" s="9"/>
      <c r="D343" s="9"/>
      <c r="E343" s="3"/>
      <c r="F343" s="3"/>
      <c r="G343" s="3"/>
      <c r="H343" s="3"/>
      <c r="I343" s="3"/>
      <c r="J343" s="3"/>
      <c r="K343" s="3"/>
      <c r="L343" s="3"/>
      <c r="N343" s="3"/>
      <c r="P343" s="3"/>
      <c r="Q343" s="3"/>
      <c r="R343" s="3"/>
    </row>
    <row r="344" spans="1:18" ht="19.5" customHeight="1" x14ac:dyDescent="0.25">
      <c r="A344" s="3"/>
      <c r="B344" s="3"/>
      <c r="C344" s="9"/>
      <c r="D344" s="9"/>
      <c r="E344" s="3"/>
      <c r="F344" s="3"/>
      <c r="G344" s="3"/>
      <c r="H344" s="3"/>
      <c r="I344" s="3"/>
      <c r="J344" s="3"/>
      <c r="K344" s="3"/>
      <c r="L344" s="3"/>
      <c r="N344" s="3"/>
      <c r="P344" s="3"/>
      <c r="Q344" s="3"/>
      <c r="R344" s="3"/>
    </row>
    <row r="345" spans="1:18" ht="19.5" customHeight="1" x14ac:dyDescent="0.25">
      <c r="A345" s="3"/>
      <c r="B345" s="3"/>
      <c r="C345" s="9"/>
      <c r="D345" s="9"/>
      <c r="E345" s="3"/>
      <c r="F345" s="3"/>
      <c r="G345" s="3"/>
      <c r="H345" s="3"/>
      <c r="I345" s="3"/>
      <c r="J345" s="3"/>
      <c r="K345" s="3"/>
      <c r="L345" s="3"/>
      <c r="N345" s="3"/>
      <c r="P345" s="3"/>
      <c r="Q345" s="3"/>
      <c r="R345" s="3"/>
    </row>
    <row r="346" spans="1:18" ht="19.5" customHeight="1" x14ac:dyDescent="0.25">
      <c r="A346" s="3"/>
      <c r="B346" s="3"/>
      <c r="C346" s="9"/>
      <c r="D346" s="9"/>
      <c r="E346" s="3"/>
      <c r="F346" s="3"/>
      <c r="G346" s="3"/>
      <c r="H346" s="3"/>
      <c r="I346" s="3"/>
      <c r="J346" s="3"/>
      <c r="K346" s="3"/>
      <c r="L346" s="3"/>
      <c r="N346" s="3"/>
      <c r="P346" s="3"/>
      <c r="Q346" s="3"/>
      <c r="R346" s="3"/>
    </row>
    <row r="347" spans="1:18" ht="19.5" customHeight="1" x14ac:dyDescent="0.25">
      <c r="A347" s="3"/>
      <c r="B347" s="3"/>
      <c r="C347" s="9"/>
      <c r="D347" s="9"/>
      <c r="E347" s="3"/>
      <c r="F347" s="3"/>
      <c r="G347" s="3"/>
      <c r="H347" s="3"/>
      <c r="I347" s="3"/>
      <c r="J347" s="3"/>
      <c r="K347" s="3"/>
      <c r="L347" s="3"/>
      <c r="N347" s="3"/>
      <c r="P347" s="3"/>
      <c r="Q347" s="3"/>
      <c r="R347" s="3"/>
    </row>
    <row r="348" spans="1:18" ht="19.5" customHeight="1" x14ac:dyDescent="0.25">
      <c r="A348" s="3"/>
      <c r="B348" s="3"/>
      <c r="C348" s="9"/>
      <c r="D348" s="9"/>
      <c r="E348" s="3"/>
      <c r="F348" s="3"/>
      <c r="G348" s="3"/>
      <c r="H348" s="3"/>
      <c r="I348" s="3"/>
      <c r="J348" s="3"/>
      <c r="K348" s="3"/>
      <c r="L348" s="3"/>
      <c r="N348" s="3"/>
      <c r="P348" s="3"/>
      <c r="Q348" s="3"/>
      <c r="R348" s="3"/>
    </row>
    <row r="349" spans="1:18" ht="19.5" customHeight="1" x14ac:dyDescent="0.25">
      <c r="A349" s="3"/>
      <c r="B349" s="3"/>
      <c r="C349" s="9"/>
      <c r="D349" s="9"/>
      <c r="E349" s="3"/>
      <c r="F349" s="3"/>
      <c r="G349" s="3"/>
      <c r="H349" s="3"/>
      <c r="I349" s="3"/>
      <c r="J349" s="3"/>
      <c r="K349" s="3"/>
      <c r="L349" s="3"/>
      <c r="N349" s="3"/>
      <c r="P349" s="3"/>
      <c r="Q349" s="3"/>
      <c r="R349" s="3"/>
    </row>
    <row r="350" spans="1:18" ht="19.5" customHeight="1" x14ac:dyDescent="0.25">
      <c r="A350" s="3"/>
      <c r="B350" s="3"/>
      <c r="C350" s="9"/>
      <c r="D350" s="9"/>
      <c r="E350" s="3"/>
      <c r="F350" s="3"/>
      <c r="G350" s="3"/>
      <c r="H350" s="3"/>
      <c r="I350" s="3"/>
      <c r="J350" s="3"/>
      <c r="K350" s="3"/>
      <c r="L350" s="3"/>
      <c r="N350" s="3"/>
      <c r="P350" s="3"/>
      <c r="Q350" s="3"/>
      <c r="R350" s="3"/>
    </row>
    <row r="351" spans="1:18" ht="19.5" customHeight="1" x14ac:dyDescent="0.25">
      <c r="A351" s="3"/>
      <c r="B351" s="3"/>
      <c r="C351" s="9"/>
      <c r="D351" s="9"/>
      <c r="E351" s="3"/>
      <c r="F351" s="3"/>
      <c r="G351" s="3"/>
      <c r="H351" s="3"/>
      <c r="I351" s="3"/>
      <c r="J351" s="3"/>
      <c r="K351" s="3"/>
      <c r="L351" s="3"/>
      <c r="N351" s="3"/>
      <c r="P351" s="3"/>
      <c r="Q351" s="3"/>
      <c r="R351" s="3"/>
    </row>
    <row r="352" spans="1:18" ht="19.5" customHeight="1" x14ac:dyDescent="0.25">
      <c r="A352" s="3"/>
      <c r="B352" s="3"/>
      <c r="C352" s="9"/>
      <c r="D352" s="9"/>
      <c r="E352" s="3"/>
      <c r="F352" s="3"/>
      <c r="G352" s="3"/>
      <c r="H352" s="3"/>
      <c r="I352" s="3"/>
      <c r="J352" s="3"/>
      <c r="K352" s="3"/>
      <c r="L352" s="3"/>
      <c r="N352" s="3"/>
      <c r="P352" s="3"/>
      <c r="Q352" s="3"/>
      <c r="R352" s="3"/>
    </row>
    <row r="353" spans="1:18" ht="19.5" customHeight="1" x14ac:dyDescent="0.25">
      <c r="A353" s="3"/>
      <c r="B353" s="3"/>
      <c r="C353" s="9"/>
      <c r="D353" s="9"/>
      <c r="E353" s="3"/>
      <c r="F353" s="3"/>
      <c r="G353" s="3"/>
      <c r="H353" s="3"/>
      <c r="I353" s="3"/>
      <c r="J353" s="3"/>
      <c r="K353" s="3"/>
      <c r="L353" s="3"/>
      <c r="N353" s="3"/>
      <c r="P353" s="3"/>
      <c r="Q353" s="3"/>
      <c r="R353" s="3"/>
    </row>
    <row r="354" spans="1:18" ht="19.5" customHeight="1" x14ac:dyDescent="0.25">
      <c r="A354" s="3"/>
      <c r="B354" s="3"/>
      <c r="C354" s="9"/>
      <c r="D354" s="9"/>
      <c r="E354" s="3"/>
      <c r="F354" s="3"/>
      <c r="G354" s="3"/>
      <c r="H354" s="3"/>
      <c r="I354" s="3"/>
      <c r="J354" s="3"/>
      <c r="K354" s="3"/>
      <c r="L354" s="3"/>
      <c r="N354" s="3"/>
      <c r="P354" s="3"/>
      <c r="Q354" s="3"/>
      <c r="R354" s="3"/>
    </row>
    <row r="355" spans="1:18" ht="19.5" customHeight="1" x14ac:dyDescent="0.25">
      <c r="A355" s="3"/>
      <c r="B355" s="3"/>
      <c r="C355" s="9"/>
      <c r="D355" s="9"/>
      <c r="E355" s="3"/>
      <c r="F355" s="3"/>
      <c r="G355" s="3"/>
      <c r="H355" s="3"/>
      <c r="I355" s="3"/>
      <c r="J355" s="3"/>
      <c r="K355" s="3"/>
      <c r="L355" s="3"/>
      <c r="N355" s="3"/>
      <c r="P355" s="3"/>
      <c r="Q355" s="3"/>
      <c r="R355" s="3"/>
    </row>
    <row r="356" spans="1:18" ht="19.5" customHeight="1" x14ac:dyDescent="0.25">
      <c r="A356" s="3"/>
      <c r="B356" s="3"/>
      <c r="C356" s="9"/>
      <c r="D356" s="9"/>
      <c r="E356" s="3"/>
      <c r="F356" s="3"/>
      <c r="G356" s="3"/>
      <c r="H356" s="3"/>
      <c r="I356" s="3"/>
      <c r="J356" s="3"/>
      <c r="K356" s="3"/>
      <c r="L356" s="3"/>
      <c r="N356" s="3"/>
      <c r="P356" s="3"/>
      <c r="Q356" s="3"/>
      <c r="R356" s="3"/>
    </row>
    <row r="357" spans="1:18" ht="19.5" customHeight="1" x14ac:dyDescent="0.25">
      <c r="A357" s="3"/>
      <c r="B357" s="3"/>
      <c r="C357" s="9"/>
      <c r="D357" s="9"/>
      <c r="E357" s="3"/>
      <c r="F357" s="3"/>
      <c r="G357" s="3"/>
      <c r="H357" s="3"/>
      <c r="I357" s="3"/>
      <c r="J357" s="3"/>
      <c r="K357" s="3"/>
      <c r="L357" s="3"/>
      <c r="N357" s="3"/>
      <c r="P357" s="3"/>
      <c r="Q357" s="3"/>
      <c r="R357" s="3"/>
    </row>
    <row r="358" spans="1:18" ht="19.5" customHeight="1" x14ac:dyDescent="0.25">
      <c r="A358" s="3"/>
      <c r="B358" s="3"/>
      <c r="C358" s="9"/>
      <c r="D358" s="9"/>
      <c r="E358" s="3"/>
      <c r="F358" s="3"/>
      <c r="G358" s="3"/>
      <c r="H358" s="3"/>
      <c r="I358" s="3"/>
      <c r="J358" s="3"/>
      <c r="K358" s="3"/>
      <c r="L358" s="3"/>
      <c r="N358" s="3"/>
      <c r="P358" s="3"/>
      <c r="Q358" s="3"/>
      <c r="R358" s="3"/>
    </row>
    <row r="359" spans="1:18" ht="19.5" customHeight="1" x14ac:dyDescent="0.25">
      <c r="A359" s="3"/>
      <c r="B359" s="3"/>
      <c r="C359" s="9"/>
      <c r="D359" s="9"/>
      <c r="E359" s="3"/>
      <c r="F359" s="3"/>
      <c r="G359" s="3"/>
      <c r="H359" s="3"/>
      <c r="I359" s="3"/>
      <c r="J359" s="3"/>
      <c r="K359" s="3"/>
      <c r="L359" s="3"/>
      <c r="N359" s="3"/>
      <c r="P359" s="3"/>
      <c r="Q359" s="3"/>
      <c r="R359" s="3"/>
    </row>
    <row r="360" spans="1:18" ht="19.5" customHeight="1" x14ac:dyDescent="0.25">
      <c r="A360" s="3"/>
      <c r="B360" s="3"/>
      <c r="C360" s="9"/>
      <c r="D360" s="9"/>
      <c r="E360" s="3"/>
      <c r="F360" s="3"/>
      <c r="G360" s="3"/>
      <c r="H360" s="3"/>
      <c r="I360" s="3"/>
      <c r="J360" s="3"/>
      <c r="K360" s="3"/>
      <c r="L360" s="3"/>
      <c r="N360" s="3"/>
      <c r="P360" s="3"/>
      <c r="Q360" s="3"/>
      <c r="R360" s="3"/>
    </row>
    <row r="361" spans="1:18" ht="19.5" customHeight="1" x14ac:dyDescent="0.25">
      <c r="A361" s="3"/>
      <c r="B361" s="3"/>
      <c r="C361" s="9"/>
      <c r="D361" s="9"/>
      <c r="E361" s="3"/>
      <c r="F361" s="3"/>
      <c r="G361" s="3"/>
      <c r="H361" s="3"/>
      <c r="I361" s="3"/>
      <c r="J361" s="3"/>
      <c r="K361" s="3"/>
      <c r="L361" s="3"/>
      <c r="N361" s="3"/>
      <c r="P361" s="3"/>
      <c r="Q361" s="3"/>
      <c r="R361" s="3"/>
    </row>
    <row r="362" spans="1:18" ht="19.5" customHeight="1" x14ac:dyDescent="0.25">
      <c r="A362" s="3"/>
      <c r="B362" s="3"/>
      <c r="C362" s="9"/>
      <c r="D362" s="9"/>
      <c r="E362" s="3"/>
      <c r="F362" s="3"/>
      <c r="G362" s="3"/>
      <c r="H362" s="3"/>
      <c r="I362" s="3"/>
      <c r="J362" s="3"/>
      <c r="K362" s="3"/>
      <c r="L362" s="3"/>
      <c r="N362" s="3"/>
      <c r="P362" s="3"/>
      <c r="Q362" s="3"/>
      <c r="R362" s="3"/>
    </row>
    <row r="363" spans="1:18" ht="19.5" customHeight="1" x14ac:dyDescent="0.25">
      <c r="A363" s="3"/>
      <c r="B363" s="3"/>
      <c r="C363" s="9"/>
      <c r="D363" s="9"/>
      <c r="E363" s="3"/>
      <c r="F363" s="3"/>
      <c r="G363" s="3"/>
      <c r="H363" s="3"/>
      <c r="I363" s="3"/>
      <c r="J363" s="3"/>
      <c r="K363" s="3"/>
      <c r="L363" s="3"/>
      <c r="N363" s="3"/>
      <c r="P363" s="3"/>
      <c r="Q363" s="3"/>
      <c r="R363" s="3"/>
    </row>
    <row r="364" spans="1:18" ht="19.5" customHeight="1" x14ac:dyDescent="0.25">
      <c r="A364" s="3"/>
      <c r="B364" s="3"/>
      <c r="C364" s="9"/>
      <c r="D364" s="9"/>
      <c r="E364" s="3"/>
      <c r="F364" s="3"/>
      <c r="G364" s="3"/>
      <c r="H364" s="3"/>
      <c r="I364" s="3"/>
      <c r="J364" s="3"/>
      <c r="K364" s="3"/>
      <c r="L364" s="3"/>
      <c r="N364" s="3"/>
      <c r="P364" s="3"/>
      <c r="Q364" s="3"/>
      <c r="R364" s="3"/>
    </row>
    <row r="365" spans="1:18" ht="19.5" customHeight="1" x14ac:dyDescent="0.25">
      <c r="A365" s="3"/>
      <c r="B365" s="3"/>
      <c r="C365" s="9"/>
      <c r="D365" s="9"/>
      <c r="E365" s="3"/>
      <c r="F365" s="3"/>
      <c r="G365" s="3"/>
      <c r="H365" s="3"/>
      <c r="I365" s="3"/>
      <c r="J365" s="3"/>
      <c r="K365" s="3"/>
      <c r="L365" s="3"/>
      <c r="N365" s="3"/>
      <c r="P365" s="3"/>
      <c r="Q365" s="3"/>
      <c r="R365" s="3"/>
    </row>
    <row r="366" spans="1:18" ht="19.5" customHeight="1" x14ac:dyDescent="0.25">
      <c r="A366" s="3"/>
      <c r="B366" s="3"/>
      <c r="C366" s="9"/>
      <c r="D366" s="9"/>
      <c r="E366" s="3"/>
      <c r="F366" s="3"/>
      <c r="G366" s="3"/>
      <c r="H366" s="3"/>
      <c r="I366" s="3"/>
      <c r="J366" s="3"/>
      <c r="K366" s="3"/>
      <c r="L366" s="3"/>
      <c r="N366" s="3"/>
      <c r="P366" s="3"/>
      <c r="Q366" s="3"/>
      <c r="R366" s="3"/>
    </row>
    <row r="367" spans="1:18" ht="19.5" customHeight="1" x14ac:dyDescent="0.25">
      <c r="A367" s="3"/>
      <c r="B367" s="3"/>
      <c r="C367" s="9"/>
      <c r="D367" s="9"/>
      <c r="E367" s="3"/>
      <c r="F367" s="3"/>
      <c r="G367" s="3"/>
      <c r="H367" s="3"/>
      <c r="I367" s="3"/>
      <c r="J367" s="3"/>
      <c r="K367" s="3"/>
      <c r="L367" s="3"/>
      <c r="N367" s="3"/>
      <c r="P367" s="3"/>
      <c r="Q367" s="3"/>
      <c r="R367" s="3"/>
    </row>
    <row r="368" spans="1:18" ht="19.5" customHeight="1" x14ac:dyDescent="0.25">
      <c r="A368" s="3"/>
      <c r="B368" s="3"/>
      <c r="C368" s="9"/>
      <c r="D368" s="9"/>
      <c r="E368" s="3"/>
      <c r="F368" s="3"/>
      <c r="G368" s="3"/>
      <c r="H368" s="3"/>
      <c r="I368" s="3"/>
      <c r="J368" s="3"/>
      <c r="K368" s="3"/>
      <c r="L368" s="3"/>
      <c r="N368" s="3"/>
      <c r="P368" s="3"/>
      <c r="Q368" s="3"/>
      <c r="R368" s="3"/>
    </row>
    <row r="369" spans="1:18" ht="19.5" customHeight="1" x14ac:dyDescent="0.25">
      <c r="A369" s="3"/>
      <c r="B369" s="3"/>
      <c r="C369" s="9"/>
      <c r="D369" s="9"/>
      <c r="E369" s="3"/>
      <c r="F369" s="3"/>
      <c r="G369" s="3"/>
      <c r="H369" s="3"/>
      <c r="I369" s="3"/>
      <c r="J369" s="3"/>
      <c r="K369" s="3"/>
      <c r="L369" s="3"/>
      <c r="N369" s="3"/>
      <c r="P369" s="3"/>
      <c r="Q369" s="3"/>
      <c r="R369" s="3"/>
    </row>
    <row r="370" spans="1:18" ht="19.5" customHeight="1" x14ac:dyDescent="0.25">
      <c r="A370" s="3"/>
      <c r="B370" s="3"/>
      <c r="C370" s="9"/>
      <c r="D370" s="9"/>
      <c r="E370" s="3"/>
      <c r="F370" s="3"/>
      <c r="G370" s="3"/>
      <c r="H370" s="3"/>
      <c r="I370" s="3"/>
      <c r="J370" s="3"/>
      <c r="K370" s="3"/>
      <c r="L370" s="3"/>
      <c r="N370" s="3"/>
      <c r="P370" s="3"/>
      <c r="Q370" s="3"/>
      <c r="R370" s="3"/>
    </row>
    <row r="371" spans="1:18" ht="19.5" customHeight="1" x14ac:dyDescent="0.25">
      <c r="A371" s="3"/>
      <c r="B371" s="3"/>
      <c r="C371" s="9"/>
      <c r="D371" s="9"/>
      <c r="E371" s="3"/>
      <c r="F371" s="3"/>
      <c r="G371" s="3"/>
      <c r="H371" s="3"/>
      <c r="I371" s="3"/>
      <c r="J371" s="3"/>
      <c r="K371" s="3"/>
      <c r="L371" s="3"/>
      <c r="N371" s="3"/>
      <c r="P371" s="3"/>
      <c r="Q371" s="3"/>
      <c r="R371" s="3"/>
    </row>
    <row r="372" spans="1:18" ht="19.5" customHeight="1" x14ac:dyDescent="0.25">
      <c r="A372" s="3"/>
      <c r="B372" s="3"/>
      <c r="C372" s="9"/>
      <c r="D372" s="9"/>
      <c r="E372" s="3"/>
      <c r="F372" s="3"/>
      <c r="G372" s="3"/>
      <c r="H372" s="3"/>
      <c r="I372" s="3"/>
      <c r="J372" s="3"/>
      <c r="K372" s="3"/>
      <c r="L372" s="3"/>
      <c r="N372" s="3"/>
      <c r="P372" s="3"/>
      <c r="Q372" s="3"/>
      <c r="R372" s="3"/>
    </row>
    <row r="373" spans="1:18" ht="19.5" customHeight="1" x14ac:dyDescent="0.25">
      <c r="A373" s="3"/>
      <c r="B373" s="3"/>
      <c r="C373" s="9"/>
      <c r="D373" s="9"/>
      <c r="E373" s="3"/>
      <c r="F373" s="3"/>
      <c r="G373" s="3"/>
      <c r="H373" s="3"/>
      <c r="I373" s="3"/>
      <c r="J373" s="3"/>
      <c r="K373" s="3"/>
      <c r="L373" s="3"/>
      <c r="N373" s="3"/>
      <c r="P373" s="3"/>
      <c r="Q373" s="3"/>
      <c r="R373" s="3"/>
    </row>
    <row r="374" spans="1:18" ht="19.5" customHeight="1" x14ac:dyDescent="0.25">
      <c r="A374" s="3"/>
      <c r="B374" s="3"/>
      <c r="C374" s="9"/>
      <c r="D374" s="9"/>
      <c r="E374" s="3"/>
      <c r="F374" s="3"/>
      <c r="G374" s="3"/>
      <c r="H374" s="3"/>
      <c r="I374" s="3"/>
      <c r="J374" s="3"/>
      <c r="K374" s="3"/>
      <c r="L374" s="3"/>
      <c r="N374" s="3"/>
      <c r="P374" s="3"/>
      <c r="Q374" s="3"/>
      <c r="R374" s="3"/>
    </row>
    <row r="375" spans="1:18" ht="19.5" customHeight="1" x14ac:dyDescent="0.25">
      <c r="A375" s="3"/>
      <c r="B375" s="3"/>
      <c r="C375" s="9"/>
      <c r="D375" s="9"/>
      <c r="E375" s="3"/>
      <c r="F375" s="3"/>
      <c r="G375" s="3"/>
      <c r="H375" s="3"/>
      <c r="I375" s="3"/>
      <c r="J375" s="3"/>
      <c r="K375" s="3"/>
      <c r="L375" s="3"/>
      <c r="N375" s="3"/>
      <c r="P375" s="3"/>
      <c r="Q375" s="3"/>
      <c r="R375" s="3"/>
    </row>
    <row r="376" spans="1:18" ht="19.5" customHeight="1" x14ac:dyDescent="0.25">
      <c r="A376" s="3"/>
      <c r="B376" s="3"/>
      <c r="C376" s="9"/>
      <c r="D376" s="9"/>
      <c r="E376" s="3"/>
      <c r="F376" s="3"/>
      <c r="G376" s="3"/>
      <c r="H376" s="3"/>
      <c r="I376" s="3"/>
      <c r="J376" s="3"/>
      <c r="K376" s="3"/>
      <c r="L376" s="3"/>
      <c r="N376" s="3"/>
      <c r="P376" s="3"/>
      <c r="Q376" s="3"/>
      <c r="R376" s="3"/>
    </row>
    <row r="377" spans="1:18" ht="19.5" customHeight="1" x14ac:dyDescent="0.25">
      <c r="A377" s="3"/>
      <c r="B377" s="3"/>
      <c r="C377" s="9"/>
      <c r="D377" s="9"/>
      <c r="E377" s="3"/>
      <c r="F377" s="3"/>
      <c r="G377" s="3"/>
      <c r="H377" s="3"/>
      <c r="I377" s="3"/>
      <c r="J377" s="3"/>
      <c r="K377" s="3"/>
      <c r="L377" s="3"/>
      <c r="N377" s="3"/>
      <c r="P377" s="3"/>
      <c r="Q377" s="3"/>
      <c r="R377" s="3"/>
    </row>
    <row r="378" spans="1:18" ht="19.5" customHeight="1" x14ac:dyDescent="0.25">
      <c r="A378" s="3"/>
      <c r="B378" s="3"/>
      <c r="C378" s="9"/>
      <c r="D378" s="9"/>
      <c r="E378" s="3"/>
      <c r="F378" s="3"/>
      <c r="G378" s="3"/>
      <c r="H378" s="3"/>
      <c r="I378" s="3"/>
      <c r="J378" s="3"/>
      <c r="K378" s="3"/>
      <c r="L378" s="3"/>
      <c r="N378" s="3"/>
      <c r="P378" s="3"/>
      <c r="Q378" s="3"/>
      <c r="R378" s="3"/>
    </row>
    <row r="379" spans="1:18" ht="19.5" customHeight="1" x14ac:dyDescent="0.25">
      <c r="A379" s="3"/>
      <c r="B379" s="3"/>
      <c r="C379" s="9"/>
      <c r="D379" s="9"/>
      <c r="E379" s="3"/>
      <c r="F379" s="3"/>
      <c r="G379" s="3"/>
      <c r="H379" s="3"/>
      <c r="I379" s="3"/>
      <c r="J379" s="3"/>
      <c r="K379" s="3"/>
      <c r="L379" s="3"/>
      <c r="N379" s="3"/>
      <c r="P379" s="3"/>
      <c r="Q379" s="3"/>
      <c r="R379" s="3"/>
    </row>
    <row r="380" spans="1:18" ht="19.5" customHeight="1" x14ac:dyDescent="0.25">
      <c r="A380" s="3"/>
      <c r="B380" s="3"/>
      <c r="C380" s="9"/>
      <c r="D380" s="9"/>
      <c r="E380" s="3"/>
      <c r="F380" s="3"/>
      <c r="G380" s="3"/>
      <c r="H380" s="3"/>
      <c r="I380" s="3"/>
      <c r="J380" s="3"/>
      <c r="K380" s="3"/>
      <c r="L380" s="3"/>
      <c r="N380" s="3"/>
      <c r="P380" s="3"/>
      <c r="Q380" s="3"/>
      <c r="R380" s="3"/>
    </row>
    <row r="381" spans="1:18" ht="19.5" customHeight="1" x14ac:dyDescent="0.25">
      <c r="A381" s="3"/>
      <c r="B381" s="3"/>
      <c r="C381" s="9"/>
      <c r="D381" s="9"/>
      <c r="E381" s="3"/>
      <c r="F381" s="3"/>
      <c r="G381" s="3"/>
      <c r="H381" s="3"/>
      <c r="I381" s="3"/>
      <c r="J381" s="3"/>
      <c r="K381" s="3"/>
      <c r="L381" s="3"/>
      <c r="N381" s="3"/>
      <c r="P381" s="3"/>
      <c r="Q381" s="3"/>
      <c r="R381" s="3"/>
    </row>
    <row r="382" spans="1:18" ht="19.5" customHeight="1" x14ac:dyDescent="0.25">
      <c r="A382" s="3"/>
      <c r="B382" s="3"/>
      <c r="C382" s="9"/>
      <c r="D382" s="9"/>
      <c r="E382" s="3"/>
      <c r="F382" s="3"/>
      <c r="G382" s="3"/>
      <c r="H382" s="3"/>
      <c r="I382" s="3"/>
      <c r="J382" s="3"/>
      <c r="K382" s="3"/>
      <c r="L382" s="3"/>
      <c r="N382" s="3"/>
      <c r="P382" s="3"/>
      <c r="Q382" s="3"/>
      <c r="R382" s="3"/>
    </row>
    <row r="383" spans="1:18" ht="19.5" customHeight="1" x14ac:dyDescent="0.25">
      <c r="A383" s="3"/>
      <c r="B383" s="3"/>
      <c r="C383" s="9"/>
      <c r="D383" s="9"/>
      <c r="E383" s="3"/>
      <c r="F383" s="3"/>
      <c r="G383" s="3"/>
      <c r="H383" s="3"/>
      <c r="I383" s="3"/>
      <c r="J383" s="3"/>
      <c r="K383" s="3"/>
      <c r="L383" s="3"/>
      <c r="N383" s="3"/>
      <c r="P383" s="3"/>
      <c r="Q383" s="3"/>
      <c r="R383" s="3"/>
    </row>
    <row r="384" spans="1:18" ht="19.5" customHeight="1" x14ac:dyDescent="0.25">
      <c r="A384" s="3"/>
      <c r="B384" s="3"/>
      <c r="C384" s="9"/>
      <c r="D384" s="9"/>
      <c r="E384" s="3"/>
      <c r="F384" s="3"/>
      <c r="G384" s="3"/>
      <c r="H384" s="3"/>
      <c r="I384" s="3"/>
      <c r="J384" s="3"/>
      <c r="K384" s="3"/>
      <c r="L384" s="3"/>
      <c r="N384" s="3"/>
      <c r="P384" s="3"/>
      <c r="Q384" s="3"/>
      <c r="R384" s="3"/>
    </row>
    <row r="385" spans="1:18" ht="19.5" customHeight="1" x14ac:dyDescent="0.25">
      <c r="A385" s="3"/>
      <c r="B385" s="3"/>
      <c r="C385" s="9"/>
      <c r="D385" s="9"/>
      <c r="E385" s="3"/>
      <c r="F385" s="3"/>
      <c r="G385" s="3"/>
      <c r="H385" s="3"/>
      <c r="I385" s="3"/>
      <c r="J385" s="3"/>
      <c r="K385" s="3"/>
      <c r="L385" s="3"/>
      <c r="N385" s="3"/>
      <c r="P385" s="3"/>
      <c r="Q385" s="3"/>
      <c r="R385" s="3"/>
    </row>
    <row r="386" spans="1:18" ht="19.5" customHeight="1" x14ac:dyDescent="0.25">
      <c r="A386" s="3"/>
      <c r="B386" s="3"/>
      <c r="C386" s="9"/>
      <c r="D386" s="9"/>
      <c r="E386" s="3"/>
      <c r="F386" s="3"/>
      <c r="G386" s="3"/>
      <c r="H386" s="3"/>
      <c r="I386" s="3"/>
      <c r="J386" s="3"/>
      <c r="K386" s="3"/>
      <c r="L386" s="3"/>
      <c r="N386" s="3"/>
      <c r="P386" s="3"/>
      <c r="Q386" s="3"/>
      <c r="R386" s="3"/>
    </row>
    <row r="387" spans="1:18" ht="19.5" customHeight="1" x14ac:dyDescent="0.25">
      <c r="A387" s="3"/>
      <c r="B387" s="3"/>
      <c r="C387" s="9"/>
      <c r="D387" s="9"/>
      <c r="E387" s="3"/>
      <c r="F387" s="3"/>
      <c r="G387" s="3"/>
      <c r="H387" s="3"/>
      <c r="I387" s="3"/>
      <c r="J387" s="3"/>
      <c r="K387" s="3"/>
      <c r="L387" s="3"/>
      <c r="N387" s="3"/>
      <c r="P387" s="3"/>
      <c r="Q387" s="3"/>
      <c r="R387" s="3"/>
    </row>
    <row r="388" spans="1:18" ht="19.5" customHeight="1" x14ac:dyDescent="0.25">
      <c r="A388" s="3"/>
      <c r="B388" s="3"/>
      <c r="C388" s="9"/>
      <c r="D388" s="9"/>
      <c r="E388" s="3"/>
      <c r="F388" s="3"/>
      <c r="G388" s="3"/>
      <c r="H388" s="3"/>
      <c r="I388" s="3"/>
      <c r="J388" s="3"/>
      <c r="K388" s="3"/>
      <c r="L388" s="3"/>
      <c r="N388" s="3"/>
      <c r="P388" s="3"/>
      <c r="Q388" s="3"/>
      <c r="R388" s="3"/>
    </row>
    <row r="389" spans="1:18" ht="19.5" customHeight="1" x14ac:dyDescent="0.25">
      <c r="A389" s="3"/>
      <c r="B389" s="3"/>
      <c r="C389" s="9"/>
      <c r="D389" s="9"/>
      <c r="E389" s="3"/>
      <c r="F389" s="3"/>
      <c r="G389" s="3"/>
      <c r="H389" s="3"/>
      <c r="I389" s="3"/>
      <c r="J389" s="3"/>
      <c r="K389" s="3"/>
      <c r="L389" s="3"/>
      <c r="N389" s="3"/>
      <c r="P389" s="3"/>
      <c r="Q389" s="3"/>
      <c r="R389" s="3"/>
    </row>
    <row r="390" spans="1:18" ht="19.5" customHeight="1" x14ac:dyDescent="0.25">
      <c r="A390" s="3"/>
      <c r="B390" s="3"/>
      <c r="C390" s="9"/>
      <c r="D390" s="9"/>
      <c r="E390" s="3"/>
      <c r="F390" s="3"/>
      <c r="G390" s="3"/>
      <c r="H390" s="3"/>
      <c r="I390" s="3"/>
      <c r="J390" s="3"/>
      <c r="K390" s="3"/>
      <c r="L390" s="3"/>
      <c r="N390" s="3"/>
      <c r="P390" s="3"/>
      <c r="Q390" s="3"/>
      <c r="R390" s="3"/>
    </row>
    <row r="391" spans="1:18" ht="19.5" customHeight="1" x14ac:dyDescent="0.25">
      <c r="A391" s="3"/>
      <c r="B391" s="3"/>
      <c r="C391" s="9"/>
      <c r="D391" s="9"/>
      <c r="E391" s="3"/>
      <c r="F391" s="3"/>
      <c r="G391" s="3"/>
      <c r="H391" s="3"/>
      <c r="I391" s="3"/>
      <c r="J391" s="3"/>
      <c r="K391" s="3"/>
      <c r="L391" s="3"/>
      <c r="N391" s="3"/>
      <c r="P391" s="3"/>
      <c r="Q391" s="3"/>
      <c r="R391" s="3"/>
    </row>
    <row r="392" spans="1:18" ht="19.5" customHeight="1" x14ac:dyDescent="0.25">
      <c r="A392" s="3"/>
      <c r="B392" s="3"/>
      <c r="C392" s="9"/>
      <c r="D392" s="9"/>
      <c r="E392" s="3"/>
      <c r="F392" s="3"/>
      <c r="G392" s="3"/>
      <c r="H392" s="3"/>
      <c r="I392" s="3"/>
      <c r="J392" s="3"/>
      <c r="K392" s="3"/>
      <c r="L392" s="3"/>
      <c r="N392" s="3"/>
      <c r="P392" s="3"/>
      <c r="Q392" s="3"/>
      <c r="R392" s="3"/>
    </row>
    <row r="393" spans="1:18" ht="19.5" customHeight="1" x14ac:dyDescent="0.25">
      <c r="A393" s="3"/>
      <c r="B393" s="3"/>
      <c r="C393" s="9"/>
      <c r="D393" s="9"/>
      <c r="E393" s="3"/>
      <c r="F393" s="3"/>
      <c r="G393" s="3"/>
      <c r="H393" s="3"/>
      <c r="I393" s="3"/>
      <c r="J393" s="3"/>
      <c r="K393" s="3"/>
      <c r="L393" s="3"/>
      <c r="N393" s="3"/>
      <c r="P393" s="3"/>
      <c r="Q393" s="3"/>
      <c r="R393" s="3"/>
    </row>
    <row r="394" spans="1:18" ht="19.5" customHeight="1" x14ac:dyDescent="0.25">
      <c r="A394" s="3"/>
      <c r="B394" s="3"/>
      <c r="C394" s="9"/>
      <c r="D394" s="9"/>
      <c r="E394" s="3"/>
      <c r="F394" s="3"/>
      <c r="G394" s="3"/>
      <c r="H394" s="3"/>
      <c r="I394" s="3"/>
      <c r="J394" s="3"/>
      <c r="K394" s="3"/>
      <c r="L394" s="3"/>
      <c r="N394" s="3"/>
      <c r="P394" s="3"/>
      <c r="Q394" s="3"/>
      <c r="R394" s="3"/>
    </row>
    <row r="395" spans="1:18" ht="19.5" customHeight="1" x14ac:dyDescent="0.25">
      <c r="A395" s="3"/>
      <c r="B395" s="3"/>
      <c r="C395" s="9"/>
      <c r="D395" s="9"/>
      <c r="E395" s="3"/>
      <c r="F395" s="3"/>
      <c r="G395" s="3"/>
      <c r="H395" s="3"/>
      <c r="I395" s="3"/>
      <c r="J395" s="3"/>
      <c r="K395" s="3"/>
      <c r="L395" s="3"/>
      <c r="N395" s="3"/>
      <c r="P395" s="3"/>
      <c r="Q395" s="3"/>
      <c r="R395" s="3"/>
    </row>
    <row r="396" spans="1:18" ht="19.5" customHeight="1" x14ac:dyDescent="0.25">
      <c r="A396" s="3"/>
      <c r="B396" s="3"/>
      <c r="C396" s="9"/>
      <c r="D396" s="9"/>
      <c r="E396" s="3"/>
      <c r="F396" s="3"/>
      <c r="G396" s="3"/>
      <c r="H396" s="3"/>
      <c r="I396" s="3"/>
      <c r="J396" s="3"/>
      <c r="K396" s="3"/>
      <c r="L396" s="3"/>
      <c r="N396" s="3"/>
      <c r="P396" s="3"/>
      <c r="Q396" s="3"/>
      <c r="R396" s="3"/>
    </row>
    <row r="397" spans="1:18" ht="19.5" customHeight="1" x14ac:dyDescent="0.25">
      <c r="A397" s="3"/>
      <c r="B397" s="3"/>
      <c r="C397" s="9"/>
      <c r="D397" s="9"/>
      <c r="E397" s="3"/>
      <c r="F397" s="3"/>
      <c r="G397" s="3"/>
      <c r="H397" s="3"/>
      <c r="I397" s="3"/>
      <c r="J397" s="3"/>
      <c r="K397" s="3"/>
      <c r="L397" s="3"/>
      <c r="N397" s="3"/>
      <c r="P397" s="3"/>
      <c r="Q397" s="3"/>
      <c r="R397" s="3"/>
    </row>
    <row r="398" spans="1:18" ht="19.5" customHeight="1" x14ac:dyDescent="0.25">
      <c r="A398" s="3"/>
      <c r="B398" s="3"/>
      <c r="C398" s="9"/>
      <c r="D398" s="9"/>
      <c r="E398" s="3"/>
      <c r="F398" s="3"/>
      <c r="G398" s="3"/>
      <c r="H398" s="3"/>
      <c r="I398" s="3"/>
      <c r="J398" s="3"/>
      <c r="K398" s="3"/>
      <c r="L398" s="3"/>
      <c r="N398" s="3"/>
      <c r="P398" s="3"/>
      <c r="Q398" s="3"/>
      <c r="R398" s="3"/>
    </row>
    <row r="399" spans="1:18" ht="19.5" customHeight="1" x14ac:dyDescent="0.25">
      <c r="A399" s="3"/>
      <c r="B399" s="3"/>
      <c r="C399" s="9"/>
      <c r="D399" s="9"/>
      <c r="E399" s="3"/>
      <c r="F399" s="3"/>
      <c r="G399" s="3"/>
      <c r="H399" s="3"/>
      <c r="I399" s="3"/>
      <c r="J399" s="3"/>
      <c r="K399" s="3"/>
      <c r="L399" s="3"/>
      <c r="N399" s="3"/>
      <c r="P399" s="3"/>
      <c r="Q399" s="3"/>
      <c r="R399" s="3"/>
    </row>
    <row r="400" spans="1:18" ht="19.5" customHeight="1" x14ac:dyDescent="0.25">
      <c r="A400" s="3"/>
      <c r="B400" s="3"/>
      <c r="C400" s="9"/>
      <c r="D400" s="9"/>
      <c r="E400" s="3"/>
      <c r="F400" s="3"/>
      <c r="G400" s="3"/>
      <c r="H400" s="3"/>
      <c r="I400" s="3"/>
      <c r="J400" s="3"/>
      <c r="K400" s="3"/>
      <c r="L400" s="3"/>
      <c r="N400" s="3"/>
      <c r="P400" s="3"/>
      <c r="Q400" s="3"/>
      <c r="R400" s="3"/>
    </row>
    <row r="401" spans="1:18" ht="19.5" customHeight="1" x14ac:dyDescent="0.25">
      <c r="A401" s="3"/>
      <c r="B401" s="3"/>
      <c r="C401" s="9"/>
      <c r="D401" s="9"/>
      <c r="E401" s="3"/>
      <c r="F401" s="3"/>
      <c r="G401" s="3"/>
      <c r="H401" s="3"/>
      <c r="I401" s="3"/>
      <c r="J401" s="3"/>
      <c r="K401" s="3"/>
      <c r="L401" s="3"/>
      <c r="N401" s="3"/>
      <c r="P401" s="3"/>
      <c r="Q401" s="3"/>
      <c r="R401" s="3"/>
    </row>
    <row r="402" spans="1:18" ht="19.5" customHeight="1" x14ac:dyDescent="0.25">
      <c r="A402" s="3"/>
      <c r="B402" s="3"/>
      <c r="C402" s="9"/>
      <c r="D402" s="9"/>
      <c r="E402" s="3"/>
      <c r="F402" s="3"/>
      <c r="G402" s="3"/>
      <c r="H402" s="3"/>
      <c r="I402" s="3"/>
      <c r="J402" s="3"/>
      <c r="K402" s="3"/>
      <c r="L402" s="3"/>
      <c r="N402" s="3"/>
      <c r="P402" s="3"/>
      <c r="Q402" s="3"/>
      <c r="R402" s="3"/>
    </row>
    <row r="403" spans="1:18" ht="19.5" customHeight="1" x14ac:dyDescent="0.25">
      <c r="A403" s="3"/>
      <c r="B403" s="3"/>
      <c r="C403" s="9"/>
      <c r="D403" s="9"/>
      <c r="E403" s="3"/>
      <c r="F403" s="3"/>
      <c r="G403" s="3"/>
      <c r="H403" s="3"/>
      <c r="I403" s="3"/>
      <c r="J403" s="3"/>
      <c r="K403" s="3"/>
      <c r="L403" s="3"/>
      <c r="N403" s="3"/>
      <c r="P403" s="3"/>
      <c r="Q403" s="3"/>
      <c r="R403" s="3"/>
    </row>
    <row r="404" spans="1:18" ht="19.5" customHeight="1" x14ac:dyDescent="0.25">
      <c r="A404" s="3"/>
      <c r="B404" s="3"/>
      <c r="C404" s="9"/>
      <c r="D404" s="9"/>
      <c r="E404" s="3"/>
      <c r="F404" s="3"/>
      <c r="G404" s="3"/>
      <c r="H404" s="3"/>
      <c r="I404" s="3"/>
      <c r="J404" s="3"/>
      <c r="K404" s="3"/>
      <c r="L404" s="3"/>
      <c r="N404" s="3"/>
      <c r="P404" s="3"/>
      <c r="Q404" s="3"/>
      <c r="R404" s="3"/>
    </row>
    <row r="405" spans="1:18" ht="19.5" customHeight="1" x14ac:dyDescent="0.25">
      <c r="A405" s="3"/>
      <c r="B405" s="3"/>
      <c r="C405" s="9"/>
      <c r="D405" s="9"/>
      <c r="E405" s="3"/>
      <c r="F405" s="3"/>
      <c r="G405" s="3"/>
      <c r="H405" s="3"/>
      <c r="I405" s="3"/>
      <c r="J405" s="3"/>
      <c r="K405" s="3"/>
      <c r="L405" s="3"/>
      <c r="N405" s="3"/>
      <c r="P405" s="3"/>
      <c r="Q405" s="3"/>
      <c r="R405" s="3"/>
    </row>
    <row r="406" spans="1:18" ht="19.5" customHeight="1" x14ac:dyDescent="0.25">
      <c r="A406" s="3"/>
      <c r="B406" s="3"/>
      <c r="C406" s="9"/>
      <c r="D406" s="9"/>
      <c r="E406" s="3"/>
      <c r="F406" s="3"/>
      <c r="G406" s="3"/>
      <c r="H406" s="3"/>
      <c r="I406" s="3"/>
      <c r="J406" s="3"/>
      <c r="K406" s="3"/>
      <c r="L406" s="3"/>
      <c r="N406" s="3"/>
      <c r="P406" s="3"/>
      <c r="Q406" s="3"/>
      <c r="R406" s="3"/>
    </row>
    <row r="407" spans="1:18" ht="19.5" customHeight="1" x14ac:dyDescent="0.25">
      <c r="A407" s="3"/>
      <c r="B407" s="3"/>
      <c r="C407" s="9"/>
      <c r="D407" s="9"/>
      <c r="E407" s="3"/>
      <c r="F407" s="3"/>
      <c r="G407" s="3"/>
      <c r="H407" s="3"/>
      <c r="I407" s="3"/>
      <c r="J407" s="3"/>
      <c r="K407" s="3"/>
      <c r="L407" s="3"/>
      <c r="N407" s="3"/>
      <c r="P407" s="3"/>
      <c r="Q407" s="3"/>
      <c r="R407" s="3"/>
    </row>
    <row r="408" spans="1:18" ht="19.5" customHeight="1" x14ac:dyDescent="0.25">
      <c r="A408" s="3"/>
      <c r="B408" s="3"/>
      <c r="C408" s="9"/>
      <c r="D408" s="9"/>
      <c r="E408" s="3"/>
      <c r="F408" s="3"/>
      <c r="G408" s="3"/>
      <c r="H408" s="3"/>
      <c r="I408" s="3"/>
      <c r="J408" s="3"/>
      <c r="K408" s="3"/>
      <c r="L408" s="3"/>
      <c r="N408" s="3"/>
      <c r="P408" s="3"/>
      <c r="Q408" s="3"/>
      <c r="R408" s="3"/>
    </row>
    <row r="409" spans="1:18" ht="19.5" customHeight="1" x14ac:dyDescent="0.25">
      <c r="A409" s="3"/>
      <c r="B409" s="3"/>
      <c r="C409" s="9"/>
      <c r="D409" s="9"/>
      <c r="E409" s="3"/>
      <c r="F409" s="3"/>
      <c r="G409" s="3"/>
      <c r="H409" s="3"/>
      <c r="I409" s="3"/>
      <c r="J409" s="3"/>
      <c r="K409" s="3"/>
      <c r="L409" s="3"/>
      <c r="N409" s="3"/>
      <c r="P409" s="3"/>
      <c r="Q409" s="3"/>
      <c r="R409" s="3"/>
    </row>
    <row r="410" spans="1:18" ht="19.5" customHeight="1" x14ac:dyDescent="0.25">
      <c r="A410" s="3"/>
      <c r="B410" s="3"/>
      <c r="C410" s="9"/>
      <c r="D410" s="9"/>
      <c r="E410" s="3"/>
      <c r="F410" s="3"/>
      <c r="G410" s="3"/>
      <c r="H410" s="3"/>
      <c r="I410" s="3"/>
      <c r="J410" s="3"/>
      <c r="K410" s="3"/>
      <c r="L410" s="3"/>
      <c r="N410" s="3"/>
      <c r="P410" s="3"/>
      <c r="Q410" s="3"/>
      <c r="R410" s="3"/>
    </row>
    <row r="411" spans="1:18" ht="19.5" customHeight="1" x14ac:dyDescent="0.25">
      <c r="A411" s="3"/>
      <c r="B411" s="3"/>
      <c r="C411" s="9"/>
      <c r="D411" s="9"/>
      <c r="E411" s="3"/>
      <c r="F411" s="3"/>
      <c r="G411" s="3"/>
      <c r="H411" s="3"/>
      <c r="I411" s="3"/>
      <c r="J411" s="3"/>
      <c r="K411" s="3"/>
      <c r="L411" s="3"/>
      <c r="N411" s="3"/>
      <c r="P411" s="3"/>
      <c r="Q411" s="3"/>
      <c r="R411" s="3"/>
    </row>
    <row r="412" spans="1:18" ht="19.5" customHeight="1" x14ac:dyDescent="0.25">
      <c r="A412" s="3"/>
      <c r="B412" s="3"/>
      <c r="C412" s="9"/>
      <c r="D412" s="9"/>
      <c r="E412" s="3"/>
      <c r="F412" s="3"/>
      <c r="G412" s="3"/>
      <c r="H412" s="3"/>
      <c r="I412" s="3"/>
      <c r="J412" s="3"/>
      <c r="K412" s="3"/>
      <c r="L412" s="3"/>
      <c r="N412" s="3"/>
      <c r="P412" s="3"/>
      <c r="Q412" s="3"/>
      <c r="R412" s="3"/>
    </row>
    <row r="413" spans="1:18" ht="19.5" customHeight="1" x14ac:dyDescent="0.25">
      <c r="A413" s="3"/>
      <c r="B413" s="3"/>
      <c r="C413" s="9"/>
      <c r="D413" s="9"/>
      <c r="E413" s="3"/>
      <c r="F413" s="3"/>
      <c r="G413" s="3"/>
      <c r="H413" s="3"/>
      <c r="I413" s="3"/>
      <c r="J413" s="3"/>
      <c r="K413" s="3"/>
      <c r="L413" s="3"/>
      <c r="N413" s="3"/>
      <c r="P413" s="3"/>
      <c r="Q413" s="3"/>
      <c r="R413" s="3"/>
    </row>
    <row r="414" spans="1:18" ht="19.5" customHeight="1" x14ac:dyDescent="0.25">
      <c r="A414" s="3"/>
      <c r="B414" s="3"/>
      <c r="C414" s="9"/>
      <c r="D414" s="9"/>
      <c r="E414" s="3"/>
      <c r="F414" s="3"/>
      <c r="G414" s="3"/>
      <c r="H414" s="3"/>
      <c r="I414" s="3"/>
      <c r="J414" s="3"/>
      <c r="K414" s="3"/>
      <c r="L414" s="3"/>
      <c r="N414" s="3"/>
      <c r="P414" s="3"/>
      <c r="Q414" s="3"/>
      <c r="R414" s="3"/>
    </row>
    <row r="415" spans="1:18" ht="19.5" customHeight="1" x14ac:dyDescent="0.25">
      <c r="A415" s="3"/>
      <c r="B415" s="3"/>
      <c r="C415" s="9"/>
      <c r="D415" s="9"/>
      <c r="E415" s="3"/>
      <c r="F415" s="3"/>
      <c r="G415" s="3"/>
      <c r="H415" s="3"/>
      <c r="I415" s="3"/>
      <c r="J415" s="3"/>
      <c r="K415" s="3"/>
      <c r="L415" s="3"/>
      <c r="N415" s="3"/>
      <c r="P415" s="3"/>
      <c r="Q415" s="3"/>
      <c r="R415" s="3"/>
    </row>
    <row r="416" spans="1:18" ht="19.5" customHeight="1" x14ac:dyDescent="0.25">
      <c r="A416" s="3"/>
      <c r="B416" s="3"/>
      <c r="C416" s="9"/>
      <c r="D416" s="9"/>
      <c r="E416" s="3"/>
      <c r="F416" s="3"/>
      <c r="G416" s="3"/>
      <c r="H416" s="3"/>
      <c r="I416" s="3"/>
      <c r="J416" s="3"/>
      <c r="K416" s="3"/>
      <c r="L416" s="3"/>
      <c r="N416" s="3"/>
      <c r="P416" s="3"/>
      <c r="Q416" s="3"/>
      <c r="R416" s="3"/>
    </row>
    <row r="417" spans="1:18" ht="19.5" customHeight="1" x14ac:dyDescent="0.25">
      <c r="A417" s="3"/>
      <c r="B417" s="3"/>
      <c r="C417" s="9"/>
      <c r="D417" s="9"/>
      <c r="E417" s="3"/>
      <c r="F417" s="3"/>
      <c r="G417" s="3"/>
      <c r="H417" s="3"/>
      <c r="I417" s="3"/>
      <c r="J417" s="3"/>
      <c r="K417" s="3"/>
      <c r="L417" s="3"/>
      <c r="N417" s="3"/>
      <c r="P417" s="3"/>
      <c r="Q417" s="3"/>
      <c r="R417" s="3"/>
    </row>
    <row r="418" spans="1:18" ht="19.5" customHeight="1" x14ac:dyDescent="0.25">
      <c r="A418" s="3"/>
      <c r="B418" s="3"/>
      <c r="C418" s="9"/>
      <c r="D418" s="9"/>
      <c r="E418" s="3"/>
      <c r="F418" s="3"/>
      <c r="G418" s="3"/>
      <c r="H418" s="3"/>
      <c r="I418" s="3"/>
      <c r="J418" s="3"/>
      <c r="K418" s="3"/>
      <c r="L418" s="3"/>
      <c r="N418" s="3"/>
      <c r="P418" s="3"/>
      <c r="Q418" s="3"/>
      <c r="R418" s="3"/>
    </row>
    <row r="419" spans="1:18" ht="19.5" customHeight="1" x14ac:dyDescent="0.25">
      <c r="A419" s="3"/>
      <c r="B419" s="3"/>
      <c r="C419" s="9"/>
      <c r="D419" s="9"/>
      <c r="E419" s="3"/>
      <c r="F419" s="3"/>
      <c r="G419" s="3"/>
      <c r="H419" s="3"/>
      <c r="I419" s="3"/>
      <c r="J419" s="3"/>
      <c r="K419" s="3"/>
      <c r="L419" s="3"/>
      <c r="N419" s="3"/>
      <c r="P419" s="3"/>
      <c r="Q419" s="3"/>
      <c r="R419" s="3"/>
    </row>
    <row r="420" spans="1:18" ht="19.5" customHeight="1" x14ac:dyDescent="0.25">
      <c r="A420" s="3"/>
      <c r="B420" s="3"/>
      <c r="C420" s="9"/>
      <c r="D420" s="9"/>
      <c r="E420" s="3"/>
      <c r="F420" s="3"/>
      <c r="G420" s="3"/>
      <c r="H420" s="3"/>
      <c r="I420" s="3"/>
      <c r="J420" s="3"/>
      <c r="K420" s="3"/>
      <c r="L420" s="3"/>
      <c r="N420" s="3"/>
      <c r="P420" s="3"/>
      <c r="Q420" s="3"/>
      <c r="R420" s="3"/>
    </row>
    <row r="421" spans="1:18" ht="19.5" customHeight="1" x14ac:dyDescent="0.25">
      <c r="A421" s="3"/>
      <c r="B421" s="3"/>
      <c r="C421" s="9"/>
      <c r="D421" s="9"/>
      <c r="E421" s="3"/>
      <c r="F421" s="3"/>
      <c r="G421" s="3"/>
      <c r="H421" s="3"/>
      <c r="I421" s="3"/>
      <c r="J421" s="3"/>
      <c r="K421" s="3"/>
      <c r="L421" s="3"/>
      <c r="N421" s="3"/>
      <c r="P421" s="3"/>
      <c r="Q421" s="3"/>
      <c r="R421" s="3"/>
    </row>
    <row r="422" spans="1:18" ht="19.5" customHeight="1" x14ac:dyDescent="0.25">
      <c r="A422" s="3"/>
      <c r="B422" s="3"/>
      <c r="C422" s="9"/>
      <c r="D422" s="9"/>
      <c r="E422" s="3"/>
      <c r="F422" s="3"/>
      <c r="G422" s="3"/>
      <c r="H422" s="3"/>
      <c r="I422" s="3"/>
      <c r="J422" s="3"/>
      <c r="K422" s="3"/>
      <c r="L422" s="3"/>
      <c r="N422" s="3"/>
      <c r="P422" s="3"/>
      <c r="Q422" s="3"/>
      <c r="R422" s="3"/>
    </row>
    <row r="423" spans="1:18" ht="19.5" customHeight="1" x14ac:dyDescent="0.25">
      <c r="A423" s="3"/>
      <c r="B423" s="3"/>
      <c r="C423" s="9"/>
      <c r="D423" s="9"/>
      <c r="E423" s="3"/>
      <c r="F423" s="3"/>
      <c r="G423" s="3"/>
      <c r="H423" s="3"/>
      <c r="I423" s="3"/>
      <c r="J423" s="3"/>
      <c r="K423" s="3"/>
      <c r="L423" s="3"/>
      <c r="N423" s="3"/>
      <c r="P423" s="3"/>
      <c r="Q423" s="3"/>
      <c r="R423" s="3"/>
    </row>
    <row r="424" spans="1:18" ht="19.5" customHeight="1" x14ac:dyDescent="0.25">
      <c r="A424" s="3"/>
      <c r="B424" s="3"/>
      <c r="C424" s="9"/>
      <c r="D424" s="9"/>
      <c r="E424" s="3"/>
      <c r="F424" s="3"/>
      <c r="G424" s="3"/>
      <c r="H424" s="3"/>
      <c r="I424" s="3"/>
      <c r="J424" s="3"/>
      <c r="K424" s="3"/>
      <c r="L424" s="3"/>
      <c r="N424" s="3"/>
      <c r="P424" s="3"/>
      <c r="Q424" s="3"/>
      <c r="R424" s="3"/>
    </row>
    <row r="425" spans="1:18" ht="19.5" customHeight="1" x14ac:dyDescent="0.25">
      <c r="A425" s="3"/>
      <c r="B425" s="3"/>
      <c r="C425" s="9"/>
      <c r="D425" s="9"/>
      <c r="E425" s="3"/>
      <c r="F425" s="3"/>
      <c r="G425" s="3"/>
      <c r="H425" s="3"/>
      <c r="I425" s="3"/>
      <c r="J425" s="3"/>
      <c r="K425" s="3"/>
      <c r="L425" s="3"/>
      <c r="N425" s="3"/>
      <c r="P425" s="3"/>
      <c r="Q425" s="3"/>
      <c r="R425" s="3"/>
    </row>
    <row r="426" spans="1:18" ht="19.5" customHeight="1" x14ac:dyDescent="0.25">
      <c r="A426" s="3"/>
      <c r="B426" s="3"/>
      <c r="C426" s="9"/>
      <c r="D426" s="9"/>
      <c r="E426" s="3"/>
      <c r="F426" s="3"/>
      <c r="G426" s="3"/>
      <c r="H426" s="3"/>
      <c r="I426" s="3"/>
      <c r="J426" s="3"/>
      <c r="K426" s="3"/>
      <c r="L426" s="3"/>
      <c r="N426" s="3"/>
      <c r="P426" s="3"/>
      <c r="Q426" s="3"/>
      <c r="R426" s="3"/>
    </row>
    <row r="427" spans="1:18" ht="19.5" customHeight="1" x14ac:dyDescent="0.25">
      <c r="A427" s="3"/>
      <c r="B427" s="3"/>
      <c r="C427" s="9"/>
      <c r="D427" s="9"/>
      <c r="E427" s="3"/>
      <c r="F427" s="3"/>
      <c r="G427" s="3"/>
      <c r="H427" s="3"/>
      <c r="I427" s="3"/>
      <c r="J427" s="3"/>
      <c r="K427" s="3"/>
      <c r="L427" s="3"/>
      <c r="N427" s="3"/>
      <c r="P427" s="3"/>
      <c r="Q427" s="3"/>
      <c r="R427" s="3"/>
    </row>
    <row r="428" spans="1:18" ht="19.5" customHeight="1" x14ac:dyDescent="0.25">
      <c r="A428" s="3"/>
      <c r="B428" s="3"/>
      <c r="C428" s="9"/>
      <c r="D428" s="9"/>
      <c r="E428" s="3"/>
      <c r="F428" s="3"/>
      <c r="G428" s="3"/>
      <c r="H428" s="3"/>
      <c r="I428" s="3"/>
      <c r="J428" s="3"/>
      <c r="K428" s="3"/>
      <c r="L428" s="3"/>
      <c r="N428" s="3"/>
      <c r="P428" s="3"/>
      <c r="Q428" s="3"/>
      <c r="R428" s="3"/>
    </row>
    <row r="429" spans="1:18" ht="19.5" customHeight="1" x14ac:dyDescent="0.25">
      <c r="A429" s="3"/>
      <c r="B429" s="3"/>
      <c r="C429" s="9"/>
      <c r="D429" s="9"/>
      <c r="E429" s="3"/>
      <c r="F429" s="3"/>
      <c r="G429" s="3"/>
      <c r="H429" s="3"/>
      <c r="I429" s="3"/>
      <c r="J429" s="3"/>
      <c r="K429" s="3"/>
      <c r="L429" s="3"/>
      <c r="N429" s="3"/>
      <c r="P429" s="3"/>
      <c r="Q429" s="3"/>
      <c r="R429" s="3"/>
    </row>
    <row r="430" spans="1:18" ht="19.5" customHeight="1" x14ac:dyDescent="0.25">
      <c r="A430" s="3"/>
      <c r="B430" s="3"/>
      <c r="C430" s="9"/>
      <c r="D430" s="9"/>
      <c r="E430" s="3"/>
      <c r="F430" s="3"/>
      <c r="G430" s="3"/>
      <c r="H430" s="3"/>
      <c r="I430" s="3"/>
      <c r="J430" s="3"/>
      <c r="K430" s="3"/>
      <c r="L430" s="3"/>
      <c r="N430" s="3"/>
      <c r="P430" s="3"/>
      <c r="Q430" s="3"/>
      <c r="R430" s="3"/>
    </row>
    <row r="431" spans="1:18" ht="19.5" customHeight="1" x14ac:dyDescent="0.25">
      <c r="A431" s="3"/>
      <c r="B431" s="3"/>
      <c r="C431" s="9"/>
      <c r="D431" s="9"/>
      <c r="E431" s="3"/>
      <c r="F431" s="3"/>
      <c r="G431" s="3"/>
      <c r="H431" s="3"/>
      <c r="I431" s="3"/>
      <c r="J431" s="3"/>
      <c r="K431" s="3"/>
      <c r="L431" s="3"/>
      <c r="N431" s="3"/>
      <c r="P431" s="3"/>
      <c r="Q431" s="3"/>
      <c r="R431" s="3"/>
    </row>
    <row r="432" spans="1:18" ht="19.5" customHeight="1" x14ac:dyDescent="0.25">
      <c r="A432" s="3"/>
      <c r="B432" s="3"/>
      <c r="C432" s="9"/>
      <c r="D432" s="9"/>
      <c r="E432" s="3"/>
      <c r="F432" s="3"/>
      <c r="G432" s="3"/>
      <c r="H432" s="3"/>
      <c r="I432" s="3"/>
      <c r="J432" s="3"/>
      <c r="K432" s="3"/>
      <c r="L432" s="3"/>
      <c r="N432" s="3"/>
      <c r="P432" s="3"/>
      <c r="Q432" s="3"/>
      <c r="R432" s="3"/>
    </row>
    <row r="433" spans="1:18" ht="19.5" customHeight="1" x14ac:dyDescent="0.25">
      <c r="A433" s="3"/>
      <c r="B433" s="3"/>
      <c r="C433" s="9"/>
      <c r="D433" s="9"/>
      <c r="E433" s="3"/>
      <c r="F433" s="3"/>
      <c r="G433" s="3"/>
      <c r="H433" s="3"/>
      <c r="I433" s="3"/>
      <c r="J433" s="3"/>
      <c r="K433" s="3"/>
      <c r="L433" s="3"/>
      <c r="N433" s="3"/>
      <c r="P433" s="3"/>
      <c r="Q433" s="3"/>
      <c r="R433" s="3"/>
    </row>
    <row r="434" spans="1:18" ht="19.5" customHeight="1" x14ac:dyDescent="0.25">
      <c r="A434" s="3"/>
      <c r="B434" s="3"/>
      <c r="C434" s="9"/>
      <c r="D434" s="9"/>
      <c r="E434" s="3"/>
      <c r="F434" s="3"/>
      <c r="G434" s="3"/>
      <c r="H434" s="3"/>
      <c r="I434" s="3"/>
      <c r="J434" s="3"/>
      <c r="K434" s="3"/>
      <c r="L434" s="3"/>
      <c r="N434" s="3"/>
      <c r="P434" s="3"/>
      <c r="Q434" s="3"/>
      <c r="R434" s="3"/>
    </row>
    <row r="435" spans="1:18" ht="19.5" customHeight="1" x14ac:dyDescent="0.25">
      <c r="A435" s="3"/>
      <c r="B435" s="3"/>
      <c r="C435" s="9"/>
      <c r="D435" s="9"/>
      <c r="E435" s="3"/>
      <c r="F435" s="3"/>
      <c r="G435" s="3"/>
      <c r="H435" s="3"/>
      <c r="I435" s="3"/>
      <c r="J435" s="3"/>
      <c r="K435" s="3"/>
      <c r="L435" s="3"/>
      <c r="N435" s="3"/>
      <c r="P435" s="3"/>
      <c r="Q435" s="3"/>
      <c r="R435" s="3"/>
    </row>
    <row r="436" spans="1:18" ht="19.5" customHeight="1" x14ac:dyDescent="0.25">
      <c r="A436" s="3"/>
      <c r="B436" s="3"/>
      <c r="C436" s="9"/>
      <c r="D436" s="9"/>
      <c r="E436" s="3"/>
      <c r="F436" s="3"/>
      <c r="G436" s="3"/>
      <c r="H436" s="3"/>
      <c r="I436" s="3"/>
      <c r="J436" s="3"/>
      <c r="K436" s="3"/>
      <c r="L436" s="3"/>
      <c r="N436" s="3"/>
      <c r="P436" s="3"/>
      <c r="Q436" s="3"/>
      <c r="R436" s="3"/>
    </row>
    <row r="437" spans="1:18" ht="19.5" customHeight="1" x14ac:dyDescent="0.25">
      <c r="A437" s="3"/>
      <c r="B437" s="3"/>
      <c r="C437" s="9"/>
      <c r="D437" s="9"/>
      <c r="E437" s="3"/>
      <c r="F437" s="3"/>
      <c r="G437" s="3"/>
      <c r="H437" s="3"/>
      <c r="I437" s="3"/>
      <c r="J437" s="3"/>
      <c r="K437" s="3"/>
      <c r="L437" s="3"/>
      <c r="N437" s="3"/>
      <c r="P437" s="3"/>
      <c r="Q437" s="3"/>
      <c r="R437" s="3"/>
    </row>
    <row r="438" spans="1:18" ht="19.5" customHeight="1" x14ac:dyDescent="0.25">
      <c r="A438" s="3"/>
      <c r="B438" s="3"/>
      <c r="C438" s="9"/>
      <c r="D438" s="9"/>
      <c r="E438" s="3"/>
      <c r="F438" s="3"/>
      <c r="G438" s="3"/>
      <c r="H438" s="3"/>
      <c r="I438" s="3"/>
      <c r="J438" s="3"/>
      <c r="K438" s="3"/>
      <c r="L438" s="3"/>
      <c r="N438" s="3"/>
      <c r="P438" s="3"/>
      <c r="Q438" s="3"/>
      <c r="R438" s="3"/>
    </row>
    <row r="439" spans="1:18" ht="19.5" customHeight="1" x14ac:dyDescent="0.25">
      <c r="A439" s="3"/>
      <c r="B439" s="3"/>
      <c r="C439" s="9"/>
      <c r="D439" s="9"/>
      <c r="E439" s="3"/>
      <c r="F439" s="3"/>
      <c r="G439" s="3"/>
      <c r="H439" s="3"/>
      <c r="I439" s="3"/>
      <c r="J439" s="3"/>
      <c r="K439" s="3"/>
      <c r="L439" s="3"/>
      <c r="N439" s="3"/>
      <c r="P439" s="3"/>
      <c r="Q439" s="3"/>
      <c r="R439" s="3"/>
    </row>
    <row r="440" spans="1:18" ht="19.5" customHeight="1" x14ac:dyDescent="0.25">
      <c r="A440" s="3"/>
      <c r="B440" s="3"/>
      <c r="C440" s="9"/>
      <c r="D440" s="9"/>
      <c r="E440" s="3"/>
      <c r="F440" s="3"/>
      <c r="G440" s="3"/>
      <c r="H440" s="3"/>
      <c r="I440" s="3"/>
      <c r="J440" s="3"/>
      <c r="K440" s="3"/>
      <c r="L440" s="3"/>
      <c r="N440" s="3"/>
      <c r="P440" s="3"/>
      <c r="Q440" s="3"/>
      <c r="R440" s="3"/>
    </row>
    <row r="441" spans="1:18" ht="19.5" customHeight="1" x14ac:dyDescent="0.25">
      <c r="A441" s="3"/>
      <c r="B441" s="3"/>
      <c r="C441" s="9"/>
      <c r="D441" s="9"/>
      <c r="E441" s="3"/>
      <c r="F441" s="3"/>
      <c r="G441" s="3"/>
      <c r="H441" s="3"/>
      <c r="I441" s="3"/>
      <c r="J441" s="3"/>
      <c r="K441" s="3"/>
      <c r="L441" s="3"/>
      <c r="N441" s="3"/>
      <c r="P441" s="3"/>
      <c r="Q441" s="3"/>
      <c r="R441" s="3"/>
    </row>
    <row r="442" spans="1:18" ht="19.5" customHeight="1" x14ac:dyDescent="0.25">
      <c r="A442" s="3"/>
      <c r="B442" s="3"/>
      <c r="C442" s="9"/>
      <c r="D442" s="9"/>
      <c r="E442" s="3"/>
      <c r="F442" s="3"/>
      <c r="G442" s="3"/>
      <c r="H442" s="3"/>
      <c r="I442" s="3"/>
      <c r="J442" s="3"/>
      <c r="K442" s="3"/>
      <c r="L442" s="3"/>
      <c r="N442" s="3"/>
      <c r="P442" s="3"/>
      <c r="Q442" s="3"/>
      <c r="R442" s="3"/>
    </row>
    <row r="443" spans="1:18" ht="19.5" customHeight="1" x14ac:dyDescent="0.25">
      <c r="A443" s="3"/>
      <c r="B443" s="3"/>
      <c r="C443" s="9"/>
      <c r="D443" s="9"/>
      <c r="E443" s="3"/>
      <c r="F443" s="3"/>
      <c r="G443" s="3"/>
      <c r="H443" s="3"/>
      <c r="I443" s="3"/>
      <c r="J443" s="3"/>
      <c r="K443" s="3"/>
      <c r="L443" s="3"/>
      <c r="N443" s="3"/>
      <c r="P443" s="3"/>
      <c r="Q443" s="3"/>
      <c r="R443" s="3"/>
    </row>
    <row r="444" spans="1:18" ht="19.5" customHeight="1" x14ac:dyDescent="0.25">
      <c r="A444" s="3"/>
      <c r="B444" s="3"/>
      <c r="C444" s="9"/>
      <c r="D444" s="9"/>
      <c r="E444" s="3"/>
      <c r="F444" s="3"/>
      <c r="G444" s="3"/>
      <c r="H444" s="3"/>
      <c r="I444" s="3"/>
      <c r="J444" s="3"/>
      <c r="K444" s="3"/>
      <c r="L444" s="3"/>
      <c r="N444" s="3"/>
      <c r="P444" s="3"/>
      <c r="Q444" s="3"/>
      <c r="R444" s="3"/>
    </row>
    <row r="445" spans="1:18" ht="19.5" customHeight="1" x14ac:dyDescent="0.25">
      <c r="A445" s="3"/>
      <c r="B445" s="3"/>
      <c r="C445" s="9"/>
      <c r="D445" s="9"/>
      <c r="E445" s="3"/>
      <c r="F445" s="3"/>
      <c r="G445" s="3"/>
      <c r="H445" s="3"/>
      <c r="I445" s="3"/>
      <c r="J445" s="3"/>
      <c r="K445" s="3"/>
      <c r="L445" s="3"/>
      <c r="N445" s="3"/>
      <c r="P445" s="3"/>
      <c r="Q445" s="3"/>
      <c r="R445" s="3"/>
    </row>
    <row r="446" spans="1:18" ht="19.5" customHeight="1" x14ac:dyDescent="0.25">
      <c r="A446" s="3"/>
      <c r="B446" s="3"/>
      <c r="C446" s="9"/>
      <c r="D446" s="9"/>
      <c r="E446" s="3"/>
      <c r="F446" s="3"/>
      <c r="G446" s="3"/>
      <c r="H446" s="3"/>
      <c r="I446" s="3"/>
      <c r="J446" s="3"/>
      <c r="K446" s="3"/>
      <c r="L446" s="3"/>
      <c r="N446" s="3"/>
      <c r="P446" s="3"/>
      <c r="Q446" s="3"/>
      <c r="R446" s="3"/>
    </row>
    <row r="447" spans="1:18" ht="19.5" customHeight="1" x14ac:dyDescent="0.25">
      <c r="A447" s="3"/>
      <c r="B447" s="3"/>
      <c r="C447" s="9"/>
      <c r="D447" s="9"/>
      <c r="E447" s="3"/>
      <c r="F447" s="3"/>
      <c r="G447" s="3"/>
      <c r="H447" s="3"/>
      <c r="I447" s="3"/>
      <c r="J447" s="3"/>
      <c r="K447" s="3"/>
      <c r="L447" s="3"/>
      <c r="N447" s="3"/>
      <c r="P447" s="3"/>
      <c r="Q447" s="3"/>
      <c r="R447" s="3"/>
    </row>
    <row r="448" spans="1:18" ht="19.5" customHeight="1" x14ac:dyDescent="0.25">
      <c r="A448" s="3"/>
      <c r="B448" s="3"/>
      <c r="C448" s="9"/>
      <c r="D448" s="9"/>
      <c r="E448" s="3"/>
      <c r="F448" s="3"/>
      <c r="G448" s="3"/>
      <c r="H448" s="3"/>
      <c r="I448" s="3"/>
      <c r="J448" s="3"/>
      <c r="K448" s="3"/>
      <c r="L448" s="3"/>
      <c r="N448" s="3"/>
      <c r="P448" s="3"/>
      <c r="Q448" s="3"/>
      <c r="R448" s="3"/>
    </row>
    <row r="449" spans="1:18" ht="19.5" customHeight="1" x14ac:dyDescent="0.25">
      <c r="A449" s="3"/>
      <c r="B449" s="3"/>
      <c r="C449" s="9"/>
      <c r="D449" s="9"/>
      <c r="E449" s="3"/>
      <c r="F449" s="3"/>
      <c r="G449" s="3"/>
      <c r="H449" s="3"/>
      <c r="I449" s="3"/>
      <c r="J449" s="3"/>
      <c r="K449" s="3"/>
      <c r="L449" s="3"/>
      <c r="N449" s="3"/>
      <c r="P449" s="3"/>
      <c r="Q449" s="3"/>
      <c r="R449" s="3"/>
    </row>
    <row r="450" spans="1:18" ht="19.5" customHeight="1" x14ac:dyDescent="0.25">
      <c r="A450" s="3"/>
      <c r="B450" s="3"/>
      <c r="C450" s="9"/>
      <c r="D450" s="9"/>
      <c r="E450" s="3"/>
      <c r="F450" s="3"/>
      <c r="G450" s="3"/>
      <c r="H450" s="3"/>
      <c r="I450" s="3"/>
      <c r="J450" s="3"/>
      <c r="K450" s="3"/>
      <c r="L450" s="3"/>
      <c r="N450" s="3"/>
      <c r="P450" s="3"/>
      <c r="Q450" s="3"/>
      <c r="R450" s="3"/>
    </row>
    <row r="451" spans="1:18" ht="19.5" customHeight="1" x14ac:dyDescent="0.25">
      <c r="A451" s="3"/>
      <c r="B451" s="3"/>
      <c r="C451" s="9"/>
      <c r="D451" s="9"/>
      <c r="E451" s="3"/>
      <c r="F451" s="3"/>
      <c r="G451" s="3"/>
      <c r="H451" s="3"/>
      <c r="I451" s="3"/>
      <c r="J451" s="3"/>
      <c r="K451" s="3"/>
      <c r="L451" s="3"/>
      <c r="N451" s="3"/>
      <c r="P451" s="3"/>
      <c r="Q451" s="3"/>
      <c r="R451" s="3"/>
    </row>
    <row r="452" spans="1:18" ht="19.5" customHeight="1" x14ac:dyDescent="0.25">
      <c r="A452" s="3"/>
      <c r="B452" s="3"/>
      <c r="C452" s="9"/>
      <c r="D452" s="9"/>
      <c r="E452" s="3"/>
      <c r="F452" s="3"/>
      <c r="G452" s="3"/>
      <c r="H452" s="3"/>
      <c r="I452" s="3"/>
      <c r="J452" s="3"/>
      <c r="K452" s="3"/>
      <c r="L452" s="3"/>
      <c r="N452" s="3"/>
      <c r="P452" s="3"/>
      <c r="Q452" s="3"/>
      <c r="R452" s="3"/>
    </row>
    <row r="453" spans="1:18" ht="19.5" customHeight="1" x14ac:dyDescent="0.25">
      <c r="A453" s="3"/>
      <c r="B453" s="3"/>
      <c r="C453" s="9"/>
      <c r="D453" s="9"/>
      <c r="E453" s="3"/>
      <c r="F453" s="3"/>
      <c r="G453" s="3"/>
      <c r="H453" s="3"/>
      <c r="I453" s="3"/>
      <c r="J453" s="3"/>
      <c r="K453" s="3"/>
      <c r="L453" s="3"/>
      <c r="N453" s="3"/>
      <c r="P453" s="3"/>
      <c r="Q453" s="3"/>
      <c r="R453" s="3"/>
    </row>
    <row r="454" spans="1:18" ht="19.5" customHeight="1" x14ac:dyDescent="0.25">
      <c r="A454" s="3"/>
      <c r="B454" s="3"/>
      <c r="C454" s="9"/>
      <c r="D454" s="9"/>
      <c r="E454" s="3"/>
      <c r="F454" s="3"/>
      <c r="G454" s="3"/>
      <c r="H454" s="3"/>
      <c r="I454" s="3"/>
      <c r="J454" s="3"/>
      <c r="K454" s="3"/>
      <c r="L454" s="3"/>
      <c r="N454" s="3"/>
      <c r="P454" s="3"/>
      <c r="Q454" s="3"/>
      <c r="R454" s="3"/>
    </row>
    <row r="455" spans="1:18" ht="19.5" customHeight="1" x14ac:dyDescent="0.25">
      <c r="A455" s="3"/>
      <c r="B455" s="3"/>
      <c r="C455" s="9"/>
      <c r="D455" s="9"/>
      <c r="E455" s="3"/>
      <c r="F455" s="3"/>
      <c r="G455" s="3"/>
      <c r="H455" s="3"/>
      <c r="I455" s="3"/>
      <c r="J455" s="3"/>
      <c r="K455" s="3"/>
      <c r="L455" s="3"/>
      <c r="N455" s="3"/>
      <c r="P455" s="3"/>
      <c r="Q455" s="3"/>
      <c r="R455" s="3"/>
    </row>
    <row r="456" spans="1:18" ht="19.5" customHeight="1" x14ac:dyDescent="0.25">
      <c r="A456" s="3"/>
      <c r="B456" s="3"/>
      <c r="C456" s="9"/>
      <c r="D456" s="9"/>
      <c r="E456" s="3"/>
      <c r="F456" s="3"/>
      <c r="G456" s="3"/>
      <c r="H456" s="3"/>
      <c r="I456" s="3"/>
      <c r="J456" s="3"/>
      <c r="K456" s="3"/>
      <c r="L456" s="3"/>
      <c r="N456" s="3"/>
      <c r="P456" s="3"/>
      <c r="Q456" s="3"/>
      <c r="R456" s="3"/>
    </row>
    <row r="457" spans="1:18" ht="19.5" customHeight="1" x14ac:dyDescent="0.25">
      <c r="A457" s="3"/>
      <c r="B457" s="3"/>
      <c r="C457" s="9"/>
      <c r="D457" s="9"/>
      <c r="E457" s="3"/>
      <c r="F457" s="3"/>
      <c r="G457" s="3"/>
      <c r="H457" s="3"/>
      <c r="I457" s="3"/>
      <c r="J457" s="3"/>
      <c r="K457" s="3"/>
      <c r="L457" s="3"/>
      <c r="N457" s="3"/>
      <c r="P457" s="3"/>
      <c r="Q457" s="3"/>
      <c r="R457" s="3"/>
    </row>
    <row r="458" spans="1:18" ht="19.5" customHeight="1" x14ac:dyDescent="0.25">
      <c r="A458" s="3"/>
      <c r="B458" s="3"/>
      <c r="C458" s="9"/>
      <c r="D458" s="9"/>
      <c r="E458" s="3"/>
      <c r="F458" s="3"/>
      <c r="G458" s="3"/>
      <c r="H458" s="3"/>
      <c r="I458" s="3"/>
      <c r="J458" s="3"/>
      <c r="K458" s="3"/>
      <c r="L458" s="3"/>
      <c r="N458" s="3"/>
      <c r="P458" s="3"/>
      <c r="Q458" s="3"/>
      <c r="R458" s="3"/>
    </row>
    <row r="459" spans="1:18" ht="19.5" customHeight="1" x14ac:dyDescent="0.25">
      <c r="A459" s="3"/>
      <c r="B459" s="3"/>
      <c r="C459" s="9"/>
      <c r="D459" s="9"/>
      <c r="E459" s="3"/>
      <c r="F459" s="3"/>
      <c r="G459" s="3"/>
      <c r="H459" s="3"/>
      <c r="I459" s="3"/>
      <c r="J459" s="3"/>
      <c r="K459" s="3"/>
      <c r="L459" s="3"/>
      <c r="N459" s="3"/>
      <c r="P459" s="3"/>
      <c r="Q459" s="3"/>
      <c r="R459" s="3"/>
    </row>
    <row r="460" spans="1:18" ht="19.5" customHeight="1" x14ac:dyDescent="0.25">
      <c r="A460" s="3"/>
      <c r="B460" s="3"/>
      <c r="C460" s="9"/>
      <c r="D460" s="9"/>
      <c r="E460" s="3"/>
      <c r="F460" s="3"/>
      <c r="G460" s="3"/>
      <c r="H460" s="3"/>
      <c r="I460" s="3"/>
      <c r="J460" s="3"/>
      <c r="K460" s="3"/>
      <c r="L460" s="3"/>
      <c r="N460" s="3"/>
      <c r="P460" s="3"/>
      <c r="Q460" s="3"/>
      <c r="R460" s="3"/>
    </row>
    <row r="461" spans="1:18" ht="19.5" customHeight="1" x14ac:dyDescent="0.25">
      <c r="A461" s="3"/>
      <c r="B461" s="3"/>
      <c r="C461" s="9"/>
      <c r="D461" s="9"/>
      <c r="E461" s="3"/>
      <c r="F461" s="3"/>
      <c r="G461" s="3"/>
      <c r="H461" s="3"/>
      <c r="I461" s="3"/>
      <c r="J461" s="3"/>
      <c r="K461" s="3"/>
      <c r="L461" s="3"/>
      <c r="N461" s="3"/>
      <c r="P461" s="3"/>
      <c r="Q461" s="3"/>
      <c r="R461" s="3"/>
    </row>
    <row r="462" spans="1:18" ht="19.5" customHeight="1" x14ac:dyDescent="0.25">
      <c r="A462" s="3"/>
      <c r="B462" s="3"/>
      <c r="C462" s="9"/>
      <c r="D462" s="9"/>
      <c r="E462" s="3"/>
      <c r="F462" s="3"/>
      <c r="G462" s="3"/>
      <c r="H462" s="3"/>
      <c r="I462" s="3"/>
      <c r="J462" s="3"/>
      <c r="K462" s="3"/>
      <c r="L462" s="3"/>
      <c r="N462" s="3"/>
      <c r="P462" s="3"/>
      <c r="Q462" s="3"/>
      <c r="R462" s="3"/>
    </row>
    <row r="463" spans="1:18" ht="19.5" customHeight="1" x14ac:dyDescent="0.25">
      <c r="A463" s="3"/>
      <c r="B463" s="3"/>
      <c r="C463" s="9"/>
      <c r="D463" s="9"/>
      <c r="E463" s="3"/>
      <c r="F463" s="3"/>
      <c r="G463" s="3"/>
      <c r="H463" s="3"/>
      <c r="I463" s="3"/>
      <c r="J463" s="3"/>
      <c r="K463" s="3"/>
      <c r="L463" s="3"/>
      <c r="N463" s="3"/>
      <c r="P463" s="3"/>
      <c r="Q463" s="3"/>
      <c r="R463" s="3"/>
    </row>
    <row r="464" spans="1:18" ht="19.5" customHeight="1" x14ac:dyDescent="0.25">
      <c r="A464" s="3"/>
      <c r="B464" s="3"/>
      <c r="C464" s="9"/>
      <c r="D464" s="9"/>
      <c r="E464" s="3"/>
      <c r="F464" s="3"/>
      <c r="G464" s="3"/>
      <c r="H464" s="3"/>
      <c r="I464" s="3"/>
      <c r="J464" s="3"/>
      <c r="K464" s="3"/>
      <c r="L464" s="3"/>
      <c r="N464" s="3"/>
      <c r="P464" s="3"/>
      <c r="Q464" s="3"/>
      <c r="R464" s="3"/>
    </row>
    <row r="465" spans="1:18" ht="19.5" customHeight="1" x14ac:dyDescent="0.25">
      <c r="A465" s="3"/>
      <c r="B465" s="3"/>
      <c r="C465" s="9"/>
      <c r="D465" s="9"/>
      <c r="E465" s="3"/>
      <c r="F465" s="3"/>
      <c r="G465" s="3"/>
      <c r="H465" s="3"/>
      <c r="I465" s="3"/>
      <c r="J465" s="3"/>
      <c r="K465" s="3"/>
      <c r="L465" s="3"/>
      <c r="N465" s="3"/>
      <c r="P465" s="3"/>
      <c r="Q465" s="3"/>
      <c r="R465" s="3"/>
    </row>
    <row r="466" spans="1:18" ht="19.5" customHeight="1" x14ac:dyDescent="0.25">
      <c r="A466" s="3"/>
      <c r="B466" s="3"/>
      <c r="C466" s="9"/>
      <c r="D466" s="9"/>
      <c r="E466" s="3"/>
      <c r="F466" s="3"/>
      <c r="G466" s="3"/>
      <c r="H466" s="3"/>
      <c r="I466" s="3"/>
      <c r="J466" s="3"/>
      <c r="K466" s="3"/>
      <c r="L466" s="3"/>
      <c r="N466" s="3"/>
      <c r="P466" s="3"/>
      <c r="Q466" s="3"/>
      <c r="R466" s="3"/>
    </row>
    <row r="467" spans="1:18" ht="19.5" customHeight="1" x14ac:dyDescent="0.25">
      <c r="A467" s="3"/>
      <c r="B467" s="3"/>
      <c r="C467" s="9"/>
      <c r="D467" s="9"/>
      <c r="E467" s="3"/>
      <c r="F467" s="3"/>
      <c r="G467" s="3"/>
      <c r="H467" s="3"/>
      <c r="I467" s="3"/>
      <c r="J467" s="3"/>
      <c r="K467" s="3"/>
      <c r="L467" s="3"/>
      <c r="N467" s="3"/>
      <c r="P467" s="3"/>
      <c r="Q467" s="3"/>
      <c r="R467" s="3"/>
    </row>
    <row r="468" spans="1:18" ht="19.5" customHeight="1" x14ac:dyDescent="0.25">
      <c r="A468" s="3"/>
      <c r="B468" s="3"/>
      <c r="C468" s="9"/>
      <c r="D468" s="9"/>
      <c r="E468" s="3"/>
      <c r="F468" s="3"/>
      <c r="G468" s="3"/>
      <c r="H468" s="3"/>
      <c r="I468" s="3"/>
      <c r="J468" s="3"/>
      <c r="K468" s="3"/>
      <c r="L468" s="3"/>
      <c r="N468" s="3"/>
      <c r="P468" s="3"/>
      <c r="Q468" s="3"/>
      <c r="R468" s="3"/>
    </row>
    <row r="469" spans="1:18" ht="19.5" customHeight="1" x14ac:dyDescent="0.25">
      <c r="A469" s="3"/>
      <c r="B469" s="3"/>
      <c r="C469" s="9"/>
      <c r="D469" s="9"/>
      <c r="E469" s="3"/>
      <c r="F469" s="3"/>
      <c r="G469" s="3"/>
      <c r="H469" s="3"/>
      <c r="I469" s="3"/>
      <c r="J469" s="3"/>
      <c r="K469" s="3"/>
      <c r="L469" s="3"/>
      <c r="N469" s="3"/>
      <c r="P469" s="3"/>
      <c r="Q469" s="3"/>
      <c r="R469" s="3"/>
    </row>
    <row r="470" spans="1:18" ht="19.5" customHeight="1" x14ac:dyDescent="0.25">
      <c r="A470" s="3"/>
      <c r="B470" s="3"/>
      <c r="C470" s="9"/>
      <c r="D470" s="9"/>
      <c r="E470" s="3"/>
      <c r="F470" s="3"/>
      <c r="G470" s="3"/>
      <c r="H470" s="3"/>
      <c r="I470" s="3"/>
      <c r="J470" s="3"/>
      <c r="K470" s="3"/>
      <c r="L470" s="3"/>
      <c r="N470" s="3"/>
      <c r="P470" s="3"/>
      <c r="Q470" s="3"/>
      <c r="R470" s="3"/>
    </row>
    <row r="471" spans="1:18" ht="19.5" customHeight="1" x14ac:dyDescent="0.25">
      <c r="A471" s="3"/>
      <c r="B471" s="3"/>
      <c r="C471" s="9"/>
      <c r="D471" s="9"/>
      <c r="E471" s="3"/>
      <c r="F471" s="3"/>
      <c r="G471" s="3"/>
      <c r="H471" s="3"/>
      <c r="I471" s="3"/>
      <c r="J471" s="3"/>
      <c r="K471" s="3"/>
      <c r="L471" s="3"/>
      <c r="N471" s="3"/>
      <c r="P471" s="3"/>
      <c r="Q471" s="3"/>
      <c r="R471" s="3"/>
    </row>
    <row r="472" spans="1:18" ht="19.5" customHeight="1" x14ac:dyDescent="0.25">
      <c r="A472" s="3"/>
      <c r="B472" s="3"/>
      <c r="C472" s="9"/>
      <c r="D472" s="9"/>
      <c r="E472" s="3"/>
      <c r="F472" s="3"/>
      <c r="G472" s="3"/>
      <c r="H472" s="3"/>
      <c r="I472" s="3"/>
      <c r="J472" s="3"/>
      <c r="K472" s="3"/>
      <c r="L472" s="3"/>
      <c r="N472" s="3"/>
      <c r="P472" s="3"/>
      <c r="Q472" s="3"/>
      <c r="R472" s="3"/>
    </row>
    <row r="473" spans="1:18" ht="19.5" customHeight="1" x14ac:dyDescent="0.25">
      <c r="A473" s="3"/>
      <c r="B473" s="3"/>
      <c r="C473" s="9"/>
      <c r="D473" s="9"/>
      <c r="E473" s="3"/>
      <c r="F473" s="3"/>
      <c r="G473" s="3"/>
      <c r="H473" s="3"/>
      <c r="I473" s="3"/>
      <c r="J473" s="3"/>
      <c r="K473" s="3"/>
      <c r="L473" s="3"/>
      <c r="N473" s="3"/>
      <c r="P473" s="3"/>
      <c r="Q473" s="3"/>
      <c r="R473" s="3"/>
    </row>
    <row r="474" spans="1:18" ht="19.5" customHeight="1" x14ac:dyDescent="0.25">
      <c r="A474" s="3"/>
      <c r="B474" s="3"/>
      <c r="C474" s="9"/>
      <c r="D474" s="9"/>
      <c r="E474" s="3"/>
      <c r="F474" s="3"/>
      <c r="G474" s="3"/>
      <c r="H474" s="3"/>
      <c r="I474" s="3"/>
      <c r="J474" s="3"/>
      <c r="K474" s="3"/>
      <c r="L474" s="3"/>
      <c r="N474" s="3"/>
      <c r="P474" s="3"/>
      <c r="Q474" s="3"/>
      <c r="R474" s="3"/>
    </row>
    <row r="475" spans="1:18" ht="19.5" customHeight="1" x14ac:dyDescent="0.25">
      <c r="A475" s="3"/>
      <c r="B475" s="3"/>
      <c r="C475" s="9"/>
      <c r="D475" s="9"/>
      <c r="E475" s="3"/>
      <c r="F475" s="3"/>
      <c r="G475" s="3"/>
      <c r="H475" s="3"/>
      <c r="I475" s="3"/>
      <c r="J475" s="3"/>
      <c r="K475" s="3"/>
      <c r="L475" s="3"/>
      <c r="N475" s="3"/>
      <c r="P475" s="3"/>
      <c r="Q475" s="3"/>
      <c r="R475" s="3"/>
    </row>
    <row r="476" spans="1:18" ht="19.5" customHeight="1" x14ac:dyDescent="0.25">
      <c r="A476" s="3"/>
      <c r="B476" s="3"/>
      <c r="C476" s="9"/>
      <c r="D476" s="9"/>
      <c r="E476" s="3"/>
      <c r="F476" s="3"/>
      <c r="G476" s="3"/>
      <c r="H476" s="3"/>
      <c r="I476" s="3"/>
      <c r="J476" s="3"/>
      <c r="K476" s="3"/>
      <c r="L476" s="3"/>
      <c r="N476" s="3"/>
      <c r="P476" s="3"/>
      <c r="Q476" s="3"/>
      <c r="R476" s="3"/>
    </row>
    <row r="477" spans="1:18" ht="19.5" customHeight="1" x14ac:dyDescent="0.25">
      <c r="A477" s="3"/>
      <c r="B477" s="3"/>
      <c r="C477" s="9"/>
      <c r="D477" s="9"/>
      <c r="E477" s="3"/>
      <c r="F477" s="3"/>
      <c r="G477" s="3"/>
      <c r="H477" s="3"/>
      <c r="I477" s="3"/>
      <c r="J477" s="3"/>
      <c r="K477" s="3"/>
      <c r="L477" s="3"/>
      <c r="N477" s="3"/>
      <c r="P477" s="3"/>
      <c r="Q477" s="3"/>
      <c r="R477" s="3"/>
    </row>
    <row r="478" spans="1:18" ht="19.5" customHeight="1" x14ac:dyDescent="0.25">
      <c r="A478" s="3"/>
      <c r="B478" s="3"/>
      <c r="C478" s="9"/>
      <c r="D478" s="9"/>
      <c r="E478" s="3"/>
      <c r="F478" s="3"/>
      <c r="G478" s="3"/>
      <c r="H478" s="3"/>
      <c r="I478" s="3"/>
      <c r="J478" s="3"/>
      <c r="K478" s="3"/>
      <c r="L478" s="3"/>
      <c r="N478" s="3"/>
      <c r="P478" s="3"/>
      <c r="Q478" s="3"/>
      <c r="R478" s="3"/>
    </row>
    <row r="479" spans="1:18" ht="19.5" customHeight="1" x14ac:dyDescent="0.25">
      <c r="A479" s="3"/>
      <c r="B479" s="3"/>
      <c r="C479" s="9"/>
      <c r="D479" s="9"/>
      <c r="E479" s="3"/>
      <c r="F479" s="3"/>
      <c r="G479" s="3"/>
      <c r="H479" s="3"/>
      <c r="I479" s="3"/>
      <c r="J479" s="3"/>
      <c r="K479" s="3"/>
      <c r="L479" s="3"/>
      <c r="N479" s="3"/>
      <c r="P479" s="3"/>
      <c r="Q479" s="3"/>
      <c r="R479" s="3"/>
    </row>
    <row r="480" spans="1:18" ht="19.5" customHeight="1" x14ac:dyDescent="0.25">
      <c r="A480" s="3"/>
      <c r="B480" s="3"/>
      <c r="C480" s="9"/>
      <c r="D480" s="9"/>
      <c r="E480" s="3"/>
      <c r="F480" s="3"/>
      <c r="G480" s="3"/>
      <c r="H480" s="3"/>
      <c r="I480" s="3"/>
      <c r="J480" s="3"/>
      <c r="K480" s="3"/>
      <c r="L480" s="3"/>
      <c r="N480" s="3"/>
      <c r="P480" s="3"/>
      <c r="Q480" s="3"/>
      <c r="R480" s="3"/>
    </row>
    <row r="481" spans="1:18" ht="19.5" customHeight="1" x14ac:dyDescent="0.25">
      <c r="A481" s="3"/>
      <c r="B481" s="3"/>
      <c r="C481" s="9"/>
      <c r="D481" s="9"/>
      <c r="E481" s="3"/>
      <c r="F481" s="3"/>
      <c r="G481" s="3"/>
      <c r="H481" s="3"/>
      <c r="I481" s="3"/>
      <c r="J481" s="3"/>
      <c r="K481" s="3"/>
      <c r="L481" s="3"/>
      <c r="N481" s="3"/>
      <c r="P481" s="3"/>
      <c r="Q481" s="3"/>
      <c r="R481" s="3"/>
    </row>
    <row r="482" spans="1:18" ht="19.5" customHeight="1" x14ac:dyDescent="0.25">
      <c r="A482" s="3"/>
      <c r="B482" s="3"/>
      <c r="C482" s="9"/>
      <c r="D482" s="9"/>
      <c r="E482" s="3"/>
      <c r="F482" s="3"/>
      <c r="G482" s="3"/>
      <c r="H482" s="3"/>
      <c r="I482" s="3"/>
      <c r="J482" s="3"/>
      <c r="K482" s="3"/>
      <c r="L482" s="3"/>
      <c r="N482" s="3"/>
      <c r="O482" s="3"/>
      <c r="P482" s="3"/>
      <c r="Q482" s="3"/>
      <c r="R482" s="3"/>
    </row>
    <row r="483" spans="1:18" ht="19.5" customHeight="1" x14ac:dyDescent="0.25">
      <c r="A483" s="3"/>
      <c r="B483" s="3"/>
      <c r="C483" s="9"/>
      <c r="D483" s="9"/>
      <c r="E483" s="3"/>
      <c r="F483" s="3"/>
      <c r="G483" s="3"/>
      <c r="H483" s="3"/>
      <c r="I483" s="3"/>
      <c r="J483" s="3"/>
      <c r="K483" s="3"/>
      <c r="L483" s="3"/>
      <c r="N483" s="3"/>
      <c r="O483" s="3"/>
      <c r="P483" s="3"/>
      <c r="Q483" s="3"/>
      <c r="R483" s="3"/>
    </row>
    <row r="484" spans="1:18" ht="19.5" customHeight="1" x14ac:dyDescent="0.25">
      <c r="A484" s="3"/>
      <c r="B484" s="3"/>
      <c r="C484" s="9"/>
      <c r="D484" s="9"/>
      <c r="E484" s="3"/>
      <c r="F484" s="3"/>
      <c r="G484" s="3"/>
      <c r="H484" s="3"/>
      <c r="I484" s="3"/>
      <c r="J484" s="3"/>
      <c r="K484" s="3"/>
      <c r="L484" s="3"/>
      <c r="N484" s="3"/>
      <c r="O484" s="3"/>
      <c r="P484" s="3"/>
      <c r="Q484" s="3"/>
      <c r="R484" s="3"/>
    </row>
    <row r="485" spans="1:18" ht="19.5" customHeight="1" x14ac:dyDescent="0.25">
      <c r="A485" s="3"/>
      <c r="B485" s="3"/>
      <c r="C485" s="9"/>
      <c r="D485" s="9"/>
      <c r="E485" s="3"/>
      <c r="F485" s="3"/>
      <c r="G485" s="3"/>
      <c r="H485" s="3"/>
      <c r="I485" s="3"/>
      <c r="J485" s="3"/>
      <c r="K485" s="3"/>
      <c r="L485" s="3"/>
      <c r="N485" s="3"/>
      <c r="O485" s="3"/>
      <c r="P485" s="3"/>
      <c r="Q485" s="3"/>
      <c r="R485" s="3"/>
    </row>
    <row r="486" spans="1:18" ht="19.5" customHeight="1" x14ac:dyDescent="0.25">
      <c r="A486" s="3"/>
      <c r="B486" s="3"/>
      <c r="C486" s="9"/>
      <c r="D486" s="9"/>
      <c r="E486" s="3"/>
      <c r="F486" s="3"/>
      <c r="G486" s="3"/>
      <c r="H486" s="3"/>
      <c r="I486" s="3"/>
      <c r="J486" s="3"/>
      <c r="K486" s="3"/>
      <c r="L486" s="3"/>
      <c r="N486" s="3"/>
      <c r="O486" s="3"/>
      <c r="P486" s="3"/>
      <c r="Q486" s="3"/>
      <c r="R486" s="3"/>
    </row>
    <row r="487" spans="1:18" ht="19.5" customHeight="1" x14ac:dyDescent="0.25">
      <c r="A487" s="3"/>
      <c r="B487" s="3"/>
      <c r="C487" s="9"/>
      <c r="D487" s="9"/>
      <c r="E487" s="3"/>
      <c r="F487" s="3"/>
      <c r="G487" s="3"/>
      <c r="H487" s="3"/>
      <c r="I487" s="3"/>
      <c r="J487" s="3"/>
      <c r="K487" s="3"/>
      <c r="L487" s="3"/>
      <c r="N487" s="3"/>
      <c r="O487" s="3"/>
      <c r="P487" s="3"/>
      <c r="Q487" s="3"/>
      <c r="R487" s="3"/>
    </row>
    <row r="488" spans="1:18" ht="19.5" customHeight="1" x14ac:dyDescent="0.25">
      <c r="A488" s="3"/>
      <c r="B488" s="3"/>
      <c r="C488" s="9"/>
      <c r="D488" s="9"/>
      <c r="E488" s="3"/>
      <c r="F488" s="3"/>
      <c r="G488" s="3"/>
      <c r="H488" s="3"/>
      <c r="I488" s="3"/>
      <c r="J488" s="3"/>
      <c r="K488" s="3"/>
      <c r="L488" s="3"/>
      <c r="N488" s="3"/>
      <c r="O488" s="3"/>
      <c r="P488" s="3"/>
      <c r="Q488" s="3"/>
      <c r="R488" s="3"/>
    </row>
    <row r="489" spans="1:18" ht="19.5" customHeight="1" x14ac:dyDescent="0.25">
      <c r="A489" s="3"/>
      <c r="B489" s="3"/>
      <c r="C489" s="9"/>
      <c r="D489" s="9"/>
      <c r="E489" s="3"/>
      <c r="F489" s="3"/>
      <c r="G489" s="3"/>
      <c r="H489" s="3"/>
      <c r="I489" s="3"/>
      <c r="J489" s="3"/>
      <c r="K489" s="3"/>
      <c r="L489" s="3"/>
      <c r="N489" s="3"/>
      <c r="O489" s="3"/>
      <c r="P489" s="3"/>
      <c r="Q489" s="3"/>
      <c r="R489" s="3"/>
    </row>
    <row r="490" spans="1:18" ht="19.5" customHeight="1" x14ac:dyDescent="0.25">
      <c r="A490" s="3"/>
      <c r="B490" s="3"/>
      <c r="C490" s="9"/>
      <c r="D490" s="9"/>
      <c r="E490" s="3"/>
      <c r="F490" s="3"/>
      <c r="G490" s="3"/>
      <c r="H490" s="3"/>
      <c r="I490" s="3"/>
      <c r="J490" s="3"/>
      <c r="K490" s="3"/>
      <c r="L490" s="3"/>
      <c r="N490" s="3"/>
      <c r="O490" s="3"/>
      <c r="P490" s="3"/>
      <c r="Q490" s="3"/>
      <c r="R490" s="3"/>
    </row>
    <row r="491" spans="1:18" ht="19.5" customHeight="1" x14ac:dyDescent="0.25">
      <c r="A491" s="3"/>
      <c r="B491" s="3"/>
      <c r="C491" s="9"/>
      <c r="D491" s="9"/>
      <c r="E491" s="3"/>
      <c r="F491" s="3"/>
      <c r="G491" s="3"/>
      <c r="H491" s="3"/>
      <c r="I491" s="3"/>
      <c r="J491" s="3"/>
      <c r="K491" s="3"/>
      <c r="L491" s="3"/>
      <c r="N491" s="3"/>
      <c r="O491" s="3"/>
      <c r="P491" s="3"/>
      <c r="Q491" s="3"/>
      <c r="R491" s="3"/>
    </row>
    <row r="492" spans="1:18" ht="19.5" customHeight="1" x14ac:dyDescent="0.25">
      <c r="A492" s="3"/>
      <c r="B492" s="3"/>
      <c r="C492" s="9"/>
      <c r="D492" s="9"/>
      <c r="E492" s="3"/>
      <c r="F492" s="3"/>
      <c r="G492" s="3"/>
      <c r="H492" s="3"/>
      <c r="I492" s="3"/>
      <c r="J492" s="3"/>
      <c r="K492" s="3"/>
      <c r="L492" s="3"/>
      <c r="N492" s="3"/>
      <c r="O492" s="3"/>
      <c r="P492" s="3"/>
      <c r="Q492" s="3"/>
      <c r="R492" s="3"/>
    </row>
    <row r="493" spans="1:18" ht="19.5" customHeight="1" x14ac:dyDescent="0.25">
      <c r="A493" s="3"/>
      <c r="B493" s="3"/>
      <c r="C493" s="9"/>
      <c r="D493" s="9"/>
      <c r="E493" s="3"/>
      <c r="F493" s="3"/>
      <c r="G493" s="3"/>
      <c r="H493" s="3"/>
      <c r="I493" s="3"/>
      <c r="J493" s="3"/>
      <c r="K493" s="3"/>
      <c r="L493" s="3"/>
      <c r="N493" s="3"/>
      <c r="O493" s="3"/>
      <c r="P493" s="3"/>
      <c r="Q493" s="3"/>
      <c r="R493" s="3"/>
    </row>
    <row r="494" spans="1:18" ht="19.5" customHeight="1" x14ac:dyDescent="0.25">
      <c r="A494" s="3"/>
      <c r="B494" s="3"/>
      <c r="C494" s="9"/>
      <c r="D494" s="9"/>
      <c r="E494" s="3"/>
      <c r="F494" s="3"/>
      <c r="G494" s="3"/>
      <c r="H494" s="3"/>
      <c r="I494" s="3"/>
      <c r="J494" s="3"/>
      <c r="K494" s="3"/>
      <c r="L494" s="3"/>
      <c r="N494" s="3"/>
      <c r="O494" s="3"/>
      <c r="P494" s="3"/>
      <c r="Q494" s="3"/>
      <c r="R494" s="3"/>
    </row>
    <row r="495" spans="1:18" ht="19.5" customHeight="1" x14ac:dyDescent="0.25">
      <c r="A495" s="3"/>
      <c r="B495" s="3"/>
      <c r="C495" s="9"/>
      <c r="D495" s="9"/>
      <c r="E495" s="3"/>
      <c r="F495" s="3"/>
      <c r="G495" s="3"/>
      <c r="H495" s="3"/>
      <c r="I495" s="3"/>
      <c r="J495" s="3"/>
      <c r="K495" s="3"/>
      <c r="L495" s="3"/>
      <c r="N495" s="3"/>
      <c r="O495" s="3"/>
      <c r="P495" s="3"/>
      <c r="Q495" s="3"/>
      <c r="R495" s="3"/>
    </row>
    <row r="496" spans="1:18" ht="19.5" customHeight="1" x14ac:dyDescent="0.25">
      <c r="A496" s="3"/>
      <c r="B496" s="3"/>
      <c r="C496" s="9"/>
      <c r="D496" s="9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9.5" customHeight="1" x14ac:dyDescent="0.25">
      <c r="A497" s="3"/>
      <c r="B497" s="3"/>
      <c r="C497" s="9"/>
      <c r="D497" s="9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19.5" customHeight="1" x14ac:dyDescent="0.25">
      <c r="A498" s="3"/>
      <c r="B498" s="3"/>
      <c r="C498" s="9"/>
      <c r="D498" s="9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19.5" customHeight="1" x14ac:dyDescent="0.25">
      <c r="A499" s="3"/>
      <c r="B499" s="3"/>
      <c r="C499" s="9"/>
      <c r="D499" s="9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19.5" customHeight="1" x14ac:dyDescent="0.25">
      <c r="A500" s="3"/>
      <c r="B500" s="3"/>
      <c r="C500" s="9"/>
      <c r="D500" s="9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19.5" customHeight="1" x14ac:dyDescent="0.25">
      <c r="A501" s="3"/>
      <c r="B501" s="3"/>
      <c r="C501" s="9"/>
      <c r="D501" s="9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19.5" customHeight="1" x14ac:dyDescent="0.25">
      <c r="A502" s="3"/>
      <c r="B502" s="3"/>
      <c r="C502" s="9"/>
      <c r="D502" s="9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19.5" customHeight="1" x14ac:dyDescent="0.25">
      <c r="A503" s="3"/>
      <c r="B503" s="3"/>
      <c r="C503" s="9"/>
      <c r="D503" s="9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9.5" customHeight="1" x14ac:dyDescent="0.25">
      <c r="A504" s="3"/>
      <c r="B504" s="3"/>
      <c r="C504" s="9"/>
      <c r="D504" s="9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9.5" customHeight="1" x14ac:dyDescent="0.25">
      <c r="A505" s="3"/>
      <c r="B505" s="3"/>
      <c r="C505" s="9"/>
      <c r="D505" s="9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19.5" customHeight="1" x14ac:dyDescent="0.25">
      <c r="A506" s="3"/>
      <c r="B506" s="3"/>
      <c r="C506" s="9"/>
      <c r="D506" s="9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19.5" customHeight="1" x14ac:dyDescent="0.25">
      <c r="A507" s="3"/>
      <c r="B507" s="3"/>
      <c r="C507" s="9"/>
      <c r="D507" s="9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19.5" customHeight="1" x14ac:dyDescent="0.25">
      <c r="A508" s="3"/>
      <c r="B508" s="3"/>
      <c r="C508" s="9"/>
      <c r="D508" s="9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19.5" customHeight="1" x14ac:dyDescent="0.25">
      <c r="A509" s="3"/>
      <c r="B509" s="3"/>
      <c r="C509" s="9"/>
      <c r="D509" s="9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9.5" customHeight="1" x14ac:dyDescent="0.25">
      <c r="A510" s="3"/>
      <c r="B510" s="3"/>
      <c r="C510" s="9"/>
      <c r="D510" s="9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19.5" customHeight="1" x14ac:dyDescent="0.25">
      <c r="A511" s="3"/>
      <c r="B511" s="3"/>
      <c r="C511" s="9"/>
      <c r="D511" s="9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19.5" customHeight="1" x14ac:dyDescent="0.25">
      <c r="A512" s="3"/>
      <c r="B512" s="3"/>
      <c r="C512" s="9"/>
      <c r="D512" s="9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9.5" customHeight="1" x14ac:dyDescent="0.25">
      <c r="A513" s="3"/>
      <c r="B513" s="3"/>
      <c r="C513" s="9"/>
      <c r="D513" s="9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9.5" customHeight="1" x14ac:dyDescent="0.25">
      <c r="A514" s="3"/>
      <c r="B514" s="3"/>
      <c r="C514" s="9"/>
      <c r="D514" s="9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9.5" customHeight="1" x14ac:dyDescent="0.25">
      <c r="A515" s="3"/>
      <c r="B515" s="3"/>
      <c r="C515" s="9"/>
      <c r="D515" s="9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9.5" customHeight="1" x14ac:dyDescent="0.25">
      <c r="A516" s="3"/>
      <c r="B516" s="3"/>
      <c r="C516" s="9"/>
      <c r="D516" s="9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9.5" customHeight="1" x14ac:dyDescent="0.25">
      <c r="A517" s="3"/>
      <c r="B517" s="3"/>
      <c r="C517" s="9"/>
      <c r="D517" s="9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9.5" customHeight="1" x14ac:dyDescent="0.25">
      <c r="A518" s="3"/>
      <c r="B518" s="3"/>
      <c r="C518" s="9"/>
      <c r="D518" s="9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9.5" customHeight="1" x14ac:dyDescent="0.25">
      <c r="A519" s="3"/>
      <c r="B519" s="3"/>
      <c r="C519" s="9"/>
      <c r="D519" s="9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9.5" customHeight="1" x14ac:dyDescent="0.25">
      <c r="A520" s="3"/>
      <c r="B520" s="3"/>
      <c r="C520" s="9"/>
      <c r="D520" s="9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9.5" customHeight="1" x14ac:dyDescent="0.25">
      <c r="A521" s="3"/>
      <c r="B521" s="3"/>
      <c r="C521" s="9"/>
      <c r="D521" s="9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9.5" customHeight="1" x14ac:dyDescent="0.25">
      <c r="A522" s="3"/>
      <c r="B522" s="3"/>
      <c r="C522" s="9"/>
      <c r="D522" s="9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9.5" customHeight="1" x14ac:dyDescent="0.25">
      <c r="A523" s="3"/>
      <c r="B523" s="3"/>
      <c r="C523" s="9"/>
      <c r="D523" s="9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9.5" customHeight="1" x14ac:dyDescent="0.25">
      <c r="A524" s="3"/>
      <c r="B524" s="3"/>
      <c r="C524" s="9"/>
      <c r="D524" s="9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9.5" customHeight="1" x14ac:dyDescent="0.25">
      <c r="A525" s="3"/>
      <c r="B525" s="3"/>
      <c r="C525" s="9"/>
      <c r="D525" s="9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9.5" customHeight="1" x14ac:dyDescent="0.25">
      <c r="A526" s="3"/>
      <c r="B526" s="3"/>
      <c r="C526" s="9"/>
      <c r="D526" s="9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9.5" customHeight="1" x14ac:dyDescent="0.25">
      <c r="A527" s="3"/>
      <c r="B527" s="3"/>
      <c r="C527" s="9"/>
      <c r="D527" s="9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9.5" customHeight="1" x14ac:dyDescent="0.25">
      <c r="A528" s="3"/>
      <c r="B528" s="3"/>
      <c r="C528" s="9"/>
      <c r="D528" s="9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9.5" customHeight="1" x14ac:dyDescent="0.25">
      <c r="A529" s="3"/>
      <c r="B529" s="3"/>
      <c r="C529" s="9"/>
      <c r="D529" s="9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9.5" customHeight="1" x14ac:dyDescent="0.25">
      <c r="A530" s="3"/>
      <c r="B530" s="3"/>
      <c r="C530" s="9"/>
      <c r="D530" s="9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9.5" customHeight="1" x14ac:dyDescent="0.25">
      <c r="A531" s="3"/>
      <c r="B531" s="3"/>
      <c r="C531" s="9"/>
      <c r="D531" s="9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9.5" customHeight="1" x14ac:dyDescent="0.25">
      <c r="A532" s="3"/>
      <c r="B532" s="3"/>
      <c r="C532" s="9"/>
      <c r="D532" s="9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9.5" customHeight="1" x14ac:dyDescent="0.25">
      <c r="A533" s="3"/>
      <c r="B533" s="3"/>
      <c r="C533" s="9"/>
      <c r="D533" s="9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9.5" customHeight="1" x14ac:dyDescent="0.25">
      <c r="A534" s="3"/>
      <c r="B534" s="3"/>
      <c r="C534" s="9"/>
      <c r="D534" s="9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9.5" customHeight="1" x14ac:dyDescent="0.25">
      <c r="A535" s="3"/>
      <c r="B535" s="3"/>
      <c r="C535" s="9"/>
      <c r="D535" s="9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9.5" customHeight="1" x14ac:dyDescent="0.25">
      <c r="A536" s="3"/>
      <c r="B536" s="3"/>
      <c r="C536" s="9"/>
      <c r="D536" s="9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9.5" customHeight="1" x14ac:dyDescent="0.25">
      <c r="A537" s="3"/>
      <c r="B537" s="3"/>
      <c r="C537" s="9"/>
      <c r="D537" s="9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9.5" customHeight="1" x14ac:dyDescent="0.25">
      <c r="A538" s="3"/>
      <c r="B538" s="3"/>
      <c r="C538" s="9"/>
      <c r="D538" s="9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9.5" customHeight="1" x14ac:dyDescent="0.25">
      <c r="A539" s="3"/>
      <c r="B539" s="3"/>
      <c r="C539" s="9"/>
      <c r="D539" s="9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9.5" customHeight="1" x14ac:dyDescent="0.25">
      <c r="A540" s="3"/>
      <c r="B540" s="3"/>
      <c r="C540" s="9"/>
      <c r="D540" s="9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9.5" customHeight="1" x14ac:dyDescent="0.25">
      <c r="A541" s="3"/>
      <c r="B541" s="3"/>
      <c r="C541" s="9"/>
      <c r="D541" s="9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9.5" customHeight="1" x14ac:dyDescent="0.25">
      <c r="A542" s="3"/>
      <c r="B542" s="3"/>
      <c r="C542" s="9"/>
      <c r="D542" s="9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9.5" customHeight="1" x14ac:dyDescent="0.25">
      <c r="A543" s="3"/>
      <c r="B543" s="3"/>
      <c r="C543" s="9"/>
      <c r="D543" s="9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9.5" customHeight="1" x14ac:dyDescent="0.25">
      <c r="A544" s="3"/>
      <c r="B544" s="3"/>
      <c r="C544" s="9"/>
      <c r="D544" s="9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9.5" customHeight="1" x14ac:dyDescent="0.25">
      <c r="A545" s="3"/>
      <c r="B545" s="3"/>
      <c r="C545" s="9"/>
      <c r="D545" s="9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9.5" customHeight="1" x14ac:dyDescent="0.25">
      <c r="A546" s="3"/>
      <c r="B546" s="3"/>
      <c r="C546" s="9"/>
      <c r="D546" s="9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9.5" customHeight="1" x14ac:dyDescent="0.25">
      <c r="A547" s="3"/>
      <c r="B547" s="3"/>
      <c r="C547" s="9"/>
      <c r="D547" s="9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9.5" customHeight="1" x14ac:dyDescent="0.25">
      <c r="A548" s="3"/>
      <c r="B548" s="3"/>
      <c r="C548" s="9"/>
      <c r="D548" s="9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9.5" customHeight="1" x14ac:dyDescent="0.25">
      <c r="A549" s="3"/>
      <c r="B549" s="3"/>
      <c r="C549" s="9"/>
      <c r="D549" s="9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9.5" customHeight="1" x14ac:dyDescent="0.25">
      <c r="A550" s="3"/>
      <c r="B550" s="3"/>
      <c r="C550" s="9"/>
      <c r="D550" s="9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9.5" customHeight="1" x14ac:dyDescent="0.25">
      <c r="A551" s="3"/>
      <c r="B551" s="3"/>
      <c r="C551" s="9"/>
      <c r="D551" s="9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9.5" customHeight="1" x14ac:dyDescent="0.25">
      <c r="A552" s="3"/>
      <c r="B552" s="3"/>
      <c r="C552" s="9"/>
      <c r="D552" s="9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9.5" customHeight="1" x14ac:dyDescent="0.25">
      <c r="A553" s="3"/>
      <c r="B553" s="3"/>
      <c r="C553" s="9"/>
      <c r="D553" s="9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9.5" customHeight="1" x14ac:dyDescent="0.25">
      <c r="A554" s="3"/>
      <c r="B554" s="3"/>
      <c r="C554" s="9"/>
      <c r="D554" s="9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9.5" customHeight="1" x14ac:dyDescent="0.25">
      <c r="A555" s="3"/>
      <c r="B555" s="3"/>
      <c r="C555" s="9"/>
      <c r="D555" s="9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9.5" customHeight="1" x14ac:dyDescent="0.25">
      <c r="A556" s="3"/>
      <c r="B556" s="3"/>
      <c r="C556" s="9"/>
      <c r="D556" s="9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9.5" customHeight="1" x14ac:dyDescent="0.25">
      <c r="A557" s="3"/>
      <c r="B557" s="3"/>
      <c r="C557" s="9"/>
      <c r="D557" s="9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9.5" customHeight="1" x14ac:dyDescent="0.25">
      <c r="A558" s="3"/>
      <c r="B558" s="3"/>
      <c r="C558" s="9"/>
      <c r="D558" s="9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9.5" customHeight="1" x14ac:dyDescent="0.25">
      <c r="A559" s="3"/>
      <c r="B559" s="3"/>
      <c r="C559" s="9"/>
      <c r="D559" s="9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9.5" customHeight="1" x14ac:dyDescent="0.25">
      <c r="A560" s="3"/>
      <c r="B560" s="3"/>
      <c r="C560" s="9"/>
      <c r="D560" s="9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9.5" customHeight="1" x14ac:dyDescent="0.25">
      <c r="A561" s="3"/>
      <c r="B561" s="3"/>
      <c r="C561" s="9"/>
      <c r="D561" s="9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9.5" customHeight="1" x14ac:dyDescent="0.25">
      <c r="A562" s="3"/>
      <c r="B562" s="3"/>
      <c r="C562" s="9"/>
      <c r="D562" s="9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9.5" customHeight="1" x14ac:dyDescent="0.25">
      <c r="A563" s="3"/>
      <c r="B563" s="3"/>
      <c r="C563" s="9"/>
      <c r="D563" s="9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9.5" customHeight="1" x14ac:dyDescent="0.25">
      <c r="A564" s="3"/>
      <c r="B564" s="3"/>
      <c r="C564" s="9"/>
      <c r="D564" s="9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9.5" customHeight="1" x14ac:dyDescent="0.25">
      <c r="A565" s="3"/>
      <c r="B565" s="3"/>
      <c r="C565" s="9"/>
      <c r="D565" s="9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9.5" customHeight="1" x14ac:dyDescent="0.25">
      <c r="A566" s="3"/>
      <c r="B566" s="3"/>
      <c r="C566" s="9"/>
      <c r="D566" s="9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9.5" customHeight="1" x14ac:dyDescent="0.25">
      <c r="A567" s="3"/>
      <c r="B567" s="3"/>
      <c r="C567" s="9"/>
      <c r="D567" s="9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9.5" customHeight="1" x14ac:dyDescent="0.25">
      <c r="A568" s="3"/>
      <c r="B568" s="3"/>
      <c r="C568" s="9"/>
      <c r="D568" s="9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9.5" customHeight="1" x14ac:dyDescent="0.25">
      <c r="A569" s="3"/>
      <c r="B569" s="3"/>
      <c r="C569" s="9"/>
      <c r="D569" s="9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9.5" customHeight="1" x14ac:dyDescent="0.25">
      <c r="A570" s="3"/>
      <c r="B570" s="3"/>
      <c r="C570" s="9"/>
      <c r="D570" s="9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9.5" customHeight="1" x14ac:dyDescent="0.25">
      <c r="A571" s="3"/>
      <c r="B571" s="3"/>
      <c r="C571" s="9"/>
      <c r="D571" s="9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9.5" customHeight="1" x14ac:dyDescent="0.25">
      <c r="A572" s="3"/>
      <c r="B572" s="3"/>
      <c r="C572" s="9"/>
      <c r="D572" s="9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9.5" customHeight="1" x14ac:dyDescent="0.25">
      <c r="A573" s="3"/>
      <c r="B573" s="3"/>
      <c r="C573" s="9"/>
      <c r="D573" s="9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9.5" customHeight="1" x14ac:dyDescent="0.25">
      <c r="A574" s="3"/>
      <c r="B574" s="3"/>
      <c r="C574" s="9"/>
      <c r="D574" s="9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9.5" customHeight="1" x14ac:dyDescent="0.25">
      <c r="A575" s="3"/>
      <c r="B575" s="3"/>
      <c r="C575" s="9"/>
      <c r="D575" s="9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9.5" customHeight="1" x14ac:dyDescent="0.25">
      <c r="A576" s="3"/>
      <c r="B576" s="3"/>
      <c r="C576" s="9"/>
      <c r="D576" s="9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9.5" customHeight="1" x14ac:dyDescent="0.25">
      <c r="A577" s="3"/>
      <c r="B577" s="3"/>
      <c r="C577" s="9"/>
      <c r="D577" s="9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9.5" customHeight="1" x14ac:dyDescent="0.25">
      <c r="A578" s="3"/>
      <c r="B578" s="3"/>
      <c r="C578" s="9"/>
      <c r="D578" s="9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9.5" customHeight="1" x14ac:dyDescent="0.25">
      <c r="A579" s="3"/>
      <c r="B579" s="3"/>
      <c r="C579" s="9"/>
      <c r="D579" s="9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9.5" customHeight="1" x14ac:dyDescent="0.25">
      <c r="A580" s="3"/>
      <c r="B580" s="3"/>
      <c r="C580" s="9"/>
      <c r="D580" s="9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9.5" customHeight="1" x14ac:dyDescent="0.25">
      <c r="A581" s="3"/>
      <c r="B581" s="3"/>
      <c r="C581" s="9"/>
      <c r="D581" s="9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9.5" customHeight="1" x14ac:dyDescent="0.25">
      <c r="A582" s="3"/>
      <c r="B582" s="3"/>
      <c r="C582" s="9"/>
      <c r="D582" s="9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9.5" customHeight="1" x14ac:dyDescent="0.25">
      <c r="A583" s="3"/>
      <c r="B583" s="3"/>
      <c r="C583" s="9"/>
      <c r="D583" s="9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9.5" customHeight="1" x14ac:dyDescent="0.25">
      <c r="A584" s="3"/>
      <c r="B584" s="3"/>
      <c r="C584" s="9"/>
      <c r="D584" s="9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9.5" customHeight="1" x14ac:dyDescent="0.25">
      <c r="A585" s="3"/>
      <c r="B585" s="3"/>
      <c r="C585" s="9"/>
      <c r="D585" s="9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9.5" customHeight="1" x14ac:dyDescent="0.25">
      <c r="A586" s="3"/>
      <c r="B586" s="3"/>
      <c r="C586" s="9"/>
      <c r="D586" s="9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9.5" customHeight="1" x14ac:dyDescent="0.25">
      <c r="A587" s="3"/>
      <c r="B587" s="3"/>
      <c r="C587" s="9"/>
      <c r="D587" s="9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9.5" customHeight="1" x14ac:dyDescent="0.25">
      <c r="A588" s="3"/>
      <c r="B588" s="3"/>
      <c r="C588" s="9"/>
      <c r="D588" s="9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9.5" customHeight="1" x14ac:dyDescent="0.25">
      <c r="A589" s="3"/>
      <c r="B589" s="3"/>
      <c r="C589" s="9"/>
      <c r="D589" s="9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9.5" customHeight="1" x14ac:dyDescent="0.25">
      <c r="A590" s="3"/>
      <c r="B590" s="3"/>
      <c r="C590" s="9"/>
      <c r="D590" s="9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9.5" customHeight="1" x14ac:dyDescent="0.25">
      <c r="A591" s="3"/>
      <c r="B591" s="3"/>
      <c r="C591" s="9"/>
      <c r="D591" s="9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9.5" customHeight="1" x14ac:dyDescent="0.25">
      <c r="A592" s="3"/>
      <c r="B592" s="3"/>
      <c r="C592" s="9"/>
      <c r="D592" s="9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9.5" customHeight="1" x14ac:dyDescent="0.25">
      <c r="A593" s="3"/>
      <c r="B593" s="3"/>
      <c r="C593" s="9"/>
      <c r="D593" s="9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9.5" customHeight="1" x14ac:dyDescent="0.25">
      <c r="A594" s="3"/>
      <c r="B594" s="3"/>
      <c r="C594" s="9"/>
      <c r="D594" s="9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9.5" customHeight="1" x14ac:dyDescent="0.25">
      <c r="A595" s="3"/>
      <c r="B595" s="3"/>
      <c r="C595" s="9"/>
      <c r="D595" s="9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9.5" customHeight="1" x14ac:dyDescent="0.25">
      <c r="A596" s="3"/>
      <c r="B596" s="3"/>
      <c r="C596" s="9"/>
      <c r="D596" s="9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9.5" customHeight="1" x14ac:dyDescent="0.25">
      <c r="A597" s="3"/>
      <c r="B597" s="3"/>
      <c r="C597" s="9"/>
      <c r="D597" s="9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9.5" customHeight="1" x14ac:dyDescent="0.25">
      <c r="A598" s="3"/>
      <c r="B598" s="3"/>
      <c r="C598" s="9"/>
      <c r="D598" s="9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9.5" customHeight="1" x14ac:dyDescent="0.25">
      <c r="A599" s="3"/>
      <c r="B599" s="3"/>
      <c r="C599" s="9"/>
      <c r="D599" s="9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9.5" customHeight="1" x14ac:dyDescent="0.25">
      <c r="A600" s="3"/>
      <c r="B600" s="3"/>
      <c r="C600" s="9"/>
      <c r="D600" s="9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9.5" customHeight="1" x14ac:dyDescent="0.25">
      <c r="A601" s="3"/>
      <c r="B601" s="3"/>
      <c r="C601" s="9"/>
      <c r="D601" s="9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9.5" customHeight="1" x14ac:dyDescent="0.25">
      <c r="A602" s="3"/>
      <c r="B602" s="3"/>
      <c r="C602" s="9"/>
      <c r="D602" s="9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9.5" customHeight="1" x14ac:dyDescent="0.25">
      <c r="A603" s="3"/>
      <c r="B603" s="3"/>
      <c r="C603" s="9"/>
      <c r="D603" s="9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9.5" customHeight="1" x14ac:dyDescent="0.25">
      <c r="A604" s="3"/>
      <c r="B604" s="3"/>
      <c r="C604" s="9"/>
      <c r="D604" s="9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9.5" customHeight="1" x14ac:dyDescent="0.25">
      <c r="A605" s="3"/>
      <c r="B605" s="3"/>
      <c r="C605" s="9"/>
      <c r="D605" s="9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9.5" customHeight="1" x14ac:dyDescent="0.25">
      <c r="A606" s="3"/>
      <c r="B606" s="3"/>
      <c r="C606" s="9"/>
      <c r="D606" s="9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9.5" customHeight="1" x14ac:dyDescent="0.25">
      <c r="A607" s="3"/>
      <c r="B607" s="3"/>
      <c r="C607" s="9"/>
      <c r="D607" s="9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9.5" customHeight="1" x14ac:dyDescent="0.25">
      <c r="A608" s="3"/>
      <c r="B608" s="3"/>
      <c r="C608" s="9"/>
      <c r="D608" s="9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9.5" customHeight="1" x14ac:dyDescent="0.25">
      <c r="A609" s="3"/>
      <c r="B609" s="3"/>
      <c r="C609" s="9"/>
      <c r="D609" s="9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9.5" customHeight="1" x14ac:dyDescent="0.25">
      <c r="A610" s="3"/>
      <c r="B610" s="3"/>
      <c r="C610" s="9"/>
      <c r="D610" s="9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9.5" customHeight="1" x14ac:dyDescent="0.25">
      <c r="A611" s="3"/>
      <c r="B611" s="3"/>
      <c r="C611" s="9"/>
      <c r="D611" s="9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9.5" customHeight="1" x14ac:dyDescent="0.25">
      <c r="A612" s="3"/>
      <c r="B612" s="3"/>
      <c r="C612" s="9"/>
      <c r="D612" s="9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9.5" customHeight="1" x14ac:dyDescent="0.25">
      <c r="A613" s="3"/>
      <c r="B613" s="3"/>
      <c r="C613" s="9"/>
      <c r="D613" s="9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9.5" customHeight="1" x14ac:dyDescent="0.25">
      <c r="A614" s="3"/>
      <c r="B614" s="3"/>
      <c r="C614" s="9"/>
      <c r="D614" s="9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9.5" customHeight="1" x14ac:dyDescent="0.25">
      <c r="A615" s="3"/>
      <c r="B615" s="3"/>
      <c r="C615" s="9"/>
      <c r="D615" s="9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9.5" customHeight="1" x14ac:dyDescent="0.25">
      <c r="A616" s="3"/>
      <c r="B616" s="3"/>
      <c r="C616" s="9"/>
      <c r="D616" s="9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9.5" customHeight="1" x14ac:dyDescent="0.25">
      <c r="A617" s="3"/>
      <c r="B617" s="3"/>
      <c r="C617" s="9"/>
      <c r="D617" s="9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9.5" customHeight="1" x14ac:dyDescent="0.25">
      <c r="A618" s="3"/>
      <c r="B618" s="3"/>
      <c r="C618" s="9"/>
      <c r="D618" s="9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9.5" customHeight="1" x14ac:dyDescent="0.25">
      <c r="A619" s="3"/>
      <c r="B619" s="3"/>
      <c r="C619" s="9"/>
      <c r="D619" s="9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9.5" customHeight="1" x14ac:dyDescent="0.25">
      <c r="A620" s="3"/>
      <c r="B620" s="3"/>
      <c r="C620" s="9"/>
      <c r="D620" s="9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9.5" customHeight="1" x14ac:dyDescent="0.25">
      <c r="A621" s="3"/>
      <c r="B621" s="3"/>
      <c r="C621" s="9"/>
      <c r="D621" s="9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9.5" customHeight="1" x14ac:dyDescent="0.25">
      <c r="A622" s="3"/>
      <c r="B622" s="3"/>
      <c r="C622" s="9"/>
      <c r="D622" s="9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9.5" customHeight="1" x14ac:dyDescent="0.25">
      <c r="A623" s="3"/>
      <c r="B623" s="3"/>
      <c r="C623" s="9"/>
      <c r="D623" s="9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9.5" customHeight="1" x14ac:dyDescent="0.25">
      <c r="A624" s="3"/>
      <c r="B624" s="3"/>
      <c r="C624" s="9"/>
      <c r="D624" s="9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9.5" customHeight="1" x14ac:dyDescent="0.25">
      <c r="A625" s="3"/>
      <c r="B625" s="3"/>
      <c r="C625" s="9"/>
      <c r="D625" s="9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9.5" customHeight="1" x14ac:dyDescent="0.25">
      <c r="A626" s="3"/>
      <c r="B626" s="3"/>
      <c r="C626" s="9"/>
      <c r="D626" s="9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9.5" customHeight="1" x14ac:dyDescent="0.25">
      <c r="A627" s="3"/>
      <c r="B627" s="3"/>
      <c r="C627" s="9"/>
      <c r="D627" s="9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9.5" customHeight="1" x14ac:dyDescent="0.25">
      <c r="A628" s="3"/>
      <c r="B628" s="3"/>
      <c r="C628" s="9"/>
      <c r="D628" s="9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9.5" customHeight="1" x14ac:dyDescent="0.25">
      <c r="A629" s="3"/>
      <c r="B629" s="3"/>
      <c r="C629" s="9"/>
      <c r="D629" s="9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9.5" customHeight="1" x14ac:dyDescent="0.25">
      <c r="A630" s="3"/>
      <c r="B630" s="3"/>
      <c r="C630" s="9"/>
      <c r="D630" s="9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9.5" customHeight="1" x14ac:dyDescent="0.25">
      <c r="A631" s="3"/>
      <c r="B631" s="3"/>
      <c r="C631" s="9"/>
      <c r="D631" s="9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9.5" customHeight="1" x14ac:dyDescent="0.25">
      <c r="A632" s="3"/>
      <c r="B632" s="3"/>
      <c r="C632" s="9"/>
      <c r="D632" s="9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9.5" customHeight="1" x14ac:dyDescent="0.25">
      <c r="A633" s="3"/>
      <c r="B633" s="3"/>
      <c r="C633" s="9"/>
      <c r="D633" s="9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9.5" customHeight="1" x14ac:dyDescent="0.25">
      <c r="A634" s="3"/>
      <c r="B634" s="3"/>
      <c r="C634" s="9"/>
      <c r="D634" s="9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9.5" customHeight="1" x14ac:dyDescent="0.25">
      <c r="A635" s="3"/>
      <c r="B635" s="3"/>
      <c r="C635" s="9"/>
      <c r="D635" s="9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9.5" customHeight="1" x14ac:dyDescent="0.25">
      <c r="A636" s="3"/>
      <c r="B636" s="3"/>
      <c r="C636" s="9"/>
      <c r="D636" s="9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9.5" customHeight="1" x14ac:dyDescent="0.25">
      <c r="A637" s="3"/>
      <c r="B637" s="3"/>
      <c r="C637" s="9"/>
      <c r="D637" s="9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9.5" customHeight="1" x14ac:dyDescent="0.25">
      <c r="A638" s="3"/>
      <c r="B638" s="3"/>
      <c r="C638" s="9"/>
      <c r="D638" s="9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9.5" customHeight="1" x14ac:dyDescent="0.25">
      <c r="A639" s="3"/>
      <c r="B639" s="3"/>
      <c r="C639" s="9"/>
      <c r="D639" s="9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9.5" customHeight="1" x14ac:dyDescent="0.25">
      <c r="A640" s="3"/>
      <c r="B640" s="3"/>
      <c r="C640" s="9"/>
      <c r="D640" s="9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9.5" customHeight="1" x14ac:dyDescent="0.25">
      <c r="A641" s="3"/>
      <c r="B641" s="3"/>
      <c r="C641" s="9"/>
      <c r="D641" s="9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9.5" customHeight="1" x14ac:dyDescent="0.25">
      <c r="A642" s="3"/>
      <c r="B642" s="3"/>
      <c r="C642" s="9"/>
      <c r="D642" s="9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9.5" customHeight="1" x14ac:dyDescent="0.25">
      <c r="A643" s="3"/>
      <c r="B643" s="3"/>
      <c r="C643" s="9"/>
      <c r="D643" s="9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9.5" customHeight="1" x14ac:dyDescent="0.25">
      <c r="A644" s="3"/>
      <c r="B644" s="3"/>
      <c r="C644" s="9"/>
      <c r="D644" s="9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9.5" customHeight="1" x14ac:dyDescent="0.25">
      <c r="A645" s="3"/>
      <c r="B645" s="3"/>
      <c r="C645" s="9"/>
      <c r="D645" s="9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9.5" customHeight="1" x14ac:dyDescent="0.25">
      <c r="A646" s="3"/>
      <c r="B646" s="3"/>
      <c r="C646" s="9"/>
      <c r="D646" s="9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9.5" customHeight="1" x14ac:dyDescent="0.25">
      <c r="A647" s="3"/>
      <c r="B647" s="3"/>
      <c r="C647" s="9"/>
      <c r="D647" s="9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9.5" customHeight="1" x14ac:dyDescent="0.25">
      <c r="A648" s="3"/>
      <c r="B648" s="3"/>
      <c r="C648" s="9"/>
      <c r="D648" s="9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9.5" customHeight="1" x14ac:dyDescent="0.25">
      <c r="A649" s="3"/>
      <c r="B649" s="3"/>
      <c r="C649" s="9"/>
      <c r="D649" s="9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9.5" customHeight="1" x14ac:dyDescent="0.25">
      <c r="A650" s="3"/>
      <c r="B650" s="3"/>
      <c r="C650" s="9"/>
      <c r="D650" s="9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9.5" customHeight="1" x14ac:dyDescent="0.25">
      <c r="A651" s="3"/>
      <c r="B651" s="3"/>
      <c r="C651" s="9"/>
      <c r="D651" s="9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9.5" customHeight="1" x14ac:dyDescent="0.25">
      <c r="A652" s="3"/>
      <c r="B652" s="3"/>
      <c r="C652" s="9"/>
      <c r="D652" s="9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9.5" customHeight="1" x14ac:dyDescent="0.25">
      <c r="A653" s="3"/>
      <c r="B653" s="3"/>
      <c r="C653" s="9"/>
      <c r="D653" s="9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9.5" customHeight="1" x14ac:dyDescent="0.25">
      <c r="A654" s="3"/>
      <c r="B654" s="3"/>
      <c r="C654" s="9"/>
      <c r="D654" s="9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9.5" customHeight="1" x14ac:dyDescent="0.25">
      <c r="A655" s="3"/>
      <c r="B655" s="3"/>
      <c r="C655" s="9"/>
      <c r="D655" s="9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9.5" customHeight="1" x14ac:dyDescent="0.25">
      <c r="A656" s="3"/>
      <c r="B656" s="3"/>
      <c r="C656" s="9"/>
      <c r="D656" s="9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9.5" customHeight="1" x14ac:dyDescent="0.25">
      <c r="A657" s="3"/>
      <c r="B657" s="3"/>
      <c r="C657" s="9"/>
      <c r="D657" s="9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9.5" customHeight="1" x14ac:dyDescent="0.25">
      <c r="A658" s="3"/>
      <c r="B658" s="3"/>
      <c r="C658" s="9"/>
      <c r="D658" s="9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9.5" customHeight="1" x14ac:dyDescent="0.25">
      <c r="A659" s="3"/>
      <c r="B659" s="3"/>
      <c r="C659" s="9"/>
      <c r="D659" s="9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9.5" customHeight="1" x14ac:dyDescent="0.25">
      <c r="A660" s="3"/>
      <c r="B660" s="3"/>
      <c r="C660" s="9"/>
      <c r="D660" s="9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9.5" customHeight="1" x14ac:dyDescent="0.25">
      <c r="A661" s="3"/>
      <c r="B661" s="3"/>
      <c r="C661" s="9"/>
      <c r="D661" s="9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9.5" customHeight="1" x14ac:dyDescent="0.25">
      <c r="A662" s="3"/>
      <c r="B662" s="3"/>
      <c r="C662" s="9"/>
      <c r="D662" s="9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9.5" customHeight="1" x14ac:dyDescent="0.25">
      <c r="A663" s="3"/>
      <c r="B663" s="3"/>
      <c r="C663" s="9"/>
      <c r="D663" s="9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9.5" customHeight="1" x14ac:dyDescent="0.25">
      <c r="A664" s="3"/>
      <c r="B664" s="3"/>
      <c r="C664" s="9"/>
      <c r="D664" s="9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9.5" customHeight="1" x14ac:dyDescent="0.25">
      <c r="A665" s="3"/>
      <c r="B665" s="3"/>
      <c r="C665" s="9"/>
      <c r="D665" s="9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9.5" customHeight="1" x14ac:dyDescent="0.25">
      <c r="A666" s="3"/>
      <c r="B666" s="3"/>
      <c r="C666" s="9"/>
      <c r="D666" s="9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9.5" customHeight="1" x14ac:dyDescent="0.25">
      <c r="A667" s="3"/>
      <c r="B667" s="3"/>
      <c r="C667" s="9"/>
      <c r="D667" s="9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9.5" customHeight="1" x14ac:dyDescent="0.25">
      <c r="A668" s="3"/>
      <c r="B668" s="3"/>
      <c r="C668" s="9"/>
      <c r="D668" s="9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9.5" customHeight="1" x14ac:dyDescent="0.25">
      <c r="A669" s="3"/>
      <c r="B669" s="3"/>
      <c r="C669" s="9"/>
      <c r="D669" s="9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9.5" customHeight="1" x14ac:dyDescent="0.25">
      <c r="A670" s="3"/>
      <c r="B670" s="3"/>
      <c r="C670" s="9"/>
      <c r="D670" s="9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9.5" customHeight="1" x14ac:dyDescent="0.25">
      <c r="A671" s="3"/>
      <c r="B671" s="3"/>
      <c r="C671" s="9"/>
      <c r="D671" s="9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9.5" customHeight="1" x14ac:dyDescent="0.25">
      <c r="A672" s="3"/>
      <c r="B672" s="3"/>
      <c r="C672" s="9"/>
      <c r="D672" s="9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9.5" customHeight="1" x14ac:dyDescent="0.25">
      <c r="A673" s="3"/>
      <c r="B673" s="3"/>
      <c r="C673" s="9"/>
      <c r="D673" s="9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9.5" customHeight="1" x14ac:dyDescent="0.25">
      <c r="A674" s="3"/>
      <c r="B674" s="3"/>
      <c r="C674" s="9"/>
      <c r="D674" s="9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9.5" customHeight="1" x14ac:dyDescent="0.25">
      <c r="A675" s="3"/>
      <c r="B675" s="3"/>
      <c r="C675" s="9"/>
      <c r="D675" s="9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9.5" customHeight="1" x14ac:dyDescent="0.25">
      <c r="A676" s="3"/>
      <c r="B676" s="3"/>
      <c r="C676" s="9"/>
      <c r="D676" s="9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9.5" customHeight="1" x14ac:dyDescent="0.25">
      <c r="A677" s="3"/>
      <c r="B677" s="3"/>
      <c r="C677" s="9"/>
      <c r="D677" s="9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9.5" customHeight="1" x14ac:dyDescent="0.25">
      <c r="A678" s="3"/>
      <c r="B678" s="3"/>
      <c r="C678" s="9"/>
      <c r="D678" s="9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9.5" customHeight="1" x14ac:dyDescent="0.25">
      <c r="A679" s="3"/>
      <c r="B679" s="3"/>
      <c r="C679" s="9"/>
      <c r="D679" s="9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9.5" customHeight="1" x14ac:dyDescent="0.25">
      <c r="A680" s="3"/>
      <c r="B680" s="3"/>
      <c r="C680" s="9"/>
      <c r="D680" s="9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9.5" customHeight="1" x14ac:dyDescent="0.25">
      <c r="A681" s="3"/>
      <c r="B681" s="3"/>
      <c r="C681" s="9"/>
      <c r="D681" s="9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9.5" customHeight="1" x14ac:dyDescent="0.25">
      <c r="A682" s="3"/>
      <c r="B682" s="3"/>
      <c r="C682" s="9"/>
      <c r="D682" s="9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9.5" customHeight="1" x14ac:dyDescent="0.25">
      <c r="A683" s="3"/>
      <c r="B683" s="3"/>
      <c r="C683" s="9"/>
      <c r="D683" s="9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9.5" customHeight="1" x14ac:dyDescent="0.25">
      <c r="A684" s="3"/>
      <c r="B684" s="3"/>
      <c r="C684" s="9"/>
      <c r="D684" s="9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9.5" customHeight="1" x14ac:dyDescent="0.25">
      <c r="A685" s="3"/>
      <c r="B685" s="3"/>
      <c r="C685" s="9"/>
      <c r="D685" s="9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9.5" customHeight="1" x14ac:dyDescent="0.25">
      <c r="A686" s="3"/>
      <c r="B686" s="3"/>
      <c r="C686" s="9"/>
      <c r="D686" s="9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9.5" customHeight="1" x14ac:dyDescent="0.25">
      <c r="A687" s="3"/>
      <c r="B687" s="3"/>
      <c r="C687" s="9"/>
      <c r="D687" s="9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9.5" customHeight="1" x14ac:dyDescent="0.25">
      <c r="A688" s="3"/>
      <c r="B688" s="3"/>
      <c r="C688" s="9"/>
      <c r="D688" s="9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9.5" customHeight="1" x14ac:dyDescent="0.25">
      <c r="A689" s="3"/>
      <c r="B689" s="3"/>
      <c r="C689" s="9"/>
      <c r="D689" s="9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9.5" customHeight="1" x14ac:dyDescent="0.25">
      <c r="A690" s="3"/>
      <c r="B690" s="3"/>
      <c r="C690" s="9"/>
      <c r="D690" s="9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9.5" customHeight="1" x14ac:dyDescent="0.25">
      <c r="A691" s="3"/>
      <c r="B691" s="3"/>
      <c r="C691" s="9"/>
      <c r="D691" s="9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9.5" customHeight="1" x14ac:dyDescent="0.25">
      <c r="A692" s="3"/>
      <c r="B692" s="3"/>
      <c r="C692" s="9"/>
      <c r="D692" s="9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9.5" customHeight="1" x14ac:dyDescent="0.25">
      <c r="A693" s="3"/>
      <c r="B693" s="3"/>
      <c r="C693" s="9"/>
      <c r="D693" s="9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9.5" customHeight="1" x14ac:dyDescent="0.25">
      <c r="A694" s="3"/>
      <c r="B694" s="3"/>
      <c r="C694" s="9"/>
      <c r="D694" s="9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9.5" customHeight="1" x14ac:dyDescent="0.25">
      <c r="A695" s="3"/>
      <c r="B695" s="3"/>
      <c r="C695" s="9"/>
      <c r="D695" s="9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9.5" customHeight="1" x14ac:dyDescent="0.25">
      <c r="A696" s="3"/>
      <c r="B696" s="3"/>
      <c r="C696" s="9"/>
      <c r="D696" s="9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9.5" customHeight="1" x14ac:dyDescent="0.25">
      <c r="A697" s="3"/>
      <c r="B697" s="3"/>
      <c r="C697" s="9"/>
      <c r="D697" s="9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9.5" customHeight="1" x14ac:dyDescent="0.25">
      <c r="A698" s="3"/>
      <c r="B698" s="3"/>
      <c r="C698" s="9"/>
      <c r="D698" s="9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9.5" customHeight="1" x14ac:dyDescent="0.25">
      <c r="A699" s="3"/>
      <c r="B699" s="3"/>
      <c r="C699" s="9"/>
      <c r="D699" s="9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9.5" customHeight="1" x14ac:dyDescent="0.25">
      <c r="A700" s="3"/>
      <c r="B700" s="3"/>
      <c r="C700" s="9"/>
      <c r="D700" s="9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9.5" customHeight="1" x14ac:dyDescent="0.25">
      <c r="A701" s="3"/>
      <c r="B701" s="3"/>
      <c r="C701" s="9"/>
      <c r="D701" s="9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9.5" customHeight="1" x14ac:dyDescent="0.25">
      <c r="A702" s="3"/>
      <c r="B702" s="3"/>
      <c r="C702" s="9"/>
      <c r="D702" s="9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9.5" customHeight="1" x14ac:dyDescent="0.25">
      <c r="A703" s="3"/>
      <c r="B703" s="3"/>
      <c r="C703" s="9"/>
      <c r="D703" s="9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9.5" customHeight="1" x14ac:dyDescent="0.25">
      <c r="A704" s="3"/>
      <c r="B704" s="3"/>
      <c r="C704" s="9"/>
      <c r="D704" s="9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9.5" customHeight="1" x14ac:dyDescent="0.25">
      <c r="A705" s="3"/>
      <c r="B705" s="3"/>
      <c r="C705" s="9"/>
      <c r="D705" s="9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9.5" customHeight="1" x14ac:dyDescent="0.25">
      <c r="A706" s="3"/>
      <c r="B706" s="3"/>
      <c r="C706" s="9"/>
      <c r="D706" s="9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9.5" customHeight="1" x14ac:dyDescent="0.25">
      <c r="A707" s="3"/>
      <c r="B707" s="3"/>
      <c r="C707" s="9"/>
      <c r="D707" s="9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9.5" customHeight="1" x14ac:dyDescent="0.25">
      <c r="A708" s="3"/>
      <c r="B708" s="3"/>
      <c r="C708" s="9"/>
      <c r="D708" s="9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9.5" customHeight="1" x14ac:dyDescent="0.25">
      <c r="A709" s="3"/>
      <c r="B709" s="3"/>
      <c r="C709" s="9"/>
      <c r="D709" s="9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9.5" customHeight="1" x14ac:dyDescent="0.25">
      <c r="A710" s="3"/>
      <c r="B710" s="3"/>
      <c r="C710" s="9"/>
      <c r="D710" s="9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9.5" customHeight="1" x14ac:dyDescent="0.25">
      <c r="A711" s="3"/>
      <c r="B711" s="3"/>
      <c r="C711" s="9"/>
      <c r="D711" s="9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9.5" customHeight="1" x14ac:dyDescent="0.25">
      <c r="A712" s="3"/>
      <c r="B712" s="3"/>
      <c r="C712" s="9"/>
      <c r="D712" s="9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9.5" customHeight="1" x14ac:dyDescent="0.25">
      <c r="A713" s="3"/>
      <c r="B713" s="3"/>
      <c r="C713" s="9"/>
      <c r="D713" s="9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9.5" customHeight="1" x14ac:dyDescent="0.25">
      <c r="A714" s="3"/>
      <c r="B714" s="3"/>
      <c r="C714" s="9"/>
      <c r="D714" s="9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9.5" customHeight="1" x14ac:dyDescent="0.25">
      <c r="A715" s="3"/>
      <c r="B715" s="3"/>
      <c r="C715" s="9"/>
      <c r="D715" s="9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9.5" customHeight="1" x14ac:dyDescent="0.25">
      <c r="A716" s="3"/>
      <c r="B716" s="3"/>
      <c r="C716" s="9"/>
      <c r="D716" s="9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9.5" customHeight="1" x14ac:dyDescent="0.25">
      <c r="A717" s="3"/>
      <c r="B717" s="3"/>
      <c r="C717" s="9"/>
      <c r="D717" s="9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9.5" customHeight="1" x14ac:dyDescent="0.25">
      <c r="A718" s="3"/>
      <c r="B718" s="3"/>
      <c r="C718" s="9"/>
      <c r="D718" s="9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9.5" customHeight="1" x14ac:dyDescent="0.25">
      <c r="A719" s="3"/>
      <c r="B719" s="3"/>
      <c r="C719" s="9"/>
      <c r="D719" s="9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9.5" customHeight="1" x14ac:dyDescent="0.25">
      <c r="A720" s="3"/>
      <c r="B720" s="3"/>
      <c r="C720" s="9"/>
      <c r="D720" s="9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9.5" customHeight="1" x14ac:dyDescent="0.25">
      <c r="A721" s="3"/>
      <c r="B721" s="3"/>
      <c r="C721" s="9"/>
      <c r="D721" s="9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9.5" customHeight="1" x14ac:dyDescent="0.25">
      <c r="A722" s="3"/>
      <c r="B722" s="3"/>
      <c r="C722" s="9"/>
      <c r="D722" s="9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9.5" customHeight="1" x14ac:dyDescent="0.25">
      <c r="A723" s="3"/>
      <c r="B723" s="3"/>
      <c r="C723" s="9"/>
      <c r="D723" s="9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9.5" customHeight="1" x14ac:dyDescent="0.25">
      <c r="A724" s="3"/>
      <c r="B724" s="3"/>
      <c r="C724" s="9"/>
      <c r="D724" s="9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9.5" customHeight="1" x14ac:dyDescent="0.25">
      <c r="A725" s="3"/>
      <c r="B725" s="3"/>
      <c r="C725" s="9"/>
      <c r="D725" s="9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9.5" customHeight="1" x14ac:dyDescent="0.25">
      <c r="A726" s="3"/>
      <c r="B726" s="3"/>
      <c r="C726" s="9"/>
      <c r="D726" s="9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9.5" customHeight="1" x14ac:dyDescent="0.25">
      <c r="A727" s="3"/>
      <c r="B727" s="3"/>
      <c r="C727" s="9"/>
      <c r="D727" s="9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9.5" customHeight="1" x14ac:dyDescent="0.25">
      <c r="A728" s="3"/>
      <c r="B728" s="3"/>
      <c r="C728" s="9"/>
      <c r="D728" s="9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9.5" customHeight="1" x14ac:dyDescent="0.25">
      <c r="A729" s="3"/>
      <c r="B729" s="3"/>
      <c r="C729" s="9"/>
      <c r="D729" s="9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9.5" customHeight="1" x14ac:dyDescent="0.25">
      <c r="A730" s="3"/>
      <c r="B730" s="3"/>
      <c r="C730" s="9"/>
      <c r="D730" s="9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9.5" customHeight="1" x14ac:dyDescent="0.25">
      <c r="A731" s="3"/>
      <c r="B731" s="3"/>
      <c r="C731" s="9"/>
      <c r="D731" s="9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19.5" customHeight="1" x14ac:dyDescent="0.25">
      <c r="A732" s="3"/>
      <c r="B732" s="3"/>
      <c r="C732" s="9"/>
      <c r="D732" s="9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9.5" customHeight="1" x14ac:dyDescent="0.25">
      <c r="A733" s="3"/>
      <c r="B733" s="3"/>
      <c r="C733" s="9"/>
      <c r="D733" s="9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19.5" customHeight="1" x14ac:dyDescent="0.25">
      <c r="A734" s="3"/>
      <c r="B734" s="3"/>
      <c r="C734" s="9"/>
      <c r="D734" s="9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19.5" customHeight="1" x14ac:dyDescent="0.25">
      <c r="A735" s="3"/>
      <c r="B735" s="3"/>
      <c r="C735" s="9"/>
      <c r="D735" s="9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9.5" customHeight="1" x14ac:dyDescent="0.25">
      <c r="A736" s="3"/>
      <c r="B736" s="3"/>
      <c r="C736" s="9"/>
      <c r="D736" s="9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9.5" customHeight="1" x14ac:dyDescent="0.25">
      <c r="A737" s="3"/>
      <c r="B737" s="3"/>
      <c r="C737" s="9"/>
      <c r="D737" s="9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19.5" customHeight="1" x14ac:dyDescent="0.25">
      <c r="A738" s="3"/>
      <c r="B738" s="3"/>
      <c r="C738" s="9"/>
      <c r="D738" s="9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19.5" customHeight="1" x14ac:dyDescent="0.25">
      <c r="A739" s="3"/>
      <c r="B739" s="3"/>
      <c r="C739" s="9"/>
      <c r="D739" s="9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9.5" customHeight="1" x14ac:dyDescent="0.25">
      <c r="A740" s="3"/>
      <c r="B740" s="3"/>
      <c r="C740" s="9"/>
      <c r="D740" s="9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19.5" customHeight="1" x14ac:dyDescent="0.25">
      <c r="A741" s="3"/>
      <c r="B741" s="3"/>
      <c r="C741" s="9"/>
      <c r="D741" s="9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19.5" customHeight="1" x14ac:dyDescent="0.25">
      <c r="A742" s="3"/>
      <c r="B742" s="3"/>
      <c r="C742" s="9"/>
      <c r="D742" s="9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19.5" customHeight="1" x14ac:dyDescent="0.25">
      <c r="A743" s="3"/>
      <c r="B743" s="3"/>
      <c r="C743" s="9"/>
      <c r="D743" s="9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19.5" customHeight="1" x14ac:dyDescent="0.25">
      <c r="A744" s="3"/>
      <c r="B744" s="3"/>
      <c r="C744" s="9"/>
      <c r="D744" s="9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19.5" customHeight="1" x14ac:dyDescent="0.25">
      <c r="A745" s="3"/>
      <c r="B745" s="3"/>
      <c r="C745" s="9"/>
      <c r="D745" s="9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19.5" customHeight="1" x14ac:dyDescent="0.25">
      <c r="A746" s="3"/>
      <c r="B746" s="3"/>
      <c r="C746" s="9"/>
      <c r="D746" s="9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9.5" customHeight="1" x14ac:dyDescent="0.25">
      <c r="A747" s="3"/>
      <c r="B747" s="3"/>
      <c r="C747" s="9"/>
      <c r="D747" s="9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9.5" customHeight="1" x14ac:dyDescent="0.25">
      <c r="A748" s="3"/>
      <c r="B748" s="3"/>
      <c r="C748" s="9"/>
      <c r="D748" s="9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19.5" customHeight="1" x14ac:dyDescent="0.25">
      <c r="A749" s="3"/>
      <c r="B749" s="3"/>
      <c r="C749" s="9"/>
      <c r="D749" s="9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19.5" customHeight="1" x14ac:dyDescent="0.25">
      <c r="A750" s="3"/>
      <c r="B750" s="3"/>
      <c r="C750" s="9"/>
      <c r="D750" s="9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19.5" customHeight="1" x14ac:dyDescent="0.25">
      <c r="A751" s="3"/>
      <c r="B751" s="3"/>
      <c r="C751" s="9"/>
      <c r="D751" s="9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19.5" customHeight="1" x14ac:dyDescent="0.25">
      <c r="A752" s="3"/>
      <c r="B752" s="3"/>
      <c r="C752" s="9"/>
      <c r="D752" s="9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9.5" customHeight="1" x14ac:dyDescent="0.25">
      <c r="A753" s="3"/>
      <c r="B753" s="3"/>
      <c r="C753" s="9"/>
      <c r="D753" s="9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19.5" customHeight="1" x14ac:dyDescent="0.25">
      <c r="A754" s="3"/>
      <c r="B754" s="3"/>
      <c r="C754" s="9"/>
      <c r="D754" s="9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19.5" customHeight="1" x14ac:dyDescent="0.25">
      <c r="A755" s="3"/>
      <c r="B755" s="3"/>
      <c r="C755" s="9"/>
      <c r="D755" s="9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19.5" customHeight="1" x14ac:dyDescent="0.25">
      <c r="A756" s="3"/>
      <c r="B756" s="3"/>
      <c r="C756" s="9"/>
      <c r="D756" s="9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9.5" customHeight="1" x14ac:dyDescent="0.25">
      <c r="A757" s="3"/>
      <c r="B757" s="3"/>
      <c r="C757" s="9"/>
      <c r="D757" s="9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19.5" customHeight="1" x14ac:dyDescent="0.25">
      <c r="A758" s="3"/>
      <c r="B758" s="3"/>
      <c r="C758" s="9"/>
      <c r="D758" s="9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19.5" customHeight="1" x14ac:dyDescent="0.25">
      <c r="A759" s="3"/>
      <c r="B759" s="3"/>
      <c r="C759" s="9"/>
      <c r="D759" s="9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19.5" customHeight="1" x14ac:dyDescent="0.25">
      <c r="A760" s="3"/>
      <c r="B760" s="3"/>
      <c r="C760" s="9"/>
      <c r="D760" s="9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9.5" customHeight="1" x14ac:dyDescent="0.25">
      <c r="A761" s="3"/>
      <c r="B761" s="3"/>
      <c r="C761" s="9"/>
      <c r="D761" s="9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19.5" customHeight="1" x14ac:dyDescent="0.25">
      <c r="A762" s="3"/>
      <c r="B762" s="3"/>
      <c r="C762" s="9"/>
      <c r="D762" s="9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9.5" customHeight="1" x14ac:dyDescent="0.25">
      <c r="A763" s="3"/>
      <c r="B763" s="3"/>
      <c r="C763" s="9"/>
      <c r="D763" s="9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19.5" customHeight="1" x14ac:dyDescent="0.25">
      <c r="A764" s="3"/>
      <c r="B764" s="3"/>
      <c r="C764" s="9"/>
      <c r="D764" s="9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19.5" customHeight="1" x14ac:dyDescent="0.25">
      <c r="A765" s="3"/>
      <c r="B765" s="3"/>
      <c r="C765" s="9"/>
      <c r="D765" s="9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19.5" customHeight="1" x14ac:dyDescent="0.25">
      <c r="A766" s="3"/>
      <c r="B766" s="3"/>
      <c r="C766" s="9"/>
      <c r="D766" s="9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19.5" customHeight="1" x14ac:dyDescent="0.25">
      <c r="A767" s="3"/>
      <c r="B767" s="3"/>
      <c r="C767" s="9"/>
      <c r="D767" s="9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9.5" customHeight="1" x14ac:dyDescent="0.25">
      <c r="A768" s="3"/>
      <c r="B768" s="3"/>
      <c r="C768" s="9"/>
      <c r="D768" s="9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9.5" customHeight="1" x14ac:dyDescent="0.25">
      <c r="A769" s="3"/>
      <c r="B769" s="3"/>
      <c r="C769" s="9"/>
      <c r="D769" s="9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19.5" customHeight="1" x14ac:dyDescent="0.25">
      <c r="A770" s="3"/>
      <c r="B770" s="3"/>
      <c r="C770" s="9"/>
      <c r="D770" s="9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19.5" customHeight="1" x14ac:dyDescent="0.25">
      <c r="A771" s="3"/>
      <c r="B771" s="3"/>
      <c r="C771" s="9"/>
      <c r="D771" s="9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19.5" customHeight="1" x14ac:dyDescent="0.25">
      <c r="A772" s="3"/>
      <c r="B772" s="3"/>
      <c r="C772" s="9"/>
      <c r="D772" s="9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19.5" customHeight="1" x14ac:dyDescent="0.25">
      <c r="A773" s="3"/>
      <c r="B773" s="3"/>
      <c r="C773" s="9"/>
      <c r="D773" s="9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19.5" customHeight="1" x14ac:dyDescent="0.25">
      <c r="A774" s="3"/>
      <c r="B774" s="3"/>
      <c r="C774" s="9"/>
      <c r="D774" s="9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19.5" customHeight="1" x14ac:dyDescent="0.25">
      <c r="A775" s="3"/>
      <c r="B775" s="3"/>
      <c r="C775" s="9"/>
      <c r="D775" s="9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19.5" customHeight="1" x14ac:dyDescent="0.25">
      <c r="A776" s="3"/>
      <c r="B776" s="3"/>
      <c r="C776" s="9"/>
      <c r="D776" s="9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19.5" customHeight="1" x14ac:dyDescent="0.25">
      <c r="A777" s="3"/>
      <c r="B777" s="3"/>
      <c r="C777" s="9"/>
      <c r="D777" s="9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19.5" customHeight="1" x14ac:dyDescent="0.25">
      <c r="A778" s="3"/>
      <c r="B778" s="3"/>
      <c r="C778" s="9"/>
      <c r="D778" s="9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19.5" customHeight="1" x14ac:dyDescent="0.25">
      <c r="A779" s="3"/>
      <c r="B779" s="3"/>
      <c r="C779" s="9"/>
      <c r="D779" s="9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19.5" customHeight="1" x14ac:dyDescent="0.25">
      <c r="A780" s="3"/>
      <c r="B780" s="3"/>
      <c r="C780" s="9"/>
      <c r="D780" s="9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19.5" customHeight="1" x14ac:dyDescent="0.25">
      <c r="A781" s="3"/>
      <c r="B781" s="3"/>
      <c r="C781" s="9"/>
      <c r="D781" s="9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19.5" customHeight="1" x14ac:dyDescent="0.25">
      <c r="A782" s="3"/>
      <c r="B782" s="3"/>
      <c r="C782" s="9"/>
      <c r="D782" s="9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19.5" customHeight="1" x14ac:dyDescent="0.25">
      <c r="A783" s="3"/>
      <c r="B783" s="3"/>
      <c r="C783" s="9"/>
      <c r="D783" s="9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19.5" customHeight="1" x14ac:dyDescent="0.25">
      <c r="A784" s="3"/>
      <c r="B784" s="3"/>
      <c r="C784" s="9"/>
      <c r="D784" s="9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19.5" customHeight="1" x14ac:dyDescent="0.25">
      <c r="A785" s="3"/>
      <c r="B785" s="3"/>
      <c r="C785" s="9"/>
      <c r="D785" s="9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19.5" customHeight="1" x14ac:dyDescent="0.25">
      <c r="A786" s="3"/>
      <c r="B786" s="3"/>
      <c r="C786" s="9"/>
      <c r="D786" s="9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19.5" customHeight="1" x14ac:dyDescent="0.25">
      <c r="A787" s="3"/>
      <c r="B787" s="3"/>
      <c r="C787" s="9"/>
      <c r="D787" s="9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19.5" customHeight="1" x14ac:dyDescent="0.25">
      <c r="A788" s="3"/>
      <c r="B788" s="3"/>
      <c r="C788" s="9"/>
      <c r="D788" s="9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19.5" customHeight="1" x14ac:dyDescent="0.25">
      <c r="A789" s="3"/>
      <c r="B789" s="3"/>
      <c r="C789" s="9"/>
      <c r="D789" s="9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9.5" customHeight="1" x14ac:dyDescent="0.25">
      <c r="A790" s="3"/>
      <c r="B790" s="3"/>
      <c r="C790" s="9"/>
      <c r="D790" s="9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19.5" customHeight="1" x14ac:dyDescent="0.25">
      <c r="A791" s="3"/>
      <c r="B791" s="3"/>
      <c r="C791" s="9"/>
      <c r="D791" s="9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19.5" customHeight="1" x14ac:dyDescent="0.25">
      <c r="A792" s="3"/>
      <c r="B792" s="3"/>
      <c r="C792" s="9"/>
      <c r="D792" s="9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19.5" customHeight="1" x14ac:dyDescent="0.25">
      <c r="A793" s="3"/>
      <c r="B793" s="3"/>
      <c r="C793" s="9"/>
      <c r="D793" s="9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19.5" customHeight="1" x14ac:dyDescent="0.25">
      <c r="A794" s="3"/>
      <c r="B794" s="3"/>
      <c r="C794" s="9"/>
      <c r="D794" s="9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19.5" customHeight="1" x14ac:dyDescent="0.25">
      <c r="A795" s="3"/>
      <c r="B795" s="3"/>
      <c r="C795" s="9"/>
      <c r="D795" s="9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19.5" customHeight="1" x14ac:dyDescent="0.25">
      <c r="A796" s="3"/>
      <c r="B796" s="3"/>
      <c r="C796" s="9"/>
      <c r="D796" s="9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19.5" customHeight="1" x14ac:dyDescent="0.25">
      <c r="A797" s="3"/>
      <c r="B797" s="3"/>
      <c r="C797" s="9"/>
      <c r="D797" s="9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19.5" customHeight="1" x14ac:dyDescent="0.25">
      <c r="A798" s="3"/>
      <c r="B798" s="3"/>
      <c r="C798" s="9"/>
      <c r="D798" s="9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19.5" customHeight="1" x14ac:dyDescent="0.25">
      <c r="A799" s="3"/>
      <c r="B799" s="3"/>
      <c r="C799" s="9"/>
      <c r="D799" s="9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19.5" customHeight="1" x14ac:dyDescent="0.25">
      <c r="A800" s="3"/>
      <c r="B800" s="3"/>
      <c r="C800" s="9"/>
      <c r="D800" s="9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19.5" customHeight="1" x14ac:dyDescent="0.25">
      <c r="A801" s="3"/>
      <c r="B801" s="3"/>
      <c r="C801" s="9"/>
      <c r="D801" s="9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19.5" customHeight="1" x14ac:dyDescent="0.25">
      <c r="A802" s="3"/>
      <c r="B802" s="3"/>
      <c r="C802" s="9"/>
      <c r="D802" s="9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9.5" customHeight="1" x14ac:dyDescent="0.25">
      <c r="A803" s="3"/>
      <c r="B803" s="3"/>
      <c r="C803" s="9"/>
      <c r="D803" s="9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19.5" customHeight="1" x14ac:dyDescent="0.25">
      <c r="A804" s="3"/>
      <c r="B804" s="3"/>
      <c r="C804" s="9"/>
      <c r="D804" s="9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19.5" customHeight="1" x14ac:dyDescent="0.25">
      <c r="A805" s="3"/>
      <c r="B805" s="3"/>
      <c r="C805" s="9"/>
      <c r="D805" s="9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19.5" customHeight="1" x14ac:dyDescent="0.25">
      <c r="A806" s="3"/>
      <c r="B806" s="3"/>
      <c r="C806" s="9"/>
      <c r="D806" s="9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19.5" customHeight="1" x14ac:dyDescent="0.25">
      <c r="A807" s="3"/>
      <c r="B807" s="3"/>
      <c r="C807" s="9"/>
      <c r="D807" s="9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19.5" customHeight="1" x14ac:dyDescent="0.25">
      <c r="A808" s="3"/>
      <c r="B808" s="3"/>
      <c r="C808" s="9"/>
      <c r="D808" s="9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19.5" customHeight="1" x14ac:dyDescent="0.25">
      <c r="A809" s="3"/>
      <c r="B809" s="3"/>
      <c r="C809" s="9"/>
      <c r="D809" s="9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19.5" customHeight="1" x14ac:dyDescent="0.25">
      <c r="A810" s="3"/>
      <c r="B810" s="3"/>
      <c r="C810" s="9"/>
      <c r="D810" s="9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19.5" customHeight="1" x14ac:dyDescent="0.25">
      <c r="A811" s="3"/>
      <c r="B811" s="3"/>
      <c r="C811" s="9"/>
      <c r="D811" s="9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19.5" customHeight="1" x14ac:dyDescent="0.25">
      <c r="A812" s="3"/>
      <c r="B812" s="3"/>
      <c r="C812" s="9"/>
      <c r="D812" s="9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19.5" customHeight="1" x14ac:dyDescent="0.25">
      <c r="A813" s="3"/>
      <c r="B813" s="3"/>
      <c r="C813" s="9"/>
      <c r="D813" s="9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19.5" customHeight="1" x14ac:dyDescent="0.25">
      <c r="A814" s="3"/>
      <c r="B814" s="3"/>
      <c r="C814" s="9"/>
      <c r="D814" s="9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19.5" customHeight="1" x14ac:dyDescent="0.25">
      <c r="A815" s="3"/>
      <c r="B815" s="3"/>
      <c r="C815" s="9"/>
      <c r="D815" s="9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9.5" customHeight="1" x14ac:dyDescent="0.25">
      <c r="A816" s="3"/>
      <c r="B816" s="3"/>
      <c r="C816" s="9"/>
      <c r="D816" s="9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19.5" customHeight="1" x14ac:dyDescent="0.25">
      <c r="A817" s="3"/>
      <c r="B817" s="3"/>
      <c r="C817" s="9"/>
      <c r="D817" s="9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19.5" customHeight="1" x14ac:dyDescent="0.25">
      <c r="A818" s="3"/>
      <c r="B818" s="3"/>
      <c r="C818" s="9"/>
      <c r="D818" s="9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19.5" customHeight="1" x14ac:dyDescent="0.25">
      <c r="A819" s="3"/>
      <c r="B819" s="3"/>
      <c r="C819" s="9"/>
      <c r="D819" s="9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19.5" customHeight="1" x14ac:dyDescent="0.25">
      <c r="A820" s="3"/>
      <c r="B820" s="3"/>
      <c r="C820" s="9"/>
      <c r="D820" s="9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19.5" customHeight="1" x14ac:dyDescent="0.25">
      <c r="A821" s="3"/>
      <c r="B821" s="3"/>
      <c r="C821" s="9"/>
      <c r="D821" s="9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19.5" customHeight="1" x14ac:dyDescent="0.25">
      <c r="A822" s="3"/>
      <c r="B822" s="3"/>
      <c r="C822" s="9"/>
      <c r="D822" s="9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9.5" customHeight="1" x14ac:dyDescent="0.25">
      <c r="A823" s="3"/>
      <c r="B823" s="3"/>
      <c r="C823" s="9"/>
      <c r="D823" s="9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9.5" customHeight="1" x14ac:dyDescent="0.25">
      <c r="A824" s="3"/>
      <c r="B824" s="3"/>
      <c r="C824" s="9"/>
      <c r="D824" s="9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19.5" customHeight="1" x14ac:dyDescent="0.25">
      <c r="A825" s="3"/>
      <c r="B825" s="3"/>
      <c r="C825" s="9"/>
      <c r="D825" s="9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19.5" customHeight="1" x14ac:dyDescent="0.25">
      <c r="A826" s="3"/>
      <c r="B826" s="3"/>
      <c r="C826" s="9"/>
      <c r="D826" s="9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19.5" customHeight="1" x14ac:dyDescent="0.25">
      <c r="A827" s="3"/>
      <c r="B827" s="3"/>
      <c r="C827" s="9"/>
      <c r="D827" s="9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19.5" customHeight="1" x14ac:dyDescent="0.25">
      <c r="A828" s="3"/>
      <c r="B828" s="3"/>
      <c r="C828" s="9"/>
      <c r="D828" s="9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9.5" customHeight="1" x14ac:dyDescent="0.25">
      <c r="A829" s="3"/>
      <c r="B829" s="3"/>
      <c r="C829" s="9"/>
      <c r="D829" s="9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19.5" customHeight="1" x14ac:dyDescent="0.25">
      <c r="A830" s="3"/>
      <c r="B830" s="3"/>
      <c r="C830" s="9"/>
      <c r="D830" s="9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19.5" customHeight="1" x14ac:dyDescent="0.25">
      <c r="A831" s="3"/>
      <c r="B831" s="3"/>
      <c r="C831" s="9"/>
      <c r="D831" s="9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19.5" customHeight="1" x14ac:dyDescent="0.25">
      <c r="A832" s="3"/>
      <c r="B832" s="3"/>
      <c r="C832" s="9"/>
      <c r="D832" s="9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19.5" customHeight="1" x14ac:dyDescent="0.25">
      <c r="A833" s="3"/>
      <c r="B833" s="3"/>
      <c r="C833" s="9"/>
      <c r="D833" s="9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19.5" customHeight="1" x14ac:dyDescent="0.25">
      <c r="A834" s="3"/>
      <c r="B834" s="3"/>
      <c r="C834" s="9"/>
      <c r="D834" s="9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19.5" customHeight="1" x14ac:dyDescent="0.25">
      <c r="A835" s="3"/>
      <c r="B835" s="3"/>
      <c r="C835" s="9"/>
      <c r="D835" s="9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19.5" customHeight="1" x14ac:dyDescent="0.25">
      <c r="A836" s="3"/>
      <c r="B836" s="3"/>
      <c r="C836" s="9"/>
      <c r="D836" s="9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9.5" customHeight="1" x14ac:dyDescent="0.25">
      <c r="A837" s="3"/>
      <c r="B837" s="3"/>
      <c r="C837" s="9"/>
      <c r="D837" s="9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19.5" customHeight="1" x14ac:dyDescent="0.25">
      <c r="A838" s="3"/>
      <c r="B838" s="3"/>
      <c r="C838" s="9"/>
      <c r="D838" s="9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19.5" customHeight="1" x14ac:dyDescent="0.25">
      <c r="A839" s="3"/>
      <c r="B839" s="3"/>
      <c r="C839" s="9"/>
      <c r="D839" s="9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19.5" customHeight="1" x14ac:dyDescent="0.25">
      <c r="A840" s="3"/>
      <c r="B840" s="3"/>
      <c r="C840" s="9"/>
      <c r="D840" s="9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19.5" customHeight="1" x14ac:dyDescent="0.25">
      <c r="A841" s="3"/>
      <c r="B841" s="3"/>
      <c r="C841" s="9"/>
      <c r="D841" s="9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19.5" customHeight="1" x14ac:dyDescent="0.25">
      <c r="A842" s="3"/>
      <c r="B842" s="3"/>
      <c r="C842" s="9"/>
      <c r="D842" s="9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19.5" customHeight="1" x14ac:dyDescent="0.25">
      <c r="A843" s="3"/>
      <c r="B843" s="3"/>
      <c r="C843" s="9"/>
      <c r="D843" s="9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9.5" customHeight="1" x14ac:dyDescent="0.25">
      <c r="A844" s="3"/>
      <c r="B844" s="3"/>
      <c r="C844" s="9"/>
      <c r="D844" s="9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9.5" customHeight="1" x14ac:dyDescent="0.25">
      <c r="A845" s="3"/>
      <c r="B845" s="3"/>
      <c r="C845" s="9"/>
      <c r="D845" s="9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19.5" customHeight="1" x14ac:dyDescent="0.25">
      <c r="A846" s="3"/>
      <c r="B846" s="3"/>
      <c r="C846" s="9"/>
      <c r="D846" s="9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19.5" customHeight="1" x14ac:dyDescent="0.25">
      <c r="A847" s="3"/>
      <c r="B847" s="3"/>
      <c r="C847" s="9"/>
      <c r="D847" s="9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19.5" customHeight="1" x14ac:dyDescent="0.25">
      <c r="A848" s="3"/>
      <c r="B848" s="3"/>
      <c r="C848" s="9"/>
      <c r="D848" s="9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9.5" customHeight="1" x14ac:dyDescent="0.25">
      <c r="A849" s="3"/>
      <c r="B849" s="3"/>
      <c r="C849" s="9"/>
      <c r="D849" s="9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9.5" customHeight="1" x14ac:dyDescent="0.25">
      <c r="A850" s="3"/>
      <c r="B850" s="3"/>
      <c r="C850" s="9"/>
      <c r="D850" s="9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19.5" customHeight="1" x14ac:dyDescent="0.25">
      <c r="A851" s="3"/>
      <c r="B851" s="3"/>
      <c r="C851" s="9"/>
      <c r="D851" s="9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19.5" customHeight="1" x14ac:dyDescent="0.25">
      <c r="A852" s="3"/>
      <c r="B852" s="3"/>
      <c r="C852" s="9"/>
      <c r="D852" s="9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19.5" customHeight="1" x14ac:dyDescent="0.25">
      <c r="A853" s="3"/>
      <c r="B853" s="3"/>
      <c r="C853" s="9"/>
      <c r="D853" s="9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19.5" customHeight="1" x14ac:dyDescent="0.25">
      <c r="A854" s="3"/>
      <c r="B854" s="3"/>
      <c r="C854" s="9"/>
      <c r="D854" s="9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19.5" customHeight="1" x14ac:dyDescent="0.25">
      <c r="A855" s="3"/>
      <c r="B855" s="3"/>
      <c r="C855" s="9"/>
      <c r="D855" s="9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19.5" customHeight="1" x14ac:dyDescent="0.25">
      <c r="A856" s="3"/>
      <c r="B856" s="3"/>
      <c r="C856" s="9"/>
      <c r="D856" s="9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19.5" customHeight="1" x14ac:dyDescent="0.25">
      <c r="A857" s="3"/>
      <c r="B857" s="3"/>
      <c r="C857" s="9"/>
      <c r="D857" s="9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19.5" customHeight="1" x14ac:dyDescent="0.25">
      <c r="A858" s="3"/>
      <c r="B858" s="3"/>
      <c r="C858" s="9"/>
      <c r="D858" s="9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19.5" customHeight="1" x14ac:dyDescent="0.25">
      <c r="A859" s="3"/>
      <c r="B859" s="3"/>
      <c r="C859" s="9"/>
      <c r="D859" s="9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19.5" customHeight="1" x14ac:dyDescent="0.25">
      <c r="A860" s="3"/>
      <c r="B860" s="3"/>
      <c r="C860" s="9"/>
      <c r="D860" s="9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19.5" customHeight="1" x14ac:dyDescent="0.25">
      <c r="A861" s="3"/>
      <c r="B861" s="3"/>
      <c r="C861" s="9"/>
      <c r="D861" s="9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19.5" customHeight="1" x14ac:dyDescent="0.25">
      <c r="A862" s="3"/>
      <c r="B862" s="3"/>
      <c r="C862" s="9"/>
      <c r="D862" s="9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19.5" customHeight="1" x14ac:dyDescent="0.25">
      <c r="A863" s="3"/>
      <c r="B863" s="3"/>
      <c r="C863" s="9"/>
      <c r="D863" s="9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19.5" customHeight="1" x14ac:dyDescent="0.25">
      <c r="A864" s="3"/>
      <c r="B864" s="3"/>
      <c r="C864" s="9"/>
      <c r="D864" s="9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19.5" customHeight="1" x14ac:dyDescent="0.25">
      <c r="A865" s="3"/>
      <c r="B865" s="3"/>
      <c r="C865" s="9"/>
      <c r="D865" s="9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19.5" customHeight="1" x14ac:dyDescent="0.25">
      <c r="A866" s="3"/>
      <c r="B866" s="3"/>
      <c r="C866" s="9"/>
      <c r="D866" s="9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19.5" customHeight="1" x14ac:dyDescent="0.25">
      <c r="A867" s="3"/>
      <c r="B867" s="3"/>
      <c r="C867" s="9"/>
      <c r="D867" s="9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19.5" customHeight="1" x14ac:dyDescent="0.25">
      <c r="A868" s="3"/>
      <c r="B868" s="3"/>
      <c r="C868" s="9"/>
      <c r="D868" s="9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19.5" customHeight="1" x14ac:dyDescent="0.25">
      <c r="A869" s="3"/>
      <c r="B869" s="3"/>
      <c r="C869" s="9"/>
      <c r="D869" s="9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19.5" customHeight="1" x14ac:dyDescent="0.25">
      <c r="A870" s="3"/>
      <c r="B870" s="3"/>
      <c r="C870" s="9"/>
      <c r="D870" s="9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19.5" customHeight="1" x14ac:dyDescent="0.25">
      <c r="A871" s="3"/>
      <c r="B871" s="3"/>
      <c r="C871" s="9"/>
      <c r="D871" s="9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19.5" customHeight="1" x14ac:dyDescent="0.25">
      <c r="A872" s="3"/>
      <c r="B872" s="3"/>
      <c r="C872" s="9"/>
      <c r="D872" s="9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19.5" customHeight="1" x14ac:dyDescent="0.25">
      <c r="A873" s="3"/>
      <c r="B873" s="3"/>
      <c r="C873" s="9"/>
      <c r="D873" s="9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19.5" customHeight="1" x14ac:dyDescent="0.25">
      <c r="A874" s="3"/>
      <c r="B874" s="3"/>
      <c r="C874" s="9"/>
      <c r="D874" s="9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19.5" customHeight="1" x14ac:dyDescent="0.25">
      <c r="A875" s="3"/>
      <c r="B875" s="3"/>
      <c r="C875" s="9"/>
      <c r="D875" s="9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19.5" customHeight="1" x14ac:dyDescent="0.25">
      <c r="A876" s="3"/>
      <c r="B876" s="3"/>
      <c r="C876" s="9"/>
      <c r="D876" s="9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19.5" customHeight="1" x14ac:dyDescent="0.25">
      <c r="A877" s="3"/>
      <c r="B877" s="3"/>
      <c r="C877" s="9"/>
      <c r="D877" s="9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19.5" customHeight="1" x14ac:dyDescent="0.25">
      <c r="A878" s="3"/>
      <c r="B878" s="3"/>
      <c r="C878" s="9"/>
      <c r="D878" s="9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9.5" customHeight="1" x14ac:dyDescent="0.25">
      <c r="A879" s="3"/>
      <c r="B879" s="3"/>
      <c r="C879" s="9"/>
      <c r="D879" s="9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19.5" customHeight="1" x14ac:dyDescent="0.25">
      <c r="A880" s="3"/>
      <c r="B880" s="3"/>
      <c r="C880" s="9"/>
      <c r="D880" s="9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19.5" customHeight="1" x14ac:dyDescent="0.25">
      <c r="A881" s="3"/>
      <c r="B881" s="3"/>
      <c r="C881" s="9"/>
      <c r="D881" s="9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19.5" customHeight="1" x14ac:dyDescent="0.25">
      <c r="A882" s="3"/>
      <c r="B882" s="3"/>
      <c r="C882" s="9"/>
      <c r="D882" s="9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19.5" customHeight="1" x14ac:dyDescent="0.25">
      <c r="A883" s="3"/>
      <c r="B883" s="3"/>
      <c r="C883" s="9"/>
      <c r="D883" s="9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19.5" customHeight="1" x14ac:dyDescent="0.25">
      <c r="A884" s="3"/>
      <c r="B884" s="3"/>
      <c r="C884" s="9"/>
      <c r="D884" s="9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19.5" customHeight="1" x14ac:dyDescent="0.25">
      <c r="A885" s="3"/>
      <c r="B885" s="3"/>
      <c r="C885" s="9"/>
      <c r="D885" s="9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9.5" customHeight="1" x14ac:dyDescent="0.25">
      <c r="A886" s="3"/>
      <c r="B886" s="3"/>
      <c r="C886" s="9"/>
      <c r="D886" s="9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19.5" customHeight="1" x14ac:dyDescent="0.25">
      <c r="A887" s="3"/>
      <c r="B887" s="3"/>
      <c r="C887" s="9"/>
      <c r="D887" s="9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19.5" customHeight="1" x14ac:dyDescent="0.25">
      <c r="A888" s="3"/>
      <c r="B888" s="3"/>
      <c r="C888" s="9"/>
      <c r="D888" s="9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19.5" customHeight="1" x14ac:dyDescent="0.25">
      <c r="A889" s="3"/>
      <c r="B889" s="3"/>
      <c r="C889" s="9"/>
      <c r="D889" s="9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19.5" customHeight="1" x14ac:dyDescent="0.25">
      <c r="A890" s="3"/>
      <c r="B890" s="3"/>
      <c r="C890" s="9"/>
      <c r="D890" s="9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19.5" customHeight="1" x14ac:dyDescent="0.25">
      <c r="A891" s="3"/>
      <c r="B891" s="3"/>
      <c r="C891" s="9"/>
      <c r="D891" s="9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9.5" customHeight="1" x14ac:dyDescent="0.25">
      <c r="A892" s="3"/>
      <c r="B892" s="3"/>
      <c r="C892" s="9"/>
      <c r="D892" s="9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19.5" customHeight="1" x14ac:dyDescent="0.25">
      <c r="A893" s="3"/>
      <c r="B893" s="3"/>
      <c r="C893" s="9"/>
      <c r="D893" s="9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19.5" customHeight="1" x14ac:dyDescent="0.25">
      <c r="A894" s="3"/>
      <c r="B894" s="3"/>
      <c r="C894" s="9"/>
      <c r="D894" s="9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19.5" customHeight="1" x14ac:dyDescent="0.25">
      <c r="A895" s="3"/>
      <c r="B895" s="3"/>
      <c r="C895" s="9"/>
      <c r="D895" s="9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19.5" customHeight="1" x14ac:dyDescent="0.25">
      <c r="A896" s="3"/>
      <c r="B896" s="3"/>
      <c r="C896" s="9"/>
      <c r="D896" s="9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19.5" customHeight="1" x14ac:dyDescent="0.25">
      <c r="A897" s="3"/>
      <c r="B897" s="3"/>
      <c r="C897" s="9"/>
      <c r="D897" s="9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19.5" customHeight="1" x14ac:dyDescent="0.25">
      <c r="A898" s="3"/>
      <c r="B898" s="3"/>
      <c r="C898" s="9"/>
      <c r="D898" s="9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19.5" customHeight="1" x14ac:dyDescent="0.25">
      <c r="A899" s="3"/>
      <c r="B899" s="3"/>
      <c r="C899" s="9"/>
      <c r="D899" s="9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19.5" customHeight="1" x14ac:dyDescent="0.25">
      <c r="A900" s="3"/>
      <c r="B900" s="3"/>
      <c r="C900" s="9"/>
      <c r="D900" s="9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19.5" customHeight="1" x14ac:dyDescent="0.25">
      <c r="A901" s="3"/>
      <c r="B901" s="3"/>
      <c r="C901" s="9"/>
      <c r="D901" s="9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19.5" customHeight="1" x14ac:dyDescent="0.25">
      <c r="A902" s="3"/>
      <c r="B902" s="3"/>
      <c r="C902" s="9"/>
      <c r="D902" s="9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19.5" customHeight="1" x14ac:dyDescent="0.25">
      <c r="A903" s="3"/>
      <c r="B903" s="3"/>
      <c r="C903" s="9"/>
      <c r="D903" s="9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19.5" customHeight="1" x14ac:dyDescent="0.25">
      <c r="A904" s="3"/>
      <c r="B904" s="3"/>
      <c r="C904" s="9"/>
      <c r="D904" s="9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9.5" customHeight="1" x14ac:dyDescent="0.25">
      <c r="A905" s="3"/>
      <c r="B905" s="3"/>
      <c r="C905" s="9"/>
      <c r="D905" s="9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9.5" customHeight="1" x14ac:dyDescent="0.25">
      <c r="A906" s="3"/>
      <c r="B906" s="3"/>
      <c r="C906" s="9"/>
      <c r="D906" s="9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19.5" customHeight="1" x14ac:dyDescent="0.25">
      <c r="A907" s="3"/>
      <c r="B907" s="3"/>
      <c r="C907" s="9"/>
      <c r="D907" s="9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9.5" customHeight="1" x14ac:dyDescent="0.25">
      <c r="A908" s="3"/>
      <c r="B908" s="3"/>
      <c r="C908" s="9"/>
      <c r="D908" s="9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19.5" customHeight="1" x14ac:dyDescent="0.25">
      <c r="A909" s="3"/>
      <c r="B909" s="3"/>
      <c r="C909" s="9"/>
      <c r="D909" s="9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19.5" customHeight="1" x14ac:dyDescent="0.25">
      <c r="A910" s="3"/>
      <c r="B910" s="3"/>
      <c r="C910" s="9"/>
      <c r="D910" s="9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19.5" customHeight="1" x14ac:dyDescent="0.25">
      <c r="A911" s="3"/>
      <c r="B911" s="3"/>
      <c r="C911" s="9"/>
      <c r="D911" s="9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19.5" customHeight="1" x14ac:dyDescent="0.25">
      <c r="A912" s="3"/>
      <c r="B912" s="3"/>
      <c r="C912" s="9"/>
      <c r="D912" s="9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19.5" customHeight="1" x14ac:dyDescent="0.25">
      <c r="A913" s="3"/>
      <c r="B913" s="3"/>
      <c r="C913" s="9"/>
      <c r="D913" s="9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19.5" customHeight="1" x14ac:dyDescent="0.25">
      <c r="A914" s="3"/>
      <c r="B914" s="3"/>
      <c r="C914" s="9"/>
      <c r="D914" s="9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19.5" customHeight="1" x14ac:dyDescent="0.25">
      <c r="A915" s="3"/>
      <c r="B915" s="3"/>
      <c r="C915" s="9"/>
      <c r="D915" s="9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9.5" customHeight="1" x14ac:dyDescent="0.25">
      <c r="A916" s="3"/>
      <c r="B916" s="3"/>
      <c r="C916" s="9"/>
      <c r="D916" s="9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19.5" customHeight="1" x14ac:dyDescent="0.25">
      <c r="A917" s="3"/>
      <c r="B917" s="3"/>
      <c r="C917" s="9"/>
      <c r="D917" s="9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19.5" customHeight="1" x14ac:dyDescent="0.25">
      <c r="A918" s="3"/>
      <c r="B918" s="3"/>
      <c r="C918" s="9"/>
      <c r="D918" s="9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9.5" customHeight="1" x14ac:dyDescent="0.25">
      <c r="A919" s="3"/>
      <c r="B919" s="3"/>
      <c r="C919" s="9"/>
      <c r="D919" s="9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19.5" customHeight="1" x14ac:dyDescent="0.25">
      <c r="A920" s="3"/>
      <c r="B920" s="3"/>
      <c r="C920" s="9"/>
      <c r="D920" s="9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19.5" customHeight="1" x14ac:dyDescent="0.25">
      <c r="A921" s="3"/>
      <c r="B921" s="3"/>
      <c r="C921" s="9"/>
      <c r="D921" s="9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19.5" customHeight="1" x14ac:dyDescent="0.25">
      <c r="A922" s="3"/>
      <c r="B922" s="3"/>
      <c r="C922" s="9"/>
      <c r="D922" s="9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19.5" customHeight="1" x14ac:dyDescent="0.25">
      <c r="A923" s="3"/>
      <c r="B923" s="3"/>
      <c r="C923" s="9"/>
      <c r="D923" s="9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19.5" customHeight="1" x14ac:dyDescent="0.25">
      <c r="A924" s="3"/>
      <c r="B924" s="3"/>
      <c r="C924" s="9"/>
      <c r="D924" s="9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19.5" customHeight="1" x14ac:dyDescent="0.25">
      <c r="A925" s="3"/>
      <c r="B925" s="3"/>
      <c r="C925" s="9"/>
      <c r="D925" s="9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9.5" customHeight="1" x14ac:dyDescent="0.25">
      <c r="A926" s="3"/>
      <c r="B926" s="3"/>
      <c r="C926" s="9"/>
      <c r="D926" s="9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9.5" customHeight="1" x14ac:dyDescent="0.25">
      <c r="A927" s="3"/>
      <c r="B927" s="3"/>
      <c r="C927" s="9"/>
      <c r="D927" s="9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19.5" customHeight="1" x14ac:dyDescent="0.25">
      <c r="A928" s="3"/>
      <c r="B928" s="3"/>
      <c r="C928" s="9"/>
      <c r="D928" s="9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19.5" customHeight="1" x14ac:dyDescent="0.25">
      <c r="A929" s="3"/>
      <c r="B929" s="3"/>
      <c r="C929" s="9"/>
      <c r="D929" s="9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19.5" customHeight="1" x14ac:dyDescent="0.25">
      <c r="A930" s="3"/>
      <c r="B930" s="3"/>
      <c r="C930" s="9"/>
      <c r="D930" s="9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19.5" customHeight="1" x14ac:dyDescent="0.25">
      <c r="A931" s="3"/>
      <c r="B931" s="3"/>
      <c r="C931" s="9"/>
      <c r="D931" s="9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19.5" customHeight="1" x14ac:dyDescent="0.25">
      <c r="A932" s="3"/>
      <c r="B932" s="3"/>
      <c r="C932" s="9"/>
      <c r="D932" s="9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19.5" customHeight="1" x14ac:dyDescent="0.25">
      <c r="A933" s="3"/>
      <c r="B933" s="3"/>
      <c r="C933" s="9"/>
      <c r="D933" s="9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19.5" customHeight="1" x14ac:dyDescent="0.25">
      <c r="A934" s="3"/>
      <c r="B934" s="3"/>
      <c r="C934" s="9"/>
      <c r="D934" s="9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19.5" customHeight="1" x14ac:dyDescent="0.25">
      <c r="A935" s="3"/>
      <c r="B935" s="3"/>
      <c r="C935" s="9"/>
      <c r="D935" s="9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19.5" customHeight="1" x14ac:dyDescent="0.25">
      <c r="A936" s="3"/>
      <c r="B936" s="3"/>
      <c r="C936" s="9"/>
      <c r="D936" s="9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19.5" customHeight="1" x14ac:dyDescent="0.25">
      <c r="A937" s="3"/>
      <c r="B937" s="3"/>
      <c r="C937" s="9"/>
      <c r="D937" s="9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19.5" customHeight="1" x14ac:dyDescent="0.25">
      <c r="A938" s="3"/>
      <c r="B938" s="3"/>
      <c r="C938" s="9"/>
      <c r="D938" s="9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19.5" customHeight="1" x14ac:dyDescent="0.25">
      <c r="A939" s="3"/>
      <c r="B939" s="3"/>
      <c r="C939" s="9"/>
      <c r="D939" s="9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19.5" customHeight="1" x14ac:dyDescent="0.25">
      <c r="A940" s="3"/>
      <c r="B940" s="3"/>
      <c r="C940" s="9"/>
      <c r="D940" s="9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19.5" customHeight="1" x14ac:dyDescent="0.25">
      <c r="A941" s="3"/>
      <c r="B941" s="3"/>
      <c r="C941" s="9"/>
      <c r="D941" s="9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19.5" customHeight="1" x14ac:dyDescent="0.25">
      <c r="A942" s="3"/>
      <c r="B942" s="3"/>
      <c r="C942" s="9"/>
      <c r="D942" s="9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19.5" customHeight="1" x14ac:dyDescent="0.25">
      <c r="A943" s="3"/>
      <c r="B943" s="3"/>
      <c r="C943" s="9"/>
      <c r="D943" s="9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19.5" customHeight="1" x14ac:dyDescent="0.25">
      <c r="A944" s="3"/>
      <c r="B944" s="3"/>
      <c r="C944" s="9"/>
      <c r="D944" s="9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19.5" customHeight="1" x14ac:dyDescent="0.25">
      <c r="A945" s="3"/>
      <c r="B945" s="3"/>
      <c r="C945" s="9"/>
      <c r="D945" s="9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19.5" customHeight="1" x14ac:dyDescent="0.25">
      <c r="A946" s="3"/>
      <c r="B946" s="3"/>
      <c r="C946" s="9"/>
      <c r="D946" s="9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19.5" customHeight="1" x14ac:dyDescent="0.25">
      <c r="A947" s="3"/>
      <c r="B947" s="3"/>
      <c r="C947" s="9"/>
      <c r="D947" s="9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19.5" customHeight="1" x14ac:dyDescent="0.25">
      <c r="A948" s="3"/>
      <c r="B948" s="3"/>
      <c r="C948" s="9"/>
      <c r="D948" s="9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19.5" customHeight="1" x14ac:dyDescent="0.25">
      <c r="A949" s="3"/>
      <c r="B949" s="3"/>
      <c r="C949" s="9"/>
      <c r="D949" s="9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19.5" customHeight="1" x14ac:dyDescent="0.25">
      <c r="A950" s="3"/>
      <c r="B950" s="3"/>
      <c r="C950" s="9"/>
      <c r="D950" s="9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19.5" customHeight="1" x14ac:dyDescent="0.25">
      <c r="A951" s="3"/>
      <c r="B951" s="3"/>
      <c r="C951" s="9"/>
      <c r="D951" s="9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19.5" customHeight="1" x14ac:dyDescent="0.25">
      <c r="A952" s="3"/>
      <c r="B952" s="3"/>
      <c r="C952" s="9"/>
      <c r="D952" s="9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19.5" customHeight="1" x14ac:dyDescent="0.25">
      <c r="A953" s="3"/>
      <c r="B953" s="3"/>
      <c r="C953" s="9"/>
      <c r="D953" s="9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19.5" customHeight="1" x14ac:dyDescent="0.25">
      <c r="A954" s="3"/>
      <c r="B954" s="3"/>
      <c r="C954" s="9"/>
      <c r="D954" s="9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19.5" customHeight="1" x14ac:dyDescent="0.25">
      <c r="A955" s="3"/>
      <c r="B955" s="3"/>
      <c r="C955" s="9"/>
      <c r="D955" s="9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19.5" customHeight="1" x14ac:dyDescent="0.25">
      <c r="A956" s="3"/>
      <c r="B956" s="3"/>
      <c r="C956" s="9"/>
      <c r="D956" s="9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19.5" customHeight="1" x14ac:dyDescent="0.25">
      <c r="A957" s="3"/>
      <c r="B957" s="3"/>
      <c r="C957" s="9"/>
      <c r="D957" s="9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19.5" customHeight="1" x14ac:dyDescent="0.25">
      <c r="A958" s="3"/>
      <c r="B958" s="3"/>
      <c r="C958" s="9"/>
      <c r="D958" s="9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19.5" customHeight="1" x14ac:dyDescent="0.25">
      <c r="A959" s="3"/>
      <c r="B959" s="3"/>
      <c r="C959" s="9"/>
      <c r="D959" s="9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19.5" customHeight="1" x14ac:dyDescent="0.25">
      <c r="A960" s="3"/>
      <c r="B960" s="3"/>
      <c r="C960" s="9"/>
      <c r="D960" s="9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19.5" customHeight="1" x14ac:dyDescent="0.25">
      <c r="A961" s="3"/>
      <c r="B961" s="3"/>
      <c r="C961" s="9"/>
      <c r="D961" s="9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19.5" customHeight="1" x14ac:dyDescent="0.25">
      <c r="A962" s="3"/>
      <c r="B962" s="3"/>
      <c r="C962" s="9"/>
      <c r="D962" s="9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19.5" customHeight="1" x14ac:dyDescent="0.25">
      <c r="A963" s="3"/>
      <c r="B963" s="3"/>
      <c r="C963" s="9"/>
      <c r="D963" s="9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19.5" customHeight="1" x14ac:dyDescent="0.25">
      <c r="A964" s="3"/>
      <c r="B964" s="3"/>
      <c r="C964" s="9"/>
      <c r="D964" s="9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19.5" customHeight="1" x14ac:dyDescent="0.25">
      <c r="A965" s="3"/>
      <c r="B965" s="3"/>
      <c r="C965" s="9"/>
      <c r="D965" s="9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19.5" customHeight="1" x14ac:dyDescent="0.25">
      <c r="A966" s="3"/>
      <c r="B966" s="3"/>
      <c r="C966" s="9"/>
      <c r="D966" s="9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19.5" customHeight="1" x14ac:dyDescent="0.25">
      <c r="A967" s="3"/>
      <c r="B967" s="3"/>
      <c r="C967" s="9"/>
      <c r="D967" s="9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19.5" customHeight="1" x14ac:dyDescent="0.25">
      <c r="A968" s="3"/>
      <c r="B968" s="3"/>
      <c r="C968" s="9"/>
      <c r="D968" s="9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19.5" customHeight="1" x14ac:dyDescent="0.25">
      <c r="A969" s="3"/>
      <c r="B969" s="3"/>
      <c r="C969" s="9"/>
      <c r="D969" s="9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19.5" customHeight="1" x14ac:dyDescent="0.25">
      <c r="A970" s="3"/>
      <c r="B970" s="3"/>
      <c r="C970" s="9"/>
      <c r="D970" s="9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19.5" customHeight="1" x14ac:dyDescent="0.25">
      <c r="A971" s="3"/>
      <c r="B971" s="3"/>
      <c r="C971" s="9"/>
      <c r="D971" s="9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19.5" customHeight="1" x14ac:dyDescent="0.25">
      <c r="A972" s="3"/>
      <c r="B972" s="3"/>
      <c r="C972" s="9"/>
      <c r="D972" s="9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19.5" customHeight="1" x14ac:dyDescent="0.25">
      <c r="A973" s="3"/>
      <c r="B973" s="3"/>
      <c r="C973" s="9"/>
      <c r="D973" s="9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19.5" customHeight="1" x14ac:dyDescent="0.25">
      <c r="A974" s="3"/>
      <c r="B974" s="3"/>
      <c r="C974" s="9"/>
      <c r="D974" s="9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19.5" customHeight="1" x14ac:dyDescent="0.25">
      <c r="A975" s="3"/>
      <c r="B975" s="3"/>
      <c r="C975" s="9"/>
      <c r="D975" s="9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19.5" customHeight="1" x14ac:dyDescent="0.25">
      <c r="A976" s="3"/>
      <c r="B976" s="3"/>
      <c r="C976" s="9"/>
      <c r="D976" s="9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19.5" customHeight="1" x14ac:dyDescent="0.25">
      <c r="A977" s="3"/>
      <c r="B977" s="3"/>
      <c r="C977" s="9"/>
      <c r="D977" s="9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19.5" customHeight="1" x14ac:dyDescent="0.25">
      <c r="A978" s="3"/>
      <c r="B978" s="3"/>
      <c r="C978" s="9"/>
      <c r="D978" s="9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19.5" customHeight="1" x14ac:dyDescent="0.25">
      <c r="A979" s="3"/>
      <c r="B979" s="3"/>
      <c r="C979" s="9"/>
      <c r="D979" s="9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19.5" customHeight="1" x14ac:dyDescent="0.25">
      <c r="A980" s="3"/>
      <c r="B980" s="3"/>
      <c r="C980" s="9"/>
      <c r="D980" s="9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19.5" customHeight="1" x14ac:dyDescent="0.25">
      <c r="A981" s="3"/>
      <c r="B981" s="3"/>
      <c r="C981" s="9"/>
      <c r="D981" s="9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19.5" customHeight="1" x14ac:dyDescent="0.25">
      <c r="A982" s="3"/>
      <c r="B982" s="3"/>
      <c r="C982" s="9"/>
      <c r="D982" s="9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19.5" customHeight="1" x14ac:dyDescent="0.25">
      <c r="A983" s="3"/>
      <c r="B983" s="3"/>
      <c r="C983" s="9"/>
      <c r="D983" s="9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19.5" customHeight="1" x14ac:dyDescent="0.25">
      <c r="A984" s="3"/>
      <c r="B984" s="3"/>
      <c r="C984" s="9"/>
      <c r="D984" s="9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19.5" customHeight="1" x14ac:dyDescent="0.25">
      <c r="A985" s="3"/>
      <c r="B985" s="3"/>
      <c r="C985" s="9"/>
      <c r="D985" s="9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19.5" customHeight="1" x14ac:dyDescent="0.25">
      <c r="A986" s="3"/>
      <c r="B986" s="3"/>
      <c r="C986" s="9"/>
      <c r="D986" s="9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19.5" customHeight="1" x14ac:dyDescent="0.25">
      <c r="A987" s="3"/>
      <c r="B987" s="3"/>
      <c r="C987" s="9"/>
      <c r="D987" s="9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19.5" customHeight="1" x14ac:dyDescent="0.25">
      <c r="A988" s="3"/>
      <c r="B988" s="3"/>
      <c r="C988" s="9"/>
      <c r="D988" s="9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19.5" customHeight="1" x14ac:dyDescent="0.25">
      <c r="A989" s="3"/>
      <c r="B989" s="3"/>
      <c r="C989" s="9"/>
      <c r="D989" s="9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19.5" customHeight="1" x14ac:dyDescent="0.25">
      <c r="A990" s="3"/>
      <c r="B990" s="3"/>
      <c r="C990" s="9"/>
      <c r="D990" s="9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19.5" customHeight="1" x14ac:dyDescent="0.25">
      <c r="A991" s="3"/>
      <c r="B991" s="3"/>
      <c r="C991" s="9"/>
      <c r="D991" s="9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19.5" customHeight="1" x14ac:dyDescent="0.25">
      <c r="A992" s="3"/>
      <c r="B992" s="3"/>
      <c r="C992" s="9"/>
      <c r="D992" s="9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19.5" customHeight="1" x14ac:dyDescent="0.25">
      <c r="A993" s="3"/>
      <c r="B993" s="3"/>
      <c r="C993" s="9"/>
      <c r="D993" s="9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19.5" customHeight="1" x14ac:dyDescent="0.25">
      <c r="A994" s="3"/>
      <c r="B994" s="3"/>
      <c r="C994" s="9"/>
      <c r="D994" s="9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19.5" customHeight="1" x14ac:dyDescent="0.25">
      <c r="A995" s="3"/>
      <c r="B995" s="3"/>
      <c r="C995" s="9"/>
      <c r="D995" s="9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19.5" customHeight="1" x14ac:dyDescent="0.25">
      <c r="A996" s="3"/>
      <c r="B996" s="3"/>
      <c r="C996" s="9"/>
      <c r="D996" s="9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19.5" customHeight="1" x14ac:dyDescent="0.25">
      <c r="A997" s="3"/>
      <c r="B997" s="3"/>
      <c r="C997" s="9"/>
      <c r="D997" s="9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ht="19.5" customHeight="1" x14ac:dyDescent="0.25">
      <c r="A998" s="3"/>
      <c r="B998" s="3"/>
      <c r="C998" s="9"/>
      <c r="D998" s="9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spans="1:18" ht="19.5" customHeight="1" x14ac:dyDescent="0.25">
      <c r="A999" s="3"/>
      <c r="B999" s="3"/>
      <c r="C999" s="9"/>
      <c r="D999" s="9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1:18" ht="19.5" customHeight="1" x14ac:dyDescent="0.25">
      <c r="A1000" s="3"/>
      <c r="B1000" s="3"/>
      <c r="C1000" s="9"/>
      <c r="D1000" s="9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 spans="1:18" ht="19.5" customHeight="1" x14ac:dyDescent="0.25">
      <c r="A1001" s="3"/>
      <c r="B1001" s="3"/>
      <c r="C1001" s="9"/>
      <c r="D1001" s="9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1:18" ht="19.5" customHeight="1" x14ac:dyDescent="0.25">
      <c r="A1002" s="3"/>
      <c r="B1002" s="3"/>
      <c r="C1002" s="9"/>
      <c r="D1002" s="9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 spans="1:18" ht="19.5" customHeight="1" x14ac:dyDescent="0.25">
      <c r="A1003" s="3"/>
      <c r="B1003" s="3"/>
      <c r="C1003" s="9"/>
      <c r="D1003" s="9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  <row r="1004" spans="1:18" ht="19.5" customHeight="1" x14ac:dyDescent="0.25">
      <c r="A1004" s="3"/>
      <c r="B1004" s="3"/>
      <c r="C1004" s="9"/>
      <c r="D1004" s="9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 spans="1:18" ht="19.5" customHeight="1" x14ac:dyDescent="0.25">
      <c r="A1005" s="3"/>
      <c r="B1005" s="3"/>
      <c r="C1005" s="9"/>
      <c r="D1005" s="9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</row>
    <row r="1006" spans="1:18" ht="19.5" customHeight="1" x14ac:dyDescent="0.25">
      <c r="A1006" s="3"/>
      <c r="B1006" s="3"/>
      <c r="C1006" s="9"/>
      <c r="D1006" s="9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</row>
    <row r="1007" spans="1:18" ht="19.5" customHeight="1" x14ac:dyDescent="0.25">
      <c r="A1007" s="3"/>
      <c r="B1007" s="3"/>
      <c r="C1007" s="9"/>
      <c r="D1007" s="9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</row>
    <row r="1008" spans="1:18" ht="19.5" customHeight="1" x14ac:dyDescent="0.25">
      <c r="A1008" s="3"/>
      <c r="B1008" s="3"/>
      <c r="C1008" s="9"/>
      <c r="D1008" s="9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</row>
    <row r="1009" spans="1:18" ht="19.5" customHeight="1" x14ac:dyDescent="0.25">
      <c r="A1009" s="3"/>
      <c r="B1009" s="3"/>
      <c r="C1009" s="9"/>
      <c r="D1009" s="9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</row>
    <row r="1010" spans="1:18" ht="19.5" customHeight="1" x14ac:dyDescent="0.25">
      <c r="A1010" s="3"/>
      <c r="B1010" s="3"/>
      <c r="C1010" s="9"/>
      <c r="D1010" s="9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</row>
    <row r="1011" spans="1:18" ht="19.5" customHeight="1" x14ac:dyDescent="0.25">
      <c r="A1011" s="3"/>
      <c r="B1011" s="3"/>
      <c r="C1011" s="9"/>
      <c r="D1011" s="9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</row>
    <row r="1012" spans="1:18" ht="19.5" customHeight="1" x14ac:dyDescent="0.25">
      <c r="A1012" s="3"/>
      <c r="B1012" s="3"/>
      <c r="C1012" s="9"/>
      <c r="D1012" s="9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</row>
    <row r="1013" spans="1:18" ht="19.5" customHeight="1" x14ac:dyDescent="0.25">
      <c r="A1013" s="3"/>
      <c r="B1013" s="3"/>
      <c r="C1013" s="9"/>
      <c r="D1013" s="9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</row>
    <row r="1014" spans="1:18" ht="19.5" customHeight="1" x14ac:dyDescent="0.25">
      <c r="A1014" s="3"/>
      <c r="B1014" s="3"/>
      <c r="C1014" s="9"/>
      <c r="D1014" s="9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</row>
    <row r="1015" spans="1:18" ht="15" customHeight="1" x14ac:dyDescent="0.25">
      <c r="A1015" s="3"/>
      <c r="B1015" s="3"/>
      <c r="C1015" s="9"/>
      <c r="D1015" s="9"/>
      <c r="E1015" s="3"/>
      <c r="F1015" s="3"/>
      <c r="G1015" s="3"/>
      <c r="H1015" s="3"/>
    </row>
    <row r="1016" spans="1:18" ht="15" customHeight="1" x14ac:dyDescent="0.25">
      <c r="A1016" s="3"/>
      <c r="B1016" s="3"/>
      <c r="C1016" s="9"/>
      <c r="D1016" s="9"/>
      <c r="E1016" s="3"/>
      <c r="F1016" s="3"/>
      <c r="G1016" s="3"/>
    </row>
    <row r="1017" spans="1:18" ht="15" customHeight="1" x14ac:dyDescent="0.25">
      <c r="A1017" s="3"/>
      <c r="B1017" s="3"/>
      <c r="C1017" s="9"/>
      <c r="D1017" s="9"/>
    </row>
    <row r="1018" spans="1:18" ht="15" customHeight="1" x14ac:dyDescent="0.25">
      <c r="A1018" s="3"/>
      <c r="B1018" s="3"/>
      <c r="C1018" s="9"/>
      <c r="D1018" s="9"/>
    </row>
  </sheetData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EEB4-4DC5-4395-A835-2953CB101482}">
  <sheetPr>
    <tabColor rgb="FFFF0000"/>
  </sheetPr>
  <dimension ref="B1:AH36"/>
  <sheetViews>
    <sheetView showGridLines="0" topLeftCell="K10" zoomScale="70" zoomScaleNormal="70" workbookViewId="0">
      <selection activeCell="AF14" sqref="AF14"/>
    </sheetView>
  </sheetViews>
  <sheetFormatPr defaultRowHeight="15" x14ac:dyDescent="0.25"/>
  <cols>
    <col min="1" max="1" width="10.7109375" bestFit="1" customWidth="1"/>
    <col min="2" max="2" width="48.7109375" customWidth="1"/>
    <col min="3" max="10" width="17.7109375" hidden="1" customWidth="1"/>
    <col min="11" max="12" width="17.7109375" customWidth="1"/>
    <col min="13" max="14" width="17.7109375" hidden="1" customWidth="1"/>
    <col min="15" max="16" width="17.7109375" customWidth="1"/>
    <col min="17" max="18" width="17.7109375" hidden="1" customWidth="1"/>
    <col min="19" max="20" width="17.7109375" customWidth="1"/>
    <col min="21" max="21" width="16.140625" hidden="1" customWidth="1"/>
    <col min="22" max="22" width="21.28515625" hidden="1" customWidth="1"/>
    <col min="23" max="26" width="17.7109375" customWidth="1"/>
    <col min="27" max="30" width="17.7109375" hidden="1" customWidth="1"/>
    <col min="32" max="33" width="17" style="20" customWidth="1"/>
  </cols>
  <sheetData>
    <row r="1" spans="2:34" ht="13.9" customHeight="1" x14ac:dyDescent="0.25"/>
    <row r="2" spans="2:34" ht="13.9" customHeight="1" x14ac:dyDescent="0.25"/>
    <row r="3" spans="2:34" ht="13.9" customHeight="1" x14ac:dyDescent="0.25">
      <c r="C3" s="111" t="s">
        <v>119</v>
      </c>
      <c r="D3" s="118">
        <v>45231</v>
      </c>
      <c r="E3" s="111" t="s">
        <v>119</v>
      </c>
      <c r="F3" s="116"/>
      <c r="G3" s="111" t="s">
        <v>119</v>
      </c>
      <c r="H3" s="116">
        <v>45047</v>
      </c>
      <c r="I3" s="111" t="s">
        <v>119</v>
      </c>
      <c r="J3" s="116">
        <v>44652</v>
      </c>
      <c r="K3" s="111" t="s">
        <v>119</v>
      </c>
      <c r="L3" s="116">
        <v>45078</v>
      </c>
      <c r="M3" s="111" t="s">
        <v>119</v>
      </c>
      <c r="N3" s="116"/>
      <c r="O3" s="111" t="s">
        <v>119</v>
      </c>
      <c r="P3" s="116">
        <v>45323</v>
      </c>
      <c r="Q3" s="111" t="s">
        <v>119</v>
      </c>
      <c r="R3" s="116">
        <v>44958</v>
      </c>
      <c r="S3" s="111" t="s">
        <v>119</v>
      </c>
      <c r="T3" s="117">
        <v>45017</v>
      </c>
      <c r="U3" s="111" t="s">
        <v>119</v>
      </c>
      <c r="V3" s="116">
        <v>45231</v>
      </c>
      <c r="W3" s="111" t="s">
        <v>119</v>
      </c>
      <c r="X3" s="116">
        <v>44958</v>
      </c>
      <c r="Y3" s="111" t="s">
        <v>119</v>
      </c>
      <c r="Z3" s="116">
        <v>45383</v>
      </c>
      <c r="AA3" s="111" t="s">
        <v>119</v>
      </c>
      <c r="AB3" s="116"/>
      <c r="AC3" s="111" t="s">
        <v>119</v>
      </c>
      <c r="AD3" s="116"/>
    </row>
    <row r="4" spans="2:34" ht="13.9" customHeight="1" x14ac:dyDescent="0.25">
      <c r="C4" s="111" t="s">
        <v>118</v>
      </c>
      <c r="D4" s="115">
        <v>2754.98</v>
      </c>
      <c r="E4" s="111" t="s">
        <v>118</v>
      </c>
      <c r="F4" s="113"/>
      <c r="G4" s="111" t="s">
        <v>118</v>
      </c>
      <c r="H4" s="113">
        <v>2688.94</v>
      </c>
      <c r="I4" s="111" t="s">
        <v>118</v>
      </c>
      <c r="J4" s="113">
        <v>2461.35</v>
      </c>
      <c r="K4" s="111" t="s">
        <v>118</v>
      </c>
      <c r="L4" s="113">
        <v>2725.79</v>
      </c>
      <c r="M4" s="111" t="s">
        <v>118</v>
      </c>
      <c r="N4" s="113"/>
      <c r="O4" s="111" t="s">
        <v>118</v>
      </c>
      <c r="P4" s="113">
        <v>2753.62</v>
      </c>
      <c r="Q4" s="111" t="s">
        <v>118</v>
      </c>
      <c r="R4" s="113">
        <v>2662.47</v>
      </c>
      <c r="S4" s="111" t="s">
        <v>118</v>
      </c>
      <c r="T4" s="114">
        <v>2680.84</v>
      </c>
      <c r="U4" s="111" t="s">
        <v>118</v>
      </c>
      <c r="V4" s="113">
        <v>2754.98</v>
      </c>
      <c r="W4" s="111" t="s">
        <v>118</v>
      </c>
      <c r="X4" s="113">
        <v>2662.47</v>
      </c>
      <c r="Y4" s="111" t="s">
        <v>118</v>
      </c>
      <c r="Z4" s="113">
        <v>2757.56</v>
      </c>
      <c r="AA4" s="111" t="s">
        <v>118</v>
      </c>
      <c r="AB4" s="113"/>
      <c r="AC4" s="111" t="s">
        <v>118</v>
      </c>
      <c r="AD4" s="113"/>
    </row>
    <row r="5" spans="2:34" ht="13.9" customHeight="1" x14ac:dyDescent="0.25">
      <c r="C5" s="111" t="s">
        <v>117</v>
      </c>
      <c r="D5" s="115">
        <v>2394.02</v>
      </c>
      <c r="E5" s="111" t="s">
        <v>117</v>
      </c>
      <c r="F5" s="113"/>
      <c r="G5" s="111" t="s">
        <v>117</v>
      </c>
      <c r="H5" s="113"/>
      <c r="I5" s="111" t="s">
        <v>117</v>
      </c>
      <c r="J5" s="113"/>
      <c r="K5" s="111" t="s">
        <v>117</v>
      </c>
      <c r="L5" s="113">
        <v>2133.7800000000002</v>
      </c>
      <c r="M5" s="111" t="s">
        <v>117</v>
      </c>
      <c r="N5" s="113"/>
      <c r="O5" s="111" t="s">
        <v>117</v>
      </c>
      <c r="P5" s="113"/>
      <c r="Q5" s="111" t="s">
        <v>117</v>
      </c>
      <c r="R5" s="113"/>
      <c r="S5" s="111" t="s">
        <v>117</v>
      </c>
      <c r="T5" s="114"/>
      <c r="U5" s="111" t="s">
        <v>117</v>
      </c>
      <c r="V5" s="113"/>
      <c r="W5" s="111" t="s">
        <v>117</v>
      </c>
      <c r="X5" s="113"/>
      <c r="Y5" s="111" t="s">
        <v>117</v>
      </c>
      <c r="Z5" s="113">
        <v>3794.1</v>
      </c>
      <c r="AA5" s="111" t="s">
        <v>117</v>
      </c>
      <c r="AB5" s="113"/>
      <c r="AC5" s="111" t="s">
        <v>117</v>
      </c>
      <c r="AD5" s="113"/>
    </row>
    <row r="6" spans="2:34" ht="13.9" customHeight="1" x14ac:dyDescent="0.25">
      <c r="C6" s="111" t="s">
        <v>5</v>
      </c>
      <c r="D6" s="115">
        <v>7642.76</v>
      </c>
      <c r="E6" s="111" t="s">
        <v>5</v>
      </c>
      <c r="F6" s="113"/>
      <c r="G6" s="111" t="s">
        <v>5</v>
      </c>
      <c r="H6" s="113">
        <v>3282.64</v>
      </c>
      <c r="I6" s="111" t="s">
        <v>5</v>
      </c>
      <c r="J6" s="113">
        <v>4811.62</v>
      </c>
      <c r="K6" s="111" t="s">
        <v>5</v>
      </c>
      <c r="L6" s="113">
        <v>12953.8</v>
      </c>
      <c r="M6" s="111" t="s">
        <v>5</v>
      </c>
      <c r="N6" s="113"/>
      <c r="O6" s="111" t="s">
        <v>5</v>
      </c>
      <c r="P6" s="113">
        <v>13434.29</v>
      </c>
      <c r="Q6" s="111" t="s">
        <v>5</v>
      </c>
      <c r="R6" s="113">
        <v>6003.01</v>
      </c>
      <c r="S6" s="111" t="s">
        <v>5</v>
      </c>
      <c r="T6" s="114">
        <v>16348.1</v>
      </c>
      <c r="U6" s="111" t="s">
        <v>5</v>
      </c>
      <c r="V6" s="113">
        <v>7642.76</v>
      </c>
      <c r="W6" s="111" t="s">
        <v>5</v>
      </c>
      <c r="X6" s="113">
        <v>14888.46</v>
      </c>
      <c r="Y6" s="111" t="s">
        <v>5</v>
      </c>
      <c r="Z6" s="113">
        <v>13223.24</v>
      </c>
      <c r="AA6" s="111" t="s">
        <v>5</v>
      </c>
      <c r="AB6" s="113"/>
      <c r="AC6" s="111" t="s">
        <v>5</v>
      </c>
      <c r="AD6" s="113"/>
    </row>
    <row r="7" spans="2:34" ht="13.9" customHeight="1" x14ac:dyDescent="0.25">
      <c r="C7" s="111" t="s">
        <v>115</v>
      </c>
      <c r="D7" s="110" t="s">
        <v>116</v>
      </c>
      <c r="E7" s="111" t="s">
        <v>115</v>
      </c>
      <c r="F7" s="110"/>
      <c r="G7" s="111" t="s">
        <v>115</v>
      </c>
      <c r="H7" s="110"/>
      <c r="I7" s="111" t="s">
        <v>115</v>
      </c>
      <c r="J7" s="110"/>
      <c r="K7" s="111" t="s">
        <v>115</v>
      </c>
      <c r="L7" s="110">
        <v>16</v>
      </c>
      <c r="M7" s="111" t="s">
        <v>115</v>
      </c>
      <c r="N7" s="110"/>
      <c r="O7" s="111" t="s">
        <v>115</v>
      </c>
      <c r="P7" s="110">
        <v>20</v>
      </c>
      <c r="Q7" s="111" t="s">
        <v>115</v>
      </c>
      <c r="R7" s="110">
        <v>25</v>
      </c>
      <c r="S7" s="111" t="s">
        <v>115</v>
      </c>
      <c r="T7" s="112">
        <v>33</v>
      </c>
      <c r="U7" s="111" t="s">
        <v>115</v>
      </c>
      <c r="V7" s="110"/>
      <c r="W7" s="111" t="s">
        <v>115</v>
      </c>
      <c r="X7" s="110"/>
      <c r="Y7" s="111" t="s">
        <v>115</v>
      </c>
      <c r="Z7" s="110">
        <v>6</v>
      </c>
      <c r="AA7" s="111" t="s">
        <v>115</v>
      </c>
      <c r="AB7" s="110"/>
      <c r="AC7" s="111" t="s">
        <v>115</v>
      </c>
      <c r="AD7" s="110"/>
    </row>
    <row r="8" spans="2:34" ht="13.9" customHeight="1" x14ac:dyDescent="0.25">
      <c r="C8" s="111" t="s">
        <v>110</v>
      </c>
      <c r="D8" s="110" t="s">
        <v>114</v>
      </c>
      <c r="E8" s="111" t="s">
        <v>110</v>
      </c>
      <c r="F8" s="110"/>
      <c r="G8" s="111" t="s">
        <v>110</v>
      </c>
      <c r="H8" s="110"/>
      <c r="I8" s="111" t="s">
        <v>110</v>
      </c>
      <c r="J8" s="110"/>
      <c r="K8" s="111" t="s">
        <v>110</v>
      </c>
      <c r="L8" s="110" t="s">
        <v>113</v>
      </c>
      <c r="M8" s="111" t="s">
        <v>110</v>
      </c>
      <c r="N8" s="110"/>
      <c r="O8" s="111" t="s">
        <v>110</v>
      </c>
      <c r="P8" s="110"/>
      <c r="Q8" s="111" t="s">
        <v>110</v>
      </c>
      <c r="R8" s="110"/>
      <c r="S8" s="111" t="s">
        <v>110</v>
      </c>
      <c r="T8" s="112" t="s">
        <v>112</v>
      </c>
      <c r="U8" s="111" t="s">
        <v>110</v>
      </c>
      <c r="V8" s="110"/>
      <c r="W8" s="111" t="s">
        <v>110</v>
      </c>
      <c r="X8" s="110"/>
      <c r="Y8" s="111" t="s">
        <v>110</v>
      </c>
      <c r="Z8" s="110" t="s">
        <v>111</v>
      </c>
      <c r="AA8" s="111" t="s">
        <v>110</v>
      </c>
      <c r="AB8" s="110"/>
      <c r="AC8" s="111" t="s">
        <v>110</v>
      </c>
      <c r="AD8" s="110"/>
    </row>
    <row r="9" spans="2:34" ht="177.6" customHeight="1" x14ac:dyDescent="0.25">
      <c r="C9" s="108" t="s">
        <v>101</v>
      </c>
      <c r="D9" s="107" t="s">
        <v>109</v>
      </c>
      <c r="E9" s="108" t="s">
        <v>101</v>
      </c>
      <c r="F9" s="107"/>
      <c r="G9" s="108" t="s">
        <v>101</v>
      </c>
      <c r="H9" s="107" t="s">
        <v>108</v>
      </c>
      <c r="I9" s="108" t="s">
        <v>101</v>
      </c>
      <c r="J9" s="107" t="s">
        <v>108</v>
      </c>
      <c r="K9" s="108" t="s">
        <v>101</v>
      </c>
      <c r="L9" s="107" t="s">
        <v>107</v>
      </c>
      <c r="M9" s="108" t="s">
        <v>101</v>
      </c>
      <c r="N9" s="107"/>
      <c r="O9" s="108" t="s">
        <v>101</v>
      </c>
      <c r="P9" s="107" t="s">
        <v>106</v>
      </c>
      <c r="Q9" s="108" t="s">
        <v>101</v>
      </c>
      <c r="R9" s="107" t="s">
        <v>105</v>
      </c>
      <c r="S9" s="108" t="s">
        <v>101</v>
      </c>
      <c r="T9" s="109" t="s">
        <v>104</v>
      </c>
      <c r="U9" s="108" t="s">
        <v>101</v>
      </c>
      <c r="V9" s="107"/>
      <c r="W9" s="108" t="s">
        <v>101</v>
      </c>
      <c r="X9" s="107" t="s">
        <v>103</v>
      </c>
      <c r="Y9" s="108" t="s">
        <v>101</v>
      </c>
      <c r="Z9" s="107" t="s">
        <v>102</v>
      </c>
      <c r="AA9" s="108" t="s">
        <v>101</v>
      </c>
      <c r="AB9" s="107"/>
      <c r="AC9" s="108" t="s">
        <v>101</v>
      </c>
      <c r="AD9" s="107"/>
    </row>
    <row r="10" spans="2:34" ht="28.15" customHeight="1" x14ac:dyDescent="0.25">
      <c r="E10" s="106"/>
      <c r="F10" s="106"/>
      <c r="O10" s="105"/>
      <c r="P10" s="105"/>
      <c r="Q10" s="105"/>
      <c r="R10" s="105"/>
      <c r="S10" s="105"/>
      <c r="T10" s="105"/>
      <c r="U10" s="105"/>
      <c r="V10" s="105"/>
      <c r="AF10" s="104"/>
    </row>
    <row r="11" spans="2:34" ht="38.450000000000003" customHeight="1" x14ac:dyDescent="0.25">
      <c r="C11" s="154" t="s">
        <v>100</v>
      </c>
      <c r="D11" s="155"/>
      <c r="E11" s="154"/>
      <c r="F11" s="155"/>
      <c r="G11" s="156" t="s">
        <v>99</v>
      </c>
      <c r="H11" s="155"/>
      <c r="I11" s="156" t="s">
        <v>98</v>
      </c>
      <c r="J11" s="155"/>
      <c r="K11" s="156" t="s">
        <v>97</v>
      </c>
      <c r="L11" s="155"/>
      <c r="M11" s="154" t="s">
        <v>96</v>
      </c>
      <c r="N11" s="155"/>
      <c r="O11" s="154" t="s">
        <v>95</v>
      </c>
      <c r="P11" s="155"/>
      <c r="Q11" s="154" t="s">
        <v>94</v>
      </c>
      <c r="R11" s="155"/>
      <c r="S11" s="154" t="s">
        <v>93</v>
      </c>
      <c r="T11" s="155"/>
      <c r="U11" s="156" t="s">
        <v>92</v>
      </c>
      <c r="V11" s="155"/>
      <c r="W11" s="154" t="s">
        <v>91</v>
      </c>
      <c r="X11" s="155"/>
      <c r="Y11" s="157" t="s">
        <v>90</v>
      </c>
      <c r="Z11" s="155"/>
      <c r="AA11" s="154"/>
      <c r="AB11" s="155"/>
      <c r="AC11" s="154"/>
      <c r="AD11" s="155"/>
      <c r="AF11" s="153" t="s">
        <v>89</v>
      </c>
      <c r="AG11" s="153"/>
    </row>
    <row r="12" spans="2:34" ht="19.149999999999999" customHeight="1" x14ac:dyDescent="0.25">
      <c r="C12" s="102" t="s">
        <v>88</v>
      </c>
      <c r="D12" s="102" t="s">
        <v>87</v>
      </c>
      <c r="E12" s="102"/>
      <c r="F12" s="102" t="s">
        <v>87</v>
      </c>
      <c r="G12" s="102" t="s">
        <v>88</v>
      </c>
      <c r="H12" s="102" t="s">
        <v>87</v>
      </c>
      <c r="I12" s="102" t="s">
        <v>88</v>
      </c>
      <c r="J12" s="102" t="s">
        <v>87</v>
      </c>
      <c r="K12" s="102" t="s">
        <v>88</v>
      </c>
      <c r="L12" s="102" t="s">
        <v>87</v>
      </c>
      <c r="M12" s="102"/>
      <c r="N12" s="102" t="s">
        <v>87</v>
      </c>
      <c r="O12" s="102" t="s">
        <v>88</v>
      </c>
      <c r="P12" s="102" t="s">
        <v>87</v>
      </c>
      <c r="Q12" s="102" t="s">
        <v>88</v>
      </c>
      <c r="R12" s="102" t="s">
        <v>87</v>
      </c>
      <c r="S12" s="102" t="s">
        <v>88</v>
      </c>
      <c r="T12" s="102" t="s">
        <v>87</v>
      </c>
      <c r="U12" s="102" t="s">
        <v>88</v>
      </c>
      <c r="V12" s="102" t="s">
        <v>87</v>
      </c>
      <c r="W12" s="102"/>
      <c r="X12" s="102" t="s">
        <v>87</v>
      </c>
      <c r="Y12" s="103"/>
      <c r="Z12" s="102" t="s">
        <v>87</v>
      </c>
      <c r="AA12" s="102"/>
      <c r="AB12" s="102" t="s">
        <v>87</v>
      </c>
      <c r="AC12" s="102"/>
      <c r="AD12" s="102" t="s">
        <v>87</v>
      </c>
      <c r="AF12" s="101" t="s">
        <v>86</v>
      </c>
      <c r="AG12" s="101" t="s">
        <v>85</v>
      </c>
      <c r="AH12" s="100"/>
    </row>
    <row r="13" spans="2:34" ht="19.149999999999999" customHeight="1" x14ac:dyDescent="0.25">
      <c r="B13" s="93" t="s">
        <v>84</v>
      </c>
      <c r="C13" s="91">
        <v>400.87570589682264</v>
      </c>
      <c r="D13" s="90">
        <f>[3]ORÇAMENTO_EXECUTIVO!$B$20/CÁLCULO_MÉDIAS!D$4*C13</f>
        <v>413.46664115996509</v>
      </c>
      <c r="E13" s="91"/>
      <c r="F13" s="90" t="e">
        <f>[3]ORÇAMENTO_EXECUTIVO!$B$20/CÁLCULO_MÉDIAS!F$4*E13</f>
        <v>#DIV/0!</v>
      </c>
      <c r="G13" s="91">
        <v>750.56</v>
      </c>
      <c r="H13" s="90">
        <f>[3]ORÇAMENTO_EXECUTIVO!$B$20/CÁLCULO_MÉDIAS!H$4*G13</f>
        <v>793.14664722901966</v>
      </c>
      <c r="I13" s="91">
        <v>647.1</v>
      </c>
      <c r="J13" s="90">
        <f>[3]ORÇAMENTO_EXECUTIVO!$B$20/CÁLCULO_MÉDIAS!J$4*I13</f>
        <v>747.04577609848263</v>
      </c>
      <c r="K13" s="91">
        <v>247.43</v>
      </c>
      <c r="L13" s="90">
        <f>Versões!$F$20/CÁLCULO_MÉDIAS!L$4*K13</f>
        <v>264.3247980585445</v>
      </c>
      <c r="M13" s="91"/>
      <c r="N13" s="90" t="e">
        <f>[3]ORÇAMENTO_EXECUTIVO!$B$20/CÁLCULO_MÉDIAS!N$4*M13</f>
        <v>#DIV/0!</v>
      </c>
      <c r="O13" s="91">
        <v>353.32967195394065</v>
      </c>
      <c r="P13" s="90">
        <f>Versões!$F$20/CÁLCULO_MÉDIAS!P$4*O13</f>
        <v>373.64059131594018</v>
      </c>
      <c r="Q13" s="91">
        <v>425.96973518284994</v>
      </c>
      <c r="R13" s="90">
        <f>[3]ORÇAMENTO_EXECUTIVO!$B$20/CÁLCULO_MÉDIAS!R$4*Q13</f>
        <v>454.61442278013277</v>
      </c>
      <c r="S13" s="91">
        <v>570.26</v>
      </c>
      <c r="T13" s="90">
        <f>Versões!$F$20/CÁLCULO_MÉDIAS!T$4*S13</f>
        <v>619.41249630712764</v>
      </c>
      <c r="U13" s="91">
        <v>400.88</v>
      </c>
      <c r="V13" s="90">
        <f>[3]ORÇAMENTO_EXECUTIVO!$B$20/CÁLCULO_MÉDIAS!V$4*U13</f>
        <v>413.47107013481047</v>
      </c>
      <c r="W13" s="91">
        <v>194.23</v>
      </c>
      <c r="X13" s="90">
        <f>Versões!$F$20/CÁLCULO_MÉDIAS!X$4*W13</f>
        <v>212.42691158961415</v>
      </c>
      <c r="Y13" s="97">
        <v>361.93</v>
      </c>
      <c r="Z13" s="90">
        <f>Versões!$F$20/CÁLCULO_MÉDIAS!Z$4*Y13</f>
        <v>382.18845149334919</v>
      </c>
      <c r="AA13" s="96"/>
      <c r="AB13" s="90" t="e">
        <f>[3]ORÇAMENTO_EXECUTIVO!$B$20/CÁLCULO_MÉDIAS!AB$4*AA13</f>
        <v>#DIV/0!</v>
      </c>
      <c r="AC13" s="91"/>
      <c r="AD13" s="90" t="e">
        <f>[3]ORÇAMENTO_EXECUTIVO!$B$20/CÁLCULO_MÉDIAS!AD$4*AC13</f>
        <v>#DIV/0!</v>
      </c>
      <c r="AF13" s="89">
        <v>290</v>
      </c>
      <c r="AG13" s="89">
        <v>410</v>
      </c>
    </row>
    <row r="14" spans="2:34" ht="19.149999999999999" customHeight="1" x14ac:dyDescent="0.25">
      <c r="B14" s="94" t="s">
        <v>7</v>
      </c>
      <c r="C14" s="91">
        <v>38.001580580837292</v>
      </c>
      <c r="D14" s="90">
        <f>[3]ORÇAMENTO_EXECUTIVO!$B$20/CÁLCULO_MÉDIAS!D$4*C14</f>
        <v>39.195156130445589</v>
      </c>
      <c r="E14" s="91"/>
      <c r="F14" s="90" t="e">
        <f>[3]ORÇAMENTO_EXECUTIVO!$B$20/CÁLCULO_MÉDIAS!F$4*E14</f>
        <v>#DIV/0!</v>
      </c>
      <c r="G14" s="91">
        <v>40.840000000000003</v>
      </c>
      <c r="H14" s="90">
        <f>[3]ORÇAMENTO_EXECUTIVO!$B$20/CÁLCULO_MÉDIAS!H$4*G14</f>
        <v>43.157254680282946</v>
      </c>
      <c r="I14" s="91">
        <v>93.34</v>
      </c>
      <c r="J14" s="90">
        <f>[3]ORÇAMENTO_EXECUTIVO!$B$20/CÁLCULO_MÉDIAS!J$4*I14</f>
        <v>107.75653336583584</v>
      </c>
      <c r="K14" s="91">
        <v>51.13</v>
      </c>
      <c r="L14" s="90">
        <f>Versões!$F$20/CÁLCULO_MÉDIAS!L$4*K14</f>
        <v>54.62121377655653</v>
      </c>
      <c r="M14" s="91"/>
      <c r="N14" s="90" t="e">
        <f>[3]ORÇAMENTO_EXECUTIVO!$B$20/CÁLCULO_MÉDIAS!N$4*M14</f>
        <v>#DIV/0!</v>
      </c>
      <c r="O14" s="91">
        <v>6.8428238485249304</v>
      </c>
      <c r="P14" s="90">
        <f>Versões!$F$20/CÁLCULO_MÉDIAS!P$4*O14</f>
        <v>7.2361789908405045</v>
      </c>
      <c r="Q14" s="91">
        <v>19.587790125287146</v>
      </c>
      <c r="R14" s="90">
        <f>[3]ORÇAMENTO_EXECUTIVO!$B$20/CÁLCULO_MÉDIAS!R$4*Q14</f>
        <v>20.904987293342156</v>
      </c>
      <c r="S14" s="91">
        <v>57.26</v>
      </c>
      <c r="T14" s="90">
        <f>Versões!$F$20/CÁLCULO_MÉDIAS!T$4*S14</f>
        <v>62.195418823950696</v>
      </c>
      <c r="U14" s="91">
        <v>38</v>
      </c>
      <c r="V14" s="90">
        <f>[3]ORÇAMENTO_EXECUTIVO!$B$20/CÁLCULO_MÉDIAS!V$4*U14</f>
        <v>39.193525905814205</v>
      </c>
      <c r="W14" s="91">
        <v>131.35</v>
      </c>
      <c r="X14" s="90">
        <f>Versões!$F$20/CÁLCULO_MÉDIAS!X$4*W14</f>
        <v>143.65584532407877</v>
      </c>
      <c r="Y14" s="97">
        <v>88.84</v>
      </c>
      <c r="Z14" s="90">
        <f>Versões!$F$20/CÁLCULO_MÉDIAS!Z$4*Y14</f>
        <v>93.812676569140848</v>
      </c>
      <c r="AA14" s="96"/>
      <c r="AB14" s="90" t="e">
        <f>[3]ORÇAMENTO_EXECUTIVO!$B$20/CÁLCULO_MÉDIAS!AB$4*AA14</f>
        <v>#DIV/0!</v>
      </c>
      <c r="AC14" s="91"/>
      <c r="AD14" s="90" t="e">
        <f>[3]ORÇAMENTO_EXECUTIVO!$B$20/CÁLCULO_MÉDIAS!AD$4*AC14</f>
        <v>#DIV/0!</v>
      </c>
      <c r="AF14" s="89">
        <v>15</v>
      </c>
      <c r="AG14" s="89">
        <v>90</v>
      </c>
    </row>
    <row r="15" spans="2:34" ht="19.149999999999999" customHeight="1" x14ac:dyDescent="0.25">
      <c r="B15" s="93" t="s">
        <v>8</v>
      </c>
      <c r="C15" s="91">
        <v>160.69850289685922</v>
      </c>
      <c r="D15" s="90">
        <f>[3]ORÇAMENTO_EXECUTIVO!$B$20/CÁLCULO_MÉDIAS!D$4*C15</f>
        <v>165.74581411351608</v>
      </c>
      <c r="E15" s="91"/>
      <c r="F15" s="90" t="e">
        <f>[3]ORÇAMENTO_EXECUTIVO!$B$20/CÁLCULO_MÉDIAS!F$4*E15</f>
        <v>#DIV/0!</v>
      </c>
      <c r="G15" s="91">
        <v>134.84</v>
      </c>
      <c r="H15" s="90">
        <f>[3]ORÇAMENTO_EXECUTIVO!$B$20/CÁLCULO_MÉDIAS!H$4*G15</f>
        <v>142.49079875341215</v>
      </c>
      <c r="I15" s="91">
        <v>316.11</v>
      </c>
      <c r="J15" s="90">
        <f>[3]ORÇAMENTO_EXECUTIVO!$B$20/CÁLCULO_MÉDIAS!J$4*I15</f>
        <v>364.93376646962037</v>
      </c>
      <c r="K15" s="91">
        <v>337.43</v>
      </c>
      <c r="L15" s="90">
        <f>Versões!$F$20/CÁLCULO_MÉDIAS!L$4*K15</f>
        <v>360.47009905385232</v>
      </c>
      <c r="M15" s="91"/>
      <c r="N15" s="99" t="e">
        <f>[3]ORÇAMENTO_EXECUTIVO!$B$20/CÁLCULO_MÉDIAS!N$4*M15</f>
        <v>#DIV/0!</v>
      </c>
      <c r="O15" s="91">
        <v>167.92236630666747</v>
      </c>
      <c r="P15" s="90">
        <f>Versões!$F$20/CÁLCULO_MÉDIAS!P$4*O15</f>
        <v>177.57527097858386</v>
      </c>
      <c r="Q15" s="91">
        <v>195.59039548493175</v>
      </c>
      <c r="R15" s="90">
        <f>[3]ORÇAMENTO_EXECUTIVO!$B$20/CÁLCULO_MÉDIAS!R$4*Q15</f>
        <v>208.74303360202688</v>
      </c>
      <c r="S15" s="91">
        <v>310.7</v>
      </c>
      <c r="T15" s="90">
        <f>Versões!$F$20/CÁLCULO_MÉDIAS!T$4*S15</f>
        <v>337.48020657704302</v>
      </c>
      <c r="U15" s="91">
        <v>160.69999999999999</v>
      </c>
      <c r="V15" s="90">
        <f>[3]ORÇAMENTO_EXECUTIVO!$B$20/CÁLCULO_MÉDIAS!V$4*U15</f>
        <v>165.74735823853533</v>
      </c>
      <c r="W15" s="91">
        <v>99.33</v>
      </c>
      <c r="X15" s="90">
        <f>Versões!$F$20/CÁLCULO_MÉDIAS!X$4*W15</f>
        <v>108.63597347575748</v>
      </c>
      <c r="Y15" s="97">
        <v>174.06</v>
      </c>
      <c r="Z15" s="90">
        <f>Versões!$F$20/CÁLCULO_MÉDIAS!Z$4*Y15</f>
        <v>183.80272944197046</v>
      </c>
      <c r="AA15" s="96"/>
      <c r="AB15" s="90" t="e">
        <f>[3]ORÇAMENTO_EXECUTIVO!$B$20/CÁLCULO_MÉDIAS!AB$4*AA15</f>
        <v>#DIV/0!</v>
      </c>
      <c r="AC15" s="98"/>
      <c r="AD15" s="90" t="e">
        <f>[3]ORÇAMENTO_EXECUTIVO!$B$20/CÁLCULO_MÉDIAS!AD$4*AC15</f>
        <v>#DIV/0!</v>
      </c>
      <c r="AF15" s="89">
        <v>110</v>
      </c>
      <c r="AG15" s="89">
        <v>200</v>
      </c>
    </row>
    <row r="16" spans="2:34" ht="19.149999999999999" customHeight="1" x14ac:dyDescent="0.25">
      <c r="B16" s="93" t="s">
        <v>83</v>
      </c>
      <c r="C16" s="91"/>
      <c r="D16" s="90"/>
      <c r="E16" s="91"/>
      <c r="F16" s="90"/>
      <c r="G16" s="91"/>
      <c r="H16" s="90"/>
      <c r="I16" s="91"/>
      <c r="J16" s="90"/>
      <c r="K16" s="91"/>
      <c r="L16" s="90">
        <f>Versões!$F$20/CÁLCULO_MÉDIAS!L$4*K16</f>
        <v>0</v>
      </c>
      <c r="M16" s="91"/>
      <c r="N16" s="90"/>
      <c r="O16" s="91"/>
      <c r="P16" s="90">
        <f>Versões!$F$20/CÁLCULO_MÉDIAS!P$4*O16</f>
        <v>0</v>
      </c>
      <c r="Q16" s="91"/>
      <c r="R16" s="90"/>
      <c r="S16" s="91"/>
      <c r="T16" s="90">
        <f>Versões!$F$20/CÁLCULO_MÉDIAS!T$4*S16</f>
        <v>0</v>
      </c>
      <c r="U16" s="91"/>
      <c r="V16" s="90"/>
      <c r="W16" s="91"/>
      <c r="X16" s="90">
        <f>Versões!$F$20/CÁLCULO_MÉDIAS!X$4*W16</f>
        <v>0</v>
      </c>
      <c r="Y16" s="97">
        <v>52.9</v>
      </c>
      <c r="Z16" s="90">
        <f>Versões!$F$20/CÁLCULO_MÉDIAS!Z$4*Y16</f>
        <v>55.86099268918899</v>
      </c>
      <c r="AA16" s="96"/>
      <c r="AB16" s="90"/>
      <c r="AC16" s="91"/>
      <c r="AD16" s="90"/>
      <c r="AF16" s="89"/>
      <c r="AG16" s="89"/>
    </row>
    <row r="17" spans="2:33" ht="19.149999999999999" customHeight="1" x14ac:dyDescent="0.25">
      <c r="B17" s="94" t="s">
        <v>9</v>
      </c>
      <c r="C17" s="91">
        <v>678.58013597182162</v>
      </c>
      <c r="D17" s="90">
        <f>[3]ORÇAMENTO_EXECUTIVO!$B$20/CÁLCULO_MÉDIAS!D$4*C17</f>
        <v>699.89337206269772</v>
      </c>
      <c r="E17" s="91"/>
      <c r="F17" s="90" t="e">
        <f>[3]ORÇAMENTO_EXECUTIVO!$B$20/CÁLCULO_MÉDIAS!F$4*E17</f>
        <v>#DIV/0!</v>
      </c>
      <c r="G17" s="91">
        <v>769.54</v>
      </c>
      <c r="H17" s="90">
        <f>[3]ORÇAMENTO_EXECUTIVO!$B$20/CÁLCULO_MÉDIAS!H$4*G17</f>
        <v>813.20356921314726</v>
      </c>
      <c r="I17" s="91">
        <v>749.05</v>
      </c>
      <c r="J17" s="90">
        <f>[3]ORÇAMENTO_EXECUTIVO!$B$20/CÁLCULO_MÉDIAS!J$4*I17</f>
        <v>864.74213967944422</v>
      </c>
      <c r="K17" s="91">
        <v>540.46</v>
      </c>
      <c r="L17" s="90">
        <f>Versões!$F$20/CÁLCULO_MÉDIAS!L$4*K17</f>
        <v>577.36321528804501</v>
      </c>
      <c r="M17" s="91"/>
      <c r="N17" s="90" t="e">
        <f>[3]ORÇAMENTO_EXECUTIVO!$B$20/CÁLCULO_MÉDIAS!N$4*M17</f>
        <v>#DIV/0!</v>
      </c>
      <c r="O17" s="91">
        <v>649.76456825582534</v>
      </c>
      <c r="P17" s="90">
        <f>Versões!$F$20/CÁLCULO_MÉDIAS!P$4*O17</f>
        <v>687.11584893697034</v>
      </c>
      <c r="Q17" s="91">
        <v>730.88828937483026</v>
      </c>
      <c r="R17" s="90">
        <f>[3]ORÇAMENTO_EXECUTIVO!$B$20/CÁLCULO_MÉDIAS!R$4*Q17</f>
        <v>780.0374776585179</v>
      </c>
      <c r="S17" s="91">
        <v>819.7</v>
      </c>
      <c r="T17" s="90">
        <f>Versões!$F$20/CÁLCULO_MÉDIAS!T$4*S17</f>
        <v>890.35251152623812</v>
      </c>
      <c r="U17" s="91">
        <v>678.58</v>
      </c>
      <c r="V17" s="90">
        <f>[3]ORÇAMENTO_EXECUTIVO!$B$20/CÁLCULO_MÉDIAS!V$4*U17</f>
        <v>699.89323182019484</v>
      </c>
      <c r="W17" s="91">
        <v>670.84</v>
      </c>
      <c r="X17" s="90">
        <f>Versões!$F$20/CÁLCULO_MÉDIAS!X$4*W17</f>
        <v>733.68928265858403</v>
      </c>
      <c r="Y17" s="92">
        <v>626.17999999999995</v>
      </c>
      <c r="Z17" s="90">
        <f>Versões!$F$20/CÁLCULO_MÉDIAS!Z$4*Y17</f>
        <v>661.22942159010131</v>
      </c>
      <c r="AA17" s="91"/>
      <c r="AB17" s="90" t="e">
        <f>[3]ORÇAMENTO_EXECUTIVO!$B$20/CÁLCULO_MÉDIAS!AB$4*AA17</f>
        <v>#DIV/0!</v>
      </c>
      <c r="AC17" s="91"/>
      <c r="AD17" s="90" t="e">
        <f>[3]ORÇAMENTO_EXECUTIVO!$B$20/CÁLCULO_MÉDIAS!AD$4*AC17</f>
        <v>#DIV/0!</v>
      </c>
      <c r="AF17" s="89">
        <v>580</v>
      </c>
      <c r="AG17" s="89">
        <v>660</v>
      </c>
    </row>
    <row r="18" spans="2:33" ht="19.149999999999999" customHeight="1" x14ac:dyDescent="0.25">
      <c r="B18" s="93" t="s">
        <v>10</v>
      </c>
      <c r="C18" s="91">
        <v>81.675556997733793</v>
      </c>
      <c r="D18" s="90">
        <f>[3]ORÇAMENTO_EXECUTIVO!$B$20/CÁLCULO_MÉDIAS!D$4*C18</f>
        <v>84.240869975328522</v>
      </c>
      <c r="E18" s="91"/>
      <c r="F18" s="90" t="e">
        <f>[3]ORÇAMENTO_EXECUTIVO!$B$20/CÁLCULO_MÉDIAS!F$4*E18</f>
        <v>#DIV/0!</v>
      </c>
      <c r="G18" s="91">
        <v>161.68</v>
      </c>
      <c r="H18" s="90">
        <f>[3]ORÇAMENTO_EXECUTIVO!$B$20/CÁLCULO_MÉDIAS!H$4*G18</f>
        <v>170.85369580578222</v>
      </c>
      <c r="I18" s="91">
        <v>151.59</v>
      </c>
      <c r="J18" s="90">
        <f>[3]ORÇAMENTO_EXECUTIVO!$B$20/CÁLCULO_MÉDIAS!J$4*I18</f>
        <v>175.00335218477667</v>
      </c>
      <c r="K18" s="91">
        <v>140.35</v>
      </c>
      <c r="L18" s="90">
        <f>Versões!$F$20/CÁLCULO_MÉDIAS!L$4*K18</f>
        <v>149.93325549657163</v>
      </c>
      <c r="M18" s="91"/>
      <c r="N18" s="90" t="e">
        <f>[3]ORÇAMENTO_EXECUTIVO!$B$20/CÁLCULO_MÉDIAS!N$4*M18</f>
        <v>#DIV/0!</v>
      </c>
      <c r="O18" s="91">
        <v>158.61182373426504</v>
      </c>
      <c r="P18" s="90">
        <f>Versões!$F$20/CÁLCULO_MÉDIAS!P$4*O18</f>
        <v>167.72951810708946</v>
      </c>
      <c r="Q18" s="91">
        <v>119.11837394906888</v>
      </c>
      <c r="R18" s="90">
        <f>[3]ORÇAMENTO_EXECUTIVO!$B$20/CÁLCULO_MÉDIAS!R$4*Q18</f>
        <v>127.12858764982094</v>
      </c>
      <c r="S18" s="91">
        <v>99.17</v>
      </c>
      <c r="T18" s="90">
        <f>Versões!$F$20/CÁLCULO_MÉDIAS!T$4*S18</f>
        <v>107.71777304874591</v>
      </c>
      <c r="U18" s="91">
        <v>81.680000000000007</v>
      </c>
      <c r="V18" s="90">
        <f>[3]ORÇAMENTO_EXECUTIVO!$B$20/CÁLCULO_MÉDIAS!V$4*U18</f>
        <v>84.24545252597116</v>
      </c>
      <c r="W18" s="91">
        <v>150.15</v>
      </c>
      <c r="X18" s="90">
        <f>Versões!$F$20/CÁLCULO_MÉDIAS!X$4*W18</f>
        <v>164.21716920754039</v>
      </c>
      <c r="Y18" s="92">
        <v>152.16</v>
      </c>
      <c r="Z18" s="90">
        <f>Versões!$F$20/CÁLCULO_MÉDIAS!Z$4*Y18</f>
        <v>160.67691205268426</v>
      </c>
      <c r="AA18" s="91"/>
      <c r="AB18" s="90" t="e">
        <f>[3]ORÇAMENTO_EXECUTIVO!$B$20/CÁLCULO_MÉDIAS!AB$4*AA18</f>
        <v>#DIV/0!</v>
      </c>
      <c r="AC18" s="91"/>
      <c r="AD18" s="90" t="e">
        <f>[3]ORÇAMENTO_EXECUTIVO!$B$20/CÁLCULO_MÉDIAS!AD$4*AC18</f>
        <v>#DIV/0!</v>
      </c>
      <c r="AF18" s="89">
        <v>120</v>
      </c>
      <c r="AG18" s="89">
        <v>190</v>
      </c>
    </row>
    <row r="19" spans="2:33" ht="19.149999999999999" customHeight="1" x14ac:dyDescent="0.25">
      <c r="B19" s="94" t="s">
        <v>11</v>
      </c>
      <c r="C19" s="91">
        <v>361.19999973831438</v>
      </c>
      <c r="D19" s="90">
        <f>[3]ORÇAMENTO_EXECUTIVO!$B$20/CÁLCULO_MÉDIAS!D$4*C19</f>
        <v>372.54477755062391</v>
      </c>
      <c r="E19" s="91"/>
      <c r="F19" s="90" t="e">
        <f>[3]ORÇAMENTO_EXECUTIVO!$B$20/CÁLCULO_MÉDIAS!F$4*E19</f>
        <v>#DIV/0!</v>
      </c>
      <c r="G19" s="91">
        <v>475.97</v>
      </c>
      <c r="H19" s="90">
        <f>[3]ORÇAMENTO_EXECUTIVO!$B$20/CÁLCULO_MÉDIAS!H$4*G19</f>
        <v>502.97645715412028</v>
      </c>
      <c r="I19" s="91">
        <v>374.08</v>
      </c>
      <c r="J19" s="90">
        <f>[3]ORÇAMENTO_EXECUTIVO!$B$20/CÁLCULO_MÉDIAS!J$4*I19</f>
        <v>431.85733877750016</v>
      </c>
      <c r="K19" s="91">
        <v>371.77</v>
      </c>
      <c r="L19" s="90">
        <f>Versões!$F$20/CÁLCULO_MÉDIAS!L$4*K19</f>
        <v>397.15487278917306</v>
      </c>
      <c r="M19" s="91"/>
      <c r="N19" s="90" t="e">
        <f>[3]ORÇAMENTO_EXECUTIVO!$B$20/CÁLCULO_MÉDIAS!N$4*M19</f>
        <v>#DIV/0!</v>
      </c>
      <c r="O19" s="91">
        <v>310.07307249718815</v>
      </c>
      <c r="P19" s="90">
        <f>Versões!$F$20/CÁLCULO_MÉDIAS!P$4*O19</f>
        <v>327.89741523350614</v>
      </c>
      <c r="Q19" s="91">
        <v>311.09536882330696</v>
      </c>
      <c r="R19" s="90">
        <f>[3]ORÇAMENTO_EXECUTIVO!$B$20/CÁLCULO_MÉDIAS!R$4*Q19</f>
        <v>332.01523452475146</v>
      </c>
      <c r="S19" s="91">
        <v>285.64</v>
      </c>
      <c r="T19" s="90">
        <f>Versões!$F$20/CÁLCULO_MÉDIAS!T$4*S19</f>
        <v>310.26020665164646</v>
      </c>
      <c r="U19" s="91">
        <v>361.2</v>
      </c>
      <c r="V19" s="90">
        <f>[3]ORÇAMENTO_EXECUTIVO!$B$20/CÁLCULO_MÉDIAS!V$4*U19</f>
        <v>372.54477782052868</v>
      </c>
      <c r="W19" s="91">
        <v>301.64999999999998</v>
      </c>
      <c r="X19" s="90">
        <f>Versões!$F$20/CÁLCULO_MÉDIAS!X$4*W19</f>
        <v>329.91081645990374</v>
      </c>
      <c r="Y19" s="92">
        <v>305</v>
      </c>
      <c r="Z19" s="90">
        <f>Versões!$F$20/CÁLCULO_MÉDIAS!Z$4*Y19</f>
        <v>322.07188601517282</v>
      </c>
      <c r="AA19" s="91"/>
      <c r="AB19" s="90" t="e">
        <f>[3]ORÇAMENTO_EXECUTIVO!$B$20/CÁLCULO_MÉDIAS!AB$4*AA19</f>
        <v>#DIV/0!</v>
      </c>
      <c r="AC19" s="91"/>
      <c r="AD19" s="90" t="e">
        <f>[3]ORÇAMENTO_EXECUTIVO!$B$20/CÁLCULO_MÉDIAS!AD$4*AC19</f>
        <v>#DIV/0!</v>
      </c>
      <c r="AF19" s="89">
        <v>320</v>
      </c>
      <c r="AG19" s="89">
        <v>400</v>
      </c>
    </row>
    <row r="20" spans="2:33" ht="19.149999999999999" customHeight="1" x14ac:dyDescent="0.25">
      <c r="B20" s="93" t="s">
        <v>12</v>
      </c>
      <c r="C20" s="91">
        <v>329.02899868633841</v>
      </c>
      <c r="D20" s="90">
        <f>[3]ORÇAMENTO_EXECUTIVO!$B$20/CÁLCULO_MÉDIAS!D$4*C20</f>
        <v>339.36333115202928</v>
      </c>
      <c r="E20" s="91"/>
      <c r="F20" s="90" t="e">
        <f>[3]ORÇAMENTO_EXECUTIVO!$B$20/CÁLCULO_MÉDIAS!F$4*E20</f>
        <v>#DIV/0!</v>
      </c>
      <c r="G20" s="91">
        <v>292.98</v>
      </c>
      <c r="H20" s="90">
        <f>[3]ORÇAMENTO_EXECUTIVO!$B$20/CÁLCULO_MÉDIAS!H$4*G20</f>
        <v>309.60363555899357</v>
      </c>
      <c r="I20" s="91">
        <v>277.64</v>
      </c>
      <c r="J20" s="90">
        <f>[3]ORÇAMENTO_EXECUTIVO!$B$20/CÁLCULO_MÉDIAS!J$4*I20</f>
        <v>320.52200475348894</v>
      </c>
      <c r="K20" s="91">
        <v>92.01</v>
      </c>
      <c r="L20" s="90">
        <f>Versões!$F$20/CÁLCULO_MÉDIAS!L$4*K20</f>
        <v>98.29254605086966</v>
      </c>
      <c r="M20" s="91"/>
      <c r="N20" s="90" t="e">
        <f>[3]ORÇAMENTO_EXECUTIVO!$B$20/CÁLCULO_MÉDIAS!N$4*M20</f>
        <v>#DIV/0!</v>
      </c>
      <c r="O20" s="91">
        <v>122.47620833702413</v>
      </c>
      <c r="P20" s="90">
        <f>Versões!$F$20/CÁLCULO_MÉDIAS!P$4*O20</f>
        <v>129.51667107976553</v>
      </c>
      <c r="Q20" s="91">
        <v>234.95756961924101</v>
      </c>
      <c r="R20" s="90">
        <f>[3]ORÇAMENTO_EXECUTIVO!$B$20/CÁLCULO_MÉDIAS!R$4*Q20</f>
        <v>250.75748596182103</v>
      </c>
      <c r="S20" s="91">
        <v>494.41</v>
      </c>
      <c r="T20" s="90">
        <f>Versões!$F$20/CÁLCULO_MÉDIAS!T$4*S20</f>
        <v>537.02474713149616</v>
      </c>
      <c r="U20" s="91">
        <v>329.03</v>
      </c>
      <c r="V20" s="90">
        <f>[3]ORÇAMENTO_EXECUTIVO!$B$20/CÁLCULO_MÉDIAS!V$4*U20</f>
        <v>339.36436391552752</v>
      </c>
      <c r="W20" s="91">
        <v>121.63</v>
      </c>
      <c r="X20" s="90">
        <f>Versões!$F$20/CÁLCULO_MÉDIAS!X$4*W20</f>
        <v>133.02520340135288</v>
      </c>
      <c r="Y20" s="92">
        <v>157.66</v>
      </c>
      <c r="Z20" s="90">
        <f>Versões!$F$20/CÁLCULO_MÉDIAS!Z$4*Y20</f>
        <v>166.48476573492508</v>
      </c>
      <c r="AA20" s="91"/>
      <c r="AB20" s="90" t="e">
        <f>[3]ORÇAMENTO_EXECUTIVO!$B$20/CÁLCULO_MÉDIAS!AB$4*AA20</f>
        <v>#DIV/0!</v>
      </c>
      <c r="AC20" s="91"/>
      <c r="AD20" s="90" t="e">
        <f>[3]ORÇAMENTO_EXECUTIVO!$B$20/CÁLCULO_MÉDIAS!AD$4*AC20</f>
        <v>#DIV/0!</v>
      </c>
      <c r="AF20" s="89">
        <v>160</v>
      </c>
      <c r="AG20" s="89">
        <v>200</v>
      </c>
    </row>
    <row r="21" spans="2:33" ht="19.149999999999999" customHeight="1" x14ac:dyDescent="0.25">
      <c r="B21" s="93" t="s">
        <v>13</v>
      </c>
      <c r="C21" s="91">
        <v>64.341351815312791</v>
      </c>
      <c r="D21" s="90">
        <f>[3]ORÇAMENTO_EXECUTIVO!$B$20/CÁLCULO_MÉDIAS!D$4*C21</f>
        <v>66.362222083909671</v>
      </c>
      <c r="E21" s="91"/>
      <c r="F21" s="90" t="e">
        <f>[3]ORÇAMENTO_EXECUTIVO!$B$20/CÁLCULO_MÉDIAS!F$4*E21</f>
        <v>#DIV/0!</v>
      </c>
      <c r="G21" s="91">
        <v>45.54</v>
      </c>
      <c r="H21" s="90">
        <f>[3]ORÇAMENTO_EXECUTIVO!$B$20/CÁLCULO_MÉDIAS!H$4*G21</f>
        <v>48.123931883939399</v>
      </c>
      <c r="I21" s="91">
        <v>61.96</v>
      </c>
      <c r="J21" s="90">
        <f>[3]ORÇAMENTO_EXECUTIVO!$B$20/CÁLCULO_MÉDIAS!J$4*I21</f>
        <v>71.52983509049912</v>
      </c>
      <c r="K21" s="91">
        <v>27.46</v>
      </c>
      <c r="L21" s="90">
        <f>Versões!$F$20/CÁLCULO_MÉDIAS!L$4*K21</f>
        <v>29.334999614790576</v>
      </c>
      <c r="M21" s="91"/>
      <c r="N21" s="90" t="e">
        <f>[3]ORÇAMENTO_EXECUTIVO!$B$20/CÁLCULO_MÉDIAS!N$4*M21</f>
        <v>#DIV/0!</v>
      </c>
      <c r="O21" s="91">
        <v>60.962017523292999</v>
      </c>
      <c r="P21" s="90">
        <f>Versões!$F$20/CÁLCULO_MÉDIAS!P$4*O21</f>
        <v>64.466378238918992</v>
      </c>
      <c r="Q21" s="91">
        <v>40.385539920806394</v>
      </c>
      <c r="R21" s="90">
        <f>[3]ORÇAMENTO_EXECUTIVO!$B$20/CÁLCULO_MÉDIAS!R$4*Q21</f>
        <v>43.101298996935398</v>
      </c>
      <c r="S21" s="91">
        <v>45.69</v>
      </c>
      <c r="T21" s="90">
        <f>Versões!$F$20/CÁLCULO_MÉDIAS!T$4*S21</f>
        <v>49.628164269408089</v>
      </c>
      <c r="U21" s="91">
        <v>64.34</v>
      </c>
      <c r="V21" s="90">
        <f>[3]ORÇAMENTO_EXECUTIVO!$B$20/CÁLCULO_MÉDIAS!V$4*U21</f>
        <v>66.360827810002263</v>
      </c>
      <c r="W21" s="91">
        <v>61.19</v>
      </c>
      <c r="X21" s="90">
        <f>Versões!$F$20/CÁLCULO_MÉDIAS!X$4*W21</f>
        <v>66.922734490905057</v>
      </c>
      <c r="Y21" s="92">
        <v>105.47</v>
      </c>
      <c r="Z21" s="90">
        <f>Versões!$F$20/CÁLCULO_MÉDIAS!Z$4*Y21</f>
        <v>111.37351415744354</v>
      </c>
      <c r="AA21" s="91"/>
      <c r="AB21" s="90" t="e">
        <f>[3]ORÇAMENTO_EXECUTIVO!$B$20/CÁLCULO_MÉDIAS!AB$4*AA21</f>
        <v>#DIV/0!</v>
      </c>
      <c r="AC21" s="91"/>
      <c r="AD21" s="90" t="e">
        <f>[3]ORÇAMENTO_EXECUTIVO!$B$20/CÁLCULO_MÉDIAS!AD$4*AC21</f>
        <v>#DIV/0!</v>
      </c>
      <c r="AF21" s="89">
        <v>65</v>
      </c>
      <c r="AG21" s="89">
        <v>110</v>
      </c>
    </row>
    <row r="22" spans="2:33" ht="19.149999999999999" customHeight="1" x14ac:dyDescent="0.25">
      <c r="B22" s="94" t="s">
        <v>82</v>
      </c>
      <c r="C22" s="91">
        <v>81.847539370593864</v>
      </c>
      <c r="D22" s="90">
        <f>[3]ORÇAMENTO_EXECUTIVO!$B$20/CÁLCULO_MÉDIAS!D$4*C22</f>
        <v>84.418254069697852</v>
      </c>
      <c r="E22" s="91"/>
      <c r="F22" s="90" t="e">
        <f>[3]ORÇAMENTO_EXECUTIVO!$B$20/CÁLCULO_MÉDIAS!F$4*E22</f>
        <v>#DIV/0!</v>
      </c>
      <c r="G22" s="91">
        <v>219.39</v>
      </c>
      <c r="H22" s="90">
        <f>[3]ORÇAMENTO_EXECUTIVO!$B$20/CÁLCULO_MÉDIAS!H$4*G22</f>
        <v>231.83815142770015</v>
      </c>
      <c r="I22" s="91">
        <v>94.96</v>
      </c>
      <c r="J22" s="90">
        <f>[3]ORÇAMENTO_EXECUTIVO!$B$20/CÁLCULO_MÉDIAS!J$4*I22</f>
        <v>109.62674532268878</v>
      </c>
      <c r="K22" s="91">
        <v>135.75</v>
      </c>
      <c r="L22" s="90">
        <f>Versões!$F$20/CÁLCULO_MÉDIAS!L$4*K22</f>
        <v>145.01916233458925</v>
      </c>
      <c r="M22" s="91"/>
      <c r="N22" s="90" t="e">
        <f>[3]ORÇAMENTO_EXECUTIVO!$B$20/CÁLCULO_MÉDIAS!N$4*M22</f>
        <v>#DIV/0!</v>
      </c>
      <c r="O22" s="91">
        <v>168.50558299396542</v>
      </c>
      <c r="P22" s="90">
        <f>Versões!$F$20/CÁLCULO_MÉDIAS!P$4*O22</f>
        <v>178.19201348623187</v>
      </c>
      <c r="Q22" s="95"/>
      <c r="R22" s="90">
        <f>[3]ORÇAMENTO_EXECUTIVO!$B$20/CÁLCULO_MÉDIAS!R$4*Q22</f>
        <v>0</v>
      </c>
      <c r="S22" s="95">
        <v>132.83000000000001</v>
      </c>
      <c r="T22" s="90">
        <f>Versões!$F$20/CÁLCULO_MÉDIAS!T$4*S22</f>
        <v>144.2790339222035</v>
      </c>
      <c r="U22" s="91">
        <v>81.849999999999994</v>
      </c>
      <c r="V22" s="90">
        <f>[3]ORÇAMENTO_EXECUTIVO!$B$20/CÁLCULO_MÉDIAS!V$4*U22</f>
        <v>84.420791983970844</v>
      </c>
      <c r="W22" s="91">
        <v>191.99</v>
      </c>
      <c r="X22" s="90">
        <f>Versões!$F$20/CÁLCULO_MÉDIAS!X$4*W22</f>
        <v>209.97705172264853</v>
      </c>
      <c r="Y22" s="92">
        <v>172.28</v>
      </c>
      <c r="Z22" s="90">
        <f>Versões!$F$20/CÁLCULO_MÉDIAS!Z$4*Y22</f>
        <v>181.92309679571795</v>
      </c>
      <c r="AA22" s="91"/>
      <c r="AB22" s="90" t="e">
        <f>[3]ORÇAMENTO_EXECUTIVO!$B$20/CÁLCULO_MÉDIAS!AB$4*AA22</f>
        <v>#DIV/0!</v>
      </c>
      <c r="AC22" s="91"/>
      <c r="AD22" s="90" t="e">
        <f>[3]ORÇAMENTO_EXECUTIVO!$B$20/CÁLCULO_MÉDIAS!AD$4*AC22</f>
        <v>#DIV/0!</v>
      </c>
      <c r="AF22" s="89">
        <v>160</v>
      </c>
      <c r="AG22" s="89">
        <v>235</v>
      </c>
    </row>
    <row r="23" spans="2:33" ht="19.149999999999999" customHeight="1" x14ac:dyDescent="0.25">
      <c r="B23" s="93" t="s">
        <v>14</v>
      </c>
      <c r="C23" s="91">
        <v>33.8431574457395</v>
      </c>
      <c r="D23" s="90">
        <f>[3]ORÇAMENTO_EXECUTIVO!$B$20/CÁLCULO_MÉDIAS!D$4*C23</f>
        <v>34.906122844319469</v>
      </c>
      <c r="E23" s="91"/>
      <c r="F23" s="90" t="e">
        <f>[3]ORÇAMENTO_EXECUTIVO!$B$20/CÁLCULO_MÉDIAS!F$4*E23</f>
        <v>#DIV/0!</v>
      </c>
      <c r="G23" s="91">
        <v>80.680000000000007</v>
      </c>
      <c r="H23" s="90">
        <f>[3]ORÇAMENTO_EXECUTIVO!$B$20/CÁLCULO_MÉDIAS!H$4*G23</f>
        <v>85.257769530000687</v>
      </c>
      <c r="I23" s="91">
        <v>59.11</v>
      </c>
      <c r="J23" s="90">
        <f>[3]ORÇAMENTO_EXECUTIVO!$B$20/CÁLCULO_MÉDIAS!J$4*I23</f>
        <v>68.2396473886282</v>
      </c>
      <c r="K23" s="91">
        <v>48.84</v>
      </c>
      <c r="L23" s="90">
        <f>Versões!$F$20/CÁLCULO_MÉDIAS!L$4*K23</f>
        <v>52.174850006787032</v>
      </c>
      <c r="M23" s="91"/>
      <c r="N23" s="90" t="e">
        <f>[3]ORÇAMENTO_EXECUTIVO!$B$20/CÁLCULO_MÉDIAS!N$4*M23</f>
        <v>#DIV/0!</v>
      </c>
      <c r="O23" s="91">
        <v>53.679930572512575</v>
      </c>
      <c r="P23" s="90">
        <f>Versões!$F$20/CÁLCULO_MÉDIAS!P$4*O23</f>
        <v>56.765685400819677</v>
      </c>
      <c r="Q23" s="91">
        <v>82.252956433522513</v>
      </c>
      <c r="R23" s="90">
        <f>[3]ORÇAMENTO_EXECUTIVO!$B$20/CÁLCULO_MÉDIAS!R$4*Q23</f>
        <v>87.784124604378107</v>
      </c>
      <c r="S23" s="91">
        <v>104.14</v>
      </c>
      <c r="T23" s="90">
        <f>Versões!$F$20/CÁLCULO_MÉDIAS!T$4*S23</f>
        <v>113.1161529222184</v>
      </c>
      <c r="U23" s="91">
        <v>12.04</v>
      </c>
      <c r="V23" s="90">
        <f>[3]ORÇAMENTO_EXECUTIVO!$B$20/CÁLCULO_MÉDIAS!V$4*U23</f>
        <v>12.418159260684288</v>
      </c>
      <c r="W23" s="91">
        <v>38.14</v>
      </c>
      <c r="X23" s="90">
        <f>Versões!$F$20/CÁLCULO_MÉDIAS!X$4*W23</f>
        <v>41.713238984852417</v>
      </c>
      <c r="Y23" s="92">
        <v>63.63</v>
      </c>
      <c r="Z23" s="90">
        <f>Versões!$F$20/CÁLCULO_MÉDIAS!Z$4*Y23</f>
        <v>67.19158723654246</v>
      </c>
      <c r="AA23" s="91"/>
      <c r="AB23" s="90" t="e">
        <f>[3]ORÇAMENTO_EXECUTIVO!$B$20/CÁLCULO_MÉDIAS!AB$4*AA23</f>
        <v>#DIV/0!</v>
      </c>
      <c r="AC23" s="91"/>
      <c r="AD23" s="90" t="e">
        <f>[3]ORÇAMENTO_EXECUTIVO!$B$20/CÁLCULO_MÉDIAS!AD$4*AC23</f>
        <v>#DIV/0!</v>
      </c>
      <c r="AF23" s="89">
        <v>55</v>
      </c>
      <c r="AG23" s="89">
        <v>70</v>
      </c>
    </row>
    <row r="24" spans="2:33" ht="19.149999999999999" customHeight="1" x14ac:dyDescent="0.25">
      <c r="B24" s="94" t="s">
        <v>81</v>
      </c>
      <c r="C24" s="91">
        <v>253.39717719776624</v>
      </c>
      <c r="D24" s="90">
        <f>[3]ORÇAMENTO_EXECUTIVO!$B$20/CÁLCULO_MÉDIAS!D$4*C24</f>
        <v>261.356021814759</v>
      </c>
      <c r="E24" s="91"/>
      <c r="F24" s="90" t="e">
        <f>[3]ORÇAMENTO_EXECUTIVO!$B$20/CÁLCULO_MÉDIAS!F$4*E24</f>
        <v>#DIV/0!</v>
      </c>
      <c r="G24" s="91">
        <v>258.11</v>
      </c>
      <c r="H24" s="90">
        <f>[3]ORÇAMENTO_EXECUTIVO!$B$20/CÁLCULO_MÉDIAS!H$4*G24</f>
        <v>272.75511766718489</v>
      </c>
      <c r="I24" s="91">
        <v>221.98</v>
      </c>
      <c r="J24" s="90">
        <f>[3]ORÇAMENTO_EXECUTIVO!$B$20/CÁLCULO_MÉDIAS!J$4*I24</f>
        <v>256.26521616186238</v>
      </c>
      <c r="K24" s="91">
        <v>232.62</v>
      </c>
      <c r="L24" s="90">
        <f>Versões!$F$20/CÁLCULO_MÉDIAS!L$4*K24</f>
        <v>248.50355463920553</v>
      </c>
      <c r="M24" s="91"/>
      <c r="N24" s="90" t="e">
        <f>[3]ORÇAMENTO_EXECUTIVO!$B$20/CÁLCULO_MÉDIAS!N$4*M24</f>
        <v>#DIV/0!</v>
      </c>
      <c r="O24" s="91">
        <v>142.21829092337595</v>
      </c>
      <c r="P24" s="90">
        <f>Versões!$F$20/CÁLCULO_MÉDIAS!P$4*O24</f>
        <v>150.39361405084495</v>
      </c>
      <c r="Q24" s="95"/>
      <c r="R24" s="90">
        <f>[3]ORÇAMENTO_EXECUTIVO!$B$20/CÁLCULO_MÉDIAS!R$4*Q24</f>
        <v>0</v>
      </c>
      <c r="S24" s="95">
        <v>275.58999999999997</v>
      </c>
      <c r="T24" s="90">
        <f>Versões!$F$20/CÁLCULO_MÉDIAS!T$4*S24</f>
        <v>299.34396566001698</v>
      </c>
      <c r="U24" s="91">
        <v>237.36</v>
      </c>
      <c r="V24" s="90">
        <f>[3]ORÇAMENTO_EXECUTIVO!$B$20/CÁLCULO_MÉDIAS!V$4*U24</f>
        <v>244.81513971063316</v>
      </c>
      <c r="W24" s="91">
        <v>203.24</v>
      </c>
      <c r="X24" s="90">
        <f>Versões!$F$20/CÁLCULO_MÉDIAS!X$4*W24</f>
        <v>222.2810354295072</v>
      </c>
      <c r="Y24" s="92">
        <v>201.49</v>
      </c>
      <c r="Z24" s="90">
        <f>Versões!$F$20/CÁLCULO_MÉDIAS!Z$4*Y24</f>
        <v>212.76807971540057</v>
      </c>
      <c r="AA24" s="91"/>
      <c r="AB24" s="90" t="e">
        <f>[3]ORÇAMENTO_EXECUTIVO!$B$20/CÁLCULO_MÉDIAS!AB$4*AA24</f>
        <v>#DIV/0!</v>
      </c>
      <c r="AC24" s="91"/>
      <c r="AD24" s="90" t="e">
        <f>[3]ORÇAMENTO_EXECUTIVO!$B$20/CÁLCULO_MÉDIAS!AD$4*AC24</f>
        <v>#DIV/0!</v>
      </c>
      <c r="AF24" s="89">
        <v>220</v>
      </c>
      <c r="AG24" s="89">
        <v>320</v>
      </c>
    </row>
    <row r="25" spans="2:33" ht="19.149999999999999" customHeight="1" x14ac:dyDescent="0.25">
      <c r="B25" s="93" t="s">
        <v>15</v>
      </c>
      <c r="C25" s="91">
        <v>75.431686982189689</v>
      </c>
      <c r="D25" s="90">
        <f>[3]ORÇAMENTO_EXECUTIVO!$B$20/CÁLCULO_MÉDIAS!D$4*C25</f>
        <v>77.800888890939987</v>
      </c>
      <c r="E25" s="91"/>
      <c r="F25" s="90" t="e">
        <f>[3]ORÇAMENTO_EXECUTIVO!$B$20/CÁLCULO_MÉDIAS!F$4*E25</f>
        <v>#DIV/0!</v>
      </c>
      <c r="G25" s="91">
        <v>168.13</v>
      </c>
      <c r="H25" s="90">
        <f>[3]ORÇAMENTO_EXECUTIVO!$B$20/CÁLCULO_MÉDIAS!H$4*G25</f>
        <v>177.66966771292778</v>
      </c>
      <c r="I25" s="91">
        <v>88.9</v>
      </c>
      <c r="J25" s="90">
        <f>[3]ORÇAMENTO_EXECUTIVO!$B$20/CÁLCULO_MÉDIAS!J$4*I25</f>
        <v>102.6307672618685</v>
      </c>
      <c r="K25" s="91">
        <v>58.7</v>
      </c>
      <c r="L25" s="90">
        <f>Versões!$F$20/CÁLCULO_MÉDIAS!L$4*K25</f>
        <v>62.708101871384081</v>
      </c>
      <c r="M25" s="91"/>
      <c r="N25" s="90" t="e">
        <f>[3]ORÇAMENTO_EXECUTIVO!$B$20/CÁLCULO_MÉDIAS!N$4*M25</f>
        <v>#DIV/0!</v>
      </c>
      <c r="O25" s="91">
        <v>139.1207453098005</v>
      </c>
      <c r="P25" s="90">
        <f>Versões!$F$20/CÁLCULO_MÉDIAS!P$4*O25</f>
        <v>147.11800810390002</v>
      </c>
      <c r="Q25" s="91">
        <v>131.71984554415201</v>
      </c>
      <c r="R25" s="90">
        <f>[3]ORÇAMENTO_EXECUTIVO!$B$20/CÁLCULO_MÉDIAS!R$4*Q25</f>
        <v>140.5774556378714</v>
      </c>
      <c r="S25" s="91">
        <v>77.540000000000006</v>
      </c>
      <c r="T25" s="90">
        <f>Versões!$F$20/CÁLCULO_MÉDIAS!T$4*S25</f>
        <v>84.223415571238874</v>
      </c>
      <c r="U25" s="91">
        <v>75.430000000000007</v>
      </c>
      <c r="V25" s="90">
        <f>[3]ORÇAMENTO_EXECUTIVO!$B$20/CÁLCULO_MÉDIAS!V$4*U25</f>
        <v>77.799148923041201</v>
      </c>
      <c r="W25" s="91">
        <v>90.86</v>
      </c>
      <c r="X25" s="90">
        <f>Versões!$F$20/CÁLCULO_MÉDIAS!X$4*W25</f>
        <v>99.372440853793663</v>
      </c>
      <c r="Y25" s="92">
        <v>110</v>
      </c>
      <c r="Z25" s="90">
        <f>Versões!$F$20/CÁLCULO_MÉDIAS!Z$4*Y25</f>
        <v>116.15707364481644</v>
      </c>
      <c r="AA25" s="91"/>
      <c r="AB25" s="90" t="e">
        <f>[3]ORÇAMENTO_EXECUTIVO!$B$20/CÁLCULO_MÉDIAS!AB$4*AA25</f>
        <v>#DIV/0!</v>
      </c>
      <c r="AC25" s="91"/>
      <c r="AD25" s="90" t="e">
        <f>[3]ORÇAMENTO_EXECUTIVO!$B$20/CÁLCULO_MÉDIAS!AD$4*AC25</f>
        <v>#DIV/0!</v>
      </c>
      <c r="AF25" s="89">
        <v>90</v>
      </c>
      <c r="AG25" s="89">
        <v>120</v>
      </c>
    </row>
    <row r="26" spans="2:33" ht="19.149999999999999" customHeight="1" x14ac:dyDescent="0.25">
      <c r="B26" s="94" t="s">
        <v>16</v>
      </c>
      <c r="C26" s="91">
        <v>563.36879608937079</v>
      </c>
      <c r="D26" s="90">
        <f>[3]ORÇAMENTO_EXECUTIVO!$B$20/CÁLCULO_MÉDIAS!D$4*C26</f>
        <v>581.06340800147666</v>
      </c>
      <c r="E26" s="91"/>
      <c r="F26" s="90" t="e">
        <f>[3]ORÇAMENTO_EXECUTIVO!$B$20/CÁLCULO_MÉDIAS!F$4*E26</f>
        <v>#DIV/0!</v>
      </c>
      <c r="G26" s="91">
        <v>695.51</v>
      </c>
      <c r="H26" s="90">
        <f>[3]ORÇAMENTO_EXECUTIVO!$B$20/CÁLCULO_MÉDIAS!H$4*G26</f>
        <v>734.97311955640521</v>
      </c>
      <c r="I26" s="91">
        <v>557.54999999999995</v>
      </c>
      <c r="J26" s="90">
        <f>[3]ORÇAMENTO_EXECUTIVO!$B$20/CÁLCULO_MÉDIAS!J$4*I26</f>
        <v>643.66461515022252</v>
      </c>
      <c r="K26" s="91">
        <v>298.16000000000003</v>
      </c>
      <c r="L26" s="90">
        <f>Versões!$F$20/CÁLCULO_MÉDIAS!L$4*K26</f>
        <v>318.51869938623304</v>
      </c>
      <c r="M26" s="91"/>
      <c r="N26" s="90" t="e">
        <f>[3]ORÇAMENTO_EXECUTIVO!$B$20/CÁLCULO_MÉDIAS!N$4*M26</f>
        <v>#DIV/0!</v>
      </c>
      <c r="O26" s="91">
        <v>228.01195858508336</v>
      </c>
      <c r="P26" s="90">
        <f>Versões!$F$20/CÁLCULO_MÉDIAS!P$4*O26</f>
        <v>241.11907319219429</v>
      </c>
      <c r="Q26" s="91">
        <v>323.47431538511512</v>
      </c>
      <c r="R26" s="90">
        <f>[3]ORÇAMENTO_EXECUTIVO!$B$20/CÁLCULO_MÉDIAS!R$4*Q26</f>
        <v>345.2266135993865</v>
      </c>
      <c r="S26" s="91">
        <v>538.76</v>
      </c>
      <c r="T26" s="90">
        <f>Versões!$F$20/CÁLCULO_MÉDIAS!T$4*S26</f>
        <v>585.19741260202022</v>
      </c>
      <c r="U26" s="91">
        <v>563.37</v>
      </c>
      <c r="V26" s="90">
        <f>[3]ORÇAMENTO_EXECUTIVO!$B$20/CÁLCULO_MÉDIAS!V$4*U26</f>
        <v>581.06464972522497</v>
      </c>
      <c r="W26" s="91">
        <v>393.73</v>
      </c>
      <c r="X26" s="90">
        <f>Versões!$F$20/CÁLCULO_MÉDIAS!X$4*W26</f>
        <v>430.61755599124126</v>
      </c>
      <c r="Y26" s="92">
        <v>248.7</v>
      </c>
      <c r="Z26" s="90">
        <f>Versões!$F$20/CÁLCULO_MÉDIAS!Z$4*Y26</f>
        <v>262.62058377696223</v>
      </c>
      <c r="AA26" s="91"/>
      <c r="AB26" s="90" t="e">
        <f>[3]ORÇAMENTO_EXECUTIVO!$B$20/CÁLCULO_MÉDIAS!AB$4*AA26</f>
        <v>#DIV/0!</v>
      </c>
      <c r="AC26" s="91"/>
      <c r="AD26" s="90" t="e">
        <f>[3]ORÇAMENTO_EXECUTIVO!$B$20/CÁLCULO_MÉDIAS!AD$4*AC26</f>
        <v>#DIV/0!</v>
      </c>
      <c r="AF26" s="89">
        <v>320</v>
      </c>
      <c r="AG26" s="89">
        <v>415</v>
      </c>
    </row>
    <row r="27" spans="2:33" ht="19.149999999999999" customHeight="1" x14ac:dyDescent="0.25">
      <c r="B27" s="94" t="s">
        <v>17</v>
      </c>
      <c r="C27" s="91">
        <v>563.36879608937079</v>
      </c>
      <c r="D27" s="90">
        <f>[3]ORÇAMENTO_EXECUTIVO!$B$20/CÁLCULO_MÉDIAS!D$4*C27</f>
        <v>581.06340800147666</v>
      </c>
      <c r="E27" s="91"/>
      <c r="F27" s="90" t="e">
        <f>[3]ORÇAMENTO_EXECUTIVO!$B$20/CÁLCULO_MÉDIAS!F$4*E27</f>
        <v>#DIV/0!</v>
      </c>
      <c r="G27" s="91">
        <v>695.51</v>
      </c>
      <c r="H27" s="90">
        <f>[3]ORÇAMENTO_EXECUTIVO!$B$20/CÁLCULO_MÉDIAS!H$4*G27</f>
        <v>734.97311955640521</v>
      </c>
      <c r="I27" s="91">
        <v>557.54999999999995</v>
      </c>
      <c r="J27" s="90">
        <f>[3]ORÇAMENTO_EXECUTIVO!$B$20/CÁLCULO_MÉDIAS!J$4*I27</f>
        <v>643.66461515022252</v>
      </c>
      <c r="K27" s="91">
        <v>18.25</v>
      </c>
      <c r="L27" s="90">
        <f>Versões!$F$20/CÁLCULO_MÉDIAS!L$4*K27</f>
        <v>19.49613047960408</v>
      </c>
      <c r="M27" s="91"/>
      <c r="N27" s="90" t="e">
        <f>[3]ORÇAMENTO_EXECUTIVO!$B$20/CÁLCULO_MÉDIAS!N$4*M27</f>
        <v>#DIV/0!</v>
      </c>
      <c r="O27" s="91">
        <v>30.766772210515033</v>
      </c>
      <c r="P27" s="90">
        <f>Versões!$F$20/CÁLCULO_MÉDIAS!P$4*O27</f>
        <v>32.535379488644338</v>
      </c>
      <c r="Q27" s="91">
        <v>5.0049675079668363</v>
      </c>
      <c r="R27" s="90">
        <f>[3]ORÇAMENTO_EXECUTIVO!$B$20/CÁLCULO_MÉDIAS!R$4*Q27</f>
        <v>5.3415306927638051</v>
      </c>
      <c r="S27" s="91">
        <v>21.68</v>
      </c>
      <c r="T27" s="90">
        <f>Versões!$F$20/CÁLCULO_MÉDIAS!T$4*S27</f>
        <v>23.548667134181823</v>
      </c>
      <c r="U27" s="91">
        <v>563.37</v>
      </c>
      <c r="V27" s="90">
        <f>[3]ORÇAMENTO_EXECUTIVO!$B$20/CÁLCULO_MÉDIAS!V$4*U27</f>
        <v>581.06464972522497</v>
      </c>
      <c r="W27" s="91">
        <v>21.09</v>
      </c>
      <c r="X27" s="90">
        <f>Versões!$F$20/CÁLCULO_MÉDIAS!X$4*W27</f>
        <v>23.065868122457719</v>
      </c>
      <c r="Y27" s="92">
        <v>7.25</v>
      </c>
      <c r="Z27" s="90">
        <f>Versões!$F$20/CÁLCULO_MÉDIAS!Z$4*Y27</f>
        <v>7.6558071265901741</v>
      </c>
      <c r="AA27" s="91"/>
      <c r="AB27" s="90" t="e">
        <f>[3]ORÇAMENTO_EXECUTIVO!$B$20/CÁLCULO_MÉDIAS!AB$4*AA27</f>
        <v>#DIV/0!</v>
      </c>
      <c r="AC27" s="91"/>
      <c r="AD27" s="90" t="e">
        <f>[3]ORÇAMENTO_EXECUTIVO!$B$20/CÁLCULO_MÉDIAS!AD$4*AC27</f>
        <v>#DIV/0!</v>
      </c>
      <c r="AF27" s="89">
        <v>25</v>
      </c>
      <c r="AG27" s="89">
        <v>35</v>
      </c>
    </row>
    <row r="28" spans="2:33" ht="19.149999999999999" customHeight="1" x14ac:dyDescent="0.25">
      <c r="B28" s="94" t="s">
        <v>18</v>
      </c>
      <c r="C28" s="91">
        <v>106.61098215827791</v>
      </c>
      <c r="D28" s="90">
        <f>[3]ORÇAMENTO_EXECUTIVO!$B$20/CÁLCULO_MÉDIAS!D$4*C28</f>
        <v>109.9594813438095</v>
      </c>
      <c r="E28" s="91"/>
      <c r="F28" s="90" t="e">
        <f>[3]ORÇAMENTO_EXECUTIVO!$B$20/CÁLCULO_MÉDIAS!F$4*E28</f>
        <v>#DIV/0!</v>
      </c>
      <c r="G28" s="91">
        <v>273.88</v>
      </c>
      <c r="H28" s="90">
        <f>[3]ORÇAMENTO_EXECUTIVO!$B$20/CÁLCULO_MÉDIAS!H$4*G28</f>
        <v>289.41990479519814</v>
      </c>
      <c r="I28" s="91">
        <v>155.33000000000001</v>
      </c>
      <c r="J28" s="90">
        <f>[3]ORÇAMENTO_EXECUTIVO!$B$20/CÁLCULO_MÉDIAS!J$4*I28</f>
        <v>179.32100201109151</v>
      </c>
      <c r="K28" s="91">
        <v>164.45</v>
      </c>
      <c r="L28" s="90">
        <f>Versões!$F$20/CÁLCULO_MÉDIAS!L$4*K28</f>
        <v>175.67883054087071</v>
      </c>
      <c r="M28" s="91"/>
      <c r="N28" s="90" t="e">
        <f>[3]ORÇAMENTO_EXECUTIVO!$B$20/CÁLCULO_MÉDIAS!N$4*M28</f>
        <v>#DIV/0!</v>
      </c>
      <c r="O28" s="91">
        <v>165.5221412653739</v>
      </c>
      <c r="P28" s="90">
        <f>Versões!$F$20/CÁLCULO_MÉDIAS!P$4*O28</f>
        <v>175.0370706096175</v>
      </c>
      <c r="Q28" s="91">
        <v>165.68145313767593</v>
      </c>
      <c r="R28" s="90">
        <f>[3]ORÇAMENTO_EXECUTIVO!$B$20/CÁLCULO_MÉDIAS!R$4*Q28</f>
        <v>176.82283965837647</v>
      </c>
      <c r="S28" s="91">
        <v>360.6</v>
      </c>
      <c r="T28" s="90">
        <f>Versões!$F$20/CÁLCULO_MÉDIAS!T$4*S28</f>
        <v>391.68124393846705</v>
      </c>
      <c r="U28" s="91">
        <v>106.61</v>
      </c>
      <c r="V28" s="90">
        <f>[3]ORÇAMENTO_EXECUTIVO!$B$20/CÁLCULO_MÉDIAS!V$4*U28</f>
        <v>109.95846833733822</v>
      </c>
      <c r="W28" s="91">
        <v>120.6</v>
      </c>
      <c r="X28" s="90">
        <f>Versões!$F$20/CÁLCULO_MÉDIAS!X$4*W28</f>
        <v>131.89870533752492</v>
      </c>
      <c r="Y28" s="92">
        <v>73.95</v>
      </c>
      <c r="Z28" s="90">
        <f>Versões!$F$20/CÁLCULO_MÉDIAS!Z$4*Y28</f>
        <v>78.089232691219777</v>
      </c>
      <c r="AA28" s="91"/>
      <c r="AB28" s="90" t="e">
        <f>[3]ORÇAMENTO_EXECUTIVO!$B$20/CÁLCULO_MÉDIAS!AB$4*AA28</f>
        <v>#DIV/0!</v>
      </c>
      <c r="AC28" s="91"/>
      <c r="AD28" s="90" t="e">
        <f>[3]ORÇAMENTO_EXECUTIVO!$B$20/CÁLCULO_MÉDIAS!AD$4*AC28</f>
        <v>#DIV/0!</v>
      </c>
      <c r="AF28" s="89">
        <v>90</v>
      </c>
      <c r="AG28" s="89">
        <v>180</v>
      </c>
    </row>
    <row r="29" spans="2:33" ht="19.149999999999999" customHeight="1" x14ac:dyDescent="0.25">
      <c r="B29" s="93" t="s">
        <v>19</v>
      </c>
      <c r="C29" s="91">
        <v>371.14469380171556</v>
      </c>
      <c r="D29" s="90">
        <f>[3]ORÇAMENTO_EXECUTIVO!$B$20/CÁLCULO_MÉDIAS!D$4*C29</f>
        <v>382.80182029797419</v>
      </c>
      <c r="E29" s="91"/>
      <c r="F29" s="90" t="e">
        <f>[3]ORÇAMENTO_EXECUTIVO!$B$20/CÁLCULO_MÉDIAS!F$4*E29</f>
        <v>#DIV/0!</v>
      </c>
      <c r="G29" s="91">
        <v>334.34</v>
      </c>
      <c r="H29" s="90">
        <f>[3]ORÇAMENTO_EXECUTIVO!$B$20/CÁLCULO_MÉDIAS!H$4*G29</f>
        <v>353.31039495117039</v>
      </c>
      <c r="I29" s="91">
        <v>82.14</v>
      </c>
      <c r="J29" s="90">
        <f>[3]ORÇAMENTO_EXECUTIVO!$B$20/CÁLCULO_MÉDIAS!J$4*I29</f>
        <v>94.826672923395705</v>
      </c>
      <c r="K29" s="91">
        <v>167.95</v>
      </c>
      <c r="L29" s="90">
        <f>Versões!$F$20/CÁLCULO_MÉDIAS!L$4*K29</f>
        <v>179.41781446846602</v>
      </c>
      <c r="M29" s="91"/>
      <c r="N29" s="90" t="e">
        <f>[3]ORÇAMENTO_EXECUTIVO!$B$20/CÁLCULO_MÉDIAS!N$4*M29</f>
        <v>#DIV/0!</v>
      </c>
      <c r="O29" s="91">
        <v>168.56440747642634</v>
      </c>
      <c r="P29" s="90">
        <f>Versões!$F$20/CÁLCULO_MÉDIAS!P$4*O29</f>
        <v>178.2542194546381</v>
      </c>
      <c r="Q29" s="91">
        <v>142.84171607243701</v>
      </c>
      <c r="R29" s="90">
        <f>[3]ORÇAMENTO_EXECUTIVO!$B$20/CÁLCULO_MÉDIAS!R$4*Q29</f>
        <v>152.44722556009665</v>
      </c>
      <c r="S29" s="91">
        <v>229.66</v>
      </c>
      <c r="T29" s="90">
        <f>Versões!$F$20/CÁLCULO_MÉDIAS!T$4*S29</f>
        <v>249.45511503857</v>
      </c>
      <c r="U29" s="91">
        <v>371.14</v>
      </c>
      <c r="V29" s="90">
        <f>[3]ORÇAMENTO_EXECUTIVO!$B$20/CÁLCULO_MÉDIAS!V$4*U29</f>
        <v>382.79697907062848</v>
      </c>
      <c r="W29" s="91">
        <v>152.51</v>
      </c>
      <c r="X29" s="90">
        <f>Versões!$F$20/CÁLCULO_MÉDIAS!X$4*W29</f>
        <v>166.79827156737917</v>
      </c>
      <c r="Y29" s="92">
        <v>192.08</v>
      </c>
      <c r="Z29" s="90">
        <f>Versões!$F$20/CÁLCULO_MÉDIAS!Z$4*Y29</f>
        <v>202.83137005178494</v>
      </c>
      <c r="AA29" s="91"/>
      <c r="AB29" s="90" t="e">
        <f>[3]ORÇAMENTO_EXECUTIVO!$B$20/CÁLCULO_MÉDIAS!AB$4*AA29</f>
        <v>#DIV/0!</v>
      </c>
      <c r="AC29" s="91"/>
      <c r="AD29" s="90" t="e">
        <f>[3]ORÇAMENTO_EXECUTIVO!$B$20/CÁLCULO_MÉDIAS!AD$4*AC29</f>
        <v>#DIV/0!</v>
      </c>
      <c r="AF29" s="89">
        <v>180</v>
      </c>
      <c r="AG29" s="89">
        <v>250</v>
      </c>
    </row>
    <row r="30" spans="2:33" ht="19.149999999999999" customHeight="1" x14ac:dyDescent="0.25">
      <c r="B30" s="93" t="s">
        <v>80</v>
      </c>
      <c r="C30" s="91">
        <v>371.14469380171556</v>
      </c>
      <c r="D30" s="90">
        <f>[3]ORÇAMENTO_EXECUTIVO!$B$20/CÁLCULO_MÉDIAS!D$4*C30</f>
        <v>382.80182029797419</v>
      </c>
      <c r="E30" s="91"/>
      <c r="F30" s="90" t="e">
        <f>[3]ORÇAMENTO_EXECUTIVO!$B$20/CÁLCULO_MÉDIAS!F$4*E30</f>
        <v>#DIV/0!</v>
      </c>
      <c r="G30" s="91">
        <v>334.34</v>
      </c>
      <c r="H30" s="90">
        <f>[3]ORÇAMENTO_EXECUTIVO!$B$20/CÁLCULO_MÉDIAS!H$4*G30</f>
        <v>353.31039495117039</v>
      </c>
      <c r="I30" s="91">
        <v>82.14</v>
      </c>
      <c r="J30" s="90">
        <f>[3]ORÇAMENTO_EXECUTIVO!$B$20/CÁLCULO_MÉDIAS!J$4*I30</f>
        <v>94.826672923395705</v>
      </c>
      <c r="K30" s="91"/>
      <c r="L30" s="90">
        <f>Versões!$F$20/CÁLCULO_MÉDIAS!L$4*K30</f>
        <v>0</v>
      </c>
      <c r="M30" s="91"/>
      <c r="N30" s="90" t="e">
        <f>[3]ORÇAMENTO_EXECUTIVO!$B$20/CÁLCULO_MÉDIAS!N$4*M30</f>
        <v>#DIV/0!</v>
      </c>
      <c r="O30" s="91"/>
      <c r="P30" s="90">
        <f>Versões!$F$20/CÁLCULO_MÉDIAS!P$4*O30</f>
        <v>0</v>
      </c>
      <c r="Q30" s="91"/>
      <c r="R30" s="90">
        <f>[3]ORÇAMENTO_EXECUTIVO!$B$20/CÁLCULO_MÉDIAS!R$4*Q30</f>
        <v>0</v>
      </c>
      <c r="S30" s="91">
        <v>2131.58</v>
      </c>
      <c r="T30" s="90">
        <f>Versões!$F$20/CÁLCULO_MÉDIAS!T$4*S30</f>
        <v>2315.307559496277</v>
      </c>
      <c r="U30" s="91">
        <v>371.14</v>
      </c>
      <c r="V30" s="90">
        <f>[3]ORÇAMENTO_EXECUTIVO!$B$20/CÁLCULO_MÉDIAS!V$4*U30</f>
        <v>382.79697907062848</v>
      </c>
      <c r="W30" s="91"/>
      <c r="X30" s="90">
        <f>Versões!$F$20/CÁLCULO_MÉDIAS!X$4*W30</f>
        <v>0</v>
      </c>
      <c r="Y30" s="92"/>
      <c r="Z30" s="90">
        <f>Versões!$F$20/CÁLCULO_MÉDIAS!Z$4*Y30</f>
        <v>0</v>
      </c>
      <c r="AA30" s="91"/>
      <c r="AB30" s="90" t="e">
        <f>[3]ORÇAMENTO_EXECUTIVO!$B$20/CÁLCULO_MÉDIAS!AB$4*AA30</f>
        <v>#DIV/0!</v>
      </c>
      <c r="AC30" s="91"/>
      <c r="AD30" s="90" t="e">
        <f>[3]ORÇAMENTO_EXECUTIVO!$B$20/CÁLCULO_MÉDIAS!AD$4*AC30</f>
        <v>#DIV/0!</v>
      </c>
      <c r="AF30" s="89"/>
      <c r="AG30" s="89"/>
    </row>
    <row r="31" spans="2:33" ht="19.149999999999999" customHeight="1" thickBot="1" x14ac:dyDescent="0.3">
      <c r="B31" s="93" t="s">
        <v>79</v>
      </c>
      <c r="C31" s="91">
        <v>371.14469380171556</v>
      </c>
      <c r="D31" s="90">
        <f>[3]ORÇAMENTO_EXECUTIVO!$B$20/CÁLCULO_MÉDIAS!D$4*C31</f>
        <v>382.80182029797419</v>
      </c>
      <c r="E31" s="91"/>
      <c r="F31" s="90" t="e">
        <f>[3]ORÇAMENTO_EXECUTIVO!$B$20/CÁLCULO_MÉDIAS!F$4*E31</f>
        <v>#DIV/0!</v>
      </c>
      <c r="G31" s="91">
        <v>334.34</v>
      </c>
      <c r="H31" s="90">
        <f>[3]ORÇAMENTO_EXECUTIVO!$B$20/CÁLCULO_MÉDIAS!H$4*G31</f>
        <v>353.31039495117039</v>
      </c>
      <c r="I31" s="91">
        <v>82.14</v>
      </c>
      <c r="J31" s="90">
        <f>[3]ORÇAMENTO_EXECUTIVO!$B$20/CÁLCULO_MÉDIAS!J$4*I31</f>
        <v>94.826672923395705</v>
      </c>
      <c r="K31" s="91"/>
      <c r="L31" s="90">
        <f>Versões!$F$20/CÁLCULO_MÉDIAS!L$4*K31</f>
        <v>0</v>
      </c>
      <c r="M31" s="91"/>
      <c r="N31" s="90" t="e">
        <f>[3]ORÇAMENTO_EXECUTIVO!$B$20/CÁLCULO_MÉDIAS!N$4*M31</f>
        <v>#DIV/0!</v>
      </c>
      <c r="O31" s="91"/>
      <c r="P31" s="90">
        <f>Versões!$F$20/CÁLCULO_MÉDIAS!P$4*O31</f>
        <v>0</v>
      </c>
      <c r="Q31" s="91"/>
      <c r="R31" s="90">
        <f>[3]ORÇAMENTO_EXECUTIVO!$B$20/CÁLCULO_MÉDIAS!R$4*Q31</f>
        <v>0</v>
      </c>
      <c r="S31" s="91">
        <v>48.793744074234922</v>
      </c>
      <c r="T31" s="90">
        <f>Versões!$F$20/CÁLCULO_MÉDIAS!T$4*S31</f>
        <v>52.999429770969329</v>
      </c>
      <c r="U31" s="91">
        <v>371.14</v>
      </c>
      <c r="V31" s="90">
        <f>[3]ORÇAMENTO_EXECUTIVO!$B$20/CÁLCULO_MÉDIAS!V$4*U31</f>
        <v>382.79697907062848</v>
      </c>
      <c r="W31" s="91"/>
      <c r="X31" s="90">
        <f>Versões!$F$20/CÁLCULO_MÉDIAS!X$4*W31</f>
        <v>0</v>
      </c>
      <c r="Y31" s="92"/>
      <c r="Z31" s="90">
        <f>Versões!$F$20/CÁLCULO_MÉDIAS!Z$4*Y31</f>
        <v>0</v>
      </c>
      <c r="AA31" s="91"/>
      <c r="AB31" s="90" t="e">
        <f>[3]ORÇAMENTO_EXECUTIVO!$B$20/CÁLCULO_MÉDIAS!AB$4*AA31</f>
        <v>#DIV/0!</v>
      </c>
      <c r="AC31" s="91"/>
      <c r="AD31" s="90" t="e">
        <f>[3]ORÇAMENTO_EXECUTIVO!$B$20/CÁLCULO_MÉDIAS!AD$4*AC31</f>
        <v>#DIV/0!</v>
      </c>
      <c r="AF31" s="89"/>
      <c r="AG31" s="89"/>
    </row>
    <row r="32" spans="2:33" ht="19.149999999999999" customHeight="1" thickBot="1" x14ac:dyDescent="0.3">
      <c r="B32" s="88" t="s">
        <v>21</v>
      </c>
      <c r="C32" s="86">
        <f t="shared" ref="C32:AD32" si="0">SUM(C13:C31)</f>
        <v>4905.7040493224949</v>
      </c>
      <c r="D32" s="85">
        <f t="shared" si="0"/>
        <v>5059.7852300889163</v>
      </c>
      <c r="E32" s="86">
        <f t="shared" si="0"/>
        <v>0</v>
      </c>
      <c r="F32" s="85" t="e">
        <f t="shared" si="0"/>
        <v>#DIV/0!</v>
      </c>
      <c r="G32" s="86">
        <f t="shared" si="0"/>
        <v>6066.1800000000012</v>
      </c>
      <c r="H32" s="85">
        <f t="shared" si="0"/>
        <v>6410.3740253780315</v>
      </c>
      <c r="I32" s="86">
        <f t="shared" si="0"/>
        <v>4652.670000000001</v>
      </c>
      <c r="J32" s="85">
        <f t="shared" si="0"/>
        <v>5371.28337363642</v>
      </c>
      <c r="K32" s="86">
        <f t="shared" si="0"/>
        <v>2932.7599999999993</v>
      </c>
      <c r="L32" s="85">
        <f t="shared" si="0"/>
        <v>3133.0121438555434</v>
      </c>
      <c r="M32" s="86">
        <f t="shared" si="0"/>
        <v>0</v>
      </c>
      <c r="N32" s="85" t="e">
        <f t="shared" si="0"/>
        <v>#DIV/0!</v>
      </c>
      <c r="O32" s="86">
        <f t="shared" si="0"/>
        <v>2926.3723817937826</v>
      </c>
      <c r="P32" s="85">
        <f t="shared" si="0"/>
        <v>3094.592936668505</v>
      </c>
      <c r="Q32" s="86">
        <f t="shared" si="0"/>
        <v>2928.5683165611918</v>
      </c>
      <c r="R32" s="85">
        <f t="shared" si="0"/>
        <v>3125.5023182202212</v>
      </c>
      <c r="S32" s="86">
        <f t="shared" si="0"/>
        <v>6604.0037440742344</v>
      </c>
      <c r="T32" s="85">
        <f t="shared" si="0"/>
        <v>7173.2235203918171</v>
      </c>
      <c r="U32" s="86">
        <f t="shared" si="0"/>
        <v>4867.8600000000006</v>
      </c>
      <c r="V32" s="85">
        <f t="shared" si="0"/>
        <v>5020.7525530493876</v>
      </c>
      <c r="W32" s="86">
        <f t="shared" si="0"/>
        <v>2942.5300000000007</v>
      </c>
      <c r="X32" s="85">
        <f t="shared" si="0"/>
        <v>3218.2081046171415</v>
      </c>
      <c r="Y32" s="87">
        <f t="shared" si="0"/>
        <v>3093.58</v>
      </c>
      <c r="Z32" s="85">
        <f t="shared" si="0"/>
        <v>3266.7381807830116</v>
      </c>
      <c r="AA32" s="86">
        <f t="shared" si="0"/>
        <v>0</v>
      </c>
      <c r="AB32" s="85" t="e">
        <f t="shared" si="0"/>
        <v>#DIV/0!</v>
      </c>
      <c r="AC32" s="86">
        <f t="shared" si="0"/>
        <v>0</v>
      </c>
      <c r="AD32" s="85" t="e">
        <f t="shared" si="0"/>
        <v>#DIV/0!</v>
      </c>
      <c r="AF32" s="84">
        <f>SUM(AF14:AF31)</f>
        <v>2510</v>
      </c>
      <c r="AG32" s="84">
        <f>SUM(AG14:AG31)</f>
        <v>3475</v>
      </c>
    </row>
    <row r="33" spans="2:30" x14ac:dyDescent="0.25">
      <c r="F33" s="83"/>
      <c r="N33" s="83"/>
      <c r="X33" s="83"/>
      <c r="Z33" s="83"/>
      <c r="AB33" s="83"/>
      <c r="AD33" s="83"/>
    </row>
    <row r="34" spans="2:30" x14ac:dyDescent="0.25">
      <c r="B34" s="82"/>
      <c r="C34" s="81"/>
      <c r="D34" s="80"/>
      <c r="E34" s="82"/>
      <c r="F34" s="81"/>
      <c r="M34" s="82"/>
      <c r="N34" s="81"/>
      <c r="W34" s="82"/>
      <c r="X34" s="81"/>
      <c r="Y34" s="82"/>
      <c r="Z34" s="81"/>
      <c r="AA34" s="82"/>
      <c r="AB34" s="81"/>
      <c r="AC34" s="82"/>
      <c r="AD34" s="81"/>
    </row>
    <row r="35" spans="2:30" x14ac:dyDescent="0.25">
      <c r="C35" s="81"/>
      <c r="D35" s="80"/>
      <c r="F35" s="81"/>
      <c r="N35" s="81"/>
      <c r="X35" s="81"/>
      <c r="Z35" s="81"/>
      <c r="AB35" s="81"/>
      <c r="AD35" s="81"/>
    </row>
    <row r="36" spans="2:30" x14ac:dyDescent="0.25">
      <c r="D36" s="80"/>
    </row>
  </sheetData>
  <mergeCells count="15">
    <mergeCell ref="AF11:AG11"/>
    <mergeCell ref="C11:D11"/>
    <mergeCell ref="M11:N11"/>
    <mergeCell ref="S11:T11"/>
    <mergeCell ref="Q11:R11"/>
    <mergeCell ref="O11:P11"/>
    <mergeCell ref="E11:F11"/>
    <mergeCell ref="G11:H11"/>
    <mergeCell ref="I11:J11"/>
    <mergeCell ref="K11:L11"/>
    <mergeCell ref="W11:X11"/>
    <mergeCell ref="AC11:AD11"/>
    <mergeCell ref="AA11:AB11"/>
    <mergeCell ref="Y11:Z11"/>
    <mergeCell ref="U11:V1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 EXECUTIVO</vt:lpstr>
      <vt:lpstr>Versões</vt:lpstr>
      <vt:lpstr>ANÁLISE_CUSTOS</vt:lpstr>
      <vt:lpstr>AREAS_PRIVATIVAS</vt:lpstr>
      <vt:lpstr>CÁLCULO_MÉDIAS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Bragatto</dc:creator>
  <cp:lastModifiedBy>valquiria vansquelhe de oliveira</cp:lastModifiedBy>
  <dcterms:created xsi:type="dcterms:W3CDTF">2024-10-30T09:58:03Z</dcterms:created>
  <dcterms:modified xsi:type="dcterms:W3CDTF">2025-08-26T20:24:56Z</dcterms:modified>
</cp:coreProperties>
</file>