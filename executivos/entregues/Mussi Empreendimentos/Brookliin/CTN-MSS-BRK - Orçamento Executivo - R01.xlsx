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I:\Drives compartilhados\Methodo Engenharia - Projetos\2. Propostas Fechadas\Mussi Empreendimentos - 07.2020\Brooklyn\03. Custo\03.5 Custo - Determinação do orçamento\"/>
    </mc:Choice>
  </mc:AlternateContent>
  <xr:revisionPtr revIDLastSave="0" documentId="13_ncr:1_{6DDF1377-392E-4781-B499-30E99B08C3C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çamento Resumo" sheetId="1" r:id="rId1"/>
    <sheet name="Planilha1" sheetId="2" r:id="rId2"/>
  </sheets>
  <definedNames>
    <definedName name="_xlnm._FilterDatabase" localSheetId="0" hidden="1">'Orçamento Resumo'!$A$1:$E$21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0" i="1" l="1"/>
  <c r="B7" i="1"/>
  <c r="B8" i="2"/>
  <c r="B9" i="2"/>
  <c r="B12" i="2"/>
  <c r="B13" i="2"/>
  <c r="B14" i="2"/>
  <c r="B15" i="2"/>
  <c r="B16" i="2"/>
  <c r="B17" i="2"/>
  <c r="E17" i="1"/>
  <c r="D17" i="1"/>
  <c r="H5" i="1"/>
  <c r="E2" i="1" s="1"/>
  <c r="D2" i="1"/>
  <c r="I10" i="1" l="1"/>
  <c r="D8" i="1" l="1"/>
  <c r="B7" i="2" s="1"/>
  <c r="E8" i="1"/>
  <c r="D3" i="1" l="1"/>
  <c r="B2" i="2" s="1"/>
  <c r="D4" i="1"/>
  <c r="B3" i="2" s="1"/>
  <c r="D5" i="1"/>
  <c r="B4" i="2" s="1"/>
  <c r="D6" i="1"/>
  <c r="B5" i="2" s="1"/>
  <c r="D7" i="1"/>
  <c r="B6" i="2" s="1"/>
  <c r="D9" i="1"/>
  <c r="D10" i="1"/>
  <c r="D11" i="1"/>
  <c r="B10" i="2" s="1"/>
  <c r="D12" i="1"/>
  <c r="B11" i="2" s="1"/>
  <c r="D13" i="1"/>
  <c r="D14" i="1"/>
  <c r="D15" i="1"/>
  <c r="D16" i="1"/>
  <c r="D18" i="1"/>
  <c r="D19" i="1"/>
  <c r="D20" i="1" l="1"/>
  <c r="D21" i="1" s="1"/>
  <c r="B18" i="2"/>
  <c r="E5" i="1"/>
  <c r="E11" i="1"/>
  <c r="E13" i="1"/>
  <c r="E19" i="1"/>
  <c r="E18" i="2" l="1"/>
  <c r="D18" i="2"/>
  <c r="E16" i="1" l="1"/>
  <c r="E12" i="1" l="1"/>
  <c r="E10" i="1"/>
  <c r="E9" i="1" l="1"/>
  <c r="E6" i="1" l="1"/>
  <c r="E7" i="1" l="1"/>
  <c r="E4" i="1" l="1"/>
  <c r="E3" i="1" l="1"/>
  <c r="E18" i="1" l="1"/>
  <c r="E15" i="1" l="1"/>
  <c r="E14" i="1" l="1"/>
  <c r="E20" i="1" l="1"/>
  <c r="C17" i="1" l="1"/>
  <c r="C8" i="1" l="1"/>
  <c r="C2" i="1"/>
  <c r="C16" i="1"/>
  <c r="C3" i="1"/>
  <c r="C7" i="1"/>
  <c r="C19" i="1"/>
  <c r="C15" i="1"/>
  <c r="C12" i="1"/>
  <c r="C4" i="1"/>
  <c r="C6" i="1"/>
  <c r="C14" i="1"/>
  <c r="C5" i="1"/>
  <c r="C9" i="1"/>
  <c r="C18" i="1"/>
  <c r="C11" i="1"/>
  <c r="C10" i="1"/>
  <c r="C13" i="1"/>
  <c r="C20" i="1" l="1"/>
</calcChain>
</file>

<file path=xl/sharedStrings.xml><?xml version="1.0" encoding="utf-8"?>
<sst xmlns="http://schemas.openxmlformats.org/spreadsheetml/2006/main" count="63" uniqueCount="45">
  <si>
    <t>REVESTIMENTOS E ACABAMENTOS DE FACHADA</t>
  </si>
  <si>
    <t>COBERTURA</t>
  </si>
  <si>
    <t>PINTURA INTERNA</t>
  </si>
  <si>
    <t>IMPERMEABILIZAÇÃO</t>
  </si>
  <si>
    <t>Valor / m²</t>
  </si>
  <si>
    <t>%</t>
  </si>
  <si>
    <t>Valor Orçado</t>
  </si>
  <si>
    <t>Etapa</t>
  </si>
  <si>
    <t>TOTAL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</si>
  <si>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</si>
  <si>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</si>
  <si>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</si>
  <si>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</si>
  <si>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</si>
  <si>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GERENCIAMENTO TÉCNICO E ADMINISTRATIVO</t>
  </si>
  <si>
    <t>IMPREVISTOS E CONTINGÊNCIAS</t>
  </si>
  <si>
    <t>ALVENARIA</t>
  </si>
  <si>
    <t>SERVIÇOS COMPLEMENTARES</t>
  </si>
  <si>
    <t>CUB/SC</t>
  </si>
  <si>
    <t>CUB</t>
  </si>
  <si>
    <t>INSTALAÇÕES ELÉTRICAS, HIDROSSANITÁRIAS, PREVENTIVAS E GLP</t>
  </si>
  <si>
    <t xml:space="preserve">ESQUADRIAS </t>
  </si>
  <si>
    <t>Valor / AP</t>
  </si>
  <si>
    <t>MOVIMENTAÇÃO DE TERRA</t>
  </si>
  <si>
    <t>OBRA SIMILAR
Valor / m²</t>
  </si>
  <si>
    <t>TOTAL EXECUTIVO</t>
  </si>
  <si>
    <t>85,00 - 120,00</t>
  </si>
  <si>
    <t>40,00 - 65,00</t>
  </si>
  <si>
    <t>145,00 - 165,00</t>
  </si>
  <si>
    <t>150,00 - 200,00</t>
  </si>
  <si>
    <t>CLIMATIZAÇÃO E EXAUSTÃO</t>
  </si>
  <si>
    <t>EQUIPAMENTOS E SISTEMAS ESPECIAIS</t>
  </si>
  <si>
    <t>BROOKLYN
Valor / m²</t>
  </si>
  <si>
    <t>3,50 - 9,50</t>
  </si>
  <si>
    <t>110,00 - 150,00</t>
  </si>
  <si>
    <t xml:space="preserve">110,00 -140,00 </t>
  </si>
  <si>
    <t>270,00 - 320,00</t>
  </si>
  <si>
    <t>85,00 - 100,00</t>
  </si>
  <si>
    <t>165,00 - 220,00</t>
  </si>
  <si>
    <t>6,50 - 11,50</t>
  </si>
  <si>
    <t>40,00 - 50,00</t>
  </si>
  <si>
    <t>80,00 - 120,00</t>
  </si>
  <si>
    <t>2015,00 - 2.502,00</t>
  </si>
  <si>
    <t>580,00 - 680,00</t>
  </si>
  <si>
    <t>50,00 - 70,00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</si>
</sst>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#,##0.00"/>
  </numFmts>
  <fonts count="8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.5"/>
      <color theme="0"/>
      <name val="Poppins"/>
      <scheme val="minor"/>
    </font>
    <font>
      <sz val="10.5"/>
      <name val="Poppins"/>
      <scheme val="minor"/>
    </font>
    <font>
      <sz val="10.5"/>
      <color rgb="FF010000"/>
      <name val="Poppins"/>
      <scheme val="minor"/>
    </font>
    <font>
      <b/>
      <sz val="10.5"/>
      <color theme="0"/>
      <name val="Poppins"/>
    </font>
    <font>
      <sz val="8"/>
      <color rgb="FF202124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0" fontId="4" fillId="2" borderId="10" xfId="2" applyNumberFormat="1" applyFont="1" applyFill="1" applyBorder="1" applyAlignment="1">
      <alignment vertical="center" wrapText="1"/>
    </xf>
    <xf numFmtId="43" fontId="4" fillId="2" borderId="10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0" fontId="4" fillId="3" borderId="10" xfId="2" applyNumberFormat="1" applyFont="1" applyFill="1" applyBorder="1" applyAlignment="1">
      <alignment vertical="center" wrapText="1"/>
    </xf>
    <xf numFmtId="43" fontId="4" fillId="3" borderId="10" xfId="1" applyFont="1" applyFill="1" applyBorder="1" applyAlignment="1">
      <alignment vertical="center" wrapText="1"/>
    </xf>
    <xf numFmtId="43" fontId="4" fillId="3" borderId="11" xfId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10" fontId="4" fillId="3" borderId="0" xfId="2" applyNumberFormat="1" applyFont="1" applyFill="1" applyAlignment="1">
      <alignment vertical="center" wrapText="1"/>
    </xf>
    <xf numFmtId="43" fontId="4" fillId="3" borderId="0" xfId="0" applyNumberFormat="1" applyFont="1" applyFill="1" applyAlignment="1">
      <alignment vertical="center" wrapText="1"/>
    </xf>
    <xf numFmtId="10" fontId="4" fillId="0" borderId="0" xfId="2" applyNumberFormat="1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43" fontId="3" fillId="4" borderId="8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43" fontId="6" fillId="4" borderId="2" xfId="1" applyFont="1" applyFill="1" applyBorder="1" applyAlignment="1">
      <alignment vertical="center" wrapText="1"/>
    </xf>
    <xf numFmtId="43" fontId="6" fillId="4" borderId="2" xfId="1" applyFont="1" applyFill="1" applyBorder="1" applyAlignment="1">
      <alignment horizontal="center" vertical="center" wrapText="1"/>
    </xf>
    <xf numFmtId="43" fontId="0" fillId="0" borderId="0" xfId="1" applyFont="1"/>
    <xf numFmtId="4" fontId="4" fillId="0" borderId="0" xfId="0" applyNumberFormat="1" applyFont="1" applyAlignment="1">
      <alignment vertical="center" wrapText="1"/>
    </xf>
    <xf numFmtId="43" fontId="4" fillId="0" borderId="0" xfId="1" applyFont="1" applyAlignment="1">
      <alignment vertical="center" wrapText="1"/>
    </xf>
    <xf numFmtId="4" fontId="7" fillId="0" borderId="0" xfId="0" applyNumberFormat="1" applyFont="1"/>
    <xf numFmtId="43" fontId="4" fillId="2" borderId="10" xfId="1" applyFont="1" applyFill="1" applyBorder="1" applyAlignment="1">
      <alignment horizontal="center" vertical="center" wrapText="1"/>
    </xf>
    <xf numFmtId="43" fontId="4" fillId="3" borderId="1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6" xfId="0" applyNumberFormat="1" applyFont="1" applyFill="1" applyBorder="1" applyAlignment="1">
      <alignment horizontal="center" vertical="center" wrapText="1"/>
    </xf>
    <xf numFmtId="10" fontId="3" fillId="4" borderId="2" xfId="2" applyNumberFormat="1" applyFont="1" applyFill="1" applyBorder="1" applyAlignment="1">
      <alignment horizontal="center" vertical="center" wrapText="1"/>
    </xf>
    <xf numFmtId="17" fontId="3" fillId="4" borderId="6" xfId="1" applyNumberFormat="1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43" fontId="3" fillId="4" borderId="4" xfId="1" applyFont="1" applyFill="1" applyBorder="1" applyAlignment="1">
      <alignment horizontal="center" vertical="center" wrapText="1"/>
    </xf>
    <xf numFmtId="43" fontId="3" fillId="4" borderId="7" xfId="1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Cartesian">
      <a:majorFont>
        <a:latin typeface="Poppins Medium"/>
        <a:ea typeface=""/>
        <a:cs typeface=""/>
      </a:majorFont>
      <a:minorFont>
        <a:latin typeface="Poppins"/>
        <a:ea typeface=""/>
        <a:cs typeface="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showGridLines="0" zoomScale="115" zoomScaleNormal="115" workbookViewId="0">
      <selection activeCell="E21" sqref="A1:E21"/>
    </sheetView>
  </sheetViews>
  <sheetFormatPr defaultColWidth="9.140625" defaultRowHeight="13.5"/>
  <cols>
    <col min="1" max="1" width="65.85546875" style="1" bestFit="1" customWidth="1"/>
    <col min="2" max="2" width="16.5703125" style="1" customWidth="1"/>
    <col min="3" max="3" width="10.5703125" style="15" customWidth="1"/>
    <col min="4" max="4" width="13.85546875" style="1" customWidth="1"/>
    <col min="5" max="5" width="16.5703125" style="1" bestFit="1" customWidth="1"/>
    <col min="6" max="7" width="9.140625" style="1"/>
    <col min="8" max="8" width="13.5703125" style="1" bestFit="1" customWidth="1"/>
    <col min="9" max="9" width="12.7109375" style="1" bestFit="1" customWidth="1"/>
    <col min="10" max="11" width="9.140625" style="1"/>
    <col min="12" max="12" width="10.28515625" style="1" bestFit="1" customWidth="1"/>
    <col min="13" max="16384" width="9.140625" style="1"/>
  </cols>
  <sheetData>
    <row r="1" spans="1:12" ht="21" customHeight="1">
      <c r="A1" s="16" t="s">
        <v>7</v>
      </c>
      <c r="B1" s="17" t="s">
        <v>6</v>
      </c>
      <c r="C1" s="18" t="s">
        <v>5</v>
      </c>
      <c r="D1" s="17" t="s">
        <v>4</v>
      </c>
      <c r="E1" s="17" t="s">
        <v>22</v>
      </c>
    </row>
    <row r="2" spans="1:12" ht="18" customHeight="1">
      <c r="A2" s="7" t="s">
        <v>14</v>
      </c>
      <c r="B2" s="8">
        <v>3013235.5</v>
      </c>
      <c r="C2" s="9">
        <f t="shared" ref="C2:C19" si="0">+B2/$B$20</f>
        <v>9.2538945872657791E-2</v>
      </c>
      <c r="D2" s="10">
        <f t="shared" ref="D2:D19" si="1">+B2/$H$4</f>
        <v>230.72865658727454</v>
      </c>
      <c r="E2" s="11">
        <f t="shared" ref="E2:E19" si="2">+B2/$H$5</f>
        <v>35449.829411764709</v>
      </c>
    </row>
    <row r="3" spans="1:12" ht="18" customHeight="1">
      <c r="A3" s="2" t="s">
        <v>23</v>
      </c>
      <c r="B3" s="3">
        <v>80164.149999999994</v>
      </c>
      <c r="C3" s="4">
        <f t="shared" si="0"/>
        <v>2.4619071220213684E-3</v>
      </c>
      <c r="D3" s="5">
        <f t="shared" si="1"/>
        <v>6.1383076881845993</v>
      </c>
      <c r="E3" s="6">
        <f t="shared" si="2"/>
        <v>943.10764705882343</v>
      </c>
    </row>
    <row r="4" spans="1:12" ht="18" customHeight="1">
      <c r="A4" s="7" t="s">
        <v>9</v>
      </c>
      <c r="B4" s="8">
        <v>1544587.63</v>
      </c>
      <c r="C4" s="9">
        <f t="shared" si="0"/>
        <v>4.743555924790703E-2</v>
      </c>
      <c r="D4" s="10">
        <f t="shared" si="1"/>
        <v>118.2717477114624</v>
      </c>
      <c r="E4" s="11">
        <f t="shared" si="2"/>
        <v>18171.619176470587</v>
      </c>
      <c r="H4" s="28">
        <v>13059.65</v>
      </c>
      <c r="L4" s="29"/>
    </row>
    <row r="5" spans="1:12" ht="18" customHeight="1">
      <c r="A5" s="2" t="s">
        <v>10</v>
      </c>
      <c r="B5" s="3">
        <v>8441321.4800000004</v>
      </c>
      <c r="C5" s="4">
        <f t="shared" si="0"/>
        <v>0.25923994043327298</v>
      </c>
      <c r="D5" s="5">
        <f t="shared" si="1"/>
        <v>646.36659328542498</v>
      </c>
      <c r="E5" s="6">
        <f t="shared" si="2"/>
        <v>99309.664470588235</v>
      </c>
      <c r="H5" s="1">
        <f>5*17</f>
        <v>85</v>
      </c>
    </row>
    <row r="6" spans="1:12" ht="18" customHeight="1">
      <c r="A6" s="7" t="s">
        <v>16</v>
      </c>
      <c r="B6" s="8">
        <v>1813065.7</v>
      </c>
      <c r="C6" s="9">
        <f t="shared" si="0"/>
        <v>5.5680742071395485E-2</v>
      </c>
      <c r="D6" s="10">
        <f t="shared" si="1"/>
        <v>138.82957812805091</v>
      </c>
      <c r="E6" s="11">
        <f t="shared" si="2"/>
        <v>21330.184705882351</v>
      </c>
    </row>
    <row r="7" spans="1:12" ht="27">
      <c r="A7" s="2" t="s">
        <v>20</v>
      </c>
      <c r="B7" s="3">
        <f>1841414+1833710.01+515860</f>
        <v>4190984.01</v>
      </c>
      <c r="C7" s="4">
        <f t="shared" si="0"/>
        <v>0.12870857337721006</v>
      </c>
      <c r="D7" s="5">
        <f t="shared" si="1"/>
        <v>320.91089807154094</v>
      </c>
      <c r="E7" s="6">
        <f t="shared" si="2"/>
        <v>49305.694235294111</v>
      </c>
      <c r="H7" s="30"/>
    </row>
    <row r="8" spans="1:12" ht="18" customHeight="1">
      <c r="A8" s="7" t="s">
        <v>30</v>
      </c>
      <c r="B8" s="8">
        <v>586387</v>
      </c>
      <c r="C8" s="9">
        <f t="shared" si="0"/>
        <v>1.8008428101099361E-2</v>
      </c>
      <c r="D8" s="10">
        <f t="shared" si="1"/>
        <v>44.900667322631158</v>
      </c>
      <c r="E8" s="11">
        <f t="shared" si="2"/>
        <v>6898.6705882352944</v>
      </c>
      <c r="H8" s="29"/>
    </row>
    <row r="9" spans="1:12" ht="18" customHeight="1">
      <c r="A9" s="2" t="s">
        <v>3</v>
      </c>
      <c r="B9" s="3">
        <v>719014.51</v>
      </c>
      <c r="C9" s="4">
        <f t="shared" si="0"/>
        <v>2.2081528251789669E-2</v>
      </c>
      <c r="D9" s="5">
        <f t="shared" si="1"/>
        <v>55.056185272959077</v>
      </c>
      <c r="E9" s="6">
        <f t="shared" si="2"/>
        <v>8458.994235294118</v>
      </c>
      <c r="I9" s="1">
        <v>15976021.66</v>
      </c>
    </row>
    <row r="10" spans="1:12" ht="18" customHeight="1">
      <c r="A10" s="7" t="s">
        <v>11</v>
      </c>
      <c r="B10" s="8">
        <v>1934211.41</v>
      </c>
      <c r="C10" s="9">
        <f t="shared" si="0"/>
        <v>5.9401226680180524E-2</v>
      </c>
      <c r="D10" s="10">
        <f t="shared" si="1"/>
        <v>148.10591478332114</v>
      </c>
      <c r="E10" s="11">
        <f t="shared" si="2"/>
        <v>22755.428352941177</v>
      </c>
      <c r="I10" s="1">
        <f>I9/H4</f>
        <v>1223.3116247372634</v>
      </c>
    </row>
    <row r="11" spans="1:12" ht="18" customHeight="1">
      <c r="A11" s="2" t="s">
        <v>12</v>
      </c>
      <c r="B11" s="3">
        <v>695554.38</v>
      </c>
      <c r="C11" s="4">
        <f t="shared" si="0"/>
        <v>2.1361048322412916E-2</v>
      </c>
      <c r="D11" s="5">
        <f t="shared" si="1"/>
        <v>53.259802521507083</v>
      </c>
      <c r="E11" s="6">
        <f t="shared" si="2"/>
        <v>8182.9927058823532</v>
      </c>
      <c r="H11" s="28"/>
    </row>
    <row r="12" spans="1:12" ht="18" customHeight="1">
      <c r="A12" s="7" t="s">
        <v>13</v>
      </c>
      <c r="B12" s="8">
        <v>2109776.31</v>
      </c>
      <c r="C12" s="9">
        <f t="shared" si="0"/>
        <v>6.4792969469032763E-2</v>
      </c>
      <c r="D12" s="10">
        <f t="shared" si="1"/>
        <v>161.54922298836493</v>
      </c>
      <c r="E12" s="11">
        <f t="shared" si="2"/>
        <v>24820.897764705882</v>
      </c>
      <c r="H12" s="28"/>
    </row>
    <row r="13" spans="1:12" ht="18" customHeight="1">
      <c r="A13" s="2" t="s">
        <v>2</v>
      </c>
      <c r="B13" s="3">
        <v>1140273.6100000001</v>
      </c>
      <c r="C13" s="4">
        <f t="shared" si="0"/>
        <v>3.5018742436762777E-2</v>
      </c>
      <c r="D13" s="5">
        <f t="shared" si="1"/>
        <v>87.312723541595687</v>
      </c>
      <c r="E13" s="6">
        <f t="shared" si="2"/>
        <v>13414.983647058825</v>
      </c>
      <c r="H13" s="28"/>
    </row>
    <row r="14" spans="1:12" ht="18" customHeight="1">
      <c r="A14" s="7" t="s">
        <v>21</v>
      </c>
      <c r="B14" s="8">
        <v>2202497.91</v>
      </c>
      <c r="C14" s="9">
        <f t="shared" si="0"/>
        <v>6.764052623106688E-2</v>
      </c>
      <c r="D14" s="10">
        <f t="shared" si="1"/>
        <v>168.64907635350107</v>
      </c>
      <c r="E14" s="11">
        <f t="shared" si="2"/>
        <v>25911.740117647059</v>
      </c>
      <c r="H14" s="28"/>
    </row>
    <row r="15" spans="1:12" ht="18" customHeight="1">
      <c r="A15" s="2" t="s">
        <v>0</v>
      </c>
      <c r="B15" s="3">
        <v>1154120.51</v>
      </c>
      <c r="C15" s="4">
        <f t="shared" si="0"/>
        <v>3.5443992149108226E-2</v>
      </c>
      <c r="D15" s="5">
        <f t="shared" si="1"/>
        <v>88.373004636418287</v>
      </c>
      <c r="E15" s="6">
        <f t="shared" si="2"/>
        <v>13577.888352941176</v>
      </c>
    </row>
    <row r="16" spans="1:12" ht="18" customHeight="1">
      <c r="A16" s="7" t="s">
        <v>1</v>
      </c>
      <c r="B16" s="8">
        <v>147906.1</v>
      </c>
      <c r="C16" s="9">
        <f t="shared" si="0"/>
        <v>4.5423182430101832E-3</v>
      </c>
      <c r="D16" s="10">
        <f t="shared" si="1"/>
        <v>11.325426025965475</v>
      </c>
      <c r="E16" s="11">
        <f t="shared" si="2"/>
        <v>1740.0717647058825</v>
      </c>
    </row>
    <row r="17" spans="1:5" ht="18" customHeight="1">
      <c r="A17" s="2" t="s">
        <v>31</v>
      </c>
      <c r="B17" s="3">
        <v>1230000</v>
      </c>
      <c r="C17" s="4">
        <f t="shared" si="0"/>
        <v>3.7774313830886794E-2</v>
      </c>
      <c r="D17" s="5">
        <f t="shared" si="1"/>
        <v>94.183228493872349</v>
      </c>
      <c r="E17" s="6">
        <f t="shared" si="2"/>
        <v>14470.588235294117</v>
      </c>
    </row>
    <row r="18" spans="1:5" ht="18" customHeight="1">
      <c r="A18" s="7" t="s">
        <v>17</v>
      </c>
      <c r="B18" s="8">
        <v>1077500</v>
      </c>
      <c r="C18" s="9">
        <f t="shared" si="0"/>
        <v>3.3090913132341887E-2</v>
      </c>
      <c r="D18" s="10">
        <f t="shared" si="1"/>
        <v>82.50603959524183</v>
      </c>
      <c r="E18" s="11">
        <f t="shared" si="2"/>
        <v>12676.470588235294</v>
      </c>
    </row>
    <row r="19" spans="1:5" ht="18" customHeight="1">
      <c r="A19" s="2" t="s">
        <v>15</v>
      </c>
      <c r="B19" s="3">
        <v>481209</v>
      </c>
      <c r="C19" s="4">
        <f t="shared" si="0"/>
        <v>1.4778325027843254E-2</v>
      </c>
      <c r="D19" s="5">
        <f t="shared" si="1"/>
        <v>36.847005853908797</v>
      </c>
      <c r="E19" s="6">
        <f t="shared" si="2"/>
        <v>5661.2823529411762</v>
      </c>
    </row>
    <row r="20" spans="1:5" ht="18.75" customHeight="1">
      <c r="A20" s="19" t="s">
        <v>8</v>
      </c>
      <c r="B20" s="34">
        <f>SUM(B2:B19)</f>
        <v>32561809.210000001</v>
      </c>
      <c r="C20" s="36">
        <f>SUM(C2:C19)</f>
        <v>1</v>
      </c>
      <c r="D20" s="38">
        <f>SUM(D2:D19)</f>
        <v>2493.314078861225</v>
      </c>
      <c r="E20" s="39">
        <f>SUM(E2:E19)</f>
        <v>383080.10835294111</v>
      </c>
    </row>
    <row r="21" spans="1:5" ht="18.75" customHeight="1">
      <c r="A21" s="20" t="s">
        <v>18</v>
      </c>
      <c r="B21" s="35">
        <v>2470.83</v>
      </c>
      <c r="C21" s="37">
        <v>44682</v>
      </c>
      <c r="D21" s="40">
        <f>+D20/B21</f>
        <v>1.0090998081054645</v>
      </c>
      <c r="E21" s="21" t="s">
        <v>19</v>
      </c>
    </row>
    <row r="22" spans="1:5" ht="15" customHeight="1">
      <c r="A22" s="12"/>
      <c r="B22" s="12"/>
      <c r="C22" s="13"/>
      <c r="D22" s="12"/>
      <c r="E22" s="12"/>
    </row>
    <row r="23" spans="1:5" ht="15" customHeight="1">
      <c r="A23" s="12"/>
      <c r="B23" s="12"/>
      <c r="C23" s="13"/>
      <c r="D23" s="14"/>
      <c r="E23" s="12"/>
    </row>
    <row r="24" spans="1:5" ht="15" customHeight="1">
      <c r="A24" s="12"/>
      <c r="B24" s="12"/>
      <c r="C24" s="13"/>
      <c r="D24" s="14"/>
      <c r="E24" s="12"/>
    </row>
    <row r="25" spans="1:5" ht="15" customHeight="1">
      <c r="A25" s="12"/>
      <c r="B25" s="12"/>
      <c r="C25" s="13"/>
      <c r="D25" s="12"/>
      <c r="E25" s="12"/>
    </row>
    <row r="26" spans="1:5" ht="15" customHeight="1">
      <c r="A26" s="12"/>
      <c r="B26" s="12"/>
      <c r="C26" s="13"/>
      <c r="D26" s="12"/>
      <c r="E26" s="12"/>
    </row>
    <row r="27" spans="1:5" ht="15" customHeight="1">
      <c r="A27" s="12"/>
      <c r="B27" s="12"/>
      <c r="C27" s="13"/>
      <c r="D27" s="12"/>
      <c r="E27" s="12"/>
    </row>
    <row r="28" spans="1:5" ht="15" customHeight="1">
      <c r="A28" s="12"/>
      <c r="B28" s="12"/>
      <c r="C28" s="13"/>
      <c r="D28" s="12"/>
      <c r="E28" s="12"/>
    </row>
    <row r="29" spans="1:5" ht="15" customHeight="1">
      <c r="A29" s="12"/>
      <c r="B29" s="12"/>
      <c r="C29" s="13"/>
      <c r="D29" s="12"/>
      <c r="E29" s="12"/>
    </row>
    <row r="30" spans="1:5" ht="15" customHeight="1">
      <c r="A30" s="12"/>
      <c r="B30" s="12"/>
      <c r="C30" s="13"/>
      <c r="D30" s="12"/>
      <c r="E30" s="12"/>
    </row>
    <row r="31" spans="1:5" ht="15" customHeight="1">
      <c r="A31" s="12"/>
      <c r="B31" s="12"/>
      <c r="C31" s="13"/>
      <c r="D31" s="12"/>
      <c r="E31" s="12"/>
    </row>
    <row r="32" spans="1:5" ht="15" customHeight="1">
      <c r="A32" s="12"/>
      <c r="B32" s="12"/>
      <c r="C32" s="13"/>
      <c r="D32" s="12"/>
      <c r="E32" s="12"/>
    </row>
    <row r="33" spans="1:5" ht="15" customHeight="1">
      <c r="A33" s="12"/>
      <c r="B33" s="12"/>
      <c r="C33" s="13"/>
      <c r="D33" s="12"/>
      <c r="E33" s="12"/>
    </row>
    <row r="34" spans="1:5" ht="15" customHeight="1">
      <c r="A34" s="12"/>
      <c r="B34" s="12"/>
      <c r="C34" s="13"/>
      <c r="D34" s="12"/>
      <c r="E34" s="12"/>
    </row>
    <row r="35" spans="1:5" ht="21">
      <c r="A35" s="12"/>
      <c r="B35" s="12"/>
      <c r="C35" s="13"/>
      <c r="D35" s="12"/>
      <c r="E35" s="12"/>
    </row>
    <row r="36" spans="1:5" ht="21">
      <c r="A36" s="12"/>
      <c r="B36" s="12"/>
      <c r="C36" s="13"/>
      <c r="D36" s="12"/>
      <c r="E36" s="12"/>
    </row>
    <row r="37" spans="1:5" ht="21">
      <c r="A37" s="12"/>
      <c r="B37" s="12"/>
      <c r="C37" s="13"/>
      <c r="D37" s="12"/>
      <c r="E37" s="12"/>
    </row>
    <row r="38" spans="1:5" ht="21">
      <c r="A38" s="12"/>
      <c r="B38" s="12"/>
      <c r="C38" s="13"/>
      <c r="D38" s="12"/>
      <c r="E38" s="12"/>
    </row>
    <row r="39" spans="1:5" ht="21">
      <c r="A39" s="12"/>
      <c r="B39" s="12"/>
      <c r="C39" s="13"/>
      <c r="D39" s="12"/>
      <c r="E39" s="12"/>
    </row>
    <row r="40" spans="1:5" ht="21">
      <c r="A40" s="12"/>
      <c r="B40" s="12"/>
      <c r="C40" s="13"/>
      <c r="D40" s="12"/>
      <c r="E40" s="12"/>
    </row>
    <row r="41" spans="1:5" ht="21">
      <c r="A41" s="12"/>
      <c r="B41" s="12"/>
      <c r="C41" s="13"/>
      <c r="D41" s="12"/>
      <c r="E41" s="12"/>
    </row>
    <row r="42" spans="1:5" ht="21">
      <c r="A42" s="12"/>
      <c r="B42" s="12"/>
      <c r="C42" s="13"/>
      <c r="D42" s="12"/>
      <c r="E42" s="12"/>
    </row>
    <row r="43" spans="1:5" ht="21">
      <c r="A43" s="12"/>
      <c r="B43" s="12"/>
      <c r="C43" s="13"/>
      <c r="D43" s="12"/>
      <c r="E43" s="12"/>
    </row>
    <row r="44" spans="1:5" ht="21">
      <c r="A44" s="12"/>
      <c r="B44" s="12"/>
      <c r="C44" s="13"/>
      <c r="D44" s="12"/>
      <c r="E44" s="12"/>
    </row>
    <row r="45" spans="1:5" ht="21">
      <c r="A45" s="12"/>
      <c r="B45" s="12"/>
      <c r="C45" s="13"/>
      <c r="D45" s="12"/>
      <c r="E45" s="12"/>
    </row>
    <row r="46" spans="1:5" ht="21">
      <c r="A46" s="12"/>
      <c r="B46" s="12"/>
      <c r="C46" s="13"/>
      <c r="D46" s="12"/>
      <c r="E46" s="12"/>
    </row>
  </sheetData>
  <phoneticPr fontId="2" type="noConversion"/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topLeftCell="A3" zoomScaleNormal="100" workbookViewId="0">
      <selection sqref="A1:C18"/>
    </sheetView>
  </sheetViews>
  <sheetFormatPr defaultRowHeight="16.5" customHeight="1"/>
  <cols>
    <col min="1" max="1" width="65.85546875" bestFit="1" customWidth="1"/>
    <col min="2" max="2" width="31" customWidth="1"/>
    <col min="3" max="3" width="26.7109375" style="33" customWidth="1"/>
    <col min="4" max="5" width="9.42578125" style="27" bestFit="1" customWidth="1"/>
  </cols>
  <sheetData>
    <row r="1" spans="1:10" ht="36" customHeight="1">
      <c r="A1" s="22" t="s">
        <v>7</v>
      </c>
      <c r="B1" s="23" t="s">
        <v>32</v>
      </c>
      <c r="C1" s="23" t="s">
        <v>24</v>
      </c>
    </row>
    <row r="2" spans="1:10" s="1" customFormat="1" ht="18.75" customHeight="1">
      <c r="A2" s="2" t="s">
        <v>23</v>
      </c>
      <c r="B2" s="3">
        <f>'Orçamento Resumo'!D3</f>
        <v>6.1383076881845993</v>
      </c>
      <c r="C2" s="31" t="s">
        <v>33</v>
      </c>
      <c r="D2" s="1">
        <v>3.5</v>
      </c>
      <c r="E2" s="1">
        <v>10</v>
      </c>
    </row>
    <row r="3" spans="1:10" s="1" customFormat="1" ht="18.75" customHeight="1">
      <c r="A3" s="7" t="s">
        <v>9</v>
      </c>
      <c r="B3" s="8">
        <f>'Orçamento Resumo'!D4</f>
        <v>118.2717477114624</v>
      </c>
      <c r="C3" s="32" t="s">
        <v>34</v>
      </c>
      <c r="D3" s="1">
        <v>110</v>
      </c>
      <c r="E3" s="1">
        <v>150</v>
      </c>
      <c r="F3" s="28"/>
      <c r="J3" s="29"/>
    </row>
    <row r="4" spans="1:10" s="1" customFormat="1" ht="18.75" customHeight="1">
      <c r="A4" s="2" t="s">
        <v>10</v>
      </c>
      <c r="B4" s="3">
        <f>'Orçamento Resumo'!D5</f>
        <v>646.36659328542498</v>
      </c>
      <c r="C4" s="31" t="s">
        <v>43</v>
      </c>
      <c r="D4" s="1">
        <v>580</v>
      </c>
      <c r="E4" s="1">
        <v>680</v>
      </c>
    </row>
    <row r="5" spans="1:10" s="1" customFormat="1" ht="18.75" customHeight="1">
      <c r="A5" s="7" t="s">
        <v>16</v>
      </c>
      <c r="B5" s="8">
        <f>'Orçamento Resumo'!D6</f>
        <v>138.82957812805091</v>
      </c>
      <c r="C5" s="32" t="s">
        <v>35</v>
      </c>
      <c r="D5" s="1">
        <v>110</v>
      </c>
      <c r="E5" s="1">
        <v>140</v>
      </c>
    </row>
    <row r="6" spans="1:10" s="1" customFormat="1" ht="18.75" customHeight="1">
      <c r="A6" s="2" t="s">
        <v>20</v>
      </c>
      <c r="B6" s="3">
        <f>'Orçamento Resumo'!D7</f>
        <v>320.91089807154094</v>
      </c>
      <c r="C6" s="31" t="s">
        <v>36</v>
      </c>
      <c r="D6" s="1">
        <v>270</v>
      </c>
      <c r="E6" s="1">
        <v>320</v>
      </c>
      <c r="F6" s="30"/>
    </row>
    <row r="7" spans="1:10" s="1" customFormat="1" ht="18.75" customHeight="1">
      <c r="A7" s="7" t="s">
        <v>30</v>
      </c>
      <c r="B7" s="8">
        <f>'Orçamento Resumo'!D8</f>
        <v>44.900667322631158</v>
      </c>
      <c r="C7" s="32" t="s">
        <v>40</v>
      </c>
      <c r="D7" s="1">
        <v>40</v>
      </c>
      <c r="E7" s="1">
        <v>50</v>
      </c>
      <c r="F7" s="30"/>
    </row>
    <row r="8" spans="1:10" s="1" customFormat="1" ht="18.75" customHeight="1">
      <c r="A8" s="2" t="s">
        <v>3</v>
      </c>
      <c r="B8" s="3">
        <f>'Orçamento Resumo'!D9</f>
        <v>55.056185272959077</v>
      </c>
      <c r="C8" s="31" t="s">
        <v>27</v>
      </c>
      <c r="D8" s="1">
        <v>40</v>
      </c>
      <c r="E8" s="1">
        <v>65</v>
      </c>
    </row>
    <row r="9" spans="1:10" s="1" customFormat="1" ht="18.75" customHeight="1">
      <c r="A9" s="7" t="s">
        <v>11</v>
      </c>
      <c r="B9" s="8">
        <f>'Orçamento Resumo'!D10</f>
        <v>148.10591478332114</v>
      </c>
      <c r="C9" s="32" t="s">
        <v>28</v>
      </c>
      <c r="D9" s="1">
        <v>145</v>
      </c>
      <c r="E9" s="1">
        <v>165</v>
      </c>
    </row>
    <row r="10" spans="1:10" s="1" customFormat="1" ht="18.75" customHeight="1">
      <c r="A10" s="2" t="s">
        <v>12</v>
      </c>
      <c r="B10" s="3">
        <f>'Orçamento Resumo'!D11</f>
        <v>53.259802521507083</v>
      </c>
      <c r="C10" s="31" t="s">
        <v>44</v>
      </c>
      <c r="D10" s="1">
        <v>50</v>
      </c>
      <c r="E10" s="1">
        <v>70</v>
      </c>
      <c r="F10" s="28"/>
    </row>
    <row r="11" spans="1:10" s="1" customFormat="1" ht="18.75" customHeight="1">
      <c r="A11" s="7" t="s">
        <v>13</v>
      </c>
      <c r="B11" s="8">
        <f>'Orçamento Resumo'!D12</f>
        <v>161.54922298836493</v>
      </c>
      <c r="C11" s="32" t="s">
        <v>29</v>
      </c>
      <c r="D11" s="1">
        <v>150</v>
      </c>
      <c r="E11" s="1">
        <v>200</v>
      </c>
      <c r="F11" s="28"/>
    </row>
    <row r="12" spans="1:10" s="1" customFormat="1" ht="18.75" customHeight="1">
      <c r="A12" s="2" t="s">
        <v>2</v>
      </c>
      <c r="B12" s="3">
        <f>'Orçamento Resumo'!D13</f>
        <v>87.312723541595687</v>
      </c>
      <c r="C12" s="31" t="s">
        <v>37</v>
      </c>
      <c r="D12" s="1">
        <v>85</v>
      </c>
      <c r="E12" s="1">
        <v>100</v>
      </c>
      <c r="F12" s="28"/>
    </row>
    <row r="13" spans="1:10" s="1" customFormat="1" ht="18.75" customHeight="1">
      <c r="A13" s="7" t="s">
        <v>21</v>
      </c>
      <c r="B13" s="8">
        <f>'Orçamento Resumo'!D14</f>
        <v>168.64907635350107</v>
      </c>
      <c r="C13" s="32" t="s">
        <v>38</v>
      </c>
      <c r="D13" s="1">
        <v>165</v>
      </c>
      <c r="E13" s="1">
        <v>220</v>
      </c>
      <c r="F13" s="28"/>
    </row>
    <row r="14" spans="1:10" s="1" customFormat="1" ht="18.75" customHeight="1">
      <c r="A14" s="2" t="s">
        <v>0</v>
      </c>
      <c r="B14" s="3">
        <f>'Orçamento Resumo'!D15</f>
        <v>88.373004636418287</v>
      </c>
      <c r="C14" s="31" t="s">
        <v>26</v>
      </c>
      <c r="D14" s="1">
        <v>85</v>
      </c>
      <c r="E14" s="1">
        <v>120</v>
      </c>
    </row>
    <row r="15" spans="1:10" s="1" customFormat="1" ht="18.75" customHeight="1">
      <c r="A15" s="7" t="s">
        <v>1</v>
      </c>
      <c r="B15" s="8">
        <f>'Orçamento Resumo'!D16</f>
        <v>11.325426025965475</v>
      </c>
      <c r="C15" s="32" t="s">
        <v>39</v>
      </c>
      <c r="D15" s="1">
        <v>6.5</v>
      </c>
      <c r="E15" s="1">
        <v>12</v>
      </c>
    </row>
    <row r="16" spans="1:10" s="1" customFormat="1" ht="18.75" customHeight="1">
      <c r="A16" s="2" t="s">
        <v>31</v>
      </c>
      <c r="B16" s="3">
        <f>'Orçamento Resumo'!D17</f>
        <v>94.183228493872349</v>
      </c>
      <c r="C16" s="31" t="s">
        <v>37</v>
      </c>
      <c r="D16" s="1">
        <v>85</v>
      </c>
      <c r="E16" s="1">
        <v>100</v>
      </c>
    </row>
    <row r="17" spans="1:5" s="1" customFormat="1" ht="18.75" customHeight="1">
      <c r="A17" s="7" t="s">
        <v>17</v>
      </c>
      <c r="B17" s="8">
        <f>'Orçamento Resumo'!D18</f>
        <v>82.50603959524183</v>
      </c>
      <c r="C17" s="32" t="s">
        <v>41</v>
      </c>
      <c r="D17" s="1">
        <v>80</v>
      </c>
      <c r="E17" s="1">
        <v>120</v>
      </c>
    </row>
    <row r="18" spans="1:5" ht="18.75" customHeight="1">
      <c r="A18" s="24" t="s">
        <v>25</v>
      </c>
      <c r="B18" s="25">
        <f>SUM(B2:B17)</f>
        <v>2225.7384164200416</v>
      </c>
      <c r="C18" s="26" t="s">
        <v>42</v>
      </c>
      <c r="D18" s="1">
        <f>SUM(D2:D17)</f>
        <v>2005</v>
      </c>
      <c r="E18" s="1">
        <f>SUM(E2:E17)</f>
        <v>2522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 Resumo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User</cp:lastModifiedBy>
  <cp:lastPrinted>2021-06-01T14:04:42Z</cp:lastPrinted>
  <dcterms:created xsi:type="dcterms:W3CDTF">2020-06-25T16:50:19Z</dcterms:created>
  <dcterms:modified xsi:type="dcterms:W3CDTF">2022-05-13T13:56:22Z</dcterms:modified>
</cp:coreProperties>
</file>