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/>
  <mc:AlternateContent xmlns:mc="http://schemas.openxmlformats.org/markup-compatibility/2006">
    <mc:Choice Requires="x15">
      <x15ac:absPath xmlns:x15ac="http://schemas.microsoft.com/office/spreadsheetml/2010/11/ac" url="G:\.shortcut-targets-by-id\1GzSYwojBbPnZGRQCtS-GmzExAA4ljDOh\5. Artefacto\03. Custo\03.5 Custo - Determinação do orçamento\Apresentação\"/>
    </mc:Choice>
  </mc:AlternateContent>
  <xr:revisionPtr revIDLastSave="0" documentId="8_{6087358D-0A6F-424E-A81A-89A1FB73470F}" xr6:coauthVersionLast="45" xr6:coauthVersionMax="45" xr10:uidLastSave="{00000000-0000-0000-0000-000000000000}"/>
  <bookViews>
    <workbookView xWindow="-108" yWindow="-108" windowWidth="23256" windowHeight="12576" xr2:uid="{74FA5241-4122-43D7-ACC8-E6B9B81BE9BF}"/>
  </bookViews>
  <sheets>
    <sheet name="Gerenciamento executivo " sheetId="3" r:id="rId1"/>
    <sheet name="Executivo_01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6" i="4" l="1"/>
  <c r="B15" i="4"/>
  <c r="B12" i="4"/>
  <c r="H22" i="4"/>
  <c r="H25" i="4"/>
  <c r="H24" i="4"/>
  <c r="H19" i="4"/>
  <c r="H18" i="4"/>
  <c r="H15" i="4"/>
  <c r="H16" i="4"/>
  <c r="B11" i="4"/>
  <c r="H13" i="4"/>
  <c r="H12" i="4"/>
  <c r="B7" i="4"/>
  <c r="B4" i="3" l="1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3" i="3"/>
  <c r="B19" i="4"/>
  <c r="E16" i="4"/>
  <c r="B13" i="4"/>
  <c r="B9" i="4"/>
  <c r="E9" i="4" s="1"/>
  <c r="B10" i="4"/>
  <c r="B8" i="4"/>
  <c r="H9" i="4"/>
  <c r="H8" i="4"/>
  <c r="H7" i="4"/>
  <c r="B6" i="4"/>
  <c r="E6" i="4" s="1"/>
  <c r="B5" i="4"/>
  <c r="B4" i="4"/>
  <c r="D4" i="4"/>
  <c r="C4" i="3" s="1"/>
  <c r="E18" i="4"/>
  <c r="D18" i="4"/>
  <c r="E17" i="4"/>
  <c r="D17" i="4"/>
  <c r="C17" i="3" s="1"/>
  <c r="D14" i="4"/>
  <c r="C14" i="3" s="1"/>
  <c r="B14" i="4"/>
  <c r="E14" i="4" s="1"/>
  <c r="E13" i="4"/>
  <c r="D12" i="4"/>
  <c r="C12" i="3" s="1"/>
  <c r="E12" i="4"/>
  <c r="D10" i="4"/>
  <c r="C10" i="3" s="1"/>
  <c r="E10" i="4"/>
  <c r="E8" i="4"/>
  <c r="D8" i="4"/>
  <c r="C8" i="3" s="1"/>
  <c r="E7" i="4"/>
  <c r="D6" i="4"/>
  <c r="C6" i="3" s="1"/>
  <c r="E5" i="4"/>
  <c r="D5" i="4"/>
  <c r="C5" i="3" s="1"/>
  <c r="E3" i="4"/>
  <c r="D3" i="4"/>
  <c r="C3" i="3" s="1"/>
  <c r="E2" i="4"/>
  <c r="D2" i="4"/>
  <c r="B2" i="4"/>
  <c r="D16" i="4" l="1"/>
  <c r="C16" i="3" s="1"/>
  <c r="E4" i="4"/>
  <c r="D9" i="4"/>
  <c r="C9" i="3" s="1"/>
  <c r="D11" i="4"/>
  <c r="C11" i="3" s="1"/>
  <c r="D13" i="4"/>
  <c r="C13" i="3" s="1"/>
  <c r="D15" i="4"/>
  <c r="C15" i="3" s="1"/>
  <c r="D7" i="4"/>
  <c r="C7" i="3" s="1"/>
  <c r="E11" i="4"/>
  <c r="E15" i="4"/>
  <c r="F7" i="3"/>
  <c r="F16" i="3"/>
  <c r="E19" i="4" l="1"/>
  <c r="C7" i="4"/>
  <c r="D19" i="4"/>
  <c r="D20" i="4" s="1"/>
  <c r="C4" i="4"/>
  <c r="C16" i="4"/>
  <c r="C14" i="4"/>
  <c r="C12" i="4"/>
  <c r="C10" i="4"/>
  <c r="C8" i="4"/>
  <c r="C17" i="4"/>
  <c r="C18" i="4"/>
  <c r="C3" i="4"/>
  <c r="C5" i="4"/>
  <c r="C2" i="4"/>
  <c r="C6" i="4"/>
  <c r="C13" i="4"/>
  <c r="C9" i="4"/>
  <c r="C11" i="4"/>
  <c r="C15" i="4"/>
  <c r="C19" i="4" l="1"/>
  <c r="F17" i="3" l="1"/>
  <c r="F14" i="3"/>
  <c r="F13" i="3" l="1"/>
  <c r="F5" i="3" l="1"/>
  <c r="F6" i="3" l="1"/>
  <c r="F15" i="3" l="1"/>
  <c r="B18" i="3" l="1"/>
  <c r="C18" i="3" l="1"/>
</calcChain>
</file>

<file path=xl/sharedStrings.xml><?xml version="1.0" encoding="utf-8"?>
<sst xmlns="http://schemas.openxmlformats.org/spreadsheetml/2006/main" count="84" uniqueCount="57">
  <si>
    <t>ETAPA</t>
  </si>
  <si>
    <t>MOVIMENTAÇÃO DE TERRA</t>
  </si>
  <si>
    <t>INFRAESTRUTURA</t>
  </si>
  <si>
    <t>SUPRAESTRUTURA</t>
  </si>
  <si>
    <t>ALVENARIA</t>
  </si>
  <si>
    <t>REVESTIMENTOS E ACABAMENTOS INTERNOS EM TETO</t>
  </si>
  <si>
    <t>PINTURA INTERNA</t>
  </si>
  <si>
    <t>TOTAL</t>
  </si>
  <si>
    <t>VALOR ORÇADO</t>
  </si>
  <si>
    <t>%</t>
  </si>
  <si>
    <t>VALOR / m²</t>
  </si>
  <si>
    <t>VALOR / UNIDADE</t>
  </si>
  <si>
    <t>OBRA SIMILAR</t>
  </si>
  <si>
    <t>REVESTIMENTOS INTERNOS EM PISO E PAREDE</t>
  </si>
  <si>
    <t>ACABAMENTOS EM PISO E PAREDE</t>
  </si>
  <si>
    <t>REVESTIMENTOS E ACABAMENTOS DE FACHADA</t>
  </si>
  <si>
    <t>SERVIÇOS COMPLEMENTARES</t>
  </si>
  <si>
    <t>SISTEMAS E EQUIPAMENTOS ESPECIAIS</t>
  </si>
  <si>
    <t>ESQUADRIAS, VIDROS E FERRAGENS</t>
  </si>
  <si>
    <t>4,50 - 7,50</t>
  </si>
  <si>
    <t>140,00 - 160,00</t>
  </si>
  <si>
    <t>60,00 - 70,00</t>
  </si>
  <si>
    <t>IMPERMEABILIZAÇÃO</t>
  </si>
  <si>
    <t>Valor 1</t>
  </si>
  <si>
    <t>Valor 2</t>
  </si>
  <si>
    <t>INSTALAÇÕES ELÉTRICAS, HIDRÁULICAS, GLP E PREVENTIVAS</t>
  </si>
  <si>
    <t>CUBs</t>
  </si>
  <si>
    <t>VALOR TOTAL</t>
  </si>
  <si>
    <t xml:space="preserve">  95,00 - 120,00</t>
  </si>
  <si>
    <t>580,00 - 640,00</t>
  </si>
  <si>
    <t>40,00 - 60,00</t>
  </si>
  <si>
    <t>80,00 - 120,00</t>
  </si>
  <si>
    <t>CUB</t>
  </si>
  <si>
    <t>REVESTIMENTOS DE TETO</t>
  </si>
  <si>
    <t>120,00 - 170,00</t>
  </si>
  <si>
    <t>120,00 - 160,00</t>
  </si>
  <si>
    <t>90,00 - 110,00</t>
  </si>
  <si>
    <t>155,00 - 200,00</t>
  </si>
  <si>
    <t>75,00 - 110,00</t>
  </si>
  <si>
    <t>IMPREVISTOS E CONTINGÊNCIAS</t>
  </si>
  <si>
    <t>1.814,50 - 2.232,50</t>
  </si>
  <si>
    <t>COBERTURA</t>
  </si>
  <si>
    <t>5,50 - 20,00</t>
  </si>
  <si>
    <t>ARTEFACTO TOWERS</t>
  </si>
  <si>
    <t>185,00 - 245,00</t>
  </si>
  <si>
    <t>elétrica</t>
  </si>
  <si>
    <t>hidráulica</t>
  </si>
  <si>
    <t>GLP</t>
  </si>
  <si>
    <t>climatização</t>
  </si>
  <si>
    <t>automação</t>
  </si>
  <si>
    <t>piso</t>
  </si>
  <si>
    <t>parede</t>
  </si>
  <si>
    <t>alumínio</t>
  </si>
  <si>
    <t>madeira</t>
  </si>
  <si>
    <t>Rodapés</t>
  </si>
  <si>
    <t>DESPESAS INDIRETAS</t>
  </si>
  <si>
    <t xml:space="preserve"> 100,00 - 180,00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</si>
</sst>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&quot;R$&quot;\ * #,##0_-;\-&quot;R$&quot;\ * #,##0_-;_-&quot;R$&quot;\ * &quot;-&quot;_-;_-@_-"/>
    <numFmt numFmtId="41" formatCode="_-* #,##0_-;\-* #,##0_-;_-* &quot;-&quot;_-;_-@_-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#,###,##0.00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Roboto"/>
    </font>
    <font>
      <b/>
      <sz val="11"/>
      <color theme="0"/>
      <name val="Roboto"/>
    </font>
    <font>
      <sz val="11"/>
      <color theme="1"/>
      <name val="Roboto"/>
    </font>
    <font>
      <sz val="11"/>
      <name val="Roboto"/>
    </font>
    <font>
      <sz val="8"/>
      <name val="Calibri"/>
      <family val="2"/>
      <scheme val="minor"/>
    </font>
    <font>
      <sz val="10"/>
      <name val="Arial"/>
      <family val="2"/>
    </font>
    <font>
      <b/>
      <sz val="11"/>
      <color theme="0"/>
      <name val="Poppins"/>
    </font>
    <font>
      <sz val="11"/>
      <name val="Poppins"/>
    </font>
    <font>
      <sz val="11"/>
      <color theme="1"/>
      <name val="Poppins"/>
    </font>
    <font>
      <b/>
      <sz val="7"/>
      <color rgb="FF01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9.9978637043366805E-2"/>
        <bgColor indexed="64"/>
      </patternFill>
    </fill>
    <fill>
      <patternFill patternType="solid">
        <fgColor theme="3"/>
        <bgColor indexed="64"/>
      </patternFill>
    </fill>
  </fills>
  <borders count="30">
    <border>
      <left/>
      <right/>
      <top/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hair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hair">
        <color theme="1" tint="0.34998626667073579"/>
      </top>
      <bottom style="hair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/>
      <bottom style="hair">
        <color theme="1" tint="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1" tint="0.34998626667073579"/>
      </right>
      <top style="thin">
        <color theme="1" tint="0.34998626667073579"/>
      </top>
      <bottom style="hair">
        <color theme="1" tint="0.34998626667073579"/>
      </bottom>
      <diagonal/>
    </border>
    <border>
      <left style="thin">
        <color theme="1" tint="0.34998626667073579"/>
      </left>
      <right style="medium">
        <color indexed="64"/>
      </right>
      <top style="thin">
        <color theme="1" tint="0.34998626667073579"/>
      </top>
      <bottom style="hair">
        <color theme="1" tint="0.34998626667073579"/>
      </bottom>
      <diagonal/>
    </border>
    <border>
      <left style="medium">
        <color indexed="64"/>
      </left>
      <right style="thin">
        <color theme="1" tint="0.34998626667073579"/>
      </right>
      <top/>
      <bottom style="hair">
        <color theme="1" tint="0.34998626667073579"/>
      </bottom>
      <diagonal/>
    </border>
    <border>
      <left style="thin">
        <color theme="1" tint="0.34998626667073579"/>
      </left>
      <right style="medium">
        <color indexed="64"/>
      </right>
      <top/>
      <bottom style="hair">
        <color theme="1" tint="0.34998626667073579"/>
      </bottom>
      <diagonal/>
    </border>
    <border>
      <left style="thin">
        <color theme="1" tint="0.34998626667073579"/>
      </left>
      <right style="medium">
        <color indexed="64"/>
      </right>
      <top style="hair">
        <color theme="1" tint="0.34998626667073579"/>
      </top>
      <bottom style="hair">
        <color theme="1" tint="0.34998626667073579"/>
      </bottom>
      <diagonal/>
    </border>
    <border>
      <left style="medium">
        <color indexed="64"/>
      </left>
      <right style="thin">
        <color theme="1" tint="0.34998626667073579"/>
      </right>
      <top style="hair">
        <color theme="1" tint="0.34998626667073579"/>
      </top>
      <bottom style="hair">
        <color theme="1" tint="0.34998626667073579"/>
      </bottom>
      <diagonal/>
    </border>
    <border>
      <left style="medium">
        <color indexed="64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medium">
        <color indexed="64"/>
      </right>
      <top style="thin">
        <color theme="1" tint="0.34998626667073579"/>
      </top>
      <bottom style="thin">
        <color theme="1" tint="0.34998626667073579"/>
      </bottom>
      <diagonal/>
    </border>
    <border>
      <left style="medium">
        <color indexed="64"/>
      </left>
      <right style="thin">
        <color theme="1" tint="0.34998626667073579"/>
      </right>
      <top style="thin">
        <color theme="1" tint="0.34998626667073579"/>
      </top>
      <bottom style="medium">
        <color indexed="64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medium">
        <color indexed="64"/>
      </bottom>
      <diagonal/>
    </border>
    <border>
      <left style="thin">
        <color theme="1" tint="0.34998626667073579"/>
      </left>
      <right style="medium">
        <color indexed="64"/>
      </right>
      <top style="thin">
        <color theme="1" tint="0.34998626667073579"/>
      </top>
      <bottom style="medium">
        <color indexed="64"/>
      </bottom>
      <diagonal/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medium">
        <color indexed="64"/>
      </top>
      <bottom style="thin">
        <color theme="0" tint="-0.24994659260841701"/>
      </bottom>
      <diagonal/>
    </border>
    <border>
      <left style="thin">
        <color theme="1" tint="0.34998626667073579"/>
      </left>
      <right/>
      <top style="thin">
        <color theme="1" tint="0.34998626667073579"/>
      </top>
      <bottom style="medium">
        <color indexed="64"/>
      </bottom>
      <diagonal/>
    </border>
    <border>
      <left/>
      <right style="medium">
        <color indexed="64"/>
      </right>
      <top style="thin">
        <color theme="1" tint="0.34998626667073579"/>
      </top>
      <bottom style="medium">
        <color indexed="64"/>
      </bottom>
      <diagonal/>
    </border>
    <border>
      <left style="hair">
        <color rgb="FF010000"/>
      </left>
      <right style="hair">
        <color rgb="FF010000"/>
      </right>
      <top style="hair">
        <color rgb="FF010000"/>
      </top>
      <bottom style="hair">
        <color rgb="FF010000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60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43" fontId="4" fillId="3" borderId="4" xfId="1" applyFont="1" applyFill="1" applyBorder="1"/>
    <xf numFmtId="10" fontId="4" fillId="3" borderId="4" xfId="2" applyNumberFormat="1" applyFont="1" applyFill="1" applyBorder="1" applyAlignment="1">
      <alignment horizontal="center"/>
    </xf>
    <xf numFmtId="43" fontId="4" fillId="3" borderId="4" xfId="0" applyNumberFormat="1" applyFont="1" applyFill="1" applyBorder="1"/>
    <xf numFmtId="43" fontId="4" fillId="3" borderId="2" xfId="1" applyFont="1" applyFill="1" applyBorder="1"/>
    <xf numFmtId="10" fontId="4" fillId="3" borderId="2" xfId="2" applyNumberFormat="1" applyFont="1" applyFill="1" applyBorder="1" applyAlignment="1">
      <alignment horizontal="center"/>
    </xf>
    <xf numFmtId="43" fontId="4" fillId="3" borderId="12" xfId="0" applyNumberFormat="1" applyFont="1" applyFill="1" applyBorder="1"/>
    <xf numFmtId="43" fontId="4" fillId="3" borderId="13" xfId="1" applyFont="1" applyFill="1" applyBorder="1"/>
    <xf numFmtId="0" fontId="5" fillId="2" borderId="14" xfId="0" applyFont="1" applyFill="1" applyBorder="1"/>
    <xf numFmtId="43" fontId="2" fillId="0" borderId="0" xfId="0" applyNumberFormat="1" applyFont="1"/>
    <xf numFmtId="43" fontId="0" fillId="0" borderId="0" xfId="1" applyFont="1"/>
    <xf numFmtId="0" fontId="5" fillId="0" borderId="14" xfId="0" applyFont="1" applyBorder="1"/>
    <xf numFmtId="43" fontId="2" fillId="0" borderId="0" xfId="1" applyFont="1"/>
    <xf numFmtId="0" fontId="9" fillId="3" borderId="14" xfId="0" applyFont="1" applyFill="1" applyBorder="1"/>
    <xf numFmtId="43" fontId="10" fillId="3" borderId="2" xfId="1" applyFont="1" applyFill="1" applyBorder="1" applyAlignment="1">
      <alignment horizontal="center"/>
    </xf>
    <xf numFmtId="43" fontId="10" fillId="3" borderId="13" xfId="1" applyFont="1" applyFill="1" applyBorder="1" applyAlignment="1">
      <alignment horizontal="center"/>
    </xf>
    <xf numFmtId="0" fontId="9" fillId="4" borderId="14" xfId="0" applyFont="1" applyFill="1" applyBorder="1"/>
    <xf numFmtId="43" fontId="10" fillId="4" borderId="2" xfId="1" applyFont="1" applyFill="1" applyBorder="1" applyAlignment="1">
      <alignment horizontal="center"/>
    </xf>
    <xf numFmtId="43" fontId="10" fillId="4" borderId="13" xfId="1" applyFont="1" applyFill="1" applyBorder="1" applyAlignment="1">
      <alignment horizontal="center"/>
    </xf>
    <xf numFmtId="0" fontId="8" fillId="5" borderId="17" xfId="0" applyFont="1" applyFill="1" applyBorder="1" applyAlignment="1">
      <alignment horizontal="right"/>
    </xf>
    <xf numFmtId="43" fontId="8" fillId="5" borderId="18" xfId="1" applyFont="1" applyFill="1" applyBorder="1" applyAlignment="1">
      <alignment horizontal="right"/>
    </xf>
    <xf numFmtId="43" fontId="8" fillId="5" borderId="18" xfId="0" applyNumberFormat="1" applyFont="1" applyFill="1" applyBorder="1" applyAlignment="1">
      <alignment horizontal="right"/>
    </xf>
    <xf numFmtId="43" fontId="8" fillId="5" borderId="19" xfId="0" applyNumberFormat="1" applyFont="1" applyFill="1" applyBorder="1" applyAlignment="1">
      <alignment horizontal="center"/>
    </xf>
    <xf numFmtId="0" fontId="8" fillId="5" borderId="21" xfId="0" applyFont="1" applyFill="1" applyBorder="1" applyAlignment="1">
      <alignment horizontal="center" vertical="center"/>
    </xf>
    <xf numFmtId="43" fontId="8" fillId="5" borderId="25" xfId="1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0" fontId="8" fillId="5" borderId="23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15" xfId="0" applyFont="1" applyFill="1" applyBorder="1" applyAlignment="1">
      <alignment horizontal="right"/>
    </xf>
    <xf numFmtId="43" fontId="3" fillId="5" borderId="3" xfId="0" applyNumberFormat="1" applyFont="1" applyFill="1" applyBorder="1" applyAlignment="1">
      <alignment horizontal="right"/>
    </xf>
    <xf numFmtId="10" fontId="3" fillId="5" borderId="3" xfId="0" applyNumberFormat="1" applyFont="1" applyFill="1" applyBorder="1" applyAlignment="1">
      <alignment horizontal="center"/>
    </xf>
    <xf numFmtId="43" fontId="3" fillId="5" borderId="16" xfId="0" applyNumberFormat="1" applyFont="1" applyFill="1" applyBorder="1" applyAlignment="1">
      <alignment horizontal="right"/>
    </xf>
    <xf numFmtId="0" fontId="3" fillId="5" borderId="17" xfId="0" applyFont="1" applyFill="1" applyBorder="1" applyAlignment="1">
      <alignment horizontal="right"/>
    </xf>
    <xf numFmtId="43" fontId="3" fillId="5" borderId="18" xfId="1" applyFont="1" applyFill="1" applyBorder="1" applyAlignment="1">
      <alignment horizontal="right"/>
    </xf>
    <xf numFmtId="17" fontId="3" fillId="5" borderId="18" xfId="0" applyNumberFormat="1" applyFont="1" applyFill="1" applyBorder="1" applyAlignment="1">
      <alignment horizontal="center"/>
    </xf>
    <xf numFmtId="43" fontId="3" fillId="5" borderId="27" xfId="1" applyFont="1" applyFill="1" applyBorder="1" applyAlignment="1">
      <alignment horizontal="right"/>
    </xf>
    <xf numFmtId="0" fontId="3" fillId="5" borderId="28" xfId="0" applyFont="1" applyFill="1" applyBorder="1" applyAlignment="1">
      <alignment horizontal="left"/>
    </xf>
    <xf numFmtId="43" fontId="4" fillId="4" borderId="1" xfId="1" applyFont="1" applyFill="1" applyBorder="1"/>
    <xf numFmtId="10" fontId="4" fillId="4" borderId="1" xfId="2" applyNumberFormat="1" applyFont="1" applyFill="1" applyBorder="1" applyAlignment="1">
      <alignment horizontal="center"/>
    </xf>
    <xf numFmtId="43" fontId="4" fillId="4" borderId="1" xfId="0" applyNumberFormat="1" applyFont="1" applyFill="1" applyBorder="1"/>
    <xf numFmtId="43" fontId="4" fillId="4" borderId="10" xfId="0" applyNumberFormat="1" applyFont="1" applyFill="1" applyBorder="1"/>
    <xf numFmtId="43" fontId="4" fillId="4" borderId="2" xfId="1" applyFont="1" applyFill="1" applyBorder="1"/>
    <xf numFmtId="10" fontId="4" fillId="4" borderId="2" xfId="2" applyNumberFormat="1" applyFont="1" applyFill="1" applyBorder="1" applyAlignment="1">
      <alignment horizontal="center"/>
    </xf>
    <xf numFmtId="43" fontId="4" fillId="4" borderId="13" xfId="1" applyFont="1" applyFill="1" applyBorder="1"/>
    <xf numFmtId="164" fontId="11" fillId="0" borderId="29" xfId="0" applyNumberFormat="1" applyFont="1" applyBorder="1" applyAlignment="1">
      <alignment vertical="top" wrapText="1"/>
    </xf>
    <xf numFmtId="4" fontId="2" fillId="0" borderId="0" xfId="0" applyNumberFormat="1" applyFont="1"/>
    <xf numFmtId="0" fontId="4" fillId="4" borderId="9" xfId="0" applyFont="1" applyFill="1" applyBorder="1"/>
    <xf numFmtId="0" fontId="4" fillId="3" borderId="11" xfId="0" applyFont="1" applyFill="1" applyBorder="1"/>
    <xf numFmtId="0" fontId="4" fillId="4" borderId="11" xfId="0" applyFont="1" applyFill="1" applyBorder="1"/>
    <xf numFmtId="0" fontId="4" fillId="3" borderId="14" xfId="0" applyFont="1" applyFill="1" applyBorder="1"/>
    <xf numFmtId="44" fontId="10" fillId="3" borderId="2" xfId="9" applyFont="1" applyFill="1" applyBorder="1" applyAlignment="1">
      <alignment horizontal="center"/>
    </xf>
    <xf numFmtId="44" fontId="10" fillId="4" borderId="2" xfId="9" applyFont="1" applyFill="1" applyBorder="1" applyAlignment="1">
      <alignment horizontal="center"/>
    </xf>
    <xf numFmtId="0" fontId="8" fillId="5" borderId="26" xfId="0" applyFont="1" applyFill="1" applyBorder="1" applyAlignment="1">
      <alignment horizontal="center" vertical="center"/>
    </xf>
    <xf numFmtId="0" fontId="8" fillId="5" borderId="24" xfId="0" applyFont="1" applyFill="1" applyBorder="1" applyAlignment="1">
      <alignment horizontal="center" vertical="center"/>
    </xf>
    <xf numFmtId="0" fontId="8" fillId="5" borderId="20" xfId="0" applyFont="1" applyFill="1" applyBorder="1" applyAlignment="1">
      <alignment horizontal="center" vertical="center"/>
    </xf>
    <xf numFmtId="0" fontId="8" fillId="5" borderId="22" xfId="0" applyFont="1" applyFill="1" applyBorder="1" applyAlignment="1">
      <alignment horizontal="center" vertical="center"/>
    </xf>
  </cellXfs>
  <cellStyles count="10">
    <cellStyle name="Comma" xfId="7" xr:uid="{09C27C8E-0D32-427F-899A-8FEA664666EA}"/>
    <cellStyle name="Comma [0]" xfId="8" xr:uid="{F43EEAEB-165C-4A40-9084-622C68783061}"/>
    <cellStyle name="Currency" xfId="5" xr:uid="{2358183F-0B44-4E8F-9A33-AEEF31134120}"/>
    <cellStyle name="Currency [0]" xfId="6" xr:uid="{F2F69FA1-1B9B-40A2-83E6-AE8CBBD7664C}"/>
    <cellStyle name="Moeda" xfId="9" builtinId="4"/>
    <cellStyle name="Normal" xfId="0" builtinId="0"/>
    <cellStyle name="Normal 2" xfId="3" xr:uid="{56D7703E-00BD-482E-9B3D-9B93CF83B183}"/>
    <cellStyle name="Percent" xfId="4" xr:uid="{1BED9A89-3530-4835-B7FB-A93615F26D08}"/>
    <cellStyle name="Porcentagem" xfId="2" builtinId="5"/>
    <cellStyle name="Vírgula" xfId="1" builtinId="3"/>
  </cellStyles>
  <dxfs count="0"/>
  <tableStyles count="0" defaultTableStyle="TableStyleMedium2" defaultPivotStyle="PivotStyleLight16"/>
  <colors>
    <mruColors>
      <color rgb="FF283549"/>
      <color rgb="FFBCBDC1"/>
      <color rgb="FF808183"/>
      <color rgb="FF211F2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678142198413731"/>
          <c:y val="0.11652733592726389"/>
          <c:w val="0.91871084921724233"/>
          <c:h val="0.4170980217400245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'Gerenciamento executivo '!$E$2</c:f>
              <c:strCache>
                <c:ptCount val="1"/>
                <c:pt idx="0">
                  <c:v>Valor 1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solidFill>
                <a:schemeClr val="tx2">
                  <a:lumMod val="40000"/>
                  <a:lumOff val="60000"/>
                </a:schemeClr>
              </a:solidFill>
            </a:ln>
            <a:effectLst/>
          </c:spPr>
          <c:invertIfNegative val="0"/>
          <c:cat>
            <c:strRef>
              <c:f>'Gerenciamento executivo '!$A$3:$A$17</c:f>
              <c:strCache>
                <c:ptCount val="15"/>
                <c:pt idx="0">
                  <c:v>MOVIMENTAÇÃO DE TERRA</c:v>
                </c:pt>
                <c:pt idx="1">
                  <c:v>INFRAESTRUTURA</c:v>
                </c:pt>
                <c:pt idx="2">
                  <c:v>SUPRAESTRUTURA</c:v>
                </c:pt>
                <c:pt idx="3">
                  <c:v>ALVENARIA</c:v>
                </c:pt>
                <c:pt idx="4">
                  <c:v>INSTALAÇÕES ELÉTRICAS, HIDRÁULICAS, GLP E PREVENTIVAS</c:v>
                </c:pt>
                <c:pt idx="5">
                  <c:v>SISTEMAS E EQUIPAMENTOS ESPECIAIS</c:v>
                </c:pt>
                <c:pt idx="6">
                  <c:v>IMPERMEABILIZAÇÃO</c:v>
                </c:pt>
                <c:pt idx="7">
                  <c:v>REVESTIMENTOS INTERNOS EM PISO E PAREDE</c:v>
                </c:pt>
                <c:pt idx="8">
                  <c:v>REVESTIMENTOS DE TETO</c:v>
                </c:pt>
                <c:pt idx="9">
                  <c:v>ACABAMENTOS EM PISO E PAREDE</c:v>
                </c:pt>
                <c:pt idx="10">
                  <c:v>PINTURA INTERNA</c:v>
                </c:pt>
                <c:pt idx="11">
                  <c:v>ESQUADRIAS, VIDROS E FERRAGENS</c:v>
                </c:pt>
                <c:pt idx="12">
                  <c:v>REVESTIMENTOS E ACABAMENTOS DE FACHADA</c:v>
                </c:pt>
                <c:pt idx="13">
                  <c:v>COBERTURA</c:v>
                </c:pt>
                <c:pt idx="14">
                  <c:v>SERVIÇOS COMPLEMENTARES</c:v>
                </c:pt>
              </c:strCache>
            </c:strRef>
          </c:cat>
          <c:val>
            <c:numRef>
              <c:f>'Gerenciamento executivo '!$E$3:$E$17</c:f>
              <c:numCache>
                <c:formatCode>General</c:formatCode>
                <c:ptCount val="15"/>
                <c:pt idx="0">
                  <c:v>4.5</c:v>
                </c:pt>
                <c:pt idx="1">
                  <c:v>120</c:v>
                </c:pt>
                <c:pt idx="2">
                  <c:v>580</c:v>
                </c:pt>
                <c:pt idx="3">
                  <c:v>95</c:v>
                </c:pt>
                <c:pt idx="4">
                  <c:v>185</c:v>
                </c:pt>
                <c:pt idx="5">
                  <c:v>100</c:v>
                </c:pt>
                <c:pt idx="6">
                  <c:v>40</c:v>
                </c:pt>
                <c:pt idx="7">
                  <c:v>140</c:v>
                </c:pt>
                <c:pt idx="8">
                  <c:v>60</c:v>
                </c:pt>
                <c:pt idx="9">
                  <c:v>120</c:v>
                </c:pt>
                <c:pt idx="10">
                  <c:v>90</c:v>
                </c:pt>
                <c:pt idx="11">
                  <c:v>155</c:v>
                </c:pt>
                <c:pt idx="12">
                  <c:v>80</c:v>
                </c:pt>
                <c:pt idx="13">
                  <c:v>5.5</c:v>
                </c:pt>
                <c:pt idx="14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02-4A4E-8021-9846F645B964}"/>
            </c:ext>
          </c:extLst>
        </c:ser>
        <c:ser>
          <c:idx val="1"/>
          <c:order val="1"/>
          <c:tx>
            <c:strRef>
              <c:f>'Gerenciamento executivo '!$F$2</c:f>
              <c:strCache>
                <c:ptCount val="1"/>
                <c:pt idx="0">
                  <c:v>Valor 2</c:v>
                </c:pt>
              </c:strCache>
            </c:strRef>
          </c:tx>
          <c:spPr>
            <a:solidFill>
              <a:schemeClr val="tx2"/>
            </a:solidFill>
            <a:ln>
              <a:solidFill>
                <a:schemeClr val="tx2"/>
              </a:solidFill>
            </a:ln>
            <a:effectLst/>
          </c:spPr>
          <c:invertIfNegative val="0"/>
          <c:val>
            <c:numRef>
              <c:f>'Gerenciamento executivo '!$F$3:$F$17</c:f>
              <c:numCache>
                <c:formatCode>General</c:formatCode>
                <c:ptCount val="15"/>
                <c:pt idx="0">
                  <c:v>3</c:v>
                </c:pt>
                <c:pt idx="1">
                  <c:v>50</c:v>
                </c:pt>
                <c:pt idx="2">
                  <c:v>60</c:v>
                </c:pt>
                <c:pt idx="3">
                  <c:v>25</c:v>
                </c:pt>
                <c:pt idx="4">
                  <c:v>60</c:v>
                </c:pt>
                <c:pt idx="5">
                  <c:v>80</c:v>
                </c:pt>
                <c:pt idx="6">
                  <c:v>20</c:v>
                </c:pt>
                <c:pt idx="7">
                  <c:v>20</c:v>
                </c:pt>
                <c:pt idx="8">
                  <c:v>10</c:v>
                </c:pt>
                <c:pt idx="9">
                  <c:v>40</c:v>
                </c:pt>
                <c:pt idx="10">
                  <c:v>20</c:v>
                </c:pt>
                <c:pt idx="11">
                  <c:v>45</c:v>
                </c:pt>
                <c:pt idx="12">
                  <c:v>40</c:v>
                </c:pt>
                <c:pt idx="13">
                  <c:v>14.5</c:v>
                </c:pt>
                <c:pt idx="14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02-4A4E-8021-9846F645B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10715216"/>
        <c:axId val="410715872"/>
      </c:barChart>
      <c:lineChart>
        <c:grouping val="standard"/>
        <c:varyColors val="0"/>
        <c:ser>
          <c:idx val="2"/>
          <c:order val="2"/>
          <c:tx>
            <c:strRef>
              <c:f>'Gerenciamento executivo '!$C$2</c:f>
              <c:strCache>
                <c:ptCount val="1"/>
                <c:pt idx="0">
                  <c:v>VALOR / m²</c:v>
                </c:pt>
              </c:strCache>
            </c:strRef>
          </c:tx>
          <c:spPr>
            <a:ln w="25400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2"/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'Gerenciamento executivo '!$C$3:$C$17</c:f>
              <c:numCache>
                <c:formatCode>_(* #,##0.00_);_(* \(#,##0.00\);_(* "-"??_);_(@_)</c:formatCode>
                <c:ptCount val="15"/>
                <c:pt idx="0">
                  <c:v>5.7295429300093224</c:v>
                </c:pt>
                <c:pt idx="1">
                  <c:v>166.30221419000273</c:v>
                </c:pt>
                <c:pt idx="2">
                  <c:v>591.11651213775667</c:v>
                </c:pt>
                <c:pt idx="3">
                  <c:v>102.07731265888505</c:v>
                </c:pt>
                <c:pt idx="4">
                  <c:v>228.54082616136384</c:v>
                </c:pt>
                <c:pt idx="5">
                  <c:v>121.31961604445503</c:v>
                </c:pt>
                <c:pt idx="6">
                  <c:v>45.202438008659314</c:v>
                </c:pt>
                <c:pt idx="7">
                  <c:v>147.83969426640189</c:v>
                </c:pt>
                <c:pt idx="8">
                  <c:v>70.652232378396576</c:v>
                </c:pt>
                <c:pt idx="9">
                  <c:v>158.2104793596632</c:v>
                </c:pt>
                <c:pt idx="10">
                  <c:v>97.345321078491423</c:v>
                </c:pt>
                <c:pt idx="11">
                  <c:v>183.65505269892847</c:v>
                </c:pt>
                <c:pt idx="12">
                  <c:v>100.96516046746675</c:v>
                </c:pt>
                <c:pt idx="13">
                  <c:v>8.1211757947116432</c:v>
                </c:pt>
                <c:pt idx="14">
                  <c:v>132.49764736220877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02-4A4E-8021-9846F645B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0715216"/>
        <c:axId val="410715872"/>
      </c:lineChart>
      <c:catAx>
        <c:axId val="410715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endParaRPr lang="pt-BR"/>
          </a:p>
        </c:txPr>
        <c:crossAx val="410715872"/>
        <c:crosses val="autoZero"/>
        <c:auto val="1"/>
        <c:lblAlgn val="ctr"/>
        <c:lblOffset val="100"/>
        <c:noMultiLvlLbl val="0"/>
      </c:catAx>
      <c:valAx>
        <c:axId val="410715872"/>
        <c:scaling>
          <c:orientation val="minMax"/>
          <c:min val="0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410715216"/>
        <c:crosses val="autoZero"/>
        <c:crossBetween val="between"/>
        <c:majorUnit val="50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>
          <a:latin typeface="Poppins" panose="00000500000000000000" pitchFamily="2" charset="0"/>
          <a:cs typeface="Poppins" panose="00000500000000000000" pitchFamily="2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r>
              <a:rPr lang="pt-BR" sz="1600" b="1"/>
              <a:t>REPRESENTAÇÃO</a:t>
            </a:r>
            <a:r>
              <a:rPr lang="pt-BR" sz="1600" b="1" baseline="0"/>
              <a:t> DE CUSTOS</a:t>
            </a:r>
            <a:r>
              <a:rPr lang="pt-BR" sz="1600" b="1"/>
              <a:t> POR ETAPA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Roboto" panose="02000000000000000000" pitchFamily="2" charset="0"/>
              <a:ea typeface="Roboto" panose="02000000000000000000" pitchFamily="2" charset="0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>
                <a:lumMod val="75000"/>
              </a:schemeClr>
            </a:solidFill>
            <a:ln>
              <a:solidFill>
                <a:schemeClr val="accent1">
                  <a:lumMod val="75000"/>
                </a:schemeClr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Roboto" panose="02000000000000000000" pitchFamily="2" charset="0"/>
                    <a:ea typeface="Roboto" panose="02000000000000000000" pitchFamily="2" charset="0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Executivo_01!$A$2:$A$18</c:f>
              <c:strCache>
                <c:ptCount val="17"/>
                <c:pt idx="0">
                  <c:v>DESPESAS INDIRETAS</c:v>
                </c:pt>
                <c:pt idx="1">
                  <c:v>MOVIMENTAÇÃO DE TERRA</c:v>
                </c:pt>
                <c:pt idx="2">
                  <c:v>INFRAESTRUTURA</c:v>
                </c:pt>
                <c:pt idx="3">
                  <c:v>SUPRAESTRUTURA</c:v>
                </c:pt>
                <c:pt idx="4">
                  <c:v>ALVENARIA</c:v>
                </c:pt>
                <c:pt idx="5">
                  <c:v>INSTALAÇÕES ELÉTRICAS, HIDRÁULICAS, GLP E PREVENTIVAS</c:v>
                </c:pt>
                <c:pt idx="6">
                  <c:v>SISTEMAS E EQUIPAMENTOS ESPECIAIS</c:v>
                </c:pt>
                <c:pt idx="7">
                  <c:v>IMPERMEABILIZAÇÃO</c:v>
                </c:pt>
                <c:pt idx="8">
                  <c:v>REVESTIMENTOS INTERNOS EM PISO E PAREDE</c:v>
                </c:pt>
                <c:pt idx="9">
                  <c:v>REVESTIMENTOS DE TETO</c:v>
                </c:pt>
                <c:pt idx="10">
                  <c:v>ACABAMENTOS EM PISO E PAREDE</c:v>
                </c:pt>
                <c:pt idx="11">
                  <c:v>PINTURA INTERNA</c:v>
                </c:pt>
                <c:pt idx="12">
                  <c:v>ESQUADRIAS, VIDROS E FERRAGENS</c:v>
                </c:pt>
                <c:pt idx="13">
                  <c:v>REVESTIMENTOS E ACABAMENTOS DE FACHADA</c:v>
                </c:pt>
                <c:pt idx="14">
                  <c:v>COBERTURA</c:v>
                </c:pt>
                <c:pt idx="15">
                  <c:v>SERVIÇOS COMPLEMENTARES</c:v>
                </c:pt>
                <c:pt idx="16">
                  <c:v>IMPREVISTOS E CONTINGÊNCIAS</c:v>
                </c:pt>
              </c:strCache>
            </c:strRef>
          </c:cat>
          <c:val>
            <c:numRef>
              <c:f>Executivo_01!$C$2:$C$18</c:f>
              <c:numCache>
                <c:formatCode>0.00%</c:formatCode>
                <c:ptCount val="17"/>
                <c:pt idx="0">
                  <c:v>0.13374039757671863</c:v>
                </c:pt>
                <c:pt idx="1">
                  <c:v>2.2590546857085025E-3</c:v>
                </c:pt>
                <c:pt idx="2">
                  <c:v>6.5569941756071878E-2</c:v>
                </c:pt>
                <c:pt idx="3">
                  <c:v>0.23306650161399406</c:v>
                </c:pt>
                <c:pt idx="4">
                  <c:v>4.0247229889629421E-2</c:v>
                </c:pt>
                <c:pt idx="5">
                  <c:v>9.0109495735060552E-2</c:v>
                </c:pt>
                <c:pt idx="6">
                  <c:v>4.7834120529599844E-2</c:v>
                </c:pt>
                <c:pt idx="7">
                  <c:v>1.7822500090551512E-2</c:v>
                </c:pt>
                <c:pt idx="8">
                  <c:v>5.82905055684231E-2</c:v>
                </c:pt>
                <c:pt idx="9">
                  <c:v>2.7856891650853387E-2</c:v>
                </c:pt>
                <c:pt idx="10">
                  <c:v>6.2379517719235229E-2</c:v>
                </c:pt>
                <c:pt idx="11">
                  <c:v>3.8381491578038829E-2</c:v>
                </c:pt>
                <c:pt idx="12">
                  <c:v>7.2411850722075191E-2</c:v>
                </c:pt>
                <c:pt idx="13">
                  <c:v>3.9808728485601998E-2</c:v>
                </c:pt>
                <c:pt idx="14">
                  <c:v>3.2020320742192185E-3</c:v>
                </c:pt>
                <c:pt idx="15">
                  <c:v>5.2241415201066226E-2</c:v>
                </c:pt>
                <c:pt idx="16">
                  <c:v>1.477832512315271E-2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D7-4691-80CA-1CD2976448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879648639"/>
        <c:axId val="879640735"/>
      </c:barChart>
      <c:catAx>
        <c:axId val="879648639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endParaRPr lang="pt-BR"/>
          </a:p>
        </c:txPr>
        <c:crossAx val="879640735"/>
        <c:crosses val="autoZero"/>
        <c:auto val="1"/>
        <c:lblAlgn val="ctr"/>
        <c:lblOffset val="100"/>
        <c:noMultiLvlLbl val="0"/>
      </c:catAx>
      <c:valAx>
        <c:axId val="879640735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endParaRPr lang="pt-BR"/>
          </a:p>
        </c:txPr>
        <c:crossAx val="879648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Roboto" panose="02000000000000000000" pitchFamily="2" charset="0"/>
          <a:ea typeface="Roboto" panose="02000000000000000000" pitchFamily="2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681316</xdr:colOff>
      <xdr:row>31</xdr:row>
      <xdr:rowOff>11206</xdr:rowOff>
    </xdr:from>
    <xdr:to>
      <xdr:col>5</xdr:col>
      <xdr:colOff>302559</xdr:colOff>
      <xdr:row>54</xdr:row>
      <xdr:rowOff>54908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FC88E27-5B2B-429D-976F-09C8361943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0.33656</cdr:x>
      <cdr:y>0.01707</cdr:y>
    </cdr:from>
    <cdr:to>
      <cdr:x>0.72478</cdr:x>
      <cdr:y>0.11386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A980D77C-1B0D-4CE5-B30B-F92097686DA0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2647950" y="66675"/>
          <a:ext cx="3054361" cy="377985"/>
        </a:xfrm>
        <a:prstGeom xmlns:a="http://schemas.openxmlformats.org/drawingml/2006/main" prst="rect">
          <a:avLst/>
        </a:prstGeom>
      </cdr:spPr>
    </cdr:pic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34638</xdr:colOff>
      <xdr:row>21</xdr:row>
      <xdr:rowOff>57149</xdr:rowOff>
    </xdr:from>
    <xdr:to>
      <xdr:col>4</xdr:col>
      <xdr:colOff>952502</xdr:colOff>
      <xdr:row>48</xdr:row>
      <xdr:rowOff>43294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DBED64D-B043-41BA-AC1A-5AE51FC1EC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Cartesian">
      <a:dk1>
        <a:srgbClr val="121212"/>
      </a:dk1>
      <a:lt1>
        <a:srgbClr val="F5F5F5"/>
      </a:lt1>
      <a:dk2>
        <a:srgbClr val="255AE5"/>
      </a:dk2>
      <a:lt2>
        <a:srgbClr val="FE3400"/>
      </a:lt2>
      <a:accent1>
        <a:srgbClr val="255AE5"/>
      </a:accent1>
      <a:accent2>
        <a:srgbClr val="FE3400"/>
      </a:accent2>
      <a:accent3>
        <a:srgbClr val="121212"/>
      </a:accent3>
      <a:accent4>
        <a:srgbClr val="FFC000"/>
      </a:accent4>
      <a:accent5>
        <a:srgbClr val="5B9BD5"/>
      </a:accent5>
      <a:accent6>
        <a:srgbClr val="70AD47"/>
      </a:accent6>
      <a:hlink>
        <a:srgbClr val="121212"/>
      </a:hlink>
      <a:folHlink>
        <a:srgbClr val="12121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7161E-1147-48E6-A075-87C4420014C4}">
  <dimension ref="A1:F18"/>
  <sheetViews>
    <sheetView tabSelected="1" topLeftCell="A25" zoomScale="115" zoomScaleNormal="115" workbookViewId="0">
      <selection activeCell="A30" sqref="A30"/>
    </sheetView>
  </sheetViews>
  <sheetFormatPr defaultRowHeight="14.4"/>
  <cols>
    <col min="1" max="1" width="61" customWidth="1"/>
    <col min="2" max="2" width="22.33203125" style="12" customWidth="1"/>
    <col min="3" max="3" width="16.88671875" customWidth="1"/>
    <col min="4" max="4" width="28.6640625" style="1" bestFit="1" customWidth="1"/>
  </cols>
  <sheetData>
    <row r="1" spans="1:6" ht="23.25" customHeight="1">
      <c r="A1" s="58" t="s">
        <v>0</v>
      </c>
      <c r="B1" s="56" t="s">
        <v>43</v>
      </c>
      <c r="C1" s="57"/>
      <c r="D1" s="25" t="s">
        <v>12</v>
      </c>
    </row>
    <row r="2" spans="1:6" ht="20.25" customHeight="1">
      <c r="A2" s="59"/>
      <c r="B2" s="26" t="s">
        <v>27</v>
      </c>
      <c r="C2" s="27" t="s">
        <v>10</v>
      </c>
      <c r="D2" s="28" t="s">
        <v>10</v>
      </c>
      <c r="E2" t="s">
        <v>23</v>
      </c>
      <c r="F2" t="s">
        <v>24</v>
      </c>
    </row>
    <row r="3" spans="1:6">
      <c r="A3" s="15" t="s">
        <v>1</v>
      </c>
      <c r="B3" s="54">
        <f>Executivo_01!B3</f>
        <v>217515.05</v>
      </c>
      <c r="C3" s="16">
        <f>Executivo_01!D3</f>
        <v>5.7295429300093224</v>
      </c>
      <c r="D3" s="17" t="s">
        <v>19</v>
      </c>
      <c r="E3">
        <v>4.5</v>
      </c>
      <c r="F3">
        <v>3</v>
      </c>
    </row>
    <row r="4" spans="1:6">
      <c r="A4" s="18" t="s">
        <v>2</v>
      </c>
      <c r="B4" s="55">
        <f>Executivo_01!B4</f>
        <v>6313459.0099999998</v>
      </c>
      <c r="C4" s="19">
        <f>Executivo_01!D4</f>
        <v>166.30221419000273</v>
      </c>
      <c r="D4" s="20" t="s">
        <v>34</v>
      </c>
      <c r="E4">
        <v>120</v>
      </c>
      <c r="F4">
        <v>50</v>
      </c>
    </row>
    <row r="5" spans="1:6">
      <c r="A5" s="15" t="s">
        <v>3</v>
      </c>
      <c r="B5" s="54">
        <f>Executivo_01!B5</f>
        <v>22441011.309999999</v>
      </c>
      <c r="C5" s="16">
        <f>Executivo_01!D5</f>
        <v>591.11651213775667</v>
      </c>
      <c r="D5" s="17" t="s">
        <v>29</v>
      </c>
      <c r="E5">
        <v>580</v>
      </c>
      <c r="F5">
        <f>640-580</f>
        <v>60</v>
      </c>
    </row>
    <row r="6" spans="1:6">
      <c r="A6" s="18" t="s">
        <v>4</v>
      </c>
      <c r="B6" s="55">
        <f>Executivo_01!B6</f>
        <v>3875239.62</v>
      </c>
      <c r="C6" s="19">
        <f>Executivo_01!D6</f>
        <v>102.07731265888505</v>
      </c>
      <c r="D6" s="20" t="s">
        <v>28</v>
      </c>
      <c r="E6">
        <v>95</v>
      </c>
      <c r="F6">
        <f>120-95</f>
        <v>25</v>
      </c>
    </row>
    <row r="7" spans="1:6">
      <c r="A7" s="15" t="s">
        <v>25</v>
      </c>
      <c r="B7" s="54">
        <f>Executivo_01!B7</f>
        <v>8676271.3599999994</v>
      </c>
      <c r="C7" s="16">
        <f>Executivo_01!D7</f>
        <v>228.54082616136384</v>
      </c>
      <c r="D7" s="17" t="s">
        <v>44</v>
      </c>
      <c r="E7">
        <v>185</v>
      </c>
      <c r="F7">
        <f>245-E7</f>
        <v>60</v>
      </c>
    </row>
    <row r="8" spans="1:6">
      <c r="A8" s="18" t="s">
        <v>17</v>
      </c>
      <c r="B8" s="55">
        <f>Executivo_01!B8</f>
        <v>4605750</v>
      </c>
      <c r="C8" s="19">
        <f>Executivo_01!D8</f>
        <v>121.31961604445503</v>
      </c>
      <c r="D8" s="20" t="s">
        <v>56</v>
      </c>
      <c r="E8">
        <v>100</v>
      </c>
      <c r="F8">
        <v>80</v>
      </c>
    </row>
    <row r="9" spans="1:6">
      <c r="A9" s="15" t="s">
        <v>22</v>
      </c>
      <c r="B9" s="54">
        <f>Executivo_01!B9</f>
        <v>1716054.96</v>
      </c>
      <c r="C9" s="16">
        <f>Executivo_01!D9</f>
        <v>45.202438008659314</v>
      </c>
      <c r="D9" s="17" t="s">
        <v>30</v>
      </c>
      <c r="E9">
        <v>40</v>
      </c>
      <c r="F9">
        <v>20</v>
      </c>
    </row>
    <row r="10" spans="1:6">
      <c r="A10" s="18" t="s">
        <v>13</v>
      </c>
      <c r="B10" s="55">
        <f>Executivo_01!B10</f>
        <v>5612552.1499999994</v>
      </c>
      <c r="C10" s="19">
        <f>Executivo_01!D10</f>
        <v>147.83969426640189</v>
      </c>
      <c r="D10" s="20" t="s">
        <v>20</v>
      </c>
      <c r="E10">
        <v>140</v>
      </c>
      <c r="F10">
        <v>20</v>
      </c>
    </row>
    <row r="11" spans="1:6">
      <c r="A11" s="15" t="s">
        <v>33</v>
      </c>
      <c r="B11" s="54">
        <f>Executivo_01!B11</f>
        <v>2682225.1</v>
      </c>
      <c r="C11" s="16">
        <f>Executivo_01!D11</f>
        <v>70.652232378396576</v>
      </c>
      <c r="D11" s="17" t="s">
        <v>21</v>
      </c>
      <c r="E11">
        <v>60</v>
      </c>
      <c r="F11">
        <v>10</v>
      </c>
    </row>
    <row r="12" spans="1:6">
      <c r="A12" s="18" t="s">
        <v>14</v>
      </c>
      <c r="B12" s="55">
        <f>Executivo_01!B12</f>
        <v>6006266.25</v>
      </c>
      <c r="C12" s="19">
        <f>Executivo_01!D12</f>
        <v>158.2104793596632</v>
      </c>
      <c r="D12" s="20" t="s">
        <v>35</v>
      </c>
      <c r="E12">
        <v>120</v>
      </c>
      <c r="F12">
        <v>40</v>
      </c>
    </row>
    <row r="13" spans="1:6">
      <c r="A13" s="15" t="s">
        <v>6</v>
      </c>
      <c r="B13" s="54">
        <f>Executivo_01!B13</f>
        <v>3695595.38</v>
      </c>
      <c r="C13" s="16">
        <f>Executivo_01!D13</f>
        <v>97.345321078491423</v>
      </c>
      <c r="D13" s="17" t="s">
        <v>36</v>
      </c>
      <c r="E13">
        <v>90</v>
      </c>
      <c r="F13">
        <f>115-95</f>
        <v>20</v>
      </c>
    </row>
    <row r="14" spans="1:6">
      <c r="A14" s="18" t="s">
        <v>18</v>
      </c>
      <c r="B14" s="55">
        <f>Executivo_01!B14</f>
        <v>6972238.1799999997</v>
      </c>
      <c r="C14" s="19">
        <f>Executivo_01!D14</f>
        <v>183.65505269892847</v>
      </c>
      <c r="D14" s="20" t="s">
        <v>37</v>
      </c>
      <c r="E14">
        <v>155</v>
      </c>
      <c r="F14">
        <f>200-E14</f>
        <v>45</v>
      </c>
    </row>
    <row r="15" spans="1:6">
      <c r="A15" s="15" t="s">
        <v>15</v>
      </c>
      <c r="B15" s="54">
        <f>Executivo_01!B15</f>
        <v>3833018.13</v>
      </c>
      <c r="C15" s="16">
        <f>Executivo_01!D15</f>
        <v>100.96516046746675</v>
      </c>
      <c r="D15" s="17" t="s">
        <v>31</v>
      </c>
      <c r="E15">
        <v>80</v>
      </c>
      <c r="F15">
        <f>120-E15</f>
        <v>40</v>
      </c>
    </row>
    <row r="16" spans="1:6">
      <c r="A16" s="18" t="s">
        <v>41</v>
      </c>
      <c r="B16" s="55">
        <f>Executivo_01!B16</f>
        <v>308310.45</v>
      </c>
      <c r="C16" s="19">
        <f>Executivo_01!D16</f>
        <v>8.1211757947116432</v>
      </c>
      <c r="D16" s="20" t="s">
        <v>42</v>
      </c>
      <c r="E16">
        <v>5.5</v>
      </c>
      <c r="F16">
        <f>20-E16</f>
        <v>14.5</v>
      </c>
    </row>
    <row r="17" spans="1:6">
      <c r="A17" s="15" t="s">
        <v>16</v>
      </c>
      <c r="B17" s="54">
        <f>Executivo_01!B17</f>
        <v>5030110.21</v>
      </c>
      <c r="C17" s="16">
        <f>Executivo_01!D17</f>
        <v>132.49764736220877</v>
      </c>
      <c r="D17" s="17" t="s">
        <v>38</v>
      </c>
      <c r="E17">
        <v>75</v>
      </c>
      <c r="F17">
        <f>110-E17</f>
        <v>35</v>
      </c>
    </row>
    <row r="18" spans="1:6" ht="15" thickBot="1">
      <c r="A18" s="21" t="s">
        <v>7</v>
      </c>
      <c r="B18" s="22">
        <f>SUM(B3:B17)</f>
        <v>81985617.159999996</v>
      </c>
      <c r="C18" s="23">
        <f>SUM(C3:C17)</f>
        <v>2159.5752255374009</v>
      </c>
      <c r="D18" s="24" t="s">
        <v>40</v>
      </c>
    </row>
  </sheetData>
  <mergeCells count="2">
    <mergeCell ref="B1:C1"/>
    <mergeCell ref="A1:A2"/>
  </mergeCells>
  <phoneticPr fontId="6" type="noConversion"/>
  <pageMargins left="0.511811024" right="0.511811024" top="0.78740157499999996" bottom="0.78740157499999996" header="0.31496062000000002" footer="0.31496062000000002"/>
  <pageSetup paperSize="9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A5307-9C27-4E39-9221-228F39A17C63}">
  <dimension ref="A1:M32"/>
  <sheetViews>
    <sheetView showGridLines="0" zoomScale="85" zoomScaleNormal="85" workbookViewId="0">
      <selection activeCell="E20" sqref="A1:E20"/>
    </sheetView>
  </sheetViews>
  <sheetFormatPr defaultColWidth="9.109375" defaultRowHeight="13.2"/>
  <cols>
    <col min="1" max="1" width="64.5546875" style="2" bestFit="1" customWidth="1"/>
    <col min="2" max="2" width="17.88671875" style="2" bestFit="1" customWidth="1"/>
    <col min="3" max="3" width="14.33203125" style="2" customWidth="1"/>
    <col min="4" max="4" width="15.109375" style="2" customWidth="1"/>
    <col min="5" max="5" width="20.6640625" style="2" customWidth="1"/>
    <col min="6" max="6" width="14.33203125" style="2" bestFit="1" customWidth="1"/>
    <col min="7" max="7" width="14.33203125" style="14" customWidth="1"/>
    <col min="8" max="8" width="14.33203125" style="2" customWidth="1"/>
    <col min="9" max="9" width="14.109375" style="2" bestFit="1" customWidth="1"/>
    <col min="10" max="10" width="13.109375" style="2" bestFit="1" customWidth="1"/>
    <col min="11" max="11" width="9.109375" style="2" customWidth="1"/>
    <col min="12" max="13" width="13.88671875" style="14" bestFit="1" customWidth="1"/>
    <col min="14" max="16384" width="9.109375" style="2"/>
  </cols>
  <sheetData>
    <row r="1" spans="1:13" ht="24" customHeight="1">
      <c r="A1" s="29" t="s">
        <v>0</v>
      </c>
      <c r="B1" s="30" t="s">
        <v>8</v>
      </c>
      <c r="C1" s="30" t="s">
        <v>9</v>
      </c>
      <c r="D1" s="30" t="s">
        <v>10</v>
      </c>
      <c r="E1" s="31" t="s">
        <v>11</v>
      </c>
      <c r="I1" s="11"/>
      <c r="J1" s="11"/>
    </row>
    <row r="2" spans="1:13" ht="18" customHeight="1">
      <c r="A2" s="50" t="s">
        <v>55</v>
      </c>
      <c r="B2" s="41">
        <f>12877310.784</f>
        <v>12877310.784</v>
      </c>
      <c r="C2" s="42">
        <f t="shared" ref="C2:C18" si="0">B2/B$19</f>
        <v>0.13374039757671863</v>
      </c>
      <c r="D2" s="43">
        <f t="shared" ref="D2:D18" si="1">B2/J$29</f>
        <v>339.20000000000005</v>
      </c>
      <c r="E2" s="44">
        <f t="shared" ref="E2:E18" si="2">B2/I$29</f>
        <v>66037.491200000004</v>
      </c>
      <c r="F2" s="14"/>
      <c r="H2" s="11"/>
      <c r="J2" s="11"/>
    </row>
    <row r="3" spans="1:13" ht="18" customHeight="1">
      <c r="A3" s="51" t="s">
        <v>1</v>
      </c>
      <c r="B3" s="3">
        <v>217515.05</v>
      </c>
      <c r="C3" s="4">
        <f t="shared" si="0"/>
        <v>2.2590546857085025E-3</v>
      </c>
      <c r="D3" s="5">
        <f t="shared" si="1"/>
        <v>5.7295429300093224</v>
      </c>
      <c r="E3" s="8">
        <f t="shared" si="2"/>
        <v>1115.4617948717948</v>
      </c>
      <c r="F3" s="11"/>
      <c r="H3" s="14"/>
      <c r="I3" s="11"/>
      <c r="J3" s="11"/>
    </row>
    <row r="4" spans="1:13" ht="18" customHeight="1">
      <c r="A4" s="52" t="s">
        <v>2</v>
      </c>
      <c r="B4" s="45">
        <f>6530974.06-B3</f>
        <v>6313459.0099999998</v>
      </c>
      <c r="C4" s="46">
        <f t="shared" si="0"/>
        <v>6.5569941756071878E-2</v>
      </c>
      <c r="D4" s="45">
        <f t="shared" si="1"/>
        <v>166.30221419000273</v>
      </c>
      <c r="E4" s="47">
        <f t="shared" si="2"/>
        <v>32376.712871794869</v>
      </c>
      <c r="F4" s="11"/>
      <c r="H4" s="11"/>
      <c r="I4" s="11"/>
      <c r="J4" s="11"/>
      <c r="K4" s="48">
        <v>8258016.4699999997</v>
      </c>
      <c r="L4" s="48">
        <v>8656286.5099999998</v>
      </c>
      <c r="M4" s="48">
        <v>5526708.3200000003</v>
      </c>
    </row>
    <row r="5" spans="1:13" ht="18" customHeight="1">
      <c r="A5" s="53" t="s">
        <v>3</v>
      </c>
      <c r="B5" s="6">
        <f>8305575.95+8611826.93+5523608.43</f>
        <v>22441011.309999999</v>
      </c>
      <c r="C5" s="7">
        <f t="shared" si="0"/>
        <v>0.23306650161399406</v>
      </c>
      <c r="D5" s="6">
        <f t="shared" si="1"/>
        <v>591.11651213775667</v>
      </c>
      <c r="E5" s="9">
        <f t="shared" si="2"/>
        <v>115082.10928205127</v>
      </c>
      <c r="H5" s="11"/>
      <c r="I5" s="11"/>
      <c r="J5" s="11"/>
    </row>
    <row r="6" spans="1:13" ht="18" customHeight="1">
      <c r="A6" s="52" t="s">
        <v>4</v>
      </c>
      <c r="B6" s="45">
        <f>1427101.77+709128.78+1739009.07</f>
        <v>3875239.62</v>
      </c>
      <c r="C6" s="46">
        <f t="shared" si="0"/>
        <v>4.0247229889629421E-2</v>
      </c>
      <c r="D6" s="45">
        <f t="shared" si="1"/>
        <v>102.07731265888505</v>
      </c>
      <c r="E6" s="47">
        <f t="shared" si="2"/>
        <v>19873.023692307692</v>
      </c>
      <c r="F6" s="14"/>
      <c r="H6" s="14"/>
      <c r="I6" s="11"/>
      <c r="J6" s="11"/>
    </row>
    <row r="7" spans="1:13" ht="18" customHeight="1">
      <c r="A7" s="53" t="s">
        <v>25</v>
      </c>
      <c r="B7" s="6">
        <f>SUM(H7:H9)</f>
        <v>8676271.3599999994</v>
      </c>
      <c r="C7" s="7">
        <f t="shared" si="0"/>
        <v>9.0109495735060552E-2</v>
      </c>
      <c r="D7" s="6">
        <f t="shared" si="1"/>
        <v>228.54082616136384</v>
      </c>
      <c r="E7" s="9">
        <f t="shared" si="2"/>
        <v>44493.699282051282</v>
      </c>
      <c r="F7" s="14"/>
      <c r="G7" s="14" t="s">
        <v>45</v>
      </c>
      <c r="H7" s="14">
        <f>1503257.44+1228961.57+1933243.19</f>
        <v>4665462.1999999993</v>
      </c>
      <c r="I7" s="11"/>
      <c r="J7" s="11"/>
    </row>
    <row r="8" spans="1:13" ht="18" customHeight="1">
      <c r="A8" s="52" t="s">
        <v>17</v>
      </c>
      <c r="B8" s="45">
        <f>3790000+127396.13+246674.36+233116.51+62002+73000+73561</f>
        <v>4605750</v>
      </c>
      <c r="C8" s="46">
        <f t="shared" si="0"/>
        <v>4.7834120529599844E-2</v>
      </c>
      <c r="D8" s="45">
        <f t="shared" si="1"/>
        <v>121.31961604445503</v>
      </c>
      <c r="E8" s="47">
        <f t="shared" si="2"/>
        <v>23619.23076923077</v>
      </c>
      <c r="F8" s="11"/>
      <c r="G8" s="14" t="s">
        <v>46</v>
      </c>
      <c r="H8" s="11">
        <f>699629.85+1249222.7+1184953.25</f>
        <v>3133805.8</v>
      </c>
      <c r="I8" s="14"/>
      <c r="J8" s="11"/>
    </row>
    <row r="9" spans="1:13" ht="18" customHeight="1">
      <c r="A9" s="53" t="s">
        <v>22</v>
      </c>
      <c r="B9" s="6">
        <f>351850.05+693343.21+670861.7</f>
        <v>1716054.96</v>
      </c>
      <c r="C9" s="7">
        <f t="shared" si="0"/>
        <v>1.7822500090551512E-2</v>
      </c>
      <c r="D9" s="6">
        <f t="shared" si="1"/>
        <v>45.202438008659314</v>
      </c>
      <c r="E9" s="9">
        <f t="shared" si="2"/>
        <v>8800.2818461538463</v>
      </c>
      <c r="F9" s="14"/>
      <c r="G9" s="14" t="s">
        <v>47</v>
      </c>
      <c r="H9" s="14">
        <f>295084.54+315311.78+266607.04</f>
        <v>877003.3600000001</v>
      </c>
      <c r="I9" s="11"/>
    </row>
    <row r="10" spans="1:13" ht="18" customHeight="1">
      <c r="A10" s="52" t="s">
        <v>13</v>
      </c>
      <c r="B10" s="45">
        <f>1642612.71+2089086.72+1880852.72</f>
        <v>5612552.1499999994</v>
      </c>
      <c r="C10" s="46">
        <f t="shared" si="0"/>
        <v>5.82905055684231E-2</v>
      </c>
      <c r="D10" s="45">
        <f t="shared" si="1"/>
        <v>147.83969426640189</v>
      </c>
      <c r="E10" s="47">
        <f t="shared" si="2"/>
        <v>28782.318717948714</v>
      </c>
      <c r="I10" s="11"/>
      <c r="K10" s="10" t="s">
        <v>13</v>
      </c>
    </row>
    <row r="11" spans="1:13" ht="18" customHeight="1">
      <c r="A11" s="53" t="s">
        <v>33</v>
      </c>
      <c r="B11" s="6">
        <f>292414.1+1298975.1+1090835.9</f>
        <v>2682225.1</v>
      </c>
      <c r="C11" s="7">
        <f t="shared" si="0"/>
        <v>2.7856891650853387E-2</v>
      </c>
      <c r="D11" s="6">
        <f t="shared" si="1"/>
        <v>70.652232378396576</v>
      </c>
      <c r="E11" s="9">
        <f t="shared" si="2"/>
        <v>13755.000512820514</v>
      </c>
      <c r="F11" s="49"/>
      <c r="H11" s="49"/>
      <c r="I11" s="11"/>
      <c r="K11" s="13" t="s">
        <v>5</v>
      </c>
    </row>
    <row r="12" spans="1:13" ht="18" customHeight="1">
      <c r="A12" s="52" t="s">
        <v>14</v>
      </c>
      <c r="B12" s="45">
        <f>SUM(H22:H25)</f>
        <v>6006266.25</v>
      </c>
      <c r="C12" s="46">
        <f t="shared" si="0"/>
        <v>6.2379517719235229E-2</v>
      </c>
      <c r="D12" s="45">
        <f t="shared" si="1"/>
        <v>158.2104793596632</v>
      </c>
      <c r="E12" s="47">
        <f t="shared" si="2"/>
        <v>30801.365384615383</v>
      </c>
      <c r="F12" s="49"/>
      <c r="G12" s="14" t="s">
        <v>48</v>
      </c>
      <c r="H12" s="49">
        <f>127396.13+246674.36+233116.51</f>
        <v>607187</v>
      </c>
      <c r="I12" s="11"/>
      <c r="K12" s="10" t="s">
        <v>14</v>
      </c>
    </row>
    <row r="13" spans="1:13" ht="18" customHeight="1">
      <c r="A13" s="53" t="s">
        <v>6</v>
      </c>
      <c r="B13" s="6">
        <f>1237107.6+1305922.71+1152565.07</f>
        <v>3695595.38</v>
      </c>
      <c r="C13" s="7">
        <f t="shared" si="0"/>
        <v>3.8381491578038829E-2</v>
      </c>
      <c r="D13" s="6">
        <f t="shared" si="1"/>
        <v>97.345321078491423</v>
      </c>
      <c r="E13" s="9">
        <f t="shared" si="2"/>
        <v>18951.771179487179</v>
      </c>
      <c r="F13" s="49"/>
      <c r="G13" s="14" t="s">
        <v>49</v>
      </c>
      <c r="H13" s="49">
        <f>62002+73000+73561</f>
        <v>208563</v>
      </c>
      <c r="I13" s="11"/>
      <c r="K13" s="13" t="s">
        <v>6</v>
      </c>
    </row>
    <row r="14" spans="1:13" ht="18" customHeight="1">
      <c r="A14" s="52" t="s">
        <v>18</v>
      </c>
      <c r="B14" s="45">
        <f>4830529.1+302692.76+1839016.32</f>
        <v>6972238.1799999997</v>
      </c>
      <c r="C14" s="46">
        <f t="shared" si="0"/>
        <v>7.2411850722075191E-2</v>
      </c>
      <c r="D14" s="45">
        <f t="shared" si="1"/>
        <v>183.65505269892847</v>
      </c>
      <c r="E14" s="47">
        <f t="shared" si="2"/>
        <v>35755.067589743587</v>
      </c>
      <c r="F14" s="49"/>
      <c r="H14" s="49"/>
      <c r="I14" s="11"/>
      <c r="K14" s="10" t="s">
        <v>18</v>
      </c>
    </row>
    <row r="15" spans="1:13" ht="18" customHeight="1">
      <c r="A15" s="53" t="s">
        <v>15</v>
      </c>
      <c r="B15" s="6">
        <f>1024832.06+1485301.79+1322884.28</f>
        <v>3833018.13</v>
      </c>
      <c r="C15" s="7">
        <f t="shared" si="0"/>
        <v>3.9808728485601998E-2</v>
      </c>
      <c r="D15" s="6">
        <f t="shared" si="1"/>
        <v>100.96516046746675</v>
      </c>
      <c r="E15" s="9">
        <f t="shared" si="2"/>
        <v>19656.503230769231</v>
      </c>
      <c r="F15" s="11"/>
      <c r="G15" s="14" t="s">
        <v>50</v>
      </c>
      <c r="H15" s="11">
        <f>2113334.85+852405.37+1128981.62</f>
        <v>4094721.8400000003</v>
      </c>
      <c r="I15" s="11"/>
      <c r="K15" s="10" t="s">
        <v>15</v>
      </c>
    </row>
    <row r="16" spans="1:13" ht="18" customHeight="1">
      <c r="A16" s="52" t="s">
        <v>41</v>
      </c>
      <c r="B16" s="45">
        <f>70292.6+39406.85+198611</f>
        <v>308310.45</v>
      </c>
      <c r="C16" s="46">
        <f t="shared" si="0"/>
        <v>3.2020320742192185E-3</v>
      </c>
      <c r="D16" s="45">
        <f t="shared" si="1"/>
        <v>8.1211757947116432</v>
      </c>
      <c r="E16" s="47">
        <f t="shared" si="2"/>
        <v>1581.0792307692309</v>
      </c>
      <c r="F16" s="14"/>
      <c r="G16" s="14" t="s">
        <v>51</v>
      </c>
      <c r="H16" s="14">
        <f>758516.68+1086283.18+66556.32</f>
        <v>1911356.18</v>
      </c>
      <c r="I16" s="11"/>
      <c r="K16" s="10"/>
    </row>
    <row r="17" spans="1:11" ht="18" customHeight="1">
      <c r="A17" s="53" t="s">
        <v>16</v>
      </c>
      <c r="B17" s="6">
        <v>5030110.21</v>
      </c>
      <c r="C17" s="7">
        <f t="shared" si="0"/>
        <v>5.2241415201066226E-2</v>
      </c>
      <c r="D17" s="6">
        <f t="shared" si="1"/>
        <v>132.49764736220877</v>
      </c>
      <c r="E17" s="9">
        <f t="shared" si="2"/>
        <v>25795.436974358974</v>
      </c>
      <c r="F17" s="11"/>
      <c r="H17" s="11"/>
      <c r="I17" s="11"/>
      <c r="K17" s="10"/>
    </row>
    <row r="18" spans="1:11" ht="18" customHeight="1">
      <c r="A18" s="52" t="s">
        <v>39</v>
      </c>
      <c r="B18" s="45">
        <v>1422943.9191599996</v>
      </c>
      <c r="C18" s="46">
        <f t="shared" si="0"/>
        <v>1.477832512315271E-2</v>
      </c>
      <c r="D18" s="45">
        <f t="shared" si="1"/>
        <v>37.481628383061</v>
      </c>
      <c r="E18" s="47">
        <f t="shared" si="2"/>
        <v>7297.1483033846134</v>
      </c>
      <c r="F18" s="11"/>
      <c r="G18" s="14" t="s">
        <v>52</v>
      </c>
      <c r="H18" s="14">
        <f>855637.15+2449670.96+2511536.07</f>
        <v>5816844.1799999997</v>
      </c>
      <c r="I18" s="11"/>
      <c r="K18" s="10" t="s">
        <v>15</v>
      </c>
    </row>
    <row r="19" spans="1:11" ht="18" customHeight="1">
      <c r="A19" s="32" t="s">
        <v>7</v>
      </c>
      <c r="B19" s="33">
        <f>SUM(B2:B18)</f>
        <v>96285871.863159969</v>
      </c>
      <c r="C19" s="34">
        <f>SUM(C2:C18)</f>
        <v>1.0000000000000002</v>
      </c>
      <c r="D19" s="33">
        <f>SUM(D2:D18)</f>
        <v>2536.2568539204617</v>
      </c>
      <c r="E19" s="35">
        <f>SUM(E2:E18)</f>
        <v>493773.70186235895</v>
      </c>
      <c r="G19" s="14" t="s">
        <v>53</v>
      </c>
      <c r="H19" s="11">
        <f>503854.5+596469.5+55070</f>
        <v>1155394</v>
      </c>
      <c r="I19" s="11"/>
    </row>
    <row r="20" spans="1:11" ht="18" customHeight="1" thickBot="1">
      <c r="A20" s="36" t="s">
        <v>32</v>
      </c>
      <c r="B20" s="37">
        <v>2403.54</v>
      </c>
      <c r="C20" s="38">
        <v>44501</v>
      </c>
      <c r="D20" s="39">
        <f>+D19/B20</f>
        <v>1.0552172436990697</v>
      </c>
      <c r="E20" s="40" t="s">
        <v>26</v>
      </c>
      <c r="I20" s="11"/>
    </row>
    <row r="21" spans="1:11">
      <c r="I21" s="11"/>
    </row>
    <row r="22" spans="1:11">
      <c r="B22" s="11"/>
      <c r="F22" s="11"/>
      <c r="G22" s="14" t="s">
        <v>54</v>
      </c>
      <c r="H22" s="11">
        <f>92325.32+391037.93+328000.83</f>
        <v>811364.08000000007</v>
      </c>
    </row>
    <row r="23" spans="1:11">
      <c r="H23" s="11"/>
      <c r="I23" s="11"/>
    </row>
    <row r="24" spans="1:11">
      <c r="G24" s="14" t="s">
        <v>50</v>
      </c>
      <c r="H24" s="14">
        <f>1643845.85+823664.96+1175691.02</f>
        <v>3643201.83</v>
      </c>
    </row>
    <row r="25" spans="1:11">
      <c r="F25" s="11"/>
      <c r="G25" s="14" t="s">
        <v>51</v>
      </c>
      <c r="H25" s="14">
        <f>576375.45+849969.19+125355.7</f>
        <v>1551700.3399999999</v>
      </c>
    </row>
    <row r="26" spans="1:11">
      <c r="F26" s="11"/>
      <c r="I26" s="11"/>
    </row>
    <row r="29" spans="1:11">
      <c r="F29" s="49"/>
      <c r="I29" s="2">
        <v>195</v>
      </c>
      <c r="J29" s="2">
        <v>37963.769999999997</v>
      </c>
    </row>
    <row r="30" spans="1:11">
      <c r="F30" s="49"/>
    </row>
    <row r="31" spans="1:11">
      <c r="F31" s="49"/>
    </row>
    <row r="32" spans="1:11">
      <c r="H32" s="11"/>
    </row>
  </sheetData>
  <pageMargins left="0.511811024" right="0.511811024" top="0.78740157499999996" bottom="0.78740157499999996" header="0.31496062000000002" footer="0.31496062000000002"/>
  <pageSetup paperSize="9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Gerenciamento executivo </vt:lpstr>
      <vt:lpstr>Executivo_01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Methodo</dc:creator>
  <cp:lastModifiedBy>Luisa Romaniello</cp:lastModifiedBy>
  <dcterms:created xsi:type="dcterms:W3CDTF">2021-06-30T18:49:34Z</dcterms:created>
  <dcterms:modified xsi:type="dcterms:W3CDTF">2021-11-11T17:34:17Z</dcterms:modified>
</cp:coreProperties>
</file>