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postas Fechadas\CK - Orç e Plan 06.2018\1. Projetos\12. Urbe\03. Custo\03.5 Custo - Determinação do orçamento\"/>
    </mc:Choice>
  </mc:AlternateContent>
  <xr:revisionPtr revIDLastSave="0" documentId="13_ncr:1_{7C695D88-FA2A-4B27-89A2-CB5009895108}" xr6:coauthVersionLast="47" xr6:coauthVersionMax="47" xr10:uidLastSave="{00000000-0000-0000-0000-000000000000}"/>
  <bookViews>
    <workbookView xWindow="30612" yWindow="-108" windowWidth="23256" windowHeight="12456" xr2:uid="{00000000-000D-0000-FFFF-FFFF00000000}"/>
  </bookViews>
  <sheets>
    <sheet name="Gerenciamento executivo " sheetId="3" r:id="rId1"/>
    <sheet name="Gerenciamento_Exec" sheetId="4" r:id="rId2"/>
    <sheet name="Planilha1" sheetId="5" r:id="rId3"/>
    <sheet name="Orçamento Resumo" sheetId="6" r:id="rId4"/>
  </sheets>
  <externalReferences>
    <externalReference r:id="rId5"/>
  </externalReferences>
  <definedNames>
    <definedName name="_xlnm._FilterDatabase" localSheetId="3" hidden="1">'Orçamento Resumo'!$A$1:$E$20</definedName>
    <definedName name="_xlnm.Print_Area" localSheetId="3">'Orçamento Resumo'!$A$1:$E$45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B5" i="3"/>
  <c r="B6" i="3"/>
  <c r="B7" i="3"/>
  <c r="B8" i="3"/>
  <c r="B9" i="3"/>
  <c r="B10" i="3"/>
  <c r="B11" i="3"/>
  <c r="B4" i="3"/>
  <c r="B13" i="4"/>
  <c r="B10" i="4"/>
  <c r="B6" i="4"/>
  <c r="G17" i="3"/>
  <c r="F17" i="3"/>
  <c r="D2" i="4" l="1"/>
  <c r="B7" i="4"/>
  <c r="B3" i="3"/>
  <c r="E18" i="6" l="1"/>
  <c r="D18" i="6"/>
  <c r="B17" i="6"/>
  <c r="E17" i="6" s="1"/>
  <c r="B16" i="6"/>
  <c r="D16" i="6" s="1"/>
  <c r="G16" i="6" s="1"/>
  <c r="D12" i="3" s="1"/>
  <c r="B15" i="6"/>
  <c r="E15" i="6" s="1"/>
  <c r="B14" i="6"/>
  <c r="E14" i="6" s="1"/>
  <c r="B13" i="6"/>
  <c r="D13" i="6" s="1"/>
  <c r="B12" i="6"/>
  <c r="E12" i="6" s="1"/>
  <c r="B11" i="6"/>
  <c r="D11" i="6" s="1"/>
  <c r="G11" i="6" s="1"/>
  <c r="D11" i="3" s="1"/>
  <c r="B10" i="6"/>
  <c r="E10" i="6" s="1"/>
  <c r="B9" i="6"/>
  <c r="E9" i="6" s="1"/>
  <c r="B8" i="6"/>
  <c r="E8" i="6" s="1"/>
  <c r="B7" i="6"/>
  <c r="E7" i="6" s="1"/>
  <c r="B6" i="6"/>
  <c r="E6" i="6" s="1"/>
  <c r="B5" i="6"/>
  <c r="D5" i="6" s="1"/>
  <c r="B4" i="6"/>
  <c r="E4" i="6" s="1"/>
  <c r="B3" i="6"/>
  <c r="D3" i="6" s="1"/>
  <c r="H2" i="6"/>
  <c r="B2" i="6"/>
  <c r="G27" i="4"/>
  <c r="G29" i="4" s="1"/>
  <c r="E13" i="6" l="1"/>
  <c r="G18" i="6"/>
  <c r="D10" i="6"/>
  <c r="G10" i="6" s="1"/>
  <c r="D9" i="3" s="1"/>
  <c r="G5" i="6"/>
  <c r="D4" i="3" s="1"/>
  <c r="B19" i="6"/>
  <c r="D14" i="6"/>
  <c r="G14" i="6" s="1"/>
  <c r="D14" i="3" s="1"/>
  <c r="D6" i="6"/>
  <c r="G6" i="6" s="1"/>
  <c r="D5" i="3" s="1"/>
  <c r="D8" i="6"/>
  <c r="G8" i="6" s="1"/>
  <c r="D7" i="3" s="1"/>
  <c r="E3" i="6"/>
  <c r="E11" i="6"/>
  <c r="D7" i="6"/>
  <c r="G7" i="6" s="1"/>
  <c r="D6" i="3" s="1"/>
  <c r="D15" i="6"/>
  <c r="G15" i="6" s="1"/>
  <c r="D15" i="3" s="1"/>
  <c r="E2" i="6"/>
  <c r="E5" i="6"/>
  <c r="G13" i="6"/>
  <c r="D13" i="3" s="1"/>
  <c r="C8" i="6"/>
  <c r="C13" i="6"/>
  <c r="C5" i="6"/>
  <c r="C16" i="6"/>
  <c r="G3" i="6"/>
  <c r="C10" i="6"/>
  <c r="E16" i="6"/>
  <c r="C12" i="6"/>
  <c r="D4" i="6"/>
  <c r="G4" i="6" s="1"/>
  <c r="C9" i="6"/>
  <c r="D12" i="6"/>
  <c r="G12" i="6" s="1"/>
  <c r="D10" i="3" s="1"/>
  <c r="C17" i="6"/>
  <c r="D9" i="6"/>
  <c r="G9" i="6" s="1"/>
  <c r="D8" i="3" s="1"/>
  <c r="D17" i="6"/>
  <c r="G17" i="6" s="1"/>
  <c r="D16" i="3" s="1"/>
  <c r="E11" i="4"/>
  <c r="G20" i="4"/>
  <c r="E3" i="4"/>
  <c r="D3" i="4"/>
  <c r="C3" i="3" s="1"/>
  <c r="B12" i="3"/>
  <c r="B14" i="3"/>
  <c r="B15" i="3"/>
  <c r="B13" i="3"/>
  <c r="C18" i="6" l="1"/>
  <c r="G19" i="6"/>
  <c r="H19" i="6" s="1"/>
  <c r="C3" i="6"/>
  <c r="C14" i="6"/>
  <c r="C11" i="6"/>
  <c r="C7" i="6"/>
  <c r="C6" i="6"/>
  <c r="C2" i="6"/>
  <c r="C4" i="6"/>
  <c r="C15" i="6"/>
  <c r="E19" i="6"/>
  <c r="D3" i="3"/>
  <c r="D17" i="3" s="1"/>
  <c r="D19" i="6"/>
  <c r="D20" i="6" s="1"/>
  <c r="D11" i="4"/>
  <c r="C11" i="3" s="1"/>
  <c r="B17" i="4"/>
  <c r="B22" i="5"/>
  <c r="H22" i="5" s="1"/>
  <c r="B16" i="3"/>
  <c r="C11" i="4" l="1"/>
  <c r="F23" i="4"/>
  <c r="D6" i="4"/>
  <c r="C6" i="3" s="1"/>
  <c r="D14" i="4"/>
  <c r="C15" i="3" s="1"/>
  <c r="D16" i="4"/>
  <c r="D15" i="4"/>
  <c r="D12" i="4"/>
  <c r="C13" i="3" s="1"/>
  <c r="D8" i="4"/>
  <c r="C8" i="3" s="1"/>
  <c r="D5" i="4"/>
  <c r="C5" i="3" s="1"/>
  <c r="D4" i="4"/>
  <c r="C4" i="3" s="1"/>
  <c r="M3" i="3"/>
  <c r="E7" i="4" l="1"/>
  <c r="E9" i="4"/>
  <c r="E8" i="4"/>
  <c r="E13" i="4"/>
  <c r="E6" i="4"/>
  <c r="E10" i="4"/>
  <c r="E16" i="4"/>
  <c r="E12" i="4"/>
  <c r="E14" i="4"/>
  <c r="C3" i="4"/>
  <c r="E4" i="4"/>
  <c r="D10" i="4"/>
  <c r="C10" i="3" s="1"/>
  <c r="E2" i="4"/>
  <c r="D7" i="4"/>
  <c r="C7" i="3" s="1"/>
  <c r="D9" i="4"/>
  <c r="C9" i="3" s="1"/>
  <c r="D13" i="4"/>
  <c r="C14" i="3" s="1"/>
  <c r="E15" i="4"/>
  <c r="E5" i="4"/>
  <c r="C16" i="3" l="1"/>
  <c r="D17" i="4"/>
  <c r="D18" i="4" s="1"/>
  <c r="E17" i="4"/>
  <c r="C6" i="4"/>
  <c r="C4" i="4"/>
  <c r="G18" i="4"/>
  <c r="C16" i="4"/>
  <c r="C8" i="4"/>
  <c r="C14" i="4"/>
  <c r="C13" i="4"/>
  <c r="C5" i="4"/>
  <c r="C15" i="4"/>
  <c r="C12" i="4"/>
  <c r="C2" i="4"/>
  <c r="C10" i="4"/>
  <c r="C9" i="4"/>
  <c r="C7" i="4"/>
  <c r="C17" i="4" l="1"/>
  <c r="B22" i="3"/>
</calcChain>
</file>

<file path=xl/sharedStrings.xml><?xml version="1.0" encoding="utf-8"?>
<sst xmlns="http://schemas.openxmlformats.org/spreadsheetml/2006/main" count="110" uniqueCount="71">
  <si>
    <t>ETAPA</t>
  </si>
  <si>
    <t>GERENCIAMENTO TÉCNICO E ADMINISTRATIVO</t>
  </si>
  <si>
    <t>SUPRAESTRUTURA</t>
  </si>
  <si>
    <t>ALVENARIA</t>
  </si>
  <si>
    <t>REVESTIMENTOS E ACABAMENTOS INTERNOS EM TETO</t>
  </si>
  <si>
    <t>PINTURA INTERNA</t>
  </si>
  <si>
    <t>TOTAL</t>
  </si>
  <si>
    <t>CUB/SC</t>
  </si>
  <si>
    <t>VALOR ORÇADO</t>
  </si>
  <si>
    <t>%</t>
  </si>
  <si>
    <t>VALOR / m²</t>
  </si>
  <si>
    <t>VALOR / UNIDADE</t>
  </si>
  <si>
    <t>OBRA SIMILAR</t>
  </si>
  <si>
    <t>REVESTIMENTOS INTERNOS EM PISO E PAREDE</t>
  </si>
  <si>
    <t>ACABAMENTOS EM PISO E PAREDE</t>
  </si>
  <si>
    <t>REVESTIMENTOS E ACABAMENTOS DE FACHADA</t>
  </si>
  <si>
    <t>SERVIÇOS COMPLEMENTARES</t>
  </si>
  <si>
    <t>SISTEMAS E EQUIPAMENTOS ESPECIAIS</t>
  </si>
  <si>
    <t>ESQUADRIAS, VIDROS E FERRAGENS</t>
  </si>
  <si>
    <t>IMPERMEABILIZAÇÃO</t>
  </si>
  <si>
    <t>INSTALAÇÕES ELÉTRICAS, HIDRÁULICAS, GLP E PREVENTIVAS</t>
  </si>
  <si>
    <t>CUBs</t>
  </si>
  <si>
    <t>COBERTURA</t>
  </si>
  <si>
    <t>VALOR</t>
  </si>
  <si>
    <t>25,00 - 30,00</t>
  </si>
  <si>
    <t>-</t>
  </si>
  <si>
    <t>55,00 - 70,00</t>
  </si>
  <si>
    <t>35,00 - 50,00</t>
  </si>
  <si>
    <t>150,00 - 220,00</t>
  </si>
  <si>
    <t>900,00 - 1100</t>
  </si>
  <si>
    <t>15,00 - 22,00</t>
  </si>
  <si>
    <t>440,00 - 510,00</t>
  </si>
  <si>
    <t>170,00 - 200,00</t>
  </si>
  <si>
    <t>165,00 - 230,00</t>
  </si>
  <si>
    <t>40,00 - 70,00</t>
  </si>
  <si>
    <t>55,00 - 77,00</t>
  </si>
  <si>
    <t>130,00 - 175,00</t>
  </si>
  <si>
    <t>35,00 - 65,00</t>
  </si>
  <si>
    <t>35,00 - 55,00</t>
  </si>
  <si>
    <t>430,00 - 550,00</t>
  </si>
  <si>
    <t>150,00 - 200,00</t>
  </si>
  <si>
    <t>INFRAESTRUTURA E MOVIMENTAÇÃO DE TERRA</t>
  </si>
  <si>
    <t>40,00 - 50,00</t>
  </si>
  <si>
    <t>160,00 - 230,00</t>
  </si>
  <si>
    <t xml:space="preserve">IMPREVISTOS E CONTINGÊNCIAS </t>
  </si>
  <si>
    <t>600,00 - 680,00</t>
  </si>
  <si>
    <t>160,00 - 190,00</t>
  </si>
  <si>
    <t>REVESTIMENTOS INTERNOS</t>
  </si>
  <si>
    <t>URBE</t>
  </si>
  <si>
    <t>REVESTIMENTOS E ACABAMENTOS EM TETO</t>
  </si>
  <si>
    <t>Etapa</t>
  </si>
  <si>
    <t>Valor Orçado</t>
  </si>
  <si>
    <t xml:space="preserve">Valor / m² </t>
  </si>
  <si>
    <t>Valor / unidade</t>
  </si>
  <si>
    <t>MOVIMENTAÇÃO DE TERRA</t>
  </si>
  <si>
    <t>INFRAESTRUTURA</t>
  </si>
  <si>
    <t>INSTALAÇÕES ELÉTRICAS, HIDROSSANITÁRIAS, PREVENTIVAS E GLP</t>
  </si>
  <si>
    <t>SISTEMAS ESPECIAIS E EQUIPAMENTOS</t>
  </si>
  <si>
    <t xml:space="preserve">ESQUADRIAS </t>
  </si>
  <si>
    <t>IMPREVISTOS E CONTINGÊNCIAS</t>
  </si>
  <si>
    <t>CUB</t>
  </si>
  <si>
    <t>PARAMÉTRICO</t>
  </si>
  <si>
    <t>120,00 - 180,00</t>
  </si>
  <si>
    <t>300,00 - 350,00</t>
  </si>
  <si>
    <t>90,00 - 110,00</t>
  </si>
  <si>
    <t>100,00 - 140,00</t>
  </si>
  <si>
    <t>90,00 - 140,00</t>
  </si>
  <si>
    <t>140,00 - 160,00</t>
  </si>
  <si>
    <t>40,00 - 60,00</t>
  </si>
  <si>
    <t>220,00 - 300,00</t>
  </si>
  <si>
    <t>2.220,00  - 2.810,00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</si>
</sst>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theme="0"/>
      <name val="Poppins"/>
    </font>
    <font>
      <sz val="11"/>
      <color theme="1"/>
      <name val="Poppins"/>
    </font>
    <font>
      <sz val="11"/>
      <name val="Poppins"/>
    </font>
    <font>
      <sz val="10"/>
      <color theme="1"/>
      <name val="Poppins"/>
    </font>
    <font>
      <sz val="8"/>
      <color theme="1"/>
      <name val="Poppins"/>
    </font>
    <font>
      <b/>
      <sz val="10.5"/>
      <color theme="0"/>
      <name val="Poppins"/>
    </font>
    <font>
      <sz val="10.5"/>
      <name val="Calibri"/>
      <family val="2"/>
      <scheme val="minor"/>
    </font>
    <font>
      <sz val="10.5"/>
      <color rgb="FF010000"/>
      <name val="Poppins"/>
    </font>
    <font>
      <sz val="10.5"/>
      <name val="Poppins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theme="0" tint="-0.24994659260841701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hair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hair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hair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hair">
        <color indexed="64"/>
      </top>
      <bottom style="hair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hair">
        <color indexed="64"/>
      </top>
      <bottom style="hair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808183"/>
      </left>
      <right style="medium">
        <color indexed="64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rgb="FF808183"/>
      </right>
      <top style="thin">
        <color theme="1" tint="0.34998626667073579"/>
      </top>
      <bottom style="medium">
        <color indexed="64"/>
      </bottom>
      <diagonal/>
    </border>
    <border>
      <left style="thin">
        <color rgb="FF808183"/>
      </left>
      <right style="thin">
        <color rgb="FF808183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medium">
        <color indexed="64"/>
      </right>
      <top style="hair">
        <color theme="1" tint="0.34998626667073579"/>
      </top>
      <bottom style="hair">
        <color theme="1" tint="0.34998626667073579"/>
      </bottom>
      <diagonal/>
    </border>
    <border>
      <left style="thin">
        <color theme="0" tint="-0.499984740745262"/>
      </left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/>
      <bottom style="thin">
        <color theme="1" tint="0.3499862666707357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13">
    <xf numFmtId="0" fontId="0" fillId="0" borderId="0" xfId="0"/>
    <xf numFmtId="0" fontId="5" fillId="0" borderId="0" xfId="0" applyFont="1"/>
    <xf numFmtId="43" fontId="4" fillId="5" borderId="12" xfId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3" fontId="5" fillId="0" borderId="0" xfId="1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43" fontId="7" fillId="4" borderId="0" xfId="1" applyFont="1" applyFill="1" applyAlignment="1">
      <alignment vertical="center"/>
    </xf>
    <xf numFmtId="0" fontId="6" fillId="2" borderId="6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43" fontId="7" fillId="0" borderId="0" xfId="1" applyFont="1" applyAlignment="1">
      <alignment vertical="center"/>
    </xf>
    <xf numFmtId="43" fontId="7" fillId="0" borderId="0" xfId="0" applyNumberFormat="1" applyFont="1" applyAlignment="1">
      <alignment vertical="center"/>
    </xf>
    <xf numFmtId="4" fontId="0" fillId="0" borderId="0" xfId="0" applyNumberFormat="1"/>
    <xf numFmtId="43" fontId="5" fillId="3" borderId="22" xfId="1" applyFont="1" applyFill="1" applyBorder="1" applyAlignment="1">
      <alignment horizontal="center"/>
    </xf>
    <xf numFmtId="43" fontId="5" fillId="6" borderId="22" xfId="1" applyFont="1" applyFill="1" applyBorder="1" applyAlignment="1">
      <alignment horizontal="center"/>
    </xf>
    <xf numFmtId="0" fontId="4" fillId="5" borderId="23" xfId="0" applyFont="1" applyFill="1" applyBorder="1" applyAlignment="1">
      <alignment horizontal="right"/>
    </xf>
    <xf numFmtId="43" fontId="4" fillId="5" borderId="24" xfId="1" applyFont="1" applyFill="1" applyBorder="1" applyAlignment="1">
      <alignment horizontal="right"/>
    </xf>
    <xf numFmtId="43" fontId="4" fillId="5" borderId="24" xfId="0" applyNumberFormat="1" applyFont="1" applyFill="1" applyBorder="1" applyAlignment="1">
      <alignment horizontal="right"/>
    </xf>
    <xf numFmtId="43" fontId="5" fillId="0" borderId="0" xfId="0" applyNumberFormat="1" applyFont="1"/>
    <xf numFmtId="0" fontId="4" fillId="5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6" fillId="6" borderId="16" xfId="0" applyFont="1" applyFill="1" applyBorder="1" applyAlignment="1">
      <alignment horizontal="left" vertical="center"/>
    </xf>
    <xf numFmtId="43" fontId="5" fillId="6" borderId="17" xfId="1" applyFont="1" applyFill="1" applyBorder="1" applyAlignment="1">
      <alignment horizontal="left" vertical="center"/>
    </xf>
    <xf numFmtId="43" fontId="5" fillId="6" borderId="17" xfId="0" applyNumberFormat="1" applyFont="1" applyFill="1" applyBorder="1" applyAlignment="1">
      <alignment horizontal="left" vertical="center"/>
    </xf>
    <xf numFmtId="43" fontId="5" fillId="6" borderId="18" xfId="0" applyNumberFormat="1" applyFont="1" applyFill="1" applyBorder="1" applyAlignment="1">
      <alignment horizontal="left" vertical="center"/>
    </xf>
    <xf numFmtId="0" fontId="6" fillId="3" borderId="19" xfId="0" applyFont="1" applyFill="1" applyBorder="1" applyAlignment="1">
      <alignment horizontal="left" vertical="center"/>
    </xf>
    <xf numFmtId="43" fontId="5" fillId="3" borderId="20" xfId="1" applyFont="1" applyFill="1" applyBorder="1" applyAlignment="1">
      <alignment horizontal="left" vertical="center"/>
    </xf>
    <xf numFmtId="43" fontId="5" fillId="3" borderId="20" xfId="0" applyNumberFormat="1" applyFont="1" applyFill="1" applyBorder="1" applyAlignment="1">
      <alignment horizontal="left" vertical="center"/>
    </xf>
    <xf numFmtId="43" fontId="5" fillId="3" borderId="21" xfId="0" applyNumberFormat="1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43" fontId="4" fillId="5" borderId="8" xfId="1" applyFont="1" applyFill="1" applyBorder="1" applyAlignment="1">
      <alignment horizontal="left" vertical="center"/>
    </xf>
    <xf numFmtId="43" fontId="4" fillId="5" borderId="14" xfId="1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10" fontId="5" fillId="6" borderId="17" xfId="2" applyNumberFormat="1" applyFont="1" applyFill="1" applyBorder="1" applyAlignment="1">
      <alignment horizontal="center" vertical="center"/>
    </xf>
    <xf numFmtId="10" fontId="5" fillId="3" borderId="20" xfId="2" applyNumberFormat="1" applyFont="1" applyFill="1" applyBorder="1" applyAlignment="1">
      <alignment horizontal="center" vertical="center"/>
    </xf>
    <xf numFmtId="17" fontId="4" fillId="5" borderId="8" xfId="0" applyNumberFormat="1" applyFont="1" applyFill="1" applyBorder="1" applyAlignment="1">
      <alignment horizontal="center" vertical="center"/>
    </xf>
    <xf numFmtId="0" fontId="6" fillId="6" borderId="6" xfId="0" applyFont="1" applyFill="1" applyBorder="1" applyAlignment="1">
      <alignment vertical="center"/>
    </xf>
    <xf numFmtId="43" fontId="5" fillId="6" borderId="1" xfId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6" xfId="0" applyFont="1" applyFill="1" applyBorder="1" applyAlignment="1">
      <alignment vertical="center"/>
    </xf>
    <xf numFmtId="43" fontId="5" fillId="3" borderId="1" xfId="1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43" fontId="5" fillId="6" borderId="27" xfId="1" applyFont="1" applyFill="1" applyBorder="1" applyAlignment="1">
      <alignment horizontal="center" vertical="center"/>
    </xf>
    <xf numFmtId="43" fontId="5" fillId="3" borderId="27" xfId="1" applyFont="1" applyFill="1" applyBorder="1" applyAlignment="1">
      <alignment horizontal="center" vertical="center"/>
    </xf>
    <xf numFmtId="43" fontId="4" fillId="5" borderId="28" xfId="0" applyNumberFormat="1" applyFont="1" applyFill="1" applyBorder="1" applyAlignment="1">
      <alignment horizontal="center"/>
    </xf>
    <xf numFmtId="43" fontId="5" fillId="0" borderId="0" xfId="1" applyFont="1" applyAlignment="1">
      <alignment vertical="center"/>
    </xf>
    <xf numFmtId="4" fontId="5" fillId="0" borderId="0" xfId="0" applyNumberFormat="1" applyFont="1" applyAlignment="1">
      <alignment vertical="center"/>
    </xf>
    <xf numFmtId="43" fontId="5" fillId="0" borderId="0" xfId="0" applyNumberFormat="1" applyFont="1" applyAlignment="1">
      <alignment vertical="center"/>
    </xf>
    <xf numFmtId="0" fontId="4" fillId="5" borderId="29" xfId="0" applyFont="1" applyFill="1" applyBorder="1" applyAlignment="1">
      <alignment horizontal="left" vertical="center"/>
    </xf>
    <xf numFmtId="43" fontId="4" fillId="5" borderId="30" xfId="0" applyNumberFormat="1" applyFont="1" applyFill="1" applyBorder="1" applyAlignment="1">
      <alignment horizontal="left" vertical="center"/>
    </xf>
    <xf numFmtId="9" fontId="4" fillId="5" borderId="30" xfId="2" applyFont="1" applyFill="1" applyBorder="1" applyAlignment="1">
      <alignment horizontal="center" vertical="center"/>
    </xf>
    <xf numFmtId="43" fontId="7" fillId="0" borderId="0" xfId="0" applyNumberFormat="1" applyFont="1" applyAlignment="1">
      <alignment horizontal="center" vertical="center"/>
    </xf>
    <xf numFmtId="43" fontId="4" fillId="5" borderId="31" xfId="0" applyNumberFormat="1" applyFont="1" applyFill="1" applyBorder="1" applyAlignment="1">
      <alignment horizontal="left" vertical="center"/>
    </xf>
    <xf numFmtId="43" fontId="0" fillId="0" borderId="0" xfId="1" applyFont="1"/>
    <xf numFmtId="43" fontId="0" fillId="0" borderId="0" xfId="0" applyNumberFormat="1"/>
    <xf numFmtId="0" fontId="6" fillId="6" borderId="19" xfId="0" applyFont="1" applyFill="1" applyBorder="1" applyAlignment="1">
      <alignment horizontal="left" vertical="center"/>
    </xf>
    <xf numFmtId="43" fontId="5" fillId="6" borderId="20" xfId="1" applyFont="1" applyFill="1" applyBorder="1" applyAlignment="1">
      <alignment horizontal="left" vertical="center"/>
    </xf>
    <xf numFmtId="10" fontId="5" fillId="6" borderId="20" xfId="2" applyNumberFormat="1" applyFont="1" applyFill="1" applyBorder="1" applyAlignment="1">
      <alignment horizontal="center" vertical="center"/>
    </xf>
    <xf numFmtId="43" fontId="5" fillId="6" borderId="20" xfId="0" applyNumberFormat="1" applyFont="1" applyFill="1" applyBorder="1" applyAlignment="1">
      <alignment horizontal="left" vertical="center"/>
    </xf>
    <xf numFmtId="43" fontId="5" fillId="6" borderId="21" xfId="0" applyNumberFormat="1" applyFont="1" applyFill="1" applyBorder="1" applyAlignment="1">
      <alignment horizontal="left" vertical="center"/>
    </xf>
    <xf numFmtId="43" fontId="7" fillId="0" borderId="0" xfId="1" applyFont="1" applyFill="1" applyAlignment="1">
      <alignment vertical="center"/>
    </xf>
    <xf numFmtId="4" fontId="7" fillId="0" borderId="0" xfId="0" applyNumberFormat="1" applyFont="1" applyAlignment="1">
      <alignment vertical="center"/>
    </xf>
    <xf numFmtId="44" fontId="8" fillId="3" borderId="32" xfId="0" applyNumberFormat="1" applyFont="1" applyFill="1" applyBorder="1" applyAlignment="1">
      <alignment horizontal="left"/>
    </xf>
    <xf numFmtId="44" fontId="7" fillId="0" borderId="0" xfId="0" applyNumberFormat="1" applyFont="1" applyAlignment="1">
      <alignment vertical="center"/>
    </xf>
    <xf numFmtId="0" fontId="9" fillId="5" borderId="33" xfId="3" applyFont="1" applyFill="1" applyBorder="1" applyAlignment="1">
      <alignment vertical="center" wrapText="1"/>
    </xf>
    <xf numFmtId="0" fontId="9" fillId="5" borderId="33" xfId="3" applyFont="1" applyFill="1" applyBorder="1" applyAlignment="1">
      <alignment horizontal="center" vertical="center" wrapText="1"/>
    </xf>
    <xf numFmtId="10" fontId="9" fillId="5" borderId="33" xfId="9" applyNumberFormat="1" applyFont="1" applyFill="1" applyBorder="1" applyAlignment="1">
      <alignment horizontal="center" vertical="center" wrapText="1"/>
    </xf>
    <xf numFmtId="43" fontId="9" fillId="5" borderId="33" xfId="10" applyFont="1" applyFill="1" applyBorder="1" applyAlignment="1">
      <alignment horizontal="center" vertical="center" wrapText="1"/>
    </xf>
    <xf numFmtId="17" fontId="10" fillId="0" borderId="0" xfId="3" applyNumberFormat="1" applyFont="1" applyAlignment="1">
      <alignment vertical="center" wrapText="1"/>
    </xf>
    <xf numFmtId="0" fontId="10" fillId="0" borderId="0" xfId="3" applyFont="1" applyAlignment="1">
      <alignment vertical="center" wrapText="1"/>
    </xf>
    <xf numFmtId="0" fontId="11" fillId="3" borderId="34" xfId="3" applyFont="1" applyFill="1" applyBorder="1" applyAlignment="1">
      <alignment horizontal="left" vertical="center" wrapText="1"/>
    </xf>
    <xf numFmtId="43" fontId="12" fillId="3" borderId="35" xfId="10" applyFont="1" applyFill="1" applyBorder="1" applyAlignment="1">
      <alignment vertical="center" wrapText="1"/>
    </xf>
    <xf numFmtId="10" fontId="12" fillId="3" borderId="35" xfId="9" applyNumberFormat="1" applyFont="1" applyFill="1" applyBorder="1" applyAlignment="1">
      <alignment vertical="center" wrapText="1"/>
    </xf>
    <xf numFmtId="43" fontId="12" fillId="3" borderId="35" xfId="10" applyFont="1" applyFill="1" applyBorder="1" applyAlignment="1">
      <alignment horizontal="center" vertical="center" wrapText="1"/>
    </xf>
    <xf numFmtId="43" fontId="12" fillId="3" borderId="36" xfId="10" applyFont="1" applyFill="1" applyBorder="1" applyAlignment="1">
      <alignment vertical="center" wrapText="1"/>
    </xf>
    <xf numFmtId="4" fontId="10" fillId="0" borderId="0" xfId="3" applyNumberFormat="1" applyFont="1" applyAlignment="1">
      <alignment vertical="center" wrapText="1"/>
    </xf>
    <xf numFmtId="0" fontId="11" fillId="7" borderId="37" xfId="3" applyFont="1" applyFill="1" applyBorder="1" applyAlignment="1">
      <alignment horizontal="left" vertical="center" wrapText="1"/>
    </xf>
    <xf numFmtId="43" fontId="12" fillId="7" borderId="38" xfId="10" applyFont="1" applyFill="1" applyBorder="1" applyAlignment="1">
      <alignment vertical="center" wrapText="1"/>
    </xf>
    <xf numFmtId="10" fontId="12" fillId="7" borderId="38" xfId="9" applyNumberFormat="1" applyFont="1" applyFill="1" applyBorder="1" applyAlignment="1">
      <alignment vertical="center" wrapText="1"/>
    </xf>
    <xf numFmtId="43" fontId="12" fillId="7" borderId="38" xfId="10" applyFont="1" applyFill="1" applyBorder="1" applyAlignment="1">
      <alignment horizontal="center" vertical="center" wrapText="1"/>
    </xf>
    <xf numFmtId="43" fontId="12" fillId="7" borderId="39" xfId="10" applyFont="1" applyFill="1" applyBorder="1" applyAlignment="1">
      <alignment vertical="center" wrapText="1"/>
    </xf>
    <xf numFmtId="43" fontId="10" fillId="0" borderId="0" xfId="1" applyFont="1" applyAlignment="1">
      <alignment vertical="center" wrapText="1"/>
    </xf>
    <xf numFmtId="43" fontId="10" fillId="0" borderId="0" xfId="10" applyFont="1" applyAlignment="1">
      <alignment vertical="center" wrapText="1"/>
    </xf>
    <xf numFmtId="0" fontId="11" fillId="3" borderId="37" xfId="3" applyFont="1" applyFill="1" applyBorder="1" applyAlignment="1">
      <alignment horizontal="left" vertical="center" wrapText="1"/>
    </xf>
    <xf numFmtId="43" fontId="12" fillId="3" borderId="38" xfId="10" applyFont="1" applyFill="1" applyBorder="1" applyAlignment="1">
      <alignment vertical="center" wrapText="1"/>
    </xf>
    <xf numFmtId="10" fontId="12" fillId="3" borderId="38" xfId="9" applyNumberFormat="1" applyFont="1" applyFill="1" applyBorder="1" applyAlignment="1">
      <alignment vertical="center" wrapText="1"/>
    </xf>
    <xf numFmtId="43" fontId="12" fillId="3" borderId="38" xfId="10" applyFont="1" applyFill="1" applyBorder="1" applyAlignment="1">
      <alignment horizontal="center" vertical="center" wrapText="1"/>
    </xf>
    <xf numFmtId="43" fontId="12" fillId="3" borderId="39" xfId="10" applyFont="1" applyFill="1" applyBorder="1" applyAlignment="1">
      <alignment vertical="center" wrapText="1"/>
    </xf>
    <xf numFmtId="0" fontId="9" fillId="5" borderId="40" xfId="3" applyFont="1" applyFill="1" applyBorder="1" applyAlignment="1">
      <alignment horizontal="right" vertical="center" wrapText="1"/>
    </xf>
    <xf numFmtId="164" fontId="9" fillId="5" borderId="2" xfId="3" applyNumberFormat="1" applyFont="1" applyFill="1" applyBorder="1" applyAlignment="1">
      <alignment vertical="center" wrapText="1"/>
    </xf>
    <xf numFmtId="10" fontId="9" fillId="5" borderId="2" xfId="9" applyNumberFormat="1" applyFont="1" applyFill="1" applyBorder="1" applyAlignment="1">
      <alignment vertical="center" wrapText="1"/>
    </xf>
    <xf numFmtId="43" fontId="9" fillId="5" borderId="2" xfId="10" applyFont="1" applyFill="1" applyBorder="1" applyAlignment="1">
      <alignment horizontal="center" vertical="center" wrapText="1"/>
    </xf>
    <xf numFmtId="43" fontId="9" fillId="5" borderId="41" xfId="10" applyFont="1" applyFill="1" applyBorder="1" applyAlignment="1">
      <alignment vertical="center" wrapText="1"/>
    </xf>
    <xf numFmtId="0" fontId="9" fillId="5" borderId="42" xfId="3" applyFont="1" applyFill="1" applyBorder="1" applyAlignment="1">
      <alignment horizontal="right" vertical="center" wrapText="1"/>
    </xf>
    <xf numFmtId="164" fontId="9" fillId="5" borderId="43" xfId="3" applyNumberFormat="1" applyFont="1" applyFill="1" applyBorder="1" applyAlignment="1">
      <alignment vertical="center" wrapText="1"/>
    </xf>
    <xf numFmtId="17" fontId="9" fillId="5" borderId="43" xfId="10" applyNumberFormat="1" applyFont="1" applyFill="1" applyBorder="1" applyAlignment="1">
      <alignment vertical="center" wrapText="1"/>
    </xf>
    <xf numFmtId="43" fontId="9" fillId="5" borderId="44" xfId="10" applyFont="1" applyFill="1" applyBorder="1" applyAlignment="1">
      <alignment horizontal="center" vertical="center" wrapText="1"/>
    </xf>
    <xf numFmtId="43" fontId="9" fillId="5" borderId="45" xfId="10" applyFont="1" applyFill="1" applyBorder="1" applyAlignment="1">
      <alignment horizontal="left" vertical="center" wrapText="1"/>
    </xf>
    <xf numFmtId="0" fontId="10" fillId="3" borderId="0" xfId="3" applyFont="1" applyFill="1" applyAlignment="1">
      <alignment vertical="center" wrapText="1"/>
    </xf>
    <xf numFmtId="10" fontId="10" fillId="3" borderId="0" xfId="9" applyNumberFormat="1" applyFont="1" applyFill="1" applyAlignment="1">
      <alignment vertical="center" wrapText="1"/>
    </xf>
    <xf numFmtId="43" fontId="10" fillId="3" borderId="0" xfId="10" applyFont="1" applyFill="1" applyAlignment="1">
      <alignment horizontal="center" vertical="center" wrapText="1"/>
    </xf>
    <xf numFmtId="43" fontId="10" fillId="0" borderId="0" xfId="3" applyNumberFormat="1" applyFont="1" applyAlignment="1">
      <alignment vertical="center" wrapText="1"/>
    </xf>
    <xf numFmtId="10" fontId="10" fillId="0" borderId="0" xfId="9" applyNumberFormat="1" applyFont="1" applyAlignment="1">
      <alignment vertical="center" wrapText="1"/>
    </xf>
    <xf numFmtId="43" fontId="10" fillId="0" borderId="0" xfId="10" applyFont="1" applyAlignment="1">
      <alignment horizontal="center" vertical="center" wrapText="1"/>
    </xf>
    <xf numFmtId="0" fontId="4" fillId="5" borderId="46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</cellXfs>
  <cellStyles count="11">
    <cellStyle name="Comma" xfId="7" xr:uid="{00000000-0005-0000-0000-000000000000}"/>
    <cellStyle name="Comma [0]" xfId="8" xr:uid="{00000000-0005-0000-0000-000001000000}"/>
    <cellStyle name="Currency" xfId="5" xr:uid="{00000000-0005-0000-0000-000002000000}"/>
    <cellStyle name="Currency [0]" xfId="6" xr:uid="{00000000-0005-0000-0000-000003000000}"/>
    <cellStyle name="Normal" xfId="0" builtinId="0"/>
    <cellStyle name="Normal 2" xfId="3" xr:uid="{00000000-0005-0000-0000-000005000000}"/>
    <cellStyle name="Percent" xfId="4" xr:uid="{00000000-0005-0000-0000-000006000000}"/>
    <cellStyle name="Porcentagem" xfId="2" builtinId="5"/>
    <cellStyle name="Porcentagem 2" xfId="9" xr:uid="{58C98138-73AA-41D9-BBDF-25BC3867C4C0}"/>
    <cellStyle name="Vírgula" xfId="1" builtinId="3"/>
    <cellStyle name="Vírgula 2" xfId="10" xr:uid="{B4DE982F-5031-487F-9042-3EEF073201E3}"/>
  </cellStyles>
  <dxfs count="0"/>
  <tableStyles count="0" defaultTableStyle="TableStyleMedium2" defaultPivotStyle="PivotStyleLight16"/>
  <colors>
    <mruColors>
      <color rgb="FF808183"/>
      <color rgb="FFBCBDC1"/>
      <color rgb="FF283549"/>
      <color rgb="FF211F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r>
              <a:rPr lang="pt-BR"/>
              <a:t>REPRESENTAÇÃO DE CUSTOS POR ETAPA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Roboto" panose="02000000000000000000" pitchFamily="2" charset="0"/>
              <a:cs typeface="Poppins" panose="00000500000000000000" pitchFamily="2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8862760690818804"/>
          <c:y val="6.762024196248155E-2"/>
          <c:w val="0.5652462879535588"/>
          <c:h val="0.8725016862665895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bg2"/>
            </a:solidFill>
            <a:ln>
              <a:solidFill>
                <a:schemeClr val="bg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Poppins" panose="00000500000000000000" pitchFamily="2" charset="0"/>
                    <a:ea typeface="Roboto" panose="02000000000000000000" pitchFamily="2" charset="0"/>
                    <a:cs typeface="Poppins" panose="000005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Gerenciamento_Exec!$A$4:$A$15</c:f>
              <c:strCache>
                <c:ptCount val="12"/>
                <c:pt idx="0">
                  <c:v>SUPRAESTRUTURA</c:v>
                </c:pt>
                <c:pt idx="1">
                  <c:v>ALVENARIA</c:v>
                </c:pt>
                <c:pt idx="2">
                  <c:v>INSTALAÇÕES ELÉTRICAS, HIDRÁULICAS, GLP E PREVENTIVAS</c:v>
                </c:pt>
                <c:pt idx="3">
                  <c:v>SISTEMAS E EQUIPAMENTOS ESPECIAIS</c:v>
                </c:pt>
                <c:pt idx="4">
                  <c:v>IMPERMEABILIZAÇÃO</c:v>
                </c:pt>
                <c:pt idx="5">
                  <c:v>REVESTIMENTOS INTERNOS</c:v>
                </c:pt>
                <c:pt idx="6">
                  <c:v>ACABAMENTOS EM PISO E PAREDE</c:v>
                </c:pt>
                <c:pt idx="7">
                  <c:v>REVESTIMENTOS E ACABAMENTOS EM TETO</c:v>
                </c:pt>
                <c:pt idx="8">
                  <c:v>PINTURA INTERNA</c:v>
                </c:pt>
                <c:pt idx="9">
                  <c:v>ESQUADRIAS, VIDROS E FERRAGENS</c:v>
                </c:pt>
                <c:pt idx="10">
                  <c:v>REVESTIMENTOS E ACABAMENTOS DE FACHADA</c:v>
                </c:pt>
                <c:pt idx="11">
                  <c:v>SERVIÇOS COMPLEMENTARES</c:v>
                </c:pt>
              </c:strCache>
            </c:strRef>
          </c:cat>
          <c:val>
            <c:numRef>
              <c:f>Gerenciamento_Exec!$C$4:$C$15</c:f>
              <c:numCache>
                <c:formatCode>0.00%</c:formatCode>
                <c:ptCount val="12"/>
                <c:pt idx="0">
                  <c:v>0.21146673992123158</c:v>
                </c:pt>
                <c:pt idx="1">
                  <c:v>4.6024564119629803E-2</c:v>
                </c:pt>
                <c:pt idx="2">
                  <c:v>0.10684521813304358</c:v>
                </c:pt>
                <c:pt idx="3">
                  <c:v>4.2666368882468282E-2</c:v>
                </c:pt>
                <c:pt idx="4">
                  <c:v>2.2581905115568665E-2</c:v>
                </c:pt>
                <c:pt idx="5">
                  <c:v>4.6126635389202711E-2</c:v>
                </c:pt>
                <c:pt idx="6">
                  <c:v>4.8680197611698117E-2</c:v>
                </c:pt>
                <c:pt idx="7">
                  <c:v>2.0042250672218213E-2</c:v>
                </c:pt>
                <c:pt idx="8">
                  <c:v>3.6756233260013704E-2</c:v>
                </c:pt>
                <c:pt idx="9">
                  <c:v>7.570585706235429E-2</c:v>
                </c:pt>
                <c:pt idx="10">
                  <c:v>4.8413518710460589E-2</c:v>
                </c:pt>
                <c:pt idx="11">
                  <c:v>3.6349523585957492E-2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9-4A5E-AE99-47ADD78B9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-1356087696"/>
        <c:axId val="-1356094224"/>
      </c:barChart>
      <c:catAx>
        <c:axId val="-1356087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-1356094224"/>
        <c:crosses val="autoZero"/>
        <c:auto val="1"/>
        <c:lblAlgn val="ctr"/>
        <c:lblOffset val="100"/>
        <c:noMultiLvlLbl val="0"/>
      </c:catAx>
      <c:valAx>
        <c:axId val="-135609422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-135608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oppins" panose="00000500000000000000" pitchFamily="2" charset="0"/>
          <a:ea typeface="Roboto" panose="02000000000000000000" pitchFamily="2" charset="0"/>
          <a:cs typeface="Poppins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34638</xdr:colOff>
      <xdr:row>19</xdr:row>
      <xdr:rowOff>57149</xdr:rowOff>
    </xdr:from>
    <xdr:to>
      <xdr:col>4</xdr:col>
      <xdr:colOff>952502</xdr:colOff>
      <xdr:row>46</xdr:row>
      <xdr:rowOff>43294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18058E-CCF4-4CB5-A89B-0962F2147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postas%20Fechadas/CK%20-%20Or&#231;%20e%20Plan%2006.2018/1.%20Projetos/12.%20Urbe/03.%20Custo/03.0%20Custo%20-%20Or&#231;amento%20param&#233;trico/CTN-CK%20_URB-%20Gerenciamento_executivo_R00%20-%20Copia.xlsx?D073A8C0" TargetMode="External"/><Relationship Id="rId1" Type="http://schemas.openxmlformats.org/officeDocument/2006/relationships/externalLinkPath" Target="file:///\\D073A8C0\CTN-CK%20_URB-%20Gerenciamento_executivo_R00%20-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 Gerais"/>
      <sheetName val="Resumo"/>
      <sheetName val="Movimentação de Terra"/>
      <sheetName val="Infraestrutura"/>
      <sheetName val="Supraestrutura"/>
      <sheetName val="Alvenaria"/>
      <sheetName val="Instalações"/>
      <sheetName val="Sistemas especiais"/>
      <sheetName val="Impermeabilização"/>
      <sheetName val="Rev. Internos Piso e Parede"/>
      <sheetName val="Acabamentos de Teto"/>
      <sheetName val="Acabamentos de Piso e Parede"/>
      <sheetName val="Pintura Interna"/>
      <sheetName val="Esquadrias"/>
      <sheetName val="Rev. Fachada"/>
      <sheetName val="Cobertura"/>
      <sheetName val="Complementares"/>
    </sheetNames>
    <sheetDataSet>
      <sheetData sheetId="0" refreshError="1"/>
      <sheetData sheetId="1" refreshError="1"/>
      <sheetData sheetId="2">
        <row r="43">
          <cell r="J43">
            <v>38075.862611628188</v>
          </cell>
        </row>
      </sheetData>
      <sheetData sheetId="3">
        <row r="38">
          <cell r="J38">
            <v>1072189</v>
          </cell>
        </row>
      </sheetData>
      <sheetData sheetId="4">
        <row r="25">
          <cell r="J25">
            <v>2994700.0939999996</v>
          </cell>
        </row>
      </sheetData>
      <sheetData sheetId="5">
        <row r="27">
          <cell r="J27">
            <v>650017.23196</v>
          </cell>
        </row>
      </sheetData>
      <sheetData sheetId="6">
        <row r="46">
          <cell r="J46">
            <v>1575934.25</v>
          </cell>
        </row>
      </sheetData>
      <sheetData sheetId="7">
        <row r="42">
          <cell r="J42">
            <v>634306.69999999995</v>
          </cell>
        </row>
      </sheetData>
      <sheetData sheetId="8">
        <row r="26">
          <cell r="J26">
            <v>195227.25975000003</v>
          </cell>
        </row>
      </sheetData>
      <sheetData sheetId="9">
        <row r="24">
          <cell r="J24">
            <v>916047.59950000001</v>
          </cell>
        </row>
      </sheetData>
      <sheetData sheetId="10">
        <row r="21">
          <cell r="J21">
            <v>226361.465</v>
          </cell>
        </row>
      </sheetData>
      <sheetData sheetId="11">
        <row r="22">
          <cell r="J22">
            <v>276741.10500000004</v>
          </cell>
        </row>
      </sheetData>
      <sheetData sheetId="12">
        <row r="19">
          <cell r="J19">
            <v>573067</v>
          </cell>
        </row>
      </sheetData>
      <sheetData sheetId="13">
        <row r="25">
          <cell r="J25">
            <v>1105906.08</v>
          </cell>
        </row>
      </sheetData>
      <sheetData sheetId="14">
        <row r="34">
          <cell r="J34">
            <v>323757.72499999998</v>
          </cell>
        </row>
      </sheetData>
      <sheetData sheetId="15">
        <row r="21">
          <cell r="J21">
            <v>70415.62</v>
          </cell>
        </row>
      </sheetData>
      <sheetData sheetId="16">
        <row r="22">
          <cell r="J22">
            <v>584928.75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Cartesian">
      <a:dk1>
        <a:srgbClr val="121212"/>
      </a:dk1>
      <a:lt1>
        <a:srgbClr val="F5F5F5"/>
      </a:lt1>
      <a:dk2>
        <a:srgbClr val="255AE5"/>
      </a:dk2>
      <a:lt2>
        <a:srgbClr val="FE3400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zoomScale="115" zoomScaleNormal="115" workbookViewId="0">
      <selection activeCell="C7" sqref="C7"/>
    </sheetView>
  </sheetViews>
  <sheetFormatPr defaultColWidth="9.140625" defaultRowHeight="21.75" x14ac:dyDescent="0.6"/>
  <cols>
    <col min="1" max="1" width="66.28515625" style="1" bestFit="1" customWidth="1"/>
    <col min="2" max="2" width="22.28515625" style="4" customWidth="1"/>
    <col min="3" max="3" width="16.85546875" style="1" customWidth="1"/>
    <col min="4" max="4" width="20.28515625" style="1" hidden="1" customWidth="1"/>
    <col min="5" max="5" width="22.140625" style="5" customWidth="1"/>
    <col min="6" max="7" width="9.140625" style="1"/>
    <col min="8" max="8" width="10.85546875" style="1" bestFit="1" customWidth="1"/>
    <col min="9" max="9" width="9.140625" style="1"/>
    <col min="10" max="10" width="11.7109375" style="1" bestFit="1" customWidth="1"/>
    <col min="11" max="13" width="9.140625" style="1"/>
    <col min="14" max="14" width="10.85546875" style="1" bestFit="1" customWidth="1"/>
    <col min="15" max="16384" width="9.140625" style="1"/>
  </cols>
  <sheetData>
    <row r="1" spans="1:14" ht="16.899999999999999" customHeight="1" x14ac:dyDescent="0.6">
      <c r="A1" s="111" t="s">
        <v>0</v>
      </c>
      <c r="B1" s="109" t="s">
        <v>48</v>
      </c>
      <c r="C1" s="110"/>
      <c r="D1" s="108" t="s">
        <v>61</v>
      </c>
      <c r="E1" s="44" t="s">
        <v>12</v>
      </c>
    </row>
    <row r="2" spans="1:14" ht="19.899999999999999" customHeight="1" x14ac:dyDescent="0.6">
      <c r="A2" s="112"/>
      <c r="B2" s="2" t="s">
        <v>23</v>
      </c>
      <c r="C2" s="3" t="s">
        <v>10</v>
      </c>
      <c r="D2" s="3" t="s">
        <v>10</v>
      </c>
      <c r="E2" s="45" t="s">
        <v>10</v>
      </c>
    </row>
    <row r="3" spans="1:14" s="41" customFormat="1" ht="19.899999999999999" customHeight="1" x14ac:dyDescent="0.25">
      <c r="A3" s="39" t="s">
        <v>41</v>
      </c>
      <c r="B3" s="40">
        <f>Gerenciamento_Exec!B3</f>
        <v>1075033.93</v>
      </c>
      <c r="C3" s="40">
        <f>Gerenciamento_Exec!D3</f>
        <v>187.59306154428714</v>
      </c>
      <c r="D3" s="40">
        <f>'Orçamento Resumo'!G3+'Orçamento Resumo'!G4</f>
        <v>207.20317393855191</v>
      </c>
      <c r="E3" s="46" t="s">
        <v>62</v>
      </c>
      <c r="F3" s="41">
        <v>120</v>
      </c>
      <c r="G3" s="41">
        <v>180</v>
      </c>
      <c r="H3" s="49">
        <v>6731.84</v>
      </c>
      <c r="J3" s="49">
        <v>1945.43</v>
      </c>
      <c r="K3" s="50">
        <v>2544.17</v>
      </c>
      <c r="M3" s="51">
        <f>K3/J3</f>
        <v>1.3077674344489394</v>
      </c>
      <c r="N3" s="51"/>
    </row>
    <row r="4" spans="1:14" s="41" customFormat="1" ht="19.899999999999999" customHeight="1" x14ac:dyDescent="0.25">
      <c r="A4" s="42" t="s">
        <v>2</v>
      </c>
      <c r="B4" s="43">
        <f>Gerenciamento_Exec!B4</f>
        <v>3825559.15</v>
      </c>
      <c r="C4" s="43">
        <f>Gerenciamento_Exec!D4</f>
        <v>667.5587932999108</v>
      </c>
      <c r="D4" s="43">
        <f>'Orçamento Resumo'!G5</f>
        <v>558.88588873404274</v>
      </c>
      <c r="E4" s="47" t="s">
        <v>45</v>
      </c>
      <c r="F4" s="41">
        <v>600</v>
      </c>
      <c r="G4" s="41">
        <v>680</v>
      </c>
    </row>
    <row r="5" spans="1:14" s="41" customFormat="1" ht="19.899999999999999" customHeight="1" x14ac:dyDescent="0.25">
      <c r="A5" s="39" t="s">
        <v>3</v>
      </c>
      <c r="B5" s="40">
        <f>Gerenciamento_Exec!B5</f>
        <v>832611.75</v>
      </c>
      <c r="C5" s="40">
        <f>Gerenciamento_Exec!D5</f>
        <v>145.29047214374583</v>
      </c>
      <c r="D5" s="40">
        <f>'Orçamento Resumo'!G6</f>
        <v>121.30946237463438</v>
      </c>
      <c r="E5" s="46" t="s">
        <v>66</v>
      </c>
      <c r="F5" s="41">
        <v>90</v>
      </c>
      <c r="G5" s="41">
        <v>140</v>
      </c>
    </row>
    <row r="6" spans="1:14" s="41" customFormat="1" ht="19.899999999999999" customHeight="1" x14ac:dyDescent="0.25">
      <c r="A6" s="42" t="s">
        <v>20</v>
      </c>
      <c r="B6" s="43">
        <f>Gerenciamento_Exec!B6</f>
        <v>1932893.5699999998</v>
      </c>
      <c r="C6" s="43">
        <f>Gerenciamento_Exec!D6</f>
        <v>337.28928205602483</v>
      </c>
      <c r="D6" s="43">
        <f>'Orçamento Resumo'!G7</f>
        <v>294.10872082393809</v>
      </c>
      <c r="E6" s="47" t="s">
        <v>63</v>
      </c>
      <c r="F6" s="41">
        <v>300</v>
      </c>
      <c r="G6" s="41">
        <v>350</v>
      </c>
    </row>
    <row r="7" spans="1:14" s="41" customFormat="1" ht="19.899999999999999" customHeight="1" x14ac:dyDescent="0.25">
      <c r="A7" s="39" t="s">
        <v>17</v>
      </c>
      <c r="B7" s="40">
        <f>Gerenciamento_Exec!B7</f>
        <v>771860</v>
      </c>
      <c r="C7" s="40">
        <f>Gerenciamento_Exec!D7</f>
        <v>134.68931206996737</v>
      </c>
      <c r="D7" s="40">
        <f>'Orçamento Resumo'!G8</f>
        <v>118.37748443315668</v>
      </c>
      <c r="E7" s="46" t="s">
        <v>40</v>
      </c>
      <c r="F7" s="41">
        <v>150</v>
      </c>
      <c r="G7" s="41">
        <v>200</v>
      </c>
    </row>
    <row r="8" spans="1:14" s="41" customFormat="1" ht="19.899999999999999" customHeight="1" x14ac:dyDescent="0.25">
      <c r="A8" s="42" t="s">
        <v>19</v>
      </c>
      <c r="B8" s="43">
        <f>Gerenciamento_Exec!B8</f>
        <v>408520.1</v>
      </c>
      <c r="C8" s="43">
        <f>Gerenciamento_Exec!D8</f>
        <v>71.286620936120897</v>
      </c>
      <c r="D8" s="43">
        <f>'Orçamento Resumo'!G9</f>
        <v>36.434286287664101</v>
      </c>
      <c r="E8" s="47" t="s">
        <v>42</v>
      </c>
      <c r="F8" s="41">
        <v>40</v>
      </c>
      <c r="G8" s="41">
        <v>50</v>
      </c>
    </row>
    <row r="9" spans="1:14" s="41" customFormat="1" ht="19.899999999999999" customHeight="1" x14ac:dyDescent="0.25">
      <c r="A9" s="39" t="s">
        <v>47</v>
      </c>
      <c r="B9" s="40">
        <f>Gerenciamento_Exec!B9</f>
        <v>834458.28</v>
      </c>
      <c r="C9" s="40">
        <f>Gerenciamento_Exec!D9</f>
        <v>145.61269101169671</v>
      </c>
      <c r="D9" s="40">
        <f>'Orçamento Resumo'!G10</f>
        <v>170.95737826802366</v>
      </c>
      <c r="E9" s="46" t="s">
        <v>67</v>
      </c>
      <c r="F9" s="41">
        <v>140</v>
      </c>
      <c r="G9" s="41">
        <v>160</v>
      </c>
    </row>
    <row r="10" spans="1:14" s="41" customFormat="1" ht="19.899999999999999" customHeight="1" x14ac:dyDescent="0.25">
      <c r="A10" s="42" t="s">
        <v>14</v>
      </c>
      <c r="B10" s="43">
        <f>Gerenciamento_Exec!B10</f>
        <v>880653.74</v>
      </c>
      <c r="C10" s="43">
        <f>Gerenciamento_Exec!D10</f>
        <v>153.6737833447049</v>
      </c>
      <c r="D10" s="43">
        <f>'Orçamento Resumo'!G12</f>
        <v>51.646807213532639</v>
      </c>
      <c r="E10" s="47" t="s">
        <v>43</v>
      </c>
      <c r="F10" s="41">
        <v>160</v>
      </c>
      <c r="G10" s="41">
        <v>230</v>
      </c>
    </row>
    <row r="11" spans="1:14" s="41" customFormat="1" ht="19.899999999999999" customHeight="1" x14ac:dyDescent="0.25">
      <c r="A11" s="39" t="s">
        <v>49</v>
      </c>
      <c r="B11" s="40">
        <f>Gerenciamento_Exec!B11</f>
        <v>362576.24</v>
      </c>
      <c r="C11" s="40">
        <f>Gerenciamento_Exec!D11</f>
        <v>63.269432719036338</v>
      </c>
      <c r="D11" s="40">
        <f>'Orçamento Resumo'!G11</f>
        <v>42.24470717289293</v>
      </c>
      <c r="E11" s="46" t="s">
        <v>68</v>
      </c>
      <c r="F11" s="41">
        <v>40</v>
      </c>
      <c r="G11" s="41">
        <v>60</v>
      </c>
    </row>
    <row r="12" spans="1:14" s="41" customFormat="1" ht="19.899999999999999" customHeight="1" x14ac:dyDescent="0.25">
      <c r="A12" s="42" t="s">
        <v>5</v>
      </c>
      <c r="B12" s="43">
        <f>Gerenciamento_Exec!B12</f>
        <v>664942.13</v>
      </c>
      <c r="C12" s="43">
        <f>Gerenciamento_Exec!D12</f>
        <v>116.03217948337628</v>
      </c>
      <c r="D12" s="43">
        <f>'Orçamento Resumo'!G16</f>
        <v>13.141314699026632</v>
      </c>
      <c r="E12" s="47" t="s">
        <v>64</v>
      </c>
      <c r="F12" s="41">
        <v>10</v>
      </c>
      <c r="G12" s="41">
        <v>20</v>
      </c>
    </row>
    <row r="13" spans="1:14" s="41" customFormat="1" ht="19.899999999999999" customHeight="1" x14ac:dyDescent="0.25">
      <c r="A13" s="39" t="s">
        <v>18</v>
      </c>
      <c r="B13" s="40">
        <f>Gerenciamento_Exec!B13</f>
        <v>1369564</v>
      </c>
      <c r="C13" s="40">
        <f>Gerenciamento_Exec!D12</f>
        <v>116.03217948337628</v>
      </c>
      <c r="D13" s="40">
        <f>'Orçamento Resumo'!G13</f>
        <v>106.94862575415931</v>
      </c>
      <c r="E13" s="46" t="s">
        <v>69</v>
      </c>
      <c r="F13" s="41">
        <v>90</v>
      </c>
      <c r="G13" s="41">
        <v>110</v>
      </c>
    </row>
    <row r="14" spans="1:14" s="41" customFormat="1" ht="19.899999999999999" customHeight="1" x14ac:dyDescent="0.25">
      <c r="A14" s="42" t="s">
        <v>15</v>
      </c>
      <c r="B14" s="43">
        <f>Gerenciamento_Exec!B14</f>
        <v>875829.36</v>
      </c>
      <c r="C14" s="43">
        <f>Gerenciamento_Exec!D13</f>
        <v>238.98846033709845</v>
      </c>
      <c r="D14" s="43">
        <f>'Orçamento Resumo'!G14</f>
        <v>206.3897161573941</v>
      </c>
      <c r="E14" s="47" t="s">
        <v>65</v>
      </c>
      <c r="F14" s="41">
        <v>220</v>
      </c>
      <c r="G14" s="41">
        <v>300</v>
      </c>
    </row>
    <row r="15" spans="1:14" s="41" customFormat="1" ht="19.899999999999999" customHeight="1" x14ac:dyDescent="0.25">
      <c r="A15" s="39" t="s">
        <v>16</v>
      </c>
      <c r="B15" s="40">
        <f>Gerenciamento_Exec!B15</f>
        <v>657584.51</v>
      </c>
      <c r="C15" s="40">
        <f>Gerenciamento_Exec!D14</f>
        <v>152.83193064685281</v>
      </c>
      <c r="D15" s="40">
        <f>'Orçamento Resumo'!G15</f>
        <v>60.421283664986859</v>
      </c>
      <c r="E15" s="46" t="s">
        <v>46</v>
      </c>
      <c r="F15" s="41">
        <v>100</v>
      </c>
      <c r="G15" s="41">
        <v>140</v>
      </c>
    </row>
    <row r="16" spans="1:14" s="41" customFormat="1" ht="19.899999999999999" customHeight="1" thickBot="1" x14ac:dyDescent="0.65">
      <c r="A16" s="17" t="s">
        <v>6</v>
      </c>
      <c r="B16" s="18">
        <f>SUM(B3:B15)</f>
        <v>14492086.76</v>
      </c>
      <c r="C16" s="19">
        <f>SUM(C3:C15)</f>
        <v>2530.1481990761986</v>
      </c>
      <c r="D16" s="43">
        <f>'Orçamento Resumo'!G17+'Orçamento Resumo'!G18</f>
        <v>145.42996645950325</v>
      </c>
      <c r="E16" s="48" t="s">
        <v>70</v>
      </c>
      <c r="F16" s="41">
        <v>160</v>
      </c>
      <c r="G16" s="41">
        <v>190</v>
      </c>
    </row>
    <row r="17" spans="1:7" ht="22.5" thickBot="1" x14ac:dyDescent="0.65">
      <c r="D17" s="19">
        <f>SUM(D3:D16)</f>
        <v>2133.4988159815075</v>
      </c>
      <c r="F17" s="1">
        <f>SUM(F3:F16)</f>
        <v>2220</v>
      </c>
      <c r="G17" s="1">
        <f>SUM(G3:G16)</f>
        <v>2810</v>
      </c>
    </row>
    <row r="20" spans="1:7" hidden="1" x14ac:dyDescent="0.6">
      <c r="B20" s="4">
        <v>2007.57</v>
      </c>
    </row>
    <row r="21" spans="1:7" hidden="1" x14ac:dyDescent="0.6">
      <c r="B21" s="4">
        <v>2461.35</v>
      </c>
    </row>
    <row r="22" spans="1:7" hidden="1" x14ac:dyDescent="0.6">
      <c r="B22" s="4">
        <f>B21/B20</f>
        <v>1.2260344595705255</v>
      </c>
    </row>
    <row r="23" spans="1:7" hidden="1" x14ac:dyDescent="0.6"/>
    <row r="24" spans="1:7" hidden="1" x14ac:dyDescent="0.6"/>
    <row r="25" spans="1:7" hidden="1" x14ac:dyDescent="0.6">
      <c r="C25" s="1">
        <v>1.1023000000000001</v>
      </c>
    </row>
    <row r="26" spans="1:7" hidden="1" x14ac:dyDescent="0.6">
      <c r="D26" s="1">
        <v>1.1023000000000001</v>
      </c>
    </row>
    <row r="27" spans="1:7" hidden="1" x14ac:dyDescent="0.6">
      <c r="A27" s="16" t="s">
        <v>29</v>
      </c>
      <c r="B27" s="4">
        <v>900</v>
      </c>
      <c r="C27" s="20"/>
      <c r="E27" s="20"/>
    </row>
    <row r="28" spans="1:7" hidden="1" x14ac:dyDescent="0.6">
      <c r="A28" s="15" t="s">
        <v>24</v>
      </c>
      <c r="B28" s="4">
        <v>25</v>
      </c>
      <c r="C28" s="20"/>
      <c r="D28" s="20"/>
      <c r="E28" s="20"/>
    </row>
    <row r="29" spans="1:7" hidden="1" x14ac:dyDescent="0.6">
      <c r="A29" s="16" t="s">
        <v>30</v>
      </c>
      <c r="B29" s="4">
        <v>15</v>
      </c>
      <c r="C29" s="20"/>
      <c r="D29" s="20"/>
      <c r="E29" s="20"/>
    </row>
    <row r="30" spans="1:7" hidden="1" x14ac:dyDescent="0.6">
      <c r="A30" s="15" t="s">
        <v>40</v>
      </c>
      <c r="B30" s="4">
        <v>150</v>
      </c>
      <c r="C30" s="20"/>
      <c r="D30" s="20"/>
      <c r="E30" s="20"/>
    </row>
    <row r="31" spans="1:7" hidden="1" x14ac:dyDescent="0.6">
      <c r="A31" s="16" t="s">
        <v>31</v>
      </c>
      <c r="B31" s="4">
        <v>440</v>
      </c>
      <c r="C31" s="20"/>
      <c r="D31" s="20"/>
      <c r="E31" s="20"/>
    </row>
    <row r="32" spans="1:7" hidden="1" x14ac:dyDescent="0.6">
      <c r="A32" s="15" t="s">
        <v>25</v>
      </c>
      <c r="C32" s="20"/>
      <c r="D32" s="20"/>
      <c r="E32" s="20"/>
    </row>
    <row r="33" spans="1:5" hidden="1" x14ac:dyDescent="0.6">
      <c r="A33" s="16" t="s">
        <v>26</v>
      </c>
      <c r="B33" s="4">
        <v>55</v>
      </c>
      <c r="C33" s="20"/>
      <c r="D33" s="20"/>
      <c r="E33" s="20"/>
    </row>
    <row r="34" spans="1:5" hidden="1" x14ac:dyDescent="0.6">
      <c r="A34" s="15" t="s">
        <v>32</v>
      </c>
      <c r="B34" s="4">
        <v>170</v>
      </c>
      <c r="C34" s="20"/>
      <c r="D34" s="20"/>
      <c r="E34" s="20"/>
    </row>
    <row r="35" spans="1:5" hidden="1" x14ac:dyDescent="0.6">
      <c r="A35" s="16" t="s">
        <v>33</v>
      </c>
      <c r="B35" s="4">
        <v>165</v>
      </c>
      <c r="C35" s="20"/>
      <c r="D35" s="20"/>
      <c r="E35" s="20"/>
    </row>
    <row r="36" spans="1:5" hidden="1" x14ac:dyDescent="0.6">
      <c r="A36" s="15" t="s">
        <v>34</v>
      </c>
      <c r="B36" s="4">
        <v>40</v>
      </c>
      <c r="C36" s="20"/>
      <c r="D36" s="20"/>
      <c r="E36" s="20"/>
    </row>
    <row r="37" spans="1:5" hidden="1" x14ac:dyDescent="0.6">
      <c r="A37" s="16" t="s">
        <v>35</v>
      </c>
      <c r="B37" s="4">
        <v>55</v>
      </c>
      <c r="C37" s="20"/>
      <c r="D37" s="20"/>
      <c r="E37" s="20"/>
    </row>
    <row r="38" spans="1:5" hidden="1" x14ac:dyDescent="0.6">
      <c r="A38" s="15" t="s">
        <v>27</v>
      </c>
      <c r="B38" s="4">
        <v>35</v>
      </c>
      <c r="C38" s="20"/>
      <c r="D38" s="20"/>
      <c r="E38" s="20"/>
    </row>
    <row r="39" spans="1:5" hidden="1" x14ac:dyDescent="0.6">
      <c r="A39" s="16" t="s">
        <v>36</v>
      </c>
      <c r="B39" s="4">
        <v>130</v>
      </c>
      <c r="C39" s="20"/>
      <c r="D39" s="20"/>
      <c r="E39" s="20"/>
    </row>
    <row r="40" spans="1:5" hidden="1" x14ac:dyDescent="0.6">
      <c r="A40" s="15" t="s">
        <v>37</v>
      </c>
      <c r="B40" s="4">
        <v>35</v>
      </c>
      <c r="C40" s="20"/>
      <c r="D40" s="20"/>
      <c r="E40" s="20"/>
    </row>
    <row r="41" spans="1:5" hidden="1" x14ac:dyDescent="0.6">
      <c r="A41" s="16" t="s">
        <v>38</v>
      </c>
      <c r="B41" s="4">
        <v>35</v>
      </c>
      <c r="C41" s="20"/>
      <c r="D41" s="20"/>
      <c r="E41" s="20"/>
    </row>
    <row r="42" spans="1:5" hidden="1" x14ac:dyDescent="0.6">
      <c r="A42" s="15" t="s">
        <v>39</v>
      </c>
      <c r="B42" s="4">
        <v>430</v>
      </c>
      <c r="C42" s="20"/>
      <c r="D42" s="20"/>
      <c r="E42" s="20"/>
    </row>
    <row r="43" spans="1:5" hidden="1" x14ac:dyDescent="0.6">
      <c r="A43" s="16" t="s">
        <v>27</v>
      </c>
      <c r="B43" s="4">
        <v>35</v>
      </c>
      <c r="C43" s="20"/>
      <c r="D43" s="20"/>
      <c r="E43" s="20"/>
    </row>
    <row r="44" spans="1:5" hidden="1" x14ac:dyDescent="0.6">
      <c r="A44" s="15" t="s">
        <v>28</v>
      </c>
      <c r="B44" s="4">
        <v>150</v>
      </c>
      <c r="C44" s="20"/>
      <c r="D44" s="20"/>
      <c r="E44" s="20"/>
    </row>
    <row r="45" spans="1:5" hidden="1" x14ac:dyDescent="0.6">
      <c r="D45" s="20"/>
    </row>
    <row r="46" spans="1:5" hidden="1" x14ac:dyDescent="0.6"/>
    <row r="47" spans="1:5" hidden="1" x14ac:dyDescent="0.6"/>
    <row r="48" spans="1:5" hidden="1" x14ac:dyDescent="0.6"/>
    <row r="49" hidden="1" x14ac:dyDescent="0.6"/>
    <row r="50" hidden="1" x14ac:dyDescent="0.6"/>
    <row r="51" hidden="1" x14ac:dyDescent="0.6"/>
    <row r="52" hidden="1" x14ac:dyDescent="0.6"/>
    <row r="53" hidden="1" x14ac:dyDescent="0.6"/>
    <row r="54" hidden="1" x14ac:dyDescent="0.6"/>
    <row r="55" hidden="1" x14ac:dyDescent="0.6"/>
    <row r="56" hidden="1" x14ac:dyDescent="0.6"/>
    <row r="57" hidden="1" x14ac:dyDescent="0.6"/>
    <row r="58" hidden="1" x14ac:dyDescent="0.6"/>
    <row r="59" hidden="1" x14ac:dyDescent="0.6"/>
    <row r="60" hidden="1" x14ac:dyDescent="0.6"/>
    <row r="61" hidden="1" x14ac:dyDescent="0.6"/>
    <row r="62" hidden="1" x14ac:dyDescent="0.6"/>
    <row r="63" hidden="1" x14ac:dyDescent="0.6"/>
    <row r="64" hidden="1" x14ac:dyDescent="0.6"/>
    <row r="65" hidden="1" x14ac:dyDescent="0.6"/>
    <row r="66" hidden="1" x14ac:dyDescent="0.6"/>
    <row r="67" hidden="1" x14ac:dyDescent="0.6"/>
    <row r="68" hidden="1" x14ac:dyDescent="0.6"/>
    <row r="69" hidden="1" x14ac:dyDescent="0.6"/>
    <row r="70" hidden="1" x14ac:dyDescent="0.6"/>
    <row r="71" hidden="1" x14ac:dyDescent="0.6"/>
    <row r="72" hidden="1" x14ac:dyDescent="0.6"/>
  </sheetData>
  <mergeCells count="2">
    <mergeCell ref="B1:C1"/>
    <mergeCell ref="A1:A2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4C576-39B9-4A32-B209-A0BC6E979195}">
  <dimension ref="A1:I29"/>
  <sheetViews>
    <sheetView zoomScale="90" zoomScaleNormal="90" workbookViewId="0">
      <selection activeCell="A8" sqref="A8"/>
    </sheetView>
  </sheetViews>
  <sheetFormatPr defaultColWidth="9.140625" defaultRowHeight="19.5" x14ac:dyDescent="0.25"/>
  <cols>
    <col min="1" max="1" width="64.42578125" style="6" bestFit="1" customWidth="1"/>
    <col min="2" max="2" width="18.5703125" style="6" bestFit="1" customWidth="1"/>
    <col min="3" max="3" width="14.28515625" style="7" customWidth="1"/>
    <col min="4" max="4" width="15.140625" style="6" customWidth="1"/>
    <col min="5" max="5" width="20.7109375" style="6" customWidth="1"/>
    <col min="6" max="6" width="17.7109375" style="6" bestFit="1" customWidth="1"/>
    <col min="7" max="8" width="14.28515625" style="6" bestFit="1" customWidth="1"/>
    <col min="9" max="9" width="9.140625" style="6" customWidth="1"/>
    <col min="10" max="16384" width="9.140625" style="6"/>
  </cols>
  <sheetData>
    <row r="1" spans="1:9" ht="22.5" customHeight="1" x14ac:dyDescent="0.25">
      <c r="A1" s="21" t="s">
        <v>0</v>
      </c>
      <c r="B1" s="22" t="s">
        <v>8</v>
      </c>
      <c r="C1" s="35" t="s">
        <v>9</v>
      </c>
      <c r="D1" s="22" t="s">
        <v>10</v>
      </c>
      <c r="E1" s="23" t="s">
        <v>11</v>
      </c>
    </row>
    <row r="2" spans="1:9" ht="19.899999999999999" customHeight="1" x14ac:dyDescent="0.25">
      <c r="A2" s="28" t="s">
        <v>1</v>
      </c>
      <c r="B2" s="29">
        <v>3491174.25</v>
      </c>
      <c r="C2" s="37">
        <f>B2/B$17</f>
        <v>0.19298283158017585</v>
      </c>
      <c r="D2" s="30">
        <f>B2/Gerenciamento_Exec!H$10</f>
        <v>609.20873999026287</v>
      </c>
      <c r="E2" s="31">
        <f>B2/H$8</f>
        <v>87279.356249999997</v>
      </c>
    </row>
    <row r="3" spans="1:9" ht="19.899999999999999" customHeight="1" x14ac:dyDescent="0.25">
      <c r="A3" s="59" t="s">
        <v>41</v>
      </c>
      <c r="B3" s="60">
        <v>1075033.93</v>
      </c>
      <c r="C3" s="61">
        <f>B3/B$17</f>
        <v>5.9425017773365091E-2</v>
      </c>
      <c r="D3" s="62">
        <f>B3/Gerenciamento_Exec!H$10</f>
        <v>187.59306154428714</v>
      </c>
      <c r="E3" s="63">
        <f>B3/H$8</f>
        <v>26875.848249999999</v>
      </c>
      <c r="G3" s="55"/>
      <c r="I3" s="13"/>
    </row>
    <row r="4" spans="1:9" ht="19.899999999999999" customHeight="1" x14ac:dyDescent="0.25">
      <c r="A4" s="28" t="s">
        <v>2</v>
      </c>
      <c r="B4" s="29">
        <v>3825559.15</v>
      </c>
      <c r="C4" s="37">
        <f>B4/B$17</f>
        <v>0.21146673992123158</v>
      </c>
      <c r="D4" s="30">
        <f>B4/Gerenciamento_Exec!H$10</f>
        <v>667.5587932999108</v>
      </c>
      <c r="E4" s="31">
        <f t="shared" ref="E4:E16" si="0">B4/H$8</f>
        <v>95638.978749999995</v>
      </c>
      <c r="G4" s="55"/>
      <c r="I4" s="13"/>
    </row>
    <row r="5" spans="1:9" ht="19.899999999999999" customHeight="1" x14ac:dyDescent="0.25">
      <c r="A5" s="24" t="s">
        <v>3</v>
      </c>
      <c r="B5" s="25">
        <v>832611.75</v>
      </c>
      <c r="C5" s="36">
        <f>B5/B$17</f>
        <v>4.6024564119629803E-2</v>
      </c>
      <c r="D5" s="26">
        <f>B5/Gerenciamento_Exec!H$10</f>
        <v>145.29047214374583</v>
      </c>
      <c r="E5" s="27">
        <f t="shared" si="0"/>
        <v>20815.293750000001</v>
      </c>
    </row>
    <row r="6" spans="1:9" ht="19.899999999999999" customHeight="1" x14ac:dyDescent="0.25">
      <c r="A6" s="28" t="s">
        <v>20</v>
      </c>
      <c r="B6" s="29">
        <f>1094759.38+666316.54+171817.65</f>
        <v>1932893.5699999998</v>
      </c>
      <c r="C6" s="37">
        <f>B6/B$17</f>
        <v>0.10684521813304358</v>
      </c>
      <c r="D6" s="30">
        <f>B6/Gerenciamento_Exec!H$10</f>
        <v>337.28928205602483</v>
      </c>
      <c r="E6" s="31">
        <f t="shared" si="0"/>
        <v>48322.339249999997</v>
      </c>
      <c r="G6" s="7"/>
    </row>
    <row r="7" spans="1:9" ht="19.899999999999999" customHeight="1" x14ac:dyDescent="0.25">
      <c r="A7" s="24" t="s">
        <v>17</v>
      </c>
      <c r="B7" s="25">
        <f>165900+85960+520000</f>
        <v>771860</v>
      </c>
      <c r="C7" s="36">
        <f>B7/B$17</f>
        <v>4.2666368882468282E-2</v>
      </c>
      <c r="D7" s="26">
        <f>B7/Gerenciamento_Exec!H$10</f>
        <v>134.68931206996737</v>
      </c>
      <c r="E7" s="27">
        <f t="shared" si="0"/>
        <v>19296.5</v>
      </c>
      <c r="G7" s="14"/>
    </row>
    <row r="8" spans="1:9" ht="19.899999999999999" customHeight="1" x14ac:dyDescent="0.25">
      <c r="A8" s="28" t="s">
        <v>19</v>
      </c>
      <c r="B8" s="29">
        <v>408520.1</v>
      </c>
      <c r="C8" s="37">
        <f>B8/B$17</f>
        <v>2.2581905115568665E-2</v>
      </c>
      <c r="D8" s="30">
        <f>B8/Gerenciamento_Exec!H$10</f>
        <v>71.286620936120897</v>
      </c>
      <c r="E8" s="31">
        <f t="shared" si="0"/>
        <v>10213.002499999999</v>
      </c>
      <c r="G8" s="7"/>
      <c r="H8" s="6">
        <v>40</v>
      </c>
    </row>
    <row r="9" spans="1:9" ht="19.899999999999999" customHeight="1" x14ac:dyDescent="0.25">
      <c r="A9" s="24" t="s">
        <v>47</v>
      </c>
      <c r="B9" s="25">
        <v>834458.28</v>
      </c>
      <c r="C9" s="36">
        <f>B9/B$17</f>
        <v>4.6126635389202711E-2</v>
      </c>
      <c r="D9" s="26">
        <f>B9/Gerenciamento_Exec!H$10</f>
        <v>145.61269101169671</v>
      </c>
      <c r="E9" s="27">
        <f>B9/H$8</f>
        <v>20861.457000000002</v>
      </c>
      <c r="G9" s="13"/>
    </row>
    <row r="10" spans="1:9" ht="19.899999999999999" customHeight="1" x14ac:dyDescent="0.25">
      <c r="A10" s="28" t="s">
        <v>14</v>
      </c>
      <c r="B10" s="29">
        <f>521482.5+206095.36+153075.88</f>
        <v>880653.74</v>
      </c>
      <c r="C10" s="37">
        <f>B10/B$17</f>
        <v>4.8680197611698117E-2</v>
      </c>
      <c r="D10" s="30">
        <f>B10/Gerenciamento_Exec!H$10</f>
        <v>153.6737833447049</v>
      </c>
      <c r="E10" s="31">
        <f t="shared" si="0"/>
        <v>22016.343499999999</v>
      </c>
      <c r="H10" s="8">
        <v>5730.67</v>
      </c>
      <c r="I10" s="9" t="s">
        <v>13</v>
      </c>
    </row>
    <row r="11" spans="1:9" ht="19.899999999999999" customHeight="1" x14ac:dyDescent="0.25">
      <c r="A11" s="24" t="s">
        <v>49</v>
      </c>
      <c r="B11" s="25">
        <v>362576.24</v>
      </c>
      <c r="C11" s="36">
        <f>B11/B$17</f>
        <v>2.0042250672218213E-2</v>
      </c>
      <c r="D11" s="26">
        <f>B11/Gerenciamento_Exec!H$10</f>
        <v>63.269432719036338</v>
      </c>
      <c r="E11" s="27">
        <f t="shared" ref="E11" si="1">B11/H$8</f>
        <v>9064.405999999999</v>
      </c>
      <c r="H11" s="64"/>
      <c r="I11" s="9" t="s">
        <v>13</v>
      </c>
    </row>
    <row r="12" spans="1:9" ht="19.899999999999999" customHeight="1" x14ac:dyDescent="0.25">
      <c r="A12" s="28" t="s">
        <v>5</v>
      </c>
      <c r="B12" s="29">
        <v>664942.13</v>
      </c>
      <c r="C12" s="37">
        <f>B12/B$17</f>
        <v>3.6756233260013704E-2</v>
      </c>
      <c r="D12" s="30">
        <f>B12/Gerenciamento_Exec!H$10</f>
        <v>116.03217948337628</v>
      </c>
      <c r="E12" s="31">
        <f t="shared" si="0"/>
        <v>16623.553250000001</v>
      </c>
      <c r="I12" s="10" t="s">
        <v>4</v>
      </c>
    </row>
    <row r="13" spans="1:9" ht="19.899999999999999" customHeight="1" x14ac:dyDescent="0.25">
      <c r="A13" s="24" t="s">
        <v>18</v>
      </c>
      <c r="B13" s="25">
        <f>1078725.1+290838.9</f>
        <v>1369564</v>
      </c>
      <c r="C13" s="36">
        <f>B13/B$17</f>
        <v>7.570585706235429E-2</v>
      </c>
      <c r="D13" s="26">
        <f>B13/Gerenciamento_Exec!H$10</f>
        <v>238.98846033709845</v>
      </c>
      <c r="E13" s="27">
        <f t="shared" si="0"/>
        <v>34239.1</v>
      </c>
      <c r="I13" s="9" t="s">
        <v>14</v>
      </c>
    </row>
    <row r="14" spans="1:9" ht="19.899999999999999" customHeight="1" x14ac:dyDescent="0.25">
      <c r="A14" s="28" t="s">
        <v>15</v>
      </c>
      <c r="B14" s="29">
        <v>875829.36</v>
      </c>
      <c r="C14" s="37">
        <f>B14/B$17</f>
        <v>4.8413518710460589E-2</v>
      </c>
      <c r="D14" s="30">
        <f>B14/Gerenciamento_Exec!H$10</f>
        <v>152.83193064685281</v>
      </c>
      <c r="E14" s="31">
        <f t="shared" si="0"/>
        <v>21895.734</v>
      </c>
      <c r="I14" s="10" t="s">
        <v>5</v>
      </c>
    </row>
    <row r="15" spans="1:9" ht="19.899999999999999" customHeight="1" x14ac:dyDescent="0.25">
      <c r="A15" s="24" t="s">
        <v>16</v>
      </c>
      <c r="B15" s="25">
        <v>657584.51</v>
      </c>
      <c r="C15" s="36">
        <f>B15/B$17</f>
        <v>3.6349523585957492E-2</v>
      </c>
      <c r="D15" s="26">
        <f>B15/Gerenciamento_Exec!H$10</f>
        <v>114.74827725204906</v>
      </c>
      <c r="E15" s="27">
        <f t="shared" si="0"/>
        <v>16439.61275</v>
      </c>
      <c r="I15" s="9" t="s">
        <v>5</v>
      </c>
    </row>
    <row r="16" spans="1:9" ht="19.899999999999999" customHeight="1" x14ac:dyDescent="0.25">
      <c r="A16" s="28" t="s">
        <v>44</v>
      </c>
      <c r="B16" s="29">
        <v>107334</v>
      </c>
      <c r="C16" s="37">
        <f>B16/B$17</f>
        <v>5.9331381826119379E-3</v>
      </c>
      <c r="D16" s="30">
        <f>B16/Gerenciamento_Exec!H$10</f>
        <v>18.729747132534239</v>
      </c>
      <c r="E16" s="31">
        <f t="shared" si="0"/>
        <v>2683.35</v>
      </c>
      <c r="I16" s="10" t="s">
        <v>18</v>
      </c>
    </row>
    <row r="17" spans="1:9" ht="19.899999999999999" customHeight="1" x14ac:dyDescent="0.25">
      <c r="A17" s="52" t="s">
        <v>6</v>
      </c>
      <c r="B17" s="53">
        <f>SUM(B2:B16)</f>
        <v>18090595.010000002</v>
      </c>
      <c r="C17" s="54">
        <f>SUM(C2:C16)</f>
        <v>1.0000000000000002</v>
      </c>
      <c r="D17" s="53">
        <f>SUM(D2:D16)</f>
        <v>3156.8027839676683</v>
      </c>
      <c r="E17" s="56">
        <f>SUM(E2:E16)</f>
        <v>452264.87525000004</v>
      </c>
      <c r="I17" s="9" t="s">
        <v>18</v>
      </c>
    </row>
    <row r="18" spans="1:9" ht="22.5" customHeight="1" thickBot="1" x14ac:dyDescent="0.3">
      <c r="A18" s="32" t="s">
        <v>7</v>
      </c>
      <c r="B18" s="33">
        <v>2632.38</v>
      </c>
      <c r="C18" s="38">
        <v>44835</v>
      </c>
      <c r="D18" s="34">
        <f>+D17/B18</f>
        <v>1.1992200153350459</v>
      </c>
      <c r="E18" s="11" t="s">
        <v>21</v>
      </c>
      <c r="G18" s="13">
        <f>B17*0.015</f>
        <v>271358.92515000002</v>
      </c>
    </row>
    <row r="19" spans="1:9" ht="22.5" customHeight="1" x14ac:dyDescent="0.25"/>
    <row r="20" spans="1:9" ht="15" customHeight="1" x14ac:dyDescent="0.25">
      <c r="B20" s="13"/>
      <c r="G20" s="12">
        <f>17271993.87/H10</f>
        <v>3013.9571585870412</v>
      </c>
    </row>
    <row r="21" spans="1:9" x14ac:dyDescent="0.25">
      <c r="F21" s="14">
        <v>16170304.9</v>
      </c>
      <c r="H21" s="13"/>
    </row>
    <row r="22" spans="1:9" ht="20.25" thickBot="1" x14ac:dyDescent="0.5">
      <c r="F22" s="66">
        <v>171582.85</v>
      </c>
      <c r="G22" s="13"/>
      <c r="H22" s="13"/>
    </row>
    <row r="23" spans="1:9" x14ac:dyDescent="0.25">
      <c r="F23" s="67">
        <f>B17-F22</f>
        <v>17919012.16</v>
      </c>
      <c r="G23" s="65"/>
    </row>
    <row r="24" spans="1:9" x14ac:dyDescent="0.25">
      <c r="G24" s="65">
        <v>16170304.9</v>
      </c>
    </row>
    <row r="27" spans="1:9" x14ac:dyDescent="0.25">
      <c r="G27" s="13">
        <f>G24/H10</f>
        <v>2821.7128014699852</v>
      </c>
    </row>
    <row r="29" spans="1:9" x14ac:dyDescent="0.25">
      <c r="G29" s="12">
        <f>G27/B18</f>
        <v>1.0719245707192673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0100-E49D-4F77-946D-55D5B7436199}">
  <dimension ref="B7:H22"/>
  <sheetViews>
    <sheetView workbookViewId="0">
      <selection activeCell="H22" sqref="H22"/>
    </sheetView>
  </sheetViews>
  <sheetFormatPr defaultRowHeight="15" x14ac:dyDescent="0.25"/>
  <cols>
    <col min="2" max="2" width="10.28515625" bestFit="1" customWidth="1"/>
  </cols>
  <sheetData>
    <row r="7" spans="3:3" x14ac:dyDescent="0.25">
      <c r="C7">
        <v>1092.45</v>
      </c>
    </row>
    <row r="8" spans="3:3" x14ac:dyDescent="0.25">
      <c r="C8">
        <v>1092.45</v>
      </c>
    </row>
    <row r="9" spans="3:3" x14ac:dyDescent="0.25">
      <c r="C9">
        <v>1038.3</v>
      </c>
    </row>
    <row r="10" spans="3:3" x14ac:dyDescent="0.25">
      <c r="C10">
        <v>1092.45</v>
      </c>
    </row>
    <row r="11" spans="3:3" x14ac:dyDescent="0.25">
      <c r="C11">
        <v>760</v>
      </c>
    </row>
    <row r="12" spans="3:3" x14ac:dyDescent="0.25">
      <c r="C12">
        <v>1092.45</v>
      </c>
    </row>
    <row r="13" spans="3:3" x14ac:dyDescent="0.25">
      <c r="C13">
        <v>1092.45</v>
      </c>
    </row>
    <row r="14" spans="3:3" x14ac:dyDescent="0.25">
      <c r="C14">
        <v>1092.45</v>
      </c>
    </row>
    <row r="15" spans="3:3" x14ac:dyDescent="0.25">
      <c r="C15">
        <v>1092.45</v>
      </c>
    </row>
    <row r="16" spans="3:3" x14ac:dyDescent="0.25">
      <c r="C16">
        <v>623.88</v>
      </c>
    </row>
    <row r="17" spans="2:8" x14ac:dyDescent="0.25">
      <c r="B17">
        <v>578.83000000000004</v>
      </c>
      <c r="C17">
        <v>11576.6</v>
      </c>
    </row>
    <row r="18" spans="2:8" x14ac:dyDescent="0.25">
      <c r="C18">
        <v>570.51</v>
      </c>
    </row>
    <row r="19" spans="2:8" x14ac:dyDescent="0.25">
      <c r="C19">
        <v>558.66999999999996</v>
      </c>
    </row>
    <row r="20" spans="2:8" x14ac:dyDescent="0.25">
      <c r="C20">
        <v>146.46</v>
      </c>
    </row>
    <row r="21" spans="2:8" x14ac:dyDescent="0.25">
      <c r="C21">
        <v>146.46</v>
      </c>
    </row>
    <row r="22" spans="2:8" x14ac:dyDescent="0.25">
      <c r="B22" s="57">
        <f>SUM(C7:C16)+B17+SUM(C18:C21)</f>
        <v>12070.26</v>
      </c>
      <c r="F22">
        <v>23068.03</v>
      </c>
      <c r="H22" s="58">
        <f>F22/B22</f>
        <v>1.9111460730754763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AB6F-AB22-4A89-B980-A8F1D1287F3B}">
  <dimension ref="A1:J45"/>
  <sheetViews>
    <sheetView showGridLines="0" view="pageBreakPreview" zoomScaleNormal="85" zoomScaleSheetLayoutView="100" workbookViewId="0">
      <selection activeCell="A22" sqref="A22"/>
    </sheetView>
  </sheetViews>
  <sheetFormatPr defaultColWidth="9.140625" defaultRowHeight="14.25" x14ac:dyDescent="0.25"/>
  <cols>
    <col min="1" max="1" width="66.5703125" style="73" customWidth="1"/>
    <col min="2" max="2" width="16" style="73" bestFit="1" customWidth="1"/>
    <col min="3" max="3" width="10.5703125" style="106" customWidth="1"/>
    <col min="4" max="4" width="15.5703125" style="107" customWidth="1"/>
    <col min="5" max="5" width="15" style="73" customWidth="1"/>
    <col min="6" max="6" width="9.140625" style="73"/>
    <col min="7" max="7" width="13.5703125" style="73" bestFit="1" customWidth="1"/>
    <col min="8" max="8" width="11.42578125" style="73" bestFit="1" customWidth="1"/>
    <col min="9" max="9" width="9.85546875" style="73" bestFit="1" customWidth="1"/>
    <col min="10" max="16384" width="9.140625" style="73"/>
  </cols>
  <sheetData>
    <row r="1" spans="1:10" ht="35.25" customHeight="1" x14ac:dyDescent="0.25">
      <c r="A1" s="68" t="s">
        <v>50</v>
      </c>
      <c r="B1" s="69" t="s">
        <v>51</v>
      </c>
      <c r="C1" s="70" t="s">
        <v>9</v>
      </c>
      <c r="D1" s="71" t="s">
        <v>52</v>
      </c>
      <c r="E1" s="69" t="s">
        <v>53</v>
      </c>
      <c r="F1" s="72">
        <v>44652</v>
      </c>
      <c r="G1" s="72">
        <v>44835</v>
      </c>
    </row>
    <row r="2" spans="1:10" ht="18" customHeight="1" x14ac:dyDescent="0.25">
      <c r="A2" s="74" t="s">
        <v>1</v>
      </c>
      <c r="B2" s="75">
        <f>I3*320</f>
        <v>1833814.4</v>
      </c>
      <c r="C2" s="76">
        <f t="shared" ref="C2:C17" si="0">+B2/$B$19</f>
        <v>0.13823599165988243</v>
      </c>
      <c r="D2" s="77">
        <v>320</v>
      </c>
      <c r="E2" s="78">
        <f t="shared" ref="E2:E18" si="1">B2/$J$3</f>
        <v>45845.36</v>
      </c>
      <c r="F2" s="79">
        <v>2461.35</v>
      </c>
      <c r="G2" s="79">
        <v>2632.38</v>
      </c>
      <c r="H2" s="73">
        <f>G2/F2</f>
        <v>1.0694862575415931</v>
      </c>
    </row>
    <row r="3" spans="1:10" ht="18" customHeight="1" x14ac:dyDescent="0.25">
      <c r="A3" s="80" t="s">
        <v>54</v>
      </c>
      <c r="B3" s="81">
        <f>'[1]Movimentação de Terra'!$J$43</f>
        <v>38075.862611628188</v>
      </c>
      <c r="C3" s="82">
        <f t="shared" si="0"/>
        <v>2.8702221044964332E-3</v>
      </c>
      <c r="D3" s="83">
        <f>+B3/$I$3</f>
        <v>6.6442253020376656</v>
      </c>
      <c r="E3" s="84">
        <f t="shared" si="1"/>
        <v>951.89656529070476</v>
      </c>
      <c r="G3" s="85">
        <f>D3*$H$2</f>
        <v>7.1059076525394236</v>
      </c>
      <c r="I3" s="86">
        <v>5730.67</v>
      </c>
      <c r="J3" s="73">
        <v>40</v>
      </c>
    </row>
    <row r="4" spans="1:10" ht="18" customHeight="1" x14ac:dyDescent="0.25">
      <c r="A4" s="87" t="s">
        <v>55</v>
      </c>
      <c r="B4" s="88">
        <f>[1]Infraestrutura!$J$38</f>
        <v>1072189</v>
      </c>
      <c r="C4" s="89">
        <f t="shared" si="0"/>
        <v>8.0823397210654305E-2</v>
      </c>
      <c r="D4" s="90">
        <f>+B4/$I$3</f>
        <v>187.09662220996847</v>
      </c>
      <c r="E4" s="91">
        <f t="shared" si="1"/>
        <v>26804.724999999999</v>
      </c>
      <c r="G4" s="85">
        <f t="shared" ref="G4:G18" si="2">D4*$H$2</f>
        <v>200.09726628601248</v>
      </c>
    </row>
    <row r="5" spans="1:10" ht="18" customHeight="1" x14ac:dyDescent="0.25">
      <c r="A5" s="80" t="s">
        <v>2</v>
      </c>
      <c r="B5" s="81">
        <f>[1]Supraestrutura!$J$25</f>
        <v>2994700.0939999996</v>
      </c>
      <c r="C5" s="82">
        <f t="shared" si="0"/>
        <v>0.22574549377408809</v>
      </c>
      <c r="D5" s="83">
        <f>+B5/$I$3</f>
        <v>522.57416567347263</v>
      </c>
      <c r="E5" s="84">
        <f t="shared" si="1"/>
        <v>74867.502349999995</v>
      </c>
      <c r="G5" s="85">
        <f t="shared" si="2"/>
        <v>558.88588873404274</v>
      </c>
    </row>
    <row r="6" spans="1:10" ht="18" customHeight="1" x14ac:dyDescent="0.25">
      <c r="A6" s="87" t="s">
        <v>3</v>
      </c>
      <c r="B6" s="88">
        <f>[1]Alvenaria!$J$27</f>
        <v>650017.23196</v>
      </c>
      <c r="C6" s="89">
        <f t="shared" si="0"/>
        <v>4.8999384373905247E-2</v>
      </c>
      <c r="D6" s="90">
        <f t="shared" ref="D6:D18" si="3">+B6/$I$3</f>
        <v>113.4277897628026</v>
      </c>
      <c r="E6" s="91">
        <f t="shared" si="1"/>
        <v>16250.430799</v>
      </c>
      <c r="G6" s="85">
        <f t="shared" si="2"/>
        <v>121.30946237463438</v>
      </c>
    </row>
    <row r="7" spans="1:10" ht="21" x14ac:dyDescent="0.25">
      <c r="A7" s="80" t="s">
        <v>56</v>
      </c>
      <c r="B7" s="81">
        <f>[1]Instalações!$J$46</f>
        <v>1575934.25</v>
      </c>
      <c r="C7" s="82">
        <f t="shared" si="0"/>
        <v>0.11879655533271147</v>
      </c>
      <c r="D7" s="83">
        <f t="shared" si="3"/>
        <v>275</v>
      </c>
      <c r="E7" s="84">
        <f t="shared" si="1"/>
        <v>39398.356249999997</v>
      </c>
      <c r="G7" s="85">
        <f t="shared" si="2"/>
        <v>294.10872082393809</v>
      </c>
    </row>
    <row r="8" spans="1:10" ht="18" customHeight="1" x14ac:dyDescent="0.25">
      <c r="A8" s="87" t="s">
        <v>57</v>
      </c>
      <c r="B8" s="88">
        <f>'[1]Sistemas especiais'!$J$42</f>
        <v>634306.69999999995</v>
      </c>
      <c r="C8" s="89">
        <f t="shared" si="0"/>
        <v>4.7815098240589417E-2</v>
      </c>
      <c r="D8" s="90">
        <f t="shared" si="3"/>
        <v>110.68630718572173</v>
      </c>
      <c r="E8" s="91">
        <f t="shared" si="1"/>
        <v>15857.6675</v>
      </c>
      <c r="G8" s="85">
        <f t="shared" si="2"/>
        <v>118.37748443315668</v>
      </c>
    </row>
    <row r="9" spans="1:10" ht="18" customHeight="1" x14ac:dyDescent="0.25">
      <c r="A9" s="80" t="s">
        <v>19</v>
      </c>
      <c r="B9" s="81">
        <f>[1]Impermeabilização!$J$26</f>
        <v>195227.25975000003</v>
      </c>
      <c r="C9" s="82">
        <f t="shared" si="0"/>
        <v>1.4716556839439534E-2</v>
      </c>
      <c r="D9" s="83">
        <f t="shared" si="3"/>
        <v>34.067091587894616</v>
      </c>
      <c r="E9" s="84">
        <f t="shared" si="1"/>
        <v>4880.6814937500003</v>
      </c>
      <c r="G9" s="85">
        <f t="shared" si="2"/>
        <v>36.434286287664101</v>
      </c>
    </row>
    <row r="10" spans="1:10" ht="18" customHeight="1" x14ac:dyDescent="0.25">
      <c r="A10" s="87" t="s">
        <v>13</v>
      </c>
      <c r="B10" s="88">
        <f>'[1]Rev. Internos Piso e Parede'!$J$24</f>
        <v>916047.59950000001</v>
      </c>
      <c r="C10" s="89">
        <f t="shared" si="0"/>
        <v>6.9053197708850642E-2</v>
      </c>
      <c r="D10" s="90">
        <f t="shared" si="3"/>
        <v>159.85</v>
      </c>
      <c r="E10" s="91">
        <f t="shared" si="1"/>
        <v>22901.189987500002</v>
      </c>
      <c r="G10" s="85">
        <f t="shared" si="2"/>
        <v>170.95737826802366</v>
      </c>
    </row>
    <row r="11" spans="1:10" ht="18" customHeight="1" x14ac:dyDescent="0.25">
      <c r="A11" s="80" t="s">
        <v>4</v>
      </c>
      <c r="B11" s="81">
        <f>'[1]Acabamentos de Teto'!$J$21</f>
        <v>226361.465</v>
      </c>
      <c r="C11" s="82">
        <f t="shared" si="0"/>
        <v>1.7063505220516736E-2</v>
      </c>
      <c r="D11" s="83">
        <f t="shared" si="3"/>
        <v>39.5</v>
      </c>
      <c r="E11" s="84">
        <f t="shared" si="1"/>
        <v>5659.0366249999997</v>
      </c>
      <c r="G11" s="85">
        <f t="shared" si="2"/>
        <v>42.24470717289293</v>
      </c>
    </row>
    <row r="12" spans="1:10" ht="18" customHeight="1" x14ac:dyDescent="0.25">
      <c r="A12" s="87" t="s">
        <v>14</v>
      </c>
      <c r="B12" s="88">
        <f>'[1]Acabamentos de Piso e Parede'!$J$22</f>
        <v>276741.10500000004</v>
      </c>
      <c r="C12" s="89">
        <f t="shared" si="0"/>
        <v>2.0861206609963722E-2</v>
      </c>
      <c r="D12" s="90">
        <f t="shared" si="3"/>
        <v>48.291230344793895</v>
      </c>
      <c r="E12" s="91">
        <f t="shared" si="1"/>
        <v>6918.5276250000006</v>
      </c>
      <c r="G12" s="85">
        <f t="shared" si="2"/>
        <v>51.646807213532639</v>
      </c>
    </row>
    <row r="13" spans="1:10" ht="18" customHeight="1" x14ac:dyDescent="0.25">
      <c r="A13" s="80" t="s">
        <v>5</v>
      </c>
      <c r="B13" s="81">
        <f>'[1]Pintura Interna'!$J$19</f>
        <v>573067</v>
      </c>
      <c r="C13" s="82">
        <f t="shared" si="0"/>
        <v>4.3198747393713259E-2</v>
      </c>
      <c r="D13" s="83">
        <f t="shared" si="3"/>
        <v>100</v>
      </c>
      <c r="E13" s="84">
        <f t="shared" si="1"/>
        <v>14326.674999999999</v>
      </c>
      <c r="G13" s="85">
        <f t="shared" si="2"/>
        <v>106.94862575415931</v>
      </c>
    </row>
    <row r="14" spans="1:10" ht="18" customHeight="1" x14ac:dyDescent="0.25">
      <c r="A14" s="87" t="s">
        <v>58</v>
      </c>
      <c r="B14" s="88">
        <f>[1]Esquadrias!$J$25</f>
        <v>1105906.08</v>
      </c>
      <c r="C14" s="89">
        <f t="shared" si="0"/>
        <v>8.3365047003389925E-2</v>
      </c>
      <c r="D14" s="90">
        <f>+B14/$I$3</f>
        <v>192.98024140283772</v>
      </c>
      <c r="E14" s="91">
        <f t="shared" si="1"/>
        <v>27647.652000000002</v>
      </c>
      <c r="G14" s="85">
        <f t="shared" si="2"/>
        <v>206.3897161573941</v>
      </c>
    </row>
    <row r="15" spans="1:10" ht="18" customHeight="1" x14ac:dyDescent="0.25">
      <c r="A15" s="80" t="s">
        <v>15</v>
      </c>
      <c r="B15" s="81">
        <f>'[1]Rev. Fachada'!$J$34</f>
        <v>323757.72499999998</v>
      </c>
      <c r="C15" s="82">
        <f t="shared" si="0"/>
        <v>2.4405397936084757E-2</v>
      </c>
      <c r="D15" s="83">
        <f t="shared" si="3"/>
        <v>56.495614823397609</v>
      </c>
      <c r="E15" s="84">
        <f t="shared" si="1"/>
        <v>8093.9431249999998</v>
      </c>
      <c r="G15" s="85">
        <f t="shared" si="2"/>
        <v>60.421283664986859</v>
      </c>
    </row>
    <row r="16" spans="1:10" ht="18" customHeight="1" x14ac:dyDescent="0.25">
      <c r="A16" s="87" t="s">
        <v>22</v>
      </c>
      <c r="B16" s="88">
        <f>[1]Cobertura!$J$21</f>
        <v>70415.62</v>
      </c>
      <c r="C16" s="89">
        <f t="shared" si="0"/>
        <v>5.3080470188506812E-3</v>
      </c>
      <c r="D16" s="90">
        <f t="shared" si="3"/>
        <v>12.287502159433364</v>
      </c>
      <c r="E16" s="91">
        <f t="shared" si="1"/>
        <v>1760.3905</v>
      </c>
      <c r="G16" s="85">
        <f t="shared" si="2"/>
        <v>13.141314699026632</v>
      </c>
    </row>
    <row r="17" spans="1:8" ht="18" customHeight="1" x14ac:dyDescent="0.25">
      <c r="A17" s="80" t="s">
        <v>16</v>
      </c>
      <c r="B17" s="81">
        <f>[1]Complementares!$J$22</f>
        <v>584928.75</v>
      </c>
      <c r="C17" s="82">
        <f t="shared" si="0"/>
        <v>4.4092905916010616E-2</v>
      </c>
      <c r="D17" s="83">
        <f t="shared" si="3"/>
        <v>102.06987141119625</v>
      </c>
      <c r="E17" s="84">
        <f t="shared" si="1"/>
        <v>14623.21875</v>
      </c>
      <c r="G17" s="85">
        <f t="shared" si="2"/>
        <v>109.16232478331192</v>
      </c>
    </row>
    <row r="18" spans="1:8" ht="18" customHeight="1" x14ac:dyDescent="0.25">
      <c r="A18" s="87" t="s">
        <v>59</v>
      </c>
      <c r="B18" s="88">
        <v>194334.32141732439</v>
      </c>
      <c r="C18" s="89">
        <f>ROUNDUP((B18/$B$19),3)</f>
        <v>1.4999999999999999E-2</v>
      </c>
      <c r="D18" s="90">
        <f t="shared" si="3"/>
        <v>33.911274147233115</v>
      </c>
      <c r="E18" s="91">
        <f t="shared" si="1"/>
        <v>4858.3580354331098</v>
      </c>
      <c r="G18" s="85">
        <f t="shared" si="2"/>
        <v>36.267641676191325</v>
      </c>
    </row>
    <row r="19" spans="1:8" ht="18" customHeight="1" x14ac:dyDescent="0.25">
      <c r="A19" s="92" t="s">
        <v>6</v>
      </c>
      <c r="B19" s="93">
        <f>SUM(B2:B18)</f>
        <v>13265824.464238951</v>
      </c>
      <c r="C19" s="94">
        <v>1</v>
      </c>
      <c r="D19" s="95">
        <f>SUM(D2:D18)</f>
        <v>2314.8819360107896</v>
      </c>
      <c r="E19" s="96">
        <f>SUM(E2:E18)</f>
        <v>331645.6116059738</v>
      </c>
      <c r="G19" s="85">
        <f>B19*H2</f>
        <v>14187616.959462626</v>
      </c>
      <c r="H19" s="85">
        <f>G19/I3</f>
        <v>2475.7344183948171</v>
      </c>
    </row>
    <row r="20" spans="1:8" ht="18" customHeight="1" x14ac:dyDescent="0.25">
      <c r="A20" s="97" t="s">
        <v>7</v>
      </c>
      <c r="B20" s="98">
        <v>2461.35</v>
      </c>
      <c r="C20" s="99">
        <v>44652</v>
      </c>
      <c r="D20" s="100">
        <f>+D19/B20</f>
        <v>0.94049279298384614</v>
      </c>
      <c r="E20" s="101" t="s">
        <v>60</v>
      </c>
      <c r="G20" s="86"/>
      <c r="H20" s="105"/>
    </row>
    <row r="21" spans="1:8" ht="15" customHeight="1" x14ac:dyDescent="0.25">
      <c r="A21" s="102"/>
      <c r="B21" s="102"/>
      <c r="C21" s="103"/>
      <c r="D21" s="104"/>
      <c r="E21" s="102"/>
      <c r="G21" s="105"/>
    </row>
    <row r="22" spans="1:8" ht="15" customHeight="1" x14ac:dyDescent="0.25">
      <c r="A22" s="102"/>
      <c r="B22" s="102"/>
      <c r="C22" s="103"/>
      <c r="D22" s="104"/>
      <c r="E22" s="102"/>
    </row>
    <row r="23" spans="1:8" ht="15" customHeight="1" x14ac:dyDescent="0.25">
      <c r="A23" s="102"/>
      <c r="B23" s="102"/>
      <c r="C23" s="103"/>
      <c r="D23" s="104"/>
      <c r="E23" s="102"/>
    </row>
    <row r="24" spans="1:8" ht="15" customHeight="1" x14ac:dyDescent="0.25">
      <c r="A24" s="102"/>
      <c r="B24" s="102"/>
      <c r="C24" s="103"/>
      <c r="D24" s="104"/>
      <c r="E24" s="102"/>
    </row>
    <row r="25" spans="1:8" ht="15" customHeight="1" x14ac:dyDescent="0.25">
      <c r="A25" s="102"/>
      <c r="B25" s="102"/>
      <c r="C25" s="103"/>
      <c r="D25" s="104"/>
      <c r="E25" s="102"/>
    </row>
    <row r="26" spans="1:8" ht="15" customHeight="1" x14ac:dyDescent="0.25">
      <c r="A26" s="102"/>
      <c r="B26" s="102"/>
      <c r="C26" s="103"/>
      <c r="D26" s="104"/>
      <c r="E26" s="102"/>
    </row>
    <row r="27" spans="1:8" ht="15" customHeight="1" x14ac:dyDescent="0.25">
      <c r="A27" s="102"/>
      <c r="B27" s="102"/>
      <c r="C27" s="103"/>
      <c r="D27" s="104"/>
      <c r="E27" s="102"/>
    </row>
    <row r="28" spans="1:8" ht="15" customHeight="1" x14ac:dyDescent="0.25">
      <c r="A28" s="102"/>
      <c r="B28" s="102"/>
      <c r="C28" s="103"/>
      <c r="D28" s="104"/>
      <c r="E28" s="102"/>
    </row>
    <row r="29" spans="1:8" ht="15" customHeight="1" x14ac:dyDescent="0.25">
      <c r="A29" s="102"/>
      <c r="B29" s="102"/>
      <c r="C29" s="103"/>
      <c r="D29" s="104"/>
      <c r="E29" s="102"/>
    </row>
    <row r="30" spans="1:8" ht="15" customHeight="1" x14ac:dyDescent="0.25">
      <c r="A30" s="102"/>
      <c r="B30" s="102"/>
      <c r="C30" s="103"/>
      <c r="D30" s="104"/>
      <c r="E30" s="102"/>
    </row>
    <row r="31" spans="1:8" ht="15" customHeight="1" x14ac:dyDescent="0.25">
      <c r="A31" s="102"/>
      <c r="B31" s="102"/>
      <c r="C31" s="103"/>
      <c r="D31" s="104"/>
      <c r="E31" s="102"/>
    </row>
    <row r="32" spans="1:8" ht="15" customHeight="1" x14ac:dyDescent="0.25">
      <c r="A32" s="102"/>
      <c r="B32" s="102"/>
      <c r="C32" s="103"/>
      <c r="D32" s="104"/>
      <c r="E32" s="102"/>
    </row>
    <row r="33" spans="1:5" ht="15" customHeight="1" x14ac:dyDescent="0.25">
      <c r="A33" s="102"/>
      <c r="B33" s="102"/>
      <c r="C33" s="103"/>
      <c r="D33" s="104"/>
      <c r="E33" s="102"/>
    </row>
    <row r="34" spans="1:5" x14ac:dyDescent="0.25">
      <c r="A34" s="102"/>
      <c r="B34" s="102"/>
      <c r="C34" s="103"/>
      <c r="D34" s="104"/>
      <c r="E34" s="102"/>
    </row>
    <row r="35" spans="1:5" x14ac:dyDescent="0.25">
      <c r="A35" s="102"/>
      <c r="B35" s="102"/>
      <c r="C35" s="103"/>
      <c r="D35" s="104"/>
      <c r="E35" s="102"/>
    </row>
    <row r="36" spans="1:5" x14ac:dyDescent="0.25">
      <c r="A36" s="102"/>
      <c r="B36" s="102"/>
      <c r="C36" s="103"/>
      <c r="D36" s="104"/>
      <c r="E36" s="102"/>
    </row>
    <row r="37" spans="1:5" x14ac:dyDescent="0.25">
      <c r="A37" s="102"/>
      <c r="B37" s="102"/>
      <c r="C37" s="103"/>
      <c r="D37" s="104"/>
      <c r="E37" s="102"/>
    </row>
    <row r="38" spans="1:5" x14ac:dyDescent="0.25">
      <c r="A38" s="102"/>
      <c r="B38" s="102"/>
      <c r="C38" s="103"/>
      <c r="D38" s="104"/>
      <c r="E38" s="102"/>
    </row>
    <row r="39" spans="1:5" x14ac:dyDescent="0.25">
      <c r="A39" s="102"/>
      <c r="B39" s="102"/>
      <c r="C39" s="103"/>
      <c r="D39" s="104"/>
      <c r="E39" s="102"/>
    </row>
    <row r="40" spans="1:5" x14ac:dyDescent="0.25">
      <c r="A40" s="102"/>
      <c r="B40" s="102"/>
      <c r="C40" s="103"/>
      <c r="D40" s="104"/>
      <c r="E40" s="102"/>
    </row>
    <row r="41" spans="1:5" x14ac:dyDescent="0.25">
      <c r="A41" s="102"/>
      <c r="B41" s="102"/>
      <c r="C41" s="103"/>
      <c r="D41" s="104"/>
      <c r="E41" s="102"/>
    </row>
    <row r="42" spans="1:5" x14ac:dyDescent="0.25">
      <c r="A42" s="102"/>
      <c r="B42" s="102"/>
      <c r="C42" s="103"/>
      <c r="D42" s="104"/>
      <c r="E42" s="102"/>
    </row>
    <row r="43" spans="1:5" x14ac:dyDescent="0.25">
      <c r="A43" s="102"/>
      <c r="B43" s="102"/>
      <c r="C43" s="103"/>
      <c r="D43" s="104"/>
      <c r="E43" s="102"/>
    </row>
    <row r="44" spans="1:5" x14ac:dyDescent="0.25">
      <c r="A44" s="102"/>
      <c r="B44" s="102"/>
      <c r="C44" s="103"/>
      <c r="D44" s="104"/>
      <c r="E44" s="102"/>
    </row>
    <row r="45" spans="1:5" x14ac:dyDescent="0.25">
      <c r="A45" s="102"/>
      <c r="B45" s="102"/>
      <c r="C45" s="103"/>
      <c r="D45" s="104"/>
      <c r="E45" s="102"/>
    </row>
  </sheetData>
  <pageMargins left="0.51181102362204722" right="0.51181102362204722" top="0.78740157480314965" bottom="0.78740157480314965" header="0.31496062992125984" footer="0.31496062992125984"/>
  <pageSetup paperSize="9" scale="110" orientation="landscape" r:id="rId1"/>
  <rowBreaks count="1" manualBreakCount="1">
    <brk id="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Gerenciamento executivo </vt:lpstr>
      <vt:lpstr>Gerenciamento_Exec</vt:lpstr>
      <vt:lpstr>Planilha1</vt:lpstr>
      <vt:lpstr>Orçamento Resumo</vt:lpstr>
      <vt:lpstr>'Orçamento Resumo'!Area_de_impressao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Patricia Bragatto</cp:lastModifiedBy>
  <dcterms:created xsi:type="dcterms:W3CDTF">2021-06-30T18:49:34Z</dcterms:created>
  <dcterms:modified xsi:type="dcterms:W3CDTF">2022-11-07T17:27:02Z</dcterms:modified>
</cp:coreProperties>
</file>