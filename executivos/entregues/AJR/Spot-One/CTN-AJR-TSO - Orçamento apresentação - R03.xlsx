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/>
  <mc:AlternateContent xmlns:mc="http://schemas.openxmlformats.org/markup-compatibility/2006">
    <mc:Choice Requires="x15">
      <x15ac:absPath xmlns:x15ac="http://schemas.microsoft.com/office/spreadsheetml/2010/11/ac" url="G:\Drives compartilhados\Methodo Engenharia - Projetos\2. Propostas Fechadas\AJR - 062021\The Spot One\03. Custo\03.5 Custo - Determinação do orçamento\"/>
    </mc:Choice>
  </mc:AlternateContent>
  <xr:revisionPtr revIDLastSave="0" documentId="13_ncr:1_{F76BDCBB-EAA2-4FB7-94D7-AD9F17D49C09}" xr6:coauthVersionLast="46" xr6:coauthVersionMax="46" xr10:uidLastSave="{00000000-0000-0000-0000-000000000000}"/>
  <bookViews>
    <workbookView xWindow="20370" yWindow="-120" windowWidth="21840" windowHeight="13140" activeTab="1" xr2:uid="{74FA5241-4122-43D7-ACC8-E6B9B81BE9BF}"/>
  </bookViews>
  <sheets>
    <sheet name="Gerenciamento executivo " sheetId="3" r:id="rId1"/>
    <sheet name="Executivo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3" l="1"/>
  <c r="F17" i="3"/>
  <c r="B7" i="1"/>
  <c r="F14" i="3"/>
  <c r="B16" i="3" l="1"/>
  <c r="B17" i="3"/>
  <c r="E16" i="1"/>
  <c r="B15" i="3" l="1"/>
  <c r="B13" i="3"/>
  <c r="B10" i="3"/>
  <c r="F5" i="3"/>
  <c r="B4" i="3" l="1"/>
  <c r="B5" i="3" l="1"/>
  <c r="F6" i="3" l="1"/>
  <c r="B6" i="3"/>
  <c r="B7" i="3" l="1"/>
  <c r="B8" i="3"/>
  <c r="B9" i="3"/>
  <c r="B11" i="3"/>
  <c r="B12" i="3"/>
  <c r="B14" i="3"/>
  <c r="B3" i="3"/>
  <c r="H11" i="1"/>
  <c r="D2" i="1" s="1"/>
  <c r="E3" i="1"/>
  <c r="F12" i="3"/>
  <c r="E4" i="1"/>
  <c r="E11" i="1"/>
  <c r="E12" i="1"/>
  <c r="E14" i="1"/>
  <c r="E10" i="1"/>
  <c r="E8" i="1"/>
  <c r="E2" i="1"/>
  <c r="F15" i="3"/>
  <c r="D5" i="1" l="1"/>
  <c r="C5" i="3" s="1"/>
  <c r="D16" i="1"/>
  <c r="C16" i="3" s="1"/>
  <c r="B18" i="3"/>
  <c r="D6" i="1"/>
  <c r="C6" i="3" s="1"/>
  <c r="D9" i="1"/>
  <c r="C9" i="3" s="1"/>
  <c r="D15" i="1"/>
  <c r="C15" i="3" s="1"/>
  <c r="D11" i="1"/>
  <c r="D7" i="1"/>
  <c r="C7" i="3" s="1"/>
  <c r="E6" i="1"/>
  <c r="E17" i="1"/>
  <c r="D12" i="1"/>
  <c r="C12" i="3" s="1"/>
  <c r="E9" i="1"/>
  <c r="D13" i="1"/>
  <c r="C13" i="3" s="1"/>
  <c r="E13" i="1"/>
  <c r="E5" i="1"/>
  <c r="D4" i="1"/>
  <c r="C4" i="3" s="1"/>
  <c r="D14" i="1"/>
  <c r="C14" i="3" s="1"/>
  <c r="D10" i="1"/>
  <c r="C10" i="3" s="1"/>
  <c r="D8" i="1"/>
  <c r="C8" i="3" s="1"/>
  <c r="D3" i="1"/>
  <c r="C3" i="3" s="1"/>
  <c r="C11" i="3" l="1"/>
  <c r="E15" i="1"/>
  <c r="E7" i="1"/>
  <c r="D17" i="1"/>
  <c r="D18" i="1" s="1"/>
  <c r="E18" i="1" l="1"/>
  <c r="D19" i="1"/>
  <c r="C17" i="3"/>
  <c r="C18" i="3" s="1"/>
  <c r="B18" i="1" l="1"/>
  <c r="C2" i="1" l="1"/>
  <c r="C16" i="1"/>
  <c r="C15" i="1"/>
  <c r="C4" i="1"/>
  <c r="C11" i="1"/>
  <c r="C14" i="1"/>
  <c r="C5" i="1"/>
  <c r="C3" i="1"/>
  <c r="C6" i="1"/>
  <c r="C12" i="1"/>
  <c r="C17" i="1"/>
  <c r="C7" i="1"/>
  <c r="C10" i="1"/>
  <c r="C13" i="1"/>
  <c r="C9" i="1"/>
  <c r="C8" i="1"/>
  <c r="C18" i="1" l="1"/>
</calcChain>
</file>

<file path=xl/sharedStrings.xml><?xml version="1.0" encoding="utf-8"?>
<sst xmlns="http://schemas.openxmlformats.org/spreadsheetml/2006/main" count="70" uniqueCount="45">
  <si>
    <t>ETAPA</t>
  </si>
  <si>
    <t>GERENCIAMENTO TÉCNICO E ADMINISTRATIVO</t>
  </si>
  <si>
    <t>MOVIMENTAÇÃO DE TERRA</t>
  </si>
  <si>
    <t>INFRAESTRUTURA</t>
  </si>
  <si>
    <t>SUPRAESTRUTURA</t>
  </si>
  <si>
    <t>ALVENARIA</t>
  </si>
  <si>
    <t>REVESTIMENTOS E ACABAMENTOS INTERNOS EM TETO</t>
  </si>
  <si>
    <t>PINTURA INTERNA</t>
  </si>
  <si>
    <t>TOTAL</t>
  </si>
  <si>
    <t>VALOR ORÇADO</t>
  </si>
  <si>
    <t>%</t>
  </si>
  <si>
    <t>VALOR / m²</t>
  </si>
  <si>
    <t>VALOR / UNIDADE</t>
  </si>
  <si>
    <t>OBRA SIMILAR</t>
  </si>
  <si>
    <t>REVESTIMENTOS INTERNOS EM PISO E PAREDE</t>
  </si>
  <si>
    <t>ACABAMENTOS EM PISO E PAREDE</t>
  </si>
  <si>
    <t>REVESTIMENTOS E ACABAMENTOS DE FACHADA</t>
  </si>
  <si>
    <t>SERVIÇOS COMPLEMENTARES</t>
  </si>
  <si>
    <t>SISTEMAS E EQUIPAMENTOS ESPECIAIS</t>
  </si>
  <si>
    <t>ESQUADRIAS, VIDROS E FERRAGENS</t>
  </si>
  <si>
    <t>4,50 - 7,50</t>
  </si>
  <si>
    <t>140,00 - 160,00</t>
  </si>
  <si>
    <t>60,00 - 70,00</t>
  </si>
  <si>
    <t>IMPERMEABILIZAÇÃO</t>
  </si>
  <si>
    <t>Valor 1</t>
  </si>
  <si>
    <t>Valor 2</t>
  </si>
  <si>
    <t>INSTALAÇÕES ELÉTRICAS, HIDRÁULICAS, GLP E PREVENTIVAS</t>
  </si>
  <si>
    <t>CUBs</t>
  </si>
  <si>
    <t>100,00 - 150,00</t>
  </si>
  <si>
    <t>180,00 - 240,00</t>
  </si>
  <si>
    <t>VALOR TOTAL</t>
  </si>
  <si>
    <t>THE SPOT ONE</t>
  </si>
  <si>
    <t xml:space="preserve">  95,00 - 120,00</t>
  </si>
  <si>
    <t>580,00 - 640,00</t>
  </si>
  <si>
    <t>40,00 - 60,00</t>
  </si>
  <si>
    <t>80,00 - 120,00</t>
  </si>
  <si>
    <t>COBERTURA</t>
  </si>
  <si>
    <t>320,00 - 550,00</t>
  </si>
  <si>
    <t>CUB</t>
  </si>
  <si>
    <t>330,00 - 380,00</t>
  </si>
  <si>
    <t>180,00 - 220,00</t>
  </si>
  <si>
    <t>95,00 - 115,00</t>
  </si>
  <si>
    <t>20,00 - 40,00</t>
  </si>
  <si>
    <t>180,00 - 350,00</t>
  </si>
  <si>
    <t>2.404,50,00 - 3.222,50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</si>
</sst>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1"/>
      <color theme="0"/>
      <name val="Roboto"/>
    </font>
    <font>
      <sz val="11"/>
      <color theme="1"/>
      <name val="Roboto"/>
    </font>
    <font>
      <sz val="11"/>
      <name val="Roboto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Poppins"/>
    </font>
    <font>
      <sz val="11"/>
      <name val="Poppins"/>
    </font>
    <font>
      <sz val="11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3"/>
        <bgColor indexed="64"/>
      </patternFill>
    </fill>
  </fills>
  <borders count="2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hair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1" tint="0.34998626667073579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43" fontId="4" fillId="3" borderId="4" xfId="1" applyFont="1" applyFill="1" applyBorder="1"/>
    <xf numFmtId="10" fontId="4" fillId="3" borderId="4" xfId="2" applyNumberFormat="1" applyFont="1" applyFill="1" applyBorder="1" applyAlignment="1">
      <alignment horizontal="center"/>
    </xf>
    <xf numFmtId="43" fontId="4" fillId="3" borderId="4" xfId="0" applyNumberFormat="1" applyFont="1" applyFill="1" applyBorder="1"/>
    <xf numFmtId="43" fontId="4" fillId="3" borderId="2" xfId="1" applyFont="1" applyFill="1" applyBorder="1"/>
    <xf numFmtId="10" fontId="4" fillId="3" borderId="2" xfId="2" applyNumberFormat="1" applyFont="1" applyFill="1" applyBorder="1" applyAlignment="1">
      <alignment horizontal="center"/>
    </xf>
    <xf numFmtId="0" fontId="5" fillId="3" borderId="11" xfId="0" applyFont="1" applyFill="1" applyBorder="1"/>
    <xf numFmtId="43" fontId="4" fillId="3" borderId="12" xfId="0" applyNumberFormat="1" applyFont="1" applyFill="1" applyBorder="1"/>
    <xf numFmtId="0" fontId="5" fillId="3" borderId="14" xfId="0" applyFont="1" applyFill="1" applyBorder="1"/>
    <xf numFmtId="43" fontId="4" fillId="3" borderId="13" xfId="1" applyFont="1" applyFill="1" applyBorder="1"/>
    <xf numFmtId="0" fontId="5" fillId="2" borderId="14" xfId="0" applyFont="1" applyFill="1" applyBorder="1"/>
    <xf numFmtId="43" fontId="2" fillId="0" borderId="0" xfId="0" applyNumberFormat="1" applyFont="1"/>
    <xf numFmtId="43" fontId="0" fillId="0" borderId="0" xfId="1" applyFont="1"/>
    <xf numFmtId="0" fontId="5" fillId="0" borderId="14" xfId="0" applyFont="1" applyBorder="1"/>
    <xf numFmtId="0" fontId="5" fillId="2" borderId="0" xfId="0" applyFont="1" applyFill="1" applyBorder="1"/>
    <xf numFmtId="43" fontId="2" fillId="0" borderId="0" xfId="1" applyFont="1"/>
    <xf numFmtId="0" fontId="9" fillId="3" borderId="14" xfId="0" applyFont="1" applyFill="1" applyBorder="1"/>
    <xf numFmtId="43" fontId="10" fillId="3" borderId="2" xfId="1" applyFont="1" applyFill="1" applyBorder="1" applyAlignment="1">
      <alignment horizontal="center"/>
    </xf>
    <xf numFmtId="43" fontId="10" fillId="3" borderId="13" xfId="1" applyFont="1" applyFill="1" applyBorder="1" applyAlignment="1">
      <alignment horizontal="center"/>
    </xf>
    <xf numFmtId="0" fontId="9" fillId="4" borderId="14" xfId="0" applyFont="1" applyFill="1" applyBorder="1"/>
    <xf numFmtId="43" fontId="10" fillId="4" borderId="2" xfId="1" applyFont="1" applyFill="1" applyBorder="1" applyAlignment="1">
      <alignment horizontal="center"/>
    </xf>
    <xf numFmtId="43" fontId="10" fillId="4" borderId="13" xfId="1" applyFont="1" applyFill="1" applyBorder="1" applyAlignment="1">
      <alignment horizontal="center"/>
    </xf>
    <xf numFmtId="0" fontId="8" fillId="5" borderId="17" xfId="0" applyFont="1" applyFill="1" applyBorder="1" applyAlignment="1">
      <alignment horizontal="right"/>
    </xf>
    <xf numFmtId="43" fontId="8" fillId="5" borderId="18" xfId="1" applyFont="1" applyFill="1" applyBorder="1" applyAlignment="1">
      <alignment horizontal="right"/>
    </xf>
    <xf numFmtId="43" fontId="8" fillId="5" borderId="18" xfId="0" applyNumberFormat="1" applyFont="1" applyFill="1" applyBorder="1" applyAlignment="1">
      <alignment horizontal="right"/>
    </xf>
    <xf numFmtId="43" fontId="8" fillId="5" borderId="19" xfId="0" applyNumberFormat="1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 vertical="center"/>
    </xf>
    <xf numFmtId="43" fontId="8" fillId="5" borderId="25" xfId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right"/>
    </xf>
    <xf numFmtId="43" fontId="3" fillId="5" borderId="3" xfId="0" applyNumberFormat="1" applyFont="1" applyFill="1" applyBorder="1" applyAlignment="1">
      <alignment horizontal="right"/>
    </xf>
    <xf numFmtId="10" fontId="3" fillId="5" borderId="3" xfId="0" applyNumberFormat="1" applyFont="1" applyFill="1" applyBorder="1" applyAlignment="1">
      <alignment horizontal="center"/>
    </xf>
    <xf numFmtId="43" fontId="3" fillId="5" borderId="16" xfId="0" applyNumberFormat="1" applyFont="1" applyFill="1" applyBorder="1" applyAlignment="1">
      <alignment horizontal="right"/>
    </xf>
    <xf numFmtId="0" fontId="3" fillId="5" borderId="17" xfId="0" applyFont="1" applyFill="1" applyBorder="1" applyAlignment="1">
      <alignment horizontal="right"/>
    </xf>
    <xf numFmtId="43" fontId="3" fillId="5" borderId="18" xfId="1" applyFont="1" applyFill="1" applyBorder="1" applyAlignment="1">
      <alignment horizontal="right"/>
    </xf>
    <xf numFmtId="17" fontId="3" fillId="5" borderId="18" xfId="0" applyNumberFormat="1" applyFont="1" applyFill="1" applyBorder="1" applyAlignment="1">
      <alignment horizontal="center"/>
    </xf>
    <xf numFmtId="43" fontId="3" fillId="5" borderId="27" xfId="1" applyFont="1" applyFill="1" applyBorder="1" applyAlignment="1">
      <alignment horizontal="right"/>
    </xf>
    <xf numFmtId="0" fontId="3" fillId="5" borderId="28" xfId="0" applyFont="1" applyFill="1" applyBorder="1" applyAlignment="1">
      <alignment horizontal="left"/>
    </xf>
    <xf numFmtId="0" fontId="5" fillId="4" borderId="9" xfId="0" applyFont="1" applyFill="1" applyBorder="1"/>
    <xf numFmtId="43" fontId="4" fillId="4" borderId="1" xfId="1" applyFont="1" applyFill="1" applyBorder="1"/>
    <xf numFmtId="10" fontId="4" fillId="4" borderId="1" xfId="2" applyNumberFormat="1" applyFont="1" applyFill="1" applyBorder="1" applyAlignment="1">
      <alignment horizontal="center"/>
    </xf>
    <xf numFmtId="43" fontId="4" fillId="4" borderId="1" xfId="0" applyNumberFormat="1" applyFont="1" applyFill="1" applyBorder="1"/>
    <xf numFmtId="43" fontId="4" fillId="4" borderId="10" xfId="0" applyNumberFormat="1" applyFont="1" applyFill="1" applyBorder="1"/>
    <xf numFmtId="0" fontId="5" fillId="4" borderId="11" xfId="0" applyFont="1" applyFill="1" applyBorder="1"/>
    <xf numFmtId="43" fontId="4" fillId="4" borderId="2" xfId="1" applyFont="1" applyFill="1" applyBorder="1"/>
    <xf numFmtId="10" fontId="4" fillId="4" borderId="2" xfId="2" applyNumberFormat="1" applyFont="1" applyFill="1" applyBorder="1" applyAlignment="1">
      <alignment horizontal="center"/>
    </xf>
    <xf numFmtId="43" fontId="4" fillId="4" borderId="13" xfId="1" applyFont="1" applyFill="1" applyBorder="1"/>
    <xf numFmtId="0" fontId="8" fillId="5" borderId="26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</cellXfs>
  <cellStyles count="9">
    <cellStyle name="Comma" xfId="7" xr:uid="{09C27C8E-0D32-427F-899A-8FEA664666EA}"/>
    <cellStyle name="Comma [0]" xfId="8" xr:uid="{F43EEAEB-165C-4A40-9084-622C68783061}"/>
    <cellStyle name="Currency" xfId="5" xr:uid="{2358183F-0B44-4E8F-9A33-AEEF31134120}"/>
    <cellStyle name="Currency [0]" xfId="6" xr:uid="{F2F69FA1-1B9B-40A2-83E6-AE8CBBD7664C}"/>
    <cellStyle name="Normal" xfId="0" builtinId="0"/>
    <cellStyle name="Normal 2" xfId="3" xr:uid="{56D7703E-00BD-482E-9B3D-9B93CF83B183}"/>
    <cellStyle name="Percent" xfId="4" xr:uid="{1BED9A89-3530-4835-B7FB-A93615F26D08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283549"/>
      <color rgb="FFBCBDC1"/>
      <color rgb="FF808183"/>
      <color rgb="FF211F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78142198413731"/>
          <c:y val="0.11652733592726389"/>
          <c:w val="0.91871084921724233"/>
          <c:h val="0.417098021740024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'Gerenciamento executivo '!$E$2</c:f>
              <c:strCache>
                <c:ptCount val="1"/>
                <c:pt idx="0">
                  <c:v>Valor 1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'Gerenciamento executivo '!$A$3:$A$17</c:f>
              <c:strCache>
                <c:ptCount val="15"/>
                <c:pt idx="0">
                  <c:v>MOVIMENTAÇÃO DE TERRA</c:v>
                </c:pt>
                <c:pt idx="1">
                  <c:v>INFRAESTRUTURA</c:v>
                </c:pt>
                <c:pt idx="2">
                  <c:v>SUPRAESTRUTURA</c:v>
                </c:pt>
                <c:pt idx="3">
                  <c:v>ALVENARIA</c:v>
                </c:pt>
                <c:pt idx="4">
                  <c:v>INSTALAÇÕES ELÉTRICAS, HIDRÁULICAS, GLP E PREVENTIVAS</c:v>
                </c:pt>
                <c:pt idx="5">
                  <c:v>SISTEMAS E EQUIPAMENTOS ESPECIAIS</c:v>
                </c:pt>
                <c:pt idx="6">
                  <c:v>IMPERMEABILIZAÇÃO</c:v>
                </c:pt>
                <c:pt idx="7">
                  <c:v>REVESTIMENTOS INTERNOS EM PISO E PAREDE</c:v>
                </c:pt>
                <c:pt idx="8">
                  <c:v>REVESTIMENTOS E ACABAMENTOS INTERNOS EM TETO</c:v>
                </c:pt>
                <c:pt idx="9">
                  <c:v>ACABAMENTOS EM PISO E PAREDE</c:v>
                </c:pt>
                <c:pt idx="10">
                  <c:v>PINTURA INTERNA</c:v>
                </c:pt>
                <c:pt idx="11">
                  <c:v>ESQUADRIAS, VIDROS E FERRAGENS</c:v>
                </c:pt>
                <c:pt idx="12">
                  <c:v>REVESTIMENTOS E ACABAMENTOS DE FACHADA</c:v>
                </c:pt>
                <c:pt idx="13">
                  <c:v>COBERTURA</c:v>
                </c:pt>
                <c:pt idx="14">
                  <c:v>SERVIÇOS COMPLEMENTARES</c:v>
                </c:pt>
              </c:strCache>
            </c:strRef>
          </c:cat>
          <c:val>
            <c:numRef>
              <c:f>'Gerenciamento executivo '!$E$3:$E$17</c:f>
              <c:numCache>
                <c:formatCode>General</c:formatCode>
                <c:ptCount val="15"/>
                <c:pt idx="0">
                  <c:v>4.5</c:v>
                </c:pt>
                <c:pt idx="1">
                  <c:v>100</c:v>
                </c:pt>
                <c:pt idx="2">
                  <c:v>580</c:v>
                </c:pt>
                <c:pt idx="3">
                  <c:v>95</c:v>
                </c:pt>
                <c:pt idx="4">
                  <c:v>330</c:v>
                </c:pt>
                <c:pt idx="5">
                  <c:v>180</c:v>
                </c:pt>
                <c:pt idx="6">
                  <c:v>40</c:v>
                </c:pt>
                <c:pt idx="7">
                  <c:v>140</c:v>
                </c:pt>
                <c:pt idx="8">
                  <c:v>60</c:v>
                </c:pt>
                <c:pt idx="9">
                  <c:v>180</c:v>
                </c:pt>
                <c:pt idx="10">
                  <c:v>95</c:v>
                </c:pt>
                <c:pt idx="11">
                  <c:v>320</c:v>
                </c:pt>
                <c:pt idx="12">
                  <c:v>80</c:v>
                </c:pt>
                <c:pt idx="13">
                  <c:v>20</c:v>
                </c:pt>
                <c:pt idx="1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2-4A4E-8021-9846F645B964}"/>
            </c:ext>
          </c:extLst>
        </c:ser>
        <c:ser>
          <c:idx val="1"/>
          <c:order val="1"/>
          <c:tx>
            <c:strRef>
              <c:f>'Gerenciamento executivo '!$F$2</c:f>
              <c:strCache>
                <c:ptCount val="1"/>
                <c:pt idx="0">
                  <c:v>Valor 2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2"/>
              </a:solidFill>
            </a:ln>
            <a:effectLst/>
          </c:spPr>
          <c:invertIfNegative val="0"/>
          <c:val>
            <c:numRef>
              <c:f>'Gerenciamento executivo '!$F$3:$F$17</c:f>
              <c:numCache>
                <c:formatCode>General</c:formatCode>
                <c:ptCount val="15"/>
                <c:pt idx="0">
                  <c:v>3</c:v>
                </c:pt>
                <c:pt idx="1">
                  <c:v>50</c:v>
                </c:pt>
                <c:pt idx="2">
                  <c:v>60</c:v>
                </c:pt>
                <c:pt idx="3">
                  <c:v>25</c:v>
                </c:pt>
                <c:pt idx="4">
                  <c:v>50</c:v>
                </c:pt>
                <c:pt idx="5">
                  <c:v>40</c:v>
                </c:pt>
                <c:pt idx="6">
                  <c:v>20</c:v>
                </c:pt>
                <c:pt idx="7">
                  <c:v>20</c:v>
                </c:pt>
                <c:pt idx="8">
                  <c:v>10</c:v>
                </c:pt>
                <c:pt idx="9">
                  <c:v>60</c:v>
                </c:pt>
                <c:pt idx="10">
                  <c:v>20</c:v>
                </c:pt>
                <c:pt idx="11">
                  <c:v>230</c:v>
                </c:pt>
                <c:pt idx="12">
                  <c:v>40</c:v>
                </c:pt>
                <c:pt idx="13">
                  <c:v>20</c:v>
                </c:pt>
                <c:pt idx="1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715216"/>
        <c:axId val="410715872"/>
      </c:barChart>
      <c:lineChart>
        <c:grouping val="standard"/>
        <c:varyColors val="0"/>
        <c:ser>
          <c:idx val="2"/>
          <c:order val="2"/>
          <c:tx>
            <c:strRef>
              <c:f>'Gerenciamento executivo '!$C$2</c:f>
              <c:strCache>
                <c:ptCount val="1"/>
                <c:pt idx="0">
                  <c:v>VALOR / m²</c:v>
                </c:pt>
              </c:strCache>
            </c:strRef>
          </c:tx>
          <c:spPr>
            <a:ln w="254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2"/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'Gerenciamento executivo '!$C$3:$C$17</c:f>
              <c:numCache>
                <c:formatCode>_(* #,##0.00_);_(* \(#,##0.00\);_(* "-"??_);_(@_)</c:formatCode>
                <c:ptCount val="15"/>
                <c:pt idx="0">
                  <c:v>14.523238961693474</c:v>
                </c:pt>
                <c:pt idx="1">
                  <c:v>153.66023150838771</c:v>
                </c:pt>
                <c:pt idx="2">
                  <c:v>680.73510589073828</c:v>
                </c:pt>
                <c:pt idx="3">
                  <c:v>168.1920239772036</c:v>
                </c:pt>
                <c:pt idx="4">
                  <c:v>444.08546855419655</c:v>
                </c:pt>
                <c:pt idx="5">
                  <c:v>239.05977501707838</c:v>
                </c:pt>
                <c:pt idx="6">
                  <c:v>60.174639242230249</c:v>
                </c:pt>
                <c:pt idx="7">
                  <c:v>129.45040621511799</c:v>
                </c:pt>
                <c:pt idx="8">
                  <c:v>70.620370329909889</c:v>
                </c:pt>
                <c:pt idx="9">
                  <c:v>243.37619845962101</c:v>
                </c:pt>
                <c:pt idx="10">
                  <c:v>114.5728344459156</c:v>
                </c:pt>
                <c:pt idx="11">
                  <c:v>444.02392379576258</c:v>
                </c:pt>
                <c:pt idx="12">
                  <c:v>118.04878805490132</c:v>
                </c:pt>
                <c:pt idx="13">
                  <c:v>48.552574912981648</c:v>
                </c:pt>
                <c:pt idx="14">
                  <c:v>415.36727838055799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2-4A4E-8021-9846F645B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715216"/>
        <c:axId val="410715872"/>
      </c:lineChart>
      <c:catAx>
        <c:axId val="41071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pt-BR"/>
          </a:p>
        </c:txPr>
        <c:crossAx val="410715872"/>
        <c:crosses val="autoZero"/>
        <c:auto val="1"/>
        <c:lblAlgn val="ctr"/>
        <c:lblOffset val="100"/>
        <c:noMultiLvlLbl val="0"/>
      </c:catAx>
      <c:valAx>
        <c:axId val="410715872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0715216"/>
        <c:crosses val="autoZero"/>
        <c:crossBetween val="between"/>
        <c:majorUnit val="5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r>
              <a:rPr lang="pt-BR" sz="1600" b="1"/>
              <a:t>REPRESENTAÇÃO</a:t>
            </a:r>
            <a:r>
              <a:rPr lang="pt-BR" sz="1600" b="1" baseline="0"/>
              <a:t> DE CUSTOS</a:t>
            </a:r>
            <a:r>
              <a:rPr lang="pt-BR" sz="1600" b="1"/>
              <a:t> POR ETAPA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Roboto" panose="02000000000000000000" pitchFamily="2" charset="0"/>
                    <a:ea typeface="Roboto" panose="02000000000000000000" pitchFamily="2" charset="0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Executivo!$A$2:$A$17</c:f>
              <c:strCache>
                <c:ptCount val="16"/>
                <c:pt idx="0">
                  <c:v>GERENCIAMENTO TÉCNICO E ADMINISTRATIVO</c:v>
                </c:pt>
                <c:pt idx="1">
                  <c:v>MOVIMENTAÇÃO DE TERRA</c:v>
                </c:pt>
                <c:pt idx="2">
                  <c:v>INFRAESTRUTURA</c:v>
                </c:pt>
                <c:pt idx="3">
                  <c:v>SUPRAESTRUTURA</c:v>
                </c:pt>
                <c:pt idx="4">
                  <c:v>ALVENARIA</c:v>
                </c:pt>
                <c:pt idx="5">
                  <c:v>INSTALAÇÕES ELÉTRICAS, HIDRÁULICAS, GLP E PREVENTIVAS</c:v>
                </c:pt>
                <c:pt idx="6">
                  <c:v>SISTEMAS E EQUIPAMENTOS ESPECIAIS</c:v>
                </c:pt>
                <c:pt idx="7">
                  <c:v>IMPERMEABILIZAÇÃO</c:v>
                </c:pt>
                <c:pt idx="8">
                  <c:v>REVESTIMENTOS INTERNOS EM PISO E PAREDE</c:v>
                </c:pt>
                <c:pt idx="9">
                  <c:v>REVESTIMENTOS E ACABAMENTOS INTERNOS EM TETO</c:v>
                </c:pt>
                <c:pt idx="10">
                  <c:v>ACABAMENTOS EM PISO E PAREDE</c:v>
                </c:pt>
                <c:pt idx="11">
                  <c:v>PINTURA INTERNA</c:v>
                </c:pt>
                <c:pt idx="12">
                  <c:v>ESQUADRIAS, VIDROS E FERRAGENS</c:v>
                </c:pt>
                <c:pt idx="13">
                  <c:v>REVESTIMENTOS E ACABAMENTOS DE FACHADA</c:v>
                </c:pt>
                <c:pt idx="14">
                  <c:v>COBERTURA</c:v>
                </c:pt>
                <c:pt idx="15">
                  <c:v>SERVIÇOS COMPLEMENTARES</c:v>
                </c:pt>
              </c:strCache>
            </c:strRef>
          </c:cat>
          <c:val>
            <c:numRef>
              <c:f>Executivo!$C$2:$C$17</c:f>
              <c:numCache>
                <c:formatCode>0.00%</c:formatCode>
                <c:ptCount val="16"/>
                <c:pt idx="0">
                  <c:v>7.8461000670411049E-2</c:v>
                </c:pt>
                <c:pt idx="1">
                  <c:v>4.0017819616156728E-3</c:v>
                </c:pt>
                <c:pt idx="2">
                  <c:v>4.2340055430462493E-2</c:v>
                </c:pt>
                <c:pt idx="3">
                  <c:v>0.18757203366117742</c:v>
                </c:pt>
                <c:pt idx="4">
                  <c:v>4.6344194254111577E-2</c:v>
                </c:pt>
                <c:pt idx="5">
                  <c:v>0.12236479907568816</c:v>
                </c:pt>
                <c:pt idx="6">
                  <c:v>6.587133200345649E-2</c:v>
                </c:pt>
                <c:pt idx="7">
                  <c:v>1.6580721869373458E-2</c:v>
                </c:pt>
                <c:pt idx="8">
                  <c:v>3.5669198990792877E-2</c:v>
                </c:pt>
                <c:pt idx="9">
                  <c:v>1.9458973639024858E-2</c:v>
                </c:pt>
                <c:pt idx="10">
                  <c:v>6.7060693792284881E-2</c:v>
                </c:pt>
                <c:pt idx="11">
                  <c:v>3.1569782979277046E-2</c:v>
                </c:pt>
                <c:pt idx="12">
                  <c:v>0.12234784082658254</c:v>
                </c:pt>
                <c:pt idx="13">
                  <c:v>3.2527558891974007E-2</c:v>
                </c:pt>
                <c:pt idx="14">
                  <c:v>1.3378339293957865E-2</c:v>
                </c:pt>
                <c:pt idx="15">
                  <c:v>0.11445169265980953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B-4A28-BE49-41975BBBE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79648639"/>
        <c:axId val="879640735"/>
      </c:barChart>
      <c:catAx>
        <c:axId val="879648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0735"/>
        <c:crosses val="autoZero"/>
        <c:auto val="1"/>
        <c:lblAlgn val="ctr"/>
        <c:lblOffset val="100"/>
        <c:noMultiLvlLbl val="0"/>
      </c:catAx>
      <c:valAx>
        <c:axId val="87964073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+mn-cs"/>
              </a:defRPr>
            </a:pPr>
            <a:endParaRPr lang="pt-BR"/>
          </a:p>
        </c:txPr>
        <c:crossAx val="87964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Roboto" panose="02000000000000000000" pitchFamily="2" charset="0"/>
          <a:ea typeface="Roboto" panose="02000000000000000000" pitchFamily="2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681316</xdr:colOff>
      <xdr:row>31</xdr:row>
      <xdr:rowOff>11206</xdr:rowOff>
    </xdr:from>
    <xdr:to>
      <xdr:col>5</xdr:col>
      <xdr:colOff>302559</xdr:colOff>
      <xdr:row>54</xdr:row>
      <xdr:rowOff>54908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C88E27-5B2B-429D-976F-09C836194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0.33656</cdr:x>
      <cdr:y>0.01707</cdr:y>
    </cdr:from>
    <cdr:to>
      <cdr:x>0.72478</cdr:x>
      <cdr:y>0.11386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980D77C-1B0D-4CE5-B30B-F92097686DA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47950" y="66675"/>
          <a:ext cx="3054361" cy="37798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34638</xdr:colOff>
      <xdr:row>20</xdr:row>
      <xdr:rowOff>57149</xdr:rowOff>
    </xdr:from>
    <xdr:to>
      <xdr:col>4</xdr:col>
      <xdr:colOff>952502</xdr:colOff>
      <xdr:row>47</xdr:row>
      <xdr:rowOff>43294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0556647-49F7-4684-8A8F-77AD7DB60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Cartesian">
      <a:dk1>
        <a:srgbClr val="121212"/>
      </a:dk1>
      <a:lt1>
        <a:srgbClr val="F5F5F5"/>
      </a:lt1>
      <a:dk2>
        <a:srgbClr val="255AE5"/>
      </a:dk2>
      <a:lt2>
        <a:srgbClr val="FE3400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7161E-1147-48E6-A075-87C4420014C4}">
  <dimension ref="A1:F18"/>
  <sheetViews>
    <sheetView zoomScale="85" zoomScaleNormal="85" workbookViewId="0">
      <selection activeCell="D18" sqref="A1:D18"/>
    </sheetView>
  </sheetViews>
  <sheetFormatPr defaultRowHeight="15" x14ac:dyDescent="0.25"/>
  <cols>
    <col min="1" max="1" width="61" customWidth="1"/>
    <col min="2" max="2" width="22.28515625" style="14" customWidth="1"/>
    <col min="3" max="3" width="16.85546875" customWidth="1"/>
    <col min="4" max="4" width="28.7109375" style="1" bestFit="1" customWidth="1"/>
  </cols>
  <sheetData>
    <row r="1" spans="1:6" ht="23.25" customHeight="1" x14ac:dyDescent="0.25">
      <c r="A1" s="55" t="s">
        <v>0</v>
      </c>
      <c r="B1" s="53" t="s">
        <v>31</v>
      </c>
      <c r="C1" s="54"/>
      <c r="D1" s="28" t="s">
        <v>13</v>
      </c>
    </row>
    <row r="2" spans="1:6" ht="20.25" customHeight="1" x14ac:dyDescent="0.25">
      <c r="A2" s="56"/>
      <c r="B2" s="29" t="s">
        <v>30</v>
      </c>
      <c r="C2" s="30" t="s">
        <v>11</v>
      </c>
      <c r="D2" s="31" t="s">
        <v>11</v>
      </c>
      <c r="E2" t="s">
        <v>24</v>
      </c>
      <c r="F2" t="s">
        <v>25</v>
      </c>
    </row>
    <row r="3" spans="1:6" ht="21.75" x14ac:dyDescent="0.6">
      <c r="A3" s="18" t="s">
        <v>2</v>
      </c>
      <c r="B3" s="19">
        <f>+Executivo!B3</f>
        <v>299123.96999999997</v>
      </c>
      <c r="C3" s="19">
        <f>+Executivo!D3</f>
        <v>14.523238961693474</v>
      </c>
      <c r="D3" s="20" t="s">
        <v>20</v>
      </c>
      <c r="E3">
        <v>4.5</v>
      </c>
      <c r="F3">
        <v>3</v>
      </c>
    </row>
    <row r="4" spans="1:6" ht="21.75" x14ac:dyDescent="0.6">
      <c r="A4" s="21" t="s">
        <v>3</v>
      </c>
      <c r="B4" s="22">
        <f>+Executivo!B4</f>
        <v>3164821.47</v>
      </c>
      <c r="C4" s="22">
        <f>+Executivo!D4</f>
        <v>153.66023150838771</v>
      </c>
      <c r="D4" s="23" t="s">
        <v>28</v>
      </c>
      <c r="E4">
        <v>100</v>
      </c>
      <c r="F4">
        <v>50</v>
      </c>
    </row>
    <row r="5" spans="1:6" ht="21.75" x14ac:dyDescent="0.6">
      <c r="A5" s="18" t="s">
        <v>4</v>
      </c>
      <c r="B5" s="19">
        <f>+Executivo!B5</f>
        <v>14020576.810000001</v>
      </c>
      <c r="C5" s="19">
        <f>+Executivo!D5</f>
        <v>680.73510589073828</v>
      </c>
      <c r="D5" s="20" t="s">
        <v>33</v>
      </c>
      <c r="E5">
        <v>580</v>
      </c>
      <c r="F5">
        <f>640-580</f>
        <v>60</v>
      </c>
    </row>
    <row r="6" spans="1:6" ht="21.75" x14ac:dyDescent="0.6">
      <c r="A6" s="21" t="s">
        <v>5</v>
      </c>
      <c r="B6" s="22">
        <f>+Executivo!B6</f>
        <v>3464121.61</v>
      </c>
      <c r="C6" s="22">
        <f>+Executivo!D6</f>
        <v>168.1920239772036</v>
      </c>
      <c r="D6" s="23" t="s">
        <v>32</v>
      </c>
      <c r="E6">
        <v>95</v>
      </c>
      <c r="F6">
        <f>120-95</f>
        <v>25</v>
      </c>
    </row>
    <row r="7" spans="1:6" ht="21.75" x14ac:dyDescent="0.6">
      <c r="A7" s="18" t="s">
        <v>26</v>
      </c>
      <c r="B7" s="19">
        <f>+Executivo!B7</f>
        <v>9146486.4499999993</v>
      </c>
      <c r="C7" s="19">
        <f>+Executivo!D7</f>
        <v>444.08546855419655</v>
      </c>
      <c r="D7" s="20" t="s">
        <v>39</v>
      </c>
      <c r="E7">
        <v>330</v>
      </c>
      <c r="F7">
        <v>50</v>
      </c>
    </row>
    <row r="8" spans="1:6" ht="21.75" x14ac:dyDescent="0.6">
      <c r="A8" s="21" t="s">
        <v>18</v>
      </c>
      <c r="B8" s="22">
        <f>+Executivo!B8</f>
        <v>4923730.1100000003</v>
      </c>
      <c r="C8" s="22">
        <f>+Executivo!D8</f>
        <v>239.05977501707838</v>
      </c>
      <c r="D8" s="23" t="s">
        <v>40</v>
      </c>
      <c r="E8">
        <v>180</v>
      </c>
      <c r="F8">
        <v>40</v>
      </c>
    </row>
    <row r="9" spans="1:6" ht="21.75" x14ac:dyDescent="0.6">
      <c r="A9" s="18" t="s">
        <v>23</v>
      </c>
      <c r="B9" s="19">
        <f>+Executivo!B9</f>
        <v>1239370.71</v>
      </c>
      <c r="C9" s="19">
        <f>+Executivo!D9</f>
        <v>60.174639242230249</v>
      </c>
      <c r="D9" s="20" t="s">
        <v>34</v>
      </c>
      <c r="E9">
        <v>40</v>
      </c>
      <c r="F9">
        <v>20</v>
      </c>
    </row>
    <row r="10" spans="1:6" ht="21.75" x14ac:dyDescent="0.6">
      <c r="A10" s="21" t="s">
        <v>14</v>
      </c>
      <c r="B10" s="22">
        <f>+Executivo!B10</f>
        <v>2666190.34</v>
      </c>
      <c r="C10" s="22">
        <f>+Executivo!D10</f>
        <v>129.45040621511799</v>
      </c>
      <c r="D10" s="23" t="s">
        <v>21</v>
      </c>
      <c r="E10">
        <v>140</v>
      </c>
      <c r="F10">
        <v>20</v>
      </c>
    </row>
    <row r="11" spans="1:6" ht="21.75" x14ac:dyDescent="0.6">
      <c r="A11" s="18" t="s">
        <v>6</v>
      </c>
      <c r="B11" s="19">
        <f>+Executivo!B11</f>
        <v>1454513.39</v>
      </c>
      <c r="C11" s="19">
        <f>+Executivo!D11</f>
        <v>70.620370329909889</v>
      </c>
      <c r="D11" s="20" t="s">
        <v>22</v>
      </c>
      <c r="E11">
        <v>60</v>
      </c>
      <c r="F11">
        <v>10</v>
      </c>
    </row>
    <row r="12" spans="1:6" ht="21.75" x14ac:dyDescent="0.6">
      <c r="A12" s="21" t="s">
        <v>15</v>
      </c>
      <c r="B12" s="22">
        <f>+Executivo!B12</f>
        <v>5012632.16</v>
      </c>
      <c r="C12" s="22">
        <f>+Executivo!D12</f>
        <v>243.37619845962101</v>
      </c>
      <c r="D12" s="23" t="s">
        <v>29</v>
      </c>
      <c r="E12">
        <v>180</v>
      </c>
      <c r="F12">
        <f>240-180</f>
        <v>60</v>
      </c>
    </row>
    <row r="13" spans="1:6" ht="21.75" x14ac:dyDescent="0.6">
      <c r="A13" s="18" t="s">
        <v>7</v>
      </c>
      <c r="B13" s="19">
        <f>+Executivo!B13</f>
        <v>2359768.4500000002</v>
      </c>
      <c r="C13" s="19">
        <f>+Executivo!D13</f>
        <v>114.5728344459156</v>
      </c>
      <c r="D13" s="20" t="s">
        <v>41</v>
      </c>
      <c r="E13">
        <v>95</v>
      </c>
      <c r="F13">
        <f>115-95</f>
        <v>20</v>
      </c>
    </row>
    <row r="14" spans="1:6" ht="21.75" x14ac:dyDescent="0.6">
      <c r="A14" s="21" t="s">
        <v>19</v>
      </c>
      <c r="B14" s="22">
        <f>+Executivo!B14</f>
        <v>9145218.8599999994</v>
      </c>
      <c r="C14" s="22">
        <f>+Executivo!D14</f>
        <v>444.02392379576258</v>
      </c>
      <c r="D14" s="23" t="s">
        <v>37</v>
      </c>
      <c r="E14">
        <v>320</v>
      </c>
      <c r="F14">
        <f>550-320</f>
        <v>230</v>
      </c>
    </row>
    <row r="15" spans="1:6" ht="21.75" x14ac:dyDescent="0.6">
      <c r="A15" s="18" t="s">
        <v>16</v>
      </c>
      <c r="B15" s="19">
        <f>+Executivo!B15</f>
        <v>2431359.9900000002</v>
      </c>
      <c r="C15" s="19">
        <f>+Executivo!D15</f>
        <v>118.04878805490132</v>
      </c>
      <c r="D15" s="20" t="s">
        <v>35</v>
      </c>
      <c r="E15">
        <v>80</v>
      </c>
      <c r="F15">
        <f>120-E15</f>
        <v>40</v>
      </c>
    </row>
    <row r="16" spans="1:6" ht="21.75" x14ac:dyDescent="0.6">
      <c r="A16" s="21" t="s">
        <v>36</v>
      </c>
      <c r="B16" s="22">
        <f>+Executivo!B16</f>
        <v>1000000</v>
      </c>
      <c r="C16" s="22">
        <f>+Executivo!D16</f>
        <v>48.552574912981648</v>
      </c>
      <c r="D16" s="23" t="s">
        <v>42</v>
      </c>
      <c r="E16">
        <v>20</v>
      </c>
      <c r="F16">
        <v>20</v>
      </c>
    </row>
    <row r="17" spans="1:6" ht="21.75" x14ac:dyDescent="0.6">
      <c r="A17" s="18" t="s">
        <v>17</v>
      </c>
      <c r="B17" s="19">
        <f>+Executivo!B17</f>
        <v>8555000</v>
      </c>
      <c r="C17" s="19">
        <f>+Executivo!D17</f>
        <v>415.36727838055799</v>
      </c>
      <c r="D17" s="20" t="s">
        <v>43</v>
      </c>
      <c r="E17">
        <v>180</v>
      </c>
      <c r="F17">
        <f>350-180</f>
        <v>170</v>
      </c>
    </row>
    <row r="18" spans="1:6" ht="22.5" thickBot="1" x14ac:dyDescent="0.65">
      <c r="A18" s="24" t="s">
        <v>8</v>
      </c>
      <c r="B18" s="25">
        <f>SUM(B3:B17)</f>
        <v>68882914.319999993</v>
      </c>
      <c r="C18" s="26">
        <f>SUM(C3:C17)</f>
        <v>3344.4428577462959</v>
      </c>
      <c r="D18" s="27" t="s">
        <v>44</v>
      </c>
    </row>
  </sheetData>
  <mergeCells count="2">
    <mergeCell ref="B1:C1"/>
    <mergeCell ref="A1:A2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B369-8875-44D4-8B29-D0F4D41895F9}">
  <dimension ref="A1:K21"/>
  <sheetViews>
    <sheetView showGridLines="0" tabSelected="1" zoomScale="80" zoomScaleNormal="80" workbookViewId="0">
      <selection activeCell="E19" sqref="A1:E19"/>
    </sheetView>
  </sheetViews>
  <sheetFormatPr defaultColWidth="9.140625" defaultRowHeight="12.75" x14ac:dyDescent="0.2"/>
  <cols>
    <col min="1" max="1" width="64.5703125" style="2" bestFit="1" customWidth="1"/>
    <col min="2" max="2" width="17.85546875" style="2" bestFit="1" customWidth="1"/>
    <col min="3" max="3" width="14.28515625" style="2" customWidth="1"/>
    <col min="4" max="4" width="15.140625" style="2" customWidth="1"/>
    <col min="5" max="5" width="20.7109375" style="2" customWidth="1"/>
    <col min="6" max="6" width="9.140625" style="2"/>
    <col min="7" max="9" width="9.140625" style="2" hidden="1" customWidth="1"/>
    <col min="10" max="11" width="13.85546875" style="17" bestFit="1" customWidth="1"/>
    <col min="12" max="16384" width="9.140625" style="2"/>
  </cols>
  <sheetData>
    <row r="1" spans="1:9" ht="24" customHeight="1" x14ac:dyDescent="0.2">
      <c r="A1" s="32" t="s">
        <v>0</v>
      </c>
      <c r="B1" s="33" t="s">
        <v>9</v>
      </c>
      <c r="C1" s="33" t="s">
        <v>10</v>
      </c>
      <c r="D1" s="33" t="s">
        <v>11</v>
      </c>
      <c r="E1" s="34" t="s">
        <v>12</v>
      </c>
    </row>
    <row r="2" spans="1:9" ht="18" customHeight="1" x14ac:dyDescent="0.25">
      <c r="A2" s="44" t="s">
        <v>1</v>
      </c>
      <c r="B2" s="45">
        <v>5864778.7999999998</v>
      </c>
      <c r="C2" s="46">
        <f t="shared" ref="C2:C17" si="0">B2/B$18</f>
        <v>7.8461000670411049E-2</v>
      </c>
      <c r="D2" s="47">
        <f t="shared" ref="D2:D17" si="1">B2/H$11</f>
        <v>284.75011203506659</v>
      </c>
      <c r="E2" s="48">
        <f>B2/H$7</f>
        <v>51445.42807017544</v>
      </c>
    </row>
    <row r="3" spans="1:9" ht="18" customHeight="1" x14ac:dyDescent="0.25">
      <c r="A3" s="8" t="s">
        <v>2</v>
      </c>
      <c r="B3" s="3">
        <v>299123.96999999997</v>
      </c>
      <c r="C3" s="4">
        <f t="shared" si="0"/>
        <v>4.0017819616156728E-3</v>
      </c>
      <c r="D3" s="5">
        <f t="shared" si="1"/>
        <v>14.523238961693474</v>
      </c>
      <c r="E3" s="9">
        <f>B3/H$7</f>
        <v>2623.8944736842104</v>
      </c>
    </row>
    <row r="4" spans="1:9" ht="18" customHeight="1" x14ac:dyDescent="0.25">
      <c r="A4" s="49" t="s">
        <v>3</v>
      </c>
      <c r="B4" s="50">
        <v>3164821.47</v>
      </c>
      <c r="C4" s="51">
        <f t="shared" si="0"/>
        <v>4.2340055430462493E-2</v>
      </c>
      <c r="D4" s="50">
        <f t="shared" si="1"/>
        <v>153.66023150838771</v>
      </c>
      <c r="E4" s="52">
        <f t="shared" ref="E4:E17" si="2">B4/H$7</f>
        <v>27761.591842105267</v>
      </c>
    </row>
    <row r="5" spans="1:9" ht="18" customHeight="1" x14ac:dyDescent="0.25">
      <c r="A5" s="10" t="s">
        <v>4</v>
      </c>
      <c r="B5" s="6">
        <v>14020576.810000001</v>
      </c>
      <c r="C5" s="7">
        <f t="shared" si="0"/>
        <v>0.18757203366117742</v>
      </c>
      <c r="D5" s="6">
        <f t="shared" si="1"/>
        <v>680.73510589073828</v>
      </c>
      <c r="E5" s="11">
        <f t="shared" si="2"/>
        <v>122987.51587719299</v>
      </c>
    </row>
    <row r="6" spans="1:9" ht="18" customHeight="1" x14ac:dyDescent="0.25">
      <c r="A6" s="49" t="s">
        <v>5</v>
      </c>
      <c r="B6" s="50">
        <v>3464121.61</v>
      </c>
      <c r="C6" s="51">
        <f t="shared" si="0"/>
        <v>4.6344194254111577E-2</v>
      </c>
      <c r="D6" s="50">
        <f t="shared" si="1"/>
        <v>168.1920239772036</v>
      </c>
      <c r="E6" s="52">
        <f t="shared" si="2"/>
        <v>30387.031666666666</v>
      </c>
    </row>
    <row r="7" spans="1:9" ht="18" customHeight="1" x14ac:dyDescent="0.25">
      <c r="A7" s="10" t="s">
        <v>26</v>
      </c>
      <c r="B7" s="6">
        <f>4922043.52+3589970.93+634472</f>
        <v>9146486.4499999993</v>
      </c>
      <c r="C7" s="7">
        <f t="shared" si="0"/>
        <v>0.12236479907568816</v>
      </c>
      <c r="D7" s="6">
        <f t="shared" si="1"/>
        <v>444.08546855419655</v>
      </c>
      <c r="E7" s="11">
        <f t="shared" si="2"/>
        <v>80232.337280701744</v>
      </c>
      <c r="H7" s="2">
        <v>114</v>
      </c>
    </row>
    <row r="8" spans="1:9" ht="18" customHeight="1" x14ac:dyDescent="0.25">
      <c r="A8" s="49" t="s">
        <v>18</v>
      </c>
      <c r="B8" s="50">
        <v>4923730.1100000003</v>
      </c>
      <c r="C8" s="51">
        <f t="shared" si="0"/>
        <v>6.587133200345649E-2</v>
      </c>
      <c r="D8" s="50">
        <f t="shared" si="1"/>
        <v>239.05977501707838</v>
      </c>
      <c r="E8" s="52">
        <f>B8/H$7</f>
        <v>43190.615000000005</v>
      </c>
    </row>
    <row r="9" spans="1:9" ht="18" customHeight="1" x14ac:dyDescent="0.25">
      <c r="A9" s="10" t="s">
        <v>23</v>
      </c>
      <c r="B9" s="6">
        <v>1239370.71</v>
      </c>
      <c r="C9" s="7">
        <f t="shared" si="0"/>
        <v>1.6580721869373458E-2</v>
      </c>
      <c r="D9" s="6">
        <f t="shared" si="1"/>
        <v>60.174639242230249</v>
      </c>
      <c r="E9" s="11">
        <f t="shared" si="2"/>
        <v>10871.672894736841</v>
      </c>
    </row>
    <row r="10" spans="1:9" ht="18" customHeight="1" x14ac:dyDescent="0.25">
      <c r="A10" s="49" t="s">
        <v>14</v>
      </c>
      <c r="B10" s="50">
        <v>2666190.34</v>
      </c>
      <c r="C10" s="51">
        <f t="shared" si="0"/>
        <v>3.5669198990792877E-2</v>
      </c>
      <c r="D10" s="50">
        <f t="shared" si="1"/>
        <v>129.45040621511799</v>
      </c>
      <c r="E10" s="52">
        <f t="shared" si="2"/>
        <v>23387.634561403509</v>
      </c>
      <c r="I10" s="12" t="s">
        <v>14</v>
      </c>
    </row>
    <row r="11" spans="1:9" ht="18" customHeight="1" x14ac:dyDescent="0.25">
      <c r="A11" s="10" t="s">
        <v>6</v>
      </c>
      <c r="B11" s="6">
        <v>1454513.39</v>
      </c>
      <c r="C11" s="7">
        <f t="shared" si="0"/>
        <v>1.9458973639024858E-2</v>
      </c>
      <c r="D11" s="6">
        <f t="shared" si="1"/>
        <v>70.620370329909889</v>
      </c>
      <c r="E11" s="11">
        <f t="shared" si="2"/>
        <v>12758.889385964911</v>
      </c>
      <c r="H11" s="2">
        <f>22366.14-1769.91</f>
        <v>20596.23</v>
      </c>
      <c r="I11" s="15" t="s">
        <v>6</v>
      </c>
    </row>
    <row r="12" spans="1:9" ht="18" customHeight="1" x14ac:dyDescent="0.25">
      <c r="A12" s="49" t="s">
        <v>15</v>
      </c>
      <c r="B12" s="50">
        <v>5012632.16</v>
      </c>
      <c r="C12" s="51">
        <f t="shared" si="0"/>
        <v>6.7060693792284881E-2</v>
      </c>
      <c r="D12" s="50">
        <f t="shared" si="1"/>
        <v>243.37619845962101</v>
      </c>
      <c r="E12" s="52">
        <f t="shared" si="2"/>
        <v>43970.457543859651</v>
      </c>
      <c r="I12" s="12" t="s">
        <v>15</v>
      </c>
    </row>
    <row r="13" spans="1:9" ht="18" customHeight="1" x14ac:dyDescent="0.25">
      <c r="A13" s="10" t="s">
        <v>7</v>
      </c>
      <c r="B13" s="6">
        <v>2359768.4500000002</v>
      </c>
      <c r="C13" s="7">
        <f t="shared" si="0"/>
        <v>3.1569782979277046E-2</v>
      </c>
      <c r="D13" s="6">
        <f t="shared" si="1"/>
        <v>114.5728344459156</v>
      </c>
      <c r="E13" s="11">
        <f t="shared" si="2"/>
        <v>20699.723245614037</v>
      </c>
      <c r="I13" s="15" t="s">
        <v>7</v>
      </c>
    </row>
    <row r="14" spans="1:9" ht="18" customHeight="1" x14ac:dyDescent="0.25">
      <c r="A14" s="49" t="s">
        <v>19</v>
      </c>
      <c r="B14" s="50">
        <v>9145218.8599999994</v>
      </c>
      <c r="C14" s="51">
        <f t="shared" si="0"/>
        <v>0.12234784082658254</v>
      </c>
      <c r="D14" s="50">
        <f t="shared" si="1"/>
        <v>444.02392379576258</v>
      </c>
      <c r="E14" s="52">
        <f t="shared" si="2"/>
        <v>80221.218070175441</v>
      </c>
      <c r="I14" s="12" t="s">
        <v>19</v>
      </c>
    </row>
    <row r="15" spans="1:9" ht="18" customHeight="1" x14ac:dyDescent="0.25">
      <c r="A15" s="10" t="s">
        <v>16</v>
      </c>
      <c r="B15" s="6">
        <v>2431359.9900000002</v>
      </c>
      <c r="C15" s="7">
        <f t="shared" si="0"/>
        <v>3.2527558891974007E-2</v>
      </c>
      <c r="D15" s="6">
        <f>B15/H$11</f>
        <v>118.04878805490132</v>
      </c>
      <c r="E15" s="11">
        <f>B15/H$7</f>
        <v>21327.719210526317</v>
      </c>
      <c r="I15" s="12" t="s">
        <v>16</v>
      </c>
    </row>
    <row r="16" spans="1:9" ht="18" customHeight="1" x14ac:dyDescent="0.25">
      <c r="A16" s="49" t="s">
        <v>36</v>
      </c>
      <c r="B16" s="50">
        <v>1000000</v>
      </c>
      <c r="C16" s="51">
        <f t="shared" si="0"/>
        <v>1.3378339293957865E-2</v>
      </c>
      <c r="D16" s="50">
        <f>B16/H$11</f>
        <v>48.552574912981648</v>
      </c>
      <c r="E16" s="52">
        <f>B16/H$7</f>
        <v>8771.9298245614027</v>
      </c>
      <c r="I16" s="16"/>
    </row>
    <row r="17" spans="1:5" ht="18" customHeight="1" x14ac:dyDescent="0.25">
      <c r="A17" s="10" t="s">
        <v>17</v>
      </c>
      <c r="B17" s="6">
        <v>8555000</v>
      </c>
      <c r="C17" s="7">
        <f t="shared" si="0"/>
        <v>0.11445169265980953</v>
      </c>
      <c r="D17" s="6">
        <f t="shared" si="1"/>
        <v>415.36727838055799</v>
      </c>
      <c r="E17" s="11">
        <f t="shared" si="2"/>
        <v>75043.859649122809</v>
      </c>
    </row>
    <row r="18" spans="1:5" ht="18" customHeight="1" x14ac:dyDescent="0.25">
      <c r="A18" s="35" t="s">
        <v>8</v>
      </c>
      <c r="B18" s="36">
        <f>SUM(B2:B17)</f>
        <v>74747693.120000005</v>
      </c>
      <c r="C18" s="37">
        <f>SUM(C2:C17)</f>
        <v>0.99999999999999978</v>
      </c>
      <c r="D18" s="36">
        <f>SUM(D2:D17)</f>
        <v>3629.192969781363</v>
      </c>
      <c r="E18" s="38">
        <f>SUM(E2:E17)</f>
        <v>655681.51859649119</v>
      </c>
    </row>
    <row r="19" spans="1:5" ht="18" customHeight="1" thickBot="1" x14ac:dyDescent="0.3">
      <c r="A19" s="39" t="s">
        <v>38</v>
      </c>
      <c r="B19" s="40">
        <v>2381.0500000000002</v>
      </c>
      <c r="C19" s="41">
        <v>44470</v>
      </c>
      <c r="D19" s="42">
        <f>+D18/B19</f>
        <v>1.5241985551674104</v>
      </c>
      <c r="E19" s="43" t="s">
        <v>27</v>
      </c>
    </row>
    <row r="21" spans="1:5" x14ac:dyDescent="0.2">
      <c r="B21" s="13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Gerenciamento executivo </vt:lpstr>
      <vt:lpstr>Executivo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Kélen</cp:lastModifiedBy>
  <dcterms:created xsi:type="dcterms:W3CDTF">2021-06-30T18:49:34Z</dcterms:created>
  <dcterms:modified xsi:type="dcterms:W3CDTF">2021-10-15T19:35:12Z</dcterms:modified>
</cp:coreProperties>
</file>