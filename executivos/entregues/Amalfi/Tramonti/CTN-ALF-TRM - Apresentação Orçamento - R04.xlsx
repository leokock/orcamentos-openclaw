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malfi Construções e Incorporações\Tramonti\04. Custo\03.5 Custo - Determinação do orçamento\Executivo\R04\"/>
    </mc:Choice>
  </mc:AlternateContent>
  <xr:revisionPtr revIDLastSave="0" documentId="13_ncr:1_{29C27C07-4A24-4AA6-9056-A5DB33C519BB}" xr6:coauthVersionLast="47" xr6:coauthVersionMax="47" xr10:uidLastSave="{00000000-0000-0000-0000-000000000000}"/>
  <bookViews>
    <workbookView xWindow="-23148" yWindow="-108" windowWidth="23256" windowHeight="12456" tabRatio="776" activeTab="1" xr2:uid="{00000000-000D-0000-FFFF-FFFF00000000}"/>
  </bookViews>
  <sheets>
    <sheet name="SEM IMPREVISTOS" sheetId="10" r:id="rId1"/>
    <sheet name="ORÇAMENTO_EXECUTIVO - IMPREVIST" sheetId="12" r:id="rId2"/>
    <sheet name="ANÁLISE_CUSTOS" sheetId="1" r:id="rId3"/>
    <sheet name="Versões R01" sheetId="20" r:id="rId4"/>
    <sheet name="GER_EXECUTIVO MEGA" sheetId="18" r:id="rId5"/>
    <sheet name="Versões" sheetId="15" r:id="rId6"/>
    <sheet name="GER_EXECUTIVO CART" sheetId="13" r:id="rId7"/>
    <sheet name="Amalfi" sheetId="11" r:id="rId8"/>
    <sheet name="Planilha1" sheetId="19" r:id="rId9"/>
    <sheet name="Versões (2)" sheetId="17" r:id="rId10"/>
    <sheet name="CÁLCULO_MÉDIAS" sheetId="5" r:id="rId11"/>
    <sheet name="AREAS PRIVATIVAS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9"/>
  <pivotCaches>
    <pivotCache cacheId="0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4" roundtripDataSignature="AMtx7mi6xe1SFltZWVqnyhpgiyWbNfDL2Q=="/>
    </ext>
  </extLst>
</workbook>
</file>

<file path=xl/calcChain.xml><?xml version="1.0" encoding="utf-8"?>
<calcChain xmlns="http://schemas.openxmlformats.org/spreadsheetml/2006/main">
  <c r="B72" i="10" l="1"/>
  <c r="B84" i="10"/>
  <c r="B66" i="10" l="1"/>
  <c r="B71" i="10"/>
  <c r="B79" i="10"/>
  <c r="B80" i="10"/>
  <c r="B81" i="10"/>
  <c r="B82" i="10"/>
  <c r="B83" i="10"/>
  <c r="B85" i="10"/>
  <c r="B49" i="10"/>
  <c r="B48" i="10"/>
  <c r="B70" i="10" l="1"/>
  <c r="B90" i="10" l="1"/>
  <c r="B73" i="10" l="1"/>
  <c r="B69" i="10" l="1"/>
  <c r="L12" i="11" l="1"/>
  <c r="O6" i="11"/>
  <c r="O5" i="11"/>
  <c r="O4" i="11"/>
  <c r="O3" i="11"/>
  <c r="G2" i="13"/>
  <c r="G2" i="18"/>
  <c r="H2" i="12"/>
  <c r="G5" i="20"/>
  <c r="G6" i="20"/>
  <c r="G18" i="20"/>
  <c r="F5" i="20"/>
  <c r="F6" i="20"/>
  <c r="F18" i="20"/>
  <c r="B19" i="20"/>
  <c r="C19" i="20" s="1"/>
  <c r="E18" i="20"/>
  <c r="B18" i="20"/>
  <c r="C18" i="20" s="1"/>
  <c r="B17" i="20"/>
  <c r="C17" i="20" s="1"/>
  <c r="B16" i="20"/>
  <c r="C16" i="20" s="1"/>
  <c r="B15" i="20"/>
  <c r="C15" i="20" s="1"/>
  <c r="B14" i="20"/>
  <c r="C14" i="20" s="1"/>
  <c r="B13" i="20"/>
  <c r="C13" i="20" s="1"/>
  <c r="B12" i="20"/>
  <c r="C12" i="20" s="1"/>
  <c r="B11" i="20"/>
  <c r="C11" i="20" s="1"/>
  <c r="B10" i="20"/>
  <c r="C10" i="20" s="1"/>
  <c r="B9" i="20"/>
  <c r="C9" i="20" s="1"/>
  <c r="B8" i="20"/>
  <c r="C8" i="20" s="1"/>
  <c r="B7" i="20"/>
  <c r="C7" i="20" s="1"/>
  <c r="E6" i="20"/>
  <c r="B6" i="20"/>
  <c r="C6" i="20" s="1"/>
  <c r="E5" i="20"/>
  <c r="B5" i="20"/>
  <c r="C5" i="20" s="1"/>
  <c r="B4" i="20"/>
  <c r="C4" i="20" s="1"/>
  <c r="B3" i="20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3" i="15"/>
  <c r="B20" i="20" l="1"/>
  <c r="C3" i="20"/>
  <c r="C20" i="20" s="1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D20" i="15"/>
  <c r="E20" i="15" l="1"/>
  <c r="E12" i="19" l="1"/>
  <c r="E10" i="19"/>
  <c r="E34" i="19"/>
  <c r="E33" i="19"/>
  <c r="E32" i="19"/>
  <c r="E31" i="19"/>
  <c r="E30" i="19"/>
  <c r="E28" i="19"/>
  <c r="E26" i="19"/>
  <c r="E25" i="19"/>
  <c r="E24" i="19"/>
  <c r="E29" i="19"/>
  <c r="E27" i="19"/>
  <c r="E18" i="19"/>
  <c r="E21" i="19"/>
  <c r="E22" i="19"/>
  <c r="E23" i="19"/>
  <c r="E17" i="19"/>
  <c r="E16" i="19"/>
  <c r="E15" i="19"/>
  <c r="E8" i="19"/>
  <c r="E9" i="19"/>
  <c r="E13" i="19"/>
  <c r="E14" i="19"/>
  <c r="N10" i="11" l="1"/>
  <c r="J3" i="11" l="1"/>
  <c r="AC46" i="5" l="1"/>
  <c r="AC45" i="5"/>
  <c r="AD41" i="5"/>
  <c r="AE41" i="5"/>
  <c r="AF41" i="5"/>
  <c r="AD42" i="5"/>
  <c r="AE42" i="5"/>
  <c r="AF42" i="5"/>
  <c r="AD44" i="5"/>
  <c r="AD45" i="5"/>
  <c r="AE45" i="5"/>
  <c r="AF45" i="5"/>
  <c r="AC44" i="5"/>
  <c r="AE44" i="5" s="1"/>
  <c r="AF44" i="5" s="1"/>
  <c r="AC43" i="5"/>
  <c r="AD43" i="5" s="1"/>
  <c r="AD40" i="5"/>
  <c r="AE40" i="5"/>
  <c r="AF40" i="5" s="1"/>
  <c r="AD46" i="5"/>
  <c r="AE46" i="5"/>
  <c r="AF46" i="5" s="1"/>
  <c r="AD47" i="5"/>
  <c r="AE47" i="5"/>
  <c r="AF47" i="5" s="1"/>
  <c r="AD48" i="5"/>
  <c r="AE48" i="5"/>
  <c r="AF48" i="5"/>
  <c r="AD49" i="5"/>
  <c r="AE49" i="5"/>
  <c r="AF49" i="5"/>
  <c r="AD50" i="5"/>
  <c r="AE50" i="5"/>
  <c r="AF50" i="5" s="1"/>
  <c r="AD51" i="5"/>
  <c r="AE51" i="5"/>
  <c r="AF51" i="5"/>
  <c r="AD52" i="5"/>
  <c r="AE52" i="5"/>
  <c r="AF52" i="5" s="1"/>
  <c r="AD53" i="5"/>
  <c r="AE53" i="5"/>
  <c r="AF53" i="5" s="1"/>
  <c r="AD54" i="5"/>
  <c r="AE54" i="5"/>
  <c r="AF54" i="5"/>
  <c r="AD55" i="5"/>
  <c r="AE55" i="5"/>
  <c r="AF55" i="5" s="1"/>
  <c r="AE39" i="5"/>
  <c r="AF39" i="5" s="1"/>
  <c r="AD39" i="5"/>
  <c r="S52" i="5"/>
  <c r="S54" i="5"/>
  <c r="X55" i="5"/>
  <c r="Y55" i="5" s="1"/>
  <c r="X48" i="5"/>
  <c r="X52" i="5"/>
  <c r="X54" i="5"/>
  <c r="Y54" i="5" s="1"/>
  <c r="X45" i="5"/>
  <c r="Y45" i="5" s="1"/>
  <c r="X53" i="5"/>
  <c r="X51" i="5"/>
  <c r="Y51" i="5" s="1"/>
  <c r="X50" i="5"/>
  <c r="Y50" i="5" s="1"/>
  <c r="X49" i="5"/>
  <c r="Y49" i="5" s="1"/>
  <c r="X46" i="5"/>
  <c r="Y46" i="5" s="1"/>
  <c r="X47" i="5"/>
  <c r="Y47" i="5" s="1"/>
  <c r="X44" i="5"/>
  <c r="Y44" i="5" s="1"/>
  <c r="X43" i="5"/>
  <c r="X40" i="5"/>
  <c r="Y40" i="5" s="1"/>
  <c r="X39" i="5"/>
  <c r="Y39" i="5" s="1"/>
  <c r="Y41" i="5"/>
  <c r="Y42" i="5"/>
  <c r="Y43" i="5"/>
  <c r="Z5" i="17"/>
  <c r="AA5" i="17"/>
  <c r="Z6" i="17"/>
  <c r="AA6" i="17"/>
  <c r="V5" i="17"/>
  <c r="W5" i="17"/>
  <c r="V6" i="17"/>
  <c r="W6" i="17"/>
  <c r="J5" i="17"/>
  <c r="K5" i="17"/>
  <c r="J6" i="17"/>
  <c r="K6" i="17"/>
  <c r="R5" i="17"/>
  <c r="R6" i="17"/>
  <c r="N6" i="17"/>
  <c r="N5" i="17"/>
  <c r="S55" i="5"/>
  <c r="S48" i="5"/>
  <c r="S45" i="5"/>
  <c r="S53" i="5"/>
  <c r="S51" i="5"/>
  <c r="S50" i="5"/>
  <c r="S49" i="5"/>
  <c r="S46" i="5"/>
  <c r="S47" i="5"/>
  <c r="S44" i="5"/>
  <c r="T44" i="5" s="1"/>
  <c r="S43" i="5"/>
  <c r="S40" i="5"/>
  <c r="S39" i="5"/>
  <c r="AE43" i="5" l="1"/>
  <c r="AF43" i="5" s="1"/>
  <c r="Y53" i="5"/>
  <c r="T43" i="5"/>
  <c r="Y52" i="5"/>
  <c r="Y48" i="5"/>
  <c r="T40" i="5" l="1"/>
  <c r="V5" i="5"/>
  <c r="T55" i="5"/>
  <c r="T54" i="5"/>
  <c r="T53" i="5"/>
  <c r="T52" i="5"/>
  <c r="T51" i="5"/>
  <c r="T50" i="5"/>
  <c r="T49" i="5"/>
  <c r="T48" i="5"/>
  <c r="T47" i="5"/>
  <c r="T46" i="5"/>
  <c r="T45" i="5"/>
  <c r="T42" i="5"/>
  <c r="T41" i="5"/>
  <c r="F40" i="5"/>
  <c r="E58" i="5"/>
  <c r="F41" i="5"/>
  <c r="F42" i="5"/>
  <c r="F43" i="5"/>
  <c r="F44" i="5"/>
  <c r="F45" i="5"/>
  <c r="F46" i="5"/>
  <c r="F47" i="5"/>
  <c r="F49" i="5"/>
  <c r="F50" i="5"/>
  <c r="F52" i="5"/>
  <c r="F53" i="5"/>
  <c r="F55" i="5"/>
  <c r="F39" i="5"/>
  <c r="H20" i="17"/>
  <c r="I20" i="17"/>
  <c r="L20" i="17"/>
  <c r="M20" i="17"/>
  <c r="P20" i="17"/>
  <c r="Q20" i="17"/>
  <c r="T20" i="17"/>
  <c r="U20" i="17"/>
  <c r="X20" i="17"/>
  <c r="Y20" i="17"/>
  <c r="G41" i="5"/>
  <c r="G42" i="5"/>
  <c r="G43" i="5"/>
  <c r="H43" i="5" s="1"/>
  <c r="G44" i="5"/>
  <c r="H44" i="5" s="1"/>
  <c r="G45" i="5"/>
  <c r="H45" i="5" s="1"/>
  <c r="G46" i="5"/>
  <c r="G47" i="5"/>
  <c r="H47" i="5" s="1"/>
  <c r="G49" i="5"/>
  <c r="H49" i="5" s="1"/>
  <c r="G50" i="5"/>
  <c r="H50" i="5" s="1"/>
  <c r="G52" i="5"/>
  <c r="H52" i="5" s="1"/>
  <c r="G53" i="5"/>
  <c r="H53" i="5" s="1"/>
  <c r="G55" i="5"/>
  <c r="H55" i="5" s="1"/>
  <c r="G39" i="5"/>
  <c r="G54" i="5"/>
  <c r="H54" i="5" s="1"/>
  <c r="G51" i="5"/>
  <c r="H51" i="5" s="1"/>
  <c r="H39" i="5"/>
  <c r="H46" i="5"/>
  <c r="H42" i="5"/>
  <c r="H41" i="5"/>
  <c r="D40" i="5"/>
  <c r="D41" i="5"/>
  <c r="D42" i="5"/>
  <c r="D45" i="5"/>
  <c r="D46" i="5"/>
  <c r="D47" i="5"/>
  <c r="D48" i="5"/>
  <c r="D49" i="5"/>
  <c r="D50" i="5"/>
  <c r="D51" i="5"/>
  <c r="D52" i="5"/>
  <c r="D53" i="5"/>
  <c r="D54" i="5"/>
  <c r="D55" i="5"/>
  <c r="D39" i="5"/>
  <c r="Z41" i="5" l="1"/>
  <c r="AA41" i="5" s="1"/>
  <c r="Z42" i="5"/>
  <c r="AA42" i="5" s="1"/>
  <c r="Z43" i="5"/>
  <c r="AA43" i="5" s="1"/>
  <c r="Z55" i="5"/>
  <c r="AA55" i="5" s="1"/>
  <c r="Z44" i="5"/>
  <c r="AA44" i="5" s="1"/>
  <c r="Z53" i="5"/>
  <c r="AA53" i="5" s="1"/>
  <c r="Z51" i="5"/>
  <c r="AA51" i="5" s="1"/>
  <c r="Z54" i="5"/>
  <c r="AA54" i="5" s="1"/>
  <c r="Z45" i="5"/>
  <c r="AA45" i="5" s="1"/>
  <c r="Z52" i="5"/>
  <c r="AA52" i="5" s="1"/>
  <c r="Z50" i="5"/>
  <c r="AA50" i="5" s="1"/>
  <c r="Z49" i="5"/>
  <c r="AA49" i="5" s="1"/>
  <c r="Z48" i="5"/>
  <c r="AA48" i="5" s="1"/>
  <c r="Z46" i="5"/>
  <c r="AA46" i="5" s="1"/>
  <c r="Z47" i="5"/>
  <c r="AA47" i="5" s="1"/>
  <c r="Z40" i="5"/>
  <c r="AA40" i="5" s="1"/>
  <c r="Z39" i="5"/>
  <c r="AA39" i="5" s="1"/>
  <c r="G40" i="5"/>
  <c r="H40" i="5" s="1"/>
  <c r="F54" i="5"/>
  <c r="F51" i="5"/>
  <c r="F48" i="5"/>
  <c r="G48" i="5"/>
  <c r="H48" i="5" s="1"/>
  <c r="C44" i="5" l="1"/>
  <c r="D44" i="5" s="1"/>
  <c r="C43" i="5"/>
  <c r="D43" i="5" s="1"/>
  <c r="B19" i="17"/>
  <c r="C19" i="17" s="1"/>
  <c r="B18" i="17"/>
  <c r="C18" i="17" s="1"/>
  <c r="B17" i="17"/>
  <c r="C17" i="17" s="1"/>
  <c r="B16" i="17"/>
  <c r="C16" i="17" s="1"/>
  <c r="B15" i="17"/>
  <c r="C15" i="17" s="1"/>
  <c r="B14" i="17"/>
  <c r="C14" i="17" s="1"/>
  <c r="B13" i="17"/>
  <c r="C13" i="17" s="1"/>
  <c r="B12" i="17"/>
  <c r="C12" i="17" s="1"/>
  <c r="B11" i="17"/>
  <c r="C11" i="17" s="1"/>
  <c r="B10" i="17"/>
  <c r="C10" i="17" s="1"/>
  <c r="B9" i="17"/>
  <c r="C9" i="17" s="1"/>
  <c r="B8" i="17"/>
  <c r="C8" i="17" s="1"/>
  <c r="B7" i="17"/>
  <c r="C7" i="17" s="1"/>
  <c r="E6" i="17"/>
  <c r="B6" i="17"/>
  <c r="F6" i="17" s="1"/>
  <c r="E5" i="17"/>
  <c r="B5" i="17"/>
  <c r="F5" i="17" s="1"/>
  <c r="B4" i="17"/>
  <c r="C4" i="17" s="1"/>
  <c r="B3" i="17"/>
  <c r="O5" i="17" l="1"/>
  <c r="S5" i="17"/>
  <c r="O6" i="17"/>
  <c r="S6" i="17"/>
  <c r="B20" i="17"/>
  <c r="C3" i="17"/>
  <c r="C6" i="17"/>
  <c r="G6" i="17" s="1"/>
  <c r="C5" i="17"/>
  <c r="G5" i="17" s="1"/>
  <c r="C20" i="17" l="1"/>
  <c r="T39" i="5" l="1"/>
  <c r="N7" i="11" l="1"/>
  <c r="N5" i="11"/>
  <c r="E5" i="8"/>
  <c r="Y12" i="5"/>
  <c r="X12" i="5"/>
  <c r="U26" i="5"/>
  <c r="V25" i="5"/>
  <c r="V24" i="5"/>
  <c r="V23" i="5"/>
  <c r="V22" i="5"/>
  <c r="V31" i="5" s="1"/>
  <c r="V21" i="5"/>
  <c r="V33" i="5" s="1"/>
  <c r="V20" i="5"/>
  <c r="V19" i="5"/>
  <c r="V18" i="5"/>
  <c r="V17" i="5"/>
  <c r="V16" i="5"/>
  <c r="V15" i="5"/>
  <c r="V14" i="5"/>
  <c r="V13" i="5"/>
  <c r="V12" i="5"/>
  <c r="V11" i="5"/>
  <c r="V10" i="5"/>
  <c r="C23" i="8"/>
  <c r="C28" i="8" s="1"/>
  <c r="B23" i="8"/>
  <c r="D5" i="8" s="1"/>
  <c r="C25" i="8" l="1"/>
  <c r="C27" i="8"/>
  <c r="O7" i="11"/>
  <c r="V26" i="5"/>
  <c r="C24" i="8"/>
  <c r="C26" i="8"/>
  <c r="I19" i="11" l="1"/>
  <c r="H19" i="11"/>
  <c r="A15" i="11"/>
  <c r="A14" i="11"/>
  <c r="A12" i="11"/>
  <c r="A10" i="11"/>
  <c r="A9" i="11"/>
  <c r="A8" i="11"/>
  <c r="A7" i="11"/>
  <c r="A6" i="11"/>
  <c r="A5" i="11"/>
  <c r="A4" i="11"/>
  <c r="B5" i="15" l="1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4" i="15"/>
  <c r="C4" i="15" s="1"/>
  <c r="B3" i="15"/>
  <c r="B20" i="15" l="1"/>
  <c r="B14" i="8" l="1"/>
  <c r="B16" i="8" l="1"/>
  <c r="E16" i="8" s="1"/>
  <c r="D14" i="8"/>
  <c r="E14" i="8"/>
  <c r="B11" i="8"/>
  <c r="E11" i="8" s="1"/>
  <c r="B13" i="8"/>
  <c r="E13" i="8" s="1"/>
  <c r="D16" i="8" l="1"/>
  <c r="F5" i="1" l="1"/>
  <c r="D13" i="8"/>
  <c r="D11" i="8" l="1"/>
  <c r="F18" i="12"/>
  <c r="E17" i="1"/>
  <c r="H6" i="15" l="1"/>
  <c r="H5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3" i="15"/>
  <c r="G6" i="15"/>
  <c r="G5" i="15"/>
  <c r="I5" i="15" l="1"/>
  <c r="I6" i="15"/>
  <c r="C20" i="15"/>
  <c r="D19" i="11" l="1"/>
  <c r="L3" i="11"/>
  <c r="M3" i="11"/>
  <c r="T5" i="5" s="1"/>
  <c r="L6" i="11"/>
  <c r="L7" i="11" s="1"/>
  <c r="M6" i="11"/>
  <c r="M7" i="11" s="1"/>
  <c r="F19" i="11"/>
  <c r="G19" i="11"/>
  <c r="U46" i="5" l="1"/>
  <c r="V46" i="5" s="1"/>
  <c r="U54" i="5"/>
  <c r="V54" i="5" s="1"/>
  <c r="U53" i="5"/>
  <c r="V53" i="5" s="1"/>
  <c r="U42" i="5"/>
  <c r="V42" i="5" s="1"/>
  <c r="U52" i="5"/>
  <c r="V52" i="5" s="1"/>
  <c r="U44" i="5"/>
  <c r="V44" i="5" s="1"/>
  <c r="U43" i="5"/>
  <c r="V43" i="5" s="1"/>
  <c r="U49" i="5"/>
  <c r="V49" i="5" s="1"/>
  <c r="U50" i="5"/>
  <c r="V50" i="5" s="1"/>
  <c r="U48" i="5"/>
  <c r="V48" i="5" s="1"/>
  <c r="U41" i="5"/>
  <c r="V41" i="5" s="1"/>
  <c r="U51" i="5"/>
  <c r="V51" i="5" s="1"/>
  <c r="U47" i="5"/>
  <c r="V47" i="5" s="1"/>
  <c r="U55" i="5"/>
  <c r="V55" i="5" s="1"/>
  <c r="U45" i="5"/>
  <c r="V45" i="5" s="1"/>
  <c r="U40" i="5"/>
  <c r="V40" i="5" s="1"/>
  <c r="U39" i="5"/>
  <c r="V39" i="5" s="1"/>
  <c r="E19" i="11"/>
  <c r="R11" i="5" l="1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10" i="5"/>
  <c r="N10" i="5" l="1"/>
  <c r="N11" i="5"/>
  <c r="Q26" i="5" l="1"/>
  <c r="O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M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T11" i="5"/>
  <c r="T12" i="5"/>
  <c r="T13" i="5"/>
  <c r="T14" i="5"/>
  <c r="T15" i="5"/>
  <c r="T16" i="5"/>
  <c r="T17" i="5"/>
  <c r="T18" i="5"/>
  <c r="T19" i="5"/>
  <c r="T20" i="5"/>
  <c r="T21" i="5"/>
  <c r="T33" i="5" s="1"/>
  <c r="T22" i="5"/>
  <c r="T31" i="5" s="1"/>
  <c r="T23" i="5"/>
  <c r="T24" i="5"/>
  <c r="T25" i="5"/>
  <c r="T10" i="5"/>
  <c r="R26" i="5" l="1"/>
  <c r="T26" i="5"/>
  <c r="P26" i="5"/>
  <c r="N26" i="5"/>
  <c r="L11" i="5"/>
  <c r="L12" i="5"/>
  <c r="L13" i="5"/>
  <c r="L14" i="5"/>
  <c r="L15" i="5"/>
  <c r="L16" i="5"/>
  <c r="L17" i="5"/>
  <c r="L18" i="5"/>
  <c r="L19" i="5"/>
  <c r="L20" i="5"/>
  <c r="L21" i="5"/>
  <c r="L33" i="5" s="1"/>
  <c r="L22" i="5"/>
  <c r="L31" i="5" s="1"/>
  <c r="L23" i="5"/>
  <c r="L24" i="5"/>
  <c r="L25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10" i="5"/>
  <c r="H11" i="5"/>
  <c r="H16" i="5"/>
  <c r="F11" i="5"/>
  <c r="F12" i="5"/>
  <c r="F13" i="5"/>
  <c r="F14" i="5"/>
  <c r="F15" i="5"/>
  <c r="F16" i="5"/>
  <c r="F17" i="5"/>
  <c r="F18" i="5"/>
  <c r="F19" i="5"/>
  <c r="F20" i="5"/>
  <c r="F21" i="5"/>
  <c r="F33" i="5" s="1"/>
  <c r="F22" i="5"/>
  <c r="F31" i="5" s="1"/>
  <c r="F23" i="5"/>
  <c r="F24" i="5"/>
  <c r="F25" i="5"/>
  <c r="F10" i="5"/>
  <c r="D11" i="5"/>
  <c r="D12" i="5"/>
  <c r="D13" i="5"/>
  <c r="D14" i="5"/>
  <c r="D15" i="5"/>
  <c r="D16" i="5"/>
  <c r="D17" i="5"/>
  <c r="D18" i="5"/>
  <c r="D19" i="5"/>
  <c r="D20" i="5"/>
  <c r="D21" i="5"/>
  <c r="D33" i="5" s="1"/>
  <c r="D22" i="5"/>
  <c r="D31" i="5" s="1"/>
  <c r="D23" i="5"/>
  <c r="D24" i="5"/>
  <c r="D25" i="5"/>
  <c r="D10" i="5"/>
  <c r="A5" i="1"/>
  <c r="A6" i="1"/>
  <c r="A7" i="1"/>
  <c r="A8" i="1"/>
  <c r="A12" i="1"/>
  <c r="A13" i="1"/>
  <c r="A4" i="1"/>
  <c r="D1" i="5" l="1"/>
  <c r="D5" i="1" l="1"/>
  <c r="D6" i="1"/>
  <c r="D7" i="1"/>
  <c r="D8" i="1"/>
  <c r="D9" i="1"/>
  <c r="D10" i="1"/>
  <c r="D11" i="1"/>
  <c r="D12" i="1"/>
  <c r="D13" i="1"/>
  <c r="D14" i="1"/>
  <c r="D15" i="1"/>
  <c r="D4" i="1"/>
  <c r="D3" i="1"/>
  <c r="G10" i="5"/>
  <c r="H10" i="5" s="1"/>
  <c r="G25" i="5"/>
  <c r="H25" i="5" s="1"/>
  <c r="G24" i="5"/>
  <c r="H24" i="5" s="1"/>
  <c r="G23" i="5"/>
  <c r="H23" i="5" s="1"/>
  <c r="G22" i="5"/>
  <c r="H22" i="5" s="1"/>
  <c r="H31" i="5" s="1"/>
  <c r="G21" i="5"/>
  <c r="H21" i="5" s="1"/>
  <c r="H33" i="5" s="1"/>
  <c r="G20" i="5"/>
  <c r="H20" i="5" s="1"/>
  <c r="G19" i="5"/>
  <c r="H19" i="5" s="1"/>
  <c r="G18" i="5"/>
  <c r="H18" i="5" s="1"/>
  <c r="G17" i="5"/>
  <c r="H17" i="5" s="1"/>
  <c r="G15" i="5"/>
  <c r="H15" i="5" s="1"/>
  <c r="G14" i="5"/>
  <c r="H14" i="5" s="1"/>
  <c r="G13" i="5"/>
  <c r="H13" i="5" s="1"/>
  <c r="G12" i="5"/>
  <c r="H12" i="5" s="1"/>
  <c r="C26" i="5" l="1"/>
  <c r="Y26" i="5" l="1"/>
  <c r="X26" i="5"/>
  <c r="K26" i="5" l="1"/>
  <c r="L26" i="5" l="1"/>
  <c r="S26" i="5" l="1"/>
  <c r="D16" i="1" l="1"/>
  <c r="I26" i="5" l="1"/>
  <c r="J26" i="5" l="1"/>
  <c r="E26" i="5" l="1"/>
  <c r="G26" i="5"/>
  <c r="H26" i="5" l="1"/>
  <c r="F26" i="5"/>
  <c r="D26" i="5"/>
  <c r="B6" i="11" l="1"/>
  <c r="G18" i="15" l="1"/>
  <c r="I18" i="15" s="1"/>
  <c r="H18" i="15" l="1"/>
  <c r="D7" i="17" l="1"/>
  <c r="D11" i="17"/>
  <c r="J7" i="17" l="1"/>
  <c r="N7" i="17"/>
  <c r="Z7" i="17"/>
  <c r="F7" i="17"/>
  <c r="V7" i="17"/>
  <c r="R7" i="17"/>
  <c r="E7" i="17"/>
  <c r="J11" i="17"/>
  <c r="R11" i="17"/>
  <c r="Z11" i="17"/>
  <c r="F11" i="17"/>
  <c r="N11" i="17"/>
  <c r="V11" i="17"/>
  <c r="E11" i="17"/>
  <c r="W11" i="17" l="1"/>
  <c r="S11" i="17"/>
  <c r="K11" i="17"/>
  <c r="G11" i="17"/>
  <c r="O11" i="17"/>
  <c r="AA11" i="17"/>
  <c r="W7" i="17"/>
  <c r="G7" i="17"/>
  <c r="O7" i="17"/>
  <c r="S7" i="17"/>
  <c r="K7" i="17"/>
  <c r="AA7" i="17"/>
  <c r="D19" i="17" l="1"/>
  <c r="Z19" i="17" l="1"/>
  <c r="E19" i="17"/>
  <c r="N19" i="17"/>
  <c r="J19" i="17"/>
  <c r="V19" i="17"/>
  <c r="F19" i="17"/>
  <c r="R19" i="17"/>
  <c r="G19" i="17" l="1"/>
  <c r="S19" i="17"/>
  <c r="AA19" i="17"/>
  <c r="O19" i="17"/>
  <c r="K19" i="17"/>
  <c r="W19" i="17"/>
  <c r="D8" i="17" l="1"/>
  <c r="J8" i="17" l="1"/>
  <c r="R8" i="17"/>
  <c r="E8" i="17"/>
  <c r="V8" i="17"/>
  <c r="N8" i="17"/>
  <c r="Z8" i="17"/>
  <c r="F8" i="17"/>
  <c r="W8" i="17" l="1"/>
  <c r="G8" i="17"/>
  <c r="K8" i="17"/>
  <c r="S8" i="17"/>
  <c r="AA8" i="17"/>
  <c r="O8" i="17"/>
  <c r="D17" i="17" l="1"/>
  <c r="Z17" i="17" l="1"/>
  <c r="V17" i="17"/>
  <c r="R17" i="17"/>
  <c r="J17" i="17"/>
  <c r="F17" i="17"/>
  <c r="N17" i="17"/>
  <c r="E17" i="17"/>
  <c r="AA17" i="17" l="1"/>
  <c r="S17" i="17"/>
  <c r="K17" i="17"/>
  <c r="G17" i="17"/>
  <c r="O17" i="17"/>
  <c r="W17" i="17"/>
  <c r="D4" i="17" l="1"/>
  <c r="D9" i="17"/>
  <c r="N9" i="17" l="1"/>
  <c r="E9" i="17"/>
  <c r="F9" i="17"/>
  <c r="J9" i="17"/>
  <c r="Z9" i="17"/>
  <c r="R9" i="17"/>
  <c r="V9" i="17"/>
  <c r="J4" i="17"/>
  <c r="N4" i="17"/>
  <c r="R4" i="17"/>
  <c r="Z4" i="17"/>
  <c r="F4" i="17"/>
  <c r="E4" i="17"/>
  <c r="V4" i="17"/>
  <c r="K4" i="17" l="1"/>
  <c r="AA4" i="17"/>
  <c r="W4" i="17"/>
  <c r="S4" i="17"/>
  <c r="G4" i="17"/>
  <c r="O4" i="17"/>
  <c r="AA9" i="17"/>
  <c r="G9" i="17"/>
  <c r="S9" i="17"/>
  <c r="K9" i="17"/>
  <c r="O9" i="17"/>
  <c r="W9" i="17"/>
  <c r="D13" i="17" l="1"/>
  <c r="D15" i="17"/>
  <c r="B46" i="10"/>
  <c r="B3" i="13" l="1"/>
  <c r="B3" i="1"/>
  <c r="B3" i="10"/>
  <c r="E15" i="17"/>
  <c r="Z15" i="17"/>
  <c r="V15" i="17"/>
  <c r="R15" i="17"/>
  <c r="F15" i="17"/>
  <c r="N15" i="17"/>
  <c r="J15" i="17"/>
  <c r="V13" i="17"/>
  <c r="E13" i="17"/>
  <c r="Z13" i="17"/>
  <c r="R13" i="17"/>
  <c r="N13" i="17"/>
  <c r="J13" i="17"/>
  <c r="F13" i="17"/>
  <c r="B3" i="18"/>
  <c r="B3" i="12" l="1"/>
  <c r="E3" i="12" s="1"/>
  <c r="F3" i="12" s="1"/>
  <c r="D3" i="10"/>
  <c r="B4" i="11"/>
  <c r="C3" i="1"/>
  <c r="Z11" i="5" s="1"/>
  <c r="D3" i="13"/>
  <c r="C4" i="11" s="1"/>
  <c r="E3" i="13" s="1"/>
  <c r="B3" i="8"/>
  <c r="W13" i="17"/>
  <c r="AA13" i="17"/>
  <c r="G13" i="17"/>
  <c r="S13" i="17"/>
  <c r="O13" i="17"/>
  <c r="K13" i="17"/>
  <c r="S15" i="17"/>
  <c r="O15" i="17"/>
  <c r="K15" i="17"/>
  <c r="AA15" i="17"/>
  <c r="G15" i="17"/>
  <c r="W15" i="17"/>
  <c r="D4" i="20"/>
  <c r="F4" i="15"/>
  <c r="D3" i="18"/>
  <c r="E3" i="8" l="1"/>
  <c r="D3" i="8"/>
  <c r="G4" i="15"/>
  <c r="I4" i="15" s="1"/>
  <c r="H4" i="15"/>
  <c r="E4" i="20"/>
  <c r="G4" i="20" s="1"/>
  <c r="F4" i="20"/>
  <c r="D14" i="17" l="1"/>
  <c r="Z14" i="17" l="1"/>
  <c r="R14" i="17"/>
  <c r="N14" i="17"/>
  <c r="V14" i="17"/>
  <c r="F14" i="17"/>
  <c r="E14" i="17"/>
  <c r="J14" i="17"/>
  <c r="O14" i="17" l="1"/>
  <c r="S14" i="17"/>
  <c r="G14" i="17"/>
  <c r="K14" i="17"/>
  <c r="AA14" i="17"/>
  <c r="W14" i="17"/>
  <c r="B44" i="10" l="1"/>
  <c r="B2" i="10" l="1"/>
  <c r="B2" i="18" l="1"/>
  <c r="B2" i="12"/>
  <c r="E2" i="12" s="1"/>
  <c r="D2" i="10"/>
  <c r="B3" i="11"/>
  <c r="D3" i="17" l="1"/>
  <c r="F2" i="12"/>
  <c r="B2" i="13"/>
  <c r="D3" i="20"/>
  <c r="F3" i="15"/>
  <c r="D2" i="18"/>
  <c r="E3" i="20" l="1"/>
  <c r="F3" i="20"/>
  <c r="D2" i="13"/>
  <c r="B2" i="8"/>
  <c r="Z3" i="17"/>
  <c r="N3" i="17"/>
  <c r="V3" i="17"/>
  <c r="E3" i="17"/>
  <c r="R3" i="17"/>
  <c r="F3" i="17"/>
  <c r="J3" i="17"/>
  <c r="G3" i="15"/>
  <c r="H3" i="15"/>
  <c r="G3" i="20" l="1"/>
  <c r="I3" i="15"/>
  <c r="G3" i="17"/>
  <c r="W3" i="17"/>
  <c r="AA3" i="17"/>
  <c r="K3" i="17"/>
  <c r="S3" i="17"/>
  <c r="O3" i="17"/>
  <c r="C3" i="11"/>
  <c r="E2" i="13" s="1"/>
  <c r="E2" i="8"/>
  <c r="D2" i="8"/>
  <c r="D18" i="17" l="1"/>
  <c r="E18" i="17" l="1"/>
  <c r="R18" i="17"/>
  <c r="Z18" i="17"/>
  <c r="V18" i="17"/>
  <c r="F18" i="17"/>
  <c r="J18" i="17"/>
  <c r="N18" i="17"/>
  <c r="B9" i="18"/>
  <c r="K18" i="17" l="1"/>
  <c r="O18" i="17"/>
  <c r="S18" i="17"/>
  <c r="G18" i="17"/>
  <c r="AA18" i="17"/>
  <c r="W18" i="17"/>
  <c r="F12" i="15"/>
  <c r="D9" i="18"/>
  <c r="D12" i="20"/>
  <c r="G12" i="15" l="1"/>
  <c r="I12" i="15" s="1"/>
  <c r="H12" i="15"/>
  <c r="E12" i="20"/>
  <c r="G12" i="20" s="1"/>
  <c r="F12" i="20"/>
  <c r="B9" i="1" l="1"/>
  <c r="C9" i="1" s="1"/>
  <c r="B10" i="12"/>
  <c r="B4" i="13"/>
  <c r="B7" i="12" l="1"/>
  <c r="B11" i="11"/>
  <c r="B4" i="8"/>
  <c r="D4" i="13"/>
  <c r="Z18" i="5"/>
  <c r="C5" i="11" l="1"/>
  <c r="E4" i="13" s="1"/>
  <c r="D4" i="8"/>
  <c r="E4" i="8"/>
  <c r="B16" i="13" l="1"/>
  <c r="D16" i="13" s="1"/>
  <c r="C17" i="11" s="1"/>
  <c r="E16" i="13" s="1"/>
  <c r="B15" i="10"/>
  <c r="D15" i="10" s="1"/>
  <c r="B14" i="1"/>
  <c r="C14" i="1" s="1"/>
  <c r="Z24" i="5" s="1"/>
  <c r="B17" i="11" l="1"/>
  <c r="B53" i="10"/>
  <c r="D12" i="17" l="1"/>
  <c r="I15" i="12" l="1"/>
  <c r="D10" i="17"/>
  <c r="Z12" i="17"/>
  <c r="J12" i="17"/>
  <c r="V12" i="17"/>
  <c r="E12" i="17"/>
  <c r="R12" i="17"/>
  <c r="F12" i="17"/>
  <c r="N12" i="17"/>
  <c r="B52" i="10"/>
  <c r="C52" i="10" l="1"/>
  <c r="B6" i="13"/>
  <c r="J10" i="17"/>
  <c r="F10" i="17"/>
  <c r="N10" i="17"/>
  <c r="R10" i="17"/>
  <c r="V10" i="17"/>
  <c r="Z10" i="17"/>
  <c r="E10" i="17"/>
  <c r="B5" i="18"/>
  <c r="AA12" i="17"/>
  <c r="O12" i="17"/>
  <c r="K12" i="17"/>
  <c r="G12" i="17"/>
  <c r="S12" i="17"/>
  <c r="W12" i="17"/>
  <c r="W10" i="17" l="1"/>
  <c r="AA10" i="17"/>
  <c r="S10" i="17"/>
  <c r="K10" i="17"/>
  <c r="O10" i="17"/>
  <c r="G10" i="17"/>
  <c r="D8" i="20"/>
  <c r="F8" i="15"/>
  <c r="D5" i="18"/>
  <c r="D6" i="13"/>
  <c r="B7" i="8"/>
  <c r="B5" i="10"/>
  <c r="B5" i="1"/>
  <c r="D7" i="8" l="1"/>
  <c r="E7" i="8"/>
  <c r="C7" i="11"/>
  <c r="E6" i="13"/>
  <c r="H8" i="15"/>
  <c r="G8" i="15"/>
  <c r="I8" i="15" s="1"/>
  <c r="F8" i="20"/>
  <c r="E8" i="20"/>
  <c r="G8" i="20" s="1"/>
  <c r="C5" i="1"/>
  <c r="Z14" i="5" s="1"/>
  <c r="B7" i="11"/>
  <c r="B5" i="12"/>
  <c r="D5" i="10"/>
  <c r="B61" i="10"/>
  <c r="C60" i="10" s="1"/>
  <c r="I9" i="12" s="1"/>
  <c r="B89" i="10"/>
  <c r="C87" i="10" s="1"/>
  <c r="B14" i="12" s="1"/>
  <c r="E11" i="20"/>
  <c r="G11" i="20" s="1"/>
  <c r="H10" i="15"/>
  <c r="B94" i="10"/>
  <c r="B86" i="10"/>
  <c r="D11" i="20"/>
  <c r="F11" i="20" s="1"/>
  <c r="F10" i="15"/>
  <c r="G10" i="15"/>
  <c r="I10" i="15"/>
  <c r="B15" i="13"/>
  <c r="D15" i="13"/>
  <c r="E15" i="13" s="1"/>
  <c r="B65" i="10"/>
  <c r="B14" i="10"/>
  <c r="D14" i="10" s="1"/>
  <c r="B55" i="10"/>
  <c r="B96" i="10"/>
  <c r="B57" i="10"/>
  <c r="F16" i="15"/>
  <c r="G16" i="15" s="1"/>
  <c r="I16" i="15" s="1"/>
  <c r="H16" i="15"/>
  <c r="B13" i="13"/>
  <c r="D13" i="13" s="1"/>
  <c r="F11" i="15"/>
  <c r="G11" i="15" s="1"/>
  <c r="I11" i="15" s="1"/>
  <c r="B51" i="10"/>
  <c r="F10" i="20"/>
  <c r="D11" i="13"/>
  <c r="F7" i="20"/>
  <c r="B8" i="18"/>
  <c r="D8" i="18"/>
  <c r="B68" i="10"/>
  <c r="F19" i="20"/>
  <c r="B59" i="10"/>
  <c r="B17" i="10" s="1"/>
  <c r="B7" i="18"/>
  <c r="D10" i="20"/>
  <c r="E10" i="20"/>
  <c r="G10" i="20" s="1"/>
  <c r="D9" i="20"/>
  <c r="E9" i="20" s="1"/>
  <c r="F9" i="15"/>
  <c r="G9" i="15" s="1"/>
  <c r="I9" i="15" s="1"/>
  <c r="D19" i="20"/>
  <c r="E19" i="20"/>
  <c r="G19" i="20"/>
  <c r="D13" i="18"/>
  <c r="B13" i="18"/>
  <c r="D16" i="20" s="1"/>
  <c r="B92" i="10"/>
  <c r="B88" i="10"/>
  <c r="C88" i="10" s="1"/>
  <c r="B6" i="18"/>
  <c r="D6" i="18"/>
  <c r="B64" i="10"/>
  <c r="C64" i="10" s="1"/>
  <c r="I10" i="12" s="1"/>
  <c r="G17" i="15"/>
  <c r="I17" i="15" s="1"/>
  <c r="B14" i="13"/>
  <c r="D14" i="13" s="1"/>
  <c r="G14" i="15"/>
  <c r="I14" i="15" s="1"/>
  <c r="B58" i="10"/>
  <c r="C58" i="10" s="1"/>
  <c r="B75" i="10"/>
  <c r="B12" i="18"/>
  <c r="D15" i="20" s="1"/>
  <c r="B93" i="10"/>
  <c r="C93" i="10"/>
  <c r="I11" i="12" s="1"/>
  <c r="B10" i="18"/>
  <c r="D13" i="20" s="1"/>
  <c r="B77" i="10"/>
  <c r="D15" i="18"/>
  <c r="B17" i="13"/>
  <c r="B50" i="10"/>
  <c r="C50" i="10" s="1"/>
  <c r="B5" i="13"/>
  <c r="B6" i="8"/>
  <c r="B8" i="13"/>
  <c r="D8" i="13" s="1"/>
  <c r="B74" i="10"/>
  <c r="C74" i="10" s="1"/>
  <c r="B78" i="10"/>
  <c r="B12" i="13" s="1"/>
  <c r="C78" i="10"/>
  <c r="B11" i="10" s="1"/>
  <c r="B13" i="12"/>
  <c r="B91" i="10"/>
  <c r="C91" i="10" s="1"/>
  <c r="B14" i="18"/>
  <c r="D14" i="18" s="1"/>
  <c r="F17" i="15"/>
  <c r="H17" i="15" s="1"/>
  <c r="B87" i="10"/>
  <c r="F7" i="15"/>
  <c r="G7" i="15" s="1"/>
  <c r="B67" i="10"/>
  <c r="C67" i="10" s="1"/>
  <c r="B11" i="18"/>
  <c r="D14" i="20" s="1"/>
  <c r="F14" i="15"/>
  <c r="H14" i="15"/>
  <c r="B62" i="10"/>
  <c r="C62" i="10" s="1"/>
  <c r="I8" i="12" s="1"/>
  <c r="B63" i="10"/>
  <c r="B56" i="10"/>
  <c r="B7" i="13" s="1"/>
  <c r="C56" i="10"/>
  <c r="B6" i="12" s="1"/>
  <c r="B54" i="10"/>
  <c r="C54" i="10" s="1"/>
  <c r="B4" i="18"/>
  <c r="D4" i="18" s="1"/>
  <c r="D7" i="20"/>
  <c r="E7" i="20"/>
  <c r="G7" i="20" s="1"/>
  <c r="B95" i="10"/>
  <c r="C95" i="10"/>
  <c r="B16" i="10" s="1"/>
  <c r="B17" i="12"/>
  <c r="B15" i="18"/>
  <c r="F19" i="15"/>
  <c r="G19" i="15" s="1"/>
  <c r="I19" i="15" s="1"/>
  <c r="B76" i="10"/>
  <c r="C76" i="10" s="1"/>
  <c r="B11" i="13"/>
  <c r="B12" i="8" s="1"/>
  <c r="B47" i="10"/>
  <c r="C47" i="10"/>
  <c r="B4" i="1" s="1"/>
  <c r="B4" i="10"/>
  <c r="B4" i="12" s="1"/>
  <c r="B60" i="10"/>
  <c r="D16" i="17"/>
  <c r="Z16" i="17" s="1"/>
  <c r="Z20" i="17" s="1"/>
  <c r="E16" i="17"/>
  <c r="AA16" i="17" s="1"/>
  <c r="AA20" i="17" s="1"/>
  <c r="G9" i="20" l="1"/>
  <c r="D11" i="10"/>
  <c r="D12" i="13"/>
  <c r="E15" i="20"/>
  <c r="G15" i="20" s="1"/>
  <c r="F15" i="20"/>
  <c r="B8" i="1"/>
  <c r="B9" i="12"/>
  <c r="B18" i="12" s="1"/>
  <c r="B8" i="10"/>
  <c r="D7" i="13"/>
  <c r="B8" i="8"/>
  <c r="C14" i="11"/>
  <c r="E13" i="13" s="1"/>
  <c r="B6" i="1"/>
  <c r="I6" i="12"/>
  <c r="J6" i="12" s="1"/>
  <c r="B6" i="10"/>
  <c r="D17" i="10"/>
  <c r="C9" i="11"/>
  <c r="E8" i="13"/>
  <c r="B16" i="1"/>
  <c r="C4" i="1"/>
  <c r="B5" i="11"/>
  <c r="B19" i="11" s="1"/>
  <c r="D16" i="10"/>
  <c r="J9" i="12"/>
  <c r="C15" i="11"/>
  <c r="E14" i="13" s="1"/>
  <c r="J10" i="12"/>
  <c r="B20" i="12"/>
  <c r="C5" i="12" s="1"/>
  <c r="C17" i="13"/>
  <c r="E14" i="20"/>
  <c r="G14" i="20" s="1"/>
  <c r="F14" i="20"/>
  <c r="B7" i="1"/>
  <c r="I16" i="12"/>
  <c r="B8" i="12"/>
  <c r="B7" i="10"/>
  <c r="B13" i="1"/>
  <c r="B15" i="12"/>
  <c r="B13" i="10"/>
  <c r="B11" i="12"/>
  <c r="B9" i="10"/>
  <c r="B11" i="1"/>
  <c r="E12" i="8"/>
  <c r="D12" i="8"/>
  <c r="E16" i="20"/>
  <c r="G16" i="20" s="1"/>
  <c r="F16" i="20"/>
  <c r="I7" i="15"/>
  <c r="E13" i="20"/>
  <c r="G13" i="20" s="1"/>
  <c r="F13" i="20"/>
  <c r="J8" i="12"/>
  <c r="B12" i="10"/>
  <c r="B12" i="1"/>
  <c r="B10" i="10"/>
  <c r="B10" i="1"/>
  <c r="B12" i="12"/>
  <c r="J11" i="12"/>
  <c r="C8" i="13"/>
  <c r="F15" i="15"/>
  <c r="C12" i="11"/>
  <c r="E11" i="13" s="1"/>
  <c r="O16" i="17"/>
  <c r="O20" i="17" s="1"/>
  <c r="B9" i="13"/>
  <c r="D20" i="17"/>
  <c r="S16" i="17"/>
  <c r="S20" i="17" s="1"/>
  <c r="E20" i="17"/>
  <c r="H9" i="15"/>
  <c r="F9" i="20"/>
  <c r="D12" i="18"/>
  <c r="B15" i="8"/>
  <c r="K16" i="17"/>
  <c r="K20" i="17" s="1"/>
  <c r="B17" i="8"/>
  <c r="G16" i="17"/>
  <c r="G20" i="17" s="1"/>
  <c r="W16" i="17"/>
  <c r="W20" i="17" s="1"/>
  <c r="F13" i="15"/>
  <c r="D11" i="18"/>
  <c r="F16" i="17"/>
  <c r="F20" i="17" s="1"/>
  <c r="B10" i="13"/>
  <c r="D17" i="20"/>
  <c r="B9" i="8"/>
  <c r="D4" i="10"/>
  <c r="J16" i="17"/>
  <c r="J20" i="17" s="1"/>
  <c r="D10" i="18"/>
  <c r="H19" i="15"/>
  <c r="E6" i="8"/>
  <c r="V16" i="17"/>
  <c r="V20" i="17" s="1"/>
  <c r="B15" i="1"/>
  <c r="H11" i="15"/>
  <c r="H7" i="15"/>
  <c r="I7" i="12"/>
  <c r="J7" i="12" s="1"/>
  <c r="D6" i="8"/>
  <c r="N16" i="17"/>
  <c r="N20" i="17" s="1"/>
  <c r="R16" i="17"/>
  <c r="R20" i="17" s="1"/>
  <c r="D17" i="13"/>
  <c r="B18" i="13"/>
  <c r="D5" i="13"/>
  <c r="D7" i="18"/>
  <c r="D16" i="18" s="1"/>
  <c r="D17" i="18" s="1"/>
  <c r="B18" i="10"/>
  <c r="C17" i="10" s="1"/>
  <c r="B16" i="18"/>
  <c r="C13" i="18" s="1"/>
  <c r="D10" i="12" l="1"/>
  <c r="E10" i="12" s="1"/>
  <c r="F10" i="12" s="1"/>
  <c r="D7" i="12"/>
  <c r="D16" i="12"/>
  <c r="C17" i="12"/>
  <c r="D17" i="12" s="1"/>
  <c r="E17" i="12" s="1"/>
  <c r="F17" i="12" s="1"/>
  <c r="C6" i="12"/>
  <c r="D6" i="12" s="1"/>
  <c r="E6" i="12" s="1"/>
  <c r="F6" i="12" s="1"/>
  <c r="C14" i="12"/>
  <c r="D14" i="12" s="1"/>
  <c r="E14" i="12" s="1"/>
  <c r="F14" i="12" s="1"/>
  <c r="H15" i="15"/>
  <c r="G15" i="15"/>
  <c r="I15" i="15" s="1"/>
  <c r="C11" i="1"/>
  <c r="Z20" i="5" s="1"/>
  <c r="B13" i="11"/>
  <c r="C4" i="13"/>
  <c r="C3" i="13"/>
  <c r="C11" i="13"/>
  <c r="M12" i="11"/>
  <c r="C15" i="13"/>
  <c r="C13" i="13"/>
  <c r="C6" i="13"/>
  <c r="C2" i="13"/>
  <c r="C16" i="13"/>
  <c r="D9" i="8"/>
  <c r="E9" i="8"/>
  <c r="C12" i="12"/>
  <c r="D12" i="12" s="1"/>
  <c r="E12" i="12" s="1"/>
  <c r="F12" i="12" s="1"/>
  <c r="D9" i="10"/>
  <c r="C9" i="10"/>
  <c r="K10" i="12"/>
  <c r="C13" i="12"/>
  <c r="D13" i="12" s="1"/>
  <c r="E13" i="12" s="1"/>
  <c r="F13" i="12" s="1"/>
  <c r="C4" i="12"/>
  <c r="C10" i="1"/>
  <c r="Z19" i="5" s="1"/>
  <c r="B12" i="11"/>
  <c r="E17" i="8"/>
  <c r="D17" i="8"/>
  <c r="C15" i="10"/>
  <c r="C2" i="10"/>
  <c r="C3" i="10"/>
  <c r="C5" i="10"/>
  <c r="C11" i="12"/>
  <c r="D11" i="12" s="1"/>
  <c r="E11" i="12" s="1"/>
  <c r="F11" i="12" s="1"/>
  <c r="C10" i="10"/>
  <c r="D10" i="10"/>
  <c r="D13" i="10"/>
  <c r="C13" i="10"/>
  <c r="C6" i="10"/>
  <c r="D6" i="10"/>
  <c r="D18" i="10" s="1"/>
  <c r="D19" i="10" s="1"/>
  <c r="C10" i="13"/>
  <c r="D10" i="13"/>
  <c r="C12" i="18"/>
  <c r="B14" i="11"/>
  <c r="C12" i="1"/>
  <c r="Z21" i="5" s="1"/>
  <c r="C15" i="12"/>
  <c r="D15" i="12" s="1"/>
  <c r="E15" i="12" s="1"/>
  <c r="F15" i="12" s="1"/>
  <c r="K9" i="12"/>
  <c r="K6" i="12"/>
  <c r="D5" i="12"/>
  <c r="E5" i="12" s="1"/>
  <c r="F5" i="12" s="1"/>
  <c r="C14" i="13"/>
  <c r="D12" i="10"/>
  <c r="C12" i="10"/>
  <c r="B15" i="11"/>
  <c r="C13" i="1"/>
  <c r="Z22" i="5" s="1"/>
  <c r="C16" i="10"/>
  <c r="C6" i="1"/>
  <c r="Z15" i="5" s="1"/>
  <c r="B8" i="11"/>
  <c r="C12" i="13"/>
  <c r="C7" i="10"/>
  <c r="D7" i="10"/>
  <c r="C13" i="11"/>
  <c r="E12" i="13"/>
  <c r="C4" i="10"/>
  <c r="E17" i="13"/>
  <c r="C18" i="11"/>
  <c r="F20" i="15"/>
  <c r="C8" i="12"/>
  <c r="D8" i="12" s="1"/>
  <c r="E8" i="12" s="1"/>
  <c r="F8" i="12" s="1"/>
  <c r="C11" i="10"/>
  <c r="C7" i="18"/>
  <c r="C8" i="10"/>
  <c r="D8" i="10"/>
  <c r="C9" i="12"/>
  <c r="D9" i="12" s="1"/>
  <c r="E9" i="12" s="1"/>
  <c r="F9" i="12" s="1"/>
  <c r="B10" i="11"/>
  <c r="C8" i="1"/>
  <c r="Z17" i="5" s="1"/>
  <c r="K7" i="12"/>
  <c r="G13" i="15"/>
  <c r="H13" i="15"/>
  <c r="B10" i="8"/>
  <c r="C9" i="13"/>
  <c r="D9" i="13"/>
  <c r="C7" i="13"/>
  <c r="C8" i="18"/>
  <c r="C15" i="18"/>
  <c r="C6" i="18"/>
  <c r="C10" i="18"/>
  <c r="C2" i="18"/>
  <c r="C9" i="18"/>
  <c r="C5" i="18"/>
  <c r="C4" i="18"/>
  <c r="C3" i="18"/>
  <c r="B19" i="12"/>
  <c r="F17" i="20"/>
  <c r="F20" i="20" s="1"/>
  <c r="E17" i="20"/>
  <c r="G17" i="20" s="1"/>
  <c r="G20" i="20" s="1"/>
  <c r="H20" i="15"/>
  <c r="C15" i="1"/>
  <c r="Z25" i="5" s="1"/>
  <c r="B18" i="11"/>
  <c r="C7" i="1"/>
  <c r="Z16" i="5" s="1"/>
  <c r="B9" i="11"/>
  <c r="C5" i="13"/>
  <c r="D8" i="8"/>
  <c r="E8" i="8"/>
  <c r="C14" i="18"/>
  <c r="C8" i="11"/>
  <c r="E7" i="13" s="1"/>
  <c r="E15" i="8"/>
  <c r="D15" i="8"/>
  <c r="C6" i="11"/>
  <c r="E5" i="13" s="1"/>
  <c r="C11" i="18"/>
  <c r="C14" i="10"/>
  <c r="Z12" i="5"/>
  <c r="D20" i="20"/>
  <c r="C10" i="11" l="1"/>
  <c r="E9" i="13"/>
  <c r="C16" i="18"/>
  <c r="D10" i="8"/>
  <c r="D19" i="8" s="1"/>
  <c r="E10" i="8"/>
  <c r="B18" i="8"/>
  <c r="D18" i="13"/>
  <c r="D19" i="13" s="1"/>
  <c r="C16" i="1"/>
  <c r="C18" i="10"/>
  <c r="K16" i="12"/>
  <c r="E7" i="12"/>
  <c r="F7" i="12" s="1"/>
  <c r="D4" i="12"/>
  <c r="C19" i="12"/>
  <c r="I13" i="15"/>
  <c r="I20" i="15" s="1"/>
  <c r="G20" i="15"/>
  <c r="C18" i="13"/>
  <c r="K8" i="12"/>
  <c r="K11" i="12"/>
  <c r="E20" i="20"/>
  <c r="C11" i="11"/>
  <c r="E10" i="13" s="1"/>
  <c r="D18" i="8" l="1"/>
  <c r="E18" i="8"/>
  <c r="D19" i="12"/>
  <c r="E4" i="12"/>
  <c r="C19" i="11"/>
  <c r="B19" i="8"/>
  <c r="C5" i="8" l="1"/>
  <c r="C11" i="8"/>
  <c r="C2" i="8"/>
  <c r="C16" i="8"/>
  <c r="C3" i="8"/>
  <c r="C7" i="8"/>
  <c r="C13" i="8"/>
  <c r="C4" i="8"/>
  <c r="C14" i="8"/>
  <c r="C12" i="8"/>
  <c r="C6" i="8"/>
  <c r="C17" i="8"/>
  <c r="C8" i="8"/>
  <c r="C9" i="8"/>
  <c r="C15" i="8"/>
  <c r="C10" i="8"/>
  <c r="F4" i="12"/>
  <c r="E19" i="12"/>
  <c r="F19" i="12" s="1"/>
  <c r="F20" i="12" s="1"/>
  <c r="C18" i="8"/>
  <c r="C19" i="8" l="1"/>
</calcChain>
</file>

<file path=xl/sharedStrings.xml><?xml version="1.0" encoding="utf-8"?>
<sst xmlns="http://schemas.openxmlformats.org/spreadsheetml/2006/main" count="650" uniqueCount="219">
  <si>
    <t>ETAPA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</si>
  <si>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</si>
  <si>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</si>
  <si>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</si>
  <si>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</si>
  <si>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</si>
  <si>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</si>
  <si>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</si>
  <si>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</si>
  <si>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</si>
  <si>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</si>
  <si>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</si>
  <si>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</si>
  <si>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</si>
  <si>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</si>
  <si>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</si>
  <si>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</si>
  <si>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</si>
  <si>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</si>
  <si>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</si>
  <si>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</si>
  <si>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</si>
  <si>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</si>
  <si>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</si>
  <si>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</si>
  <si>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</si>
  <si>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</si>
  <si>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</si>
  <si>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</si>
  <si>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</si>
  <si>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M2</t>
  </si>
  <si>
    <t>PAVIMENTOS</t>
  </si>
  <si>
    <t>m²</t>
  </si>
  <si>
    <t>DOM</t>
  </si>
  <si>
    <t>M VILLAGE</t>
  </si>
  <si>
    <t>LIBERATO</t>
  </si>
  <si>
    <t>PAESSAGGIO</t>
  </si>
  <si>
    <t>PAREDES E PAINÉIS</t>
  </si>
  <si>
    <t>LOUÇAS E METAIS</t>
  </si>
  <si>
    <t>Rótulos de Linha</t>
  </si>
  <si>
    <t>Total Geral</t>
  </si>
  <si>
    <t>Soma de %</t>
  </si>
  <si>
    <t>LA VIE - MG3</t>
  </si>
  <si>
    <t>MAIORI</t>
  </si>
  <si>
    <t>REVESTIMENTOS INTERNOS DE PISO E PAREDE</t>
  </si>
  <si>
    <t>NM</t>
  </si>
  <si>
    <t>CANTO GRANDE</t>
  </si>
  <si>
    <t>OPUS</t>
  </si>
  <si>
    <t>VALOR TOTAL</t>
  </si>
  <si>
    <t>VALOR POR UNIDADE 01</t>
  </si>
  <si>
    <t>VALOR POR UNIDADE 02</t>
  </si>
  <si>
    <t>ÁREA (m²)</t>
  </si>
  <si>
    <t>VALOR POR ÁREA PRIVATIVA (R$/m²)</t>
  </si>
  <si>
    <t>DESCRIÇÃO</t>
  </si>
  <si>
    <t>OBRAS DE REFERÊNCIA</t>
  </si>
  <si>
    <t>REVESTIMENTOS INTERNOS DE PAREDE</t>
  </si>
  <si>
    <t>PISOS E PAVIMENTAÇÕES</t>
  </si>
  <si>
    <t>RAVELLO</t>
  </si>
  <si>
    <t>ÁREA PRIVATIVA</t>
  </si>
  <si>
    <t>UNIDADES PRIVATIVAS</t>
  </si>
  <si>
    <t>MARINE</t>
  </si>
  <si>
    <t>VALOR SEM IMPREVISTOS</t>
  </si>
  <si>
    <t>IMPREVISTOS E CONTIGÊNCIAS</t>
  </si>
  <si>
    <t>VALOR POR UNIDADE 03</t>
  </si>
  <si>
    <t>VALOR POR UNIDADE 04</t>
  </si>
  <si>
    <t>VALOR POR UNIDADE 05</t>
  </si>
  <si>
    <t>IMPREVISTOS</t>
  </si>
  <si>
    <t>Imprevistos e contingências</t>
  </si>
  <si>
    <t>IMPERMEABILIZAÇÃO E TRATAMENTOS</t>
  </si>
  <si>
    <t>SISTEMAS E INSTALAÇÕES HIDROSSANITÁRIAS E DRENAGEM</t>
  </si>
  <si>
    <t>SISTEMAS E INSTALAÇÕES ELÉTRICAS</t>
  </si>
  <si>
    <t>INSTALAÇÕES PREVENTIVAS</t>
  </si>
  <si>
    <t>INSTALAÇÕES DE GÁS</t>
  </si>
  <si>
    <t>INSTALAÇÕES DE COMUNICAÇÕES</t>
  </si>
  <si>
    <t>IMPREVISTOS E CONTINGÊNCIAS</t>
  </si>
  <si>
    <t>CLIMATIZAÇÃO, EXAUSTÃO MECÂNICA E PRESSURIZAÇÃO</t>
  </si>
  <si>
    <t>Reboco interno</t>
  </si>
  <si>
    <t>Contrapiso</t>
  </si>
  <si>
    <t>Acabamentos cimentados em piso</t>
  </si>
  <si>
    <t>Rodapés</t>
  </si>
  <si>
    <t>SERVIÇOS COMPLEMENTARES E FINAIS</t>
  </si>
  <si>
    <t>eletrica</t>
  </si>
  <si>
    <t>hidro</t>
  </si>
  <si>
    <t>gas</t>
  </si>
  <si>
    <t>preventivo</t>
  </si>
  <si>
    <t>comunicação</t>
  </si>
  <si>
    <t>especiais</t>
  </si>
  <si>
    <t>climatização</t>
  </si>
  <si>
    <t>VALOR</t>
  </si>
  <si>
    <t>DIFERENÇA</t>
  </si>
  <si>
    <t>Observação</t>
  </si>
  <si>
    <t>ESTRUTURA</t>
  </si>
  <si>
    <t>custo de aço extremamente alto</t>
  </si>
  <si>
    <t>Incluso climatização</t>
  </si>
  <si>
    <t>TRAMONTI</t>
  </si>
  <si>
    <t>REVESTIMENTOS ARGAMASSADOS DE PAREDE</t>
  </si>
  <si>
    <t>ACABAMENTOS INTERNOS DE PAREDE</t>
  </si>
  <si>
    <t>REVESTIMENTOS INTERNOS DE TETO</t>
  </si>
  <si>
    <t>SISTEMAS DE PINTURA</t>
  </si>
  <si>
    <t>EXECUTIVO</t>
  </si>
  <si>
    <t>ESTRUTURA GERAL</t>
  </si>
  <si>
    <t>Reboco Externo</t>
  </si>
  <si>
    <t>Acabamentos cerâmicos e Porcelanato em piso</t>
  </si>
  <si>
    <t>Acabamentos especiais em piso</t>
  </si>
  <si>
    <t>PINTURA EXTERNA</t>
  </si>
  <si>
    <t>CONTENÇÕES</t>
  </si>
  <si>
    <t>SUPRAESTRUTURA + INFRA + CONTENÇÕES</t>
  </si>
  <si>
    <t>INSTALAÇÕES ELÉTRICAS, HIDRÁULICAS, GLP E PREVENTIVAS E COMUNICAÇÃO E LOUÇAS E METAIS</t>
  </si>
  <si>
    <t>REVESTIMENTOS INTERNOS E EXTERNOS DE PAREDE</t>
  </si>
  <si>
    <t>PINTURA INTERNA E EXTERNA</t>
  </si>
  <si>
    <t>PRELIMINAR - R01</t>
  </si>
  <si>
    <t>Informaram valores de contrato</t>
  </si>
  <si>
    <t>Aumento do valor do aço</t>
  </si>
  <si>
    <t>Valor de combo material e mão de obra maiores</t>
  </si>
  <si>
    <t>VALOR  / m²</t>
  </si>
  <si>
    <t>PROFUNDIDADE DAS ESTACAS E CONTENÇÕES</t>
  </si>
  <si>
    <t>93/M2 SÓ DE CONTNEÇÃO</t>
  </si>
  <si>
    <t>ATUAL</t>
  </si>
  <si>
    <t>As pinturas das áreas comuns foram movidos para serviços finais</t>
  </si>
  <si>
    <t>Os revestimentos das áreas comuns foram movidos para serviços finais</t>
  </si>
  <si>
    <t>Okay</t>
  </si>
  <si>
    <t>Itens diferentes que normalmente não são considerados no resto do empreendimentos</t>
  </si>
  <si>
    <t>Temos mais areas com forro acartonado, o qual o custo é mais elevado</t>
  </si>
  <si>
    <t>Valores praticados repassados pela amalfi</t>
  </si>
  <si>
    <t>Valor da mão de obra é relativamente maior do que as demais obras</t>
  </si>
  <si>
    <t>MEGA</t>
  </si>
  <si>
    <t>SEM IMPREVISTO</t>
  </si>
  <si>
    <t>Mão de Obra - INTERNO</t>
  </si>
  <si>
    <t>Mão de Obra - EXTERNO</t>
  </si>
  <si>
    <t>Mão de obra - acabamentos em pisos e pavimentações - CIMENTADOS</t>
  </si>
  <si>
    <t>Mão de obra - acabamentos em pisos e pavimentações - RESTO</t>
  </si>
  <si>
    <t>PAESSAGIO</t>
  </si>
  <si>
    <t>PAESSGIO</t>
  </si>
  <si>
    <t>33 PAV</t>
  </si>
  <si>
    <t>55 UNI</t>
  </si>
  <si>
    <t>Ajustes dos custos solicitados, e adicionado bandejas</t>
  </si>
  <si>
    <t>Menos blocos silics calcarios (+barato);
Menos drywall (+barato)
Refino de quantidades e preços</t>
  </si>
  <si>
    <t>Refinamento de quantidade + aumento valor real do estucamento</t>
  </si>
  <si>
    <t>Acabamentos especiais para mobiliario</t>
  </si>
  <si>
    <t>INFRAESTRUTURA E SUPRAESTRUTURA</t>
  </si>
  <si>
    <t>ELEVADOR</t>
  </si>
  <si>
    <t>CLIMATIZAÇÃO</t>
  </si>
  <si>
    <t>LOUÇAS</t>
  </si>
  <si>
    <t>Soma de VALOR ORÇADO</t>
  </si>
  <si>
    <t>Soma de VALOR / m²</t>
  </si>
  <si>
    <t>Temos mais pintura, com valores maiores de mão de obra</t>
  </si>
  <si>
    <t>Valores de mercado aumentaram, como pele de vidro, brise e guarda-corpo</t>
  </si>
  <si>
    <t>Retirada de ligação definitiva + valor atualizado ao da amalfi de desmobilização + mobiliario e paisagismo valor mais barato</t>
  </si>
  <si>
    <t>Valor atualizado com maior quantidade de forro acartonado do que anteriormente, que era somente mineral</t>
  </si>
  <si>
    <t>Valor mais barato de contrapiso e sem manta acustica no executivo</t>
  </si>
  <si>
    <t>PAREDE</t>
  </si>
  <si>
    <t>PISO</t>
  </si>
  <si>
    <t>AMBIENTE</t>
  </si>
  <si>
    <t>DELIVERY</t>
  </si>
  <si>
    <t>PORCELANATO ELIANE 60X60 BOLD ACETINADO BLEND PLUS</t>
  </si>
  <si>
    <t>ZELADORIA</t>
  </si>
  <si>
    <t>MARKETPLACE</t>
  </si>
  <si>
    <t>TINTA CAFÉ EXPRESSO</t>
  </si>
  <si>
    <t>TINTA MADEIRA ESFUMAÇADA</t>
  </si>
  <si>
    <t>BWC ZELADORIA</t>
  </si>
  <si>
    <t>TINTA BEGE</t>
  </si>
  <si>
    <t>MONITORAMENTO</t>
  </si>
  <si>
    <t>CIRCULAÇÃO G2</t>
  </si>
  <si>
    <t>TINTA CAFÉ EXPRESSO E BEGE</t>
  </si>
  <si>
    <t xml:space="preserve"> PORCELANATO BLEND PLUS GREY RETIFICADO ACETINADO 60X60 ELIANE</t>
  </si>
  <si>
    <t>REVESTIMENTO REALCE 32X56 BRANCO BRILHANTE</t>
  </si>
  <si>
    <t>PISO RETIFICADO EMBRAMACO 76X76CM ACETINADO</t>
  </si>
  <si>
    <t>BICICLETÁRIO</t>
  </si>
  <si>
    <t>TINTA CINZA ELEFANTE</t>
  </si>
  <si>
    <t>ACADEMIA FUNCIONAL EXTERNA</t>
  </si>
  <si>
    <t>PORCELANATO AMADEIRADO</t>
  </si>
  <si>
    <t>ÁREA PISCINA</t>
  </si>
  <si>
    <t xml:space="preserve"> PORCELANATO DELTA 73X73 RETIFICADO ACETINADO JUA CLARO 2280-A</t>
  </si>
  <si>
    <t>TERRAÇO SALÃO DE FESTAS + FIRE PLACE</t>
  </si>
  <si>
    <t>HORTA</t>
  </si>
  <si>
    <t>PORCELANATO PRO CONCRETE ABS 89,5X89,5CM</t>
  </si>
  <si>
    <t>ÁREA CHURRASCO EXTERNO</t>
  </si>
  <si>
    <t>-</t>
  </si>
  <si>
    <t>ESPAÇO ZEN</t>
  </si>
  <si>
    <t>PORCELANATO VILLAGRES 71X71 RETIFICADO ACETINADO MONTREAL FENDI</t>
  </si>
  <si>
    <t>QUIOSQUE PISCINA</t>
  </si>
  <si>
    <t>PORCELANATO TIPO ARGILA | PORTOBELLO</t>
  </si>
  <si>
    <t>TINTA BABOSA</t>
  </si>
  <si>
    <t xml:space="preserve"> PISO 75X75CM CEDASA RETIFICADO EVIDENCE POLIDO</t>
  </si>
  <si>
    <t xml:space="preserve"> PISO 75X75CM CEDASA RETIFICADO EVIDENCE POLIDO + TINTA BRANCA</t>
  </si>
  <si>
    <t>QUIOSQUE SPORT</t>
  </si>
  <si>
    <t>SALA DE JOGOS</t>
  </si>
  <si>
    <t xml:space="preserve">PORCELANATO BIANCOGRES 20X120 SCALA BEIGE-A RET </t>
  </si>
  <si>
    <t>PORCELANATO CIMENTÍCIO ACETINADO BORDA RETA INTERNO 120X120CM MUNARI BRANCO ELIANE</t>
  </si>
  <si>
    <t>SALÃO DE FESTAS</t>
  </si>
  <si>
    <t>PORCELANATO MARMORIZADO POLIDO BORDA RETA INTERNO 90X90CM AVORIO DI BRESCIA PORTOBELLO</t>
  </si>
  <si>
    <t>CIRCULAÇÃO + BANHEIROS</t>
  </si>
  <si>
    <t>BANHEIROS</t>
  </si>
  <si>
    <t>PORCELANATO ELIZABETH EGEU SAND 74x74 A</t>
  </si>
  <si>
    <t>CIRCULAÇÃO</t>
  </si>
  <si>
    <t>TINTA MADEIRA ESFUMAÇADA + CAFÉ EXPRESSO</t>
  </si>
  <si>
    <t xml:space="preserve">PORCELANATO TIJOLINHO + TEXTURA CIMENTO QUEIMADO COR CINZA ELEFANTE  </t>
  </si>
  <si>
    <t>ESPAÇO TEEN</t>
  </si>
  <si>
    <t>TINTA AREIA + SALMÃO</t>
  </si>
  <si>
    <t>PISO VINILICO</t>
  </si>
  <si>
    <t>LAVANDERIA</t>
  </si>
  <si>
    <t>ACADEMIA</t>
  </si>
  <si>
    <t>TINTA PATATIVA</t>
  </si>
  <si>
    <t>TINTA BEGE + BABOSA</t>
  </si>
  <si>
    <t>PISO MONOLITICO</t>
  </si>
  <si>
    <t>BRINQUEDOTECA</t>
  </si>
  <si>
    <t>HALL</t>
  </si>
  <si>
    <t>PORCELANATO BIANCOGRES RIPA SENSE 45X90 ACETINADO</t>
  </si>
  <si>
    <t>TEXTURA VELVET QUEIMADO + PORCELANATO BIANCOGRES RIPA SENSE 45X90 ACETINADO + TINTA PORCELANA</t>
  </si>
  <si>
    <t>CIRCULAÇÃO HALL</t>
  </si>
  <si>
    <t>PISO PORCELANATO</t>
  </si>
  <si>
    <t>BANHEIRO HALL</t>
  </si>
  <si>
    <t>TINTA PORCELANA</t>
  </si>
  <si>
    <t>TINTA MADEIRA ESFUMAÇADA + PORCELANA</t>
  </si>
  <si>
    <t>Utilizado itens do projetista</t>
  </si>
  <si>
    <t>Retirada itens de piscina</t>
  </si>
  <si>
    <t>EXECUTIVO R01</t>
  </si>
  <si>
    <t>EXECUTIVO R00</t>
  </si>
  <si>
    <t>Analises estão discretizadas no relatorio da 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</si>
</sst>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* #.##0.00_-;\-* #.##0.00_-;_-* &quot;-&quot;??_-;_-@_-"/>
    <numFmt numFmtId="166" formatCode="#,##0.0000"/>
    <numFmt numFmtId="167" formatCode="_-* #,##0_-;\-* #,##0_-;_-* &quot;-&quot;??_-;_-@"/>
    <numFmt numFmtId="168" formatCode="_-* #,##0.0000_-;\-* #,##0.0000_-;_-* &quot;-&quot;??_-;_-@_-"/>
    <numFmt numFmtId="169" formatCode="_(* #,##0.00_);_(* \(#,##0.00\);_(* &quot;-&quot;??_);_(@_)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sz val="11"/>
      <color rgb="FF92D050"/>
      <name val="Poppins"/>
    </font>
    <font>
      <b/>
      <sz val="11"/>
      <color theme="1"/>
      <name val="Poppins"/>
    </font>
    <font>
      <sz val="8"/>
      <name val="Calibri"/>
      <family val="2"/>
      <scheme val="minor"/>
    </font>
    <font>
      <sz val="8"/>
      <color rgb="FF3B3B3B"/>
      <name val="Tahoma"/>
      <family val="2"/>
    </font>
    <font>
      <sz val="10"/>
      <name val="Poppins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Poppins"/>
    </font>
    <font>
      <sz val="8"/>
      <color rgb="FFFF000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Poppins"/>
    </font>
    <font>
      <b/>
      <sz val="10"/>
      <color rgb="FF121212"/>
      <name val="Poppins"/>
    </font>
  </fonts>
  <fills count="17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4999237037263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thin">
        <color rgb="FF646464"/>
      </right>
      <top/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646464"/>
      </right>
      <top style="medium">
        <color indexed="64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medium">
        <color indexed="64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/>
      <bottom style="medium">
        <color indexed="64"/>
      </bottom>
      <diagonal/>
    </border>
    <border>
      <left style="thin">
        <color rgb="FF6464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44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4"/>
    <xf numFmtId="9" fontId="6" fillId="0" borderId="4" applyFont="0" applyFill="0" applyBorder="0" applyAlignment="0" applyProtection="0"/>
    <xf numFmtId="9" fontId="22" fillId="0" borderId="0" applyFont="0" applyFill="0" applyBorder="0" applyAlignment="0" applyProtection="0"/>
    <xf numFmtId="0" fontId="2" fillId="0" borderId="4"/>
    <xf numFmtId="43" fontId="2" fillId="0" borderId="4" applyFont="0" applyFill="0" applyBorder="0" applyAlignment="0" applyProtection="0"/>
    <xf numFmtId="44" fontId="2" fillId="0" borderId="4" applyFont="0" applyFill="0" applyBorder="0" applyAlignment="0" applyProtection="0"/>
    <xf numFmtId="0" fontId="28" fillId="8" borderId="4" applyNumberFormat="0" applyFont="0" applyFill="0" applyBorder="0" applyAlignment="0" applyProtection="0">
      <alignment horizontal="left" vertical="top" wrapText="1"/>
    </xf>
    <xf numFmtId="0" fontId="32" fillId="0" borderId="4" applyNumberFormat="0" applyFont="0" applyFill="0" applyBorder="0" applyAlignment="0" applyProtection="0"/>
    <xf numFmtId="169" fontId="32" fillId="0" borderId="4" applyNumberFormat="0" applyFont="0" applyFill="0" applyBorder="0" applyAlignment="0" applyProtection="0"/>
  </cellStyleXfs>
  <cellXfs count="265">
    <xf numFmtId="0" fontId="0" fillId="0" borderId="0" xfId="0"/>
    <xf numFmtId="0" fontId="11" fillId="0" borderId="0" xfId="0" applyFont="1"/>
    <xf numFmtId="0" fontId="11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/>
    <xf numFmtId="0" fontId="12" fillId="0" borderId="0" xfId="0" applyFont="1" applyAlignment="1">
      <alignment vertical="center"/>
    </xf>
    <xf numFmtId="10" fontId="11" fillId="3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4" fontId="13" fillId="0" borderId="0" xfId="0" applyNumberFormat="1" applyFont="1"/>
    <xf numFmtId="0" fontId="0" fillId="0" borderId="4" xfId="0" applyBorder="1"/>
    <xf numFmtId="44" fontId="0" fillId="0" borderId="7" xfId="1" applyFont="1" applyBorder="1"/>
    <xf numFmtId="0" fontId="16" fillId="0" borderId="0" xfId="0" applyFont="1"/>
    <xf numFmtId="44" fontId="0" fillId="0" borderId="7" xfId="1" applyFont="1" applyFill="1" applyBorder="1"/>
    <xf numFmtId="0" fontId="7" fillId="0" borderId="0" xfId="0" applyFont="1"/>
    <xf numFmtId="165" fontId="12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164" fontId="14" fillId="0" borderId="4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5" fillId="0" borderId="24" xfId="1" applyFont="1" applyBorder="1"/>
    <xf numFmtId="0" fontId="0" fillId="0" borderId="10" xfId="0" applyBorder="1"/>
    <xf numFmtId="0" fontId="8" fillId="7" borderId="14" xfId="0" applyFont="1" applyFill="1" applyBorder="1" applyAlignment="1">
      <alignment horizontal="left" vertical="center"/>
    </xf>
    <xf numFmtId="44" fontId="19" fillId="5" borderId="21" xfId="0" applyNumberFormat="1" applyFont="1" applyFill="1" applyBorder="1"/>
    <xf numFmtId="44" fontId="19" fillId="5" borderId="21" xfId="0" applyNumberFormat="1" applyFont="1" applyFill="1" applyBorder="1" applyAlignment="1">
      <alignment horizontal="center"/>
    </xf>
    <xf numFmtId="44" fontId="19" fillId="5" borderId="26" xfId="0" applyNumberFormat="1" applyFont="1" applyFill="1" applyBorder="1" applyAlignment="1">
      <alignment horizontal="center"/>
    </xf>
    <xf numFmtId="44" fontId="19" fillId="5" borderId="22" xfId="0" applyNumberFormat="1" applyFont="1" applyFill="1" applyBorder="1" applyAlignment="1">
      <alignment horizontal="center"/>
    </xf>
    <xf numFmtId="0" fontId="19" fillId="5" borderId="5" xfId="0" applyFont="1" applyFill="1" applyBorder="1"/>
    <xf numFmtId="0" fontId="19" fillId="5" borderId="9" xfId="0" applyFont="1" applyFill="1" applyBorder="1"/>
    <xf numFmtId="43" fontId="0" fillId="0" borderId="0" xfId="2" applyFont="1"/>
    <xf numFmtId="43" fontId="19" fillId="5" borderId="11" xfId="2" applyFont="1" applyFill="1" applyBorder="1" applyAlignment="1">
      <alignment horizontal="center"/>
    </xf>
    <xf numFmtId="43" fontId="11" fillId="0" borderId="0" xfId="2" applyFont="1" applyAlignment="1">
      <alignment horizontal="center"/>
    </xf>
    <xf numFmtId="43" fontId="11" fillId="0" borderId="0" xfId="2" applyFont="1"/>
    <xf numFmtId="10" fontId="11" fillId="4" borderId="28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9" fontId="8" fillId="2" borderId="11" xfId="0" applyNumberFormat="1" applyFont="1" applyFill="1" applyBorder="1" applyAlignment="1">
      <alignment horizontal="center" vertical="center"/>
    </xf>
    <xf numFmtId="17" fontId="8" fillId="2" borderId="11" xfId="0" applyNumberFormat="1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left" vertical="center"/>
    </xf>
    <xf numFmtId="164" fontId="11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19" fillId="6" borderId="21" xfId="0" applyNumberFormat="1" applyFont="1" applyFill="1" applyBorder="1"/>
    <xf numFmtId="43" fontId="8" fillId="2" borderId="6" xfId="2" applyFont="1" applyFill="1" applyBorder="1" applyAlignment="1">
      <alignment horizontal="center" vertical="center"/>
    </xf>
    <xf numFmtId="43" fontId="8" fillId="2" borderId="8" xfId="2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right"/>
    </xf>
    <xf numFmtId="164" fontId="8" fillId="2" borderId="13" xfId="0" applyNumberFormat="1" applyFont="1" applyFill="1" applyBorder="1" applyAlignment="1">
      <alignment horizontal="center"/>
    </xf>
    <xf numFmtId="43" fontId="9" fillId="2" borderId="10" xfId="2" applyFont="1" applyFill="1" applyBorder="1" applyAlignment="1">
      <alignment horizontal="center"/>
    </xf>
    <xf numFmtId="44" fontId="7" fillId="0" borderId="19" xfId="1" applyFont="1" applyBorder="1"/>
    <xf numFmtId="44" fontId="21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44" fontId="21" fillId="0" borderId="7" xfId="1" applyFont="1" applyBorder="1"/>
    <xf numFmtId="0" fontId="19" fillId="5" borderId="4" xfId="0" applyFont="1" applyFill="1" applyBorder="1"/>
    <xf numFmtId="0" fontId="3" fillId="0" borderId="0" xfId="0" applyFont="1"/>
    <xf numFmtId="43" fontId="19" fillId="5" borderId="21" xfId="2" applyFont="1" applyFill="1" applyBorder="1" applyAlignment="1">
      <alignment horizontal="center" vertical="center"/>
    </xf>
    <xf numFmtId="43" fontId="12" fillId="0" borderId="16" xfId="0" applyNumberFormat="1" applyFont="1" applyBorder="1" applyAlignment="1">
      <alignment vertical="center"/>
    </xf>
    <xf numFmtId="44" fontId="23" fillId="6" borderId="21" xfId="0" applyNumberFormat="1" applyFont="1" applyFill="1" applyBorder="1"/>
    <xf numFmtId="17" fontId="4" fillId="0" borderId="6" xfId="0" applyNumberFormat="1" applyFont="1" applyBorder="1"/>
    <xf numFmtId="43" fontId="12" fillId="0" borderId="0" xfId="0" applyNumberFormat="1" applyFont="1" applyAlignment="1">
      <alignment vertical="center"/>
    </xf>
    <xf numFmtId="164" fontId="18" fillId="3" borderId="2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10" fontId="0" fillId="0" borderId="0" xfId="5" applyNumberFormat="1" applyFont="1"/>
    <xf numFmtId="43" fontId="24" fillId="0" borderId="31" xfId="2" applyFont="1" applyFill="1" applyBorder="1" applyAlignment="1">
      <alignment vertical="top" wrapText="1"/>
    </xf>
    <xf numFmtId="2" fontId="12" fillId="0" borderId="0" xfId="0" applyNumberFormat="1" applyFont="1" applyAlignment="1">
      <alignment vertical="center"/>
    </xf>
    <xf numFmtId="164" fontId="8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4" fontId="8" fillId="2" borderId="11" xfId="0" applyNumberFormat="1" applyFont="1" applyFill="1" applyBorder="1" applyAlignment="1">
      <alignment horizontal="left" vertical="center"/>
    </xf>
    <xf numFmtId="44" fontId="8" fillId="2" borderId="11" xfId="1" applyFont="1" applyFill="1" applyBorder="1" applyAlignment="1">
      <alignment horizontal="center" vertical="center"/>
    </xf>
    <xf numFmtId="167" fontId="8" fillId="2" borderId="11" xfId="0" applyNumberFormat="1" applyFont="1" applyFill="1" applyBorder="1" applyAlignment="1">
      <alignment horizontal="right" vertical="center"/>
    </xf>
    <xf numFmtId="44" fontId="11" fillId="3" borderId="2" xfId="1" applyFont="1" applyFill="1" applyBorder="1" applyAlignment="1">
      <alignment horizontal="left" vertical="center"/>
    </xf>
    <xf numFmtId="44" fontId="18" fillId="4" borderId="28" xfId="1" applyFont="1" applyFill="1" applyBorder="1" applyAlignment="1">
      <alignment horizontal="left" vertical="center"/>
    </xf>
    <xf numFmtId="44" fontId="8" fillId="2" borderId="13" xfId="1" applyFont="1" applyFill="1" applyBorder="1" applyAlignment="1">
      <alignment horizontal="right"/>
    </xf>
    <xf numFmtId="44" fontId="11" fillId="4" borderId="3" xfId="1" applyFont="1" applyFill="1" applyBorder="1" applyAlignment="1">
      <alignment horizontal="right" vertical="center"/>
    </xf>
    <xf numFmtId="44" fontId="11" fillId="3" borderId="3" xfId="1" applyFont="1" applyFill="1" applyBorder="1" applyAlignment="1">
      <alignment horizontal="right" vertical="center"/>
    </xf>
    <xf numFmtId="44" fontId="8" fillId="2" borderId="11" xfId="1" applyFont="1" applyFill="1" applyBorder="1" applyAlignment="1">
      <alignment horizontal="right" vertical="center"/>
    </xf>
    <xf numFmtId="4" fontId="11" fillId="4" borderId="32" xfId="0" applyNumberFormat="1" applyFont="1" applyFill="1" applyBorder="1" applyAlignment="1">
      <alignment horizontal="center" vertical="center"/>
    </xf>
    <xf numFmtId="4" fontId="11" fillId="3" borderId="33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44" fontId="11" fillId="4" borderId="30" xfId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44" fontId="18" fillId="3" borderId="2" xfId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1" fillId="0" borderId="0" xfId="0" applyFont="1"/>
    <xf numFmtId="44" fontId="0" fillId="0" borderId="0" xfId="0" applyNumberFormat="1"/>
    <xf numFmtId="0" fontId="18" fillId="4" borderId="27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20" fillId="0" borderId="4" xfId="0" applyFont="1" applyBorder="1" applyAlignment="1">
      <alignment vertical="center"/>
    </xf>
    <xf numFmtId="43" fontId="12" fillId="0" borderId="4" xfId="0" applyNumberFormat="1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44" fontId="18" fillId="4" borderId="2" xfId="0" applyNumberFormat="1" applyFont="1" applyFill="1" applyBorder="1" applyAlignment="1">
      <alignment horizontal="left" vertical="center"/>
    </xf>
    <xf numFmtId="44" fontId="18" fillId="3" borderId="2" xfId="0" applyNumberFormat="1" applyFont="1" applyFill="1" applyBorder="1" applyAlignment="1">
      <alignment horizontal="left" vertical="center"/>
    </xf>
    <xf numFmtId="0" fontId="2" fillId="0" borderId="4" xfId="6"/>
    <xf numFmtId="43" fontId="0" fillId="0" borderId="4" xfId="7" applyFont="1"/>
    <xf numFmtId="0" fontId="11" fillId="0" borderId="4" xfId="6" applyFont="1"/>
    <xf numFmtId="164" fontId="11" fillId="0" borderId="4" xfId="6" applyNumberFormat="1" applyFont="1"/>
    <xf numFmtId="43" fontId="11" fillId="0" borderId="4" xfId="7" applyFont="1" applyAlignment="1">
      <alignment horizontal="center"/>
    </xf>
    <xf numFmtId="4" fontId="2" fillId="0" borderId="4" xfId="6" applyNumberFormat="1" applyAlignment="1">
      <alignment vertical="top"/>
    </xf>
    <xf numFmtId="43" fontId="11" fillId="0" borderId="4" xfId="7" applyFont="1"/>
    <xf numFmtId="166" fontId="2" fillId="0" borderId="4" xfId="6" applyNumberFormat="1" applyAlignment="1">
      <alignment vertical="top"/>
    </xf>
    <xf numFmtId="0" fontId="11" fillId="0" borderId="4" xfId="6" applyFont="1" applyAlignment="1">
      <alignment vertical="center"/>
    </xf>
    <xf numFmtId="44" fontId="8" fillId="2" borderId="13" xfId="8" applyFont="1" applyFill="1" applyBorder="1" applyAlignment="1">
      <alignment horizontal="right"/>
    </xf>
    <xf numFmtId="0" fontId="8" fillId="2" borderId="9" xfId="6" applyFont="1" applyFill="1" applyBorder="1" applyAlignment="1">
      <alignment horizontal="right"/>
    </xf>
    <xf numFmtId="164" fontId="11" fillId="4" borderId="28" xfId="6" applyNumberFormat="1" applyFont="1" applyFill="1" applyBorder="1" applyAlignment="1">
      <alignment horizontal="center" vertical="center"/>
    </xf>
    <xf numFmtId="44" fontId="18" fillId="4" borderId="28" xfId="8" applyFont="1" applyFill="1" applyBorder="1" applyAlignment="1">
      <alignment horizontal="left" vertical="center"/>
    </xf>
    <xf numFmtId="0" fontId="11" fillId="4" borderId="29" xfId="6" applyFont="1" applyFill="1" applyBorder="1" applyAlignment="1">
      <alignment horizontal="left" vertical="center"/>
    </xf>
    <xf numFmtId="164" fontId="18" fillId="3" borderId="2" xfId="6" applyNumberFormat="1" applyFont="1" applyFill="1" applyBorder="1" applyAlignment="1">
      <alignment horizontal="center" vertical="center"/>
    </xf>
    <xf numFmtId="44" fontId="11" fillId="3" borderId="2" xfId="8" applyFont="1" applyFill="1" applyBorder="1" applyAlignment="1">
      <alignment horizontal="left" vertical="center"/>
    </xf>
    <xf numFmtId="0" fontId="18" fillId="3" borderId="18" xfId="6" applyFont="1" applyFill="1" applyBorder="1" applyAlignment="1">
      <alignment horizontal="left" vertical="center"/>
    </xf>
    <xf numFmtId="0" fontId="26" fillId="0" borderId="4" xfId="6" applyFont="1" applyAlignment="1">
      <alignment vertical="center"/>
    </xf>
    <xf numFmtId="164" fontId="11" fillId="0" borderId="4" xfId="6" applyNumberFormat="1" applyFont="1" applyAlignment="1">
      <alignment vertical="center"/>
    </xf>
    <xf numFmtId="0" fontId="8" fillId="2" borderId="11" xfId="6" applyFont="1" applyFill="1" applyBorder="1" applyAlignment="1">
      <alignment horizontal="center" vertical="center" wrapText="1"/>
    </xf>
    <xf numFmtId="164" fontId="8" fillId="2" borderId="11" xfId="6" applyNumberFormat="1" applyFont="1" applyFill="1" applyBorder="1" applyAlignment="1">
      <alignment horizontal="center" vertical="center" wrapText="1"/>
    </xf>
    <xf numFmtId="44" fontId="11" fillId="3" borderId="34" xfId="1" applyFont="1" applyFill="1" applyBorder="1" applyAlignment="1">
      <alignment horizontal="center" vertical="center"/>
    </xf>
    <xf numFmtId="44" fontId="11" fillId="4" borderId="35" xfId="1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left" vertical="center"/>
    </xf>
    <xf numFmtId="4" fontId="11" fillId="3" borderId="37" xfId="0" applyNumberFormat="1" applyFont="1" applyFill="1" applyBorder="1" applyAlignment="1">
      <alignment horizontal="center" vertical="center"/>
    </xf>
    <xf numFmtId="44" fontId="11" fillId="3" borderId="38" xfId="1" applyFont="1" applyFill="1" applyBorder="1" applyAlignment="1">
      <alignment horizontal="center" vertical="center"/>
    </xf>
    <xf numFmtId="44" fontId="18" fillId="3" borderId="2" xfId="1" applyFont="1" applyFill="1" applyBorder="1" applyAlignment="1">
      <alignment horizontal="center" vertical="center"/>
    </xf>
    <xf numFmtId="44" fontId="11" fillId="4" borderId="28" xfId="1" applyFont="1" applyFill="1" applyBorder="1" applyAlignment="1">
      <alignment horizontal="center" vertical="center"/>
    </xf>
    <xf numFmtId="44" fontId="8" fillId="2" borderId="13" xfId="1" applyFont="1" applyFill="1" applyBorder="1" applyAlignment="1">
      <alignment horizontal="center"/>
    </xf>
    <xf numFmtId="168" fontId="12" fillId="0" borderId="0" xfId="0" applyNumberFormat="1" applyFont="1" applyAlignment="1">
      <alignment vertical="center"/>
    </xf>
    <xf numFmtId="0" fontId="11" fillId="4" borderId="39" xfId="0" applyFont="1" applyFill="1" applyBorder="1" applyAlignment="1">
      <alignment horizontal="left" vertical="center"/>
    </xf>
    <xf numFmtId="4" fontId="11" fillId="4" borderId="40" xfId="0" applyNumberFormat="1" applyFont="1" applyFill="1" applyBorder="1" applyAlignment="1">
      <alignment horizontal="center" vertical="center"/>
    </xf>
    <xf numFmtId="44" fontId="11" fillId="4" borderId="41" xfId="1" applyFont="1" applyFill="1" applyBorder="1" applyAlignment="1">
      <alignment vertical="center"/>
    </xf>
    <xf numFmtId="44" fontId="12" fillId="0" borderId="0" xfId="0" applyNumberFormat="1" applyFont="1" applyAlignment="1">
      <alignment vertical="center"/>
    </xf>
    <xf numFmtId="2" fontId="30" fillId="0" borderId="11" xfId="2" applyNumberFormat="1" applyFont="1" applyBorder="1" applyAlignment="1">
      <alignment horizontal="center"/>
    </xf>
    <xf numFmtId="4" fontId="12" fillId="0" borderId="0" xfId="0" applyNumberFormat="1" applyFont="1" applyAlignment="1">
      <alignment vertical="center"/>
    </xf>
    <xf numFmtId="0" fontId="27" fillId="0" borderId="44" xfId="10" applyNumberFormat="1" applyFont="1" applyFill="1" applyBorder="1" applyAlignment="1">
      <alignment vertical="center"/>
    </xf>
    <xf numFmtId="0" fontId="31" fillId="9" borderId="43" xfId="0" applyFont="1" applyFill="1" applyBorder="1" applyAlignment="1">
      <alignment vertical="center"/>
    </xf>
    <xf numFmtId="0" fontId="27" fillId="10" borderId="44" xfId="10" applyNumberFormat="1" applyFont="1" applyFill="1" applyBorder="1" applyAlignment="1">
      <alignment vertical="center"/>
    </xf>
    <xf numFmtId="0" fontId="8" fillId="2" borderId="46" xfId="6" applyFont="1" applyFill="1" applyBorder="1" applyAlignment="1">
      <alignment horizontal="right"/>
    </xf>
    <xf numFmtId="44" fontId="29" fillId="3" borderId="47" xfId="1" applyFont="1" applyFill="1" applyBorder="1" applyAlignment="1">
      <alignment horizontal="left" vertical="center" wrapText="1"/>
    </xf>
    <xf numFmtId="44" fontId="29" fillId="4" borderId="48" xfId="1" applyFont="1" applyFill="1" applyBorder="1" applyAlignment="1">
      <alignment horizontal="left" vertical="center" wrapText="1"/>
    </xf>
    <xf numFmtId="44" fontId="29" fillId="3" borderId="49" xfId="1" applyFont="1" applyFill="1" applyBorder="1" applyAlignment="1">
      <alignment horizontal="left" vertical="center" wrapText="1"/>
    </xf>
    <xf numFmtId="44" fontId="29" fillId="3" borderId="50" xfId="1" applyFont="1" applyFill="1" applyBorder="1" applyAlignment="1">
      <alignment horizontal="left" vertical="center" wrapText="1"/>
    </xf>
    <xf numFmtId="0" fontId="10" fillId="0" borderId="12" xfId="6" applyFont="1" applyBorder="1"/>
    <xf numFmtId="44" fontId="11" fillId="4" borderId="32" xfId="1" applyFont="1" applyFill="1" applyBorder="1" applyAlignment="1">
      <alignment horizontal="center" vertical="center"/>
    </xf>
    <xf numFmtId="44" fontId="11" fillId="3" borderId="33" xfId="1" applyFont="1" applyFill="1" applyBorder="1" applyAlignment="1">
      <alignment horizontal="center" vertical="center"/>
    </xf>
    <xf numFmtId="44" fontId="11" fillId="4" borderId="40" xfId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164" fontId="18" fillId="3" borderId="2" xfId="0" applyNumberFormat="1" applyFont="1" applyFill="1" applyBorder="1" applyAlignment="1">
      <alignment horizontal="left" vertical="center"/>
    </xf>
    <xf numFmtId="164" fontId="11" fillId="4" borderId="28" xfId="0" applyNumberFormat="1" applyFont="1" applyFill="1" applyBorder="1" applyAlignment="1">
      <alignment horizontal="left" vertical="center"/>
    </xf>
    <xf numFmtId="44" fontId="11" fillId="4" borderId="28" xfId="1" applyFont="1" applyFill="1" applyBorder="1" applyAlignment="1">
      <alignment vertical="center"/>
    </xf>
    <xf numFmtId="44" fontId="18" fillId="3" borderId="2" xfId="1" applyFont="1" applyFill="1" applyBorder="1" applyAlignment="1">
      <alignment vertical="center"/>
    </xf>
    <xf numFmtId="164" fontId="34" fillId="0" borderId="0" xfId="0" applyNumberFormat="1" applyFont="1" applyAlignment="1">
      <alignment vertical="center" wrapText="1"/>
    </xf>
    <xf numFmtId="0" fontId="34" fillId="0" borderId="0" xfId="0" applyFont="1"/>
    <xf numFmtId="43" fontId="11" fillId="0" borderId="0" xfId="0" applyNumberFormat="1" applyFont="1" applyAlignment="1">
      <alignment vertical="center"/>
    </xf>
    <xf numFmtId="0" fontId="8" fillId="2" borderId="51" xfId="0" applyFont="1" applyFill="1" applyBorder="1" applyAlignment="1">
      <alignment horizontal="left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11" fillId="4" borderId="54" xfId="6" applyFont="1" applyFill="1" applyBorder="1" applyAlignment="1">
      <alignment horizontal="left" vertical="center"/>
    </xf>
    <xf numFmtId="164" fontId="11" fillId="4" borderId="55" xfId="6" applyNumberFormat="1" applyFont="1" applyFill="1" applyBorder="1" applyAlignment="1">
      <alignment horizontal="center" vertical="center"/>
    </xf>
    <xf numFmtId="44" fontId="11" fillId="4" borderId="56" xfId="1" applyFont="1" applyFill="1" applyBorder="1" applyAlignment="1">
      <alignment horizontal="center" vertical="center"/>
    </xf>
    <xf numFmtId="44" fontId="18" fillId="3" borderId="30" xfId="1" applyFont="1" applyFill="1" applyBorder="1" applyAlignment="1">
      <alignment horizontal="center" vertical="center"/>
    </xf>
    <xf numFmtId="44" fontId="11" fillId="4" borderId="57" xfId="1" applyFont="1" applyFill="1" applyBorder="1" applyAlignment="1">
      <alignment horizontal="center" vertical="center"/>
    </xf>
    <xf numFmtId="0" fontId="18" fillId="3" borderId="36" xfId="6" applyFont="1" applyFill="1" applyBorder="1" applyAlignment="1">
      <alignment horizontal="left" vertical="center"/>
    </xf>
    <xf numFmtId="164" fontId="18" fillId="3" borderId="58" xfId="6" applyNumberFormat="1" applyFont="1" applyFill="1" applyBorder="1" applyAlignment="1">
      <alignment horizontal="center" vertical="center"/>
    </xf>
    <xf numFmtId="44" fontId="18" fillId="3" borderId="41" xfId="1" applyFont="1" applyFill="1" applyBorder="1" applyAlignment="1">
      <alignment horizontal="center" vertical="center"/>
    </xf>
    <xf numFmtId="0" fontId="8" fillId="2" borderId="51" xfId="6" applyFont="1" applyFill="1" applyBorder="1" applyAlignment="1">
      <alignment horizontal="center" vertical="center"/>
    </xf>
    <xf numFmtId="0" fontId="9" fillId="2" borderId="52" xfId="6" applyFont="1" applyFill="1" applyBorder="1" applyAlignment="1">
      <alignment horizontal="center" vertical="center"/>
    </xf>
    <xf numFmtId="0" fontId="18" fillId="3" borderId="54" xfId="6" applyFont="1" applyFill="1" applyBorder="1" applyAlignment="1">
      <alignment horizontal="left" vertical="center"/>
    </xf>
    <xf numFmtId="164" fontId="18" fillId="3" borderId="55" xfId="6" applyNumberFormat="1" applyFont="1" applyFill="1" applyBorder="1" applyAlignment="1">
      <alignment horizontal="center" vertical="center"/>
    </xf>
    <xf numFmtId="164" fontId="18" fillId="3" borderId="56" xfId="6" applyNumberFormat="1" applyFont="1" applyFill="1" applyBorder="1" applyAlignment="1">
      <alignment horizontal="center" vertical="center"/>
    </xf>
    <xf numFmtId="164" fontId="11" fillId="4" borderId="57" xfId="6" applyNumberFormat="1" applyFont="1" applyFill="1" applyBorder="1" applyAlignment="1">
      <alignment horizontal="center" vertical="center"/>
    </xf>
    <xf numFmtId="164" fontId="18" fillId="3" borderId="30" xfId="6" applyNumberFormat="1" applyFont="1" applyFill="1" applyBorder="1" applyAlignment="1">
      <alignment horizontal="center" vertical="center"/>
    </xf>
    <xf numFmtId="0" fontId="11" fillId="4" borderId="39" xfId="6" applyFont="1" applyFill="1" applyBorder="1" applyAlignment="1">
      <alignment horizontal="left" vertical="center"/>
    </xf>
    <xf numFmtId="164" fontId="11" fillId="4" borderId="59" xfId="6" applyNumberFormat="1" applyFont="1" applyFill="1" applyBorder="1" applyAlignment="1">
      <alignment horizontal="center" vertical="center"/>
    </xf>
    <xf numFmtId="164" fontId="11" fillId="4" borderId="60" xfId="6" applyNumberFormat="1" applyFont="1" applyFill="1" applyBorder="1" applyAlignment="1">
      <alignment horizontal="center" vertical="center"/>
    </xf>
    <xf numFmtId="43" fontId="2" fillId="0" borderId="4" xfId="6" applyNumberFormat="1"/>
    <xf numFmtId="10" fontId="33" fillId="0" borderId="4" xfId="5" applyNumberFormat="1" applyFont="1" applyBorder="1"/>
    <xf numFmtId="4" fontId="31" fillId="0" borderId="43" xfId="0" applyNumberFormat="1" applyFont="1" applyBorder="1" applyAlignment="1">
      <alignment horizontal="center" vertical="center" wrapText="1"/>
    </xf>
    <xf numFmtId="4" fontId="27" fillId="0" borderId="44" xfId="11" applyNumberFormat="1" applyFont="1" applyFill="1" applyBorder="1" applyAlignment="1">
      <alignment horizontal="right" vertical="center" wrapText="1"/>
    </xf>
    <xf numFmtId="4" fontId="35" fillId="0" borderId="43" xfId="0" applyNumberFormat="1" applyFont="1" applyBorder="1" applyAlignment="1">
      <alignment horizontal="center" vertical="center" wrapText="1"/>
    </xf>
    <xf numFmtId="4" fontId="27" fillId="0" borderId="44" xfId="11" applyNumberFormat="1" applyFont="1" applyFill="1" applyBorder="1" applyAlignment="1">
      <alignment horizontal="center" vertical="center" wrapText="1"/>
    </xf>
    <xf numFmtId="0" fontId="31" fillId="12" borderId="43" xfId="0" applyFont="1" applyFill="1" applyBorder="1" applyAlignment="1">
      <alignment vertical="center"/>
    </xf>
    <xf numFmtId="4" fontId="27" fillId="12" borderId="44" xfId="11" applyNumberFormat="1" applyFont="1" applyFill="1" applyBorder="1" applyAlignment="1">
      <alignment horizontal="right" vertical="center" wrapText="1"/>
    </xf>
    <xf numFmtId="0" fontId="31" fillId="10" borderId="43" xfId="0" applyFont="1" applyFill="1" applyBorder="1" applyAlignment="1">
      <alignment vertical="center"/>
    </xf>
    <xf numFmtId="4" fontId="27" fillId="10" borderId="44" xfId="11" applyNumberFormat="1" applyFont="1" applyFill="1" applyBorder="1" applyAlignment="1">
      <alignment horizontal="right" vertical="center" wrapText="1"/>
    </xf>
    <xf numFmtId="4" fontId="27" fillId="9" borderId="44" xfId="11" applyNumberFormat="1" applyFont="1" applyFill="1" applyBorder="1" applyAlignment="1">
      <alignment horizontal="right" vertical="center" wrapText="1"/>
    </xf>
    <xf numFmtId="0" fontId="27" fillId="12" borderId="44" xfId="10" applyNumberFormat="1" applyFont="1" applyFill="1" applyBorder="1" applyAlignment="1">
      <alignment vertical="center"/>
    </xf>
    <xf numFmtId="0" fontId="27" fillId="13" borderId="44" xfId="10" applyNumberFormat="1" applyFont="1" applyFill="1" applyBorder="1" applyAlignment="1">
      <alignment vertical="center"/>
    </xf>
    <xf numFmtId="4" fontId="27" fillId="13" borderId="44" xfId="11" applyNumberFormat="1" applyFont="1" applyFill="1" applyBorder="1" applyAlignment="1">
      <alignment horizontal="right" vertical="center" wrapText="1"/>
    </xf>
    <xf numFmtId="0" fontId="27" fillId="14" borderId="44" xfId="10" applyNumberFormat="1" applyFont="1" applyFill="1" applyBorder="1" applyAlignment="1">
      <alignment vertical="center"/>
    </xf>
    <xf numFmtId="4" fontId="27" fillId="14" borderId="44" xfId="11" applyNumberFormat="1" applyFont="1" applyFill="1" applyBorder="1" applyAlignment="1">
      <alignment horizontal="right" vertical="center" wrapText="1"/>
    </xf>
    <xf numFmtId="0" fontId="27" fillId="15" borderId="44" xfId="10" applyNumberFormat="1" applyFont="1" applyFill="1" applyBorder="1" applyAlignment="1">
      <alignment vertical="center"/>
    </xf>
    <xf numFmtId="4" fontId="27" fillId="15" borderId="44" xfId="11" applyNumberFormat="1" applyFont="1" applyFill="1" applyBorder="1" applyAlignment="1">
      <alignment horizontal="right" vertical="center" wrapText="1"/>
    </xf>
    <xf numFmtId="2" fontId="12" fillId="12" borderId="0" xfId="0" applyNumberFormat="1" applyFont="1" applyFill="1" applyAlignment="1">
      <alignment vertical="center"/>
    </xf>
    <xf numFmtId="44" fontId="12" fillId="12" borderId="0" xfId="0" applyNumberFormat="1" applyFont="1" applyFill="1" applyAlignment="1">
      <alignment vertical="center"/>
    </xf>
    <xf numFmtId="44" fontId="29" fillId="3" borderId="48" xfId="1" applyFont="1" applyFill="1" applyBorder="1" applyAlignment="1">
      <alignment horizontal="left" vertical="center" wrapText="1"/>
    </xf>
    <xf numFmtId="44" fontId="29" fillId="3" borderId="61" xfId="1" applyFont="1" applyFill="1" applyBorder="1" applyAlignment="1">
      <alignment horizontal="left" vertical="center" wrapText="1"/>
    </xf>
    <xf numFmtId="43" fontId="0" fillId="0" borderId="0" xfId="0" applyNumberFormat="1"/>
    <xf numFmtId="0" fontId="0" fillId="0" borderId="19" xfId="1" applyNumberFormat="1" applyFont="1" applyBorder="1"/>
    <xf numFmtId="43" fontId="0" fillId="0" borderId="19" xfId="1" applyNumberFormat="1" applyFont="1" applyBorder="1"/>
    <xf numFmtId="0" fontId="0" fillId="6" borderId="20" xfId="1" applyNumberFormat="1" applyFont="1" applyFill="1" applyBorder="1"/>
    <xf numFmtId="0" fontId="1" fillId="0" borderId="4" xfId="0" applyFont="1" applyBorder="1"/>
    <xf numFmtId="0" fontId="1" fillId="0" borderId="0" xfId="0" applyFont="1"/>
    <xf numFmtId="0" fontId="37" fillId="0" borderId="0" xfId="0" applyFont="1"/>
    <xf numFmtId="0" fontId="38" fillId="0" borderId="0" xfId="0" applyFont="1" applyAlignment="1">
      <alignment vertical="center"/>
    </xf>
    <xf numFmtId="44" fontId="18" fillId="3" borderId="1" xfId="1" applyFont="1" applyFill="1" applyBorder="1" applyAlignment="1">
      <alignment horizontal="left" vertical="center"/>
    </xf>
    <xf numFmtId="44" fontId="18" fillId="4" borderId="27" xfId="1" applyFont="1" applyFill="1" applyBorder="1" applyAlignment="1">
      <alignment horizontal="left" vertical="center"/>
    </xf>
    <xf numFmtId="10" fontId="18" fillId="3" borderId="1" xfId="5" applyNumberFormat="1" applyFont="1" applyFill="1" applyBorder="1" applyAlignment="1">
      <alignment horizontal="center" vertical="center"/>
    </xf>
    <xf numFmtId="10" fontId="18" fillId="4" borderId="27" xfId="5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0" xfId="0" applyNumberFormat="1" applyFont="1" applyAlignment="1">
      <alignment vertical="center"/>
    </xf>
    <xf numFmtId="4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4" fontId="39" fillId="0" borderId="4" xfId="0" applyNumberFormat="1" applyFont="1" applyBorder="1" applyAlignment="1">
      <alignment vertical="center"/>
    </xf>
    <xf numFmtId="0" fontId="20" fillId="12" borderId="0" xfId="0" applyFont="1" applyFill="1" applyAlignment="1">
      <alignment vertical="center"/>
    </xf>
    <xf numFmtId="4" fontId="20" fillId="12" borderId="0" xfId="0" applyNumberFormat="1" applyFont="1" applyFill="1" applyAlignment="1">
      <alignment vertical="center"/>
    </xf>
    <xf numFmtId="44" fontId="0" fillId="0" borderId="0" xfId="1" applyFont="1"/>
    <xf numFmtId="10" fontId="18" fillId="4" borderId="2" xfId="5" applyNumberFormat="1" applyFont="1" applyFill="1" applyBorder="1" applyAlignment="1">
      <alignment horizontal="center" vertical="center"/>
    </xf>
    <xf numFmtId="44" fontId="8" fillId="2" borderId="11" xfId="1" applyFont="1" applyFill="1" applyBorder="1" applyAlignment="1">
      <alignment horizontal="left" vertical="center"/>
    </xf>
    <xf numFmtId="164" fontId="0" fillId="0" borderId="0" xfId="0" applyNumberFormat="1"/>
    <xf numFmtId="44" fontId="8" fillId="2" borderId="13" xfId="1" applyFont="1" applyFill="1" applyBorder="1" applyAlignment="1">
      <alignment horizontal="center" wrapText="1"/>
    </xf>
    <xf numFmtId="0" fontId="2" fillId="0" borderId="4" xfId="6" applyAlignment="1">
      <alignment wrapText="1"/>
    </xf>
    <xf numFmtId="4" fontId="2" fillId="0" borderId="4" xfId="6" applyNumberFormat="1" applyAlignment="1">
      <alignment vertical="top" wrapText="1"/>
    </xf>
    <xf numFmtId="44" fontId="18" fillId="3" borderId="2" xfId="1" applyFont="1" applyFill="1" applyBorder="1" applyAlignment="1">
      <alignment horizontal="center" vertical="center" wrapText="1"/>
    </xf>
    <xf numFmtId="44" fontId="11" fillId="4" borderId="28" xfId="1" applyFont="1" applyFill="1" applyBorder="1" applyAlignment="1">
      <alignment horizontal="center" vertical="center" wrapText="1"/>
    </xf>
    <xf numFmtId="44" fontId="18" fillId="3" borderId="33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8" fillId="2" borderId="13" xfId="1" applyFont="1" applyFill="1" applyBorder="1" applyAlignment="1">
      <alignment horizontal="center" vertical="center" wrapText="1"/>
    </xf>
    <xf numFmtId="0" fontId="9" fillId="2" borderId="4" xfId="6" applyFont="1" applyFill="1" applyAlignment="1">
      <alignment vertical="center"/>
    </xf>
    <xf numFmtId="0" fontId="36" fillId="11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0" borderId="7" xfId="0" applyFont="1" applyBorder="1"/>
    <xf numFmtId="0" fontId="9" fillId="2" borderId="12" xfId="0" applyFont="1" applyFill="1" applyBorder="1" applyAlignment="1">
      <alignment horizontal="center" vertical="center"/>
    </xf>
    <xf numFmtId="0" fontId="10" fillId="0" borderId="12" xfId="0" applyFont="1" applyBorder="1"/>
    <xf numFmtId="0" fontId="8" fillId="2" borderId="5" xfId="6" applyFont="1" applyFill="1" applyBorder="1" applyAlignment="1">
      <alignment horizontal="center" vertical="center"/>
    </xf>
    <xf numFmtId="0" fontId="10" fillId="0" borderId="45" xfId="6" applyFont="1" applyBorder="1"/>
    <xf numFmtId="0" fontId="9" fillId="2" borderId="12" xfId="6" applyFont="1" applyFill="1" applyBorder="1" applyAlignment="1">
      <alignment horizontal="center" vertical="center"/>
    </xf>
    <xf numFmtId="0" fontId="10" fillId="0" borderId="12" xfId="6" applyFont="1" applyBorder="1"/>
    <xf numFmtId="0" fontId="9" fillId="2" borderId="63" xfId="6" applyFont="1" applyFill="1" applyBorder="1" applyAlignment="1">
      <alignment horizontal="center" vertical="center"/>
    </xf>
    <xf numFmtId="0" fontId="9" fillId="2" borderId="20" xfId="6" applyFont="1" applyFill="1" applyBorder="1" applyAlignment="1">
      <alignment horizontal="center" vertical="center"/>
    </xf>
    <xf numFmtId="0" fontId="10" fillId="0" borderId="7" xfId="6" applyFont="1" applyBorder="1"/>
    <xf numFmtId="0" fontId="8" fillId="2" borderId="52" xfId="6" applyFont="1" applyFill="1" applyBorder="1" applyAlignment="1">
      <alignment horizontal="center" vertical="center" wrapText="1"/>
    </xf>
    <xf numFmtId="0" fontId="8" fillId="2" borderId="62" xfId="6" applyFont="1" applyFill="1" applyBorder="1" applyAlignment="1">
      <alignment horizontal="center" vertical="center" wrapText="1"/>
    </xf>
    <xf numFmtId="0" fontId="9" fillId="2" borderId="42" xfId="6" applyFont="1" applyFill="1" applyBorder="1" applyAlignment="1">
      <alignment horizontal="center" vertical="center"/>
    </xf>
    <xf numFmtId="0" fontId="9" fillId="2" borderId="4" xfId="6" applyFont="1" applyFill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8" fillId="2" borderId="26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43" fontId="8" fillId="2" borderId="11" xfId="2" applyFont="1" applyFill="1" applyBorder="1" applyAlignment="1">
      <alignment horizontal="center" vertical="center"/>
    </xf>
  </cellXfs>
  <cellStyles count="12">
    <cellStyle name="Moeda" xfId="1" builtinId="4"/>
    <cellStyle name="Moeda 2" xfId="8" xr:uid="{CF4063DA-F34A-4EC1-AC81-A10222858759}"/>
    <cellStyle name="Normal" xfId="0" builtinId="0"/>
    <cellStyle name="Normal 2" xfId="3" xr:uid="{89934119-66BE-4554-8D7F-F4FDAB4F0E33}"/>
    <cellStyle name="Normal 3" xfId="6" xr:uid="{41D1A416-C263-4E10-B875-91F62D28F932}"/>
    <cellStyle name="Normal 4" xfId="9" xr:uid="{E2C836DC-9082-4DA5-AA95-056F0A8F4292}"/>
    <cellStyle name="Normal 4 2" xfId="10" xr:uid="{12139CDC-1C9F-44ED-BCDB-962F536F915F}"/>
    <cellStyle name="Porcentagem" xfId="5" builtinId="5"/>
    <cellStyle name="Porcentagem 2" xfId="4" xr:uid="{910739D4-B953-4402-8BEC-DCBA788BEB45}"/>
    <cellStyle name="Vírgula" xfId="2" builtinId="3"/>
    <cellStyle name="Vírgula 2" xfId="7" xr:uid="{CCEA5633-8A3B-4655-8136-403E2E673EC2}"/>
    <cellStyle name="Vírgula 5 2" xfId="11" xr:uid="{BF7ADFA6-6390-46A9-B647-898F6B3AA959}"/>
  </cellStyles>
  <dxfs count="17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[CTN-ALF-TRM - Apresentação Orçamento - R04.xlsx]SEM IMPREVISTOS!Tabela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'SEM IMPREVISTOS'!$B$22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 IMPREVISTOS'!$A$23:$A$38</c:f>
              <c:strCache>
                <c:ptCount val="15"/>
                <c:pt idx="0">
                  <c:v>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PAREDES E PAINÉIS</c:v>
                </c:pt>
                <c:pt idx="5">
                  <c:v>EQUIPAMENTOS E SISTEMAS ESPECIAIS</c:v>
                </c:pt>
                <c:pt idx="6">
                  <c:v>PINTURA INTERNA</c:v>
                </c:pt>
                <c:pt idx="7">
                  <c:v>SERVIÇOS COMPLEMENTARES</c:v>
                </c:pt>
                <c:pt idx="8">
                  <c:v>PISOS E PAVIMENTAÇÕES</c:v>
                </c:pt>
                <c:pt idx="9">
                  <c:v>REVESTIMENTOS E ACABAMENTOS DE FACHADA</c:v>
                </c:pt>
                <c:pt idx="10">
                  <c:v>REVESTIMENTOS INTERNOS DE PAREDE</c:v>
                </c:pt>
                <c:pt idx="11">
                  <c:v>REVESTIMENTOS E ACABAMENTOS INTERNOS EM TETO</c:v>
                </c:pt>
                <c:pt idx="12">
                  <c:v>MOVIMENTAÇÃO DE TERRA</c:v>
                </c:pt>
                <c:pt idx="13">
                  <c:v>IMPERMEABILIZAÇÃO</c:v>
                </c:pt>
                <c:pt idx="14">
                  <c:v>LOUÇAS E METAIS</c:v>
                </c:pt>
              </c:strCache>
            </c:strRef>
          </c:cat>
          <c:val>
            <c:numRef>
              <c:f>'SEM IMPREVISTOS'!$B$23:$B$38</c:f>
              <c:numCache>
                <c:formatCode>0.00%</c:formatCode>
                <c:ptCount val="15"/>
                <c:pt idx="0">
                  <c:v>0.31758610894272798</c:v>
                </c:pt>
                <c:pt idx="1">
                  <c:v>0.13135230605801737</c:v>
                </c:pt>
                <c:pt idx="2">
                  <c:v>9.0635558712702638E-2</c:v>
                </c:pt>
                <c:pt idx="3">
                  <c:v>8.0775088631113531E-2</c:v>
                </c:pt>
                <c:pt idx="4">
                  <c:v>5.380119463348642E-2</c:v>
                </c:pt>
                <c:pt idx="5">
                  <c:v>4.4464550253614808E-2</c:v>
                </c:pt>
                <c:pt idx="6">
                  <c:v>4.2755873946540457E-2</c:v>
                </c:pt>
                <c:pt idx="7">
                  <c:v>4.1834176678706717E-2</c:v>
                </c:pt>
                <c:pt idx="8">
                  <c:v>3.9504046458099351E-2</c:v>
                </c:pt>
                <c:pt idx="9">
                  <c:v>3.9035094143513416E-2</c:v>
                </c:pt>
                <c:pt idx="10">
                  <c:v>3.1098468522838013E-2</c:v>
                </c:pt>
                <c:pt idx="11">
                  <c:v>2.7974544688104674E-2</c:v>
                </c:pt>
                <c:pt idx="12">
                  <c:v>2.3419184168522872E-2</c:v>
                </c:pt>
                <c:pt idx="13">
                  <c:v>1.3878300194650134E-2</c:v>
                </c:pt>
                <c:pt idx="14">
                  <c:v>4.8531962430088697E-3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[CTN-ALF-TRM - Apresentação Orçamento - R04.xlsx]GER_EXECUTIVO MEGA!Tabela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'GER_EXECUTIVO MEGA'!$B$20</c:f>
              <c:strCache>
                <c:ptCount val="1"/>
                <c:pt idx="0">
                  <c:v>Soma de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'GER_EXECUTIVO MEGA'!$A$21:$A$36</c:f>
              <c:strCache>
                <c:ptCount val="15"/>
                <c:pt idx="0">
                  <c:v>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PAREDES E PAINÉIS</c:v>
                </c:pt>
                <c:pt idx="5">
                  <c:v>EQUIPAMENTOS E SISTEMAS ESPECIAIS</c:v>
                </c:pt>
                <c:pt idx="6">
                  <c:v>PINTURA INTERNA</c:v>
                </c:pt>
                <c:pt idx="7">
                  <c:v>SERVIÇOS COMPLEMENTARES</c:v>
                </c:pt>
                <c:pt idx="8">
                  <c:v>PISOS E PAVIMENTAÇÕES</c:v>
                </c:pt>
                <c:pt idx="9">
                  <c:v>REVESTIMENTOS E ACABAMENTOS DE FACHADA</c:v>
                </c:pt>
                <c:pt idx="10">
                  <c:v>REVESTIMENTOS INTERNOS DE PAREDE</c:v>
                </c:pt>
                <c:pt idx="11">
                  <c:v>REVESTIMENTOS E ACABAMENTOS INTERNOS EM TETO</c:v>
                </c:pt>
                <c:pt idx="12">
                  <c:v>MOVIMENTAÇÃO DE TERRA</c:v>
                </c:pt>
                <c:pt idx="13">
                  <c:v>IMPERMEABILIZAÇÃO</c:v>
                </c:pt>
                <c:pt idx="14">
                  <c:v>LOUÇAS E METAIS</c:v>
                </c:pt>
              </c:strCache>
            </c:strRef>
          </c:cat>
          <c:val>
            <c:numRef>
              <c:f>'GER_EXECUTIVO MEGA'!$B$21:$B$36</c:f>
              <c:numCache>
                <c:formatCode>0.00%</c:formatCode>
                <c:ptCount val="15"/>
                <c:pt idx="0">
                  <c:v>0.31758610894272798</c:v>
                </c:pt>
                <c:pt idx="1">
                  <c:v>0.13135230605801737</c:v>
                </c:pt>
                <c:pt idx="2">
                  <c:v>9.0635558712702638E-2</c:v>
                </c:pt>
                <c:pt idx="3">
                  <c:v>8.0775088631113531E-2</c:v>
                </c:pt>
                <c:pt idx="4">
                  <c:v>5.380119463348642E-2</c:v>
                </c:pt>
                <c:pt idx="5">
                  <c:v>4.4464550253614808E-2</c:v>
                </c:pt>
                <c:pt idx="6">
                  <c:v>4.2755873946540457E-2</c:v>
                </c:pt>
                <c:pt idx="7">
                  <c:v>4.1834176678706717E-2</c:v>
                </c:pt>
                <c:pt idx="8">
                  <c:v>3.9504046458099351E-2</c:v>
                </c:pt>
                <c:pt idx="9">
                  <c:v>3.9035094143513416E-2</c:v>
                </c:pt>
                <c:pt idx="10">
                  <c:v>3.1098468522838013E-2</c:v>
                </c:pt>
                <c:pt idx="11">
                  <c:v>2.7974544688104674E-2</c:v>
                </c:pt>
                <c:pt idx="12">
                  <c:v>2.3419184168522872E-2</c:v>
                </c:pt>
                <c:pt idx="13">
                  <c:v>1.3878300194650134E-2</c:v>
                </c:pt>
                <c:pt idx="14">
                  <c:v>4.8531962430088697E-3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A-4508-BD9F-5FEEFFC373C1}"/>
            </c:ext>
          </c:extLst>
        </c:ser>
        <c:ser>
          <c:idx val="1"/>
          <c:order val="1"/>
          <c:tx>
            <c:strRef>
              <c:f>'GER_EXECUTIVO MEGA'!$C$20</c:f>
              <c:strCache>
                <c:ptCount val="1"/>
                <c:pt idx="0">
                  <c:v>Soma de VALOR ORÇADO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'GER_EXECUTIVO MEGA'!$A$21:$A$36</c:f>
              <c:strCache>
                <c:ptCount val="15"/>
                <c:pt idx="0">
                  <c:v>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PAREDES E PAINÉIS</c:v>
                </c:pt>
                <c:pt idx="5">
                  <c:v>EQUIPAMENTOS E SISTEMAS ESPECIAIS</c:v>
                </c:pt>
                <c:pt idx="6">
                  <c:v>PINTURA INTERNA</c:v>
                </c:pt>
                <c:pt idx="7">
                  <c:v>SERVIÇOS COMPLEMENTARES</c:v>
                </c:pt>
                <c:pt idx="8">
                  <c:v>PISOS E PAVIMENTAÇÕES</c:v>
                </c:pt>
                <c:pt idx="9">
                  <c:v>REVESTIMENTOS E ACABAMENTOS DE FACHADA</c:v>
                </c:pt>
                <c:pt idx="10">
                  <c:v>REVESTIMENTOS INTERNOS DE PAREDE</c:v>
                </c:pt>
                <c:pt idx="11">
                  <c:v>REVESTIMENTOS E ACABAMENTOS INTERNOS EM TETO</c:v>
                </c:pt>
                <c:pt idx="12">
                  <c:v>MOVIMENTAÇÃO DE TERRA</c:v>
                </c:pt>
                <c:pt idx="13">
                  <c:v>IMPERMEABILIZAÇÃO</c:v>
                </c:pt>
                <c:pt idx="14">
                  <c:v>LOUÇAS E METAIS</c:v>
                </c:pt>
              </c:strCache>
            </c:strRef>
          </c:cat>
          <c:val>
            <c:numRef>
              <c:f>'GER_EXECUTIVO MEGA'!$C$21:$C$36</c:f>
              <c:numCache>
                <c:formatCode>_-* #,##0.00_-;\-* #,##0.00_-;_-* "-"??_-;_-@</c:formatCode>
                <c:ptCount val="15"/>
                <c:pt idx="0">
                  <c:v>18362171.804884642</c:v>
                </c:pt>
                <c:pt idx="1">
                  <c:v>7594518.5979153067</c:v>
                </c:pt>
                <c:pt idx="2">
                  <c:v>5240360.5001958096</c:v>
                </c:pt>
                <c:pt idx="3">
                  <c:v>4670248.5191717418</c:v>
                </c:pt>
                <c:pt idx="4">
                  <c:v>3110673.771144914</c:v>
                </c:pt>
                <c:pt idx="5">
                  <c:v>2570848.3085166668</c:v>
                </c:pt>
                <c:pt idx="6">
                  <c:v>2472056.1793083544</c:v>
                </c:pt>
                <c:pt idx="7">
                  <c:v>2418765.5500664189</c:v>
                </c:pt>
                <c:pt idx="8">
                  <c:v>2284042.2412259113</c:v>
                </c:pt>
                <c:pt idx="9">
                  <c:v>2256928.3885533498</c:v>
                </c:pt>
                <c:pt idx="10">
                  <c:v>1798049.1142581005</c:v>
                </c:pt>
                <c:pt idx="11">
                  <c:v>1617430.3008291668</c:v>
                </c:pt>
                <c:pt idx="12">
                  <c:v>1354048.7796026384</c:v>
                </c:pt>
                <c:pt idx="13">
                  <c:v>802414.60617499996</c:v>
                </c:pt>
                <c:pt idx="14">
                  <c:v>280601.76660000003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A-4508-BD9F-5FEEFFC373C1}"/>
            </c:ext>
          </c:extLst>
        </c:ser>
        <c:ser>
          <c:idx val="2"/>
          <c:order val="2"/>
          <c:tx>
            <c:strRef>
              <c:f>'GER_EXECUTIVO MEGA'!$D$20</c:f>
              <c:strCache>
                <c:ptCount val="1"/>
                <c:pt idx="0">
                  <c:v>Soma de VALOR / m²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'GER_EXECUTIVO MEGA'!$A$21:$A$36</c:f>
              <c:strCache>
                <c:ptCount val="15"/>
                <c:pt idx="0">
                  <c:v>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PAREDES E PAINÉIS</c:v>
                </c:pt>
                <c:pt idx="5">
                  <c:v>EQUIPAMENTOS E SISTEMAS ESPECIAIS</c:v>
                </c:pt>
                <c:pt idx="6">
                  <c:v>PINTURA INTERNA</c:v>
                </c:pt>
                <c:pt idx="7">
                  <c:v>SERVIÇOS COMPLEMENTARES</c:v>
                </c:pt>
                <c:pt idx="8">
                  <c:v>PISOS E PAVIMENTAÇÕES</c:v>
                </c:pt>
                <c:pt idx="9">
                  <c:v>REVESTIMENTOS E ACABAMENTOS DE FACHADA</c:v>
                </c:pt>
                <c:pt idx="10">
                  <c:v>REVESTIMENTOS INTERNOS DE PAREDE</c:v>
                </c:pt>
                <c:pt idx="11">
                  <c:v>REVESTIMENTOS E ACABAMENTOS INTERNOS EM TETO</c:v>
                </c:pt>
                <c:pt idx="12">
                  <c:v>MOVIMENTAÇÃO DE TERRA</c:v>
                </c:pt>
                <c:pt idx="13">
                  <c:v>IMPERMEABILIZAÇÃO</c:v>
                </c:pt>
                <c:pt idx="14">
                  <c:v>LOUÇAS E METAIS</c:v>
                </c:pt>
              </c:strCache>
            </c:strRef>
          </c:cat>
          <c:val>
            <c:numRef>
              <c:f>'GER_EXECUTIVO MEGA'!$D$21:$D$36</c:f>
              <c:numCache>
                <c:formatCode>_-* #,##0.00_-;\-* #,##0.00_-;_-* "-"??_-;_-@</c:formatCode>
                <c:ptCount val="15"/>
                <c:pt idx="0">
                  <c:v>1176.8472942369274</c:v>
                </c:pt>
                <c:pt idx="1">
                  <c:v>486.73919174479704</c:v>
                </c:pt>
                <c:pt idx="2">
                  <c:v>335.85918599459774</c:v>
                </c:pt>
                <c:pt idx="3">
                  <c:v>299.32022157309348</c:v>
                </c:pt>
                <c:pt idx="4">
                  <c:v>199.36574222945896</c:v>
                </c:pt>
                <c:pt idx="5">
                  <c:v>164.76786667286211</c:v>
                </c:pt>
                <c:pt idx="6">
                  <c:v>158.4361946252354</c:v>
                </c:pt>
                <c:pt idx="7">
                  <c:v>155.02075262316941</c:v>
                </c:pt>
                <c:pt idx="8">
                  <c:v>146.3862205447025</c:v>
                </c:pt>
                <c:pt idx="9">
                  <c:v>144.64847053925084</c:v>
                </c:pt>
                <c:pt idx="10">
                  <c:v>115.23850541779871</c:v>
                </c:pt>
                <c:pt idx="11">
                  <c:v>103.66249120059263</c:v>
                </c:pt>
                <c:pt idx="12">
                  <c:v>86.782144262275054</c:v>
                </c:pt>
                <c:pt idx="13">
                  <c:v>51.427438331779129</c:v>
                </c:pt>
                <c:pt idx="14">
                  <c:v>17.984007190993953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5A-4508-BD9F-5FEEFFC373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[CTN-ALF-TRM - Apresentação Orçamento - R04.xlsx]GER_EXECUTIVO CART!Tabela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'GER_EXECUTIVO CART'!$B$22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'GER_EXECUTIVO CART'!$A$23:$A$38</c:f>
              <c:strCache>
                <c:ptCount val="15"/>
                <c:pt idx="0">
                  <c:v>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PAREDES E PAINÉIS</c:v>
                </c:pt>
                <c:pt idx="5">
                  <c:v>EQUIPAMENTOS E SISTEMAS ESPECIAIS</c:v>
                </c:pt>
                <c:pt idx="6">
                  <c:v>PINTURA INTERNA</c:v>
                </c:pt>
                <c:pt idx="7">
                  <c:v>SERVIÇOS COMPLEMENTARES</c:v>
                </c:pt>
                <c:pt idx="8">
                  <c:v>PISOS E PAVIMENTAÇÕES</c:v>
                </c:pt>
                <c:pt idx="9">
                  <c:v>REVESTIMENTOS E ACABAMENTOS DE FACHADA</c:v>
                </c:pt>
                <c:pt idx="10">
                  <c:v>REVESTIMENTOS INTERNOS DE PAREDE</c:v>
                </c:pt>
                <c:pt idx="11">
                  <c:v>REVESTIMENTOS E ACABAMENTOS INTERNOS EM TETO</c:v>
                </c:pt>
                <c:pt idx="12">
                  <c:v>MOVIMENTAÇÃO DE TERRA</c:v>
                </c:pt>
                <c:pt idx="13">
                  <c:v>IMPERMEABILIZAÇÃO</c:v>
                </c:pt>
                <c:pt idx="14">
                  <c:v>LOUÇAS E METAIS</c:v>
                </c:pt>
              </c:strCache>
            </c:strRef>
          </c:cat>
          <c:val>
            <c:numRef>
              <c:f>'GER_EXECUTIVO CART'!$B$23:$B$38</c:f>
              <c:numCache>
                <c:formatCode>0.00%</c:formatCode>
                <c:ptCount val="15"/>
                <c:pt idx="0">
                  <c:v>0.31758610894272798</c:v>
                </c:pt>
                <c:pt idx="1">
                  <c:v>0.13135230605801737</c:v>
                </c:pt>
                <c:pt idx="2">
                  <c:v>9.0635558712702638E-2</c:v>
                </c:pt>
                <c:pt idx="3">
                  <c:v>8.0775088631113531E-2</c:v>
                </c:pt>
                <c:pt idx="4">
                  <c:v>5.380119463348642E-2</c:v>
                </c:pt>
                <c:pt idx="5">
                  <c:v>4.4464550253614808E-2</c:v>
                </c:pt>
                <c:pt idx="6">
                  <c:v>4.2755873946540457E-2</c:v>
                </c:pt>
                <c:pt idx="7">
                  <c:v>4.1834176678706717E-2</c:v>
                </c:pt>
                <c:pt idx="8">
                  <c:v>3.9504046458099351E-2</c:v>
                </c:pt>
                <c:pt idx="9">
                  <c:v>3.9035094143513416E-2</c:v>
                </c:pt>
                <c:pt idx="10">
                  <c:v>3.1098468522838013E-2</c:v>
                </c:pt>
                <c:pt idx="11">
                  <c:v>2.7974544688104674E-2</c:v>
                </c:pt>
                <c:pt idx="12">
                  <c:v>2.3419184168522872E-2</c:v>
                </c:pt>
                <c:pt idx="13">
                  <c:v>1.3878300194650134E-2</c:v>
                </c:pt>
                <c:pt idx="14">
                  <c:v>4.8531962430088697E-3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7-4D4B-924E-949884885B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20</xdr:row>
      <xdr:rowOff>174268</xdr:rowOff>
    </xdr:from>
    <xdr:to>
      <xdr:col>15</xdr:col>
      <xdr:colOff>473927</xdr:colOff>
      <xdr:row>43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18</xdr:row>
      <xdr:rowOff>174268</xdr:rowOff>
    </xdr:from>
    <xdr:to>
      <xdr:col>15</xdr:col>
      <xdr:colOff>473927</xdr:colOff>
      <xdr:row>41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1785C0-1B58-4BD2-8CBD-4B64AC21D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20</xdr:row>
      <xdr:rowOff>174268</xdr:rowOff>
    </xdr:from>
    <xdr:to>
      <xdr:col>15</xdr:col>
      <xdr:colOff>473927</xdr:colOff>
      <xdr:row>43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D9DDA7-5CF7-4A77-9E84-FCF3C2439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Tramonti\04.%20Custo\03.5%20Custo%20-%20Determina&#231;&#227;o%20do%20or&#231;amento\Executivo\R04\CTN-ALF-TRM%20-%20Or&#231;amento%20Executivo_R04xlsb.xlsx" TargetMode="External"/><Relationship Id="rId2" Type="http://schemas.microsoft.com/office/2019/04/relationships/externalLinkLongPath" Target="CTN-ALF-TRM%20-%20Or&#231;amento%20Executivo_R04xlsb.xlsx?AECBEAC1" TargetMode="External"/><Relationship Id="rId1" Type="http://schemas.openxmlformats.org/officeDocument/2006/relationships/externalLinkPath" Target="file:///\\AECBEAC1\CTN-ALF-TRM%20-%20Or&#231;amento%20Executivo_R04xlsb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Tramonti\04.%20Custo\03.5%20Custo%20-%20Determina&#231;&#227;o%20do%20or&#231;amento\Executivo\CTN-ALF-TRM%20-%20Apresenta&#231;&#227;o%20Or&#231;amento%20-%20R00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Tramonti/04.%20Custo/03.5%20Custo%20-%20Determina&#231;&#227;o%20do%20or&#231;amento/Executivo/CTN-ALF-TRM%20-%20Apresenta&#231;&#227;o%20Or&#231;amento%20-%20R00.xlsx?722F2D1F" TargetMode="External"/><Relationship Id="rId1" Type="http://schemas.openxmlformats.org/officeDocument/2006/relationships/externalLinkPath" Target="file:///\\722F2D1F\CTN-ALF-TRM%20-%20Apresenta&#231;&#227;o%20Or&#231;amento%20-%20R0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Tramonti\04.%20Custo\03.5%20Custo%20-%20Determina&#231;&#227;o%20do%20or&#231;amento\Executivo\Auxiliar\CTN-ALF-RVL%20-%20Apresenta&#231;&#227;o%20Or&#231;amento%20-%20R02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Tramonti/04.%20Custo/03.5%20Custo%20-%20Determina&#231;&#227;o%20do%20or&#231;amento/Executivo/Auxiliar/CTN-ALF-RVL%20-%20Apresenta&#231;&#227;o%20Or&#231;amento%20-%20R02.xlsx?86776C7F" TargetMode="External"/><Relationship Id="rId1" Type="http://schemas.openxmlformats.org/officeDocument/2006/relationships/externalLinkPath" Target="file:///\\86776C7F\CTN-ALF-RVL%20-%20Apresenta&#231;&#227;o%20Or&#231;amento%20-%20R02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Tramonti\04.%20Custo\03.5%20Custo%20-%20Determina&#231;&#227;o%20do%20or&#231;amento\Executivo\Auxiliar\Revis&#227;o%20Or&#231;amentos%20-%20Marine%20Maiori%20e%20Ravello%20-%20CTN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Tramonti/04.%20Custo/03.5%20Custo%20-%20Determina&#231;&#227;o%20do%20or&#231;amento/Executivo/Auxiliar/Revis&#227;o%20Or&#231;amentos%20-%20Marine%20Maiori%20e%20Ravello%20-%20CTN.xlsx?86776C7F" TargetMode="External"/><Relationship Id="rId1" Type="http://schemas.openxmlformats.org/officeDocument/2006/relationships/externalLinkPath" Target="file:///\\86776C7F\Revis&#227;o%20Or&#231;amentos%20-%20Marine%20Maiori%20e%20Ravello%20-%20CTN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Marine\03.%20Custo\03.5%20Custo%20-%20Determina&#231;&#227;o%20do%20or&#231;amento\R01\CTN-ALF-MRN%20-%20Apresenta&#231;&#227;o%20Or&#231;amento%20-%20R00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CTN-ALF-MRN%20-%20Apresenta&#231;&#227;o%20Or&#231;amento%20-%20R00.xlsx?99019EA9" TargetMode="External"/><Relationship Id="rId1" Type="http://schemas.openxmlformats.org/officeDocument/2006/relationships/externalLinkPath" Target="file:///\\99019EA9\CTN-ALF-MRN%20-%20Apresenta&#231;&#227;o%20Or&#231;amento%20-%20R00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1\CTN-ALF-MRI%20-%20Apresenta&#231;&#227;o%20Or&#231;amento%20-%20R01.xlsx" TargetMode="External"/><Relationship Id="rId2" Type="http://schemas.microsoft.com/office/2019/04/relationships/externalLinkLongPath" Target="/.shortcut-targets-by-id/16oaQUYgx8kiowDwLhg-oO1zGZ777DJUb/2.%20Projetos%20em%20Andamento/Amalfi%20-%2001.2023/Maiori/03.%20Custo/03.5%20Custo%20-%20Determina&#231;&#227;o%20do%20or&#231;amento/Entrega%20-%20R01/CTN-ALF-MRI%20-%20Apresenta&#231;&#227;o%20Or&#231;amento%20-%20R01.xlsx?9BA34EB5" TargetMode="External"/><Relationship Id="rId1" Type="http://schemas.openxmlformats.org/officeDocument/2006/relationships/externalLinkPath" Target="file:///\\9BA34EB5\CTN-ALF-MRI%20-%20Apresenta&#231;&#227;o%20Or&#231;amento%20-%20R01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Terrassa\2022\Dom%20Bosco\03.%20Custo\03.5%20Custo%20-%20Determina&#231;&#227;o%20do%20or&#231;amento\2022.12.20%20-%20Or&#231;amento_Executivo\CTN-TRS-DBS%20-%20EAP_Comentada_R02.xlsx" TargetMode="External"/><Relationship Id="rId2" Type="http://schemas.microsoft.com/office/2019/04/relationships/externalLinkLongPath" Target="/.shortcut-targets-by-id/16oaQUYgx8kiowDwLhg-oO1zGZ777DJUb/2.%20Projetos%20em%20Andamento/Terrassa/2022/Dom%20Bosco/03.%20Custo/03.5%20Custo%20-%20Determina&#231;&#227;o%20do%20or&#231;amento/2022.12.20%20-%20Or&#231;amento_Executivo/CTN-TRS-DBS%20-%20EAP_Comentada_R02.xlsx?D61E038C" TargetMode="External"/><Relationship Id="rId1" Type="http://schemas.openxmlformats.org/officeDocument/2006/relationships/externalLinkPath" Target="file:///\\D61E038C\CTN-TRS-DBS%20-%20EAP_Comentada_R0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Mabrem%2010.2020\Liberato\03.%20Custo\03.5%20Custo%20-%20Determina&#231;&#227;o%20do%20or&#231;amento\R01\CTN-MBR-LBR-%20EAP_Comentada_R01.xlsx" TargetMode="External"/><Relationship Id="rId1" Type="http://schemas.openxmlformats.org/officeDocument/2006/relationships/externalLinkPath" Target="/.shortcut-targets-by-id/16oaQUYgx8kiowDwLhg-oO1zGZ777DJUb/2.%20Projetos%20em%20Andamento/Mabrem%2010.2020/Liberato/03.%20Custo/03.5%20Custo%20-%20Determina&#231;&#227;o%20do%20or&#231;amento/R01/CTN-MBR-LBR-%20EAP_Comentada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VA EAP"/>
      <sheetName val="EPCs"/>
      <sheetName val="CANTEIRO"/>
      <sheetName val="Cont.Tecnol."/>
      <sheetName val="BASES"/>
      <sheetName val="Ger_Administrativo"/>
      <sheetName val="Obra"/>
      <sheetName val="HIDRAÚLICO"/>
      <sheetName val="Ger_Executivo"/>
      <sheetName val="CLIMATIZAÇÃO"/>
      <sheetName val="Ger_Executivo MEGA"/>
      <sheetName val="PCI"/>
      <sheetName val="Gás"/>
      <sheetName val="ELÉTRICA"/>
      <sheetName val="Insumos"/>
      <sheetName val="CPU"/>
      <sheetName val="Arquitetura"/>
      <sheetName val="MOBILIÁRIO"/>
      <sheetName val="SANITÁRIO"/>
      <sheetName val="INSTALAÇÕES COMPLEMENTARES"/>
      <sheetName val="LOUÇAS E METAIS"/>
      <sheetName val="BASES (2)"/>
      <sheetName val="SPDA"/>
      <sheetName val="Resumo Estrutura"/>
      <sheetName val="Fundação Profunda"/>
      <sheetName val="Fundação Rasa"/>
      <sheetName val="CONTENÇÕES"/>
    </sheetNames>
    <sheetDataSet>
      <sheetData sheetId="0"/>
      <sheetData sheetId="1"/>
      <sheetData sheetId="2"/>
      <sheetData sheetId="3"/>
      <sheetData sheetId="4"/>
      <sheetData sheetId="5">
        <row r="127">
          <cell r="N127">
            <v>7713624.6351084877</v>
          </cell>
        </row>
      </sheetData>
      <sheetData sheetId="6">
        <row r="10">
          <cell r="E10">
            <v>15602.85</v>
          </cell>
        </row>
        <row r="11">
          <cell r="E11">
            <v>90</v>
          </cell>
        </row>
        <row r="13">
          <cell r="E13">
            <v>7934.9399999999987</v>
          </cell>
        </row>
        <row r="14">
          <cell r="E14">
            <v>28</v>
          </cell>
        </row>
        <row r="33">
          <cell r="C33">
            <v>7713624.6351084877</v>
          </cell>
        </row>
        <row r="34">
          <cell r="C34">
            <v>1415598.7796026384</v>
          </cell>
        </row>
        <row r="35">
          <cell r="C35">
            <v>18749746.800203342</v>
          </cell>
        </row>
        <row r="36">
          <cell r="C36">
            <v>3110673.7711449144</v>
          </cell>
        </row>
        <row r="37">
          <cell r="C37">
            <v>6469375.6182627501</v>
          </cell>
        </row>
        <row r="38">
          <cell r="C38">
            <v>2701000.7036312595</v>
          </cell>
        </row>
        <row r="39">
          <cell r="C39">
            <v>820493.65955901972</v>
          </cell>
        </row>
        <row r="40">
          <cell r="C40">
            <v>2542675.6698656175</v>
          </cell>
        </row>
        <row r="41">
          <cell r="C41">
            <v>585077.05261241295</v>
          </cell>
        </row>
        <row r="42">
          <cell r="C42">
            <v>1688185.9781622028</v>
          </cell>
        </row>
        <row r="43">
          <cell r="C43">
            <v>2558866.3451860095</v>
          </cell>
        </row>
        <row r="44">
          <cell r="C44">
            <v>3898012.1533050649</v>
          </cell>
        </row>
        <row r="45">
          <cell r="C45">
            <v>5085026.2833178537</v>
          </cell>
        </row>
        <row r="47">
          <cell r="C47">
            <v>2521062.4708991088</v>
          </cell>
        </row>
      </sheetData>
      <sheetData sheetId="7"/>
      <sheetData sheetId="8"/>
      <sheetData sheetId="9"/>
      <sheetData sheetId="10">
        <row r="8">
          <cell r="N8">
            <v>1744878.4163000002</v>
          </cell>
        </row>
        <row r="14">
          <cell r="N14">
            <v>10000</v>
          </cell>
        </row>
        <row r="58">
          <cell r="N58">
            <v>140936.1734</v>
          </cell>
        </row>
        <row r="77">
          <cell r="N77">
            <v>130000</v>
          </cell>
        </row>
        <row r="99">
          <cell r="N99">
            <v>158895.39189999999</v>
          </cell>
        </row>
        <row r="123">
          <cell r="N123">
            <v>14000</v>
          </cell>
        </row>
        <row r="127">
          <cell r="N127">
            <v>1415598.7796026384</v>
          </cell>
        </row>
        <row r="133">
          <cell r="N133">
            <v>18749746.800203346</v>
          </cell>
        </row>
        <row r="134">
          <cell r="N134">
            <v>2368306.5077723023</v>
          </cell>
        </row>
        <row r="147">
          <cell r="N147">
            <v>236969.23000000004</v>
          </cell>
        </row>
        <row r="152">
          <cell r="N152">
            <v>4417376.635496527</v>
          </cell>
        </row>
        <row r="161">
          <cell r="N161">
            <v>433735.49153620563</v>
          </cell>
        </row>
        <row r="168">
          <cell r="N168">
            <v>2789.1167049000001</v>
          </cell>
        </row>
        <row r="169">
          <cell r="N169">
            <v>11964063.656934513</v>
          </cell>
        </row>
        <row r="175">
          <cell r="N175">
            <v>387574.99531870225</v>
          </cell>
        </row>
        <row r="177">
          <cell r="N177">
            <v>3110673.7711449144</v>
          </cell>
        </row>
        <row r="178">
          <cell r="N178">
            <v>3110673.7711449144</v>
          </cell>
        </row>
        <row r="182">
          <cell r="N182">
            <v>26983.989999999998</v>
          </cell>
        </row>
        <row r="194">
          <cell r="N194">
            <v>0</v>
          </cell>
        </row>
        <row r="195">
          <cell r="N195">
            <v>0</v>
          </cell>
        </row>
        <row r="196">
          <cell r="N196">
            <v>820493.65955901972</v>
          </cell>
        </row>
        <row r="210">
          <cell r="N210">
            <v>20914.870200000001</v>
          </cell>
        </row>
        <row r="216">
          <cell r="N216">
            <v>18079.053384019768</v>
          </cell>
        </row>
        <row r="218">
          <cell r="N218">
            <v>2198802.790225226</v>
          </cell>
        </row>
        <row r="220">
          <cell r="N220">
            <v>358428.63506666676</v>
          </cell>
        </row>
        <row r="235">
          <cell r="N235">
            <v>52103.947999999997</v>
          </cell>
        </row>
        <row r="240">
          <cell r="N240">
            <v>48250.549141892887</v>
          </cell>
        </row>
        <row r="242">
          <cell r="N242">
            <v>3148211.7647864954</v>
          </cell>
        </row>
        <row r="264">
          <cell r="N264">
            <v>67160.866122495325</v>
          </cell>
        </row>
        <row r="266">
          <cell r="N266">
            <v>312741.32236301922</v>
          </cell>
        </row>
        <row r="267">
          <cell r="N267">
            <v>312741.32236301922</v>
          </cell>
        </row>
        <row r="278">
          <cell r="N278">
            <v>7759.8418630192755</v>
          </cell>
        </row>
        <row r="280">
          <cell r="N280">
            <v>309385.84124302375</v>
          </cell>
        </row>
        <row r="285">
          <cell r="N285">
            <v>10121.995843023691</v>
          </cell>
        </row>
        <row r="287">
          <cell r="N287">
            <v>213309.94713389673</v>
          </cell>
        </row>
        <row r="293">
          <cell r="N293">
            <v>124889.95708200001</v>
          </cell>
        </row>
        <row r="295">
          <cell r="N295">
            <v>4461.0542018966989</v>
          </cell>
        </row>
        <row r="297">
          <cell r="N297">
            <v>1794333.07</v>
          </cell>
        </row>
        <row r="301">
          <cell r="N301">
            <v>906667.6336312592</v>
          </cell>
        </row>
        <row r="323">
          <cell r="N323">
            <v>19490.24161459248</v>
          </cell>
        </row>
        <row r="325">
          <cell r="N325">
            <v>2542675.6698656175</v>
          </cell>
        </row>
        <row r="327">
          <cell r="N327">
            <v>466642.00005810021</v>
          </cell>
        </row>
        <row r="328">
          <cell r="N328">
            <v>98216.665076349993</v>
          </cell>
        </row>
        <row r="331">
          <cell r="N331">
            <v>302718.15050751658</v>
          </cell>
        </row>
        <row r="337">
          <cell r="N337">
            <v>840739.45050000038</v>
          </cell>
        </row>
        <row r="338">
          <cell r="N338">
            <v>932576.06880000036</v>
          </cell>
        </row>
        <row r="339">
          <cell r="N339">
            <v>585077.05261241295</v>
          </cell>
        </row>
        <row r="346">
          <cell r="N346">
            <v>203840.99999999994</v>
          </cell>
        </row>
        <row r="347">
          <cell r="N347">
            <v>12891.798912413027</v>
          </cell>
        </row>
        <row r="349">
          <cell r="N349">
            <v>1688185.9781622028</v>
          </cell>
        </row>
        <row r="362">
          <cell r="N362">
            <v>37198.099053869249</v>
          </cell>
        </row>
        <row r="364">
          <cell r="N364">
            <v>2558866.3451860095</v>
          </cell>
        </row>
        <row r="366">
          <cell r="N366">
            <v>305683.97418900003</v>
          </cell>
        </row>
        <row r="370">
          <cell r="N370">
            <v>4432.5564079114283</v>
          </cell>
        </row>
        <row r="373">
          <cell r="N373">
            <v>523872.82263000001</v>
          </cell>
        </row>
        <row r="378">
          <cell r="N378">
            <v>293130.00000000006</v>
          </cell>
        </row>
        <row r="380">
          <cell r="N380">
            <v>153003.18422380005</v>
          </cell>
        </row>
        <row r="385">
          <cell r="N385">
            <v>1223502.50009</v>
          </cell>
        </row>
        <row r="386">
          <cell r="N386">
            <v>309531.94499999995</v>
          </cell>
        </row>
        <row r="387">
          <cell r="N387">
            <v>234958.17799999999</v>
          </cell>
        </row>
        <row r="388">
          <cell r="N388">
            <v>24427.499999999996</v>
          </cell>
        </row>
        <row r="394">
          <cell r="N394">
            <v>55241.307645297915</v>
          </cell>
        </row>
        <row r="396">
          <cell r="N396">
            <v>3898012.1533050649</v>
          </cell>
        </row>
        <row r="397">
          <cell r="N397">
            <v>2557946.3857592316</v>
          </cell>
        </row>
        <row r="414">
          <cell r="N414">
            <v>85890.206450877406</v>
          </cell>
        </row>
        <row r="416">
          <cell r="N416">
            <v>1340065.7675458333</v>
          </cell>
        </row>
        <row r="422">
          <cell r="N422">
            <v>5085026.2833178537</v>
          </cell>
        </row>
        <row r="454">
          <cell r="N454">
            <v>112045.30414611232</v>
          </cell>
        </row>
        <row r="457">
          <cell r="N457">
            <v>286923.9525110891</v>
          </cell>
        </row>
        <row r="465">
          <cell r="N465">
            <v>6322.1859110890528</v>
          </cell>
        </row>
        <row r="475">
          <cell r="N475">
            <v>2521062.4708991088</v>
          </cell>
        </row>
        <row r="498">
          <cell r="N498">
            <v>55550.000252689613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latório CARTESIAN"/>
      <sheetName val="Relatório MEGA"/>
      <sheetName val="SEM IMPREVISTOS"/>
      <sheetName val="ANÁLISE_CUSTOS"/>
      <sheetName val="ORÇAMENTO_EXECUTIVO - IMPREVIST"/>
      <sheetName val="GER_EXECUTIVO MEGA"/>
      <sheetName val="GER_EXECUTIVO CART"/>
      <sheetName val="Amalfi"/>
      <sheetName val="Planilha1"/>
      <sheetName val="Versões"/>
      <sheetName val="Versões (2)"/>
      <sheetName val="CÁLCULO_MÉDIAS"/>
      <sheetName val="AREAS PRIVATIVA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>
        <row r="3">
          <cell r="D3">
            <v>7594518.5979153067</v>
          </cell>
        </row>
        <row r="4">
          <cell r="D4">
            <v>1354048.7796026384</v>
          </cell>
        </row>
        <row r="7">
          <cell r="D7">
            <v>18771638.048205078</v>
          </cell>
        </row>
        <row r="8">
          <cell r="D8">
            <v>3180040.0703387442</v>
          </cell>
        </row>
        <row r="9">
          <cell r="D9">
            <v>5644076.6621364187</v>
          </cell>
        </row>
        <row r="10">
          <cell r="D10">
            <v>2594727.6316552144</v>
          </cell>
        </row>
        <row r="11">
          <cell r="D11">
            <v>820308.0066870529</v>
          </cell>
        </row>
        <row r="12">
          <cell r="D12">
            <v>2224244.0715656173</v>
          </cell>
        </row>
        <row r="13">
          <cell r="D13">
            <v>501609.28036217537</v>
          </cell>
        </row>
        <row r="14">
          <cell r="D14">
            <v>1653498.0991348654</v>
          </cell>
        </row>
        <row r="15">
          <cell r="D15">
            <v>2334975.1159445313</v>
          </cell>
        </row>
        <row r="16">
          <cell r="D16">
            <v>3897130.1511801351</v>
          </cell>
        </row>
        <row r="17">
          <cell r="D17">
            <v>4762410.9568786398</v>
          </cell>
        </row>
        <row r="18">
          <cell r="D18">
            <v>0</v>
          </cell>
        </row>
        <row r="19">
          <cell r="D19">
            <v>2494269.7018522541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GER_EXECUTIVO"/>
      <sheetName val="ANÁLISE_CUSTOS"/>
      <sheetName val="Amalfi"/>
      <sheetName val="AREAS PRIVATIVAS"/>
      <sheetName val="CÁLCULO_MÉDIAS"/>
    </sheetNames>
    <sheetDataSet>
      <sheetData sheetId="0">
        <row r="2">
          <cell r="B2">
            <v>7834981.5618648324</v>
          </cell>
        </row>
        <row r="19">
          <cell r="B19">
            <v>56032825.53242486</v>
          </cell>
        </row>
      </sheetData>
      <sheetData sheetId="1">
        <row r="3">
          <cell r="B3">
            <v>1346662.2828556453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17779417.467750378</v>
          </cell>
        </row>
        <row r="7">
          <cell r="B7">
            <v>3443813.4084999999</v>
          </cell>
        </row>
        <row r="8">
          <cell r="B8">
            <v>5989391.9512</v>
          </cell>
        </row>
        <row r="9">
          <cell r="B9">
            <v>2674089.7999999998</v>
          </cell>
        </row>
        <row r="10">
          <cell r="B10">
            <v>584238.34439999994</v>
          </cell>
        </row>
        <row r="11">
          <cell r="B11">
            <v>1770784.6070999999</v>
          </cell>
        </row>
        <row r="12">
          <cell r="B12">
            <v>1322855.6975999998</v>
          </cell>
        </row>
        <row r="13">
          <cell r="B13">
            <v>1139432.2263999998</v>
          </cell>
        </row>
        <row r="14">
          <cell r="B14">
            <v>2973237.5630880003</v>
          </cell>
        </row>
        <row r="15">
          <cell r="B15">
            <v>2806557.2601000001</v>
          </cell>
        </row>
        <row r="16">
          <cell r="B16">
            <v>3656203.8515660008</v>
          </cell>
        </row>
        <row r="17">
          <cell r="B17">
            <v>0</v>
          </cell>
        </row>
        <row r="18">
          <cell r="B18">
            <v>2711159.5100000002</v>
          </cell>
        </row>
      </sheetData>
      <sheetData sheetId="2"/>
      <sheetData sheetId="3">
        <row r="23">
          <cell r="B23">
            <v>7928.6399999999994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SUMO ANALISE"/>
      <sheetName val="NOVA EAP"/>
      <sheetName val="Maiori"/>
      <sheetName val="Marine"/>
      <sheetName val="Ravello"/>
    </sheetNames>
    <sheetDataSet>
      <sheetData sheetId="0" refreshError="1"/>
      <sheetData sheetId="1" refreshError="1"/>
      <sheetData sheetId="2">
        <row r="9">
          <cell r="G9">
            <v>3453146.1070870003</v>
          </cell>
        </row>
        <row r="146">
          <cell r="G146">
            <v>101740.84</v>
          </cell>
        </row>
        <row r="153">
          <cell r="G153">
            <v>2516249.7414640002</v>
          </cell>
        </row>
        <row r="173">
          <cell r="G173">
            <v>3809665.8509829999</v>
          </cell>
        </row>
        <row r="200">
          <cell r="G200">
            <v>1445771.26835</v>
          </cell>
        </row>
        <row r="224">
          <cell r="G224">
            <v>250176.59</v>
          </cell>
        </row>
        <row r="258">
          <cell r="G258">
            <v>1060890.3600000001</v>
          </cell>
        </row>
        <row r="287">
          <cell r="G287">
            <v>1095705.5299999998</v>
          </cell>
        </row>
        <row r="308">
          <cell r="G308">
            <v>173883.96000000002</v>
          </cell>
        </row>
        <row r="324">
          <cell r="G324">
            <v>164380</v>
          </cell>
        </row>
        <row r="330">
          <cell r="G330">
            <v>71754.8</v>
          </cell>
        </row>
        <row r="340">
          <cell r="G340">
            <v>507384.7</v>
          </cell>
        </row>
        <row r="350">
          <cell r="G350">
            <v>403963.45999999996</v>
          </cell>
        </row>
        <row r="361">
          <cell r="G361">
            <v>2362823.2406599997</v>
          </cell>
        </row>
        <row r="363">
          <cell r="G363">
            <v>740797.68066000007</v>
          </cell>
        </row>
        <row r="397">
          <cell r="G397">
            <v>987758.58000000007</v>
          </cell>
        </row>
        <row r="398">
          <cell r="G398">
            <v>82466.199999999983</v>
          </cell>
        </row>
        <row r="399">
          <cell r="G399">
            <v>521150.22353999998</v>
          </cell>
        </row>
        <row r="410">
          <cell r="G410">
            <v>1401587.01</v>
          </cell>
        </row>
        <row r="466">
          <cell r="G466">
            <v>1170474.0213890001</v>
          </cell>
        </row>
        <row r="495">
          <cell r="G495">
            <v>1997279.429</v>
          </cell>
        </row>
        <row r="536">
          <cell r="G536">
            <v>141458.26</v>
          </cell>
        </row>
        <row r="564">
          <cell r="G564">
            <v>22737.834749999998</v>
          </cell>
        </row>
        <row r="565">
          <cell r="G565">
            <v>6862.65</v>
          </cell>
        </row>
        <row r="567">
          <cell r="G567">
            <v>0</v>
          </cell>
        </row>
        <row r="570">
          <cell r="G570">
            <v>283612.08999999997</v>
          </cell>
        </row>
        <row r="573">
          <cell r="G573">
            <v>28598.85</v>
          </cell>
        </row>
        <row r="576">
          <cell r="G576">
            <v>815022.78</v>
          </cell>
        </row>
        <row r="580">
          <cell r="G580">
            <v>1415604.0099999998</v>
          </cell>
        </row>
      </sheetData>
      <sheetData sheetId="3" refreshError="1"/>
      <sheetData sheetId="4">
        <row r="9">
          <cell r="G9">
            <v>4844787.2507448709</v>
          </cell>
        </row>
        <row r="134">
          <cell r="G134">
            <v>258028.48</v>
          </cell>
        </row>
        <row r="140">
          <cell r="G140">
            <v>4200863.0406999998</v>
          </cell>
        </row>
        <row r="161">
          <cell r="G161">
            <v>7459205.5621599993</v>
          </cell>
        </row>
        <row r="188">
          <cell r="G188">
            <v>2678398.37</v>
          </cell>
        </row>
        <row r="209">
          <cell r="G209">
            <v>715834.36999999988</v>
          </cell>
        </row>
        <row r="233">
          <cell r="G233">
            <v>1562176.4300000002</v>
          </cell>
        </row>
        <row r="249">
          <cell r="G249">
            <v>2197048.8999222503</v>
          </cell>
        </row>
        <row r="270">
          <cell r="G270">
            <v>426980.82000000007</v>
          </cell>
        </row>
        <row r="282">
          <cell r="G282">
            <v>194000</v>
          </cell>
        </row>
        <row r="288">
          <cell r="G288">
            <v>188808.11499999999</v>
          </cell>
        </row>
        <row r="298">
          <cell r="G298">
            <v>850605.46</v>
          </cell>
        </row>
        <row r="309">
          <cell r="G309">
            <v>598572.29</v>
          </cell>
        </row>
        <row r="321">
          <cell r="G321">
            <v>3404949.7647799999</v>
          </cell>
        </row>
        <row r="323">
          <cell r="G323">
            <v>96773.36166000001</v>
          </cell>
        </row>
        <row r="338">
          <cell r="G338">
            <v>2644573.77</v>
          </cell>
        </row>
        <row r="342">
          <cell r="G342">
            <v>809396.43105100002</v>
          </cell>
        </row>
        <row r="358">
          <cell r="G358">
            <v>2058399.981192</v>
          </cell>
        </row>
        <row r="400">
          <cell r="G400">
            <v>1831207.5014440001</v>
          </cell>
        </row>
        <row r="430">
          <cell r="G430">
            <v>3319300.574</v>
          </cell>
        </row>
        <row r="479">
          <cell r="G479">
            <v>350000</v>
          </cell>
        </row>
        <row r="493">
          <cell r="G493">
            <v>0</v>
          </cell>
        </row>
        <row r="497">
          <cell r="G497">
            <v>143344.87599999999</v>
          </cell>
        </row>
        <row r="504">
          <cell r="G504">
            <v>6215</v>
          </cell>
        </row>
        <row r="508">
          <cell r="G508">
            <v>858087.96</v>
          </cell>
        </row>
        <row r="511">
          <cell r="G511">
            <v>2381941.02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ÇAMENTO_EXECUTIVO"/>
      <sheetName val="AREAS PRIVATIVAS"/>
      <sheetName val="ANÁLISE_CUSTOS"/>
      <sheetName val="CÁLCULO_MÉDIAS"/>
      <sheetName val="COMPARAÇÕES"/>
      <sheetName val="Amalfi"/>
    </sheetNames>
    <sheetDataSet>
      <sheetData sheetId="0">
        <row r="2">
          <cell r="G2">
            <v>4498.66</v>
          </cell>
        </row>
        <row r="3">
          <cell r="A3" t="str">
            <v>MOVIMENTAÇÃO DE TERRA</v>
          </cell>
        </row>
        <row r="4">
          <cell r="A4" t="str">
            <v>INFRAESTRUTURA</v>
          </cell>
        </row>
        <row r="5">
          <cell r="A5" t="str">
            <v>SUPRAESTRUTURA</v>
          </cell>
        </row>
        <row r="6">
          <cell r="A6" t="str">
            <v>PAREDES E PAINÉIS</v>
          </cell>
        </row>
        <row r="7">
          <cell r="A7" t="str">
            <v>INSTALAÇÕES ELÉTRICAS, HIDRÁULICAS, GLP E PREVENTIVAS</v>
          </cell>
        </row>
        <row r="8">
          <cell r="A8" t="str">
            <v>EQUIPAMENTOS E SISTEMAS ESPECIAIS</v>
          </cell>
        </row>
        <row r="9">
          <cell r="A9" t="str">
            <v>IMPERMEABILIZAÇÃO</v>
          </cell>
        </row>
        <row r="11">
          <cell r="A11" t="str">
            <v>REVESTIMENTOS E ACABAMENTOS INTERNOS EM TETO</v>
          </cell>
        </row>
        <row r="13">
          <cell r="A13" t="str">
            <v>PINTURA INTERNA</v>
          </cell>
        </row>
        <row r="14">
          <cell r="A14" t="str">
            <v>ESQUADRIAS, VIDROS E FERRAGENS</v>
          </cell>
        </row>
      </sheetData>
      <sheetData sheetId="1">
        <row r="2">
          <cell r="H2">
            <v>2651.04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MPREVISTOS"/>
      <sheetName val="ORÇAMENTO_EXECUTIVO-IMPREVISTOS"/>
      <sheetName val="ANÁLISE_CUSTOS"/>
      <sheetName val="AREAS PRIVATIVAS"/>
      <sheetName val="CÁLCULO_MÉDIAS"/>
      <sheetName val="COMPARAÇÕES"/>
      <sheetName val="Planilha1"/>
    </sheetNames>
    <sheetDataSet>
      <sheetData sheetId="0"/>
      <sheetData sheetId="1">
        <row r="2">
          <cell r="G2">
            <v>8366.5</v>
          </cell>
        </row>
      </sheetData>
      <sheetData sheetId="2"/>
      <sheetData sheetId="3">
        <row r="2">
          <cell r="H2">
            <v>4969.8599999999997</v>
          </cell>
        </row>
      </sheetData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AP"/>
      <sheetName val="ABC_INSUMOS"/>
      <sheetName val="ABC_SERVIÇOS"/>
      <sheetName val="INSUMOS_ORÇADOS"/>
    </sheetNames>
    <sheetDataSet>
      <sheetData sheetId="0">
        <row r="159">
          <cell r="F159">
            <v>1355082.02</v>
          </cell>
        </row>
        <row r="177">
          <cell r="F177">
            <v>4298496.8600000003</v>
          </cell>
        </row>
        <row r="272">
          <cell r="F272">
            <v>1168205.51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COTAÇÕES"/>
      <sheetName val="ORÇAMENTO_EXECUTIVO"/>
      <sheetName val="EPC's"/>
      <sheetName val="ESCAVAÇÕES"/>
      <sheetName val="CISTERNAS E CAIXAS"/>
      <sheetName val="ALVENARIAS"/>
      <sheetName val="ESQUADRIAS"/>
      <sheetName val="GUARDA-CORPO"/>
      <sheetName val="ELETRICA + LOGICA"/>
      <sheetName val="HIDRAULICA"/>
      <sheetName val="PRUMADA"/>
      <sheetName val="SANITÁRIO"/>
      <sheetName val="LOUÇAS E METAIS"/>
      <sheetName val="GAS"/>
      <sheetName val="PREVENTIVAS"/>
      <sheetName val="SPDA"/>
      <sheetName val="IMPERMEABILIZAÇÃO"/>
      <sheetName val="CONTRAPISOS"/>
      <sheetName val="REVEST PISO"/>
      <sheetName val="REVEST PAREDES"/>
      <sheetName val="TETOS"/>
      <sheetName val="RODAPÉS"/>
      <sheetName val="INTERFONIA"/>
      <sheetName val="COBERTURA"/>
      <sheetName val="REUSO"/>
      <sheetName val="FACHADAS"/>
      <sheetName val="MOBILIÁRIO"/>
    </sheetNames>
    <sheetDataSet>
      <sheetData sheetId="0" refreshError="1"/>
      <sheetData sheetId="1" refreshError="1"/>
      <sheetData sheetId="2">
        <row r="13">
          <cell r="G13">
            <v>2230844.25210028</v>
          </cell>
        </row>
        <row r="1392">
          <cell r="G1392">
            <v>38432.979599999999</v>
          </cell>
        </row>
        <row r="1402">
          <cell r="G1402">
            <v>97155.221000000005</v>
          </cell>
        </row>
        <row r="1407">
          <cell r="G1407">
            <v>49967.992299999998</v>
          </cell>
        </row>
        <row r="1417">
          <cell r="G1417">
            <v>126354.65300000001</v>
          </cell>
        </row>
        <row r="1422">
          <cell r="G1422">
            <v>46496.924400000004</v>
          </cell>
        </row>
        <row r="1431">
          <cell r="G1431">
            <v>118716.995</v>
          </cell>
        </row>
        <row r="1435">
          <cell r="G1435">
            <v>22504.866699999999</v>
          </cell>
        </row>
        <row r="1445">
          <cell r="G1445">
            <v>56900.720999999998</v>
          </cell>
        </row>
        <row r="1450">
          <cell r="G1450">
            <v>21966.6394</v>
          </cell>
        </row>
        <row r="1459">
          <cell r="G1459">
            <v>55522.497000000003</v>
          </cell>
        </row>
        <row r="1463">
          <cell r="G1463">
            <v>13759.249599999999</v>
          </cell>
        </row>
        <row r="1472">
          <cell r="G1472">
            <v>32104.799999999999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issa Oliveira" refreshedDate="45827.781243981481" createdVersion="8" refreshedVersion="8" minRefreshableVersion="3" recordCount="15" xr:uid="{6F9747F1-CEFF-4FFB-843C-C554B0D46EA1}">
  <cacheSource type="worksheet">
    <worksheetSource ref="A1:D16" sheet="SEM IMPREVISTOS"/>
  </cacheSource>
  <cacheFields count="4">
    <cacheField name="ETAPA" numFmtId="0">
      <sharedItems count="22">
        <s v="GERENCIAMENTO TÉCNICO E ADMINISTRATIVO"/>
        <s v="MOVIMENTAÇÃO DE TERRA"/>
        <s v="ESTRUTURA"/>
        <s v="PAREDES E PAINÉIS"/>
        <s v="INSTALAÇÕES ELÉTRICAS, HIDRÁULICAS, GLP E PREVENTIVAS"/>
        <s v="EQUIPAMENTOS E SISTEMAS ESPECIAIS"/>
        <s v="IMPERMEABILIZAÇÃO"/>
        <s v="REVESTIMENTOS INTERNOS DE PAREDE"/>
        <s v="REVESTIMENTOS E ACABAMENTOS INTERNOS EM TETO"/>
        <s v="PISOS E PAVIMENTAÇÕES"/>
        <s v="PINTURA INTERNA"/>
        <s v="ESQUADRIAS, VIDROS E FERRAGENS"/>
        <s v="LOUÇAS E METAIS"/>
        <s v="REVESTIMENTOS E ACABAMENTOS DE FACHADA"/>
        <s v="SERVIÇOS COMPLEMENTARES"/>
        <s v="INFRAESTRUTURA" u="1"/>
        <s v="SUPRAESTRUTURA" u="1"/>
        <s v="REVESTIMENTOS ARGAMASSADOS" u="1"/>
        <s v="ACABAMENTOS EM PAREDE" u="1"/>
        <s v="ACABAMENTOS EM TETO" u="1"/>
        <s v="ACABAMENTOS EM PISO" u="1"/>
        <s v="COBERTURA" u="1"/>
      </sharedItems>
    </cacheField>
    <cacheField name="VALOR ORÇADO" numFmtId="44">
      <sharedItems containsSemiMixedTypes="0" containsString="0" containsNumber="1" minValue="280601.76660000003" maxValue="18362171.804884642"/>
    </cacheField>
    <cacheField name="%" numFmtId="10">
      <sharedItems containsSemiMixedTypes="0" containsString="0" containsNumber="1" minValue="4.8531962430088697E-3" maxValue="0.31758610894272798"/>
    </cacheField>
    <cacheField name="VALOR / m²" numFmtId="44">
      <sharedItems containsSemiMixedTypes="0" containsString="0" containsNumber="1" minValue="17.984007190993953" maxValue="1176.84729423692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7594518.5979153067"/>
    <n v="0.13135230605801737"/>
    <n v="486.73919174479704"/>
  </r>
  <r>
    <x v="1"/>
    <n v="1354048.7796026384"/>
    <n v="2.3419184168522872E-2"/>
    <n v="86.782144262275054"/>
  </r>
  <r>
    <x v="2"/>
    <n v="18362171.804884642"/>
    <n v="0.31758610894272798"/>
    <n v="1176.8472942369274"/>
  </r>
  <r>
    <x v="3"/>
    <n v="3110673.771144914"/>
    <n v="5.380119463348642E-2"/>
    <n v="199.36574222945896"/>
  </r>
  <r>
    <x v="4"/>
    <n v="5240360.5001958096"/>
    <n v="9.0635558712702638E-2"/>
    <n v="335.85918599459774"/>
  </r>
  <r>
    <x v="5"/>
    <n v="2570848.3085166668"/>
    <n v="4.4464550253614808E-2"/>
    <n v="164.76786667286211"/>
  </r>
  <r>
    <x v="6"/>
    <n v="802414.60617499996"/>
    <n v="1.3878300194650134E-2"/>
    <n v="51.427438331779129"/>
  </r>
  <r>
    <x v="7"/>
    <n v="1798049.1142581005"/>
    <n v="3.1098468522838013E-2"/>
    <n v="115.23850541779871"/>
  </r>
  <r>
    <x v="8"/>
    <n v="1617430.3008291668"/>
    <n v="2.7974544688104674E-2"/>
    <n v="103.66249120059263"/>
  </r>
  <r>
    <x v="9"/>
    <n v="2284042.2412259113"/>
    <n v="3.9504046458099351E-2"/>
    <n v="146.3862205447025"/>
  </r>
  <r>
    <x v="10"/>
    <n v="2472056.1793083544"/>
    <n v="4.2755873946540457E-2"/>
    <n v="158.4361946252354"/>
  </r>
  <r>
    <x v="11"/>
    <n v="4670248.5191717418"/>
    <n v="8.0775088631113531E-2"/>
    <n v="299.32022157309348"/>
  </r>
  <r>
    <x v="12"/>
    <n v="280601.76660000003"/>
    <n v="4.8531962430088697E-3"/>
    <n v="17.984007190993953"/>
  </r>
  <r>
    <x v="13"/>
    <n v="2256928.3885533498"/>
    <n v="3.9035094143513416E-2"/>
    <n v="144.64847053925084"/>
  </r>
  <r>
    <x v="14"/>
    <n v="2418765.5500664189"/>
    <n v="4.1834176678706717E-2"/>
    <n v="155.020752623169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2:B38" firstHeaderRow="1" firstDataRow="1" firstDataCol="1"/>
  <pivotFields count="4">
    <pivotField axis="axisRow" showAll="0" sortType="descending">
      <items count="23">
        <item m="1" x="21"/>
        <item x="5"/>
        <item x="11"/>
        <item x="0"/>
        <item x="6"/>
        <item m="1" x="15"/>
        <item x="4"/>
        <item x="12"/>
        <item x="1"/>
        <item x="3"/>
        <item x="10"/>
        <item x="9"/>
        <item x="13"/>
        <item x="8"/>
        <item x="7"/>
        <item x="14"/>
        <item m="1" x="16"/>
        <item m="1" x="17"/>
        <item m="1" x="18"/>
        <item m="1" x="19"/>
        <item m="1"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6">
    <i>
      <x v="21"/>
    </i>
    <i>
      <x v="3"/>
    </i>
    <i>
      <x v="6"/>
    </i>
    <i>
      <x v="2"/>
    </i>
    <i>
      <x v="9"/>
    </i>
    <i>
      <x v="1"/>
    </i>
    <i>
      <x v="10"/>
    </i>
    <i>
      <x v="15"/>
    </i>
    <i>
      <x v="11"/>
    </i>
    <i>
      <x v="12"/>
    </i>
    <i>
      <x v="14"/>
    </i>
    <i>
      <x v="13"/>
    </i>
    <i>
      <x v="8"/>
    </i>
    <i>
      <x v="4"/>
    </i>
    <i>
      <x v="7"/>
    </i>
    <i t="grand">
      <x/>
    </i>
  </rowItems>
  <colItems count="1">
    <i/>
  </colItems>
  <dataFields count="1">
    <dataField name="Soma de %" fld="2" baseField="0" baseItem="0" numFmtId="10"/>
  </dataFields>
  <formats count="2">
    <format dxfId="170">
      <pivotArea dataOnly="0" labelOnly="1" outline="0" axis="axisValues" fieldPosition="0"/>
    </format>
    <format dxfId="16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196CD-A917-4309-89DC-898C0E06C2B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0:D36" firstHeaderRow="0" firstDataRow="1" firstDataCol="1"/>
  <pivotFields count="4">
    <pivotField axis="axisRow" showAll="0" sortType="descending">
      <items count="23">
        <item m="1" x="21"/>
        <item x="5"/>
        <item x="11"/>
        <item x="0"/>
        <item x="6"/>
        <item m="1" x="15"/>
        <item x="4"/>
        <item x="12"/>
        <item x="1"/>
        <item x="3"/>
        <item x="10"/>
        <item x="9"/>
        <item x="13"/>
        <item x="8"/>
        <item x="7"/>
        <item x="14"/>
        <item m="1" x="16"/>
        <item m="1" x="17"/>
        <item m="1" x="18"/>
        <item m="1" x="19"/>
        <item m="1"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dataField="1" numFmtId="10" showAll="0"/>
    <pivotField dataField="1" numFmtId="164" showAll="0"/>
  </pivotFields>
  <rowFields count="1">
    <field x="0"/>
  </rowFields>
  <rowItems count="16">
    <i>
      <x v="21"/>
    </i>
    <i>
      <x v="3"/>
    </i>
    <i>
      <x v="6"/>
    </i>
    <i>
      <x v="2"/>
    </i>
    <i>
      <x v="9"/>
    </i>
    <i>
      <x v="1"/>
    </i>
    <i>
      <x v="10"/>
    </i>
    <i>
      <x v="15"/>
    </i>
    <i>
      <x v="11"/>
    </i>
    <i>
      <x v="12"/>
    </i>
    <i>
      <x v="14"/>
    </i>
    <i>
      <x v="13"/>
    </i>
    <i>
      <x v="8"/>
    </i>
    <i>
      <x v="4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%" fld="2" baseField="0" baseItem="0" numFmtId="10"/>
    <dataField name="Soma de VALOR ORÇADO" fld="1" baseField="0" baseItem="0" numFmtId="164"/>
    <dataField name="Soma de VALOR / m²" fld="3" baseField="0" baseItem="0" numFmtId="164"/>
  </dataFields>
  <formats count="2">
    <format dxfId="168">
      <pivotArea dataOnly="0" labelOnly="1" outline="0" axis="axisValues" fieldPosition="0"/>
    </format>
    <format dxfId="167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5E09B-29C0-4079-BA10-2078B683D3A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2:B38" firstHeaderRow="1" firstDataRow="1" firstDataCol="1"/>
  <pivotFields count="4">
    <pivotField axis="axisRow" showAll="0" sortType="descending">
      <items count="23">
        <item m="1" x="21"/>
        <item x="5"/>
        <item x="11"/>
        <item x="0"/>
        <item x="6"/>
        <item m="1" x="15"/>
        <item x="4"/>
        <item x="12"/>
        <item x="1"/>
        <item x="3"/>
        <item x="10"/>
        <item x="9"/>
        <item x="13"/>
        <item x="8"/>
        <item x="7"/>
        <item x="14"/>
        <item m="1" x="16"/>
        <item m="1" x="17"/>
        <item m="1" x="18"/>
        <item m="1" x="19"/>
        <item m="1"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6">
    <i>
      <x v="21"/>
    </i>
    <i>
      <x v="3"/>
    </i>
    <i>
      <x v="6"/>
    </i>
    <i>
      <x v="2"/>
    </i>
    <i>
      <x v="9"/>
    </i>
    <i>
      <x v="1"/>
    </i>
    <i>
      <x v="10"/>
    </i>
    <i>
      <x v="15"/>
    </i>
    <i>
      <x v="11"/>
    </i>
    <i>
      <x v="12"/>
    </i>
    <i>
      <x v="14"/>
    </i>
    <i>
      <x v="13"/>
    </i>
    <i>
      <x v="8"/>
    </i>
    <i>
      <x v="4"/>
    </i>
    <i>
      <x v="7"/>
    </i>
    <i t="grand">
      <x/>
    </i>
  </rowItems>
  <colItems count="1">
    <i/>
  </colItems>
  <dataFields count="1">
    <dataField name="Soma de %" fld="2" baseField="0" baseItem="0" numFmtId="10"/>
  </dataFields>
  <formats count="2">
    <format dxfId="166">
      <pivotArea dataOnly="0" labelOnly="1" outline="0" axis="axisValues" fieldPosition="0"/>
    </format>
    <format dxfId="16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sheetPr>
    <tabColor theme="5" tint="-0.249977111117893"/>
  </sheetPr>
  <dimension ref="A1:M904"/>
  <sheetViews>
    <sheetView topLeftCell="A77" zoomScale="82" zoomScaleNormal="82" workbookViewId="0">
      <selection activeCell="D91" sqref="D91"/>
    </sheetView>
  </sheetViews>
  <sheetFormatPr defaultColWidth="14.42578125" defaultRowHeight="15" customHeight="1" x14ac:dyDescent="0.25"/>
  <cols>
    <col min="1" max="1" width="56.5703125" bestFit="1" customWidth="1"/>
    <col min="2" max="2" width="27.140625" customWidth="1"/>
    <col min="3" max="3" width="20.28515625" style="18" bestFit="1" customWidth="1"/>
    <col min="4" max="4" width="21.7109375" style="18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00" t="s">
        <v>16</v>
      </c>
      <c r="B2" s="105">
        <f>[1]Obra!$C$33</f>
        <v>7713624.6351084877</v>
      </c>
      <c r="C2" s="40">
        <f t="shared" ref="C2:C16" si="0">B2/B$18</f>
        <v>0.12886233520649826</v>
      </c>
      <c r="D2" s="85">
        <f>B2/'SEM IMPREVISTOS'!G$2</f>
        <v>494.37279952755347</v>
      </c>
      <c r="E2" s="6"/>
      <c r="F2" s="21" t="s">
        <v>22</v>
      </c>
      <c r="G2" s="63">
        <v>15602.85</v>
      </c>
      <c r="H2" s="22" t="s">
        <v>32</v>
      </c>
      <c r="I2" s="6"/>
      <c r="J2" s="6"/>
      <c r="K2" s="6"/>
      <c r="L2" s="6"/>
      <c r="M2" s="6"/>
    </row>
    <row r="3" spans="1:13" ht="22.5" customHeight="1" x14ac:dyDescent="0.25">
      <c r="A3" s="101" t="s">
        <v>2</v>
      </c>
      <c r="B3" s="106">
        <f>B46</f>
        <v>1415598.7796026384</v>
      </c>
      <c r="C3" s="7">
        <f t="shared" si="0"/>
        <v>2.3648721980169242E-2</v>
      </c>
      <c r="D3" s="86">
        <f>B3/'SEM IMPREVISTOS'!G$2</f>
        <v>90.726936399608945</v>
      </c>
      <c r="E3" s="6"/>
      <c r="F3" s="102"/>
      <c r="G3" s="103"/>
      <c r="H3" s="104"/>
      <c r="I3" s="6"/>
      <c r="J3" s="6"/>
      <c r="K3" s="6"/>
      <c r="L3" s="6"/>
      <c r="M3" s="6"/>
    </row>
    <row r="4" spans="1:13" ht="19.5" customHeight="1" x14ac:dyDescent="0.25">
      <c r="A4" s="100" t="s">
        <v>91</v>
      </c>
      <c r="B4" s="105">
        <f>C47</f>
        <v>18362171.804884642</v>
      </c>
      <c r="C4" s="40">
        <f t="shared" si="0"/>
        <v>0.30675492393947384</v>
      </c>
      <c r="D4" s="85">
        <f>B4/'SEM IMPREVISTOS'!G$2</f>
        <v>1176.8472942369274</v>
      </c>
      <c r="E4" s="6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01" t="s">
        <v>37</v>
      </c>
      <c r="B5" s="106">
        <f>C52</f>
        <v>3110673.7711449144</v>
      </c>
      <c r="C5" s="7">
        <f t="shared" si="0"/>
        <v>5.1966320008738708E-2</v>
      </c>
      <c r="D5" s="86">
        <f>B5/'SEM IMPREVISTOS'!G$2</f>
        <v>199.36574222945899</v>
      </c>
      <c r="E5" s="6"/>
      <c r="F5" s="6"/>
      <c r="G5" s="6"/>
      <c r="H5" s="74"/>
      <c r="I5" s="75"/>
      <c r="J5" s="6"/>
      <c r="K5" s="6"/>
      <c r="L5" s="6"/>
      <c r="M5" s="6"/>
    </row>
    <row r="6" spans="1:13" ht="19.5" customHeight="1" x14ac:dyDescent="0.25">
      <c r="A6" s="100" t="s">
        <v>6</v>
      </c>
      <c r="B6" s="105">
        <f>C56+C58+C60+C62+C64</f>
        <v>6044697.358579332</v>
      </c>
      <c r="C6" s="40">
        <f t="shared" si="0"/>
        <v>0.10098155589497766</v>
      </c>
      <c r="D6" s="85">
        <f>B6/'SEM IMPREVISTOS'!G$2</f>
        <v>387.40982311432413</v>
      </c>
      <c r="E6" s="6"/>
      <c r="F6" s="10"/>
      <c r="G6" s="6"/>
      <c r="H6" s="74"/>
      <c r="I6" s="75"/>
      <c r="J6" s="6"/>
      <c r="K6" s="6"/>
      <c r="L6" s="6"/>
      <c r="M6" s="6"/>
    </row>
    <row r="7" spans="1:13" ht="19.5" customHeight="1" x14ac:dyDescent="0.25">
      <c r="A7" s="101" t="s">
        <v>20</v>
      </c>
      <c r="B7" s="106">
        <f>B66+C67</f>
        <v>2681510.4620166668</v>
      </c>
      <c r="C7" s="7">
        <f t="shared" si="0"/>
        <v>4.4796799995086074E-2</v>
      </c>
      <c r="D7" s="86">
        <f>B7/'SEM IMPREVISTOS'!G$2</f>
        <v>171.86029872854425</v>
      </c>
      <c r="E7" s="17" t="s">
        <v>93</v>
      </c>
      <c r="F7" s="11"/>
      <c r="G7" s="6"/>
      <c r="H7" s="6"/>
      <c r="I7" s="6"/>
      <c r="J7" s="6"/>
      <c r="K7" s="6"/>
      <c r="L7" s="6"/>
      <c r="M7" s="6"/>
    </row>
    <row r="8" spans="1:13" ht="19.5" customHeight="1" x14ac:dyDescent="0.25">
      <c r="A8" s="100" t="s">
        <v>7</v>
      </c>
      <c r="B8" s="105">
        <f>C54</f>
        <v>802414.60617499996</v>
      </c>
      <c r="C8" s="40">
        <f t="shared" si="0"/>
        <v>1.3404984666337586E-2</v>
      </c>
      <c r="D8" s="85">
        <f>B8/'SEM IMPREVISTOS'!G$2</f>
        <v>51.427438331779129</v>
      </c>
      <c r="E8" s="6"/>
      <c r="F8" s="10"/>
      <c r="G8" s="19"/>
      <c r="H8" s="6"/>
      <c r="I8" s="6"/>
      <c r="J8" s="6"/>
      <c r="K8" s="6"/>
      <c r="L8" s="6"/>
      <c r="M8" s="6"/>
    </row>
    <row r="9" spans="1:13" ht="19.5" customHeight="1" x14ac:dyDescent="0.25">
      <c r="A9" s="101" t="s">
        <v>55</v>
      </c>
      <c r="B9" s="106">
        <f>B70+B72+C74</f>
        <v>1879566.7042581006</v>
      </c>
      <c r="C9" s="7">
        <f t="shared" si="0"/>
        <v>3.1399681232177824E-2</v>
      </c>
      <c r="D9" s="86">
        <f>B9/'SEM IMPREVISTOS'!G$2</f>
        <v>120.4630374744422</v>
      </c>
      <c r="E9" s="6"/>
      <c r="F9" s="9"/>
      <c r="G9" s="6"/>
      <c r="H9" s="6"/>
      <c r="I9" s="6"/>
      <c r="J9" s="6"/>
      <c r="K9" s="6"/>
      <c r="L9" s="6"/>
      <c r="M9" s="6"/>
    </row>
    <row r="10" spans="1:13" ht="19.5" customHeight="1" x14ac:dyDescent="0.25">
      <c r="A10" s="100" t="s">
        <v>18</v>
      </c>
      <c r="B10" s="105">
        <f>C76</f>
        <v>1650987.8791083335</v>
      </c>
      <c r="C10" s="40">
        <f t="shared" si="0"/>
        <v>2.7581087175436749E-2</v>
      </c>
      <c r="D10" s="85">
        <f>B10/'SEM IMPREVISTOS'!G$2</f>
        <v>105.81322509082209</v>
      </c>
      <c r="E10" s="6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01" t="s">
        <v>56</v>
      </c>
      <c r="B11" s="106">
        <f>C78</f>
        <v>2503625.0375407115</v>
      </c>
      <c r="C11" s="7">
        <f t="shared" si="0"/>
        <v>4.1825080177033458E-2</v>
      </c>
      <c r="D11" s="86">
        <f>B11/'SEM IMPREVISTOS'!G$2</f>
        <v>160.45946974691876</v>
      </c>
      <c r="E11" s="6"/>
      <c r="F11" s="6"/>
      <c r="G11" s="20"/>
      <c r="H11" s="6"/>
      <c r="I11" s="6"/>
      <c r="J11" s="6"/>
      <c r="K11" s="6"/>
      <c r="L11" s="6"/>
      <c r="M11" s="6"/>
    </row>
    <row r="12" spans="1:13" ht="19.5" customHeight="1" x14ac:dyDescent="0.25">
      <c r="A12" s="100" t="s">
        <v>9</v>
      </c>
      <c r="B12" s="105">
        <f>C88</f>
        <v>2472056.1793083544</v>
      </c>
      <c r="C12" s="40">
        <f t="shared" si="0"/>
        <v>4.1297696880067097E-2</v>
      </c>
      <c r="D12" s="85">
        <f>B12/'SEM IMPREVISTOS'!G$2</f>
        <v>158.4361946252354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ht="19.5" customHeight="1" x14ac:dyDescent="0.25">
      <c r="A13" s="101" t="s">
        <v>10</v>
      </c>
      <c r="B13" s="106">
        <f>C91</f>
        <v>4972980.9791717418</v>
      </c>
      <c r="C13" s="7">
        <f t="shared" si="0"/>
        <v>8.3077667403834723E-2</v>
      </c>
      <c r="D13" s="86">
        <f>B13/'SEM IMPREVISTOS'!G$2</f>
        <v>318.72260383018113</v>
      </c>
      <c r="E13" s="6"/>
      <c r="F13" s="6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100" t="s">
        <v>38</v>
      </c>
      <c r="B14" s="105">
        <f>C93</f>
        <v>280601.76660000003</v>
      </c>
      <c r="C14" s="40">
        <f t="shared" si="0"/>
        <v>4.6876793488974632E-3</v>
      </c>
      <c r="D14" s="85">
        <f>B14/'SEM IMPREVISTOS'!G$2</f>
        <v>17.984007190993953</v>
      </c>
      <c r="E14" s="6"/>
      <c r="F14" s="66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01" t="s">
        <v>11</v>
      </c>
      <c r="B15" s="106">
        <f>B71+B73+B90</f>
        <v>2575359.98685335</v>
      </c>
      <c r="C15" s="7">
        <f t="shared" si="0"/>
        <v>4.3023470495674669E-2</v>
      </c>
      <c r="D15" s="86">
        <f>B15/'SEM IMPREVISTOS'!G$2</f>
        <v>165.05702399583089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100" t="s">
        <v>12</v>
      </c>
      <c r="B16" s="105">
        <f>C95</f>
        <v>2465512.4706464191</v>
      </c>
      <c r="C16" s="40">
        <f t="shared" si="0"/>
        <v>4.1188378936949932E-2</v>
      </c>
      <c r="D16" s="85">
        <f>B16/'SEM IMPREVISTOS'!G$2</f>
        <v>158.01680274093636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101" t="s">
        <v>62</v>
      </c>
      <c r="B17" s="106">
        <f>B51+B53+B55+B57+B59+B61+B63+B65+B68+B75+B77+B86+B89+B92+B94+B96</f>
        <v>928037.4998619908</v>
      </c>
      <c r="C17" s="7">
        <f t="shared" ref="C17" si="1">B17/B$18</f>
        <v>1.5503616658646817E-2</v>
      </c>
      <c r="D17" s="86">
        <f>B17/'SEM IMPREVISTOS'!G$2</f>
        <v>59.478717020415552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ht="19.5" customHeight="1" x14ac:dyDescent="0.25">
      <c r="A18" s="41" t="s">
        <v>13</v>
      </c>
      <c r="B18" s="79">
        <f>SUM(B2:B17)</f>
        <v>59859419.920860678</v>
      </c>
      <c r="C18" s="43">
        <f>SUM(C2:C17)</f>
        <v>1.0000000000000002</v>
      </c>
      <c r="D18" s="87">
        <f>SUM(D2:D17)</f>
        <v>3836.4414142839723</v>
      </c>
      <c r="E18" s="9"/>
      <c r="F18" s="66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41" t="s">
        <v>29</v>
      </c>
      <c r="B19" s="80">
        <v>2934.53</v>
      </c>
      <c r="C19" s="44">
        <v>45809</v>
      </c>
      <c r="D19" s="81" t="str">
        <f>ROUNDDOWN(D18/B19,2)&amp;" CUB"</f>
        <v>1,3 CUB</v>
      </c>
      <c r="E19" s="9"/>
      <c r="F19" s="6"/>
      <c r="G19" s="6"/>
      <c r="H19" s="6"/>
      <c r="I19" s="6"/>
      <c r="J19" s="6"/>
      <c r="K19" s="6"/>
      <c r="L19" s="6"/>
      <c r="M19" s="6"/>
    </row>
    <row r="20" spans="1:13" ht="19.5" x14ac:dyDescent="0.25">
      <c r="B20" s="72"/>
      <c r="C20" s="10"/>
      <c r="D20" s="10"/>
      <c r="E20" s="6"/>
      <c r="F20" s="9"/>
      <c r="G20" s="6"/>
      <c r="H20" s="6"/>
      <c r="I20" s="6"/>
      <c r="J20" s="6"/>
      <c r="K20" s="6"/>
      <c r="L20" s="6"/>
      <c r="M20" s="6"/>
    </row>
    <row r="21" spans="1:13" ht="22.5" customHeight="1" x14ac:dyDescent="0.25">
      <c r="A21" s="6"/>
      <c r="B21" s="9"/>
      <c r="C21" s="10"/>
      <c r="D21" s="10"/>
      <c r="E21" s="6"/>
      <c r="F21" s="66"/>
      <c r="G21" s="66"/>
      <c r="H21" s="6"/>
      <c r="I21" s="6"/>
      <c r="J21" s="6"/>
      <c r="K21" s="6"/>
      <c r="L21" s="6"/>
      <c r="M21" s="6"/>
    </row>
    <row r="22" spans="1:13" ht="15" customHeight="1" x14ac:dyDescent="0.25">
      <c r="A22" s="69" t="s">
        <v>39</v>
      </c>
      <c r="B22" s="71" t="s">
        <v>41</v>
      </c>
      <c r="C22"/>
      <c r="D22"/>
    </row>
    <row r="23" spans="1:13" x14ac:dyDescent="0.25">
      <c r="A23" s="70" t="s">
        <v>91</v>
      </c>
      <c r="B23" s="71">
        <v>0.31758610894272798</v>
      </c>
      <c r="C23"/>
      <c r="D23"/>
    </row>
    <row r="24" spans="1:13" x14ac:dyDescent="0.25">
      <c r="A24" s="70" t="s">
        <v>16</v>
      </c>
      <c r="B24" s="71">
        <v>0.13135230605801737</v>
      </c>
      <c r="C24"/>
      <c r="D24"/>
    </row>
    <row r="25" spans="1:13" x14ac:dyDescent="0.25">
      <c r="A25" s="70" t="s">
        <v>6</v>
      </c>
      <c r="B25" s="71">
        <v>9.0635558712702638E-2</v>
      </c>
      <c r="C25"/>
      <c r="D25"/>
    </row>
    <row r="26" spans="1:13" x14ac:dyDescent="0.25">
      <c r="A26" s="70" t="s">
        <v>10</v>
      </c>
      <c r="B26" s="71">
        <v>8.0775088631113531E-2</v>
      </c>
      <c r="C26"/>
      <c r="D26"/>
    </row>
    <row r="27" spans="1:13" x14ac:dyDescent="0.25">
      <c r="A27" s="70" t="s">
        <v>37</v>
      </c>
      <c r="B27" s="71">
        <v>5.380119463348642E-2</v>
      </c>
      <c r="C27"/>
      <c r="D27"/>
    </row>
    <row r="28" spans="1:13" x14ac:dyDescent="0.25">
      <c r="A28" s="70" t="s">
        <v>20</v>
      </c>
      <c r="B28" s="71">
        <v>4.4464550253614808E-2</v>
      </c>
      <c r="C28"/>
      <c r="D28"/>
    </row>
    <row r="29" spans="1:13" x14ac:dyDescent="0.25">
      <c r="A29" s="70" t="s">
        <v>9</v>
      </c>
      <c r="B29" s="71">
        <v>4.2755873946540457E-2</v>
      </c>
      <c r="C29"/>
      <c r="D29"/>
    </row>
    <row r="30" spans="1:13" x14ac:dyDescent="0.25">
      <c r="A30" s="70" t="s">
        <v>12</v>
      </c>
      <c r="B30" s="71">
        <v>4.1834176678706717E-2</v>
      </c>
      <c r="C30"/>
      <c r="D30"/>
    </row>
    <row r="31" spans="1:13" x14ac:dyDescent="0.25">
      <c r="A31" s="70" t="s">
        <v>56</v>
      </c>
      <c r="B31" s="71">
        <v>3.9504046458099351E-2</v>
      </c>
      <c r="C31"/>
      <c r="D31"/>
    </row>
    <row r="32" spans="1:13" x14ac:dyDescent="0.25">
      <c r="A32" s="70" t="s">
        <v>11</v>
      </c>
      <c r="B32" s="71">
        <v>3.9035094143513416E-2</v>
      </c>
      <c r="C32"/>
      <c r="D32"/>
    </row>
    <row r="33" spans="1:13" x14ac:dyDescent="0.25">
      <c r="A33" s="70" t="s">
        <v>55</v>
      </c>
      <c r="B33" s="71">
        <v>3.1098468522838013E-2</v>
      </c>
      <c r="C33"/>
      <c r="D33"/>
    </row>
    <row r="34" spans="1:13" x14ac:dyDescent="0.25">
      <c r="A34" s="70" t="s">
        <v>18</v>
      </c>
      <c r="B34" s="71">
        <v>2.7974544688104674E-2</v>
      </c>
      <c r="C34"/>
      <c r="D34"/>
    </row>
    <row r="35" spans="1:13" x14ac:dyDescent="0.25">
      <c r="A35" s="70" t="s">
        <v>2</v>
      </c>
      <c r="B35" s="71">
        <v>2.3419184168522872E-2</v>
      </c>
      <c r="C35"/>
      <c r="D35"/>
    </row>
    <row r="36" spans="1:13" x14ac:dyDescent="0.25">
      <c r="A36" s="70" t="s">
        <v>7</v>
      </c>
      <c r="B36" s="71">
        <v>1.3878300194650134E-2</v>
      </c>
      <c r="C36"/>
      <c r="D36"/>
    </row>
    <row r="37" spans="1:13" x14ac:dyDescent="0.25">
      <c r="A37" s="70" t="s">
        <v>38</v>
      </c>
      <c r="B37" s="71">
        <v>4.8531962430088697E-3</v>
      </c>
      <c r="C37"/>
      <c r="D37"/>
    </row>
    <row r="38" spans="1:13" x14ac:dyDescent="0.25">
      <c r="A38" s="70" t="s">
        <v>40</v>
      </c>
      <c r="B38" s="71">
        <v>0.98296769227564729</v>
      </c>
      <c r="C38"/>
      <c r="D38"/>
    </row>
    <row r="39" spans="1:13" x14ac:dyDescent="0.25">
      <c r="C39"/>
      <c r="D39"/>
    </row>
    <row r="40" spans="1:13" x14ac:dyDescent="0.25">
      <c r="C40"/>
      <c r="D40"/>
    </row>
    <row r="41" spans="1:13" x14ac:dyDescent="0.25">
      <c r="C41"/>
      <c r="D41"/>
    </row>
    <row r="42" spans="1:13" ht="19.5" x14ac:dyDescent="0.25"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</row>
    <row r="43" spans="1:13" ht="19.5" x14ac:dyDescent="0.25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5" x14ac:dyDescent="0.25">
      <c r="A44" s="190" t="s">
        <v>16</v>
      </c>
      <c r="B44" s="191">
        <f>[1]Ger_Administrativo!$N$127</f>
        <v>7713624.6351084877</v>
      </c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x14ac:dyDescent="0.25">
      <c r="A45" s="239" t="s">
        <v>125</v>
      </c>
      <c r="B45" s="239"/>
      <c r="C45" s="239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x14ac:dyDescent="0.25">
      <c r="A46" s="190" t="s">
        <v>2</v>
      </c>
      <c r="B46" s="191">
        <f>'[1]Ger_Executivo MEGA'!$N$127</f>
        <v>1415598.7796026384</v>
      </c>
      <c r="C46" s="186"/>
      <c r="D46" s="10"/>
      <c r="F46" s="6"/>
      <c r="G46" s="6"/>
      <c r="H46" s="6"/>
      <c r="I46" s="6"/>
      <c r="J46" s="6"/>
      <c r="K46" s="6"/>
      <c r="L46" s="6"/>
      <c r="M46" s="6"/>
    </row>
    <row r="47" spans="1:13" ht="19.5" x14ac:dyDescent="0.25">
      <c r="A47" s="190" t="s">
        <v>91</v>
      </c>
      <c r="B47" s="191">
        <f>'[1]Ger_Executivo MEGA'!$N$133</f>
        <v>18749746.800203346</v>
      </c>
      <c r="C47" s="186">
        <f>B47-B51</f>
        <v>18362171.804884642</v>
      </c>
      <c r="D47" s="10" t="s">
        <v>126</v>
      </c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A48" s="192" t="s">
        <v>3</v>
      </c>
      <c r="B48" s="193">
        <f>'[1]Ger_Executivo MEGA'!$N$134</f>
        <v>2368306.5077723023</v>
      </c>
      <c r="C48" s="186"/>
      <c r="D48" s="10"/>
      <c r="F48" s="6"/>
      <c r="G48" s="6"/>
      <c r="H48" s="6"/>
      <c r="I48" s="6"/>
      <c r="J48" s="6"/>
      <c r="K48" s="6"/>
      <c r="L48" s="6"/>
      <c r="M48" s="6"/>
    </row>
    <row r="49" spans="1:13" ht="19.5" x14ac:dyDescent="0.25">
      <c r="A49" s="192" t="s">
        <v>4</v>
      </c>
      <c r="B49" s="193">
        <f>'[1]Ger_Executivo MEGA'!$N$152</f>
        <v>4417376.635496527</v>
      </c>
      <c r="C49" s="186"/>
      <c r="D49" s="10"/>
      <c r="F49" s="6"/>
      <c r="G49" s="6"/>
      <c r="H49" s="6"/>
      <c r="I49" s="6"/>
      <c r="J49" s="6"/>
      <c r="K49" s="6"/>
      <c r="L49" s="6"/>
      <c r="M49" s="6"/>
    </row>
    <row r="50" spans="1:13" ht="19.5" customHeight="1" x14ac:dyDescent="0.25">
      <c r="A50" s="192" t="s">
        <v>100</v>
      </c>
      <c r="B50" s="193">
        <f>'[1]Ger_Executivo MEGA'!$N$169</f>
        <v>11964063.656934513</v>
      </c>
      <c r="C50" s="186">
        <f>B50-B51</f>
        <v>11576488.661615811</v>
      </c>
      <c r="D50" s="10"/>
      <c r="F50" s="6"/>
      <c r="G50" s="6"/>
      <c r="H50" s="6"/>
      <c r="I50" s="6"/>
      <c r="J50" s="6"/>
      <c r="K50" s="6"/>
      <c r="L50" s="6"/>
      <c r="M50" s="6"/>
    </row>
    <row r="51" spans="1:13" ht="19.5" customHeight="1" x14ac:dyDescent="0.25">
      <c r="A51" s="144" t="s">
        <v>67</v>
      </c>
      <c r="B51" s="194">
        <f>'[1]Ger_Executivo MEGA'!$N$175</f>
        <v>387574.99531870225</v>
      </c>
      <c r="C51" s="188"/>
      <c r="D51" s="10"/>
      <c r="F51" s="6"/>
      <c r="G51" s="6"/>
      <c r="H51" s="6"/>
      <c r="I51" s="6"/>
      <c r="J51" s="6"/>
      <c r="K51" s="6"/>
      <c r="L51" s="6"/>
      <c r="M51" s="6"/>
    </row>
    <row r="52" spans="1:13" ht="19.5" customHeight="1" x14ac:dyDescent="0.25">
      <c r="A52" s="190" t="s">
        <v>37</v>
      </c>
      <c r="B52" s="191">
        <f>'[1]Ger_Executivo MEGA'!$N$177</f>
        <v>3110673.7711449144</v>
      </c>
      <c r="C52" s="189">
        <f>B52-B53</f>
        <v>3110673.7711449144</v>
      </c>
      <c r="D52" s="10" t="s">
        <v>126</v>
      </c>
      <c r="F52" s="6"/>
      <c r="G52" s="6"/>
      <c r="H52" s="6"/>
      <c r="I52" s="6"/>
      <c r="J52" s="6"/>
      <c r="K52" s="6"/>
      <c r="L52" s="6"/>
      <c r="M52" s="6"/>
    </row>
    <row r="53" spans="1:13" ht="19.5" customHeight="1" x14ac:dyDescent="0.25">
      <c r="A53" s="144" t="s">
        <v>67</v>
      </c>
      <c r="B53" s="194">
        <f>'[1]Ger_Executivo MEGA'!$N$194</f>
        <v>0</v>
      </c>
      <c r="C53" s="189"/>
      <c r="D53" s="10"/>
      <c r="F53" s="6"/>
      <c r="G53" s="6"/>
      <c r="H53" s="6"/>
      <c r="I53" s="6"/>
      <c r="J53" s="6"/>
      <c r="K53" s="6"/>
      <c r="L53" s="6"/>
      <c r="M53" s="6"/>
    </row>
    <row r="54" spans="1:13" ht="19.5" customHeight="1" x14ac:dyDescent="0.25">
      <c r="A54" s="195" t="s">
        <v>68</v>
      </c>
      <c r="B54" s="191">
        <f>'[1]Ger_Executivo MEGA'!$N$196</f>
        <v>820493.65955901972</v>
      </c>
      <c r="C54" s="189">
        <f>B54-B55</f>
        <v>802414.60617499996</v>
      </c>
      <c r="D54" s="10"/>
      <c r="F54" s="6"/>
      <c r="G54" s="6"/>
      <c r="H54" s="6"/>
      <c r="I54" s="6"/>
      <c r="J54" s="6"/>
      <c r="K54" s="6"/>
      <c r="L54" s="6"/>
      <c r="M54" s="6"/>
    </row>
    <row r="55" spans="1:13" ht="19.5" customHeight="1" x14ac:dyDescent="0.25">
      <c r="A55" s="144" t="s">
        <v>67</v>
      </c>
      <c r="B55" s="194">
        <f>'[1]Ger_Executivo MEGA'!$N$216</f>
        <v>18079.053384019768</v>
      </c>
      <c r="C55" s="189"/>
      <c r="D55" s="10"/>
      <c r="F55" s="6"/>
      <c r="G55" s="6"/>
      <c r="H55" s="6"/>
      <c r="I55" s="6"/>
      <c r="J55" s="6"/>
      <c r="K55" s="6"/>
      <c r="L55" s="6"/>
      <c r="M55" s="6"/>
    </row>
    <row r="56" spans="1:13" ht="19.5" customHeight="1" x14ac:dyDescent="0.25">
      <c r="A56" s="195" t="s">
        <v>69</v>
      </c>
      <c r="B56" s="191">
        <f>'[1]Ger_Executivo MEGA'!$N$218</f>
        <v>2198802.790225226</v>
      </c>
      <c r="C56" s="189">
        <f>B56-B57</f>
        <v>2150552.2410833333</v>
      </c>
      <c r="D56" s="10"/>
      <c r="F56" s="6"/>
      <c r="G56" s="213"/>
      <c r="H56" s="6"/>
      <c r="I56" s="6"/>
      <c r="J56" s="6"/>
      <c r="K56" s="6"/>
      <c r="L56" s="6"/>
      <c r="M56" s="6"/>
    </row>
    <row r="57" spans="1:13" ht="19.5" customHeight="1" x14ac:dyDescent="0.25">
      <c r="A57" s="144" t="s">
        <v>67</v>
      </c>
      <c r="B57" s="194">
        <f>'[1]Ger_Executivo MEGA'!$N$240</f>
        <v>48250.549141892887</v>
      </c>
      <c r="C57" s="189"/>
      <c r="D57" s="10"/>
      <c r="F57" s="6"/>
      <c r="G57" s="6"/>
      <c r="H57" s="6"/>
      <c r="I57" s="6"/>
      <c r="J57" s="6"/>
      <c r="K57" s="6"/>
      <c r="L57" s="6"/>
      <c r="M57" s="6"/>
    </row>
    <row r="58" spans="1:13" ht="19.5" customHeight="1" x14ac:dyDescent="0.25">
      <c r="A58" s="195" t="s">
        <v>70</v>
      </c>
      <c r="B58" s="191">
        <f>'[1]Ger_Executivo MEGA'!$N$242</f>
        <v>3148211.7647864954</v>
      </c>
      <c r="C58" s="189">
        <f>B58-B59</f>
        <v>3081050.898664</v>
      </c>
      <c r="D58" s="10"/>
      <c r="F58" s="6"/>
      <c r="G58" s="6"/>
      <c r="H58" s="6"/>
      <c r="I58" s="6"/>
      <c r="J58" s="6"/>
      <c r="K58" s="6"/>
      <c r="L58" s="6"/>
      <c r="M58" s="6"/>
    </row>
    <row r="59" spans="1:13" ht="19.5" customHeight="1" x14ac:dyDescent="0.25">
      <c r="A59" s="144" t="s">
        <v>67</v>
      </c>
      <c r="B59" s="194">
        <f>'[1]Ger_Executivo MEGA'!$N$264</f>
        <v>67160.866122495325</v>
      </c>
      <c r="C59" s="189"/>
      <c r="D59" s="10"/>
      <c r="E59" s="212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25">
      <c r="A60" s="195" t="s">
        <v>71</v>
      </c>
      <c r="B60" s="191">
        <f>'[1]Ger_Executivo MEGA'!$N$266</f>
        <v>312741.32236301922</v>
      </c>
      <c r="C60" s="189">
        <f>B60-B61</f>
        <v>304981.48049999995</v>
      </c>
      <c r="D60" s="10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25">
      <c r="A61" s="144" t="s">
        <v>67</v>
      </c>
      <c r="B61" s="194">
        <f>'[1]Ger_Executivo MEGA'!$N$278</f>
        <v>7759.8418630192755</v>
      </c>
      <c r="C61" s="189"/>
      <c r="D61" s="10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25">
      <c r="A62" s="195" t="s">
        <v>72</v>
      </c>
      <c r="B62" s="191">
        <f>'[1]Ger_Executivo MEGA'!$N$280</f>
        <v>309385.84124302375</v>
      </c>
      <c r="C62" s="189">
        <f>B62-B63</f>
        <v>299263.84540000005</v>
      </c>
      <c r="D62" s="10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144" t="s">
        <v>67</v>
      </c>
      <c r="B63" s="194">
        <f>'[1]Ger_Executivo MEGA'!$N$285</f>
        <v>10121.995843023691</v>
      </c>
      <c r="C63" s="189"/>
      <c r="D63" s="10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195" t="s">
        <v>73</v>
      </c>
      <c r="B64" s="191">
        <f>'[1]Ger_Executivo MEGA'!$N$287</f>
        <v>213309.94713389673</v>
      </c>
      <c r="C64" s="189">
        <f>B64-B65</f>
        <v>208848.89293200002</v>
      </c>
      <c r="D64" s="10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144" t="s">
        <v>67</v>
      </c>
      <c r="B65" s="194">
        <f>'[1]Ger_Executivo MEGA'!$N$295</f>
        <v>4461.0542018966989</v>
      </c>
      <c r="C65" s="189"/>
      <c r="D65" s="10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195" t="s">
        <v>20</v>
      </c>
      <c r="B66" s="191">
        <f>'[1]Ger_Executivo MEGA'!$N$297</f>
        <v>1794333.07</v>
      </c>
      <c r="C66" s="189"/>
      <c r="D66" s="10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195" t="s">
        <v>75</v>
      </c>
      <c r="B67" s="191">
        <f>'[1]Ger_Executivo MEGA'!$N$301</f>
        <v>906667.6336312592</v>
      </c>
      <c r="C67" s="189">
        <f>B67-B68</f>
        <v>887177.39201666671</v>
      </c>
      <c r="D67" s="10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144" t="s">
        <v>67</v>
      </c>
      <c r="B68" s="194">
        <f>'[1]Ger_Executivo MEGA'!$N$323</f>
        <v>19490.24161459248</v>
      </c>
      <c r="C68" s="189"/>
      <c r="D68" s="10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195" t="s">
        <v>95</v>
      </c>
      <c r="B69" s="191">
        <f>'[1]Ger_Executivo MEGA'!$N$325</f>
        <v>2542675.6698656175</v>
      </c>
      <c r="C69" s="189"/>
      <c r="D69" s="10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196" t="s">
        <v>76</v>
      </c>
      <c r="B70" s="197">
        <f>'[1]Ger_Executivo MEGA'!$N$327</f>
        <v>466642.00005810021</v>
      </c>
      <c r="C70" s="189"/>
      <c r="D70" s="10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198" t="s">
        <v>101</v>
      </c>
      <c r="B71" s="199">
        <f>'[1]Ger_Executivo MEGA'!$N$331</f>
        <v>302718.15050751658</v>
      </c>
      <c r="C71" s="189"/>
      <c r="D71" s="10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196" t="s">
        <v>127</v>
      </c>
      <c r="B72" s="197">
        <f>'[1]Ger_Executivo MEGA'!$N$337</f>
        <v>840739.45050000038</v>
      </c>
      <c r="C72" s="189"/>
      <c r="D72" s="10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198" t="s">
        <v>128</v>
      </c>
      <c r="B73" s="199">
        <f>'[1]Ger_Executivo MEGA'!$N$338</f>
        <v>932576.06880000036</v>
      </c>
      <c r="C73" s="189"/>
      <c r="D73" s="10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195" t="s">
        <v>96</v>
      </c>
      <c r="B74" s="191">
        <f>'[1]Ger_Executivo MEGA'!$N$339</f>
        <v>585077.05261241295</v>
      </c>
      <c r="C74" s="189">
        <f>B74-B75</f>
        <v>572185.25369999988</v>
      </c>
      <c r="D74" s="10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144" t="s">
        <v>67</v>
      </c>
      <c r="B75" s="194">
        <f>'[1]Ger_Executivo MEGA'!$N$347</f>
        <v>12891.798912413027</v>
      </c>
      <c r="C75" s="189"/>
      <c r="D75" s="10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195" t="s">
        <v>97</v>
      </c>
      <c r="B76" s="191">
        <f>'[1]Ger_Executivo MEGA'!$N$349</f>
        <v>1688185.9781622028</v>
      </c>
      <c r="C76" s="189">
        <f>B76-B77</f>
        <v>1650987.8791083335</v>
      </c>
      <c r="D76" s="10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144" t="s">
        <v>67</v>
      </c>
      <c r="B77" s="194">
        <f>'[1]Ger_Executivo MEGA'!$N$362</f>
        <v>37198.099053869249</v>
      </c>
      <c r="C77" s="189"/>
      <c r="D77" s="10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195" t="s">
        <v>56</v>
      </c>
      <c r="B78" s="191">
        <f>'[1]Ger_Executivo MEGA'!$N$364</f>
        <v>2558866.3451860095</v>
      </c>
      <c r="C78" s="189">
        <f>B78-B86</f>
        <v>2503625.0375407115</v>
      </c>
      <c r="D78" s="10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196" t="s">
        <v>77</v>
      </c>
      <c r="B79" s="197">
        <f>'[1]Ger_Executivo MEGA'!$N$366</f>
        <v>305683.97418900003</v>
      </c>
      <c r="C79" s="189"/>
      <c r="D79" s="10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143" t="s">
        <v>78</v>
      </c>
      <c r="B80" s="187">
        <f>'[1]Ger_Executivo MEGA'!$N$370</f>
        <v>4432.5564079114283</v>
      </c>
      <c r="C80" s="189"/>
      <c r="D80" s="10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143" t="s">
        <v>102</v>
      </c>
      <c r="B81" s="187">
        <f>'[1]Ger_Executivo MEGA'!$N$373</f>
        <v>523872.82263000001</v>
      </c>
      <c r="C81" s="189"/>
      <c r="D81" s="10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143" t="s">
        <v>103</v>
      </c>
      <c r="B82" s="187">
        <f>'[1]Ger_Executivo MEGA'!$N$378</f>
        <v>293130.00000000006</v>
      </c>
      <c r="C82" s="189"/>
      <c r="D82" s="10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143" t="s">
        <v>79</v>
      </c>
      <c r="B83" s="187">
        <f>'[1]Ger_Executivo MEGA'!$N$380</f>
        <v>153003.18422380005</v>
      </c>
      <c r="C83" s="189"/>
      <c r="D83" s="10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196" t="s">
        <v>129</v>
      </c>
      <c r="B84" s="197">
        <f>'[1]Ger_Executivo MEGA'!$N$386+'[1]Ger_Executivo MEGA'!$N$387+'[1]Ger_Executivo MEGA'!$N$388</f>
        <v>568917.62299999991</v>
      </c>
      <c r="C84" s="189"/>
      <c r="D84" s="10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143" t="s">
        <v>130</v>
      </c>
      <c r="B85" s="187">
        <f>'[1]Ger_Executivo MEGA'!$N$385-B84</f>
        <v>654584.87709000008</v>
      </c>
      <c r="C85" s="189"/>
      <c r="D85" s="10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144" t="s">
        <v>67</v>
      </c>
      <c r="B86" s="194">
        <f>'[1]Ger_Executivo MEGA'!$N$394</f>
        <v>55241.307645297915</v>
      </c>
      <c r="C86" s="189"/>
      <c r="D86" s="10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195" t="s">
        <v>98</v>
      </c>
      <c r="B87" s="191">
        <f>'[1]Ger_Executivo MEGA'!$N$396</f>
        <v>3898012.1533050649</v>
      </c>
      <c r="C87" s="189">
        <f>B87-B89</f>
        <v>3812121.9468541876</v>
      </c>
      <c r="D87" s="10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145" t="s">
        <v>9</v>
      </c>
      <c r="B88" s="193">
        <f>'[1]Ger_Executivo MEGA'!$N$397</f>
        <v>2557946.3857592316</v>
      </c>
      <c r="C88" s="189">
        <f>B88-B89</f>
        <v>2472056.1793083544</v>
      </c>
      <c r="D88" s="10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144" t="s">
        <v>67</v>
      </c>
      <c r="B89" s="194">
        <f>'[1]Ger_Executivo MEGA'!$N$414</f>
        <v>85890.206450877406</v>
      </c>
      <c r="C89" s="189"/>
      <c r="D89" s="10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200" t="s">
        <v>104</v>
      </c>
      <c r="B90" s="201">
        <f>'[1]Ger_Executivo MEGA'!$N$416</f>
        <v>1340065.7675458333</v>
      </c>
      <c r="C90" s="189"/>
      <c r="D90" s="10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195" t="s">
        <v>10</v>
      </c>
      <c r="B91" s="191">
        <f>'[1]Ger_Executivo MEGA'!$N$422</f>
        <v>5085026.2833178537</v>
      </c>
      <c r="C91" s="189">
        <f>B91-B92</f>
        <v>4972980.9791717418</v>
      </c>
      <c r="D91" s="10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144" t="s">
        <v>67</v>
      </c>
      <c r="B92" s="194">
        <f>'[1]Ger_Executivo MEGA'!$N$454</f>
        <v>112045.30414611232</v>
      </c>
      <c r="C92" s="189"/>
      <c r="D92" s="10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195" t="s">
        <v>38</v>
      </c>
      <c r="B93" s="191">
        <f>'[1]Ger_Executivo MEGA'!$N$457</f>
        <v>286923.9525110891</v>
      </c>
      <c r="C93" s="189">
        <f>B93-B94</f>
        <v>280601.76660000003</v>
      </c>
      <c r="D93" s="10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144" t="s">
        <v>67</v>
      </c>
      <c r="B94" s="194">
        <f>'[1]Ger_Executivo MEGA'!$N$465</f>
        <v>6322.1859110890528</v>
      </c>
      <c r="C94" s="189"/>
      <c r="D94" s="10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195" t="s">
        <v>80</v>
      </c>
      <c r="B95" s="191">
        <f>'[1]Ger_Executivo MEGA'!$N$475</f>
        <v>2521062.4708991088</v>
      </c>
      <c r="C95" s="189">
        <f>B95-B96</f>
        <v>2465512.4706464191</v>
      </c>
      <c r="D95" s="10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144" t="s">
        <v>67</v>
      </c>
      <c r="B96" s="194">
        <f>'[1]Ger_Executivo MEGA'!$N$498</f>
        <v>55550.000252689613</v>
      </c>
      <c r="C96" s="189"/>
      <c r="D96" s="10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</sheetData>
  <mergeCells count="1">
    <mergeCell ref="A45:C45"/>
  </mergeCells>
  <conditionalFormatting sqref="A70:A73">
    <cfRule type="expression" dxfId="164" priority="197">
      <formula>$H70="CÉLULA CONSTRUTIVA"</formula>
    </cfRule>
    <cfRule type="expression" dxfId="163" priority="199">
      <formula>$H70="SUBETAPA"</formula>
    </cfRule>
    <cfRule type="expression" dxfId="162" priority="198">
      <formula>$H70="ETAPA"</formula>
    </cfRule>
  </conditionalFormatting>
  <conditionalFormatting sqref="A79">
    <cfRule type="expression" dxfId="161" priority="15">
      <formula>$H79="CÉLULA CONSTRUTIVA"</formula>
    </cfRule>
    <cfRule type="expression" dxfId="160" priority="16">
      <formula>$H79="ETAPA"</formula>
    </cfRule>
  </conditionalFormatting>
  <conditionalFormatting sqref="A84">
    <cfRule type="expression" dxfId="159" priority="8">
      <formula>$H84="CÉLULA CONSTRUTIVA"</formula>
    </cfRule>
    <cfRule type="expression" dxfId="158" priority="9">
      <formula>$H84="ETAPA"</formula>
    </cfRule>
  </conditionalFormatting>
  <conditionalFormatting sqref="A44:B44">
    <cfRule type="expression" dxfId="157" priority="5">
      <formula>$H44="ETAPA"</formula>
    </cfRule>
    <cfRule type="expression" dxfId="156" priority="6">
      <formula>$H44="CÉLULA CONSTRUTIVA"</formula>
    </cfRule>
    <cfRule type="expression" dxfId="155" priority="7">
      <formula>$H44="SUBETAPA"</formula>
    </cfRule>
  </conditionalFormatting>
  <conditionalFormatting sqref="A51:B53">
    <cfRule type="expression" dxfId="154" priority="111">
      <formula>$H51="ETAPA"</formula>
    </cfRule>
  </conditionalFormatting>
  <conditionalFormatting sqref="A52:B53">
    <cfRule type="expression" dxfId="153" priority="112">
      <formula>$H52="CÉLULA CONSTRUTIVA"</formula>
    </cfRule>
    <cfRule type="expression" dxfId="152" priority="113">
      <formula>$H52="SUBETAPA"</formula>
    </cfRule>
  </conditionalFormatting>
  <conditionalFormatting sqref="A55:B55">
    <cfRule type="expression" dxfId="151" priority="106">
      <formula>$H55="CÉLULA CONSTRUTIVA"</formula>
    </cfRule>
    <cfRule type="expression" dxfId="150" priority="107">
      <formula>$H55="SUBETAPA"</formula>
    </cfRule>
    <cfRule type="expression" dxfId="149" priority="105">
      <formula>$H55="ETAPA"</formula>
    </cfRule>
  </conditionalFormatting>
  <conditionalFormatting sqref="A56:B56 C56:C57 A58:C58 A60:C60 A64:C64 A66:C66 A67:B67 A74:C74 A76:C76 A78:C78 A87:C88 C92:C94 B93 A95:C95 C96 C79">
    <cfRule type="expression" dxfId="148" priority="346">
      <formula>$H56="CÉLULA CONSTRUTIVA"</formula>
    </cfRule>
  </conditionalFormatting>
  <conditionalFormatting sqref="A57:B57">
    <cfRule type="expression" dxfId="147" priority="101">
      <formula>$H57="SUBETAPA"</formula>
    </cfRule>
    <cfRule type="expression" dxfId="146" priority="100">
      <formula>$H57="CÉLULA CONSTRUTIVA"</formula>
    </cfRule>
    <cfRule type="expression" dxfId="145" priority="99">
      <formula>$H57="ETAPA"</formula>
    </cfRule>
  </conditionalFormatting>
  <conditionalFormatting sqref="A59:B59">
    <cfRule type="expression" dxfId="144" priority="95">
      <formula>$H59="SUBETAPA"</formula>
    </cfRule>
    <cfRule type="expression" dxfId="143" priority="93">
      <formula>$H59="ETAPA"</formula>
    </cfRule>
    <cfRule type="expression" dxfId="142" priority="94">
      <formula>$H59="CÉLULA CONSTRUTIVA"</formula>
    </cfRule>
  </conditionalFormatting>
  <conditionalFormatting sqref="A61:B61">
    <cfRule type="expression" dxfId="141" priority="88">
      <formula>$H61="CÉLULA CONSTRUTIVA"</formula>
    </cfRule>
    <cfRule type="expression" dxfId="140" priority="89">
      <formula>$H61="SUBETAPA"</formula>
    </cfRule>
    <cfRule type="expression" dxfId="139" priority="87">
      <formula>$H61="ETAPA"</formula>
    </cfRule>
  </conditionalFormatting>
  <conditionalFormatting sqref="A63:B63">
    <cfRule type="expression" dxfId="138" priority="81">
      <formula>$H63="ETAPA"</formula>
    </cfRule>
    <cfRule type="expression" dxfId="137" priority="83">
      <formula>$H63="SUBETAPA"</formula>
    </cfRule>
    <cfRule type="expression" dxfId="136" priority="82">
      <formula>$H63="CÉLULA CONSTRUTIVA"</formula>
    </cfRule>
  </conditionalFormatting>
  <conditionalFormatting sqref="A65:B65">
    <cfRule type="expression" dxfId="135" priority="77">
      <formula>$H65="SUBETAPA"</formula>
    </cfRule>
    <cfRule type="expression" dxfId="134" priority="76">
      <formula>$H65="CÉLULA CONSTRUTIVA"</formula>
    </cfRule>
    <cfRule type="expression" dxfId="133" priority="75">
      <formula>$H65="ETAPA"</formula>
    </cfRule>
  </conditionalFormatting>
  <conditionalFormatting sqref="A68:B68">
    <cfRule type="expression" dxfId="132" priority="71">
      <formula>$H68="SUBETAPA"</formula>
    </cfRule>
    <cfRule type="expression" dxfId="131" priority="69">
      <formula>$H68="ETAPA"</formula>
    </cfRule>
    <cfRule type="expression" dxfId="130" priority="70">
      <formula>$H68="CÉLULA CONSTRUTIVA"</formula>
    </cfRule>
  </conditionalFormatting>
  <conditionalFormatting sqref="A69:B70">
    <cfRule type="expression" dxfId="129" priority="309">
      <formula>$H69="ETAPA"</formula>
    </cfRule>
  </conditionalFormatting>
  <conditionalFormatting sqref="A75:B75">
    <cfRule type="expression" dxfId="128" priority="65">
      <formula>$H75="SUBETAPA"</formula>
    </cfRule>
    <cfRule type="expression" dxfId="127" priority="64">
      <formula>$H75="CÉLULA CONSTRUTIVA"</formula>
    </cfRule>
    <cfRule type="expression" dxfId="126" priority="63">
      <formula>$H75="ETAPA"</formula>
    </cfRule>
  </conditionalFormatting>
  <conditionalFormatting sqref="A77:B77">
    <cfRule type="expression" dxfId="125" priority="57">
      <formula>$H77="ETAPA"</formula>
    </cfRule>
    <cfRule type="expression" dxfId="124" priority="58">
      <formula>$H77="CÉLULA CONSTRUTIVA"</formula>
    </cfRule>
    <cfRule type="expression" dxfId="123" priority="59">
      <formula>$H77="SUBETAPA"</formula>
    </cfRule>
  </conditionalFormatting>
  <conditionalFormatting sqref="A79:B79">
    <cfRule type="expression" dxfId="122" priority="17">
      <formula>$H79="SUBETAPA"</formula>
    </cfRule>
  </conditionalFormatting>
  <conditionalFormatting sqref="A80:B80">
    <cfRule type="expression" dxfId="121" priority="1">
      <formula>$H80="SUBETAPA"</formula>
    </cfRule>
  </conditionalFormatting>
  <conditionalFormatting sqref="A82:B83">
    <cfRule type="expression" dxfId="120" priority="293">
      <formula>$H82="CÉLULA CONSTRUTIVA"</formula>
    </cfRule>
    <cfRule type="expression" dxfId="119" priority="294">
      <formula>$H82="ETAPA"</formula>
    </cfRule>
  </conditionalFormatting>
  <conditionalFormatting sqref="A84:B84">
    <cfRule type="expression" dxfId="118" priority="10">
      <formula>$H84="SUBETAPA"</formula>
    </cfRule>
  </conditionalFormatting>
  <conditionalFormatting sqref="A85:B85">
    <cfRule type="expression" dxfId="117" priority="165">
      <formula>$H85="CÉLULA CONSTRUTIVA"</formula>
    </cfRule>
    <cfRule type="expression" dxfId="116" priority="164">
      <formula>$H85="ETAPA"</formula>
    </cfRule>
  </conditionalFormatting>
  <conditionalFormatting sqref="A86:B86">
    <cfRule type="expression" dxfId="115" priority="53">
      <formula>$H86="SUBETAPA"</formula>
    </cfRule>
    <cfRule type="expression" dxfId="114" priority="52">
      <formula>$H86="CÉLULA CONSTRUTIVA"</formula>
    </cfRule>
    <cfRule type="expression" dxfId="113" priority="51">
      <formula>$H86="ETAPA"</formula>
    </cfRule>
  </conditionalFormatting>
  <conditionalFormatting sqref="A89:B89">
    <cfRule type="expression" dxfId="112" priority="46">
      <formula>$H89="CÉLULA CONSTRUTIVA"</formula>
    </cfRule>
    <cfRule type="expression" dxfId="111" priority="47">
      <formula>$H89="SUBETAPA"</formula>
    </cfRule>
    <cfRule type="expression" dxfId="110" priority="45">
      <formula>$H89="ETAPA"</formula>
    </cfRule>
  </conditionalFormatting>
  <conditionalFormatting sqref="A92:B92">
    <cfRule type="expression" dxfId="109" priority="39">
      <formula>$H92="ETAPA"</formula>
    </cfRule>
    <cfRule type="expression" dxfId="108" priority="40">
      <formula>$H92="CÉLULA CONSTRUTIVA"</formula>
    </cfRule>
    <cfRule type="expression" dxfId="107" priority="41">
      <formula>$H92="SUBETAPA"</formula>
    </cfRule>
  </conditionalFormatting>
  <conditionalFormatting sqref="A93:B93">
    <cfRule type="expression" dxfId="106" priority="212">
      <formula>$H93="CÉLULA CONSTRUTIVA"</formula>
    </cfRule>
  </conditionalFormatting>
  <conditionalFormatting sqref="A94:B94">
    <cfRule type="expression" dxfId="105" priority="31">
      <formula>$H94="CÉLULA CONSTRUTIVA"</formula>
    </cfRule>
    <cfRule type="expression" dxfId="104" priority="30">
      <formula>$H94="ETAPA"</formula>
    </cfRule>
    <cfRule type="expression" dxfId="103" priority="32">
      <formula>$H94="SUBETAPA"</formula>
    </cfRule>
  </conditionalFormatting>
  <conditionalFormatting sqref="A96:B96">
    <cfRule type="expression" dxfId="102" priority="26">
      <formula>$H96="SUBETAPA"</formula>
    </cfRule>
    <cfRule type="expression" dxfId="101" priority="25">
      <formula>$H96="CÉLULA CONSTRUTIVA"</formula>
    </cfRule>
    <cfRule type="expression" dxfId="100" priority="24">
      <formula>$H96="ETAPA"</formula>
    </cfRule>
  </conditionalFormatting>
  <conditionalFormatting sqref="A46:C49">
    <cfRule type="expression" dxfId="99" priority="349">
      <formula>$H46="ETAPA"</formula>
    </cfRule>
  </conditionalFormatting>
  <conditionalFormatting sqref="A46:C50">
    <cfRule type="expression" dxfId="98" priority="353">
      <formula>$H46="CÉLULA CONSTRUTIVA"</formula>
    </cfRule>
    <cfRule type="expression" dxfId="97" priority="354">
      <formula>$H46="SUBETAPA"</formula>
    </cfRule>
  </conditionalFormatting>
  <conditionalFormatting sqref="A50:C50">
    <cfRule type="expression" dxfId="96" priority="327">
      <formula>$H50="ETAPA"</formula>
    </cfRule>
  </conditionalFormatting>
  <conditionalFormatting sqref="A51:C51">
    <cfRule type="expression" dxfId="95" priority="315">
      <formula>$H51="CÉLULA CONSTRUTIVA"</formula>
    </cfRule>
    <cfRule type="expression" dxfId="94" priority="317">
      <formula>$H51="SUBETAPA"</formula>
    </cfRule>
  </conditionalFormatting>
  <conditionalFormatting sqref="A54:C54">
    <cfRule type="expression" dxfId="93" priority="289">
      <formula>$H54="SUBETAPA"</formula>
    </cfRule>
    <cfRule type="expression" dxfId="92" priority="290">
      <formula>$H54="CÉLULA CONSTRUTIVA"</formula>
    </cfRule>
    <cfRule type="expression" dxfId="91" priority="291">
      <formula>$H54="ETAPA"</formula>
    </cfRule>
  </conditionalFormatting>
  <conditionalFormatting sqref="A56:C56 A58:C58 A60:C60 A64:C64 C66 A66:B67 A74:C74 A76:C76 A78:C78 C79 A87:C88 C89:C94 A93:B93 A95:C95 C55 C75 A90:B91">
    <cfRule type="expression" dxfId="90" priority="347">
      <formula>$H55="ETAPA"</formula>
    </cfRule>
  </conditionalFormatting>
  <conditionalFormatting sqref="A69:C70 A81:C81 C79:C80 C63 C65 C68">
    <cfRule type="expression" dxfId="89" priority="299">
      <formula>$H63="SUBETAPA"</formula>
    </cfRule>
  </conditionalFormatting>
  <conditionalFormatting sqref="A90:C91">
    <cfRule type="expression" dxfId="88" priority="147">
      <formula>$H90="SUBETAPA"</formula>
    </cfRule>
    <cfRule type="expression" dxfId="87" priority="148">
      <formula>$H90="CÉLULA CONSTRUTIVA"</formula>
    </cfRule>
  </conditionalFormatting>
  <conditionalFormatting sqref="B44">
    <cfRule type="expression" dxfId="86" priority="4">
      <formula>$H44="ETAPA"</formula>
    </cfRule>
    <cfRule type="expression" dxfId="85" priority="2">
      <formula>$H44="SUBETAPA"</formula>
    </cfRule>
    <cfRule type="expression" dxfId="84" priority="3">
      <formula>$H44="CÉLULA CONSTRUTIVA"</formula>
    </cfRule>
  </conditionalFormatting>
  <conditionalFormatting sqref="B46:B53 A62:C62 B94 C61">
    <cfRule type="expression" dxfId="83" priority="340">
      <formula>$H46="CÉLULA CONSTRUTIVA"</formula>
    </cfRule>
  </conditionalFormatting>
  <conditionalFormatting sqref="B46:B53 A62:C62 B94:C94">
    <cfRule type="expression" dxfId="82" priority="339">
      <formula>$H46="SUBETAPA"</formula>
    </cfRule>
  </conditionalFormatting>
  <conditionalFormatting sqref="B46:B53 C61 A62:C62 B94">
    <cfRule type="expression" dxfId="81" priority="341">
      <formula>$H46="ETAPA"</formula>
    </cfRule>
  </conditionalFormatting>
  <conditionalFormatting sqref="B54 B58 B64">
    <cfRule type="expression" dxfId="80" priority="286">
      <formula>$H54="ETAPA"</formula>
    </cfRule>
  </conditionalFormatting>
  <conditionalFormatting sqref="B54">
    <cfRule type="expression" dxfId="79" priority="285">
      <formula>$H54="CÉLULA CONSTRUTIVA"</formula>
    </cfRule>
  </conditionalFormatting>
  <conditionalFormatting sqref="B54:B55">
    <cfRule type="expression" dxfId="78" priority="108">
      <formula>$H54="SUBETAPA"</formula>
    </cfRule>
  </conditionalFormatting>
  <conditionalFormatting sqref="B55">
    <cfRule type="expression" dxfId="77" priority="110">
      <formula>$H55="ETAPA"</formula>
    </cfRule>
  </conditionalFormatting>
  <conditionalFormatting sqref="B57">
    <cfRule type="expression" dxfId="76" priority="102">
      <formula>$H57="SUBETAPA"</formula>
    </cfRule>
  </conditionalFormatting>
  <conditionalFormatting sqref="B57:B58">
    <cfRule type="expression" dxfId="75" priority="103">
      <formula>$H57="CÉLULA CONSTRUTIVA"</formula>
    </cfRule>
  </conditionalFormatting>
  <conditionalFormatting sqref="B61:B62">
    <cfRule type="expression" dxfId="74" priority="92">
      <formula>$H61="ETAPA"</formula>
    </cfRule>
    <cfRule type="expression" dxfId="73" priority="91">
      <formula>$H61="CÉLULA CONSTRUTIVA"</formula>
    </cfRule>
  </conditionalFormatting>
  <conditionalFormatting sqref="B62 A66:C67 A58:C58 A64:C64 A93:C93 C57 C96 A56:C56 A60:C60 A74:C74 A76:C76 A78:C78 A87:C88 A95:C95">
    <cfRule type="expression" dxfId="72" priority="345">
      <formula>$H56="SUBETAPA"</formula>
    </cfRule>
  </conditionalFormatting>
  <conditionalFormatting sqref="B63:B64">
    <cfRule type="expression" dxfId="71" priority="84">
      <formula>$H63="SUBETAPA"</formula>
    </cfRule>
    <cfRule type="expression" dxfId="70" priority="85">
      <formula>$H63="CÉLULA CONSTRUTIVA"</formula>
    </cfRule>
  </conditionalFormatting>
  <conditionalFormatting sqref="B65">
    <cfRule type="expression" dxfId="69" priority="78">
      <formula>$H65="SUBETAPA"</formula>
    </cfRule>
  </conditionalFormatting>
  <conditionalFormatting sqref="B68">
    <cfRule type="expression" dxfId="68" priority="72">
      <formula>$H68="SUBETAPA"</formula>
    </cfRule>
  </conditionalFormatting>
  <conditionalFormatting sqref="B69">
    <cfRule type="expression" dxfId="67" priority="202">
      <formula>$H69="CÉLULA CONSTRUTIVA"</formula>
    </cfRule>
    <cfRule type="expression" dxfId="66" priority="203">
      <formula>$H69="ETAPA"</formula>
    </cfRule>
  </conditionalFormatting>
  <conditionalFormatting sqref="B69:B74">
    <cfRule type="expression" dxfId="65" priority="201">
      <formula>$H69="SUBETAPA"</formula>
    </cfRule>
  </conditionalFormatting>
  <conditionalFormatting sqref="B70:B72 B80:B83 B85">
    <cfRule type="expression" dxfId="64" priority="283">
      <formula>$H70="ETAPA"</formula>
    </cfRule>
  </conditionalFormatting>
  <conditionalFormatting sqref="B70:B72 B80:B83">
    <cfRule type="expression" dxfId="63" priority="282">
      <formula>$H70="CÉLULA CONSTRUTIVA"</formula>
    </cfRule>
  </conditionalFormatting>
  <conditionalFormatting sqref="B73">
    <cfRule type="expression" dxfId="62" priority="188">
      <formula>$H73="CÉLULA CONSTRUTIVA"</formula>
    </cfRule>
    <cfRule type="expression" dxfId="61" priority="189">
      <formula>$H73="ETAPA"</formula>
    </cfRule>
  </conditionalFormatting>
  <conditionalFormatting sqref="B75">
    <cfRule type="expression" dxfId="60" priority="66">
      <formula>$H75="SUBETAPA"</formula>
    </cfRule>
    <cfRule type="expression" dxfId="59" priority="68">
      <formula>$H75="ETAPA"</formula>
    </cfRule>
  </conditionalFormatting>
  <conditionalFormatting sqref="B79">
    <cfRule type="expression" dxfId="58" priority="21">
      <formula>$H79="ETAPA"</formula>
    </cfRule>
    <cfRule type="expression" dxfId="57" priority="20">
      <formula>$H79="CÉLULA CONSTRUTIVA"</formula>
    </cfRule>
  </conditionalFormatting>
  <conditionalFormatting sqref="B84">
    <cfRule type="expression" dxfId="56" priority="14">
      <formula>$H84="ETAPA"</formula>
    </cfRule>
    <cfRule type="expression" dxfId="55" priority="13">
      <formula>$H84="CÉLULA CONSTRUTIVA"</formula>
    </cfRule>
  </conditionalFormatting>
  <conditionalFormatting sqref="B86">
    <cfRule type="expression" dxfId="54" priority="56">
      <formula>$H86="ETAPA"</formula>
    </cfRule>
    <cfRule type="expression" dxfId="53" priority="55">
      <formula>$H86="CÉLULA CONSTRUTIVA"</formula>
    </cfRule>
    <cfRule type="expression" dxfId="52" priority="54">
      <formula>$H86="SUBETAPA"</formula>
    </cfRule>
  </conditionalFormatting>
  <conditionalFormatting sqref="B89">
    <cfRule type="expression" dxfId="51" priority="50">
      <formula>$H89="ETAPA"</formula>
    </cfRule>
  </conditionalFormatting>
  <conditionalFormatting sqref="B92">
    <cfRule type="expression" dxfId="50" priority="44">
      <formula>$H92="ETAPA"</formula>
    </cfRule>
    <cfRule type="expression" dxfId="49" priority="43">
      <formula>$H92="CÉLULA CONSTRUTIVA"</formula>
    </cfRule>
  </conditionalFormatting>
  <conditionalFormatting sqref="B96">
    <cfRule type="expression" dxfId="48" priority="28">
      <formula>$H96="CÉLULA CONSTRUTIVA"</formula>
    </cfRule>
    <cfRule type="expression" dxfId="47" priority="27">
      <formula>$H96="SUBETAPA"</formula>
    </cfRule>
  </conditionalFormatting>
  <conditionalFormatting sqref="B55:C55">
    <cfRule type="expression" dxfId="46" priority="109">
      <formula>$H55="CÉLULA CONSTRUTIVA"</formula>
    </cfRule>
  </conditionalFormatting>
  <conditionalFormatting sqref="B57:C57">
    <cfRule type="expression" dxfId="45" priority="104">
      <formula>$H57="ETAPA"</formula>
    </cfRule>
  </conditionalFormatting>
  <conditionalFormatting sqref="B59:C59">
    <cfRule type="expression" dxfId="44" priority="98">
      <formula>$H59="ETAPA"</formula>
    </cfRule>
    <cfRule type="expression" dxfId="43" priority="97">
      <formula>$H59="CÉLULA CONSTRUTIVA"</formula>
    </cfRule>
    <cfRule type="expression" dxfId="42" priority="96">
      <formula>$H59="SUBETAPA"</formula>
    </cfRule>
  </conditionalFormatting>
  <conditionalFormatting sqref="B61:C61">
    <cfRule type="expression" dxfId="41" priority="90">
      <formula>$H61="SUBETAPA"</formula>
    </cfRule>
  </conditionalFormatting>
  <conditionalFormatting sqref="B63:C63">
    <cfRule type="expression" dxfId="40" priority="86">
      <formula>$H63="ETAPA"</formula>
    </cfRule>
  </conditionalFormatting>
  <conditionalFormatting sqref="B65:C65">
    <cfRule type="expression" dxfId="39" priority="79">
      <formula>$H65="CÉLULA CONSTRUTIVA"</formula>
    </cfRule>
    <cfRule type="expression" dxfId="38" priority="80">
      <formula>$H65="ETAPA"</formula>
    </cfRule>
  </conditionalFormatting>
  <conditionalFormatting sqref="B68:C68">
    <cfRule type="expression" dxfId="37" priority="73">
      <formula>$H68="CÉLULA CONSTRUTIVA"</formula>
    </cfRule>
    <cfRule type="expression" dxfId="36" priority="74">
      <formula>$H68="ETAPA"</formula>
    </cfRule>
  </conditionalFormatting>
  <conditionalFormatting sqref="B71:C73 A85:C85 A82:C83 C84 C86 C75">
    <cfRule type="expression" dxfId="35" priority="246">
      <formula>$H71="SUBETAPA"</formula>
    </cfRule>
  </conditionalFormatting>
  <conditionalFormatting sqref="B73:C73">
    <cfRule type="expression" dxfId="34" priority="190">
      <formula>$H73="CÉLULA CONSTRUTIVA"</formula>
    </cfRule>
    <cfRule type="expression" dxfId="33" priority="191">
      <formula>$H73="ETAPA"</formula>
    </cfRule>
  </conditionalFormatting>
  <conditionalFormatting sqref="B75:C75">
    <cfRule type="expression" dxfId="32" priority="67">
      <formula>$H75="CÉLULA CONSTRUTIVA"</formula>
    </cfRule>
  </conditionalFormatting>
  <conditionalFormatting sqref="B77:C77">
    <cfRule type="expression" dxfId="31" priority="60">
      <formula>$H77="SUBETAPA"</formula>
    </cfRule>
    <cfRule type="expression" dxfId="30" priority="62">
      <formula>$H77="ETAPA"</formula>
    </cfRule>
    <cfRule type="expression" dxfId="29" priority="61">
      <formula>$H77="CÉLULA CONSTRUTIVA"</formula>
    </cfRule>
  </conditionalFormatting>
  <conditionalFormatting sqref="B89:C89">
    <cfRule type="expression" dxfId="28" priority="48">
      <formula>$H89="SUBETAPA"</formula>
    </cfRule>
    <cfRule type="expression" dxfId="27" priority="49">
      <formula>$H89="CÉLULA CONSTRUTIVA"</formula>
    </cfRule>
  </conditionalFormatting>
  <conditionalFormatting sqref="B92:C92">
    <cfRule type="expression" dxfId="26" priority="42">
      <formula>$H92="SUBETAPA"</formula>
    </cfRule>
  </conditionalFormatting>
  <conditionalFormatting sqref="B96:C96">
    <cfRule type="expression" dxfId="25" priority="29">
      <formula>$H96="ETAPA"</formula>
    </cfRule>
  </conditionalFormatting>
  <conditionalFormatting sqref="C51">
    <cfRule type="expression" dxfId="24" priority="316">
      <formula>$H51="ETAPA"</formula>
    </cfRule>
  </conditionalFormatting>
  <conditionalFormatting sqref="C52">
    <cfRule type="expression" dxfId="23" priority="313">
      <formula>$H52="SUBETAPA"</formula>
    </cfRule>
  </conditionalFormatting>
  <conditionalFormatting sqref="C52:C53">
    <cfRule type="expression" dxfId="22" priority="297">
      <formula>$H52="CÉLULA CONSTRUTIVA"</formula>
    </cfRule>
    <cfRule type="expression" dxfId="21" priority="298">
      <formula>$H52="ETAPA"</formula>
    </cfRule>
  </conditionalFormatting>
  <conditionalFormatting sqref="C53">
    <cfRule type="expression" dxfId="20" priority="296">
      <formula>$H53="SUBETAPA"</formula>
    </cfRule>
  </conditionalFormatting>
  <conditionalFormatting sqref="C55">
    <cfRule type="expression" dxfId="19" priority="295">
      <formula>$H55="SUBETAPA"</formula>
    </cfRule>
  </conditionalFormatting>
  <conditionalFormatting sqref="C63 A69:B70">
    <cfRule type="expression" dxfId="18" priority="308">
      <formula>$H63="CÉLULA CONSTRUTIVA"</formula>
    </cfRule>
  </conditionalFormatting>
  <conditionalFormatting sqref="C67:C71">
    <cfRule type="expression" dxfId="17" priority="311">
      <formula>$H67="CÉLULA CONSTRUTIVA"</formula>
    </cfRule>
    <cfRule type="expression" dxfId="16" priority="312">
      <formula>$H67="ETAPA"</formula>
    </cfRule>
  </conditionalFormatting>
  <conditionalFormatting sqref="C72 A80:C81">
    <cfRule type="expression" dxfId="15" priority="217">
      <formula>$H72="ETAPA"</formula>
    </cfRule>
    <cfRule type="expression" dxfId="14" priority="216">
      <formula>$H72="CÉLULA CONSTRUTIVA"</formula>
    </cfRule>
  </conditionalFormatting>
  <conditionalFormatting sqref="C72">
    <cfRule type="expression" dxfId="13" priority="193">
      <formula>$H72="ETAPA"</formula>
    </cfRule>
    <cfRule type="expression" dxfId="12" priority="192">
      <formula>$H72="CÉLULA CONSTRUTIVA"</formula>
    </cfRule>
  </conditionalFormatting>
  <conditionalFormatting sqref="C82:C86">
    <cfRule type="expression" dxfId="11" priority="159">
      <formula>$H82="CÉLULA CONSTRUTIVA"</formula>
    </cfRule>
    <cfRule type="expression" dxfId="10" priority="248">
      <formula>$H82="ETAPA"</formula>
    </cfRule>
  </conditionalFormatting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A01A-5032-446A-9697-5E2464B5B5B8}">
  <sheetPr>
    <tabColor rgb="FFFF0000"/>
  </sheetPr>
  <dimension ref="A1:N980"/>
  <sheetViews>
    <sheetView tabSelected="1" zoomScale="70" zoomScaleNormal="70" workbookViewId="0">
      <selection activeCell="K7" sqref="K7"/>
    </sheetView>
  </sheetViews>
  <sheetFormatPr defaultColWidth="14.42578125" defaultRowHeight="15" customHeight="1" x14ac:dyDescent="0.25"/>
  <cols>
    <col min="1" max="1" width="56.5703125" bestFit="1" customWidth="1"/>
    <col min="2" max="2" width="38.140625" customWidth="1"/>
    <col min="3" max="3" width="20.28515625" style="18" bestFit="1" customWidth="1"/>
    <col min="4" max="4" width="27.85546875" style="18" customWidth="1"/>
    <col min="5" max="5" width="26" style="18" customWidth="1"/>
    <col min="6" max="6" width="23.85546875" customWidth="1"/>
    <col min="7" max="7" width="20.140625" bestFit="1" customWidth="1"/>
    <col min="8" max="8" width="17.85546875" customWidth="1"/>
    <col min="9" max="9" width="16.7109375" customWidth="1"/>
    <col min="10" max="10" width="19.85546875" customWidth="1"/>
    <col min="11" max="11" width="26.28515625" customWidth="1"/>
    <col min="12" max="14" width="6.5703125" bestFit="1" customWidth="1"/>
  </cols>
  <sheetData>
    <row r="1" spans="1:14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66</v>
      </c>
      <c r="E1" s="42" t="s">
        <v>13</v>
      </c>
      <c r="F1" s="6"/>
      <c r="G1" s="6"/>
      <c r="H1" s="6"/>
      <c r="I1" s="6"/>
      <c r="J1" s="6"/>
      <c r="K1" s="6"/>
      <c r="L1" s="6"/>
      <c r="M1" s="6"/>
      <c r="N1" s="6"/>
    </row>
    <row r="2" spans="1:14" ht="22.5" customHeight="1" thickBot="1" x14ac:dyDescent="0.3">
      <c r="A2" s="100" t="s">
        <v>16</v>
      </c>
      <c r="B2" s="105">
        <f>'SEM IMPREVISTOS'!B2</f>
        <v>7713624.6351084877</v>
      </c>
      <c r="C2" s="227"/>
      <c r="D2" s="105"/>
      <c r="E2" s="105">
        <f>D2+B2</f>
        <v>7713624.6351084877</v>
      </c>
      <c r="F2" s="6">
        <f>E2/$H$2</f>
        <v>494.37279952755347</v>
      </c>
      <c r="G2" s="21" t="s">
        <v>22</v>
      </c>
      <c r="H2" s="63">
        <f>[1]Obra!$E$10</f>
        <v>15602.85</v>
      </c>
      <c r="I2" s="22" t="s">
        <v>32</v>
      </c>
      <c r="J2" s="6"/>
      <c r="K2" s="6"/>
      <c r="L2" s="6"/>
      <c r="M2" s="6"/>
      <c r="N2" s="6"/>
    </row>
    <row r="3" spans="1:14" ht="22.5" customHeight="1" x14ac:dyDescent="0.25">
      <c r="A3" s="101" t="s">
        <v>2</v>
      </c>
      <c r="B3" s="214">
        <f>'SEM IMPREVISTOS'!B3</f>
        <v>1415598.7796026384</v>
      </c>
      <c r="C3" s="216"/>
      <c r="D3" s="214"/>
      <c r="E3" s="214">
        <f>D3+B3</f>
        <v>1415598.7796026384</v>
      </c>
      <c r="F3" s="6">
        <f t="shared" ref="F3:F18" si="0">E3/$H$2</f>
        <v>90.726936399608945</v>
      </c>
      <c r="G3" s="102"/>
      <c r="H3" s="103"/>
      <c r="I3" s="104"/>
      <c r="J3" s="6"/>
      <c r="K3" s="6"/>
      <c r="L3" s="6"/>
      <c r="M3" s="6"/>
      <c r="N3" s="6"/>
    </row>
    <row r="4" spans="1:14" ht="19.5" customHeight="1" x14ac:dyDescent="0.25">
      <c r="A4" s="100" t="s">
        <v>139</v>
      </c>
      <c r="B4" s="215">
        <f>'SEM IMPREVISTOS'!B4</f>
        <v>18362171.804884642</v>
      </c>
      <c r="C4" s="217">
        <f>B4/$B$20</f>
        <v>0.40387355364018074</v>
      </c>
      <c r="D4" s="215">
        <f>C4*$B$18</f>
        <v>413709.95692939032</v>
      </c>
      <c r="E4" s="215">
        <f>D4+B4</f>
        <v>18775881.761814032</v>
      </c>
      <c r="F4" s="6">
        <f t="shared" si="0"/>
        <v>1203.3623191797672</v>
      </c>
      <c r="G4" s="8"/>
      <c r="H4" s="6"/>
      <c r="I4" s="6"/>
      <c r="J4" s="6"/>
      <c r="K4" s="6"/>
      <c r="L4" s="6"/>
      <c r="M4" s="6"/>
      <c r="N4" s="6"/>
    </row>
    <row r="5" spans="1:14" ht="19.5" customHeight="1" x14ac:dyDescent="0.25">
      <c r="A5" s="101" t="s">
        <v>37</v>
      </c>
      <c r="B5" s="214">
        <f>'SEM IMPREVISTOS'!B5</f>
        <v>3110673.7711449144</v>
      </c>
      <c r="C5" s="216">
        <f t="shared" ref="C5:C17" si="1">B5/$B$20</f>
        <v>6.8418860444024232E-2</v>
      </c>
      <c r="D5" s="214">
        <f t="shared" ref="D5:D17" si="2">C5*$B$18</f>
        <v>70085.212444173172</v>
      </c>
      <c r="E5" s="214">
        <f>D5+B5</f>
        <v>3180758.9835890876</v>
      </c>
      <c r="F5" s="6">
        <f t="shared" si="0"/>
        <v>203.85756343162228</v>
      </c>
      <c r="G5" s="6"/>
      <c r="H5" s="6"/>
      <c r="I5" s="74"/>
      <c r="J5" s="75"/>
      <c r="K5" s="6"/>
      <c r="L5" s="6"/>
      <c r="M5" s="6"/>
      <c r="N5" s="6"/>
    </row>
    <row r="6" spans="1:14" ht="19.5" customHeight="1" x14ac:dyDescent="0.25">
      <c r="A6" s="100" t="s">
        <v>107</v>
      </c>
      <c r="B6" s="215">
        <f>'SEM IMPREVISTOS'!C56+'SEM IMPREVISTOS'!C58+'SEM IMPREVISTOS'!C60+'SEM IMPREVISTOS'!C62+'SEM IMPREVISTOS'!C64+'SEM IMPREVISTOS'!C93</f>
        <v>6325299.1251793317</v>
      </c>
      <c r="C6" s="217">
        <f t="shared" si="1"/>
        <v>0.13912412228077134</v>
      </c>
      <c r="D6" s="215">
        <f t="shared" si="2"/>
        <v>142512.51194302237</v>
      </c>
      <c r="E6" s="215">
        <f t="shared" ref="E6:E17" si="3">D6+B6</f>
        <v>6467811.6371223545</v>
      </c>
      <c r="F6" s="6">
        <f t="shared" si="0"/>
        <v>414.52757907192301</v>
      </c>
      <c r="G6" s="10"/>
      <c r="H6" s="218" t="s">
        <v>81</v>
      </c>
      <c r="I6" s="74">
        <f>'SEM IMPREVISTOS'!C58</f>
        <v>3081050.898664</v>
      </c>
      <c r="J6" s="219">
        <f t="shared" ref="J6:J11" si="4">I6/$B$6</f>
        <v>0.48709963555702157</v>
      </c>
      <c r="K6" s="220">
        <f>J6*$D$6</f>
        <v>69417.792629761883</v>
      </c>
      <c r="L6" s="6"/>
      <c r="M6" s="6"/>
      <c r="N6" s="6"/>
    </row>
    <row r="7" spans="1:14" ht="19.5" customHeight="1" x14ac:dyDescent="0.25">
      <c r="A7" s="101" t="s">
        <v>140</v>
      </c>
      <c r="B7" s="214">
        <f>'SEM IMPREVISTOS'!B66</f>
        <v>1794333.07</v>
      </c>
      <c r="C7" s="216"/>
      <c r="D7" s="214">
        <f t="shared" si="2"/>
        <v>0</v>
      </c>
      <c r="E7" s="214">
        <f>D7+B7</f>
        <v>1794333.07</v>
      </c>
      <c r="F7" s="6">
        <f t="shared" si="0"/>
        <v>115.00034096334964</v>
      </c>
      <c r="G7" s="11"/>
      <c r="H7" s="218" t="s">
        <v>82</v>
      </c>
      <c r="I7" s="221">
        <f>'SEM IMPREVISTOS'!C56</f>
        <v>2150552.2410833333</v>
      </c>
      <c r="J7" s="219">
        <f t="shared" si="4"/>
        <v>0.33999218037334511</v>
      </c>
      <c r="K7" s="220">
        <f t="shared" ref="K7:K9" si="5">J7*$D$6</f>
        <v>48453.139665990559</v>
      </c>
      <c r="L7" s="6"/>
      <c r="M7" s="6"/>
      <c r="N7" s="6"/>
    </row>
    <row r="8" spans="1:14" ht="19.5" customHeight="1" x14ac:dyDescent="0.25">
      <c r="A8" s="100" t="s">
        <v>141</v>
      </c>
      <c r="B8" s="215">
        <f>'SEM IMPREVISTOS'!C67</f>
        <v>887177.39201666671</v>
      </c>
      <c r="C8" s="217">
        <f t="shared" si="1"/>
        <v>1.9513350045427803E-2</v>
      </c>
      <c r="D8" s="215">
        <f t="shared" si="2"/>
        <v>19988.600724360222</v>
      </c>
      <c r="E8" s="215">
        <f>D8+B8</f>
        <v>907165.99274102692</v>
      </c>
      <c r="F8" s="6">
        <f t="shared" si="0"/>
        <v>58.141044279796759</v>
      </c>
      <c r="G8" s="10"/>
      <c r="H8" s="222" t="s">
        <v>83</v>
      </c>
      <c r="I8" s="221">
        <f>'SEM IMPREVISTOS'!C62</f>
        <v>299263.84540000005</v>
      </c>
      <c r="J8" s="219">
        <f t="shared" si="4"/>
        <v>4.7312204447171574E-2</v>
      </c>
      <c r="K8" s="220">
        <f t="shared" si="5"/>
        <v>6742.5811013282555</v>
      </c>
      <c r="L8" s="6"/>
      <c r="M8" s="6"/>
      <c r="N8" s="6"/>
    </row>
    <row r="9" spans="1:14" ht="19.5" customHeight="1" x14ac:dyDescent="0.25">
      <c r="A9" s="101" t="s">
        <v>7</v>
      </c>
      <c r="B9" s="214">
        <f>'SEM IMPREVISTOS'!C54</f>
        <v>802414.60617499996</v>
      </c>
      <c r="C9" s="216">
        <f t="shared" si="1"/>
        <v>1.7649003719836357E-2</v>
      </c>
      <c r="D9" s="214">
        <f t="shared" si="2"/>
        <v>18078.847953697081</v>
      </c>
      <c r="E9" s="214">
        <f t="shared" si="3"/>
        <v>820493.45412869705</v>
      </c>
      <c r="F9" s="6">
        <f t="shared" si="0"/>
        <v>52.586127158095927</v>
      </c>
      <c r="G9" s="9"/>
      <c r="H9" s="218" t="s">
        <v>84</v>
      </c>
      <c r="I9" s="221">
        <f>'SEM IMPREVISTOS'!C60</f>
        <v>304981.48049999995</v>
      </c>
      <c r="J9" s="219">
        <f t="shared" si="4"/>
        <v>4.82161356268433E-2</v>
      </c>
      <c r="K9" s="220">
        <f t="shared" si="5"/>
        <v>6871.4026043668919</v>
      </c>
      <c r="L9" s="6"/>
      <c r="M9" s="6"/>
      <c r="N9" s="6"/>
    </row>
    <row r="10" spans="1:14" ht="19.5" customHeight="1" x14ac:dyDescent="0.25">
      <c r="A10" s="100" t="s">
        <v>108</v>
      </c>
      <c r="B10" s="215">
        <f>'SEM IMPREVISTOS'!B69</f>
        <v>2542675.6698656175</v>
      </c>
      <c r="C10" s="217"/>
      <c r="D10" s="215">
        <f t="shared" si="2"/>
        <v>0</v>
      </c>
      <c r="E10" s="215">
        <f t="shared" si="3"/>
        <v>2542675.6698656175</v>
      </c>
      <c r="F10" s="6">
        <f t="shared" si="0"/>
        <v>162.9622581685793</v>
      </c>
      <c r="G10" s="9"/>
      <c r="H10" s="223" t="s">
        <v>85</v>
      </c>
      <c r="I10" s="221">
        <f>'SEM IMPREVISTOS'!C64</f>
        <v>208848.89293200002</v>
      </c>
      <c r="J10" s="219">
        <f t="shared" si="4"/>
        <v>3.3018026309716828E-2</v>
      </c>
      <c r="K10" s="220">
        <f>J10*$D$6</f>
        <v>4705.4818687985462</v>
      </c>
      <c r="L10" s="6"/>
      <c r="M10" s="6"/>
      <c r="N10" s="6"/>
    </row>
    <row r="11" spans="1:14" ht="19.5" customHeight="1" x14ac:dyDescent="0.25">
      <c r="A11" s="101" t="s">
        <v>96</v>
      </c>
      <c r="B11" s="214">
        <f>'SEM IMPREVISTOS'!C74</f>
        <v>572185.25369999988</v>
      </c>
      <c r="C11" s="216">
        <f t="shared" si="1"/>
        <v>1.2585139394614172E-2</v>
      </c>
      <c r="D11" s="214">
        <f t="shared" si="2"/>
        <v>12891.652424300273</v>
      </c>
      <c r="E11" s="214">
        <f t="shared" si="3"/>
        <v>585076.90612430021</v>
      </c>
      <c r="F11" s="6">
        <f t="shared" si="0"/>
        <v>37.498079269127125</v>
      </c>
      <c r="G11" s="6"/>
      <c r="H11" s="223" t="s">
        <v>142</v>
      </c>
      <c r="I11" s="221">
        <f>'SEM IMPREVISTOS'!C93</f>
        <v>280601.76660000003</v>
      </c>
      <c r="J11" s="219">
        <f t="shared" si="4"/>
        <v>4.4361817685901861E-2</v>
      </c>
      <c r="K11" s="220">
        <f>J11*$D$6</f>
        <v>6322.1140727762704</v>
      </c>
      <c r="L11" s="6"/>
      <c r="M11" s="6"/>
      <c r="N11" s="6"/>
    </row>
    <row r="12" spans="1:14" ht="19.5" customHeight="1" x14ac:dyDescent="0.25">
      <c r="A12" s="100" t="s">
        <v>18</v>
      </c>
      <c r="B12" s="215">
        <f>'SEM IMPREVISTOS'!C76</f>
        <v>1650987.8791083335</v>
      </c>
      <c r="C12" s="217">
        <f t="shared" si="1"/>
        <v>3.6313261243692885E-2</v>
      </c>
      <c r="D12" s="215">
        <f t="shared" si="2"/>
        <v>37197.676375904332</v>
      </c>
      <c r="E12" s="215">
        <f t="shared" si="3"/>
        <v>1688185.5554842378</v>
      </c>
      <c r="F12" s="6">
        <f t="shared" si="0"/>
        <v>108.19725598106999</v>
      </c>
      <c r="G12" s="6"/>
      <c r="L12" s="6"/>
      <c r="M12" s="6"/>
      <c r="N12" s="6"/>
    </row>
    <row r="13" spans="1:14" ht="19.5" customHeight="1" x14ac:dyDescent="0.25">
      <c r="A13" s="101" t="s">
        <v>56</v>
      </c>
      <c r="B13" s="214">
        <f>'SEM IMPREVISTOS'!C78</f>
        <v>2503625.0375407115</v>
      </c>
      <c r="C13" s="216">
        <f t="shared" si="1"/>
        <v>5.5066903394571001E-2</v>
      </c>
      <c r="D13" s="214">
        <f t="shared" si="2"/>
        <v>56408.066401643067</v>
      </c>
      <c r="E13" s="214">
        <f t="shared" si="3"/>
        <v>2560033.1039423547</v>
      </c>
      <c r="F13" s="6">
        <f t="shared" si="0"/>
        <v>164.07471096257123</v>
      </c>
      <c r="G13" s="66"/>
      <c r="L13" s="6"/>
      <c r="M13" s="6"/>
      <c r="N13" s="6"/>
    </row>
    <row r="14" spans="1:14" ht="19.5" customHeight="1" x14ac:dyDescent="0.25">
      <c r="A14" s="100" t="s">
        <v>109</v>
      </c>
      <c r="B14" s="215">
        <f>'SEM IMPREVISTOS'!C87</f>
        <v>3812121.9468541876</v>
      </c>
      <c r="C14" s="217">
        <f t="shared" si="1"/>
        <v>8.3847120806056372E-2</v>
      </c>
      <c r="D14" s="215">
        <f t="shared" si="2"/>
        <v>85889.23048977743</v>
      </c>
      <c r="E14" s="215">
        <f t="shared" si="3"/>
        <v>3898011.177343965</v>
      </c>
      <c r="F14" s="6">
        <f t="shared" si="0"/>
        <v>249.82686992081349</v>
      </c>
      <c r="G14" s="66"/>
      <c r="H14" s="6"/>
      <c r="I14" s="6"/>
      <c r="J14" s="6"/>
      <c r="K14" s="6"/>
      <c r="L14" s="6"/>
      <c r="M14" s="6"/>
      <c r="N14" s="6"/>
    </row>
    <row r="15" spans="1:14" ht="19.5" customHeight="1" x14ac:dyDescent="0.25">
      <c r="A15" s="101" t="s">
        <v>10</v>
      </c>
      <c r="B15" s="214">
        <f>'SEM IMPREVISTOS'!C91</f>
        <v>4972980.9791717418</v>
      </c>
      <c r="C15" s="216">
        <f>B15/$B$20</f>
        <v>0.10938006253208209</v>
      </c>
      <c r="D15" s="214">
        <f t="shared" si="2"/>
        <v>112044.03098747412</v>
      </c>
      <c r="E15" s="214">
        <f t="shared" si="3"/>
        <v>5085025.0101592159</v>
      </c>
      <c r="F15" s="6">
        <f t="shared" si="0"/>
        <v>325.90360159581201</v>
      </c>
      <c r="G15" s="6"/>
      <c r="H15" s="6" t="s">
        <v>86</v>
      </c>
      <c r="I15" s="142">
        <f>'[1]Ger_Executivo MEGA'!$N$178</f>
        <v>3110673.7711449144</v>
      </c>
      <c r="J15" s="75"/>
      <c r="K15" s="140"/>
      <c r="L15" s="6"/>
      <c r="M15" s="6"/>
      <c r="N15" s="6"/>
    </row>
    <row r="16" spans="1:14" ht="19.5" customHeight="1" x14ac:dyDescent="0.25">
      <c r="A16" s="100" t="s">
        <v>11</v>
      </c>
      <c r="B16" s="215"/>
      <c r="C16" s="217"/>
      <c r="D16" s="215">
        <f t="shared" si="2"/>
        <v>0</v>
      </c>
      <c r="E16" s="215"/>
      <c r="F16" s="6"/>
      <c r="G16" s="6"/>
      <c r="H16" s="224" t="s">
        <v>87</v>
      </c>
      <c r="I16" s="225">
        <f>'SEM IMPREVISTOS'!C67</f>
        <v>887177.39201666671</v>
      </c>
      <c r="J16" s="202">
        <v>0</v>
      </c>
      <c r="K16" s="203">
        <f>D7</f>
        <v>0</v>
      </c>
      <c r="L16" s="6"/>
      <c r="M16" s="6"/>
      <c r="N16" s="6"/>
    </row>
    <row r="17" spans="1:14" ht="19.5" customHeight="1" x14ac:dyDescent="0.25">
      <c r="A17" s="101" t="s">
        <v>12</v>
      </c>
      <c r="B17" s="214">
        <f>'SEM IMPREVISTOS'!C95</f>
        <v>2465512.4706464191</v>
      </c>
      <c r="C17" s="216">
        <f t="shared" si="1"/>
        <v>5.4228622498742961E-2</v>
      </c>
      <c r="D17" s="214">
        <f t="shared" si="2"/>
        <v>55549.369044061874</v>
      </c>
      <c r="E17" s="214">
        <f t="shared" si="3"/>
        <v>2521061.8396904808</v>
      </c>
      <c r="F17" s="6">
        <f t="shared" si="0"/>
        <v>161.57700930858661</v>
      </c>
      <c r="G17" s="6"/>
      <c r="H17" s="6"/>
      <c r="I17" s="6"/>
      <c r="J17" s="6"/>
      <c r="K17" s="6"/>
      <c r="L17" s="6"/>
      <c r="M17" s="6"/>
      <c r="N17" s="6"/>
    </row>
    <row r="18" spans="1:14" ht="19.5" customHeight="1" x14ac:dyDescent="0.25">
      <c r="A18" s="100" t="s">
        <v>62</v>
      </c>
      <c r="B18" s="215">
        <f>(SUM(B3:B17))*0.02</f>
        <v>1024355.1557178043</v>
      </c>
      <c r="C18" s="217"/>
      <c r="D18" s="215">
        <v>0</v>
      </c>
      <c r="E18" s="215">
        <v>0</v>
      </c>
      <c r="F18" s="6">
        <f t="shared" si="0"/>
        <v>0</v>
      </c>
      <c r="G18" s="6"/>
      <c r="H18" s="6"/>
      <c r="I18" s="6"/>
      <c r="J18" s="6"/>
      <c r="K18" s="6"/>
      <c r="L18" s="6"/>
      <c r="M18" s="6"/>
      <c r="N18" s="6"/>
    </row>
    <row r="19" spans="1:14" ht="19.5" customHeight="1" x14ac:dyDescent="0.25">
      <c r="A19" s="41" t="s">
        <v>13</v>
      </c>
      <c r="B19" s="79">
        <f>SUM(B3:B17)</f>
        <v>51217757.785890214</v>
      </c>
      <c r="C19" s="43">
        <f>SUM(C2:C18)</f>
        <v>0.99999999999999978</v>
      </c>
      <c r="D19" s="80">
        <f>SUM(D3:D18)</f>
        <v>1024355.1557178043</v>
      </c>
      <c r="E19" s="80">
        <f>SUM(E2:E18)</f>
        <v>59955737.576716498</v>
      </c>
      <c r="F19" s="87">
        <f>E19/H2</f>
        <v>3842.6144952182772</v>
      </c>
      <c r="G19" s="66"/>
      <c r="H19" s="6"/>
      <c r="I19" s="6"/>
      <c r="J19" s="6"/>
      <c r="K19" s="6"/>
      <c r="L19" s="6"/>
      <c r="M19" s="6"/>
      <c r="N19" s="6"/>
    </row>
    <row r="20" spans="1:14" ht="21.75" x14ac:dyDescent="0.25">
      <c r="B20" s="226">
        <f>B4+B5+B6+B8+B9+B11+B12+B13+B14+B15+B17</f>
        <v>45465150.266421951</v>
      </c>
      <c r="C20" s="72"/>
      <c r="D20" s="80">
        <v>2934.53</v>
      </c>
      <c r="E20" s="44">
        <v>45809</v>
      </c>
      <c r="F20" s="81" t="str">
        <f>ROUNDDOWN(F19/D20,2)&amp;" CUB"</f>
        <v>1,3 CUB</v>
      </c>
      <c r="G20" s="9"/>
      <c r="H20" s="6"/>
      <c r="I20" s="6"/>
      <c r="J20" s="6"/>
      <c r="K20" s="6"/>
      <c r="L20" s="6"/>
      <c r="M20" s="6"/>
      <c r="N20" s="6"/>
    </row>
    <row r="21" spans="1:14" ht="22.5" customHeight="1" x14ac:dyDescent="0.25">
      <c r="A21" s="6"/>
      <c r="B21" s="9"/>
      <c r="G21" s="66"/>
      <c r="H21" s="66"/>
      <c r="I21" s="6"/>
      <c r="J21" s="6"/>
      <c r="K21" s="6"/>
      <c r="L21" s="6"/>
      <c r="M21" s="6"/>
      <c r="N21" s="6"/>
    </row>
    <row r="22" spans="1:14" ht="21.75" x14ac:dyDescent="0.25">
      <c r="B22" s="228">
        <v>49238639.830586664</v>
      </c>
    </row>
    <row r="23" spans="1:14" ht="21.75" x14ac:dyDescent="0.25">
      <c r="B23" s="228">
        <v>44160346.979295306</v>
      </c>
      <c r="C23" s="10"/>
      <c r="D23" s="10"/>
      <c r="E23" s="10"/>
      <c r="F23" s="6"/>
      <c r="G23" s="6"/>
      <c r="H23" s="6"/>
      <c r="I23" s="6"/>
      <c r="J23" s="6"/>
      <c r="K23" s="6"/>
      <c r="L23" s="6"/>
      <c r="M23" s="6"/>
      <c r="N23" s="6"/>
    </row>
    <row r="24" spans="1:14" ht="19.5" x14ac:dyDescent="0.25">
      <c r="C24" s="10"/>
      <c r="D24" s="10"/>
      <c r="E24" s="10"/>
      <c r="F24" s="6"/>
      <c r="G24" s="6"/>
      <c r="H24" s="6"/>
      <c r="I24" s="6"/>
      <c r="J24" s="6"/>
      <c r="K24" s="6"/>
      <c r="L24" s="6"/>
      <c r="M24" s="6"/>
      <c r="N24" s="6"/>
    </row>
    <row r="25" spans="1:14" ht="19.5" x14ac:dyDescent="0.25">
      <c r="C25" s="10"/>
      <c r="D25" s="10"/>
      <c r="E25" s="10"/>
      <c r="F25" s="6"/>
      <c r="G25" s="6"/>
      <c r="H25" s="6"/>
      <c r="I25" s="6"/>
      <c r="J25" s="6"/>
      <c r="K25" s="6"/>
      <c r="L25" s="6"/>
      <c r="M25" s="6"/>
      <c r="N25" s="6"/>
    </row>
    <row r="26" spans="1:14" ht="19.5" x14ac:dyDescent="0.25">
      <c r="C26" s="10"/>
      <c r="D26" s="10"/>
      <c r="E26" s="10"/>
      <c r="F26" s="6"/>
      <c r="G26" s="6"/>
      <c r="H26" s="6"/>
      <c r="I26" s="6"/>
      <c r="J26" s="6"/>
      <c r="K26" s="6"/>
      <c r="L26" s="6"/>
      <c r="M26" s="6"/>
      <c r="N26" s="6"/>
    </row>
    <row r="27" spans="1:14" ht="19.5" x14ac:dyDescent="0.25">
      <c r="C27" s="10"/>
      <c r="D27" s="10"/>
      <c r="E27" s="10"/>
      <c r="F27" s="6"/>
      <c r="G27" s="6"/>
      <c r="H27" s="6"/>
      <c r="I27" s="6"/>
      <c r="J27" s="6"/>
      <c r="K27" s="6"/>
      <c r="L27" s="6"/>
      <c r="M27" s="6"/>
      <c r="N27" s="6"/>
    </row>
    <row r="28" spans="1:14" ht="19.5" x14ac:dyDescent="0.25">
      <c r="C28" s="10"/>
      <c r="D28" s="10"/>
      <c r="E28" s="10"/>
      <c r="F28" s="6"/>
      <c r="G28" s="6"/>
      <c r="H28" s="6"/>
      <c r="I28" s="6"/>
      <c r="J28" s="6"/>
      <c r="K28" s="6"/>
      <c r="L28" s="6"/>
      <c r="M28" s="6"/>
      <c r="N28" s="6"/>
    </row>
    <row r="29" spans="1:14" ht="19.5" x14ac:dyDescent="0.25">
      <c r="C29" s="10"/>
      <c r="D29" s="10"/>
      <c r="E29" s="10"/>
      <c r="F29" s="6"/>
      <c r="G29" s="6"/>
      <c r="H29" s="6"/>
      <c r="I29" s="6"/>
      <c r="J29" s="6"/>
      <c r="K29" s="6"/>
      <c r="L29" s="6"/>
      <c r="M29" s="6"/>
      <c r="N29" s="6"/>
    </row>
    <row r="30" spans="1:14" ht="19.5" x14ac:dyDescent="0.25">
      <c r="C30" s="10"/>
      <c r="D30" s="10"/>
      <c r="E30" s="10"/>
      <c r="F30" s="6"/>
      <c r="G30" s="6"/>
      <c r="H30" s="6"/>
      <c r="I30" s="6"/>
      <c r="J30" s="6"/>
      <c r="K30" s="6"/>
      <c r="L30" s="6"/>
      <c r="M30" s="6"/>
      <c r="N30" s="6"/>
    </row>
    <row r="31" spans="1:14" ht="19.5" x14ac:dyDescent="0.25">
      <c r="C31" s="10"/>
      <c r="D31" s="10"/>
      <c r="E31" s="10"/>
      <c r="F31" s="6"/>
      <c r="G31" s="6"/>
      <c r="H31" s="6"/>
      <c r="I31" s="6"/>
      <c r="J31" s="6"/>
      <c r="K31" s="6"/>
      <c r="L31" s="6"/>
      <c r="M31" s="6"/>
      <c r="N31" s="6"/>
    </row>
    <row r="32" spans="1:14" ht="19.5" x14ac:dyDescent="0.25">
      <c r="C32" s="10"/>
      <c r="D32" s="10"/>
      <c r="E32" s="10"/>
      <c r="F32" s="6"/>
      <c r="G32" s="6"/>
      <c r="H32" s="6"/>
      <c r="I32" s="6"/>
      <c r="J32" s="6"/>
      <c r="K32" s="6"/>
      <c r="L32" s="6"/>
      <c r="M32" s="6"/>
      <c r="N32" s="6"/>
    </row>
    <row r="33" spans="1:14" ht="19.5" x14ac:dyDescent="0.25">
      <c r="C33" s="10"/>
      <c r="D33" s="10"/>
      <c r="E33" s="10"/>
      <c r="F33" s="6"/>
      <c r="G33" s="6"/>
      <c r="H33" s="6"/>
      <c r="I33" s="6"/>
      <c r="J33" s="6"/>
      <c r="K33" s="6"/>
      <c r="L33" s="6"/>
      <c r="M33" s="6"/>
      <c r="N33" s="6"/>
    </row>
    <row r="34" spans="1:14" ht="19.5" x14ac:dyDescent="0.25">
      <c r="C34" s="10"/>
      <c r="D34" s="10"/>
      <c r="E34" s="10"/>
      <c r="F34" s="6"/>
      <c r="G34" s="6"/>
      <c r="H34" s="6"/>
      <c r="I34" s="6"/>
      <c r="J34" s="6"/>
      <c r="K34" s="6"/>
      <c r="L34" s="6"/>
      <c r="M34" s="6"/>
      <c r="N34" s="6"/>
    </row>
    <row r="35" spans="1:14" ht="19.5" x14ac:dyDescent="0.25">
      <c r="C35" s="10"/>
      <c r="D35" s="10"/>
      <c r="E35" s="10"/>
      <c r="F35" s="6"/>
      <c r="G35" s="6"/>
      <c r="H35" s="6"/>
      <c r="I35" s="6"/>
      <c r="J35" s="6"/>
      <c r="K35" s="6"/>
      <c r="L35" s="6"/>
      <c r="M35" s="6"/>
      <c r="N35" s="6"/>
    </row>
    <row r="36" spans="1:14" ht="19.5" x14ac:dyDescent="0.25">
      <c r="C36" s="10"/>
      <c r="D36" s="10"/>
      <c r="E36" s="10"/>
      <c r="F36" s="6"/>
      <c r="G36" s="6"/>
      <c r="H36" s="6"/>
      <c r="I36" s="6"/>
      <c r="J36" s="6"/>
      <c r="K36" s="6"/>
      <c r="L36" s="6"/>
      <c r="M36" s="6"/>
      <c r="N36" s="6"/>
    </row>
    <row r="37" spans="1:14" ht="19.5" x14ac:dyDescent="0.25">
      <c r="C37" s="10"/>
      <c r="D37" s="10"/>
      <c r="E37" s="10"/>
      <c r="F37" s="6"/>
      <c r="G37" s="6"/>
      <c r="H37" s="6"/>
      <c r="I37" s="6"/>
      <c r="J37" s="6"/>
      <c r="K37" s="6"/>
      <c r="L37" s="6"/>
      <c r="M37" s="6"/>
      <c r="N37" s="6"/>
    </row>
    <row r="38" spans="1:14" ht="19.5" x14ac:dyDescent="0.25">
      <c r="C38" s="10"/>
      <c r="D38" s="10"/>
      <c r="E38" s="10"/>
      <c r="F38" s="6"/>
      <c r="G38" s="6"/>
      <c r="H38" s="6"/>
      <c r="I38" s="6"/>
      <c r="J38" s="6"/>
      <c r="K38" s="6"/>
      <c r="L38" s="6"/>
      <c r="M38" s="6"/>
      <c r="N38" s="6"/>
    </row>
    <row r="39" spans="1:14" ht="19.5" customHeight="1" x14ac:dyDescent="0.25">
      <c r="A39" s="6"/>
      <c r="B39" s="6"/>
      <c r="C39" s="10"/>
      <c r="D39" s="10"/>
      <c r="E39" s="10"/>
      <c r="F39" s="6"/>
      <c r="G39" s="6"/>
      <c r="H39" s="6"/>
      <c r="I39" s="6"/>
      <c r="J39" s="6"/>
      <c r="K39" s="6"/>
      <c r="L39" s="6"/>
      <c r="M39" s="6"/>
      <c r="N39" s="6"/>
    </row>
    <row r="40" spans="1:14" ht="19.5" customHeight="1" x14ac:dyDescent="0.25">
      <c r="A40" s="6"/>
      <c r="B40" s="6"/>
      <c r="C40" s="10"/>
      <c r="D40" s="10"/>
      <c r="E40" s="10"/>
      <c r="F40" s="6"/>
      <c r="G40" s="6"/>
      <c r="H40" s="6"/>
      <c r="I40" s="6"/>
      <c r="J40" s="6"/>
      <c r="K40" s="6"/>
      <c r="L40" s="6"/>
      <c r="M40" s="6"/>
      <c r="N40" s="6"/>
    </row>
    <row r="41" spans="1:14" ht="19.5" customHeight="1" x14ac:dyDescent="0.25">
      <c r="A41" s="6"/>
      <c r="B41" s="6"/>
      <c r="C41" s="10"/>
      <c r="D41" s="10"/>
      <c r="E41" s="10"/>
      <c r="F41" s="6"/>
      <c r="G41" s="6"/>
      <c r="H41" s="6"/>
      <c r="I41" s="6"/>
      <c r="J41" s="6"/>
      <c r="K41" s="6"/>
      <c r="L41" s="6"/>
      <c r="M41" s="6"/>
      <c r="N41" s="6"/>
    </row>
    <row r="42" spans="1:14" ht="19.5" customHeight="1" x14ac:dyDescent="0.25">
      <c r="A42" s="6"/>
      <c r="B42" s="6"/>
      <c r="C42" s="10"/>
      <c r="D42" s="10"/>
      <c r="E42" s="10"/>
      <c r="F42" s="6"/>
      <c r="G42" s="6"/>
      <c r="H42" s="6"/>
      <c r="I42" s="6"/>
      <c r="J42" s="6"/>
      <c r="K42" s="6"/>
      <c r="L42" s="6"/>
      <c r="M42" s="6"/>
      <c r="N42" s="6"/>
    </row>
    <row r="43" spans="1:14" ht="19.5" customHeight="1" x14ac:dyDescent="0.25">
      <c r="A43" s="6"/>
      <c r="B43" s="6"/>
      <c r="C43" s="10"/>
      <c r="D43" s="10"/>
      <c r="E43" s="10"/>
      <c r="F43" s="6"/>
      <c r="G43" s="6"/>
      <c r="H43" s="6"/>
      <c r="I43" s="6"/>
      <c r="J43" s="6"/>
      <c r="K43" s="6"/>
      <c r="L43" s="6"/>
      <c r="M43" s="6"/>
      <c r="N43" s="6"/>
    </row>
    <row r="44" spans="1:14" ht="19.5" customHeight="1" x14ac:dyDescent="0.25">
      <c r="A44" s="6"/>
      <c r="B44" s="6"/>
      <c r="C44" s="10"/>
      <c r="D44" s="10"/>
      <c r="E44" s="10"/>
      <c r="F44" s="6"/>
      <c r="G44" s="6"/>
      <c r="H44" s="6"/>
      <c r="I44" s="6"/>
      <c r="J44" s="6"/>
      <c r="K44" s="6"/>
      <c r="L44" s="6"/>
      <c r="M44" s="6"/>
      <c r="N44" s="6"/>
    </row>
    <row r="45" spans="1:14" ht="19.5" customHeight="1" x14ac:dyDescent="0.25">
      <c r="A45" s="6"/>
      <c r="B45" s="6"/>
      <c r="C45" s="10"/>
      <c r="D45" s="10"/>
      <c r="E45" s="10"/>
      <c r="F45" s="6"/>
      <c r="G45" s="6"/>
      <c r="H45" s="6"/>
      <c r="I45" s="6"/>
      <c r="J45" s="6"/>
      <c r="K45" s="6"/>
      <c r="L45" s="6"/>
      <c r="M45" s="6"/>
      <c r="N45" s="6"/>
    </row>
    <row r="46" spans="1:14" ht="19.5" customHeight="1" x14ac:dyDescent="0.25">
      <c r="A46" s="6"/>
      <c r="B46" s="6"/>
      <c r="C46" s="10"/>
      <c r="D46" s="10"/>
      <c r="E46" s="10"/>
      <c r="F46" s="6"/>
      <c r="G46" s="6"/>
      <c r="H46" s="6"/>
      <c r="I46" s="6"/>
      <c r="J46" s="6"/>
      <c r="K46" s="6"/>
      <c r="L46" s="6"/>
      <c r="M46" s="6"/>
      <c r="N46" s="6"/>
    </row>
    <row r="47" spans="1:14" ht="19.5" customHeight="1" x14ac:dyDescent="0.25">
      <c r="A47" s="6"/>
      <c r="B47" s="6"/>
      <c r="C47" s="10"/>
      <c r="D47" s="10"/>
      <c r="E47" s="10"/>
      <c r="F47" s="6"/>
      <c r="G47" s="6"/>
      <c r="H47" s="6"/>
      <c r="I47" s="6"/>
      <c r="J47" s="6"/>
      <c r="K47" s="6"/>
      <c r="L47" s="6"/>
      <c r="M47" s="6"/>
      <c r="N47" s="6"/>
    </row>
    <row r="48" spans="1:14" ht="19.5" customHeight="1" x14ac:dyDescent="0.25">
      <c r="A48" s="6"/>
      <c r="B48" s="6"/>
      <c r="C48" s="10"/>
      <c r="D48" s="10"/>
      <c r="E48" s="10"/>
      <c r="F48" s="6"/>
      <c r="G48" s="6"/>
      <c r="H48" s="6"/>
      <c r="I48" s="6"/>
      <c r="J48" s="6"/>
      <c r="K48" s="6"/>
      <c r="L48" s="6"/>
      <c r="M48" s="6"/>
      <c r="N48" s="6"/>
    </row>
    <row r="49" spans="1:14" ht="19.5" customHeight="1" x14ac:dyDescent="0.25">
      <c r="A49" s="6"/>
      <c r="B49" s="6"/>
      <c r="C49" s="10"/>
      <c r="D49" s="10"/>
      <c r="E49" s="10"/>
      <c r="F49" s="6"/>
      <c r="G49" s="6"/>
      <c r="H49" s="6"/>
      <c r="I49" s="6"/>
      <c r="J49" s="6"/>
      <c r="K49" s="6"/>
      <c r="L49" s="6"/>
      <c r="M49" s="6"/>
      <c r="N49" s="6"/>
    </row>
    <row r="50" spans="1:14" ht="19.5" customHeight="1" x14ac:dyDescent="0.25">
      <c r="A50" s="6"/>
      <c r="B50" s="6"/>
      <c r="C50" s="10"/>
      <c r="D50" s="10"/>
      <c r="E50" s="10"/>
      <c r="F50" s="6"/>
      <c r="G50" s="6"/>
      <c r="H50" s="6"/>
      <c r="I50" s="6"/>
      <c r="J50" s="6"/>
      <c r="K50" s="6"/>
      <c r="L50" s="6"/>
      <c r="M50" s="6"/>
      <c r="N50" s="6"/>
    </row>
    <row r="51" spans="1:14" ht="19.5" customHeight="1" x14ac:dyDescent="0.25">
      <c r="A51" s="6"/>
      <c r="B51" s="6"/>
      <c r="C51" s="10"/>
      <c r="D51" s="10"/>
      <c r="E51" s="10"/>
      <c r="F51" s="6"/>
      <c r="G51" s="6"/>
      <c r="H51" s="6"/>
      <c r="I51" s="6"/>
      <c r="J51" s="6"/>
      <c r="K51" s="6"/>
      <c r="L51" s="6"/>
      <c r="M51" s="6"/>
      <c r="N51" s="6"/>
    </row>
    <row r="52" spans="1:14" ht="19.5" customHeight="1" x14ac:dyDescent="0.25">
      <c r="A52" s="6"/>
      <c r="B52" s="6"/>
      <c r="C52" s="10"/>
      <c r="D52" s="10"/>
      <c r="E52" s="10"/>
      <c r="F52" s="6"/>
      <c r="G52" s="6"/>
      <c r="H52" s="6"/>
      <c r="I52" s="6"/>
      <c r="J52" s="6"/>
      <c r="K52" s="6"/>
      <c r="L52" s="6"/>
      <c r="M52" s="6"/>
      <c r="N52" s="6"/>
    </row>
    <row r="53" spans="1:14" ht="19.5" customHeight="1" x14ac:dyDescent="0.25">
      <c r="A53" s="6"/>
      <c r="B53" s="6"/>
      <c r="C53" s="10"/>
      <c r="D53" s="10"/>
      <c r="E53" s="10"/>
      <c r="F53" s="6"/>
      <c r="G53" s="6"/>
      <c r="H53" s="6"/>
      <c r="I53" s="6"/>
      <c r="J53" s="6"/>
      <c r="K53" s="6"/>
      <c r="L53" s="6"/>
      <c r="M53" s="6"/>
      <c r="N53" s="6"/>
    </row>
    <row r="54" spans="1:14" ht="19.5" customHeight="1" x14ac:dyDescent="0.25">
      <c r="A54" s="6"/>
      <c r="B54" s="6"/>
      <c r="C54" s="10"/>
      <c r="D54" s="10"/>
      <c r="E54" s="10"/>
      <c r="F54" s="6"/>
      <c r="G54" s="6"/>
      <c r="H54" s="6"/>
      <c r="I54" s="6"/>
      <c r="J54" s="6"/>
      <c r="K54" s="6"/>
      <c r="L54" s="6"/>
      <c r="M54" s="6"/>
      <c r="N54" s="6"/>
    </row>
    <row r="55" spans="1:14" ht="19.5" customHeight="1" x14ac:dyDescent="0.25">
      <c r="A55" s="6"/>
      <c r="B55" s="6"/>
      <c r="C55" s="10"/>
      <c r="D55" s="10"/>
      <c r="E55" s="10"/>
      <c r="F55" s="6"/>
      <c r="G55" s="6"/>
      <c r="H55" s="6"/>
      <c r="I55" s="6"/>
      <c r="J55" s="6"/>
      <c r="K55" s="6"/>
      <c r="L55" s="6"/>
      <c r="M55" s="6"/>
      <c r="N55" s="6"/>
    </row>
    <row r="56" spans="1:14" ht="19.5" customHeight="1" x14ac:dyDescent="0.25">
      <c r="A56" s="6"/>
      <c r="B56" s="6"/>
      <c r="C56" s="10"/>
      <c r="D56" s="10"/>
      <c r="E56" s="10"/>
      <c r="F56" s="6"/>
      <c r="G56" s="6"/>
      <c r="H56" s="6"/>
      <c r="I56" s="6"/>
      <c r="J56" s="6"/>
      <c r="K56" s="6"/>
      <c r="L56" s="6"/>
      <c r="M56" s="6"/>
      <c r="N56" s="6"/>
    </row>
    <row r="57" spans="1:14" ht="19.5" customHeight="1" x14ac:dyDescent="0.25">
      <c r="A57" s="6"/>
      <c r="B57" s="6"/>
      <c r="C57" s="10"/>
      <c r="D57" s="10"/>
      <c r="E57" s="10"/>
      <c r="F57" s="6"/>
      <c r="G57" s="6"/>
      <c r="H57" s="6"/>
      <c r="I57" s="6"/>
      <c r="J57" s="6"/>
      <c r="K57" s="6"/>
      <c r="L57" s="6"/>
      <c r="M57" s="6"/>
      <c r="N57" s="6"/>
    </row>
    <row r="58" spans="1:14" ht="19.5" customHeight="1" x14ac:dyDescent="0.25">
      <c r="A58" s="6"/>
      <c r="B58" s="6"/>
      <c r="C58" s="10"/>
      <c r="D58" s="10"/>
      <c r="E58" s="10"/>
      <c r="F58" s="6"/>
      <c r="G58" s="6"/>
      <c r="H58" s="6"/>
      <c r="I58" s="6"/>
      <c r="J58" s="6"/>
      <c r="K58" s="6"/>
      <c r="L58" s="6"/>
      <c r="M58" s="6"/>
      <c r="N58" s="6"/>
    </row>
    <row r="59" spans="1:14" ht="19.5" customHeight="1" x14ac:dyDescent="0.25">
      <c r="A59" s="6"/>
      <c r="B59" s="6"/>
      <c r="C59" s="10"/>
      <c r="D59" s="10"/>
      <c r="E59" s="10"/>
      <c r="F59" s="6"/>
      <c r="G59" s="6"/>
      <c r="H59" s="6"/>
      <c r="I59" s="6"/>
      <c r="J59" s="6"/>
      <c r="K59" s="6"/>
      <c r="L59" s="6"/>
      <c r="M59" s="6"/>
      <c r="N59" s="6"/>
    </row>
    <row r="60" spans="1:14" ht="19.5" customHeight="1" x14ac:dyDescent="0.25">
      <c r="A60" s="6"/>
      <c r="B60" s="6"/>
      <c r="C60" s="10"/>
      <c r="D60" s="10"/>
      <c r="E60" s="10"/>
      <c r="F60" s="6"/>
      <c r="G60" s="6"/>
      <c r="H60" s="6"/>
      <c r="I60" s="6"/>
      <c r="J60" s="6"/>
      <c r="K60" s="6"/>
      <c r="L60" s="6"/>
      <c r="M60" s="6"/>
      <c r="N60" s="6"/>
    </row>
    <row r="61" spans="1:14" ht="19.5" customHeight="1" x14ac:dyDescent="0.25">
      <c r="A61" s="6"/>
      <c r="B61" s="6"/>
      <c r="C61" s="10"/>
      <c r="D61" s="10"/>
      <c r="E61" s="10"/>
      <c r="F61" s="6"/>
      <c r="G61" s="6"/>
      <c r="H61" s="6"/>
      <c r="I61" s="6"/>
      <c r="J61" s="6"/>
      <c r="K61" s="6"/>
      <c r="L61" s="6"/>
      <c r="M61" s="6"/>
      <c r="N61" s="6"/>
    </row>
    <row r="62" spans="1:14" ht="19.5" customHeight="1" x14ac:dyDescent="0.25">
      <c r="A62" s="6"/>
      <c r="B62" s="6"/>
      <c r="C62" s="10"/>
      <c r="D62" s="10"/>
      <c r="E62" s="10"/>
      <c r="F62" s="6"/>
      <c r="G62" s="6"/>
      <c r="H62" s="6"/>
      <c r="I62" s="6"/>
      <c r="J62" s="6"/>
      <c r="K62" s="6"/>
      <c r="L62" s="6"/>
      <c r="M62" s="6"/>
      <c r="N62" s="6"/>
    </row>
    <row r="63" spans="1:14" ht="19.5" customHeight="1" x14ac:dyDescent="0.25">
      <c r="A63" s="6"/>
      <c r="B63" s="6"/>
      <c r="C63" s="10"/>
      <c r="D63" s="10"/>
      <c r="E63" s="10"/>
      <c r="F63" s="6"/>
      <c r="G63" s="6"/>
      <c r="H63" s="6"/>
      <c r="I63" s="6"/>
      <c r="J63" s="6"/>
      <c r="K63" s="6"/>
      <c r="L63" s="6"/>
      <c r="M63" s="6"/>
      <c r="N63" s="6"/>
    </row>
    <row r="64" spans="1:14" ht="19.5" customHeight="1" x14ac:dyDescent="0.25">
      <c r="A64" s="6"/>
      <c r="B64" s="6"/>
      <c r="C64" s="10"/>
      <c r="D64" s="10"/>
      <c r="E64" s="10"/>
      <c r="F64" s="6"/>
      <c r="G64" s="6"/>
      <c r="H64" s="6"/>
      <c r="I64" s="6"/>
      <c r="J64" s="6"/>
      <c r="K64" s="6"/>
      <c r="L64" s="6"/>
      <c r="M64" s="6"/>
      <c r="N64" s="6"/>
    </row>
    <row r="65" spans="1:14" ht="19.5" customHeight="1" x14ac:dyDescent="0.25">
      <c r="A65" s="6"/>
      <c r="B65" s="6"/>
      <c r="C65" s="10"/>
      <c r="D65" s="10"/>
      <c r="E65" s="10"/>
      <c r="F65" s="6"/>
      <c r="G65" s="6"/>
      <c r="H65" s="6"/>
      <c r="I65" s="6"/>
      <c r="J65" s="6"/>
      <c r="K65" s="6"/>
      <c r="L65" s="6"/>
      <c r="M65" s="6"/>
      <c r="N65" s="6"/>
    </row>
    <row r="66" spans="1:14" ht="19.5" customHeight="1" x14ac:dyDescent="0.25">
      <c r="A66" s="6"/>
      <c r="B66" s="6"/>
      <c r="C66" s="10"/>
      <c r="D66" s="10"/>
      <c r="E66" s="10"/>
      <c r="F66" s="6"/>
      <c r="G66" s="6"/>
      <c r="H66" s="6"/>
      <c r="I66" s="6"/>
      <c r="J66" s="6"/>
      <c r="K66" s="6"/>
      <c r="L66" s="6"/>
      <c r="M66" s="6"/>
      <c r="N66" s="6"/>
    </row>
    <row r="67" spans="1:14" ht="19.5" customHeight="1" x14ac:dyDescent="0.25">
      <c r="A67" s="6"/>
      <c r="B67" s="6"/>
      <c r="C67" s="10"/>
      <c r="D67" s="10"/>
      <c r="E67" s="10"/>
      <c r="F67" s="6"/>
      <c r="G67" s="6"/>
      <c r="H67" s="6"/>
      <c r="I67" s="6"/>
      <c r="J67" s="6"/>
      <c r="K67" s="6"/>
      <c r="L67" s="6"/>
      <c r="M67" s="6"/>
      <c r="N67" s="6"/>
    </row>
    <row r="68" spans="1:14" ht="19.5" customHeight="1" x14ac:dyDescent="0.25">
      <c r="A68" s="6"/>
      <c r="B68" s="6"/>
      <c r="C68" s="10"/>
      <c r="D68" s="10"/>
      <c r="E68" s="10"/>
      <c r="F68" s="6"/>
      <c r="G68" s="6"/>
      <c r="H68" s="6"/>
      <c r="I68" s="6"/>
      <c r="J68" s="6"/>
      <c r="K68" s="6"/>
      <c r="L68" s="6"/>
      <c r="M68" s="6"/>
      <c r="N68" s="6"/>
    </row>
    <row r="69" spans="1:14" ht="19.5" customHeight="1" x14ac:dyDescent="0.25">
      <c r="A69" s="6"/>
      <c r="B69" s="6"/>
      <c r="C69" s="10"/>
      <c r="D69" s="10"/>
      <c r="E69" s="10"/>
      <c r="F69" s="6"/>
      <c r="G69" s="6"/>
      <c r="H69" s="6"/>
      <c r="I69" s="6"/>
      <c r="J69" s="6"/>
      <c r="K69" s="6"/>
      <c r="L69" s="6"/>
      <c r="M69" s="6"/>
      <c r="N69" s="6"/>
    </row>
    <row r="70" spans="1:14" ht="19.5" customHeight="1" x14ac:dyDescent="0.25">
      <c r="A70" s="6"/>
      <c r="B70" s="6"/>
      <c r="C70" s="10"/>
      <c r="D70" s="10"/>
      <c r="E70" s="10"/>
      <c r="F70" s="6"/>
      <c r="G70" s="6"/>
      <c r="H70" s="6"/>
      <c r="I70" s="6"/>
      <c r="J70" s="6"/>
      <c r="K70" s="6"/>
      <c r="L70" s="6"/>
      <c r="M70" s="6"/>
      <c r="N70" s="6"/>
    </row>
    <row r="71" spans="1:14" ht="19.5" customHeight="1" x14ac:dyDescent="0.25">
      <c r="A71" s="6"/>
      <c r="B71" s="6"/>
      <c r="C71" s="10"/>
      <c r="D71" s="10"/>
      <c r="E71" s="10"/>
      <c r="F71" s="6"/>
      <c r="G71" s="6"/>
      <c r="H71" s="6"/>
      <c r="I71" s="6"/>
      <c r="J71" s="6"/>
      <c r="K71" s="6"/>
      <c r="L71" s="6"/>
      <c r="M71" s="6"/>
      <c r="N71" s="6"/>
    </row>
    <row r="72" spans="1:14" ht="19.5" customHeight="1" x14ac:dyDescent="0.25">
      <c r="A72" s="6"/>
      <c r="B72" s="6"/>
      <c r="C72" s="10"/>
      <c r="D72" s="10"/>
      <c r="E72" s="10"/>
      <c r="F72" s="6"/>
      <c r="G72" s="6"/>
      <c r="H72" s="6"/>
      <c r="I72" s="6"/>
      <c r="J72" s="6"/>
      <c r="K72" s="6"/>
      <c r="L72" s="6"/>
      <c r="M72" s="6"/>
      <c r="N72" s="6"/>
    </row>
    <row r="73" spans="1:14" ht="19.5" customHeight="1" x14ac:dyDescent="0.25">
      <c r="A73" s="6"/>
      <c r="B73" s="6"/>
      <c r="C73" s="10"/>
      <c r="D73" s="10"/>
      <c r="E73" s="10"/>
      <c r="F73" s="6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5">
      <c r="A74" s="6"/>
      <c r="B74" s="6"/>
      <c r="C74" s="10"/>
      <c r="D74" s="10"/>
      <c r="E74" s="10"/>
      <c r="F74" s="6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5">
      <c r="A75" s="6"/>
      <c r="B75" s="6"/>
      <c r="C75" s="10"/>
      <c r="D75" s="10"/>
      <c r="E75" s="10"/>
      <c r="F75" s="6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5">
      <c r="A76" s="6"/>
      <c r="B76" s="6"/>
      <c r="C76" s="10"/>
      <c r="D76" s="10"/>
      <c r="E76" s="10"/>
      <c r="F76" s="6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5">
      <c r="A77" s="6"/>
      <c r="B77" s="6"/>
      <c r="C77" s="10"/>
      <c r="D77" s="10"/>
      <c r="E77" s="10"/>
      <c r="F77" s="6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5">
      <c r="A78" s="6"/>
      <c r="B78" s="6"/>
      <c r="C78" s="10"/>
      <c r="D78" s="10"/>
      <c r="E78" s="10"/>
      <c r="F78" s="6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5">
      <c r="A79" s="6"/>
      <c r="B79" s="6"/>
      <c r="C79" s="10"/>
      <c r="D79" s="10"/>
      <c r="E79" s="10"/>
      <c r="F79" s="6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5">
      <c r="A80" s="6"/>
      <c r="B80" s="6"/>
      <c r="C80" s="10"/>
      <c r="D80" s="10"/>
      <c r="E80" s="10"/>
      <c r="F80" s="6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5">
      <c r="A81" s="6"/>
      <c r="B81" s="6"/>
      <c r="C81" s="10"/>
      <c r="D81" s="10"/>
      <c r="E81" s="10"/>
      <c r="F81" s="6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5">
      <c r="A82" s="6"/>
      <c r="B82" s="6"/>
      <c r="C82" s="10"/>
      <c r="D82" s="10"/>
      <c r="E82" s="10"/>
      <c r="F82" s="6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5">
      <c r="A83" s="6"/>
      <c r="B83" s="6"/>
      <c r="C83" s="10"/>
      <c r="D83" s="10"/>
      <c r="E83" s="10"/>
      <c r="F83" s="6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5">
      <c r="A84" s="6"/>
      <c r="B84" s="6"/>
      <c r="C84" s="10"/>
      <c r="D84" s="10"/>
      <c r="E84" s="10"/>
      <c r="F84" s="6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5">
      <c r="A85" s="6"/>
      <c r="B85" s="6"/>
      <c r="C85" s="10"/>
      <c r="D85" s="10"/>
      <c r="E85" s="10"/>
      <c r="F85" s="6"/>
      <c r="G85" s="6"/>
      <c r="H85" s="6"/>
      <c r="I85" s="6"/>
      <c r="J85" s="6"/>
      <c r="K85" s="6"/>
      <c r="L85" s="6"/>
      <c r="M85" s="6"/>
      <c r="N85" s="6"/>
    </row>
    <row r="86" spans="1:14" ht="19.5" customHeight="1" x14ac:dyDescent="0.25">
      <c r="A86" s="6"/>
      <c r="B86" s="6"/>
      <c r="C86" s="10"/>
      <c r="D86" s="10"/>
      <c r="E86" s="10"/>
      <c r="F86" s="6"/>
      <c r="G86" s="6"/>
      <c r="H86" s="6"/>
      <c r="I86" s="6"/>
      <c r="J86" s="6"/>
      <c r="K86" s="6"/>
      <c r="L86" s="6"/>
      <c r="M86" s="6"/>
      <c r="N86" s="6"/>
    </row>
    <row r="87" spans="1:14" ht="19.5" customHeight="1" x14ac:dyDescent="0.25">
      <c r="A87" s="6"/>
      <c r="B87" s="6"/>
      <c r="C87" s="10"/>
      <c r="D87" s="10"/>
      <c r="E87" s="10"/>
      <c r="F87" s="6"/>
      <c r="G87" s="6"/>
      <c r="H87" s="6"/>
      <c r="I87" s="6"/>
      <c r="J87" s="6"/>
      <c r="K87" s="6"/>
      <c r="L87" s="6"/>
      <c r="M87" s="6"/>
      <c r="N87" s="6"/>
    </row>
    <row r="88" spans="1:14" ht="19.5" customHeight="1" x14ac:dyDescent="0.25">
      <c r="A88" s="6"/>
      <c r="B88" s="6"/>
      <c r="C88" s="10"/>
      <c r="D88" s="10"/>
      <c r="E88" s="10"/>
      <c r="F88" s="6"/>
      <c r="G88" s="6"/>
      <c r="H88" s="6"/>
      <c r="I88" s="6"/>
      <c r="J88" s="6"/>
      <c r="K88" s="6"/>
      <c r="L88" s="6"/>
      <c r="M88" s="6"/>
      <c r="N88" s="6"/>
    </row>
    <row r="89" spans="1:14" ht="19.5" customHeight="1" x14ac:dyDescent="0.25">
      <c r="A89" s="6"/>
      <c r="B89" s="6"/>
      <c r="C89" s="10"/>
      <c r="D89" s="10"/>
      <c r="E89" s="10"/>
      <c r="F89" s="6"/>
      <c r="G89" s="6"/>
      <c r="H89" s="6"/>
      <c r="I89" s="6"/>
      <c r="J89" s="6"/>
      <c r="K89" s="6"/>
      <c r="L89" s="6"/>
      <c r="M89" s="6"/>
      <c r="N89" s="6"/>
    </row>
    <row r="90" spans="1:14" ht="19.5" customHeight="1" x14ac:dyDescent="0.25">
      <c r="A90" s="6"/>
      <c r="B90" s="6"/>
      <c r="C90" s="10"/>
      <c r="D90" s="10"/>
      <c r="E90" s="10"/>
      <c r="F90" s="6"/>
      <c r="G90" s="6"/>
      <c r="H90" s="6"/>
      <c r="I90" s="6"/>
      <c r="J90" s="6"/>
      <c r="K90" s="6"/>
      <c r="L90" s="6"/>
      <c r="M90" s="6"/>
      <c r="N90" s="6"/>
    </row>
    <row r="91" spans="1:14" ht="19.5" customHeight="1" x14ac:dyDescent="0.25">
      <c r="A91" s="6"/>
      <c r="B91" s="6"/>
      <c r="C91" s="10"/>
      <c r="D91" s="10"/>
      <c r="E91" s="10"/>
      <c r="F91" s="6"/>
      <c r="G91" s="6"/>
      <c r="H91" s="6"/>
      <c r="I91" s="6"/>
      <c r="J91" s="6"/>
      <c r="K91" s="6"/>
      <c r="L91" s="6"/>
      <c r="M91" s="6"/>
      <c r="N91" s="6"/>
    </row>
    <row r="92" spans="1:14" ht="19.5" customHeight="1" x14ac:dyDescent="0.25">
      <c r="A92" s="6"/>
      <c r="B92" s="6"/>
      <c r="C92" s="10"/>
      <c r="D92" s="10"/>
      <c r="E92" s="10"/>
      <c r="F92" s="6"/>
      <c r="G92" s="6"/>
      <c r="H92" s="6"/>
      <c r="I92" s="6"/>
      <c r="J92" s="6"/>
      <c r="K92" s="6"/>
      <c r="L92" s="6"/>
      <c r="M92" s="6"/>
      <c r="N92" s="6"/>
    </row>
    <row r="93" spans="1:14" ht="19.5" customHeight="1" x14ac:dyDescent="0.25">
      <c r="A93" s="6"/>
      <c r="B93" s="6"/>
      <c r="C93" s="10"/>
      <c r="D93" s="10"/>
      <c r="E93" s="10"/>
      <c r="F93" s="6"/>
      <c r="G93" s="6"/>
      <c r="H93" s="6"/>
      <c r="I93" s="6"/>
      <c r="J93" s="6"/>
      <c r="K93" s="6"/>
      <c r="L93" s="6"/>
      <c r="M93" s="6"/>
      <c r="N93" s="6"/>
    </row>
    <row r="94" spans="1:14" ht="19.5" customHeight="1" x14ac:dyDescent="0.25">
      <c r="A94" s="6"/>
      <c r="B94" s="6"/>
      <c r="C94" s="10"/>
      <c r="D94" s="10"/>
      <c r="E94" s="10"/>
      <c r="F94" s="6"/>
      <c r="G94" s="6"/>
      <c r="H94" s="6"/>
      <c r="I94" s="6"/>
      <c r="J94" s="6"/>
      <c r="K94" s="6"/>
      <c r="L94" s="6"/>
      <c r="M94" s="6"/>
      <c r="N94" s="6"/>
    </row>
    <row r="95" spans="1:14" ht="19.5" customHeight="1" x14ac:dyDescent="0.25">
      <c r="A95" s="6"/>
      <c r="B95" s="6"/>
      <c r="C95" s="10"/>
      <c r="D95" s="10"/>
      <c r="E95" s="10"/>
      <c r="F95" s="6"/>
      <c r="G95" s="6"/>
      <c r="H95" s="6"/>
      <c r="I95" s="6"/>
      <c r="J95" s="6"/>
      <c r="K95" s="6"/>
      <c r="L95" s="6"/>
      <c r="M95" s="6"/>
      <c r="N95" s="6"/>
    </row>
    <row r="96" spans="1:14" ht="19.5" customHeight="1" x14ac:dyDescent="0.25">
      <c r="A96" s="6"/>
      <c r="B96" s="6"/>
      <c r="C96" s="10"/>
      <c r="D96" s="10"/>
      <c r="E96" s="10"/>
      <c r="F96" s="6"/>
      <c r="G96" s="6"/>
      <c r="H96" s="6"/>
      <c r="I96" s="6"/>
      <c r="J96" s="6"/>
      <c r="K96" s="6"/>
      <c r="L96" s="6"/>
      <c r="M96" s="6"/>
      <c r="N96" s="6"/>
    </row>
    <row r="97" spans="1:14" ht="19.5" customHeight="1" x14ac:dyDescent="0.25">
      <c r="A97" s="6"/>
      <c r="B97" s="6"/>
      <c r="C97" s="10"/>
      <c r="D97" s="10"/>
      <c r="E97" s="10"/>
      <c r="F97" s="6"/>
      <c r="G97" s="6"/>
      <c r="H97" s="6"/>
      <c r="I97" s="6"/>
      <c r="J97" s="6"/>
      <c r="K97" s="6"/>
      <c r="L97" s="6"/>
      <c r="M97" s="6"/>
      <c r="N97" s="6"/>
    </row>
    <row r="98" spans="1:14" ht="19.5" customHeight="1" x14ac:dyDescent="0.25">
      <c r="A98" s="6"/>
      <c r="B98" s="6"/>
      <c r="C98" s="10"/>
      <c r="D98" s="10"/>
      <c r="E98" s="10"/>
      <c r="F98" s="6"/>
      <c r="G98" s="6"/>
      <c r="H98" s="6"/>
      <c r="I98" s="6"/>
      <c r="J98" s="6"/>
      <c r="K98" s="6"/>
      <c r="L98" s="6"/>
      <c r="M98" s="6"/>
      <c r="N98" s="6"/>
    </row>
    <row r="99" spans="1:14" ht="19.5" customHeight="1" x14ac:dyDescent="0.25">
      <c r="A99" s="6"/>
      <c r="B99" s="6"/>
      <c r="C99" s="10"/>
      <c r="D99" s="10"/>
      <c r="E99" s="10"/>
      <c r="F99" s="6"/>
      <c r="G99" s="6"/>
      <c r="H99" s="6"/>
      <c r="I99" s="6"/>
      <c r="J99" s="6"/>
      <c r="K99" s="6"/>
      <c r="L99" s="6"/>
      <c r="M99" s="6"/>
      <c r="N99" s="6"/>
    </row>
    <row r="100" spans="1:14" ht="19.5" customHeight="1" x14ac:dyDescent="0.25">
      <c r="A100" s="6"/>
      <c r="B100" s="6"/>
      <c r="C100" s="10"/>
      <c r="D100" s="10"/>
      <c r="E100" s="10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9.5" customHeight="1" x14ac:dyDescent="0.25">
      <c r="A101" s="6"/>
      <c r="B101" s="6"/>
      <c r="C101" s="10"/>
      <c r="D101" s="10"/>
      <c r="E101" s="10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9.5" customHeight="1" x14ac:dyDescent="0.25">
      <c r="A102" s="6"/>
      <c r="B102" s="6"/>
      <c r="C102" s="10"/>
      <c r="D102" s="10"/>
      <c r="E102" s="10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9.5" customHeight="1" x14ac:dyDescent="0.25">
      <c r="A103" s="6"/>
      <c r="B103" s="6"/>
      <c r="C103" s="10"/>
      <c r="D103" s="10"/>
      <c r="E103" s="10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9.5" customHeight="1" x14ac:dyDescent="0.25">
      <c r="A104" s="6"/>
      <c r="B104" s="6"/>
      <c r="C104" s="10"/>
      <c r="D104" s="10"/>
      <c r="E104" s="10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9.5" customHeight="1" x14ac:dyDescent="0.25">
      <c r="A105" s="6"/>
      <c r="B105" s="6"/>
      <c r="C105" s="10"/>
      <c r="D105" s="10"/>
      <c r="E105" s="10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9.5" customHeight="1" x14ac:dyDescent="0.25">
      <c r="A106" s="6"/>
      <c r="B106" s="6"/>
      <c r="C106" s="10"/>
      <c r="D106" s="10"/>
      <c r="E106" s="10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9.5" customHeight="1" x14ac:dyDescent="0.25">
      <c r="A107" s="6"/>
      <c r="B107" s="6"/>
      <c r="C107" s="10"/>
      <c r="D107" s="10"/>
      <c r="E107" s="10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5">
      <c r="A108" s="6"/>
      <c r="B108" s="6"/>
      <c r="C108" s="10"/>
      <c r="D108" s="10"/>
      <c r="E108" s="10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9.5" customHeight="1" x14ac:dyDescent="0.25">
      <c r="A109" s="6"/>
      <c r="B109" s="6"/>
      <c r="C109" s="10"/>
      <c r="D109" s="10"/>
      <c r="E109" s="10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9.5" customHeight="1" x14ac:dyDescent="0.25">
      <c r="A110" s="6"/>
      <c r="B110" s="6"/>
      <c r="C110" s="10"/>
      <c r="D110" s="10"/>
      <c r="E110" s="10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9.5" customHeight="1" x14ac:dyDescent="0.25">
      <c r="A111" s="6"/>
      <c r="B111" s="6"/>
      <c r="C111" s="10"/>
      <c r="D111" s="10"/>
      <c r="E111" s="10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5">
      <c r="A112" s="6"/>
      <c r="B112" s="6"/>
      <c r="C112" s="10"/>
      <c r="D112" s="10"/>
      <c r="E112" s="10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5">
      <c r="A113" s="6"/>
      <c r="B113" s="6"/>
      <c r="C113" s="10"/>
      <c r="D113" s="10"/>
      <c r="E113" s="10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9.5" customHeight="1" x14ac:dyDescent="0.25">
      <c r="A114" s="6"/>
      <c r="B114" s="6"/>
      <c r="C114" s="10"/>
      <c r="D114" s="10"/>
      <c r="E114" s="10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5">
      <c r="A115" s="6"/>
      <c r="B115" s="6"/>
      <c r="C115" s="10"/>
      <c r="D115" s="10"/>
      <c r="E115" s="10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5">
      <c r="A116" s="6"/>
      <c r="B116" s="6"/>
      <c r="C116" s="10"/>
      <c r="D116" s="10"/>
      <c r="E116" s="10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5">
      <c r="A117" s="6"/>
      <c r="B117" s="6"/>
      <c r="C117" s="10"/>
      <c r="D117" s="10"/>
      <c r="E117" s="10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9.5" customHeight="1" x14ac:dyDescent="0.25">
      <c r="A118" s="6"/>
      <c r="B118" s="6"/>
      <c r="C118" s="10"/>
      <c r="D118" s="10"/>
      <c r="E118" s="10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5">
      <c r="A119" s="6"/>
      <c r="B119" s="6"/>
      <c r="C119" s="10"/>
      <c r="D119" s="10"/>
      <c r="E119" s="10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5">
      <c r="A120" s="6"/>
      <c r="B120" s="6"/>
      <c r="C120" s="10"/>
      <c r="D120" s="10"/>
      <c r="E120" s="10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5">
      <c r="A121" s="6"/>
      <c r="B121" s="6"/>
      <c r="C121" s="10"/>
      <c r="D121" s="10"/>
      <c r="E121" s="10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9.5" customHeight="1" x14ac:dyDescent="0.25">
      <c r="A122" s="6"/>
      <c r="B122" s="6"/>
      <c r="C122" s="10"/>
      <c r="D122" s="10"/>
      <c r="E122" s="10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5">
      <c r="A123" s="6"/>
      <c r="B123" s="6"/>
      <c r="C123" s="10"/>
      <c r="D123" s="10"/>
      <c r="E123" s="10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5">
      <c r="A124" s="6"/>
      <c r="B124" s="6"/>
      <c r="C124" s="10"/>
      <c r="D124" s="10"/>
      <c r="E124" s="10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9.5" customHeight="1" x14ac:dyDescent="0.25">
      <c r="A125" s="6"/>
      <c r="B125" s="6"/>
      <c r="C125" s="10"/>
      <c r="D125" s="10"/>
      <c r="E125" s="10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5">
      <c r="A126" s="6"/>
      <c r="B126" s="6"/>
      <c r="C126" s="10"/>
      <c r="D126" s="10"/>
      <c r="E126" s="10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5">
      <c r="A127" s="6"/>
      <c r="B127" s="6"/>
      <c r="C127" s="10"/>
      <c r="D127" s="10"/>
      <c r="E127" s="10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9.5" customHeight="1" x14ac:dyDescent="0.25">
      <c r="A128" s="6"/>
      <c r="B128" s="6"/>
      <c r="C128" s="10"/>
      <c r="D128" s="10"/>
      <c r="E128" s="10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5">
      <c r="A129" s="6"/>
      <c r="B129" s="6"/>
      <c r="C129" s="10"/>
      <c r="D129" s="10"/>
      <c r="E129" s="10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5">
      <c r="A130" s="6"/>
      <c r="B130" s="6"/>
      <c r="C130" s="10"/>
      <c r="D130" s="10"/>
      <c r="E130" s="10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5">
      <c r="A131" s="6"/>
      <c r="B131" s="6"/>
      <c r="C131" s="10"/>
      <c r="D131" s="10"/>
      <c r="E131" s="10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9.5" customHeight="1" x14ac:dyDescent="0.25">
      <c r="A132" s="6"/>
      <c r="B132" s="6"/>
      <c r="C132" s="10"/>
      <c r="D132" s="10"/>
      <c r="E132" s="10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5">
      <c r="A133" s="6"/>
      <c r="B133" s="6"/>
      <c r="C133" s="10"/>
      <c r="D133" s="10"/>
      <c r="E133" s="10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9.5" customHeight="1" x14ac:dyDescent="0.25">
      <c r="A134" s="6"/>
      <c r="B134" s="6"/>
      <c r="C134" s="10"/>
      <c r="D134" s="10"/>
      <c r="E134" s="10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9.5" customHeight="1" x14ac:dyDescent="0.25">
      <c r="A135" s="6"/>
      <c r="B135" s="6"/>
      <c r="C135" s="10"/>
      <c r="D135" s="10"/>
      <c r="E135" s="10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9.5" customHeight="1" x14ac:dyDescent="0.25">
      <c r="A136" s="6"/>
      <c r="B136" s="6"/>
      <c r="C136" s="10"/>
      <c r="D136" s="10"/>
      <c r="E136" s="10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9.5" customHeight="1" x14ac:dyDescent="0.25">
      <c r="A137" s="6"/>
      <c r="B137" s="6"/>
      <c r="C137" s="10"/>
      <c r="D137" s="10"/>
      <c r="E137" s="10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9.5" customHeight="1" x14ac:dyDescent="0.25">
      <c r="A138" s="6"/>
      <c r="B138" s="6"/>
      <c r="C138" s="10"/>
      <c r="D138" s="10"/>
      <c r="E138" s="10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9.5" customHeight="1" x14ac:dyDescent="0.25">
      <c r="A139" s="6"/>
      <c r="B139" s="6"/>
      <c r="C139" s="10"/>
      <c r="D139" s="10"/>
      <c r="E139" s="10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9.5" customHeight="1" x14ac:dyDescent="0.25">
      <c r="A140" s="6"/>
      <c r="B140" s="6"/>
      <c r="C140" s="10"/>
      <c r="D140" s="10"/>
      <c r="E140" s="10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9.5" customHeight="1" x14ac:dyDescent="0.25">
      <c r="A141" s="6"/>
      <c r="B141" s="6"/>
      <c r="C141" s="10"/>
      <c r="D141" s="10"/>
      <c r="E141" s="10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9.5" customHeight="1" x14ac:dyDescent="0.25">
      <c r="A142" s="6"/>
      <c r="B142" s="6"/>
      <c r="C142" s="10"/>
      <c r="D142" s="10"/>
      <c r="E142" s="10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9.5" customHeight="1" x14ac:dyDescent="0.25">
      <c r="A143" s="6"/>
      <c r="B143" s="6"/>
      <c r="C143" s="10"/>
      <c r="D143" s="10"/>
      <c r="E143" s="10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9.5" customHeight="1" x14ac:dyDescent="0.25">
      <c r="A144" s="6"/>
      <c r="B144" s="6"/>
      <c r="C144" s="10"/>
      <c r="D144" s="10"/>
      <c r="E144" s="10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9.5" customHeight="1" x14ac:dyDescent="0.25">
      <c r="A145" s="6"/>
      <c r="B145" s="6"/>
      <c r="C145" s="10"/>
      <c r="D145" s="10"/>
      <c r="E145" s="10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9.5" customHeight="1" x14ac:dyDescent="0.25">
      <c r="A146" s="6"/>
      <c r="B146" s="6"/>
      <c r="C146" s="10"/>
      <c r="D146" s="10"/>
      <c r="E146" s="10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9.5" customHeight="1" x14ac:dyDescent="0.25">
      <c r="A147" s="6"/>
      <c r="B147" s="6"/>
      <c r="C147" s="10"/>
      <c r="D147" s="10"/>
      <c r="E147" s="10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9.5" customHeight="1" x14ac:dyDescent="0.25">
      <c r="A148" s="6"/>
      <c r="B148" s="6"/>
      <c r="C148" s="10"/>
      <c r="D148" s="10"/>
      <c r="E148" s="10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9.5" customHeight="1" x14ac:dyDescent="0.25">
      <c r="A149" s="6"/>
      <c r="B149" s="6"/>
      <c r="C149" s="10"/>
      <c r="D149" s="10"/>
      <c r="E149" s="10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9.5" customHeight="1" x14ac:dyDescent="0.25">
      <c r="A150" s="6"/>
      <c r="B150" s="6"/>
      <c r="C150" s="10"/>
      <c r="D150" s="10"/>
      <c r="E150" s="10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9.5" customHeight="1" x14ac:dyDescent="0.25">
      <c r="A151" s="6"/>
      <c r="B151" s="6"/>
      <c r="C151" s="10"/>
      <c r="D151" s="10"/>
      <c r="E151" s="10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9.5" customHeight="1" x14ac:dyDescent="0.25">
      <c r="A152" s="6"/>
      <c r="B152" s="6"/>
      <c r="C152" s="10"/>
      <c r="D152" s="10"/>
      <c r="E152" s="10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9.5" customHeight="1" x14ac:dyDescent="0.25">
      <c r="A153" s="6"/>
      <c r="B153" s="6"/>
      <c r="C153" s="10"/>
      <c r="D153" s="10"/>
      <c r="E153" s="10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9.5" customHeight="1" x14ac:dyDescent="0.25">
      <c r="A154" s="6"/>
      <c r="B154" s="6"/>
      <c r="C154" s="10"/>
      <c r="D154" s="10"/>
      <c r="E154" s="10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9.5" customHeight="1" x14ac:dyDescent="0.25">
      <c r="A155" s="6"/>
      <c r="B155" s="6"/>
      <c r="C155" s="10"/>
      <c r="D155" s="10"/>
      <c r="E155" s="10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9.5" customHeight="1" x14ac:dyDescent="0.25">
      <c r="A156" s="6"/>
      <c r="B156" s="6"/>
      <c r="C156" s="10"/>
      <c r="D156" s="10"/>
      <c r="E156" s="10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9.5" customHeight="1" x14ac:dyDescent="0.25">
      <c r="A157" s="6"/>
      <c r="B157" s="6"/>
      <c r="C157" s="10"/>
      <c r="D157" s="10"/>
      <c r="E157" s="10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9.5" customHeight="1" x14ac:dyDescent="0.25">
      <c r="A158" s="6"/>
      <c r="B158" s="6"/>
      <c r="C158" s="10"/>
      <c r="D158" s="10"/>
      <c r="E158" s="10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9.5" customHeight="1" x14ac:dyDescent="0.25">
      <c r="A159" s="6"/>
      <c r="B159" s="6"/>
      <c r="C159" s="10"/>
      <c r="D159" s="10"/>
      <c r="E159" s="10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9.5" customHeight="1" x14ac:dyDescent="0.25">
      <c r="A160" s="6"/>
      <c r="B160" s="6"/>
      <c r="C160" s="10"/>
      <c r="D160" s="10"/>
      <c r="E160" s="10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9.5" customHeight="1" x14ac:dyDescent="0.25">
      <c r="A161" s="6"/>
      <c r="B161" s="6"/>
      <c r="C161" s="10"/>
      <c r="D161" s="10"/>
      <c r="E161" s="10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9.5" customHeight="1" x14ac:dyDescent="0.25">
      <c r="A162" s="6"/>
      <c r="B162" s="6"/>
      <c r="C162" s="10"/>
      <c r="D162" s="10"/>
      <c r="E162" s="10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9.5" customHeight="1" x14ac:dyDescent="0.25">
      <c r="A163" s="6"/>
      <c r="B163" s="6"/>
      <c r="C163" s="10"/>
      <c r="D163" s="10"/>
      <c r="E163" s="10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9.5" customHeight="1" x14ac:dyDescent="0.25">
      <c r="A164" s="6"/>
      <c r="B164" s="6"/>
      <c r="C164" s="10"/>
      <c r="D164" s="10"/>
      <c r="E164" s="10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9.5" customHeight="1" x14ac:dyDescent="0.25">
      <c r="A165" s="6"/>
      <c r="B165" s="6"/>
      <c r="C165" s="10"/>
      <c r="D165" s="10"/>
      <c r="E165" s="10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9.5" customHeight="1" x14ac:dyDescent="0.25">
      <c r="A166" s="6"/>
      <c r="B166" s="6"/>
      <c r="C166" s="10"/>
      <c r="D166" s="10"/>
      <c r="E166" s="10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9.5" customHeight="1" x14ac:dyDescent="0.25">
      <c r="A167" s="6"/>
      <c r="B167" s="6"/>
      <c r="C167" s="10"/>
      <c r="D167" s="10"/>
      <c r="E167" s="10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9.5" customHeight="1" x14ac:dyDescent="0.25">
      <c r="A168" s="6"/>
      <c r="B168" s="6"/>
      <c r="C168" s="10"/>
      <c r="D168" s="10"/>
      <c r="E168" s="10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9.5" customHeight="1" x14ac:dyDescent="0.25">
      <c r="A169" s="6"/>
      <c r="B169" s="6"/>
      <c r="C169" s="10"/>
      <c r="D169" s="10"/>
      <c r="E169" s="10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9.5" customHeight="1" x14ac:dyDescent="0.25">
      <c r="A170" s="6"/>
      <c r="B170" s="6"/>
      <c r="C170" s="10"/>
      <c r="D170" s="10"/>
      <c r="E170" s="10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9.5" customHeight="1" x14ac:dyDescent="0.25">
      <c r="A171" s="6"/>
      <c r="B171" s="6"/>
      <c r="C171" s="10"/>
      <c r="D171" s="10"/>
      <c r="E171" s="10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9.5" customHeight="1" x14ac:dyDescent="0.25">
      <c r="A172" s="6"/>
      <c r="B172" s="6"/>
      <c r="C172" s="10"/>
      <c r="D172" s="10"/>
      <c r="E172" s="10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9.5" customHeight="1" x14ac:dyDescent="0.25">
      <c r="A173" s="6"/>
      <c r="B173" s="6"/>
      <c r="C173" s="10"/>
      <c r="D173" s="10"/>
      <c r="E173" s="10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9.5" customHeight="1" x14ac:dyDescent="0.25">
      <c r="A174" s="6"/>
      <c r="B174" s="6"/>
      <c r="C174" s="10"/>
      <c r="D174" s="10"/>
      <c r="E174" s="10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9.5" customHeight="1" x14ac:dyDescent="0.25">
      <c r="A175" s="6"/>
      <c r="B175" s="6"/>
      <c r="C175" s="10"/>
      <c r="D175" s="10"/>
      <c r="E175" s="10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9.5" customHeight="1" x14ac:dyDescent="0.25">
      <c r="A176" s="6"/>
      <c r="B176" s="6"/>
      <c r="C176" s="10"/>
      <c r="D176" s="10"/>
      <c r="E176" s="10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9.5" customHeight="1" x14ac:dyDescent="0.25">
      <c r="A177" s="6"/>
      <c r="B177" s="6"/>
      <c r="C177" s="10"/>
      <c r="D177" s="10"/>
      <c r="E177" s="10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9.5" customHeight="1" x14ac:dyDescent="0.25">
      <c r="A178" s="6"/>
      <c r="B178" s="6"/>
      <c r="C178" s="10"/>
      <c r="D178" s="10"/>
      <c r="E178" s="10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9.5" customHeight="1" x14ac:dyDescent="0.25">
      <c r="A179" s="6"/>
      <c r="B179" s="6"/>
      <c r="C179" s="10"/>
      <c r="D179" s="10"/>
      <c r="E179" s="10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9.5" customHeight="1" x14ac:dyDescent="0.25">
      <c r="A180" s="6"/>
      <c r="B180" s="6"/>
      <c r="C180" s="10"/>
      <c r="D180" s="10"/>
      <c r="E180" s="10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9.5" customHeight="1" x14ac:dyDescent="0.25">
      <c r="A181" s="6"/>
      <c r="B181" s="6"/>
      <c r="C181" s="10"/>
      <c r="D181" s="10"/>
      <c r="E181" s="10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9.5" customHeight="1" x14ac:dyDescent="0.25">
      <c r="A182" s="6"/>
      <c r="B182" s="6"/>
      <c r="C182" s="10"/>
      <c r="D182" s="10"/>
      <c r="E182" s="10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9.5" customHeight="1" x14ac:dyDescent="0.25">
      <c r="A183" s="6"/>
      <c r="B183" s="6"/>
      <c r="C183" s="10"/>
      <c r="D183" s="10"/>
      <c r="E183" s="10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9.5" customHeight="1" x14ac:dyDescent="0.25">
      <c r="A184" s="6"/>
      <c r="B184" s="6"/>
      <c r="C184" s="10"/>
      <c r="D184" s="10"/>
      <c r="E184" s="10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9.5" customHeight="1" x14ac:dyDescent="0.25">
      <c r="A185" s="6"/>
      <c r="B185" s="6"/>
      <c r="C185" s="10"/>
      <c r="D185" s="10"/>
      <c r="E185" s="10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9.5" customHeight="1" x14ac:dyDescent="0.25">
      <c r="A186" s="6"/>
      <c r="B186" s="6"/>
      <c r="C186" s="10"/>
      <c r="D186" s="10"/>
      <c r="E186" s="10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9.5" customHeight="1" x14ac:dyDescent="0.25">
      <c r="A187" s="6"/>
      <c r="B187" s="6"/>
      <c r="C187" s="10"/>
      <c r="D187" s="10"/>
      <c r="E187" s="10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9.5" customHeight="1" x14ac:dyDescent="0.25">
      <c r="A188" s="6"/>
      <c r="B188" s="6"/>
      <c r="C188" s="10"/>
      <c r="D188" s="10"/>
      <c r="E188" s="10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9.5" customHeight="1" x14ac:dyDescent="0.25">
      <c r="A189" s="6"/>
      <c r="B189" s="6"/>
      <c r="C189" s="10"/>
      <c r="D189" s="10"/>
      <c r="E189" s="10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9.5" customHeight="1" x14ac:dyDescent="0.25">
      <c r="A190" s="6"/>
      <c r="B190" s="6"/>
      <c r="C190" s="10"/>
      <c r="D190" s="10"/>
      <c r="E190" s="10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9.5" customHeight="1" x14ac:dyDescent="0.25">
      <c r="A191" s="6"/>
      <c r="B191" s="6"/>
      <c r="C191" s="10"/>
      <c r="D191" s="10"/>
      <c r="E191" s="10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9.5" customHeight="1" x14ac:dyDescent="0.25">
      <c r="A192" s="6"/>
      <c r="B192" s="6"/>
      <c r="C192" s="10"/>
      <c r="D192" s="10"/>
      <c r="E192" s="10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9.5" customHeight="1" x14ac:dyDescent="0.25">
      <c r="A193" s="6"/>
      <c r="B193" s="6"/>
      <c r="C193" s="10"/>
      <c r="D193" s="10"/>
      <c r="E193" s="10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9.5" customHeight="1" x14ac:dyDescent="0.25">
      <c r="A194" s="6"/>
      <c r="B194" s="6"/>
      <c r="C194" s="10"/>
      <c r="D194" s="10"/>
      <c r="E194" s="10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9.5" customHeight="1" x14ac:dyDescent="0.25">
      <c r="A195" s="6"/>
      <c r="B195" s="6"/>
      <c r="C195" s="10"/>
      <c r="D195" s="10"/>
      <c r="E195" s="10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9.5" customHeight="1" x14ac:dyDescent="0.25">
      <c r="A196" s="6"/>
      <c r="B196" s="6"/>
      <c r="C196" s="10"/>
      <c r="D196" s="10"/>
      <c r="E196" s="10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9.5" customHeight="1" x14ac:dyDescent="0.25">
      <c r="A197" s="6"/>
      <c r="B197" s="6"/>
      <c r="C197" s="10"/>
      <c r="D197" s="10"/>
      <c r="E197" s="10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9.5" customHeight="1" x14ac:dyDescent="0.25">
      <c r="A198" s="6"/>
      <c r="B198" s="6"/>
      <c r="C198" s="10"/>
      <c r="D198" s="10"/>
      <c r="E198" s="10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9.5" customHeight="1" x14ac:dyDescent="0.25">
      <c r="A199" s="6"/>
      <c r="B199" s="6"/>
      <c r="C199" s="10"/>
      <c r="D199" s="10"/>
      <c r="E199" s="10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9.5" customHeight="1" x14ac:dyDescent="0.25">
      <c r="A200" s="6"/>
      <c r="B200" s="6"/>
      <c r="C200" s="10"/>
      <c r="D200" s="10"/>
      <c r="E200" s="10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9.5" customHeight="1" x14ac:dyDescent="0.25">
      <c r="A201" s="6"/>
      <c r="B201" s="6"/>
      <c r="C201" s="10"/>
      <c r="D201" s="10"/>
      <c r="E201" s="10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9.5" customHeight="1" x14ac:dyDescent="0.25">
      <c r="A202" s="6"/>
      <c r="B202" s="6"/>
      <c r="C202" s="10"/>
      <c r="D202" s="10"/>
      <c r="E202" s="10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9.5" customHeight="1" x14ac:dyDescent="0.25">
      <c r="A203" s="6"/>
      <c r="B203" s="6"/>
      <c r="C203" s="10"/>
      <c r="D203" s="10"/>
      <c r="E203" s="10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9.5" customHeight="1" x14ac:dyDescent="0.25">
      <c r="A204" s="6"/>
      <c r="B204" s="6"/>
      <c r="C204" s="10"/>
      <c r="D204" s="10"/>
      <c r="E204" s="10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9.5" customHeight="1" x14ac:dyDescent="0.25">
      <c r="A205" s="6"/>
      <c r="B205" s="6"/>
      <c r="C205" s="10"/>
      <c r="D205" s="10"/>
      <c r="E205" s="10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9.5" customHeight="1" x14ac:dyDescent="0.25">
      <c r="A206" s="6"/>
      <c r="B206" s="6"/>
      <c r="C206" s="10"/>
      <c r="D206" s="10"/>
      <c r="E206" s="10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9.5" customHeight="1" x14ac:dyDescent="0.25">
      <c r="A207" s="6"/>
      <c r="B207" s="6"/>
      <c r="C207" s="10"/>
      <c r="D207" s="10"/>
      <c r="E207" s="10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9.5" customHeight="1" x14ac:dyDescent="0.25">
      <c r="A208" s="6"/>
      <c r="B208" s="6"/>
      <c r="C208" s="10"/>
      <c r="D208" s="10"/>
      <c r="E208" s="10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9.5" customHeight="1" x14ac:dyDescent="0.25">
      <c r="A209" s="6"/>
      <c r="B209" s="6"/>
      <c r="C209" s="10"/>
      <c r="D209" s="10"/>
      <c r="E209" s="10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9.5" customHeight="1" x14ac:dyDescent="0.25">
      <c r="A210" s="6"/>
      <c r="B210" s="6"/>
      <c r="C210" s="10"/>
      <c r="D210" s="10"/>
      <c r="E210" s="10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9.5" customHeight="1" x14ac:dyDescent="0.25">
      <c r="A211" s="6"/>
      <c r="B211" s="6"/>
      <c r="C211" s="10"/>
      <c r="D211" s="10"/>
      <c r="E211" s="10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9.5" customHeight="1" x14ac:dyDescent="0.25">
      <c r="A212" s="6"/>
      <c r="B212" s="6"/>
      <c r="C212" s="10"/>
      <c r="D212" s="10"/>
      <c r="E212" s="10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9.5" customHeight="1" x14ac:dyDescent="0.25">
      <c r="A213" s="6"/>
      <c r="B213" s="6"/>
      <c r="C213" s="10"/>
      <c r="D213" s="10"/>
      <c r="E213" s="10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9.5" customHeight="1" x14ac:dyDescent="0.25">
      <c r="A214" s="6"/>
      <c r="B214" s="6"/>
      <c r="C214" s="10"/>
      <c r="D214" s="10"/>
      <c r="E214" s="10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9.5" customHeight="1" x14ac:dyDescent="0.25">
      <c r="A215" s="6"/>
      <c r="B215" s="6"/>
      <c r="C215" s="10"/>
      <c r="D215" s="10"/>
      <c r="E215" s="10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9.5" customHeight="1" x14ac:dyDescent="0.25">
      <c r="A216" s="6"/>
      <c r="B216" s="6"/>
      <c r="C216" s="10"/>
      <c r="D216" s="10"/>
      <c r="E216" s="10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9.5" customHeight="1" x14ac:dyDescent="0.25">
      <c r="A217" s="6"/>
      <c r="B217" s="6"/>
      <c r="C217" s="10"/>
      <c r="D217" s="10"/>
      <c r="E217" s="10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9.5" customHeight="1" x14ac:dyDescent="0.25">
      <c r="A218" s="6"/>
      <c r="B218" s="6"/>
      <c r="C218" s="10"/>
      <c r="D218" s="10"/>
      <c r="E218" s="10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9.5" customHeight="1" x14ac:dyDescent="0.25">
      <c r="A219" s="6"/>
      <c r="B219" s="6"/>
      <c r="C219" s="10"/>
      <c r="D219" s="10"/>
      <c r="E219" s="10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9.5" customHeight="1" x14ac:dyDescent="0.25">
      <c r="A220" s="6"/>
      <c r="B220" s="6"/>
      <c r="C220" s="10"/>
      <c r="D220" s="10"/>
      <c r="E220" s="10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9.5" customHeight="1" x14ac:dyDescent="0.25">
      <c r="A221" s="6"/>
      <c r="B221" s="6"/>
      <c r="C221" s="10"/>
      <c r="D221" s="10"/>
      <c r="E221" s="10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19.5" customHeight="1" x14ac:dyDescent="0.25">
      <c r="A222" s="6"/>
      <c r="B222" s="6"/>
      <c r="C222" s="10"/>
      <c r="D222" s="10"/>
      <c r="E222" s="10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19.5" customHeight="1" x14ac:dyDescent="0.25">
      <c r="A223" s="6"/>
      <c r="B223" s="6"/>
      <c r="C223" s="10"/>
      <c r="D223" s="10"/>
      <c r="E223" s="10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9.5" customHeight="1" x14ac:dyDescent="0.25">
      <c r="A224" s="6"/>
      <c r="B224" s="6"/>
      <c r="C224" s="10"/>
      <c r="D224" s="10"/>
      <c r="E224" s="10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9.5" customHeight="1" x14ac:dyDescent="0.25">
      <c r="A225" s="6"/>
      <c r="B225" s="6"/>
      <c r="C225" s="10"/>
      <c r="D225" s="10"/>
      <c r="E225" s="10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9.5" customHeight="1" x14ac:dyDescent="0.25">
      <c r="A226" s="6"/>
      <c r="B226" s="6"/>
      <c r="C226" s="10"/>
      <c r="D226" s="10"/>
      <c r="E226" s="10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19.5" customHeight="1" x14ac:dyDescent="0.25">
      <c r="A227" s="6"/>
      <c r="B227" s="6"/>
      <c r="C227" s="10"/>
      <c r="D227" s="10"/>
      <c r="E227" s="10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19.5" customHeight="1" x14ac:dyDescent="0.25">
      <c r="A228" s="6"/>
      <c r="B228" s="6"/>
      <c r="C228" s="10"/>
      <c r="D228" s="10"/>
      <c r="E228" s="10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19.5" customHeight="1" x14ac:dyDescent="0.25">
      <c r="A229" s="6"/>
      <c r="B229" s="6"/>
      <c r="C229" s="10"/>
      <c r="D229" s="10"/>
      <c r="E229" s="10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19.5" customHeight="1" x14ac:dyDescent="0.25">
      <c r="A230" s="6"/>
      <c r="B230" s="6"/>
      <c r="C230" s="10"/>
      <c r="D230" s="10"/>
      <c r="E230" s="10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19.5" customHeight="1" x14ac:dyDescent="0.25">
      <c r="A231" s="6"/>
      <c r="B231" s="6"/>
      <c r="C231" s="10"/>
      <c r="D231" s="10"/>
      <c r="E231" s="10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19.5" customHeight="1" x14ac:dyDescent="0.25">
      <c r="A232" s="6"/>
      <c r="B232" s="6"/>
      <c r="C232" s="10"/>
      <c r="D232" s="10"/>
      <c r="E232" s="10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9.5" customHeight="1" x14ac:dyDescent="0.25">
      <c r="A233" s="6"/>
      <c r="B233" s="6"/>
      <c r="C233" s="10"/>
      <c r="D233" s="10"/>
      <c r="E233" s="10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9.5" customHeight="1" x14ac:dyDescent="0.25">
      <c r="A234" s="6"/>
      <c r="B234" s="6"/>
      <c r="C234" s="10"/>
      <c r="D234" s="10"/>
      <c r="E234" s="10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19.5" customHeight="1" x14ac:dyDescent="0.25">
      <c r="A235" s="6"/>
      <c r="B235" s="6"/>
      <c r="C235" s="10"/>
      <c r="D235" s="10"/>
      <c r="E235" s="10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19.5" customHeight="1" x14ac:dyDescent="0.25">
      <c r="A236" s="6"/>
      <c r="B236" s="6"/>
      <c r="C236" s="10"/>
      <c r="D236" s="10"/>
      <c r="E236" s="10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19.5" customHeight="1" x14ac:dyDescent="0.25">
      <c r="A237" s="6"/>
      <c r="B237" s="6"/>
      <c r="C237" s="10"/>
      <c r="D237" s="10"/>
      <c r="E237" s="10"/>
      <c r="F237" s="6"/>
      <c r="G237" s="6"/>
      <c r="H237" s="6"/>
      <c r="I237" s="6"/>
      <c r="J237" s="6"/>
      <c r="K237" s="6"/>
      <c r="L237" s="6"/>
      <c r="M237" s="6"/>
      <c r="N237" s="6"/>
    </row>
    <row r="238" spans="1:14" ht="19.5" customHeight="1" x14ac:dyDescent="0.25">
      <c r="A238" s="6"/>
      <c r="B238" s="6"/>
      <c r="C238" s="10"/>
      <c r="D238" s="10"/>
      <c r="E238" s="10"/>
      <c r="F238" s="6"/>
      <c r="G238" s="6"/>
      <c r="H238" s="6"/>
      <c r="I238" s="6"/>
      <c r="J238" s="6"/>
      <c r="K238" s="6"/>
      <c r="L238" s="6"/>
      <c r="M238" s="6"/>
      <c r="N238" s="6"/>
    </row>
    <row r="239" spans="1:14" ht="19.5" customHeight="1" x14ac:dyDescent="0.25">
      <c r="A239" s="6"/>
      <c r="B239" s="6"/>
      <c r="C239" s="10"/>
      <c r="D239" s="10"/>
      <c r="E239" s="10"/>
      <c r="F239" s="6"/>
      <c r="G239" s="6"/>
      <c r="H239" s="6"/>
      <c r="I239" s="6"/>
      <c r="J239" s="6"/>
      <c r="K239" s="6"/>
      <c r="L239" s="6"/>
      <c r="M239" s="6"/>
      <c r="N239" s="6"/>
    </row>
    <row r="240" spans="1:14" ht="19.5" customHeight="1" x14ac:dyDescent="0.25">
      <c r="A240" s="6"/>
      <c r="B240" s="6"/>
      <c r="C240" s="10"/>
      <c r="D240" s="10"/>
      <c r="E240" s="10"/>
      <c r="F240" s="6"/>
      <c r="G240" s="6"/>
      <c r="H240" s="6"/>
      <c r="I240" s="6"/>
      <c r="J240" s="6"/>
      <c r="K240" s="6"/>
      <c r="L240" s="6"/>
      <c r="M240" s="6"/>
      <c r="N240" s="6"/>
    </row>
    <row r="241" spans="1:14" ht="19.5" customHeight="1" x14ac:dyDescent="0.25">
      <c r="A241" s="6"/>
      <c r="B241" s="6"/>
      <c r="C241" s="10"/>
      <c r="D241" s="10"/>
      <c r="E241" s="10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9.5" customHeight="1" x14ac:dyDescent="0.25">
      <c r="A242" s="6"/>
      <c r="B242" s="6"/>
      <c r="C242" s="10"/>
      <c r="D242" s="10"/>
      <c r="E242" s="10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9.5" customHeight="1" x14ac:dyDescent="0.25">
      <c r="A243" s="6"/>
      <c r="B243" s="6"/>
      <c r="C243" s="10"/>
      <c r="D243" s="10"/>
      <c r="E243" s="10"/>
      <c r="F243" s="6"/>
      <c r="G243" s="6"/>
      <c r="H243" s="6"/>
      <c r="I243" s="6"/>
      <c r="J243" s="6"/>
      <c r="K243" s="6"/>
      <c r="L243" s="6"/>
      <c r="M243" s="6"/>
      <c r="N243" s="6"/>
    </row>
    <row r="244" spans="1:14" ht="19.5" customHeight="1" x14ac:dyDescent="0.25">
      <c r="A244" s="6"/>
      <c r="B244" s="6"/>
      <c r="C244" s="10"/>
      <c r="D244" s="10"/>
      <c r="E244" s="10"/>
      <c r="F244" s="6"/>
      <c r="G244" s="6"/>
      <c r="H244" s="6"/>
      <c r="I244" s="6"/>
      <c r="J244" s="6"/>
      <c r="K244" s="6"/>
      <c r="L244" s="6"/>
      <c r="M244" s="6"/>
      <c r="N244" s="6"/>
    </row>
    <row r="245" spans="1:14" ht="19.5" customHeight="1" x14ac:dyDescent="0.25">
      <c r="A245" s="6"/>
      <c r="B245" s="6"/>
      <c r="C245" s="10"/>
      <c r="D245" s="10"/>
      <c r="E245" s="10"/>
      <c r="F245" s="6"/>
      <c r="G245" s="6"/>
      <c r="H245" s="6"/>
      <c r="I245" s="6"/>
      <c r="J245" s="6"/>
      <c r="K245" s="6"/>
      <c r="L245" s="6"/>
      <c r="M245" s="6"/>
      <c r="N245" s="6"/>
    </row>
    <row r="246" spans="1:14" ht="19.5" customHeight="1" x14ac:dyDescent="0.25">
      <c r="A246" s="6"/>
      <c r="B246" s="6"/>
      <c r="C246" s="10"/>
      <c r="D246" s="10"/>
      <c r="E246" s="10"/>
      <c r="F246" s="6"/>
      <c r="G246" s="6"/>
      <c r="H246" s="6"/>
      <c r="I246" s="6"/>
      <c r="J246" s="6"/>
      <c r="K246" s="6"/>
      <c r="L246" s="6"/>
      <c r="M246" s="6"/>
      <c r="N246" s="6"/>
    </row>
    <row r="247" spans="1:14" ht="19.5" customHeight="1" x14ac:dyDescent="0.25">
      <c r="A247" s="6"/>
      <c r="B247" s="6"/>
      <c r="C247" s="10"/>
      <c r="D247" s="10"/>
      <c r="E247" s="10"/>
      <c r="F247" s="6"/>
      <c r="G247" s="6"/>
      <c r="H247" s="6"/>
      <c r="I247" s="6"/>
      <c r="J247" s="6"/>
      <c r="K247" s="6"/>
      <c r="L247" s="6"/>
      <c r="M247" s="6"/>
      <c r="N247" s="6"/>
    </row>
    <row r="248" spans="1:14" ht="19.5" customHeight="1" x14ac:dyDescent="0.25">
      <c r="A248" s="6"/>
      <c r="B248" s="6"/>
      <c r="C248" s="10"/>
      <c r="D248" s="10"/>
      <c r="E248" s="10"/>
      <c r="F248" s="6"/>
      <c r="G248" s="6"/>
      <c r="H248" s="6"/>
      <c r="I248" s="6"/>
      <c r="J248" s="6"/>
      <c r="K248" s="6"/>
      <c r="L248" s="6"/>
      <c r="M248" s="6"/>
      <c r="N248" s="6"/>
    </row>
    <row r="249" spans="1:14" ht="19.5" customHeight="1" x14ac:dyDescent="0.25">
      <c r="A249" s="6"/>
      <c r="B249" s="6"/>
      <c r="C249" s="10"/>
      <c r="D249" s="10"/>
      <c r="E249" s="10"/>
      <c r="F249" s="6"/>
      <c r="G249" s="6"/>
      <c r="H249" s="6"/>
      <c r="I249" s="6"/>
      <c r="J249" s="6"/>
      <c r="K249" s="6"/>
      <c r="L249" s="6"/>
      <c r="M249" s="6"/>
      <c r="N249" s="6"/>
    </row>
    <row r="250" spans="1:14" ht="19.5" customHeight="1" x14ac:dyDescent="0.25">
      <c r="A250" s="6"/>
      <c r="B250" s="6"/>
      <c r="C250" s="10"/>
      <c r="D250" s="10"/>
      <c r="E250" s="10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9.5" customHeight="1" x14ac:dyDescent="0.25">
      <c r="A251" s="6"/>
      <c r="B251" s="6"/>
      <c r="C251" s="10"/>
      <c r="D251" s="10"/>
      <c r="E251" s="10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9.5" customHeight="1" x14ac:dyDescent="0.25">
      <c r="A252" s="6"/>
      <c r="B252" s="6"/>
      <c r="C252" s="10"/>
      <c r="D252" s="10"/>
      <c r="E252" s="10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19.5" customHeight="1" x14ac:dyDescent="0.25">
      <c r="A253" s="6"/>
      <c r="B253" s="6"/>
      <c r="C253" s="10"/>
      <c r="D253" s="10"/>
      <c r="E253" s="10"/>
      <c r="F253" s="6"/>
      <c r="G253" s="6"/>
      <c r="H253" s="6"/>
      <c r="I253" s="6"/>
      <c r="J253" s="6"/>
      <c r="K253" s="6"/>
      <c r="L253" s="6"/>
      <c r="M253" s="6"/>
      <c r="N253" s="6"/>
    </row>
    <row r="254" spans="1:14" ht="19.5" customHeight="1" x14ac:dyDescent="0.25">
      <c r="A254" s="6"/>
      <c r="B254" s="6"/>
      <c r="C254" s="10"/>
      <c r="D254" s="10"/>
      <c r="E254" s="10"/>
      <c r="F254" s="6"/>
      <c r="G254" s="6"/>
      <c r="H254" s="6"/>
      <c r="I254" s="6"/>
      <c r="J254" s="6"/>
      <c r="K254" s="6"/>
      <c r="L254" s="6"/>
      <c r="M254" s="6"/>
      <c r="N254" s="6"/>
    </row>
    <row r="255" spans="1:14" ht="19.5" customHeight="1" x14ac:dyDescent="0.25">
      <c r="A255" s="6"/>
      <c r="B255" s="6"/>
      <c r="C255" s="10"/>
      <c r="D255" s="10"/>
      <c r="E255" s="10"/>
      <c r="F255" s="6"/>
      <c r="G255" s="6"/>
      <c r="H255" s="6"/>
      <c r="I255" s="6"/>
      <c r="J255" s="6"/>
      <c r="K255" s="6"/>
      <c r="L255" s="6"/>
      <c r="M255" s="6"/>
      <c r="N255" s="6"/>
    </row>
    <row r="256" spans="1:14" ht="19.5" customHeight="1" x14ac:dyDescent="0.25">
      <c r="A256" s="6"/>
      <c r="B256" s="6"/>
      <c r="C256" s="10"/>
      <c r="D256" s="10"/>
      <c r="E256" s="10"/>
      <c r="F256" s="6"/>
      <c r="G256" s="6"/>
      <c r="H256" s="6"/>
      <c r="I256" s="6"/>
      <c r="J256" s="6"/>
      <c r="K256" s="6"/>
      <c r="L256" s="6"/>
      <c r="M256" s="6"/>
      <c r="N256" s="6"/>
    </row>
    <row r="257" spans="1:14" ht="19.5" customHeight="1" x14ac:dyDescent="0.25">
      <c r="A257" s="6"/>
      <c r="B257" s="6"/>
      <c r="C257" s="10"/>
      <c r="D257" s="10"/>
      <c r="E257" s="10"/>
      <c r="F257" s="6"/>
      <c r="G257" s="6"/>
      <c r="H257" s="6"/>
      <c r="I257" s="6"/>
      <c r="J257" s="6"/>
      <c r="K257" s="6"/>
      <c r="L257" s="6"/>
      <c r="M257" s="6"/>
      <c r="N257" s="6"/>
    </row>
    <row r="258" spans="1:14" ht="19.5" customHeight="1" x14ac:dyDescent="0.25">
      <c r="A258" s="6"/>
      <c r="B258" s="6"/>
      <c r="C258" s="10"/>
      <c r="D258" s="10"/>
      <c r="E258" s="10"/>
      <c r="F258" s="6"/>
      <c r="G258" s="6"/>
      <c r="H258" s="6"/>
      <c r="I258" s="6"/>
      <c r="J258" s="6"/>
      <c r="K258" s="6"/>
      <c r="L258" s="6"/>
      <c r="M258" s="6"/>
      <c r="N258" s="6"/>
    </row>
    <row r="259" spans="1:14" ht="19.5" customHeight="1" x14ac:dyDescent="0.25">
      <c r="A259" s="6"/>
      <c r="B259" s="6"/>
      <c r="C259" s="10"/>
      <c r="D259" s="10"/>
      <c r="E259" s="10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9.5" customHeight="1" x14ac:dyDescent="0.25">
      <c r="A260" s="6"/>
      <c r="B260" s="6"/>
      <c r="C260" s="10"/>
      <c r="D260" s="10"/>
      <c r="E260" s="10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9.5" customHeight="1" x14ac:dyDescent="0.25">
      <c r="A261" s="6"/>
      <c r="B261" s="6"/>
      <c r="C261" s="10"/>
      <c r="D261" s="10"/>
      <c r="E261" s="10"/>
      <c r="F261" s="6"/>
      <c r="G261" s="6"/>
      <c r="H261" s="6"/>
      <c r="I261" s="6"/>
      <c r="J261" s="6"/>
      <c r="K261" s="6"/>
      <c r="L261" s="6"/>
      <c r="M261" s="6"/>
      <c r="N261" s="6"/>
    </row>
    <row r="262" spans="1:14" ht="19.5" customHeight="1" x14ac:dyDescent="0.25">
      <c r="A262" s="6"/>
      <c r="B262" s="6"/>
      <c r="C262" s="10"/>
      <c r="D262" s="10"/>
      <c r="E262" s="10"/>
      <c r="F262" s="6"/>
      <c r="G262" s="6"/>
      <c r="H262" s="6"/>
      <c r="I262" s="6"/>
      <c r="J262" s="6"/>
      <c r="K262" s="6"/>
      <c r="L262" s="6"/>
      <c r="M262" s="6"/>
      <c r="N262" s="6"/>
    </row>
    <row r="263" spans="1:14" ht="19.5" customHeight="1" x14ac:dyDescent="0.25">
      <c r="A263" s="6"/>
      <c r="B263" s="6"/>
      <c r="C263" s="10"/>
      <c r="D263" s="10"/>
      <c r="E263" s="10"/>
      <c r="F263" s="6"/>
      <c r="G263" s="6"/>
      <c r="H263" s="6"/>
      <c r="I263" s="6"/>
      <c r="J263" s="6"/>
      <c r="K263" s="6"/>
      <c r="L263" s="6"/>
      <c r="M263" s="6"/>
      <c r="N263" s="6"/>
    </row>
    <row r="264" spans="1:14" ht="19.5" customHeight="1" x14ac:dyDescent="0.25">
      <c r="A264" s="6"/>
      <c r="B264" s="6"/>
      <c r="C264" s="10"/>
      <c r="D264" s="10"/>
      <c r="E264" s="10"/>
      <c r="F264" s="6"/>
      <c r="G264" s="6"/>
      <c r="H264" s="6"/>
      <c r="I264" s="6"/>
      <c r="J264" s="6"/>
      <c r="K264" s="6"/>
      <c r="L264" s="6"/>
      <c r="M264" s="6"/>
      <c r="N264" s="6"/>
    </row>
    <row r="265" spans="1:14" ht="19.5" customHeight="1" x14ac:dyDescent="0.25">
      <c r="A265" s="6"/>
      <c r="B265" s="6"/>
      <c r="C265" s="10"/>
      <c r="D265" s="10"/>
      <c r="E265" s="10"/>
      <c r="F265" s="6"/>
      <c r="G265" s="6"/>
      <c r="H265" s="6"/>
      <c r="I265" s="6"/>
      <c r="J265" s="6"/>
      <c r="K265" s="6"/>
      <c r="L265" s="6"/>
      <c r="M265" s="6"/>
      <c r="N265" s="6"/>
    </row>
    <row r="266" spans="1:14" ht="19.5" customHeight="1" x14ac:dyDescent="0.25">
      <c r="A266" s="6"/>
      <c r="B266" s="6"/>
      <c r="C266" s="10"/>
      <c r="D266" s="10"/>
      <c r="E266" s="10"/>
      <c r="F266" s="6"/>
      <c r="G266" s="6"/>
      <c r="H266" s="6"/>
      <c r="I266" s="6"/>
      <c r="J266" s="6"/>
      <c r="K266" s="6"/>
      <c r="L266" s="6"/>
      <c r="M266" s="6"/>
      <c r="N266" s="6"/>
    </row>
    <row r="267" spans="1:14" ht="19.5" customHeight="1" x14ac:dyDescent="0.25">
      <c r="A267" s="6"/>
      <c r="B267" s="6"/>
      <c r="C267" s="10"/>
      <c r="D267" s="10"/>
      <c r="E267" s="10"/>
      <c r="F267" s="6"/>
      <c r="G267" s="6"/>
      <c r="H267" s="6"/>
      <c r="I267" s="6"/>
      <c r="J267" s="6"/>
      <c r="K267" s="6"/>
      <c r="L267" s="6"/>
      <c r="M267" s="6"/>
      <c r="N267" s="6"/>
    </row>
    <row r="268" spans="1:14" ht="19.5" customHeight="1" x14ac:dyDescent="0.25">
      <c r="A268" s="6"/>
      <c r="B268" s="6"/>
      <c r="C268" s="10"/>
      <c r="D268" s="10"/>
      <c r="E268" s="10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9.5" customHeight="1" x14ac:dyDescent="0.25">
      <c r="A269" s="6"/>
      <c r="B269" s="6"/>
      <c r="C269" s="10"/>
      <c r="D269" s="10"/>
      <c r="E269" s="10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9.5" customHeight="1" x14ac:dyDescent="0.25">
      <c r="A270" s="6"/>
      <c r="B270" s="6"/>
      <c r="C270" s="10"/>
      <c r="D270" s="10"/>
      <c r="E270" s="10"/>
      <c r="F270" s="6"/>
      <c r="G270" s="6"/>
      <c r="H270" s="6"/>
      <c r="I270" s="6"/>
      <c r="J270" s="6"/>
      <c r="K270" s="6"/>
      <c r="L270" s="6"/>
      <c r="M270" s="6"/>
      <c r="N270" s="6"/>
    </row>
    <row r="271" spans="1:14" ht="19.5" customHeight="1" x14ac:dyDescent="0.25">
      <c r="A271" s="6"/>
      <c r="B271" s="6"/>
      <c r="C271" s="10"/>
      <c r="D271" s="10"/>
      <c r="E271" s="10"/>
      <c r="F271" s="6"/>
      <c r="G271" s="6"/>
      <c r="H271" s="6"/>
      <c r="I271" s="6"/>
      <c r="J271" s="6"/>
      <c r="K271" s="6"/>
      <c r="L271" s="6"/>
      <c r="M271" s="6"/>
      <c r="N271" s="6"/>
    </row>
    <row r="272" spans="1:14" ht="19.5" customHeight="1" x14ac:dyDescent="0.25">
      <c r="A272" s="6"/>
      <c r="B272" s="6"/>
      <c r="C272" s="10"/>
      <c r="D272" s="10"/>
      <c r="E272" s="10"/>
      <c r="F272" s="6"/>
      <c r="G272" s="6"/>
      <c r="H272" s="6"/>
      <c r="I272" s="6"/>
      <c r="J272" s="6"/>
      <c r="K272" s="6"/>
      <c r="L272" s="6"/>
      <c r="M272" s="6"/>
      <c r="N272" s="6"/>
    </row>
    <row r="273" spans="1:14" ht="19.5" customHeight="1" x14ac:dyDescent="0.25">
      <c r="A273" s="6"/>
      <c r="B273" s="6"/>
      <c r="C273" s="10"/>
      <c r="D273" s="10"/>
      <c r="E273" s="10"/>
      <c r="F273" s="6"/>
      <c r="G273" s="6"/>
      <c r="H273" s="6"/>
      <c r="I273" s="6"/>
      <c r="J273" s="6"/>
      <c r="K273" s="6"/>
      <c r="L273" s="6"/>
      <c r="M273" s="6"/>
      <c r="N273" s="6"/>
    </row>
    <row r="274" spans="1:14" ht="19.5" customHeight="1" x14ac:dyDescent="0.25">
      <c r="A274" s="6"/>
      <c r="B274" s="6"/>
      <c r="C274" s="10"/>
      <c r="D274" s="10"/>
      <c r="E274" s="10"/>
      <c r="F274" s="6"/>
      <c r="G274" s="6"/>
      <c r="H274" s="6"/>
      <c r="I274" s="6"/>
      <c r="J274" s="6"/>
      <c r="K274" s="6"/>
      <c r="L274" s="6"/>
      <c r="M274" s="6"/>
      <c r="N274" s="6"/>
    </row>
    <row r="275" spans="1:14" ht="19.5" customHeight="1" x14ac:dyDescent="0.25">
      <c r="A275" s="6"/>
      <c r="B275" s="6"/>
      <c r="C275" s="10"/>
      <c r="D275" s="10"/>
      <c r="E275" s="10"/>
      <c r="F275" s="6"/>
      <c r="G275" s="6"/>
      <c r="H275" s="6"/>
      <c r="I275" s="6"/>
      <c r="J275" s="6"/>
      <c r="K275" s="6"/>
      <c r="L275" s="6"/>
      <c r="M275" s="6"/>
      <c r="N275" s="6"/>
    </row>
    <row r="276" spans="1:14" ht="19.5" customHeight="1" x14ac:dyDescent="0.25">
      <c r="A276" s="6"/>
      <c r="B276" s="6"/>
      <c r="C276" s="10"/>
      <c r="D276" s="10"/>
      <c r="E276" s="10"/>
      <c r="F276" s="6"/>
      <c r="G276" s="6"/>
      <c r="H276" s="6"/>
      <c r="I276" s="6"/>
      <c r="J276" s="6"/>
      <c r="K276" s="6"/>
      <c r="L276" s="6"/>
      <c r="M276" s="6"/>
      <c r="N276" s="6"/>
    </row>
    <row r="277" spans="1:14" ht="19.5" customHeight="1" x14ac:dyDescent="0.25">
      <c r="A277" s="6"/>
      <c r="B277" s="6"/>
      <c r="C277" s="10"/>
      <c r="D277" s="10"/>
      <c r="E277" s="10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9.5" customHeight="1" x14ac:dyDescent="0.25">
      <c r="A278" s="6"/>
      <c r="B278" s="6"/>
      <c r="C278" s="10"/>
      <c r="D278" s="10"/>
      <c r="E278" s="10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9.5" customHeight="1" x14ac:dyDescent="0.25">
      <c r="A279" s="6"/>
      <c r="B279" s="6"/>
      <c r="C279" s="10"/>
      <c r="D279" s="10"/>
      <c r="E279" s="10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19.5" customHeight="1" x14ac:dyDescent="0.25">
      <c r="A280" s="6"/>
      <c r="B280" s="6"/>
      <c r="C280" s="10"/>
      <c r="D280" s="10"/>
      <c r="E280" s="10"/>
      <c r="F280" s="6"/>
      <c r="G280" s="6"/>
      <c r="H280" s="6"/>
      <c r="I280" s="6"/>
      <c r="J280" s="6"/>
      <c r="K280" s="6"/>
      <c r="L280" s="6"/>
      <c r="M280" s="6"/>
      <c r="N280" s="6"/>
    </row>
    <row r="281" spans="1:14" ht="19.5" customHeight="1" x14ac:dyDescent="0.25">
      <c r="A281" s="6"/>
      <c r="B281" s="6"/>
      <c r="C281" s="10"/>
      <c r="D281" s="10"/>
      <c r="E281" s="10"/>
      <c r="F281" s="6"/>
      <c r="G281" s="6"/>
      <c r="H281" s="6"/>
      <c r="I281" s="6"/>
      <c r="J281" s="6"/>
      <c r="K281" s="6"/>
      <c r="L281" s="6"/>
      <c r="M281" s="6"/>
      <c r="N281" s="6"/>
    </row>
    <row r="282" spans="1:14" ht="19.5" customHeight="1" x14ac:dyDescent="0.25">
      <c r="A282" s="6"/>
      <c r="B282" s="6"/>
      <c r="C282" s="10"/>
      <c r="D282" s="10"/>
      <c r="E282" s="10"/>
      <c r="F282" s="6"/>
      <c r="G282" s="6"/>
      <c r="H282" s="6"/>
      <c r="I282" s="6"/>
      <c r="J282" s="6"/>
      <c r="K282" s="6"/>
      <c r="L282" s="6"/>
      <c r="M282" s="6"/>
      <c r="N282" s="6"/>
    </row>
    <row r="283" spans="1:14" ht="19.5" customHeight="1" x14ac:dyDescent="0.25">
      <c r="A283" s="6"/>
      <c r="B283" s="6"/>
      <c r="C283" s="10"/>
      <c r="D283" s="10"/>
      <c r="E283" s="10"/>
      <c r="F283" s="6"/>
      <c r="G283" s="6"/>
      <c r="H283" s="6"/>
      <c r="I283" s="6"/>
      <c r="J283" s="6"/>
      <c r="K283" s="6"/>
      <c r="L283" s="6"/>
      <c r="M283" s="6"/>
      <c r="N283" s="6"/>
    </row>
    <row r="284" spans="1:14" ht="19.5" customHeight="1" x14ac:dyDescent="0.25">
      <c r="A284" s="6"/>
      <c r="B284" s="6"/>
      <c r="C284" s="10"/>
      <c r="D284" s="10"/>
      <c r="E284" s="10"/>
      <c r="F284" s="6"/>
      <c r="G284" s="6"/>
      <c r="H284" s="6"/>
      <c r="I284" s="6"/>
      <c r="J284" s="6"/>
      <c r="K284" s="6"/>
      <c r="L284" s="6"/>
      <c r="M284" s="6"/>
      <c r="N284" s="6"/>
    </row>
    <row r="285" spans="1:14" ht="19.5" customHeight="1" x14ac:dyDescent="0.25">
      <c r="A285" s="6"/>
      <c r="B285" s="6"/>
      <c r="C285" s="10"/>
      <c r="D285" s="10"/>
      <c r="E285" s="10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19.5" customHeight="1" x14ac:dyDescent="0.25">
      <c r="A286" s="6"/>
      <c r="B286" s="6"/>
      <c r="C286" s="10"/>
      <c r="D286" s="10"/>
      <c r="E286" s="10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9.5" customHeight="1" x14ac:dyDescent="0.25">
      <c r="A287" s="6"/>
      <c r="B287" s="6"/>
      <c r="C287" s="10"/>
      <c r="D287" s="10"/>
      <c r="E287" s="10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9.5" customHeight="1" x14ac:dyDescent="0.25">
      <c r="A288" s="6"/>
      <c r="B288" s="6"/>
      <c r="C288" s="10"/>
      <c r="D288" s="10"/>
      <c r="E288" s="10"/>
      <c r="F288" s="6"/>
      <c r="G288" s="6"/>
      <c r="H288" s="6"/>
      <c r="I288" s="6"/>
      <c r="J288" s="6"/>
      <c r="K288" s="6"/>
      <c r="L288" s="6"/>
      <c r="M288" s="6"/>
      <c r="N288" s="6"/>
    </row>
    <row r="289" spans="1:14" ht="19.5" customHeight="1" x14ac:dyDescent="0.25">
      <c r="A289" s="6"/>
      <c r="B289" s="6"/>
      <c r="C289" s="10"/>
      <c r="D289" s="10"/>
      <c r="E289" s="10"/>
      <c r="F289" s="6"/>
      <c r="G289" s="6"/>
      <c r="H289" s="6"/>
      <c r="I289" s="6"/>
      <c r="J289" s="6"/>
      <c r="K289" s="6"/>
      <c r="L289" s="6"/>
      <c r="M289" s="6"/>
      <c r="N289" s="6"/>
    </row>
    <row r="290" spans="1:14" ht="19.5" customHeight="1" x14ac:dyDescent="0.25">
      <c r="A290" s="6"/>
      <c r="B290" s="6"/>
      <c r="C290" s="10"/>
      <c r="D290" s="10"/>
      <c r="E290" s="10"/>
      <c r="F290" s="6"/>
      <c r="G290" s="6"/>
      <c r="H290" s="6"/>
      <c r="I290" s="6"/>
      <c r="J290" s="6"/>
      <c r="K290" s="6"/>
      <c r="L290" s="6"/>
      <c r="M290" s="6"/>
      <c r="N290" s="6"/>
    </row>
    <row r="291" spans="1:14" ht="19.5" customHeight="1" x14ac:dyDescent="0.25">
      <c r="A291" s="6"/>
      <c r="B291" s="6"/>
      <c r="C291" s="10"/>
      <c r="D291" s="10"/>
      <c r="E291" s="10"/>
      <c r="F291" s="6"/>
      <c r="G291" s="6"/>
      <c r="H291" s="6"/>
      <c r="I291" s="6"/>
      <c r="J291" s="6"/>
      <c r="K291" s="6"/>
      <c r="L291" s="6"/>
      <c r="M291" s="6"/>
      <c r="N291" s="6"/>
    </row>
    <row r="292" spans="1:14" ht="19.5" customHeight="1" x14ac:dyDescent="0.25">
      <c r="A292" s="6"/>
      <c r="B292" s="6"/>
      <c r="C292" s="10"/>
      <c r="D292" s="10"/>
      <c r="E292" s="10"/>
      <c r="F292" s="6"/>
      <c r="G292" s="6"/>
      <c r="H292" s="6"/>
      <c r="I292" s="6"/>
      <c r="J292" s="6"/>
      <c r="K292" s="6"/>
      <c r="L292" s="6"/>
      <c r="M292" s="6"/>
      <c r="N292" s="6"/>
    </row>
    <row r="293" spans="1:14" ht="19.5" customHeight="1" x14ac:dyDescent="0.25">
      <c r="A293" s="6"/>
      <c r="B293" s="6"/>
      <c r="C293" s="10"/>
      <c r="D293" s="10"/>
      <c r="E293" s="10"/>
      <c r="F293" s="6"/>
      <c r="G293" s="6"/>
      <c r="H293" s="6"/>
      <c r="I293" s="6"/>
      <c r="J293" s="6"/>
      <c r="K293" s="6"/>
      <c r="L293" s="6"/>
      <c r="M293" s="6"/>
      <c r="N293" s="6"/>
    </row>
    <row r="294" spans="1:14" ht="19.5" customHeight="1" x14ac:dyDescent="0.25">
      <c r="A294" s="6"/>
      <c r="B294" s="6"/>
      <c r="C294" s="10"/>
      <c r="D294" s="10"/>
      <c r="E294" s="10"/>
      <c r="F294" s="6"/>
      <c r="G294" s="6"/>
      <c r="H294" s="6"/>
      <c r="I294" s="6"/>
      <c r="J294" s="6"/>
      <c r="K294" s="6"/>
      <c r="L294" s="6"/>
      <c r="M294" s="6"/>
      <c r="N294" s="6"/>
    </row>
    <row r="295" spans="1:14" ht="19.5" customHeight="1" x14ac:dyDescent="0.25">
      <c r="A295" s="6"/>
      <c r="B295" s="6"/>
      <c r="C295" s="10"/>
      <c r="D295" s="10"/>
      <c r="E295" s="10"/>
      <c r="F295" s="6"/>
      <c r="G295" s="6"/>
      <c r="H295" s="6"/>
      <c r="I295" s="6"/>
      <c r="J295" s="6"/>
      <c r="K295" s="6"/>
      <c r="L295" s="6"/>
      <c r="M295" s="6"/>
      <c r="N295" s="6"/>
    </row>
    <row r="296" spans="1:14" ht="19.5" customHeight="1" x14ac:dyDescent="0.25">
      <c r="A296" s="6"/>
      <c r="B296" s="6"/>
      <c r="C296" s="10"/>
      <c r="D296" s="10"/>
      <c r="E296" s="10"/>
      <c r="F296" s="6"/>
      <c r="G296" s="6"/>
      <c r="H296" s="6"/>
      <c r="I296" s="6"/>
      <c r="J296" s="6"/>
      <c r="K296" s="6"/>
      <c r="L296" s="6"/>
      <c r="M296" s="6"/>
      <c r="N296" s="6"/>
    </row>
    <row r="297" spans="1:14" ht="19.5" customHeight="1" x14ac:dyDescent="0.25">
      <c r="A297" s="6"/>
      <c r="B297" s="6"/>
      <c r="C297" s="10"/>
      <c r="D297" s="10"/>
      <c r="E297" s="10"/>
      <c r="F297" s="6"/>
      <c r="G297" s="6"/>
      <c r="H297" s="6"/>
      <c r="I297" s="6"/>
      <c r="J297" s="6"/>
      <c r="K297" s="6"/>
      <c r="L297" s="6"/>
      <c r="M297" s="6"/>
      <c r="N297" s="6"/>
    </row>
    <row r="298" spans="1:14" ht="19.5" customHeight="1" x14ac:dyDescent="0.25">
      <c r="A298" s="6"/>
      <c r="B298" s="6"/>
      <c r="C298" s="10"/>
      <c r="D298" s="10"/>
      <c r="E298" s="10"/>
      <c r="F298" s="6"/>
      <c r="G298" s="6"/>
      <c r="H298" s="6"/>
      <c r="I298" s="6"/>
      <c r="J298" s="6"/>
      <c r="K298" s="6"/>
      <c r="L298" s="6"/>
      <c r="M298" s="6"/>
      <c r="N298" s="6"/>
    </row>
    <row r="299" spans="1:14" ht="19.5" customHeight="1" x14ac:dyDescent="0.25">
      <c r="A299" s="6"/>
      <c r="B299" s="6"/>
      <c r="C299" s="10"/>
      <c r="D299" s="10"/>
      <c r="E299" s="10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9.5" customHeight="1" x14ac:dyDescent="0.25">
      <c r="A300" s="6"/>
      <c r="B300" s="6"/>
      <c r="C300" s="10"/>
      <c r="D300" s="10"/>
      <c r="E300" s="10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9.5" customHeight="1" x14ac:dyDescent="0.25">
      <c r="A301" s="6"/>
      <c r="B301" s="6"/>
      <c r="C301" s="10"/>
      <c r="D301" s="10"/>
      <c r="E301" s="10"/>
      <c r="F301" s="6"/>
      <c r="G301" s="6"/>
      <c r="H301" s="6"/>
      <c r="I301" s="6"/>
      <c r="J301" s="6"/>
      <c r="K301" s="6"/>
      <c r="L301" s="6"/>
      <c r="M301" s="6"/>
      <c r="N301" s="6"/>
    </row>
    <row r="302" spans="1:14" ht="19.5" customHeight="1" x14ac:dyDescent="0.25">
      <c r="A302" s="6"/>
      <c r="B302" s="6"/>
      <c r="C302" s="10"/>
      <c r="D302" s="10"/>
      <c r="E302" s="10"/>
      <c r="F302" s="6"/>
      <c r="G302" s="6"/>
      <c r="H302" s="6"/>
      <c r="I302" s="6"/>
      <c r="J302" s="6"/>
      <c r="K302" s="6"/>
      <c r="L302" s="6"/>
      <c r="M302" s="6"/>
      <c r="N302" s="6"/>
    </row>
    <row r="303" spans="1:14" ht="19.5" customHeight="1" x14ac:dyDescent="0.25">
      <c r="A303" s="6"/>
      <c r="B303" s="6"/>
      <c r="C303" s="10"/>
      <c r="D303" s="10"/>
      <c r="E303" s="10"/>
      <c r="F303" s="6"/>
      <c r="G303" s="6"/>
      <c r="H303" s="6"/>
      <c r="I303" s="6"/>
      <c r="J303" s="6"/>
      <c r="K303" s="6"/>
      <c r="L303" s="6"/>
      <c r="M303" s="6"/>
      <c r="N303" s="6"/>
    </row>
    <row r="304" spans="1:14" ht="19.5" customHeight="1" x14ac:dyDescent="0.25">
      <c r="A304" s="6"/>
      <c r="B304" s="6"/>
      <c r="C304" s="10"/>
      <c r="D304" s="10"/>
      <c r="E304" s="10"/>
      <c r="F304" s="6"/>
      <c r="G304" s="6"/>
      <c r="H304" s="6"/>
      <c r="I304" s="6"/>
      <c r="J304" s="6"/>
      <c r="K304" s="6"/>
      <c r="L304" s="6"/>
      <c r="M304" s="6"/>
      <c r="N304" s="6"/>
    </row>
    <row r="305" spans="1:14" ht="19.5" customHeight="1" x14ac:dyDescent="0.25">
      <c r="A305" s="6"/>
      <c r="B305" s="6"/>
      <c r="C305" s="10"/>
      <c r="D305" s="10"/>
      <c r="E305" s="10"/>
      <c r="F305" s="6"/>
      <c r="G305" s="6"/>
      <c r="H305" s="6"/>
      <c r="I305" s="6"/>
      <c r="J305" s="6"/>
      <c r="K305" s="6"/>
      <c r="L305" s="6"/>
      <c r="M305" s="6"/>
      <c r="N305" s="6"/>
    </row>
    <row r="306" spans="1:14" ht="19.5" customHeight="1" x14ac:dyDescent="0.25">
      <c r="A306" s="6"/>
      <c r="B306" s="6"/>
      <c r="C306" s="10"/>
      <c r="D306" s="10"/>
      <c r="E306" s="10"/>
      <c r="F306" s="6"/>
      <c r="G306" s="6"/>
      <c r="H306" s="6"/>
      <c r="I306" s="6"/>
      <c r="J306" s="6"/>
      <c r="K306" s="6"/>
      <c r="L306" s="6"/>
      <c r="M306" s="6"/>
      <c r="N306" s="6"/>
    </row>
    <row r="307" spans="1:14" ht="19.5" customHeight="1" x14ac:dyDescent="0.25">
      <c r="A307" s="6"/>
      <c r="B307" s="6"/>
      <c r="C307" s="10"/>
      <c r="D307" s="10"/>
      <c r="E307" s="10"/>
      <c r="F307" s="6"/>
      <c r="G307" s="6"/>
      <c r="H307" s="6"/>
      <c r="I307" s="6"/>
      <c r="J307" s="6"/>
      <c r="K307" s="6"/>
      <c r="L307" s="6"/>
      <c r="M307" s="6"/>
      <c r="N307" s="6"/>
    </row>
    <row r="308" spans="1:14" ht="19.5" customHeight="1" x14ac:dyDescent="0.25">
      <c r="A308" s="6"/>
      <c r="B308" s="6"/>
      <c r="C308" s="10"/>
      <c r="D308" s="10"/>
      <c r="E308" s="10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9.5" customHeight="1" x14ac:dyDescent="0.25">
      <c r="A309" s="6"/>
      <c r="B309" s="6"/>
      <c r="C309" s="10"/>
      <c r="D309" s="10"/>
      <c r="E309" s="10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9.5" customHeight="1" x14ac:dyDescent="0.25">
      <c r="A310" s="6"/>
      <c r="B310" s="6"/>
      <c r="C310" s="10"/>
      <c r="D310" s="10"/>
      <c r="E310" s="10"/>
      <c r="F310" s="6"/>
      <c r="G310" s="6"/>
      <c r="H310" s="6"/>
      <c r="I310" s="6"/>
      <c r="J310" s="6"/>
      <c r="K310" s="6"/>
      <c r="L310" s="6"/>
      <c r="M310" s="6"/>
      <c r="N310" s="6"/>
    </row>
    <row r="311" spans="1:14" ht="19.5" customHeight="1" x14ac:dyDescent="0.25">
      <c r="A311" s="6"/>
      <c r="B311" s="6"/>
      <c r="C311" s="10"/>
      <c r="D311" s="10"/>
      <c r="E311" s="10"/>
      <c r="F311" s="6"/>
      <c r="G311" s="6"/>
      <c r="H311" s="6"/>
      <c r="I311" s="6"/>
      <c r="J311" s="6"/>
      <c r="K311" s="6"/>
      <c r="L311" s="6"/>
      <c r="M311" s="6"/>
      <c r="N311" s="6"/>
    </row>
    <row r="312" spans="1:14" ht="19.5" customHeight="1" x14ac:dyDescent="0.25">
      <c r="A312" s="6"/>
      <c r="B312" s="6"/>
      <c r="C312" s="10"/>
      <c r="D312" s="10"/>
      <c r="E312" s="10"/>
      <c r="F312" s="6"/>
      <c r="G312" s="6"/>
      <c r="H312" s="6"/>
      <c r="I312" s="6"/>
      <c r="J312" s="6"/>
      <c r="K312" s="6"/>
      <c r="L312" s="6"/>
      <c r="M312" s="6"/>
      <c r="N312" s="6"/>
    </row>
    <row r="313" spans="1:14" ht="19.5" customHeight="1" x14ac:dyDescent="0.25">
      <c r="A313" s="6"/>
      <c r="B313" s="6"/>
      <c r="C313" s="10"/>
      <c r="D313" s="10"/>
      <c r="E313" s="10"/>
      <c r="F313" s="6"/>
      <c r="G313" s="6"/>
      <c r="H313" s="6"/>
      <c r="I313" s="6"/>
      <c r="J313" s="6"/>
      <c r="K313" s="6"/>
      <c r="L313" s="6"/>
      <c r="M313" s="6"/>
      <c r="N313" s="6"/>
    </row>
    <row r="314" spans="1:14" ht="19.5" customHeight="1" x14ac:dyDescent="0.25">
      <c r="A314" s="6"/>
      <c r="B314" s="6"/>
      <c r="C314" s="10"/>
      <c r="D314" s="10"/>
      <c r="E314" s="10"/>
      <c r="F314" s="6"/>
      <c r="G314" s="6"/>
      <c r="H314" s="6"/>
      <c r="I314" s="6"/>
      <c r="J314" s="6"/>
      <c r="K314" s="6"/>
      <c r="L314" s="6"/>
      <c r="M314" s="6"/>
      <c r="N314" s="6"/>
    </row>
    <row r="315" spans="1:14" ht="19.5" customHeight="1" x14ac:dyDescent="0.25">
      <c r="A315" s="6"/>
      <c r="B315" s="6"/>
      <c r="C315" s="10"/>
      <c r="D315" s="10"/>
      <c r="E315" s="10"/>
      <c r="F315" s="6"/>
      <c r="G315" s="6"/>
      <c r="H315" s="6"/>
      <c r="I315" s="6"/>
      <c r="J315" s="6"/>
      <c r="K315" s="6"/>
      <c r="L315" s="6"/>
      <c r="M315" s="6"/>
      <c r="N315" s="6"/>
    </row>
    <row r="316" spans="1:14" ht="19.5" customHeight="1" x14ac:dyDescent="0.25">
      <c r="A316" s="6"/>
      <c r="B316" s="6"/>
      <c r="C316" s="10"/>
      <c r="D316" s="10"/>
      <c r="E316" s="10"/>
      <c r="F316" s="6"/>
      <c r="G316" s="6"/>
      <c r="H316" s="6"/>
      <c r="I316" s="6"/>
      <c r="J316" s="6"/>
      <c r="K316" s="6"/>
      <c r="L316" s="6"/>
      <c r="M316" s="6"/>
      <c r="N316" s="6"/>
    </row>
    <row r="317" spans="1:14" ht="19.5" customHeight="1" x14ac:dyDescent="0.25">
      <c r="A317" s="6"/>
      <c r="B317" s="6"/>
      <c r="C317" s="10"/>
      <c r="D317" s="10"/>
      <c r="E317" s="10"/>
      <c r="F317" s="6"/>
      <c r="G317" s="6"/>
      <c r="H317" s="6"/>
      <c r="I317" s="6"/>
      <c r="J317" s="6"/>
      <c r="K317" s="6"/>
      <c r="L317" s="6"/>
      <c r="M317" s="6"/>
      <c r="N317" s="6"/>
    </row>
    <row r="318" spans="1:14" ht="19.5" customHeight="1" x14ac:dyDescent="0.25">
      <c r="A318" s="6"/>
      <c r="B318" s="6"/>
      <c r="C318" s="10"/>
      <c r="D318" s="10"/>
      <c r="E318" s="10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9.5" customHeight="1" x14ac:dyDescent="0.25">
      <c r="A319" s="6"/>
      <c r="B319" s="6"/>
      <c r="C319" s="10"/>
      <c r="D319" s="10"/>
      <c r="E319" s="10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9.5" customHeight="1" x14ac:dyDescent="0.25">
      <c r="A320" s="6"/>
      <c r="B320" s="6"/>
      <c r="C320" s="10"/>
      <c r="D320" s="10"/>
      <c r="E320" s="10"/>
      <c r="F320" s="6"/>
      <c r="G320" s="6"/>
      <c r="H320" s="6"/>
      <c r="I320" s="6"/>
      <c r="J320" s="6"/>
      <c r="K320" s="6"/>
      <c r="L320" s="6"/>
      <c r="M320" s="6"/>
      <c r="N320" s="6"/>
    </row>
    <row r="321" spans="1:14" ht="19.5" customHeight="1" x14ac:dyDescent="0.25">
      <c r="A321" s="6"/>
      <c r="B321" s="6"/>
      <c r="C321" s="10"/>
      <c r="D321" s="10"/>
      <c r="E321" s="10"/>
      <c r="F321" s="6"/>
      <c r="G321" s="6"/>
      <c r="H321" s="6"/>
      <c r="I321" s="6"/>
      <c r="J321" s="6"/>
      <c r="K321" s="6"/>
      <c r="L321" s="6"/>
      <c r="M321" s="6"/>
      <c r="N321" s="6"/>
    </row>
    <row r="322" spans="1:14" ht="19.5" customHeight="1" x14ac:dyDescent="0.25">
      <c r="A322" s="6"/>
      <c r="B322" s="6"/>
      <c r="C322" s="10"/>
      <c r="D322" s="10"/>
      <c r="E322" s="10"/>
      <c r="F322" s="6"/>
      <c r="G322" s="6"/>
      <c r="H322" s="6"/>
      <c r="I322" s="6"/>
      <c r="J322" s="6"/>
      <c r="K322" s="6"/>
      <c r="L322" s="6"/>
      <c r="M322" s="6"/>
      <c r="N322" s="6"/>
    </row>
    <row r="323" spans="1:14" ht="19.5" customHeight="1" x14ac:dyDescent="0.25">
      <c r="A323" s="6"/>
      <c r="B323" s="6"/>
      <c r="C323" s="10"/>
      <c r="D323" s="10"/>
      <c r="E323" s="10"/>
      <c r="F323" s="6"/>
      <c r="G323" s="6"/>
      <c r="H323" s="6"/>
      <c r="I323" s="6"/>
      <c r="J323" s="6"/>
      <c r="K323" s="6"/>
      <c r="L323" s="6"/>
      <c r="M323" s="6"/>
      <c r="N323" s="6"/>
    </row>
    <row r="324" spans="1:14" ht="19.5" customHeight="1" x14ac:dyDescent="0.25">
      <c r="A324" s="6"/>
      <c r="B324" s="6"/>
      <c r="C324" s="10"/>
      <c r="D324" s="10"/>
      <c r="E324" s="10"/>
      <c r="F324" s="6"/>
      <c r="G324" s="6"/>
      <c r="H324" s="6"/>
      <c r="I324" s="6"/>
      <c r="J324" s="6"/>
      <c r="K324" s="6"/>
      <c r="L324" s="6"/>
      <c r="M324" s="6"/>
      <c r="N324" s="6"/>
    </row>
    <row r="325" spans="1:14" ht="19.5" customHeight="1" x14ac:dyDescent="0.25">
      <c r="A325" s="6"/>
      <c r="B325" s="6"/>
      <c r="C325" s="10"/>
      <c r="D325" s="10"/>
      <c r="E325" s="10"/>
      <c r="F325" s="6"/>
      <c r="G325" s="6"/>
      <c r="H325" s="6"/>
      <c r="I325" s="6"/>
      <c r="J325" s="6"/>
      <c r="K325" s="6"/>
      <c r="L325" s="6"/>
      <c r="M325" s="6"/>
      <c r="N325" s="6"/>
    </row>
    <row r="326" spans="1:14" ht="19.5" customHeight="1" x14ac:dyDescent="0.25">
      <c r="A326" s="6"/>
      <c r="B326" s="6"/>
      <c r="C326" s="10"/>
      <c r="D326" s="10"/>
      <c r="E326" s="10"/>
      <c r="F326" s="6"/>
      <c r="G326" s="6"/>
      <c r="H326" s="6"/>
      <c r="I326" s="6"/>
      <c r="J326" s="6"/>
      <c r="K326" s="6"/>
      <c r="L326" s="6"/>
      <c r="M326" s="6"/>
      <c r="N326" s="6"/>
    </row>
    <row r="327" spans="1:14" ht="19.5" customHeight="1" x14ac:dyDescent="0.25">
      <c r="A327" s="6"/>
      <c r="B327" s="6"/>
      <c r="C327" s="10"/>
      <c r="D327" s="10"/>
      <c r="E327" s="10"/>
      <c r="F327" s="6"/>
      <c r="G327" s="6"/>
      <c r="H327" s="6"/>
      <c r="I327" s="6"/>
      <c r="J327" s="6"/>
      <c r="K327" s="6"/>
      <c r="L327" s="6"/>
      <c r="M327" s="6"/>
      <c r="N327" s="6"/>
    </row>
    <row r="328" spans="1:14" ht="19.5" customHeight="1" x14ac:dyDescent="0.25">
      <c r="A328" s="6"/>
      <c r="B328" s="6"/>
      <c r="C328" s="10"/>
      <c r="D328" s="10"/>
      <c r="E328" s="10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9.5" customHeight="1" x14ac:dyDescent="0.25">
      <c r="A329" s="6"/>
      <c r="B329" s="6"/>
      <c r="C329" s="10"/>
      <c r="D329" s="10"/>
      <c r="E329" s="10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9.5" customHeight="1" x14ac:dyDescent="0.25">
      <c r="A330" s="6"/>
      <c r="B330" s="6"/>
      <c r="C330" s="10"/>
      <c r="D330" s="10"/>
      <c r="E330" s="10"/>
      <c r="F330" s="6"/>
      <c r="G330" s="6"/>
      <c r="H330" s="6"/>
      <c r="I330" s="6"/>
      <c r="J330" s="6"/>
      <c r="K330" s="6"/>
      <c r="L330" s="6"/>
      <c r="M330" s="6"/>
      <c r="N330" s="6"/>
    </row>
    <row r="331" spans="1:14" ht="19.5" customHeight="1" x14ac:dyDescent="0.25">
      <c r="A331" s="6"/>
      <c r="B331" s="6"/>
      <c r="C331" s="10"/>
      <c r="D331" s="10"/>
      <c r="E331" s="10"/>
      <c r="F331" s="6"/>
      <c r="G331" s="6"/>
      <c r="H331" s="6"/>
      <c r="I331" s="6"/>
      <c r="J331" s="6"/>
      <c r="K331" s="6"/>
      <c r="L331" s="6"/>
      <c r="M331" s="6"/>
      <c r="N331" s="6"/>
    </row>
    <row r="332" spans="1:14" ht="19.5" customHeight="1" x14ac:dyDescent="0.25">
      <c r="A332" s="6"/>
      <c r="B332" s="6"/>
      <c r="C332" s="10"/>
      <c r="D332" s="10"/>
      <c r="E332" s="10"/>
      <c r="F332" s="6"/>
      <c r="G332" s="6"/>
      <c r="H332" s="6"/>
      <c r="I332" s="6"/>
      <c r="J332" s="6"/>
      <c r="K332" s="6"/>
      <c r="L332" s="6"/>
      <c r="M332" s="6"/>
      <c r="N332" s="6"/>
    </row>
    <row r="333" spans="1:14" ht="19.5" customHeight="1" x14ac:dyDescent="0.25">
      <c r="A333" s="6"/>
      <c r="B333" s="6"/>
      <c r="C333" s="10"/>
      <c r="D333" s="10"/>
      <c r="E333" s="10"/>
      <c r="F333" s="6"/>
      <c r="G333" s="6"/>
      <c r="H333" s="6"/>
      <c r="I333" s="6"/>
      <c r="J333" s="6"/>
      <c r="K333" s="6"/>
      <c r="L333" s="6"/>
      <c r="M333" s="6"/>
      <c r="N333" s="6"/>
    </row>
    <row r="334" spans="1:14" ht="19.5" customHeight="1" x14ac:dyDescent="0.25">
      <c r="A334" s="6"/>
      <c r="B334" s="6"/>
      <c r="C334" s="10"/>
      <c r="D334" s="10"/>
      <c r="E334" s="10"/>
      <c r="F334" s="6"/>
      <c r="G334" s="6"/>
      <c r="H334" s="6"/>
      <c r="I334" s="6"/>
      <c r="J334" s="6"/>
      <c r="K334" s="6"/>
      <c r="L334" s="6"/>
      <c r="M334" s="6"/>
      <c r="N334" s="6"/>
    </row>
    <row r="335" spans="1:14" ht="19.5" customHeight="1" x14ac:dyDescent="0.25">
      <c r="A335" s="6"/>
      <c r="B335" s="6"/>
      <c r="C335" s="10"/>
      <c r="D335" s="10"/>
      <c r="E335" s="10"/>
      <c r="F335" s="6"/>
      <c r="G335" s="6"/>
      <c r="H335" s="6"/>
      <c r="I335" s="6"/>
      <c r="J335" s="6"/>
      <c r="K335" s="6"/>
      <c r="L335" s="6"/>
      <c r="M335" s="6"/>
      <c r="N335" s="6"/>
    </row>
    <row r="336" spans="1:14" ht="19.5" customHeight="1" x14ac:dyDescent="0.25">
      <c r="A336" s="6"/>
      <c r="B336" s="6"/>
      <c r="C336" s="10"/>
      <c r="D336" s="10"/>
      <c r="E336" s="10"/>
      <c r="F336" s="6"/>
      <c r="G336" s="6"/>
      <c r="H336" s="6"/>
      <c r="I336" s="6"/>
      <c r="J336" s="6"/>
      <c r="K336" s="6"/>
      <c r="L336" s="6"/>
      <c r="M336" s="6"/>
      <c r="N336" s="6"/>
    </row>
    <row r="337" spans="1:14" ht="19.5" customHeight="1" x14ac:dyDescent="0.25">
      <c r="A337" s="6"/>
      <c r="B337" s="6"/>
      <c r="C337" s="10"/>
      <c r="D337" s="10"/>
      <c r="E337" s="10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9.5" customHeight="1" x14ac:dyDescent="0.25">
      <c r="A338" s="6"/>
      <c r="B338" s="6"/>
      <c r="C338" s="10"/>
      <c r="D338" s="10"/>
      <c r="E338" s="10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9.5" customHeight="1" x14ac:dyDescent="0.25">
      <c r="A339" s="6"/>
      <c r="B339" s="6"/>
      <c r="C339" s="10"/>
      <c r="D339" s="10"/>
      <c r="E339" s="10"/>
      <c r="F339" s="6"/>
      <c r="G339" s="6"/>
      <c r="H339" s="6"/>
      <c r="I339" s="6"/>
      <c r="J339" s="6"/>
      <c r="K339" s="6"/>
      <c r="L339" s="6"/>
      <c r="M339" s="6"/>
      <c r="N339" s="6"/>
    </row>
    <row r="340" spans="1:14" ht="19.5" customHeight="1" x14ac:dyDescent="0.25">
      <c r="A340" s="6"/>
      <c r="B340" s="6"/>
      <c r="C340" s="10"/>
      <c r="D340" s="10"/>
      <c r="E340" s="10"/>
      <c r="F340" s="6"/>
      <c r="G340" s="6"/>
      <c r="H340" s="6"/>
      <c r="I340" s="6"/>
      <c r="J340" s="6"/>
      <c r="K340" s="6"/>
      <c r="L340" s="6"/>
      <c r="M340" s="6"/>
      <c r="N340" s="6"/>
    </row>
    <row r="341" spans="1:14" ht="19.5" customHeight="1" x14ac:dyDescent="0.25">
      <c r="A341" s="6"/>
      <c r="B341" s="6"/>
      <c r="C341" s="10"/>
      <c r="D341" s="10"/>
      <c r="E341" s="10"/>
      <c r="F341" s="6"/>
      <c r="G341" s="6"/>
      <c r="H341" s="6"/>
      <c r="I341" s="6"/>
      <c r="J341" s="6"/>
      <c r="K341" s="6"/>
      <c r="L341" s="6"/>
      <c r="M341" s="6"/>
      <c r="N341" s="6"/>
    </row>
    <row r="342" spans="1:14" ht="19.5" customHeight="1" x14ac:dyDescent="0.25">
      <c r="A342" s="6"/>
      <c r="B342" s="6"/>
      <c r="C342" s="10"/>
      <c r="D342" s="10"/>
      <c r="E342" s="10"/>
      <c r="F342" s="6"/>
      <c r="G342" s="6"/>
      <c r="H342" s="6"/>
      <c r="I342" s="6"/>
      <c r="J342" s="6"/>
      <c r="K342" s="6"/>
      <c r="L342" s="6"/>
      <c r="M342" s="6"/>
      <c r="N342" s="6"/>
    </row>
    <row r="343" spans="1:14" ht="19.5" customHeight="1" x14ac:dyDescent="0.25">
      <c r="A343" s="6"/>
      <c r="B343" s="6"/>
      <c r="C343" s="10"/>
      <c r="D343" s="10"/>
      <c r="E343" s="10"/>
      <c r="F343" s="6"/>
      <c r="G343" s="6"/>
      <c r="H343" s="6"/>
      <c r="I343" s="6"/>
      <c r="J343" s="6"/>
      <c r="K343" s="6"/>
      <c r="L343" s="6"/>
      <c r="M343" s="6"/>
      <c r="N343" s="6"/>
    </row>
    <row r="344" spans="1:14" ht="19.5" customHeight="1" x14ac:dyDescent="0.25">
      <c r="A344" s="6"/>
      <c r="B344" s="6"/>
      <c r="C344" s="10"/>
      <c r="D344" s="10"/>
      <c r="E344" s="10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19.5" customHeight="1" x14ac:dyDescent="0.25">
      <c r="A345" s="6"/>
      <c r="B345" s="6"/>
      <c r="C345" s="10"/>
      <c r="D345" s="10"/>
      <c r="E345" s="10"/>
      <c r="F345" s="6"/>
      <c r="G345" s="6"/>
      <c r="H345" s="6"/>
      <c r="I345" s="6"/>
      <c r="J345" s="6"/>
      <c r="K345" s="6"/>
      <c r="L345" s="6"/>
      <c r="M345" s="6"/>
      <c r="N345" s="6"/>
    </row>
    <row r="346" spans="1:14" ht="19.5" customHeight="1" x14ac:dyDescent="0.25">
      <c r="A346" s="6"/>
      <c r="B346" s="6"/>
      <c r="C346" s="10"/>
      <c r="D346" s="10"/>
      <c r="E346" s="10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9.5" customHeight="1" x14ac:dyDescent="0.25">
      <c r="A347" s="6"/>
      <c r="B347" s="6"/>
      <c r="C347" s="10"/>
      <c r="D347" s="10"/>
      <c r="E347" s="10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9.5" customHeight="1" x14ac:dyDescent="0.25">
      <c r="A348" s="6"/>
      <c r="B348" s="6"/>
      <c r="C348" s="10"/>
      <c r="D348" s="10"/>
      <c r="E348" s="10"/>
      <c r="F348" s="6"/>
      <c r="G348" s="6"/>
      <c r="H348" s="6"/>
      <c r="I348" s="6"/>
      <c r="J348" s="6"/>
      <c r="K348" s="6"/>
      <c r="L348" s="6"/>
      <c r="M348" s="6"/>
      <c r="N348" s="6"/>
    </row>
    <row r="349" spans="1:14" ht="19.5" customHeight="1" x14ac:dyDescent="0.25">
      <c r="A349" s="6"/>
      <c r="B349" s="6"/>
      <c r="C349" s="10"/>
      <c r="D349" s="10"/>
      <c r="E349" s="10"/>
      <c r="F349" s="6"/>
      <c r="G349" s="6"/>
      <c r="H349" s="6"/>
      <c r="I349" s="6"/>
      <c r="J349" s="6"/>
      <c r="K349" s="6"/>
      <c r="L349" s="6"/>
      <c r="M349" s="6"/>
      <c r="N349" s="6"/>
    </row>
    <row r="350" spans="1:14" ht="19.5" customHeight="1" x14ac:dyDescent="0.25">
      <c r="A350" s="6"/>
      <c r="B350" s="6"/>
      <c r="C350" s="10"/>
      <c r="D350" s="10"/>
      <c r="E350" s="10"/>
      <c r="F350" s="6"/>
      <c r="G350" s="6"/>
      <c r="H350" s="6"/>
      <c r="I350" s="6"/>
      <c r="J350" s="6"/>
      <c r="K350" s="6"/>
      <c r="L350" s="6"/>
      <c r="M350" s="6"/>
      <c r="N350" s="6"/>
    </row>
    <row r="351" spans="1:14" ht="19.5" customHeight="1" x14ac:dyDescent="0.25">
      <c r="A351" s="6"/>
      <c r="B351" s="6"/>
      <c r="C351" s="10"/>
      <c r="D351" s="10"/>
      <c r="E351" s="10"/>
      <c r="F351" s="6"/>
      <c r="G351" s="6"/>
      <c r="H351" s="6"/>
      <c r="I351" s="6"/>
      <c r="J351" s="6"/>
      <c r="K351" s="6"/>
      <c r="L351" s="6"/>
      <c r="M351" s="6"/>
      <c r="N351" s="6"/>
    </row>
    <row r="352" spans="1:14" ht="19.5" customHeight="1" x14ac:dyDescent="0.25">
      <c r="A352" s="6"/>
      <c r="B352" s="6"/>
      <c r="C352" s="10"/>
      <c r="D352" s="10"/>
      <c r="E352" s="10"/>
      <c r="F352" s="6"/>
      <c r="G352" s="6"/>
      <c r="H352" s="6"/>
      <c r="I352" s="6"/>
      <c r="J352" s="6"/>
      <c r="K352" s="6"/>
      <c r="L352" s="6"/>
      <c r="M352" s="6"/>
      <c r="N352" s="6"/>
    </row>
    <row r="353" spans="1:14" ht="19.5" customHeight="1" x14ac:dyDescent="0.25">
      <c r="A353" s="6"/>
      <c r="B353" s="6"/>
      <c r="C353" s="10"/>
      <c r="D353" s="10"/>
      <c r="E353" s="10"/>
      <c r="F353" s="6"/>
      <c r="G353" s="6"/>
      <c r="H353" s="6"/>
      <c r="I353" s="6"/>
      <c r="J353" s="6"/>
      <c r="K353" s="6"/>
      <c r="L353" s="6"/>
      <c r="M353" s="6"/>
      <c r="N353" s="6"/>
    </row>
    <row r="354" spans="1:14" ht="19.5" customHeight="1" x14ac:dyDescent="0.25">
      <c r="A354" s="6"/>
      <c r="B354" s="6"/>
      <c r="C354" s="10"/>
      <c r="D354" s="10"/>
      <c r="E354" s="10"/>
      <c r="F354" s="6"/>
      <c r="G354" s="6"/>
      <c r="H354" s="6"/>
      <c r="I354" s="6"/>
      <c r="J354" s="6"/>
      <c r="K354" s="6"/>
      <c r="L354" s="6"/>
      <c r="M354" s="6"/>
      <c r="N354" s="6"/>
    </row>
    <row r="355" spans="1:14" ht="19.5" customHeight="1" x14ac:dyDescent="0.25">
      <c r="A355" s="6"/>
      <c r="B355" s="6"/>
      <c r="C355" s="10"/>
      <c r="D355" s="10"/>
      <c r="E355" s="10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9.5" customHeight="1" x14ac:dyDescent="0.25">
      <c r="A356" s="6"/>
      <c r="B356" s="6"/>
      <c r="C356" s="10"/>
      <c r="D356" s="10"/>
      <c r="E356" s="10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9.5" customHeight="1" x14ac:dyDescent="0.25">
      <c r="A357" s="6"/>
      <c r="B357" s="6"/>
      <c r="C357" s="10"/>
      <c r="D357" s="10"/>
      <c r="E357" s="10"/>
      <c r="F357" s="6"/>
      <c r="G357" s="6"/>
      <c r="H357" s="6"/>
      <c r="I357" s="6"/>
      <c r="J357" s="6"/>
      <c r="K357" s="6"/>
      <c r="L357" s="6"/>
      <c r="M357" s="6"/>
      <c r="N357" s="6"/>
    </row>
    <row r="358" spans="1:14" ht="19.5" customHeight="1" x14ac:dyDescent="0.25">
      <c r="A358" s="6"/>
      <c r="B358" s="6"/>
      <c r="C358" s="10"/>
      <c r="D358" s="10"/>
      <c r="E358" s="10"/>
      <c r="F358" s="6"/>
      <c r="G358" s="6"/>
      <c r="H358" s="6"/>
      <c r="I358" s="6"/>
      <c r="J358" s="6"/>
      <c r="K358" s="6"/>
      <c r="L358" s="6"/>
      <c r="M358" s="6"/>
      <c r="N358" s="6"/>
    </row>
    <row r="359" spans="1:14" ht="19.5" customHeight="1" x14ac:dyDescent="0.25">
      <c r="A359" s="6"/>
      <c r="B359" s="6"/>
      <c r="C359" s="10"/>
      <c r="D359" s="10"/>
      <c r="E359" s="10"/>
      <c r="F359" s="6"/>
      <c r="G359" s="6"/>
      <c r="H359" s="6"/>
      <c r="I359" s="6"/>
      <c r="J359" s="6"/>
      <c r="K359" s="6"/>
      <c r="L359" s="6"/>
      <c r="M359" s="6"/>
      <c r="N359" s="6"/>
    </row>
    <row r="360" spans="1:14" ht="19.5" customHeight="1" x14ac:dyDescent="0.25">
      <c r="A360" s="6"/>
      <c r="B360" s="6"/>
      <c r="C360" s="10"/>
      <c r="D360" s="10"/>
      <c r="E360" s="10"/>
      <c r="F360" s="6"/>
      <c r="G360" s="6"/>
      <c r="H360" s="6"/>
      <c r="I360" s="6"/>
      <c r="J360" s="6"/>
      <c r="K360" s="6"/>
      <c r="L360" s="6"/>
      <c r="M360" s="6"/>
      <c r="N360" s="6"/>
    </row>
    <row r="361" spans="1:14" ht="19.5" customHeight="1" x14ac:dyDescent="0.25">
      <c r="A361" s="6"/>
      <c r="B361" s="6"/>
      <c r="C361" s="10"/>
      <c r="D361" s="10"/>
      <c r="E361" s="10"/>
      <c r="F361" s="6"/>
      <c r="G361" s="6"/>
      <c r="H361" s="6"/>
      <c r="I361" s="6"/>
      <c r="J361" s="6"/>
      <c r="K361" s="6"/>
      <c r="L361" s="6"/>
      <c r="M361" s="6"/>
      <c r="N361" s="6"/>
    </row>
    <row r="362" spans="1:14" ht="19.5" customHeight="1" x14ac:dyDescent="0.25">
      <c r="A362" s="6"/>
      <c r="B362" s="6"/>
      <c r="C362" s="10"/>
      <c r="D362" s="10"/>
      <c r="E362" s="10"/>
      <c r="F362" s="6"/>
      <c r="G362" s="6"/>
      <c r="H362" s="6"/>
      <c r="I362" s="6"/>
      <c r="J362" s="6"/>
      <c r="K362" s="6"/>
      <c r="L362" s="6"/>
      <c r="M362" s="6"/>
      <c r="N362" s="6"/>
    </row>
    <row r="363" spans="1:14" ht="19.5" customHeight="1" x14ac:dyDescent="0.25">
      <c r="A363" s="6"/>
      <c r="B363" s="6"/>
      <c r="C363" s="10"/>
      <c r="D363" s="10"/>
      <c r="E363" s="10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9.5" customHeight="1" x14ac:dyDescent="0.25">
      <c r="A364" s="6"/>
      <c r="B364" s="6"/>
      <c r="C364" s="10"/>
      <c r="D364" s="10"/>
      <c r="E364" s="10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9.5" customHeight="1" x14ac:dyDescent="0.25">
      <c r="A365" s="6"/>
      <c r="B365" s="6"/>
      <c r="C365" s="10"/>
      <c r="D365" s="10"/>
      <c r="E365" s="10"/>
      <c r="F365" s="6"/>
      <c r="G365" s="6"/>
      <c r="H365" s="6"/>
      <c r="I365" s="6"/>
      <c r="J365" s="6"/>
      <c r="K365" s="6"/>
      <c r="L365" s="6"/>
      <c r="M365" s="6"/>
      <c r="N365" s="6"/>
    </row>
    <row r="366" spans="1:14" ht="19.5" customHeight="1" x14ac:dyDescent="0.25">
      <c r="A366" s="6"/>
      <c r="B366" s="6"/>
      <c r="C366" s="10"/>
      <c r="D366" s="10"/>
      <c r="E366" s="10"/>
      <c r="F366" s="6"/>
      <c r="G366" s="6"/>
      <c r="H366" s="6"/>
      <c r="I366" s="6"/>
      <c r="J366" s="6"/>
      <c r="K366" s="6"/>
      <c r="L366" s="6"/>
      <c r="M366" s="6"/>
      <c r="N366" s="6"/>
    </row>
    <row r="367" spans="1:14" ht="19.5" customHeight="1" x14ac:dyDescent="0.25">
      <c r="A367" s="6"/>
      <c r="B367" s="6"/>
      <c r="C367" s="10"/>
      <c r="D367" s="10"/>
      <c r="E367" s="10"/>
      <c r="F367" s="6"/>
      <c r="G367" s="6"/>
      <c r="H367" s="6"/>
      <c r="I367" s="6"/>
      <c r="J367" s="6"/>
      <c r="K367" s="6"/>
      <c r="L367" s="6"/>
      <c r="M367" s="6"/>
      <c r="N367" s="6"/>
    </row>
    <row r="368" spans="1:14" ht="19.5" customHeight="1" x14ac:dyDescent="0.25">
      <c r="A368" s="6"/>
      <c r="B368" s="6"/>
      <c r="C368" s="10"/>
      <c r="D368" s="10"/>
      <c r="E368" s="10"/>
      <c r="F368" s="6"/>
      <c r="G368" s="6"/>
      <c r="H368" s="6"/>
      <c r="I368" s="6"/>
      <c r="J368" s="6"/>
      <c r="K368" s="6"/>
      <c r="L368" s="6"/>
      <c r="M368" s="6"/>
      <c r="N368" s="6"/>
    </row>
    <row r="369" spans="1:14" ht="19.5" customHeight="1" x14ac:dyDescent="0.25">
      <c r="A369" s="6"/>
      <c r="B369" s="6"/>
      <c r="C369" s="10"/>
      <c r="D369" s="10"/>
      <c r="E369" s="10"/>
      <c r="F369" s="6"/>
      <c r="G369" s="6"/>
      <c r="H369" s="6"/>
      <c r="I369" s="6"/>
      <c r="J369" s="6"/>
      <c r="K369" s="6"/>
      <c r="L369" s="6"/>
      <c r="M369" s="6"/>
      <c r="N369" s="6"/>
    </row>
    <row r="370" spans="1:14" ht="19.5" customHeight="1" x14ac:dyDescent="0.25">
      <c r="A370" s="6"/>
      <c r="B370" s="6"/>
      <c r="C370" s="10"/>
      <c r="D370" s="10"/>
      <c r="E370" s="10"/>
      <c r="F370" s="6"/>
      <c r="G370" s="6"/>
      <c r="H370" s="6"/>
      <c r="I370" s="6"/>
      <c r="J370" s="6"/>
      <c r="K370" s="6"/>
      <c r="L370" s="6"/>
      <c r="M370" s="6"/>
      <c r="N370" s="6"/>
    </row>
    <row r="371" spans="1:14" ht="19.5" customHeight="1" x14ac:dyDescent="0.25">
      <c r="A371" s="6"/>
      <c r="B371" s="6"/>
      <c r="C371" s="10"/>
      <c r="D371" s="10"/>
      <c r="E371" s="10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9.5" customHeight="1" x14ac:dyDescent="0.25">
      <c r="A372" s="6"/>
      <c r="B372" s="6"/>
      <c r="C372" s="10"/>
      <c r="D372" s="10"/>
      <c r="E372" s="10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9.5" customHeight="1" x14ac:dyDescent="0.25">
      <c r="A373" s="6"/>
      <c r="B373" s="6"/>
      <c r="C373" s="10"/>
      <c r="D373" s="10"/>
      <c r="E373" s="10"/>
      <c r="F373" s="6"/>
      <c r="G373" s="6"/>
      <c r="H373" s="6"/>
      <c r="I373" s="6"/>
      <c r="J373" s="6"/>
      <c r="K373" s="6"/>
      <c r="L373" s="6"/>
      <c r="M373" s="6"/>
      <c r="N373" s="6"/>
    </row>
    <row r="374" spans="1:14" ht="19.5" customHeight="1" x14ac:dyDescent="0.25">
      <c r="A374" s="6"/>
      <c r="B374" s="6"/>
      <c r="C374" s="10"/>
      <c r="D374" s="10"/>
      <c r="E374" s="10"/>
      <c r="F374" s="6"/>
      <c r="G374" s="6"/>
      <c r="H374" s="6"/>
      <c r="I374" s="6"/>
      <c r="J374" s="6"/>
      <c r="K374" s="6"/>
      <c r="L374" s="6"/>
      <c r="M374" s="6"/>
      <c r="N374" s="6"/>
    </row>
    <row r="375" spans="1:14" ht="19.5" customHeight="1" x14ac:dyDescent="0.25">
      <c r="A375" s="6"/>
      <c r="B375" s="6"/>
      <c r="C375" s="10"/>
      <c r="D375" s="10"/>
      <c r="E375" s="10"/>
      <c r="F375" s="6"/>
      <c r="G375" s="6"/>
      <c r="H375" s="6"/>
      <c r="I375" s="6"/>
      <c r="J375" s="6"/>
      <c r="K375" s="6"/>
      <c r="L375" s="6"/>
      <c r="M375" s="6"/>
      <c r="N375" s="6"/>
    </row>
    <row r="376" spans="1:14" ht="19.5" customHeight="1" x14ac:dyDescent="0.25">
      <c r="A376" s="6"/>
      <c r="B376" s="6"/>
      <c r="C376" s="10"/>
      <c r="D376" s="10"/>
      <c r="E376" s="10"/>
      <c r="F376" s="6"/>
      <c r="G376" s="6"/>
      <c r="H376" s="6"/>
      <c r="I376" s="6"/>
      <c r="J376" s="6"/>
      <c r="K376" s="6"/>
      <c r="L376" s="6"/>
      <c r="M376" s="6"/>
      <c r="N376" s="6"/>
    </row>
    <row r="377" spans="1:14" ht="19.5" customHeight="1" x14ac:dyDescent="0.25">
      <c r="A377" s="6"/>
      <c r="B377" s="6"/>
      <c r="C377" s="10"/>
      <c r="D377" s="10"/>
      <c r="E377" s="10"/>
      <c r="F377" s="6"/>
      <c r="G377" s="6"/>
      <c r="H377" s="6"/>
      <c r="I377" s="6"/>
      <c r="J377" s="6"/>
      <c r="K377" s="6"/>
      <c r="L377" s="6"/>
      <c r="M377" s="6"/>
      <c r="N377" s="6"/>
    </row>
    <row r="378" spans="1:14" ht="19.5" customHeight="1" x14ac:dyDescent="0.25">
      <c r="A378" s="6"/>
      <c r="B378" s="6"/>
      <c r="C378" s="10"/>
      <c r="D378" s="10"/>
      <c r="E378" s="10"/>
      <c r="F378" s="6"/>
      <c r="G378" s="6"/>
      <c r="H378" s="6"/>
      <c r="I378" s="6"/>
      <c r="J378" s="6"/>
      <c r="K378" s="6"/>
      <c r="L378" s="6"/>
      <c r="M378" s="6"/>
      <c r="N378" s="6"/>
    </row>
    <row r="379" spans="1:14" ht="19.5" customHeight="1" x14ac:dyDescent="0.25">
      <c r="A379" s="6"/>
      <c r="B379" s="6"/>
      <c r="C379" s="10"/>
      <c r="D379" s="10"/>
      <c r="E379" s="10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9.5" customHeight="1" x14ac:dyDescent="0.25">
      <c r="A380" s="6"/>
      <c r="B380" s="6"/>
      <c r="C380" s="10"/>
      <c r="D380" s="10"/>
      <c r="E380" s="10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9.5" customHeight="1" x14ac:dyDescent="0.25">
      <c r="A381" s="6"/>
      <c r="B381" s="6"/>
      <c r="C381" s="10"/>
      <c r="D381" s="10"/>
      <c r="E381" s="10"/>
      <c r="F381" s="6"/>
      <c r="G381" s="6"/>
      <c r="H381" s="6"/>
      <c r="I381" s="6"/>
      <c r="J381" s="6"/>
      <c r="K381" s="6"/>
      <c r="L381" s="6"/>
      <c r="M381" s="6"/>
      <c r="N381" s="6"/>
    </row>
    <row r="382" spans="1:14" ht="19.5" customHeight="1" x14ac:dyDescent="0.25">
      <c r="A382" s="6"/>
      <c r="B382" s="6"/>
      <c r="C382" s="10"/>
      <c r="D382" s="10"/>
      <c r="E382" s="10"/>
      <c r="F382" s="6"/>
      <c r="G382" s="6"/>
      <c r="H382" s="6"/>
      <c r="I382" s="6"/>
      <c r="J382" s="6"/>
      <c r="K382" s="6"/>
      <c r="L382" s="6"/>
      <c r="M382" s="6"/>
      <c r="N382" s="6"/>
    </row>
    <row r="383" spans="1:14" ht="19.5" customHeight="1" x14ac:dyDescent="0.25">
      <c r="A383" s="6"/>
      <c r="B383" s="6"/>
      <c r="C383" s="10"/>
      <c r="D383" s="10"/>
      <c r="E383" s="10"/>
      <c r="F383" s="6"/>
      <c r="G383" s="6"/>
      <c r="H383" s="6"/>
      <c r="I383" s="6"/>
      <c r="J383" s="6"/>
      <c r="K383" s="6"/>
      <c r="L383" s="6"/>
      <c r="M383" s="6"/>
      <c r="N383" s="6"/>
    </row>
    <row r="384" spans="1:14" ht="19.5" customHeight="1" x14ac:dyDescent="0.25">
      <c r="A384" s="6"/>
      <c r="B384" s="6"/>
      <c r="C384" s="10"/>
      <c r="D384" s="10"/>
      <c r="E384" s="10"/>
      <c r="F384" s="6"/>
      <c r="G384" s="6"/>
      <c r="H384" s="6"/>
      <c r="I384" s="6"/>
      <c r="J384" s="6"/>
      <c r="K384" s="6"/>
      <c r="L384" s="6"/>
      <c r="M384" s="6"/>
      <c r="N384" s="6"/>
    </row>
    <row r="385" spans="1:14" ht="19.5" customHeight="1" x14ac:dyDescent="0.25">
      <c r="A385" s="6"/>
      <c r="B385" s="6"/>
      <c r="C385" s="10"/>
      <c r="D385" s="10"/>
      <c r="E385" s="10"/>
      <c r="F385" s="6"/>
      <c r="G385" s="6"/>
      <c r="H385" s="6"/>
      <c r="I385" s="6"/>
      <c r="J385" s="6"/>
      <c r="K385" s="6"/>
      <c r="L385" s="6"/>
      <c r="M385" s="6"/>
      <c r="N385" s="6"/>
    </row>
    <row r="386" spans="1:14" ht="19.5" customHeight="1" x14ac:dyDescent="0.25">
      <c r="A386" s="6"/>
      <c r="B386" s="6"/>
      <c r="C386" s="10"/>
      <c r="D386" s="10"/>
      <c r="E386" s="10"/>
      <c r="F386" s="6"/>
      <c r="G386" s="6"/>
      <c r="H386" s="6"/>
      <c r="I386" s="6"/>
      <c r="J386" s="6"/>
      <c r="K386" s="6"/>
      <c r="L386" s="6"/>
      <c r="M386" s="6"/>
      <c r="N386" s="6"/>
    </row>
    <row r="387" spans="1:14" ht="19.5" customHeight="1" x14ac:dyDescent="0.25">
      <c r="A387" s="6"/>
      <c r="B387" s="6"/>
      <c r="C387" s="10"/>
      <c r="D387" s="10"/>
      <c r="E387" s="10"/>
      <c r="F387" s="6"/>
      <c r="G387" s="6"/>
      <c r="H387" s="6"/>
      <c r="I387" s="6"/>
      <c r="J387" s="6"/>
      <c r="K387" s="6"/>
      <c r="L387" s="6"/>
      <c r="M387" s="6"/>
      <c r="N387" s="6"/>
    </row>
    <row r="388" spans="1:14" ht="19.5" customHeight="1" x14ac:dyDescent="0.25">
      <c r="A388" s="6"/>
      <c r="B388" s="6"/>
      <c r="C388" s="10"/>
      <c r="D388" s="10"/>
      <c r="E388" s="10"/>
      <c r="F388" s="6"/>
      <c r="G388" s="6"/>
      <c r="H388" s="6"/>
      <c r="I388" s="6"/>
      <c r="J388" s="6"/>
      <c r="K388" s="6"/>
      <c r="L388" s="6"/>
      <c r="M388" s="6"/>
      <c r="N388" s="6"/>
    </row>
    <row r="389" spans="1:14" ht="19.5" customHeight="1" x14ac:dyDescent="0.25">
      <c r="A389" s="6"/>
      <c r="B389" s="6"/>
      <c r="C389" s="10"/>
      <c r="D389" s="10"/>
      <c r="E389" s="10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9.5" customHeight="1" x14ac:dyDescent="0.25">
      <c r="A390" s="6"/>
      <c r="B390" s="6"/>
      <c r="C390" s="10"/>
      <c r="D390" s="10"/>
      <c r="E390" s="10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9.5" customHeight="1" x14ac:dyDescent="0.25">
      <c r="A391" s="6"/>
      <c r="B391" s="6"/>
      <c r="C391" s="10"/>
      <c r="D391" s="10"/>
      <c r="E391" s="10"/>
      <c r="F391" s="6"/>
      <c r="G391" s="6"/>
      <c r="H391" s="6"/>
      <c r="I391" s="6"/>
      <c r="J391" s="6"/>
      <c r="K391" s="6"/>
      <c r="L391" s="6"/>
      <c r="M391" s="6"/>
      <c r="N391" s="6"/>
    </row>
    <row r="392" spans="1:14" ht="19.5" customHeight="1" x14ac:dyDescent="0.25">
      <c r="A392" s="6"/>
      <c r="B392" s="6"/>
      <c r="C392" s="10"/>
      <c r="D392" s="10"/>
      <c r="E392" s="10"/>
      <c r="F392" s="6"/>
      <c r="G392" s="6"/>
      <c r="H392" s="6"/>
      <c r="I392" s="6"/>
      <c r="J392" s="6"/>
      <c r="K392" s="6"/>
      <c r="L392" s="6"/>
      <c r="M392" s="6"/>
      <c r="N392" s="6"/>
    </row>
    <row r="393" spans="1:14" ht="19.5" customHeight="1" x14ac:dyDescent="0.25">
      <c r="A393" s="6"/>
      <c r="B393" s="6"/>
      <c r="C393" s="10"/>
      <c r="D393" s="10"/>
      <c r="E393" s="10"/>
      <c r="F393" s="6"/>
      <c r="G393" s="6"/>
      <c r="H393" s="6"/>
      <c r="I393" s="6"/>
      <c r="J393" s="6"/>
      <c r="K393" s="6"/>
      <c r="L393" s="6"/>
      <c r="M393" s="6"/>
      <c r="N393" s="6"/>
    </row>
    <row r="394" spans="1:14" ht="19.5" customHeight="1" x14ac:dyDescent="0.25">
      <c r="A394" s="6"/>
      <c r="B394" s="6"/>
      <c r="C394" s="10"/>
      <c r="D394" s="10"/>
      <c r="E394" s="10"/>
      <c r="F394" s="6"/>
      <c r="G394" s="6"/>
      <c r="H394" s="6"/>
      <c r="I394" s="6"/>
      <c r="J394" s="6"/>
      <c r="K394" s="6"/>
      <c r="L394" s="6"/>
      <c r="M394" s="6"/>
      <c r="N394" s="6"/>
    </row>
    <row r="395" spans="1:14" ht="19.5" customHeight="1" x14ac:dyDescent="0.25">
      <c r="A395" s="6"/>
      <c r="B395" s="6"/>
      <c r="C395" s="10"/>
      <c r="D395" s="10"/>
      <c r="E395" s="10"/>
      <c r="F395" s="6"/>
      <c r="G395" s="6"/>
      <c r="H395" s="6"/>
      <c r="I395" s="6"/>
      <c r="J395" s="6"/>
      <c r="K395" s="6"/>
      <c r="L395" s="6"/>
      <c r="M395" s="6"/>
      <c r="N395" s="6"/>
    </row>
    <row r="396" spans="1:14" ht="19.5" customHeight="1" x14ac:dyDescent="0.25">
      <c r="A396" s="6"/>
      <c r="B396" s="6"/>
      <c r="C396" s="10"/>
      <c r="D396" s="10"/>
      <c r="E396" s="10"/>
      <c r="F396" s="6"/>
      <c r="G396" s="6"/>
      <c r="H396" s="6"/>
      <c r="I396" s="6"/>
      <c r="J396" s="6"/>
      <c r="K396" s="6"/>
      <c r="L396" s="6"/>
      <c r="M396" s="6"/>
      <c r="N396" s="6"/>
    </row>
    <row r="397" spans="1:14" ht="19.5" customHeight="1" x14ac:dyDescent="0.25">
      <c r="A397" s="6"/>
      <c r="B397" s="6"/>
      <c r="C397" s="10"/>
      <c r="D397" s="10"/>
      <c r="E397" s="10"/>
      <c r="F397" s="6"/>
      <c r="G397" s="6"/>
      <c r="H397" s="6"/>
      <c r="I397" s="6"/>
      <c r="J397" s="6"/>
      <c r="K397" s="6"/>
      <c r="L397" s="6"/>
      <c r="M397" s="6"/>
      <c r="N397" s="6"/>
    </row>
    <row r="398" spans="1:14" ht="19.5" customHeight="1" x14ac:dyDescent="0.25">
      <c r="A398" s="6"/>
      <c r="B398" s="6"/>
      <c r="C398" s="10"/>
      <c r="D398" s="10"/>
      <c r="E398" s="10"/>
      <c r="F398" s="6"/>
      <c r="G398" s="6"/>
      <c r="H398" s="6"/>
      <c r="I398" s="6"/>
      <c r="J398" s="6"/>
      <c r="K398" s="6"/>
      <c r="L398" s="6"/>
      <c r="M398" s="6"/>
      <c r="N398" s="6"/>
    </row>
    <row r="399" spans="1:14" ht="19.5" customHeight="1" x14ac:dyDescent="0.25">
      <c r="A399" s="6"/>
      <c r="B399" s="6"/>
      <c r="C399" s="10"/>
      <c r="D399" s="10"/>
      <c r="E399" s="10"/>
      <c r="F399" s="6"/>
      <c r="G399" s="6"/>
      <c r="H399" s="6"/>
      <c r="I399" s="6"/>
      <c r="J399" s="6"/>
      <c r="K399" s="6"/>
      <c r="L399" s="6"/>
      <c r="M399" s="6"/>
      <c r="N399" s="6"/>
    </row>
    <row r="400" spans="1:14" ht="19.5" customHeight="1" x14ac:dyDescent="0.25">
      <c r="A400" s="6"/>
      <c r="B400" s="6"/>
      <c r="C400" s="10"/>
      <c r="D400" s="10"/>
      <c r="E400" s="10"/>
      <c r="F400" s="6"/>
      <c r="G400" s="6"/>
      <c r="H400" s="6"/>
      <c r="I400" s="6"/>
      <c r="J400" s="6"/>
      <c r="K400" s="6"/>
      <c r="L400" s="6"/>
      <c r="M400" s="6"/>
      <c r="N400" s="6"/>
    </row>
    <row r="401" spans="1:14" ht="19.5" customHeight="1" x14ac:dyDescent="0.25">
      <c r="A401" s="6"/>
      <c r="B401" s="6"/>
      <c r="C401" s="10"/>
      <c r="D401" s="10"/>
      <c r="E401" s="10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9.5" customHeight="1" x14ac:dyDescent="0.25">
      <c r="A402" s="6"/>
      <c r="B402" s="6"/>
      <c r="C402" s="10"/>
      <c r="D402" s="10"/>
      <c r="E402" s="10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9.5" customHeight="1" x14ac:dyDescent="0.25">
      <c r="A403" s="6"/>
      <c r="B403" s="6"/>
      <c r="C403" s="10"/>
      <c r="D403" s="10"/>
      <c r="E403" s="10"/>
      <c r="F403" s="6"/>
      <c r="G403" s="6"/>
      <c r="H403" s="6"/>
      <c r="I403" s="6"/>
      <c r="J403" s="6"/>
      <c r="K403" s="6"/>
      <c r="L403" s="6"/>
      <c r="M403" s="6"/>
      <c r="N403" s="6"/>
    </row>
    <row r="404" spans="1:14" ht="19.5" customHeight="1" x14ac:dyDescent="0.25">
      <c r="A404" s="6"/>
      <c r="B404" s="6"/>
      <c r="C404" s="10"/>
      <c r="D404" s="10"/>
      <c r="E404" s="10"/>
      <c r="F404" s="6"/>
      <c r="G404" s="6"/>
      <c r="H404" s="6"/>
      <c r="I404" s="6"/>
      <c r="J404" s="6"/>
      <c r="K404" s="6"/>
      <c r="L404" s="6"/>
      <c r="M404" s="6"/>
      <c r="N404" s="6"/>
    </row>
    <row r="405" spans="1:14" ht="19.5" customHeight="1" x14ac:dyDescent="0.25">
      <c r="A405" s="6"/>
      <c r="B405" s="6"/>
      <c r="C405" s="10"/>
      <c r="D405" s="10"/>
      <c r="E405" s="10"/>
      <c r="F405" s="6"/>
      <c r="G405" s="6"/>
      <c r="H405" s="6"/>
      <c r="I405" s="6"/>
      <c r="J405" s="6"/>
      <c r="K405" s="6"/>
      <c r="L405" s="6"/>
      <c r="M405" s="6"/>
      <c r="N405" s="6"/>
    </row>
    <row r="406" spans="1:14" ht="19.5" customHeight="1" x14ac:dyDescent="0.25">
      <c r="A406" s="6"/>
      <c r="B406" s="6"/>
      <c r="C406" s="10"/>
      <c r="D406" s="10"/>
      <c r="E406" s="10"/>
      <c r="F406" s="6"/>
      <c r="G406" s="6"/>
      <c r="H406" s="6"/>
      <c r="I406" s="6"/>
      <c r="J406" s="6"/>
      <c r="K406" s="6"/>
      <c r="L406" s="6"/>
      <c r="M406" s="6"/>
      <c r="N406" s="6"/>
    </row>
    <row r="407" spans="1:14" ht="19.5" customHeight="1" x14ac:dyDescent="0.25">
      <c r="A407" s="6"/>
      <c r="B407" s="6"/>
      <c r="C407" s="10"/>
      <c r="D407" s="10"/>
      <c r="E407" s="10"/>
      <c r="F407" s="6"/>
      <c r="G407" s="6"/>
      <c r="H407" s="6"/>
      <c r="I407" s="6"/>
      <c r="J407" s="6"/>
      <c r="K407" s="6"/>
      <c r="L407" s="6"/>
      <c r="M407" s="6"/>
      <c r="N407" s="6"/>
    </row>
    <row r="408" spans="1:14" ht="19.5" customHeight="1" x14ac:dyDescent="0.25">
      <c r="A408" s="6"/>
      <c r="B408" s="6"/>
      <c r="C408" s="10"/>
      <c r="D408" s="10"/>
      <c r="E408" s="10"/>
      <c r="F408" s="6"/>
      <c r="G408" s="6"/>
      <c r="H408" s="6"/>
      <c r="I408" s="6"/>
      <c r="J408" s="6"/>
      <c r="K408" s="6"/>
      <c r="L408" s="6"/>
      <c r="M408" s="6"/>
      <c r="N408" s="6"/>
    </row>
    <row r="409" spans="1:14" ht="19.5" customHeight="1" x14ac:dyDescent="0.25">
      <c r="A409" s="6"/>
      <c r="B409" s="6"/>
      <c r="C409" s="10"/>
      <c r="D409" s="10"/>
      <c r="E409" s="10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9.5" customHeight="1" x14ac:dyDescent="0.25">
      <c r="A410" s="6"/>
      <c r="B410" s="6"/>
      <c r="C410" s="10"/>
      <c r="D410" s="10"/>
      <c r="E410" s="10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9.5" customHeight="1" x14ac:dyDescent="0.25">
      <c r="A411" s="6"/>
      <c r="B411" s="6"/>
      <c r="C411" s="10"/>
      <c r="D411" s="10"/>
      <c r="E411" s="10"/>
      <c r="F411" s="6"/>
      <c r="G411" s="6"/>
      <c r="H411" s="6"/>
      <c r="I411" s="6"/>
      <c r="J411" s="6"/>
      <c r="K411" s="6"/>
      <c r="L411" s="6"/>
      <c r="M411" s="6"/>
      <c r="N411" s="6"/>
    </row>
    <row r="412" spans="1:14" ht="19.5" customHeight="1" x14ac:dyDescent="0.25">
      <c r="A412" s="6"/>
      <c r="B412" s="6"/>
      <c r="C412" s="10"/>
      <c r="D412" s="10"/>
      <c r="E412" s="10"/>
      <c r="F412" s="6"/>
      <c r="G412" s="6"/>
      <c r="H412" s="6"/>
      <c r="I412" s="6"/>
      <c r="J412" s="6"/>
      <c r="K412" s="6"/>
      <c r="L412" s="6"/>
      <c r="M412" s="6"/>
      <c r="N412" s="6"/>
    </row>
    <row r="413" spans="1:14" ht="19.5" customHeight="1" x14ac:dyDescent="0.25">
      <c r="A413" s="6"/>
      <c r="B413" s="6"/>
      <c r="C413" s="10"/>
      <c r="D413" s="10"/>
      <c r="E413" s="10"/>
      <c r="F413" s="6"/>
      <c r="G413" s="6"/>
      <c r="H413" s="6"/>
      <c r="I413" s="6"/>
      <c r="J413" s="6"/>
      <c r="K413" s="6"/>
      <c r="L413" s="6"/>
      <c r="M413" s="6"/>
      <c r="N413" s="6"/>
    </row>
    <row r="414" spans="1:14" ht="19.5" customHeight="1" x14ac:dyDescent="0.25">
      <c r="A414" s="6"/>
      <c r="B414" s="6"/>
      <c r="C414" s="10"/>
      <c r="D414" s="10"/>
      <c r="E414" s="10"/>
      <c r="F414" s="6"/>
      <c r="G414" s="6"/>
      <c r="H414" s="6"/>
      <c r="I414" s="6"/>
      <c r="J414" s="6"/>
      <c r="K414" s="6"/>
      <c r="L414" s="6"/>
      <c r="M414" s="6"/>
      <c r="N414" s="6"/>
    </row>
    <row r="415" spans="1:14" ht="19.5" customHeight="1" x14ac:dyDescent="0.25">
      <c r="A415" s="6"/>
      <c r="B415" s="6"/>
      <c r="C415" s="10"/>
      <c r="D415" s="10"/>
      <c r="E415" s="10"/>
      <c r="F415" s="6"/>
      <c r="G415" s="6"/>
      <c r="H415" s="6"/>
      <c r="I415" s="6"/>
      <c r="J415" s="6"/>
      <c r="K415" s="6"/>
      <c r="L415" s="6"/>
      <c r="M415" s="6"/>
      <c r="N415" s="6"/>
    </row>
    <row r="416" spans="1:14" ht="19.5" customHeight="1" x14ac:dyDescent="0.25">
      <c r="A416" s="6"/>
      <c r="B416" s="6"/>
      <c r="C416" s="10"/>
      <c r="D416" s="10"/>
      <c r="E416" s="10"/>
      <c r="F416" s="6"/>
      <c r="G416" s="6"/>
      <c r="H416" s="6"/>
      <c r="I416" s="6"/>
      <c r="J416" s="6"/>
      <c r="K416" s="6"/>
      <c r="L416" s="6"/>
      <c r="M416" s="6"/>
      <c r="N416" s="6"/>
    </row>
    <row r="417" spans="1:14" ht="19.5" customHeight="1" x14ac:dyDescent="0.25">
      <c r="A417" s="6"/>
      <c r="B417" s="6"/>
      <c r="C417" s="10"/>
      <c r="D417" s="10"/>
      <c r="E417" s="10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9.5" customHeight="1" x14ac:dyDescent="0.25">
      <c r="A418" s="6"/>
      <c r="B418" s="6"/>
      <c r="C418" s="10"/>
      <c r="D418" s="10"/>
      <c r="E418" s="10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9.5" customHeight="1" x14ac:dyDescent="0.25">
      <c r="A419" s="6"/>
      <c r="B419" s="6"/>
      <c r="C419" s="10"/>
      <c r="D419" s="10"/>
      <c r="E419" s="10"/>
      <c r="F419" s="6"/>
      <c r="G419" s="6"/>
      <c r="H419" s="6"/>
      <c r="I419" s="6"/>
      <c r="J419" s="6"/>
      <c r="K419" s="6"/>
      <c r="L419" s="6"/>
      <c r="M419" s="6"/>
      <c r="N419" s="6"/>
    </row>
    <row r="420" spans="1:14" ht="19.5" customHeight="1" x14ac:dyDescent="0.25">
      <c r="A420" s="6"/>
      <c r="B420" s="6"/>
      <c r="C420" s="10"/>
      <c r="D420" s="10"/>
      <c r="E420" s="10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19.5" customHeight="1" x14ac:dyDescent="0.25">
      <c r="A421" s="6"/>
      <c r="B421" s="6"/>
      <c r="C421" s="10"/>
      <c r="D421" s="10"/>
      <c r="E421" s="10"/>
      <c r="F421" s="6"/>
      <c r="G421" s="6"/>
      <c r="H421" s="6"/>
      <c r="I421" s="6"/>
      <c r="J421" s="6"/>
      <c r="K421" s="6"/>
      <c r="L421" s="6"/>
      <c r="M421" s="6"/>
      <c r="N421" s="6"/>
    </row>
    <row r="422" spans="1:14" ht="19.5" customHeight="1" x14ac:dyDescent="0.25">
      <c r="A422" s="6"/>
      <c r="B422" s="6"/>
      <c r="C422" s="10"/>
      <c r="D422" s="10"/>
      <c r="E422" s="10"/>
      <c r="F422" s="6"/>
      <c r="G422" s="6"/>
      <c r="H422" s="6"/>
      <c r="I422" s="6"/>
      <c r="J422" s="6"/>
      <c r="K422" s="6"/>
      <c r="L422" s="6"/>
      <c r="M422" s="6"/>
      <c r="N422" s="6"/>
    </row>
    <row r="423" spans="1:14" ht="19.5" customHeight="1" x14ac:dyDescent="0.25">
      <c r="A423" s="6"/>
      <c r="B423" s="6"/>
      <c r="C423" s="10"/>
      <c r="D423" s="10"/>
      <c r="E423" s="10"/>
      <c r="F423" s="6"/>
      <c r="G423" s="6"/>
      <c r="H423" s="6"/>
      <c r="I423" s="6"/>
      <c r="J423" s="6"/>
      <c r="K423" s="6"/>
      <c r="L423" s="6"/>
      <c r="M423" s="6"/>
      <c r="N423" s="6"/>
    </row>
    <row r="424" spans="1:14" ht="19.5" customHeight="1" x14ac:dyDescent="0.25">
      <c r="A424" s="6"/>
      <c r="B424" s="6"/>
      <c r="C424" s="10"/>
      <c r="D424" s="10"/>
      <c r="E424" s="10"/>
      <c r="F424" s="6"/>
      <c r="G424" s="6"/>
      <c r="H424" s="6"/>
      <c r="I424" s="6"/>
      <c r="J424" s="6"/>
      <c r="K424" s="6"/>
      <c r="L424" s="6"/>
      <c r="M424" s="6"/>
      <c r="N424" s="6"/>
    </row>
    <row r="425" spans="1:14" ht="19.5" customHeight="1" x14ac:dyDescent="0.25">
      <c r="A425" s="6"/>
      <c r="B425" s="6"/>
      <c r="C425" s="10"/>
      <c r="D425" s="10"/>
      <c r="E425" s="10"/>
      <c r="F425" s="6"/>
      <c r="G425" s="6"/>
      <c r="H425" s="6"/>
      <c r="I425" s="6"/>
      <c r="J425" s="6"/>
      <c r="K425" s="6"/>
      <c r="L425" s="6"/>
      <c r="M425" s="6"/>
      <c r="N425" s="6"/>
    </row>
    <row r="426" spans="1:14" ht="19.5" customHeight="1" x14ac:dyDescent="0.25">
      <c r="A426" s="6"/>
      <c r="B426" s="6"/>
      <c r="C426" s="10"/>
      <c r="D426" s="10"/>
      <c r="E426" s="10"/>
      <c r="F426" s="6"/>
      <c r="G426" s="6"/>
      <c r="H426" s="6"/>
      <c r="I426" s="6"/>
      <c r="J426" s="6"/>
      <c r="K426" s="6"/>
      <c r="L426" s="6"/>
      <c r="M426" s="6"/>
      <c r="N426" s="6"/>
    </row>
    <row r="427" spans="1:14" ht="19.5" customHeight="1" x14ac:dyDescent="0.25">
      <c r="A427" s="6"/>
      <c r="B427" s="6"/>
      <c r="C427" s="10"/>
      <c r="D427" s="10"/>
      <c r="E427" s="10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9.5" customHeight="1" x14ac:dyDescent="0.25">
      <c r="A428" s="6"/>
      <c r="B428" s="6"/>
      <c r="C428" s="10"/>
      <c r="D428" s="10"/>
      <c r="E428" s="10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9.5" customHeight="1" x14ac:dyDescent="0.25">
      <c r="A429" s="6"/>
      <c r="B429" s="6"/>
      <c r="C429" s="10"/>
      <c r="D429" s="10"/>
      <c r="E429" s="10"/>
      <c r="F429" s="6"/>
      <c r="G429" s="6"/>
      <c r="H429" s="6"/>
      <c r="I429" s="6"/>
      <c r="J429" s="6"/>
      <c r="K429" s="6"/>
      <c r="L429" s="6"/>
      <c r="M429" s="6"/>
      <c r="N429" s="6"/>
    </row>
    <row r="430" spans="1:14" ht="19.5" customHeight="1" x14ac:dyDescent="0.25">
      <c r="A430" s="6"/>
      <c r="B430" s="6"/>
      <c r="C430" s="10"/>
      <c r="D430" s="10"/>
      <c r="E430" s="10"/>
      <c r="F430" s="6"/>
      <c r="G430" s="6"/>
      <c r="H430" s="6"/>
      <c r="I430" s="6"/>
      <c r="J430" s="6"/>
      <c r="K430" s="6"/>
      <c r="L430" s="6"/>
      <c r="M430" s="6"/>
      <c r="N430" s="6"/>
    </row>
    <row r="431" spans="1:14" ht="19.5" customHeight="1" x14ac:dyDescent="0.25">
      <c r="A431" s="6"/>
      <c r="B431" s="6"/>
      <c r="C431" s="10"/>
      <c r="D431" s="10"/>
      <c r="E431" s="10"/>
      <c r="F431" s="6"/>
      <c r="G431" s="6"/>
      <c r="H431" s="6"/>
      <c r="I431" s="6"/>
      <c r="J431" s="6"/>
      <c r="K431" s="6"/>
      <c r="L431" s="6"/>
      <c r="M431" s="6"/>
      <c r="N431" s="6"/>
    </row>
    <row r="432" spans="1:14" ht="19.5" customHeight="1" x14ac:dyDescent="0.25">
      <c r="A432" s="6"/>
      <c r="B432" s="6"/>
      <c r="C432" s="10"/>
      <c r="D432" s="10"/>
      <c r="E432" s="10"/>
      <c r="F432" s="6"/>
      <c r="G432" s="6"/>
      <c r="H432" s="6"/>
      <c r="I432" s="6"/>
      <c r="J432" s="6"/>
      <c r="K432" s="6"/>
      <c r="L432" s="6"/>
      <c r="M432" s="6"/>
      <c r="N432" s="6"/>
    </row>
    <row r="433" spans="1:14" ht="19.5" customHeight="1" x14ac:dyDescent="0.25">
      <c r="A433" s="6"/>
      <c r="B433" s="6"/>
      <c r="C433" s="10"/>
      <c r="D433" s="10"/>
      <c r="E433" s="10"/>
      <c r="F433" s="6"/>
      <c r="G433" s="6"/>
      <c r="H433" s="6"/>
      <c r="I433" s="6"/>
      <c r="J433" s="6"/>
      <c r="K433" s="6"/>
      <c r="L433" s="6"/>
      <c r="M433" s="6"/>
      <c r="N433" s="6"/>
    </row>
    <row r="434" spans="1:14" ht="19.5" customHeight="1" x14ac:dyDescent="0.25">
      <c r="A434" s="6"/>
      <c r="B434" s="6"/>
      <c r="C434" s="10"/>
      <c r="D434" s="10"/>
      <c r="E434" s="10"/>
      <c r="F434" s="6"/>
      <c r="G434" s="6"/>
      <c r="H434" s="6"/>
      <c r="I434" s="6"/>
      <c r="J434" s="6"/>
      <c r="K434" s="6"/>
      <c r="L434" s="6"/>
      <c r="M434" s="6"/>
      <c r="N434" s="6"/>
    </row>
    <row r="435" spans="1:14" ht="19.5" customHeight="1" x14ac:dyDescent="0.25">
      <c r="A435" s="6"/>
      <c r="B435" s="6"/>
      <c r="C435" s="10"/>
      <c r="D435" s="10"/>
      <c r="E435" s="10"/>
      <c r="F435" s="6"/>
      <c r="G435" s="6"/>
      <c r="H435" s="6"/>
      <c r="I435" s="6"/>
      <c r="J435" s="6"/>
      <c r="K435" s="6"/>
      <c r="L435" s="6"/>
      <c r="M435" s="6"/>
      <c r="N435" s="6"/>
    </row>
    <row r="436" spans="1:14" ht="19.5" customHeight="1" x14ac:dyDescent="0.25">
      <c r="A436" s="6"/>
      <c r="B436" s="6"/>
      <c r="C436" s="10"/>
      <c r="D436" s="10"/>
      <c r="E436" s="10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9.5" customHeight="1" x14ac:dyDescent="0.25">
      <c r="A437" s="6"/>
      <c r="B437" s="6"/>
      <c r="C437" s="10"/>
      <c r="D437" s="10"/>
      <c r="E437" s="10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9.5" customHeight="1" x14ac:dyDescent="0.25">
      <c r="A438" s="6"/>
      <c r="B438" s="6"/>
      <c r="C438" s="10"/>
      <c r="D438" s="10"/>
      <c r="E438" s="10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19.5" customHeight="1" x14ac:dyDescent="0.25">
      <c r="A439" s="6"/>
      <c r="B439" s="6"/>
      <c r="C439" s="10"/>
      <c r="D439" s="10"/>
      <c r="E439" s="10"/>
      <c r="F439" s="6"/>
      <c r="G439" s="6"/>
      <c r="H439" s="6"/>
      <c r="I439" s="6"/>
      <c r="J439" s="6"/>
      <c r="K439" s="6"/>
      <c r="L439" s="6"/>
      <c r="M439" s="6"/>
      <c r="N439" s="6"/>
    </row>
    <row r="440" spans="1:14" ht="19.5" customHeight="1" x14ac:dyDescent="0.25">
      <c r="A440" s="6"/>
      <c r="B440" s="6"/>
      <c r="C440" s="10"/>
      <c r="D440" s="10"/>
      <c r="E440" s="10"/>
      <c r="F440" s="6"/>
      <c r="G440" s="6"/>
      <c r="H440" s="6"/>
      <c r="I440" s="6"/>
      <c r="J440" s="6"/>
      <c r="K440" s="6"/>
      <c r="L440" s="6"/>
      <c r="M440" s="6"/>
      <c r="N440" s="6"/>
    </row>
    <row r="441" spans="1:14" ht="19.5" customHeight="1" x14ac:dyDescent="0.25">
      <c r="A441" s="6"/>
      <c r="B441" s="6"/>
      <c r="C441" s="10"/>
      <c r="D441" s="10"/>
      <c r="E441" s="10"/>
      <c r="F441" s="6"/>
      <c r="G441" s="6"/>
      <c r="H441" s="6"/>
      <c r="I441" s="6"/>
      <c r="J441" s="6"/>
      <c r="K441" s="6"/>
      <c r="L441" s="6"/>
      <c r="M441" s="6"/>
      <c r="N441" s="6"/>
    </row>
    <row r="442" spans="1:14" ht="19.5" customHeight="1" x14ac:dyDescent="0.25">
      <c r="A442" s="6"/>
      <c r="B442" s="6"/>
      <c r="C442" s="10"/>
      <c r="D442" s="10"/>
      <c r="E442" s="10"/>
      <c r="F442" s="6"/>
      <c r="G442" s="6"/>
      <c r="H442" s="6"/>
      <c r="I442" s="6"/>
      <c r="J442" s="6"/>
      <c r="K442" s="6"/>
      <c r="L442" s="6"/>
      <c r="M442" s="6"/>
      <c r="N442" s="6"/>
    </row>
    <row r="443" spans="1:14" ht="19.5" customHeight="1" x14ac:dyDescent="0.25">
      <c r="A443" s="6"/>
      <c r="B443" s="6"/>
      <c r="C443" s="10"/>
      <c r="D443" s="10"/>
      <c r="E443" s="10"/>
      <c r="F443" s="6"/>
      <c r="G443" s="6"/>
      <c r="H443" s="6"/>
      <c r="I443" s="6"/>
      <c r="J443" s="6"/>
      <c r="K443" s="6"/>
      <c r="L443" s="6"/>
      <c r="M443" s="6"/>
      <c r="N443" s="6"/>
    </row>
    <row r="444" spans="1:14" ht="19.5" customHeight="1" x14ac:dyDescent="0.25">
      <c r="A444" s="6"/>
      <c r="B444" s="6"/>
      <c r="C444" s="10"/>
      <c r="D444" s="10"/>
      <c r="E444" s="10"/>
      <c r="F444" s="6"/>
      <c r="G444" s="6"/>
      <c r="H444" s="6"/>
      <c r="I444" s="6"/>
      <c r="J444" s="6"/>
      <c r="K444" s="6"/>
      <c r="L444" s="6"/>
      <c r="M444" s="6"/>
      <c r="N444" s="6"/>
    </row>
    <row r="445" spans="1:14" ht="19.5" customHeight="1" x14ac:dyDescent="0.25">
      <c r="A445" s="6"/>
      <c r="B445" s="6"/>
      <c r="C445" s="10"/>
      <c r="D445" s="10"/>
      <c r="E445" s="10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9.5" customHeight="1" x14ac:dyDescent="0.25">
      <c r="A446" s="6"/>
      <c r="B446" s="6"/>
      <c r="C446" s="10"/>
      <c r="D446" s="10"/>
      <c r="E446" s="10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9.5" customHeight="1" x14ac:dyDescent="0.25">
      <c r="A447" s="6"/>
      <c r="B447" s="6"/>
      <c r="C447" s="10"/>
      <c r="D447" s="10"/>
      <c r="E447" s="10"/>
      <c r="F447" s="6"/>
      <c r="G447" s="6"/>
      <c r="H447" s="6"/>
      <c r="I447" s="6"/>
      <c r="J447" s="6"/>
      <c r="K447" s="6"/>
      <c r="L447" s="6"/>
      <c r="M447" s="6"/>
      <c r="N447" s="6"/>
    </row>
    <row r="448" spans="1:14" ht="19.5" customHeight="1" x14ac:dyDescent="0.25">
      <c r="A448" s="6"/>
      <c r="B448" s="6"/>
      <c r="C448" s="10"/>
      <c r="D448" s="10"/>
      <c r="E448" s="10"/>
      <c r="F448" s="6"/>
      <c r="G448" s="6"/>
      <c r="H448" s="6"/>
      <c r="I448" s="6"/>
      <c r="J448" s="6"/>
      <c r="K448" s="6"/>
      <c r="L448" s="6"/>
      <c r="M448" s="6"/>
      <c r="N448" s="6"/>
    </row>
    <row r="449" spans="1:14" ht="19.5" customHeight="1" x14ac:dyDescent="0.25">
      <c r="A449" s="6"/>
      <c r="B449" s="6"/>
      <c r="C449" s="10"/>
      <c r="D449" s="10"/>
      <c r="E449" s="10"/>
      <c r="F449" s="6"/>
      <c r="G449" s="6"/>
      <c r="H449" s="6"/>
      <c r="I449" s="6"/>
      <c r="J449" s="6"/>
      <c r="K449" s="6"/>
      <c r="L449" s="6"/>
      <c r="M449" s="6"/>
      <c r="N449" s="6"/>
    </row>
    <row r="450" spans="1:14" ht="19.5" customHeight="1" x14ac:dyDescent="0.25">
      <c r="A450" s="6"/>
      <c r="B450" s="6"/>
      <c r="C450" s="10"/>
      <c r="D450" s="10"/>
      <c r="E450" s="10"/>
      <c r="F450" s="6"/>
      <c r="G450" s="6"/>
      <c r="H450" s="6"/>
      <c r="I450" s="6"/>
      <c r="J450" s="6"/>
      <c r="K450" s="6"/>
      <c r="L450" s="6"/>
      <c r="M450" s="6"/>
      <c r="N450" s="6"/>
    </row>
    <row r="451" spans="1:14" ht="19.5" customHeight="1" x14ac:dyDescent="0.25">
      <c r="A451" s="6"/>
      <c r="B451" s="6"/>
      <c r="C451" s="10"/>
      <c r="D451" s="10"/>
      <c r="E451" s="10"/>
      <c r="F451" s="6"/>
      <c r="G451" s="6"/>
      <c r="H451" s="6"/>
      <c r="I451" s="6"/>
      <c r="J451" s="6"/>
      <c r="K451" s="6"/>
      <c r="L451" s="6"/>
      <c r="M451" s="6"/>
      <c r="N451" s="6"/>
    </row>
    <row r="452" spans="1:14" ht="19.5" customHeight="1" x14ac:dyDescent="0.25">
      <c r="A452" s="6"/>
      <c r="B452" s="6"/>
      <c r="C452" s="10"/>
      <c r="D452" s="10"/>
      <c r="E452" s="10"/>
      <c r="F452" s="6"/>
      <c r="G452" s="6"/>
      <c r="H452" s="6"/>
      <c r="I452" s="6"/>
      <c r="J452" s="6"/>
      <c r="K452" s="6"/>
      <c r="L452" s="6"/>
      <c r="M452" s="6"/>
      <c r="N452" s="6"/>
    </row>
    <row r="453" spans="1:14" ht="19.5" customHeight="1" x14ac:dyDescent="0.25">
      <c r="A453" s="6"/>
      <c r="B453" s="6"/>
      <c r="C453" s="10"/>
      <c r="D453" s="10"/>
      <c r="E453" s="10"/>
      <c r="F453" s="6"/>
      <c r="G453" s="6"/>
      <c r="H453" s="6"/>
      <c r="I453" s="6"/>
      <c r="J453" s="6"/>
      <c r="K453" s="6"/>
      <c r="L453" s="6"/>
      <c r="M453" s="6"/>
      <c r="N453" s="6"/>
    </row>
    <row r="454" spans="1:14" ht="19.5" customHeight="1" x14ac:dyDescent="0.25">
      <c r="A454" s="6"/>
      <c r="B454" s="6"/>
      <c r="C454" s="10"/>
      <c r="D454" s="10"/>
      <c r="E454" s="10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9.5" customHeight="1" x14ac:dyDescent="0.25">
      <c r="A455" s="6"/>
      <c r="B455" s="6"/>
      <c r="C455" s="10"/>
      <c r="D455" s="10"/>
      <c r="E455" s="10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9.5" customHeight="1" x14ac:dyDescent="0.25">
      <c r="A456" s="6"/>
      <c r="B456" s="6"/>
      <c r="C456" s="10"/>
      <c r="D456" s="10"/>
      <c r="E456" s="10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19.5" customHeight="1" x14ac:dyDescent="0.25">
      <c r="A457" s="6"/>
      <c r="B457" s="6"/>
      <c r="C457" s="10"/>
      <c r="D457" s="10"/>
      <c r="E457" s="10"/>
      <c r="F457" s="6"/>
      <c r="G457" s="6"/>
      <c r="H457" s="6"/>
      <c r="I457" s="6"/>
      <c r="J457" s="6"/>
      <c r="K457" s="6"/>
      <c r="L457" s="6"/>
      <c r="M457" s="6"/>
      <c r="N457" s="6"/>
    </row>
    <row r="458" spans="1:14" ht="19.5" customHeight="1" x14ac:dyDescent="0.25">
      <c r="A458" s="6"/>
      <c r="B458" s="6"/>
      <c r="C458" s="10"/>
      <c r="D458" s="10"/>
      <c r="E458" s="10"/>
      <c r="F458" s="6"/>
      <c r="G458" s="6"/>
      <c r="H458" s="6"/>
      <c r="I458" s="6"/>
      <c r="J458" s="6"/>
      <c r="K458" s="6"/>
      <c r="L458" s="6"/>
      <c r="M458" s="6"/>
      <c r="N458" s="6"/>
    </row>
    <row r="459" spans="1:14" ht="19.5" customHeight="1" x14ac:dyDescent="0.25">
      <c r="A459" s="6"/>
      <c r="B459" s="6"/>
      <c r="C459" s="10"/>
      <c r="D459" s="10"/>
      <c r="E459" s="10"/>
      <c r="F459" s="6"/>
      <c r="G459" s="6"/>
      <c r="H459" s="6"/>
      <c r="I459" s="6"/>
      <c r="J459" s="6"/>
      <c r="K459" s="6"/>
      <c r="L459" s="6"/>
      <c r="M459" s="6"/>
      <c r="N459" s="6"/>
    </row>
    <row r="460" spans="1:14" ht="19.5" customHeight="1" x14ac:dyDescent="0.25">
      <c r="A460" s="6"/>
      <c r="B460" s="6"/>
      <c r="C460" s="10"/>
      <c r="D460" s="10"/>
      <c r="E460" s="10"/>
      <c r="F460" s="6"/>
      <c r="G460" s="6"/>
      <c r="H460" s="6"/>
      <c r="I460" s="6"/>
      <c r="J460" s="6"/>
      <c r="K460" s="6"/>
      <c r="L460" s="6"/>
      <c r="M460" s="6"/>
      <c r="N460" s="6"/>
    </row>
    <row r="461" spans="1:14" ht="19.5" customHeight="1" x14ac:dyDescent="0.25">
      <c r="A461" s="6"/>
      <c r="B461" s="6"/>
      <c r="C461" s="10"/>
      <c r="D461" s="10"/>
      <c r="E461" s="10"/>
      <c r="F461" s="6"/>
      <c r="G461" s="6"/>
      <c r="H461" s="6"/>
      <c r="I461" s="6"/>
      <c r="J461" s="6"/>
      <c r="K461" s="6"/>
      <c r="L461" s="6"/>
      <c r="M461" s="6"/>
      <c r="N461" s="6"/>
    </row>
    <row r="462" spans="1:14" ht="19.5" customHeight="1" x14ac:dyDescent="0.25">
      <c r="A462" s="6"/>
      <c r="B462" s="6"/>
      <c r="C462" s="10"/>
      <c r="D462" s="10"/>
      <c r="E462" s="10"/>
      <c r="F462" s="6"/>
      <c r="G462" s="6"/>
      <c r="H462" s="6"/>
      <c r="I462" s="6"/>
      <c r="J462" s="6"/>
      <c r="K462" s="6"/>
      <c r="L462" s="6"/>
      <c r="M462" s="6"/>
      <c r="N462" s="6"/>
    </row>
    <row r="463" spans="1:14" ht="19.5" customHeight="1" x14ac:dyDescent="0.25">
      <c r="A463" s="6"/>
      <c r="B463" s="6"/>
      <c r="C463" s="10"/>
      <c r="D463" s="10"/>
      <c r="E463" s="10"/>
      <c r="F463" s="6"/>
      <c r="G463" s="6"/>
      <c r="H463" s="6"/>
      <c r="I463" s="6"/>
      <c r="J463" s="6"/>
      <c r="K463" s="6"/>
      <c r="L463" s="6"/>
      <c r="M463" s="6"/>
      <c r="N463" s="6"/>
    </row>
    <row r="464" spans="1:14" ht="19.5" customHeight="1" x14ac:dyDescent="0.25">
      <c r="A464" s="6"/>
      <c r="B464" s="6"/>
      <c r="C464" s="10"/>
      <c r="D464" s="10"/>
      <c r="E464" s="10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9.5" customHeight="1" x14ac:dyDescent="0.25">
      <c r="A465" s="6"/>
      <c r="B465" s="6"/>
      <c r="C465" s="10"/>
      <c r="D465" s="10"/>
      <c r="E465" s="10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9.5" customHeight="1" x14ac:dyDescent="0.25">
      <c r="A466" s="6"/>
      <c r="B466" s="6"/>
      <c r="C466" s="10"/>
      <c r="D466" s="10"/>
      <c r="E466" s="10"/>
      <c r="F466" s="6"/>
      <c r="G466" s="6"/>
      <c r="H466" s="6"/>
      <c r="I466" s="6"/>
      <c r="J466" s="6"/>
      <c r="K466" s="6"/>
      <c r="L466" s="6"/>
      <c r="M466" s="6"/>
      <c r="N466" s="6"/>
    </row>
    <row r="467" spans="1:14" ht="19.5" customHeight="1" x14ac:dyDescent="0.25">
      <c r="A467" s="6"/>
      <c r="B467" s="6"/>
      <c r="C467" s="10"/>
      <c r="D467" s="10"/>
      <c r="E467" s="10"/>
      <c r="F467" s="6"/>
      <c r="G467" s="6"/>
      <c r="H467" s="6"/>
      <c r="I467" s="6"/>
      <c r="J467" s="6"/>
      <c r="K467" s="6"/>
      <c r="L467" s="6"/>
      <c r="M467" s="6"/>
      <c r="N467" s="6"/>
    </row>
    <row r="468" spans="1:14" ht="19.5" customHeight="1" x14ac:dyDescent="0.25">
      <c r="A468" s="6"/>
      <c r="B468" s="6"/>
      <c r="C468" s="10"/>
      <c r="D468" s="10"/>
      <c r="E468" s="10"/>
      <c r="F468" s="6"/>
      <c r="G468" s="6"/>
      <c r="H468" s="6"/>
      <c r="I468" s="6"/>
      <c r="J468" s="6"/>
      <c r="K468" s="6"/>
      <c r="L468" s="6"/>
      <c r="M468" s="6"/>
      <c r="N468" s="6"/>
    </row>
    <row r="469" spans="1:14" ht="19.5" customHeight="1" x14ac:dyDescent="0.25">
      <c r="A469" s="6"/>
      <c r="B469" s="6"/>
      <c r="C469" s="10"/>
      <c r="D469" s="10"/>
      <c r="E469" s="10"/>
      <c r="F469" s="6"/>
      <c r="G469" s="6"/>
      <c r="H469" s="6"/>
      <c r="I469" s="6"/>
      <c r="J469" s="6"/>
      <c r="K469" s="6"/>
      <c r="L469" s="6"/>
      <c r="M469" s="6"/>
      <c r="N469" s="6"/>
    </row>
    <row r="470" spans="1:14" ht="19.5" customHeight="1" x14ac:dyDescent="0.25">
      <c r="A470" s="6"/>
      <c r="B470" s="6"/>
      <c r="C470" s="10"/>
      <c r="D470" s="10"/>
      <c r="E470" s="10"/>
      <c r="F470" s="6"/>
      <c r="G470" s="6"/>
      <c r="H470" s="6"/>
      <c r="I470" s="6"/>
      <c r="J470" s="6"/>
      <c r="K470" s="6"/>
      <c r="L470" s="6"/>
      <c r="M470" s="6"/>
      <c r="N470" s="6"/>
    </row>
    <row r="471" spans="1:14" ht="19.5" customHeight="1" x14ac:dyDescent="0.25">
      <c r="A471" s="6"/>
      <c r="B471" s="6"/>
      <c r="C471" s="10"/>
      <c r="D471" s="10"/>
      <c r="E471" s="10"/>
      <c r="F471" s="6"/>
      <c r="G471" s="6"/>
      <c r="H471" s="6"/>
      <c r="I471" s="6"/>
      <c r="J471" s="6"/>
      <c r="K471" s="6"/>
      <c r="L471" s="6"/>
      <c r="M471" s="6"/>
      <c r="N471" s="6"/>
    </row>
    <row r="472" spans="1:14" ht="19.5" customHeight="1" x14ac:dyDescent="0.25">
      <c r="A472" s="6"/>
      <c r="B472" s="6"/>
      <c r="C472" s="10"/>
      <c r="D472" s="10"/>
      <c r="E472" s="10"/>
      <c r="F472" s="6"/>
      <c r="G472" s="6"/>
      <c r="H472" s="6"/>
      <c r="I472" s="6"/>
      <c r="J472" s="6"/>
      <c r="K472" s="6"/>
      <c r="L472" s="6"/>
      <c r="M472" s="6"/>
      <c r="N472" s="6"/>
    </row>
    <row r="473" spans="1:14" ht="19.5" customHeight="1" x14ac:dyDescent="0.25">
      <c r="A473" s="6"/>
      <c r="B473" s="6"/>
      <c r="C473" s="10"/>
      <c r="D473" s="10"/>
      <c r="E473" s="10"/>
      <c r="F473" s="6"/>
      <c r="G473" s="6"/>
      <c r="H473" s="6"/>
      <c r="I473" s="6"/>
      <c r="J473" s="6"/>
      <c r="K473" s="6"/>
      <c r="L473" s="6"/>
      <c r="M473" s="6"/>
      <c r="N473" s="6"/>
    </row>
    <row r="474" spans="1:14" ht="19.5" customHeight="1" x14ac:dyDescent="0.25">
      <c r="A474" s="6"/>
      <c r="B474" s="6"/>
      <c r="C474" s="10"/>
      <c r="D474" s="10"/>
      <c r="E474" s="10"/>
      <c r="F474" s="6"/>
      <c r="G474" s="6"/>
      <c r="H474" s="6"/>
      <c r="I474" s="6"/>
      <c r="J474" s="6"/>
      <c r="K474" s="6"/>
      <c r="L474" s="6"/>
      <c r="M474" s="6"/>
      <c r="N474" s="6"/>
    </row>
    <row r="475" spans="1:14" ht="19.5" customHeight="1" x14ac:dyDescent="0.25">
      <c r="A475" s="6"/>
      <c r="B475" s="6"/>
      <c r="C475" s="10"/>
      <c r="D475" s="10"/>
      <c r="E475" s="10"/>
      <c r="F475" s="6"/>
      <c r="G475" s="6"/>
      <c r="H475" s="6"/>
      <c r="I475" s="6"/>
      <c r="J475" s="6"/>
      <c r="K475" s="6"/>
      <c r="L475" s="6"/>
      <c r="M475" s="6"/>
      <c r="N475" s="6"/>
    </row>
    <row r="476" spans="1:14" ht="19.5" customHeight="1" x14ac:dyDescent="0.25">
      <c r="A476" s="6"/>
      <c r="B476" s="6"/>
      <c r="C476" s="10"/>
      <c r="D476" s="10"/>
      <c r="E476" s="10"/>
      <c r="F476" s="6"/>
      <c r="G476" s="6"/>
      <c r="H476" s="6"/>
      <c r="I476" s="6"/>
      <c r="J476" s="6"/>
      <c r="K476" s="6"/>
      <c r="L476" s="6"/>
      <c r="M476" s="6"/>
      <c r="N476" s="6"/>
    </row>
    <row r="477" spans="1:14" ht="19.5" customHeight="1" x14ac:dyDescent="0.25">
      <c r="A477" s="6"/>
      <c r="B477" s="6"/>
      <c r="C477" s="10"/>
      <c r="D477" s="10"/>
      <c r="E477" s="10"/>
      <c r="F477" s="6"/>
      <c r="G477" s="6"/>
      <c r="H477" s="6"/>
      <c r="I477" s="6"/>
      <c r="J477" s="6"/>
      <c r="K477" s="6"/>
      <c r="L477" s="6"/>
      <c r="M477" s="6"/>
      <c r="N477" s="6"/>
    </row>
    <row r="478" spans="1:14" ht="19.5" customHeight="1" x14ac:dyDescent="0.25">
      <c r="A478" s="6"/>
      <c r="B478" s="6"/>
      <c r="C478" s="10"/>
      <c r="D478" s="10"/>
      <c r="E478" s="10"/>
      <c r="F478" s="6"/>
      <c r="G478" s="6"/>
      <c r="H478" s="6"/>
      <c r="I478" s="6"/>
      <c r="J478" s="6"/>
      <c r="K478" s="6"/>
      <c r="L478" s="6"/>
      <c r="M478" s="6"/>
      <c r="N478" s="6"/>
    </row>
    <row r="479" spans="1:14" ht="19.5" customHeight="1" x14ac:dyDescent="0.25">
      <c r="A479" s="6"/>
      <c r="B479" s="6"/>
      <c r="C479" s="10"/>
      <c r="D479" s="10"/>
      <c r="E479" s="10"/>
      <c r="F479" s="6"/>
      <c r="G479" s="6"/>
      <c r="H479" s="6"/>
      <c r="I479" s="6"/>
      <c r="J479" s="6"/>
      <c r="K479" s="6"/>
      <c r="L479" s="6"/>
      <c r="M479" s="6"/>
      <c r="N479" s="6"/>
    </row>
    <row r="480" spans="1:14" ht="19.5" customHeight="1" x14ac:dyDescent="0.25">
      <c r="A480" s="6"/>
      <c r="B480" s="6"/>
      <c r="C480" s="10"/>
      <c r="D480" s="10"/>
      <c r="E480" s="10"/>
      <c r="F480" s="6"/>
      <c r="G480" s="6"/>
      <c r="H480" s="6"/>
      <c r="I480" s="6"/>
      <c r="J480" s="6"/>
      <c r="K480" s="6"/>
      <c r="L480" s="6"/>
      <c r="M480" s="6"/>
      <c r="N480" s="6"/>
    </row>
    <row r="481" spans="1:14" ht="19.5" customHeight="1" x14ac:dyDescent="0.25">
      <c r="A481" s="6"/>
      <c r="B481" s="6"/>
      <c r="C481" s="10"/>
      <c r="D481" s="10"/>
      <c r="E481" s="10"/>
      <c r="F481" s="6"/>
      <c r="G481" s="6"/>
      <c r="H481" s="6"/>
      <c r="I481" s="6"/>
      <c r="J481" s="6"/>
      <c r="K481" s="6"/>
      <c r="L481" s="6"/>
      <c r="M481" s="6"/>
      <c r="N481" s="6"/>
    </row>
    <row r="482" spans="1:14" ht="19.5" customHeight="1" x14ac:dyDescent="0.25">
      <c r="A482" s="6"/>
      <c r="B482" s="6"/>
      <c r="C482" s="10"/>
      <c r="D482" s="10"/>
      <c r="E482" s="10"/>
      <c r="F482" s="6"/>
      <c r="G482" s="6"/>
      <c r="H482" s="6"/>
      <c r="I482" s="6"/>
      <c r="J482" s="6"/>
      <c r="K482" s="6"/>
      <c r="L482" s="6"/>
      <c r="M482" s="6"/>
      <c r="N482" s="6"/>
    </row>
    <row r="483" spans="1:14" ht="19.5" customHeight="1" x14ac:dyDescent="0.25">
      <c r="A483" s="6"/>
      <c r="B483" s="6"/>
      <c r="C483" s="10"/>
      <c r="D483" s="10"/>
      <c r="E483" s="10"/>
      <c r="F483" s="6"/>
      <c r="G483" s="6"/>
      <c r="H483" s="6"/>
      <c r="I483" s="6"/>
      <c r="J483" s="6"/>
      <c r="K483" s="6"/>
      <c r="L483" s="6"/>
      <c r="M483" s="6"/>
      <c r="N483" s="6"/>
    </row>
    <row r="484" spans="1:14" ht="19.5" customHeight="1" x14ac:dyDescent="0.25">
      <c r="A484" s="6"/>
      <c r="B484" s="6"/>
      <c r="C484" s="10"/>
      <c r="D484" s="10"/>
      <c r="E484" s="10"/>
      <c r="F484" s="6"/>
      <c r="G484" s="6"/>
      <c r="H484" s="6"/>
      <c r="I484" s="6"/>
      <c r="J484" s="6"/>
      <c r="K484" s="6"/>
      <c r="L484" s="6"/>
      <c r="M484" s="6"/>
      <c r="N484" s="6"/>
    </row>
    <row r="485" spans="1:14" ht="19.5" customHeight="1" x14ac:dyDescent="0.25">
      <c r="A485" s="6"/>
      <c r="B485" s="6"/>
      <c r="C485" s="10"/>
      <c r="D485" s="10"/>
      <c r="E485" s="10"/>
      <c r="F485" s="6"/>
      <c r="G485" s="6"/>
      <c r="H485" s="6"/>
      <c r="I485" s="6"/>
      <c r="J485" s="6"/>
      <c r="K485" s="6"/>
      <c r="L485" s="6"/>
      <c r="M485" s="6"/>
      <c r="N485" s="6"/>
    </row>
    <row r="486" spans="1:14" ht="19.5" customHeight="1" x14ac:dyDescent="0.25">
      <c r="A486" s="6"/>
      <c r="B486" s="6"/>
      <c r="C486" s="10"/>
      <c r="D486" s="10"/>
      <c r="E486" s="10"/>
      <c r="F486" s="6"/>
      <c r="G486" s="6"/>
      <c r="H486" s="6"/>
      <c r="I486" s="6"/>
      <c r="J486" s="6"/>
      <c r="K486" s="6"/>
      <c r="L486" s="6"/>
      <c r="M486" s="6"/>
      <c r="N486" s="6"/>
    </row>
    <row r="487" spans="1:14" ht="19.5" customHeight="1" x14ac:dyDescent="0.25">
      <c r="A487" s="6"/>
      <c r="B487" s="6"/>
      <c r="C487" s="10"/>
      <c r="D487" s="10"/>
      <c r="E487" s="10"/>
      <c r="F487" s="6"/>
      <c r="G487" s="6"/>
      <c r="H487" s="6"/>
      <c r="I487" s="6"/>
      <c r="J487" s="6"/>
      <c r="K487" s="6"/>
      <c r="L487" s="6"/>
      <c r="M487" s="6"/>
      <c r="N487" s="6"/>
    </row>
    <row r="488" spans="1:14" ht="19.5" customHeight="1" x14ac:dyDescent="0.25">
      <c r="A488" s="6"/>
      <c r="B488" s="6"/>
      <c r="C488" s="10"/>
      <c r="D488" s="10"/>
      <c r="E488" s="10"/>
      <c r="F488" s="6"/>
      <c r="G488" s="6"/>
      <c r="H488" s="6"/>
      <c r="I488" s="6"/>
      <c r="J488" s="6"/>
      <c r="K488" s="6"/>
      <c r="L488" s="6"/>
      <c r="M488" s="6"/>
      <c r="N488" s="6"/>
    </row>
    <row r="489" spans="1:14" ht="19.5" customHeight="1" x14ac:dyDescent="0.25">
      <c r="A489" s="6"/>
      <c r="B489" s="6"/>
      <c r="C489" s="10"/>
      <c r="D489" s="10"/>
      <c r="E489" s="10"/>
      <c r="F489" s="6"/>
      <c r="G489" s="6"/>
      <c r="H489" s="6"/>
      <c r="I489" s="6"/>
      <c r="J489" s="6"/>
      <c r="K489" s="6"/>
      <c r="L489" s="6"/>
      <c r="M489" s="6"/>
      <c r="N489" s="6"/>
    </row>
    <row r="490" spans="1:14" ht="19.5" customHeight="1" x14ac:dyDescent="0.25">
      <c r="A490" s="6"/>
      <c r="B490" s="6"/>
      <c r="C490" s="10"/>
      <c r="D490" s="10"/>
      <c r="E490" s="10"/>
      <c r="F490" s="6"/>
      <c r="G490" s="6"/>
      <c r="H490" s="6"/>
      <c r="I490" s="6"/>
      <c r="J490" s="6"/>
      <c r="K490" s="6"/>
      <c r="L490" s="6"/>
      <c r="M490" s="6"/>
      <c r="N490" s="6"/>
    </row>
    <row r="491" spans="1:14" ht="19.5" customHeight="1" x14ac:dyDescent="0.25">
      <c r="A491" s="6"/>
      <c r="B491" s="6"/>
      <c r="C491" s="10"/>
      <c r="D491" s="10"/>
      <c r="E491" s="10"/>
      <c r="F491" s="6"/>
      <c r="G491" s="6"/>
      <c r="H491" s="6"/>
      <c r="I491" s="6"/>
      <c r="J491" s="6"/>
      <c r="K491" s="6"/>
      <c r="L491" s="6"/>
      <c r="M491" s="6"/>
      <c r="N491" s="6"/>
    </row>
    <row r="492" spans="1:14" ht="19.5" customHeight="1" x14ac:dyDescent="0.25">
      <c r="A492" s="6"/>
      <c r="B492" s="6"/>
      <c r="C492" s="10"/>
      <c r="D492" s="10"/>
      <c r="E492" s="10"/>
      <c r="F492" s="6"/>
      <c r="G492" s="6"/>
      <c r="H492" s="6"/>
      <c r="I492" s="6"/>
      <c r="J492" s="6"/>
      <c r="K492" s="6"/>
      <c r="L492" s="6"/>
      <c r="M492" s="6"/>
      <c r="N492" s="6"/>
    </row>
    <row r="493" spans="1:14" ht="19.5" customHeight="1" x14ac:dyDescent="0.25">
      <c r="A493" s="6"/>
      <c r="B493" s="6"/>
      <c r="C493" s="10"/>
      <c r="D493" s="10"/>
      <c r="E493" s="10"/>
      <c r="F493" s="6"/>
      <c r="G493" s="6"/>
      <c r="H493" s="6"/>
      <c r="I493" s="6"/>
      <c r="J493" s="6"/>
      <c r="K493" s="6"/>
      <c r="L493" s="6"/>
      <c r="M493" s="6"/>
      <c r="N493" s="6"/>
    </row>
    <row r="494" spans="1:14" ht="19.5" customHeight="1" x14ac:dyDescent="0.25">
      <c r="A494" s="6"/>
      <c r="B494" s="6"/>
      <c r="C494" s="10"/>
      <c r="D494" s="10"/>
      <c r="E494" s="10"/>
      <c r="F494" s="6"/>
      <c r="G494" s="6"/>
      <c r="H494" s="6"/>
      <c r="I494" s="6"/>
      <c r="J494" s="6"/>
      <c r="K494" s="6"/>
      <c r="L494" s="6"/>
      <c r="M494" s="6"/>
      <c r="N494" s="6"/>
    </row>
    <row r="495" spans="1:14" ht="19.5" customHeight="1" x14ac:dyDescent="0.25">
      <c r="A495" s="6"/>
      <c r="B495" s="6"/>
      <c r="C495" s="10"/>
      <c r="D495" s="10"/>
      <c r="E495" s="10"/>
      <c r="F495" s="6"/>
      <c r="G495" s="6"/>
      <c r="H495" s="6"/>
      <c r="I495" s="6"/>
      <c r="J495" s="6"/>
      <c r="K495" s="6"/>
      <c r="L495" s="6"/>
      <c r="M495" s="6"/>
      <c r="N495" s="6"/>
    </row>
    <row r="496" spans="1:14" ht="19.5" customHeight="1" x14ac:dyDescent="0.25">
      <c r="A496" s="6"/>
      <c r="B496" s="6"/>
      <c r="C496" s="10"/>
      <c r="D496" s="10"/>
      <c r="E496" s="10"/>
      <c r="F496" s="6"/>
      <c r="G496" s="6"/>
      <c r="H496" s="6"/>
      <c r="I496" s="6"/>
      <c r="J496" s="6"/>
      <c r="K496" s="6"/>
      <c r="L496" s="6"/>
      <c r="M496" s="6"/>
      <c r="N496" s="6"/>
    </row>
    <row r="497" spans="1:14" ht="19.5" customHeight="1" x14ac:dyDescent="0.25">
      <c r="A497" s="6"/>
      <c r="B497" s="6"/>
      <c r="C497" s="10"/>
      <c r="D497" s="10"/>
      <c r="E497" s="10"/>
      <c r="F497" s="6"/>
      <c r="G497" s="6"/>
      <c r="H497" s="6"/>
      <c r="I497" s="6"/>
      <c r="J497" s="6"/>
      <c r="K497" s="6"/>
      <c r="L497" s="6"/>
      <c r="M497" s="6"/>
      <c r="N497" s="6"/>
    </row>
    <row r="498" spans="1:14" ht="19.5" customHeight="1" x14ac:dyDescent="0.25">
      <c r="A498" s="6"/>
      <c r="B498" s="6"/>
      <c r="C498" s="10"/>
      <c r="D498" s="10"/>
      <c r="E498" s="10"/>
      <c r="F498" s="6"/>
      <c r="G498" s="6"/>
      <c r="H498" s="6"/>
      <c r="I498" s="6"/>
      <c r="J498" s="6"/>
      <c r="K498" s="6"/>
      <c r="L498" s="6"/>
      <c r="M498" s="6"/>
      <c r="N498" s="6"/>
    </row>
    <row r="499" spans="1:14" ht="19.5" customHeight="1" x14ac:dyDescent="0.25">
      <c r="A499" s="6"/>
      <c r="B499" s="6"/>
      <c r="C499" s="10"/>
      <c r="D499" s="10"/>
      <c r="E499" s="10"/>
      <c r="F499" s="6"/>
      <c r="G499" s="6"/>
      <c r="H499" s="6"/>
      <c r="I499" s="6"/>
      <c r="J499" s="6"/>
      <c r="K499" s="6"/>
      <c r="L499" s="6"/>
      <c r="M499" s="6"/>
      <c r="N499" s="6"/>
    </row>
    <row r="500" spans="1:14" ht="19.5" customHeight="1" x14ac:dyDescent="0.25">
      <c r="A500" s="6"/>
      <c r="B500" s="6"/>
      <c r="C500" s="10"/>
      <c r="D500" s="10"/>
      <c r="E500" s="10"/>
      <c r="F500" s="6"/>
      <c r="G500" s="6"/>
      <c r="H500" s="6"/>
      <c r="I500" s="6"/>
      <c r="J500" s="6"/>
      <c r="K500" s="6"/>
      <c r="L500" s="6"/>
      <c r="M500" s="6"/>
      <c r="N500" s="6"/>
    </row>
    <row r="501" spans="1:14" ht="19.5" customHeight="1" x14ac:dyDescent="0.25">
      <c r="A501" s="6"/>
      <c r="B501" s="6"/>
      <c r="C501" s="10"/>
      <c r="D501" s="10"/>
      <c r="E501" s="10"/>
      <c r="F501" s="6"/>
      <c r="G501" s="6"/>
      <c r="H501" s="6"/>
      <c r="I501" s="6"/>
      <c r="J501" s="6"/>
      <c r="K501" s="6"/>
      <c r="L501" s="6"/>
      <c r="M501" s="6"/>
      <c r="N501" s="6"/>
    </row>
    <row r="502" spans="1:14" ht="19.5" customHeight="1" x14ac:dyDescent="0.25">
      <c r="A502" s="6"/>
      <c r="B502" s="6"/>
      <c r="C502" s="10"/>
      <c r="D502" s="10"/>
      <c r="E502" s="10"/>
      <c r="F502" s="6"/>
      <c r="G502" s="6"/>
      <c r="H502" s="6"/>
      <c r="I502" s="6"/>
      <c r="J502" s="6"/>
      <c r="K502" s="6"/>
      <c r="L502" s="6"/>
      <c r="M502" s="6"/>
      <c r="N502" s="6"/>
    </row>
    <row r="503" spans="1:14" ht="19.5" customHeight="1" x14ac:dyDescent="0.25">
      <c r="A503" s="6"/>
      <c r="B503" s="6"/>
      <c r="C503" s="10"/>
      <c r="D503" s="10"/>
      <c r="E503" s="10"/>
      <c r="F503" s="6"/>
      <c r="G503" s="6"/>
      <c r="H503" s="6"/>
      <c r="I503" s="6"/>
      <c r="J503" s="6"/>
      <c r="K503" s="6"/>
      <c r="L503" s="6"/>
      <c r="M503" s="6"/>
      <c r="N503" s="6"/>
    </row>
    <row r="504" spans="1:14" ht="19.5" customHeight="1" x14ac:dyDescent="0.25">
      <c r="A504" s="6"/>
      <c r="B504" s="6"/>
      <c r="C504" s="10"/>
      <c r="D504" s="10"/>
      <c r="E504" s="10"/>
      <c r="F504" s="6"/>
      <c r="G504" s="6"/>
      <c r="H504" s="6"/>
      <c r="I504" s="6"/>
      <c r="J504" s="6"/>
      <c r="K504" s="6"/>
      <c r="L504" s="6"/>
      <c r="M504" s="6"/>
      <c r="N504" s="6"/>
    </row>
    <row r="505" spans="1:14" ht="19.5" customHeight="1" x14ac:dyDescent="0.25">
      <c r="A505" s="6"/>
      <c r="B505" s="6"/>
      <c r="C505" s="10"/>
      <c r="D505" s="10"/>
      <c r="E505" s="10"/>
      <c r="F505" s="6"/>
      <c r="G505" s="6"/>
      <c r="H505" s="6"/>
      <c r="I505" s="6"/>
      <c r="J505" s="6"/>
      <c r="K505" s="6"/>
      <c r="L505" s="6"/>
      <c r="M505" s="6"/>
      <c r="N505" s="6"/>
    </row>
    <row r="506" spans="1:14" ht="19.5" customHeight="1" x14ac:dyDescent="0.25">
      <c r="A506" s="6"/>
      <c r="B506" s="6"/>
      <c r="C506" s="10"/>
      <c r="D506" s="10"/>
      <c r="E506" s="10"/>
      <c r="F506" s="6"/>
      <c r="G506" s="6"/>
      <c r="H506" s="6"/>
      <c r="I506" s="6"/>
      <c r="J506" s="6"/>
      <c r="K506" s="6"/>
      <c r="L506" s="6"/>
      <c r="M506" s="6"/>
      <c r="N506" s="6"/>
    </row>
    <row r="507" spans="1:14" ht="19.5" customHeight="1" x14ac:dyDescent="0.25">
      <c r="A507" s="6"/>
      <c r="B507" s="6"/>
      <c r="C507" s="10"/>
      <c r="D507" s="10"/>
      <c r="E507" s="10"/>
      <c r="F507" s="6"/>
      <c r="G507" s="6"/>
      <c r="H507" s="6"/>
      <c r="I507" s="6"/>
      <c r="J507" s="6"/>
      <c r="K507" s="6"/>
      <c r="L507" s="6"/>
      <c r="M507" s="6"/>
      <c r="N507" s="6"/>
    </row>
    <row r="508" spans="1:14" ht="19.5" customHeight="1" x14ac:dyDescent="0.25">
      <c r="A508" s="6"/>
      <c r="B508" s="6"/>
      <c r="C508" s="10"/>
      <c r="D508" s="10"/>
      <c r="E508" s="10"/>
      <c r="F508" s="6"/>
      <c r="G508" s="6"/>
      <c r="H508" s="6"/>
      <c r="I508" s="6"/>
      <c r="J508" s="6"/>
      <c r="K508" s="6"/>
      <c r="L508" s="6"/>
      <c r="M508" s="6"/>
      <c r="N508" s="6"/>
    </row>
    <row r="509" spans="1:14" ht="19.5" customHeight="1" x14ac:dyDescent="0.25">
      <c r="A509" s="6"/>
      <c r="B509" s="6"/>
      <c r="C509" s="10"/>
      <c r="D509" s="10"/>
      <c r="E509" s="10"/>
      <c r="F509" s="6"/>
      <c r="G509" s="6"/>
      <c r="H509" s="6"/>
      <c r="I509" s="6"/>
      <c r="J509" s="6"/>
      <c r="K509" s="6"/>
      <c r="L509" s="6"/>
      <c r="M509" s="6"/>
      <c r="N509" s="6"/>
    </row>
    <row r="510" spans="1:14" ht="19.5" customHeight="1" x14ac:dyDescent="0.25">
      <c r="A510" s="6"/>
      <c r="B510" s="6"/>
      <c r="C510" s="10"/>
      <c r="D510" s="10"/>
      <c r="E510" s="10"/>
      <c r="F510" s="6"/>
      <c r="G510" s="6"/>
      <c r="H510" s="6"/>
      <c r="I510" s="6"/>
      <c r="J510" s="6"/>
      <c r="K510" s="6"/>
      <c r="L510" s="6"/>
      <c r="M510" s="6"/>
      <c r="N510" s="6"/>
    </row>
    <row r="511" spans="1:14" ht="19.5" customHeight="1" x14ac:dyDescent="0.25">
      <c r="A511" s="6"/>
      <c r="B511" s="6"/>
      <c r="C511" s="10"/>
      <c r="D511" s="10"/>
      <c r="E511" s="10"/>
      <c r="F511" s="6"/>
      <c r="G511" s="6"/>
      <c r="H511" s="6"/>
      <c r="I511" s="6"/>
      <c r="J511" s="6"/>
      <c r="K511" s="6"/>
      <c r="L511" s="6"/>
      <c r="M511" s="6"/>
      <c r="N511" s="6"/>
    </row>
    <row r="512" spans="1:14" ht="19.5" customHeight="1" x14ac:dyDescent="0.25">
      <c r="A512" s="6"/>
      <c r="B512" s="6"/>
      <c r="C512" s="10"/>
      <c r="D512" s="10"/>
      <c r="E512" s="10"/>
      <c r="F512" s="6"/>
      <c r="G512" s="6"/>
      <c r="H512" s="6"/>
      <c r="I512" s="6"/>
      <c r="J512" s="6"/>
      <c r="K512" s="6"/>
      <c r="L512" s="6"/>
      <c r="M512" s="6"/>
      <c r="N512" s="6"/>
    </row>
    <row r="513" spans="1:14" ht="19.5" customHeight="1" x14ac:dyDescent="0.25">
      <c r="A513" s="6"/>
      <c r="B513" s="6"/>
      <c r="C513" s="10"/>
      <c r="D513" s="10"/>
      <c r="E513" s="10"/>
      <c r="F513" s="6"/>
      <c r="G513" s="6"/>
      <c r="H513" s="6"/>
      <c r="I513" s="6"/>
      <c r="J513" s="6"/>
      <c r="K513" s="6"/>
      <c r="L513" s="6"/>
      <c r="M513" s="6"/>
      <c r="N513" s="6"/>
    </row>
    <row r="514" spans="1:14" ht="19.5" customHeight="1" x14ac:dyDescent="0.25">
      <c r="A514" s="6"/>
      <c r="B514" s="6"/>
      <c r="C514" s="10"/>
      <c r="D514" s="10"/>
      <c r="E514" s="10"/>
      <c r="F514" s="6"/>
      <c r="G514" s="6"/>
      <c r="H514" s="6"/>
      <c r="I514" s="6"/>
      <c r="J514" s="6"/>
      <c r="K514" s="6"/>
      <c r="L514" s="6"/>
      <c r="M514" s="6"/>
      <c r="N514" s="6"/>
    </row>
    <row r="515" spans="1:14" ht="19.5" customHeight="1" x14ac:dyDescent="0.25">
      <c r="A515" s="6"/>
      <c r="B515" s="6"/>
      <c r="C515" s="10"/>
      <c r="D515" s="10"/>
      <c r="E515" s="10"/>
      <c r="F515" s="6"/>
      <c r="G515" s="6"/>
      <c r="H515" s="6"/>
      <c r="I515" s="6"/>
      <c r="J515" s="6"/>
      <c r="K515" s="6"/>
      <c r="L515" s="6"/>
      <c r="M515" s="6"/>
      <c r="N515" s="6"/>
    </row>
    <row r="516" spans="1:14" ht="19.5" customHeight="1" x14ac:dyDescent="0.25">
      <c r="A516" s="6"/>
      <c r="B516" s="6"/>
      <c r="C516" s="10"/>
      <c r="D516" s="10"/>
      <c r="E516" s="10"/>
      <c r="F516" s="6"/>
      <c r="G516" s="6"/>
      <c r="H516" s="6"/>
      <c r="I516" s="6"/>
      <c r="J516" s="6"/>
      <c r="K516" s="6"/>
      <c r="L516" s="6"/>
      <c r="M516" s="6"/>
      <c r="N516" s="6"/>
    </row>
    <row r="517" spans="1:14" ht="19.5" customHeight="1" x14ac:dyDescent="0.25">
      <c r="A517" s="6"/>
      <c r="B517" s="6"/>
      <c r="C517" s="10"/>
      <c r="D517" s="10"/>
      <c r="E517" s="10"/>
      <c r="F517" s="6"/>
      <c r="G517" s="6"/>
      <c r="H517" s="6"/>
      <c r="I517" s="6"/>
      <c r="J517" s="6"/>
      <c r="K517" s="6"/>
      <c r="L517" s="6"/>
      <c r="M517" s="6"/>
      <c r="N517" s="6"/>
    </row>
    <row r="518" spans="1:14" ht="19.5" customHeight="1" x14ac:dyDescent="0.25">
      <c r="A518" s="6"/>
      <c r="B518" s="6"/>
      <c r="C518" s="10"/>
      <c r="D518" s="10"/>
      <c r="E518" s="10"/>
      <c r="F518" s="6"/>
      <c r="G518" s="6"/>
      <c r="H518" s="6"/>
      <c r="I518" s="6"/>
      <c r="J518" s="6"/>
      <c r="K518" s="6"/>
      <c r="L518" s="6"/>
      <c r="M518" s="6"/>
      <c r="N518" s="6"/>
    </row>
    <row r="519" spans="1:14" ht="19.5" customHeight="1" x14ac:dyDescent="0.25">
      <c r="A519" s="6"/>
      <c r="B519" s="6"/>
      <c r="C519" s="10"/>
      <c r="D519" s="10"/>
      <c r="E519" s="10"/>
      <c r="F519" s="6"/>
      <c r="G519" s="6"/>
      <c r="H519" s="6"/>
      <c r="I519" s="6"/>
      <c r="J519" s="6"/>
      <c r="K519" s="6"/>
      <c r="L519" s="6"/>
      <c r="M519" s="6"/>
      <c r="N519" s="6"/>
    </row>
    <row r="520" spans="1:14" ht="19.5" customHeight="1" x14ac:dyDescent="0.25">
      <c r="A520" s="6"/>
      <c r="B520" s="6"/>
      <c r="C520" s="10"/>
      <c r="D520" s="10"/>
      <c r="E520" s="10"/>
      <c r="F520" s="6"/>
      <c r="G520" s="6"/>
      <c r="H520" s="6"/>
      <c r="I520" s="6"/>
      <c r="J520" s="6"/>
      <c r="K520" s="6"/>
      <c r="L520" s="6"/>
      <c r="M520" s="6"/>
      <c r="N520" s="6"/>
    </row>
    <row r="521" spans="1:14" ht="19.5" customHeight="1" x14ac:dyDescent="0.25">
      <c r="A521" s="6"/>
      <c r="B521" s="6"/>
      <c r="C521" s="10"/>
      <c r="D521" s="10"/>
      <c r="E521" s="10"/>
      <c r="F521" s="6"/>
      <c r="G521" s="6"/>
      <c r="H521" s="6"/>
      <c r="I521" s="6"/>
      <c r="J521" s="6"/>
      <c r="K521" s="6"/>
      <c r="L521" s="6"/>
      <c r="M521" s="6"/>
      <c r="N521" s="6"/>
    </row>
    <row r="522" spans="1:14" ht="19.5" customHeight="1" x14ac:dyDescent="0.25">
      <c r="A522" s="6"/>
      <c r="B522" s="6"/>
      <c r="C522" s="10"/>
      <c r="D522" s="10"/>
      <c r="E522" s="10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19.5" customHeight="1" x14ac:dyDescent="0.25">
      <c r="A523" s="6"/>
      <c r="B523" s="6"/>
      <c r="C523" s="10"/>
      <c r="D523" s="10"/>
      <c r="E523" s="10"/>
      <c r="F523" s="6"/>
      <c r="G523" s="6"/>
      <c r="H523" s="6"/>
      <c r="I523" s="6"/>
      <c r="J523" s="6"/>
      <c r="K523" s="6"/>
      <c r="L523" s="6"/>
      <c r="M523" s="6"/>
      <c r="N523" s="6"/>
    </row>
    <row r="524" spans="1:14" ht="19.5" customHeight="1" x14ac:dyDescent="0.25">
      <c r="A524" s="6"/>
      <c r="B524" s="6"/>
      <c r="C524" s="10"/>
      <c r="D524" s="10"/>
      <c r="E524" s="10"/>
      <c r="F524" s="6"/>
      <c r="G524" s="6"/>
      <c r="H524" s="6"/>
      <c r="I524" s="6"/>
      <c r="J524" s="6"/>
      <c r="K524" s="6"/>
      <c r="L524" s="6"/>
      <c r="M524" s="6"/>
      <c r="N524" s="6"/>
    </row>
    <row r="525" spans="1:14" ht="19.5" customHeight="1" x14ac:dyDescent="0.25">
      <c r="A525" s="6"/>
      <c r="B525" s="6"/>
      <c r="C525" s="10"/>
      <c r="D525" s="10"/>
      <c r="E525" s="10"/>
      <c r="F525" s="6"/>
      <c r="G525" s="6"/>
      <c r="H525" s="6"/>
      <c r="I525" s="6"/>
      <c r="J525" s="6"/>
      <c r="K525" s="6"/>
      <c r="L525" s="6"/>
      <c r="M525" s="6"/>
      <c r="N525" s="6"/>
    </row>
    <row r="526" spans="1:14" ht="19.5" customHeight="1" x14ac:dyDescent="0.25">
      <c r="A526" s="6"/>
      <c r="B526" s="6"/>
      <c r="C526" s="10"/>
      <c r="D526" s="10"/>
      <c r="E526" s="10"/>
      <c r="F526" s="6"/>
      <c r="G526" s="6"/>
      <c r="H526" s="6"/>
      <c r="I526" s="6"/>
      <c r="J526" s="6"/>
      <c r="K526" s="6"/>
      <c r="L526" s="6"/>
      <c r="M526" s="6"/>
      <c r="N526" s="6"/>
    </row>
    <row r="527" spans="1:14" ht="19.5" customHeight="1" x14ac:dyDescent="0.25">
      <c r="A527" s="6"/>
      <c r="B527" s="6"/>
      <c r="C527" s="10"/>
      <c r="D527" s="10"/>
      <c r="E527" s="10"/>
      <c r="F527" s="6"/>
      <c r="G527" s="6"/>
      <c r="H527" s="6"/>
      <c r="I527" s="6"/>
      <c r="J527" s="6"/>
      <c r="K527" s="6"/>
      <c r="L527" s="6"/>
      <c r="M527" s="6"/>
      <c r="N527" s="6"/>
    </row>
    <row r="528" spans="1:14" ht="19.5" customHeight="1" x14ac:dyDescent="0.25">
      <c r="A528" s="6"/>
      <c r="B528" s="6"/>
      <c r="C528" s="10"/>
      <c r="D528" s="10"/>
      <c r="E528" s="10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19.5" customHeight="1" x14ac:dyDescent="0.25">
      <c r="A529" s="6"/>
      <c r="B529" s="6"/>
      <c r="C529" s="10"/>
      <c r="D529" s="10"/>
      <c r="E529" s="10"/>
      <c r="F529" s="6"/>
      <c r="G529" s="6"/>
      <c r="H529" s="6"/>
      <c r="I529" s="6"/>
      <c r="J529" s="6"/>
      <c r="K529" s="6"/>
      <c r="L529" s="6"/>
      <c r="M529" s="6"/>
      <c r="N529" s="6"/>
    </row>
    <row r="530" spans="1:14" ht="19.5" customHeight="1" x14ac:dyDescent="0.25">
      <c r="A530" s="6"/>
      <c r="B530" s="6"/>
      <c r="C530" s="10"/>
      <c r="D530" s="10"/>
      <c r="E530" s="10"/>
      <c r="F530" s="6"/>
      <c r="G530" s="6"/>
      <c r="H530" s="6"/>
      <c r="I530" s="6"/>
      <c r="J530" s="6"/>
      <c r="K530" s="6"/>
      <c r="L530" s="6"/>
      <c r="M530" s="6"/>
      <c r="N530" s="6"/>
    </row>
    <row r="531" spans="1:14" ht="19.5" customHeight="1" x14ac:dyDescent="0.25">
      <c r="A531" s="6"/>
      <c r="B531" s="6"/>
      <c r="C531" s="10"/>
      <c r="D531" s="10"/>
      <c r="E531" s="10"/>
      <c r="F531" s="6"/>
      <c r="G531" s="6"/>
      <c r="H531" s="6"/>
      <c r="I531" s="6"/>
      <c r="J531" s="6"/>
      <c r="K531" s="6"/>
      <c r="L531" s="6"/>
      <c r="M531" s="6"/>
      <c r="N531" s="6"/>
    </row>
    <row r="532" spans="1:14" ht="19.5" customHeight="1" x14ac:dyDescent="0.25">
      <c r="A532" s="6"/>
      <c r="B532" s="6"/>
      <c r="C532" s="10"/>
      <c r="D532" s="10"/>
      <c r="E532" s="10"/>
      <c r="F532" s="6"/>
      <c r="G532" s="6"/>
      <c r="H532" s="6"/>
      <c r="I532" s="6"/>
      <c r="J532" s="6"/>
      <c r="K532" s="6"/>
      <c r="L532" s="6"/>
      <c r="M532" s="6"/>
      <c r="N532" s="6"/>
    </row>
    <row r="533" spans="1:14" ht="19.5" customHeight="1" x14ac:dyDescent="0.25">
      <c r="A533" s="6"/>
      <c r="B533" s="6"/>
      <c r="C533" s="10"/>
      <c r="D533" s="10"/>
      <c r="E533" s="10"/>
      <c r="F533" s="6"/>
      <c r="G533" s="6"/>
      <c r="H533" s="6"/>
      <c r="I533" s="6"/>
      <c r="J533" s="6"/>
      <c r="K533" s="6"/>
      <c r="L533" s="6"/>
      <c r="M533" s="6"/>
      <c r="N533" s="6"/>
    </row>
    <row r="534" spans="1:14" ht="19.5" customHeight="1" x14ac:dyDescent="0.25">
      <c r="A534" s="6"/>
      <c r="B534" s="6"/>
      <c r="C534" s="10"/>
      <c r="D534" s="10"/>
      <c r="E534" s="10"/>
      <c r="F534" s="6"/>
      <c r="G534" s="6"/>
      <c r="H534" s="6"/>
      <c r="I534" s="6"/>
      <c r="J534" s="6"/>
      <c r="K534" s="6"/>
      <c r="L534" s="6"/>
      <c r="M534" s="6"/>
      <c r="N534" s="6"/>
    </row>
    <row r="535" spans="1:14" ht="19.5" customHeight="1" x14ac:dyDescent="0.25">
      <c r="A535" s="6"/>
      <c r="B535" s="6"/>
      <c r="C535" s="10"/>
      <c r="D535" s="10"/>
      <c r="E535" s="10"/>
      <c r="F535" s="6"/>
      <c r="G535" s="6"/>
      <c r="H535" s="6"/>
      <c r="I535" s="6"/>
      <c r="J535" s="6"/>
      <c r="K535" s="6"/>
      <c r="L535" s="6"/>
      <c r="M535" s="6"/>
      <c r="N535" s="6"/>
    </row>
    <row r="536" spans="1:14" ht="19.5" customHeight="1" x14ac:dyDescent="0.25">
      <c r="A536" s="6"/>
      <c r="B536" s="6"/>
      <c r="C536" s="10"/>
      <c r="D536" s="10"/>
      <c r="E536" s="10"/>
      <c r="F536" s="6"/>
      <c r="G536" s="6"/>
      <c r="H536" s="6"/>
      <c r="I536" s="6"/>
      <c r="J536" s="6"/>
      <c r="K536" s="6"/>
      <c r="L536" s="6"/>
      <c r="M536" s="6"/>
      <c r="N536" s="6"/>
    </row>
    <row r="537" spans="1:14" ht="19.5" customHeight="1" x14ac:dyDescent="0.25">
      <c r="A537" s="6"/>
      <c r="B537" s="6"/>
      <c r="C537" s="10"/>
      <c r="D537" s="10"/>
      <c r="E537" s="10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19.5" customHeight="1" x14ac:dyDescent="0.25">
      <c r="A538" s="6"/>
      <c r="B538" s="6"/>
      <c r="C538" s="10"/>
      <c r="D538" s="10"/>
      <c r="E538" s="10"/>
      <c r="F538" s="6"/>
      <c r="G538" s="6"/>
      <c r="H538" s="6"/>
      <c r="I538" s="6"/>
      <c r="J538" s="6"/>
      <c r="K538" s="6"/>
      <c r="L538" s="6"/>
      <c r="M538" s="6"/>
      <c r="N538" s="6"/>
    </row>
    <row r="539" spans="1:14" ht="19.5" customHeight="1" x14ac:dyDescent="0.25">
      <c r="A539" s="6"/>
      <c r="B539" s="6"/>
      <c r="C539" s="10"/>
      <c r="D539" s="10"/>
      <c r="E539" s="10"/>
      <c r="F539" s="6"/>
      <c r="G539" s="6"/>
      <c r="H539" s="6"/>
      <c r="I539" s="6"/>
      <c r="J539" s="6"/>
      <c r="K539" s="6"/>
      <c r="L539" s="6"/>
      <c r="M539" s="6"/>
      <c r="N539" s="6"/>
    </row>
    <row r="540" spans="1:14" ht="19.5" customHeight="1" x14ac:dyDescent="0.25">
      <c r="A540" s="6"/>
      <c r="B540" s="6"/>
      <c r="C540" s="10"/>
      <c r="D540" s="10"/>
      <c r="E540" s="10"/>
      <c r="F540" s="6"/>
      <c r="G540" s="6"/>
      <c r="H540" s="6"/>
      <c r="I540" s="6"/>
      <c r="J540" s="6"/>
      <c r="K540" s="6"/>
      <c r="L540" s="6"/>
      <c r="M540" s="6"/>
      <c r="N540" s="6"/>
    </row>
    <row r="541" spans="1:14" ht="19.5" customHeight="1" x14ac:dyDescent="0.25">
      <c r="A541" s="6"/>
      <c r="B541" s="6"/>
      <c r="C541" s="10"/>
      <c r="D541" s="10"/>
      <c r="E541" s="10"/>
      <c r="F541" s="6"/>
      <c r="G541" s="6"/>
      <c r="H541" s="6"/>
      <c r="I541" s="6"/>
      <c r="J541" s="6"/>
      <c r="K541" s="6"/>
      <c r="L541" s="6"/>
      <c r="M541" s="6"/>
      <c r="N541" s="6"/>
    </row>
    <row r="542" spans="1:14" ht="19.5" customHeight="1" x14ac:dyDescent="0.25">
      <c r="A542" s="6"/>
      <c r="B542" s="6"/>
      <c r="C542" s="10"/>
      <c r="D542" s="10"/>
      <c r="E542" s="10"/>
      <c r="F542" s="6"/>
      <c r="G542" s="6"/>
      <c r="H542" s="6"/>
      <c r="I542" s="6"/>
      <c r="J542" s="6"/>
      <c r="K542" s="6"/>
      <c r="L542" s="6"/>
      <c r="M542" s="6"/>
      <c r="N542" s="6"/>
    </row>
    <row r="543" spans="1:14" ht="19.5" customHeight="1" x14ac:dyDescent="0.25">
      <c r="A543" s="6"/>
      <c r="B543" s="6"/>
      <c r="C543" s="10"/>
      <c r="D543" s="10"/>
      <c r="E543" s="10"/>
      <c r="F543" s="6"/>
      <c r="G543" s="6"/>
      <c r="H543" s="6"/>
      <c r="I543" s="6"/>
      <c r="J543" s="6"/>
      <c r="K543" s="6"/>
      <c r="L543" s="6"/>
      <c r="M543" s="6"/>
      <c r="N543" s="6"/>
    </row>
    <row r="544" spans="1:14" ht="19.5" customHeight="1" x14ac:dyDescent="0.25">
      <c r="A544" s="6"/>
      <c r="B544" s="6"/>
      <c r="C544" s="10"/>
      <c r="D544" s="10"/>
      <c r="E544" s="10"/>
      <c r="F544" s="6"/>
      <c r="G544" s="6"/>
      <c r="H544" s="6"/>
      <c r="I544" s="6"/>
      <c r="J544" s="6"/>
      <c r="K544" s="6"/>
      <c r="L544" s="6"/>
      <c r="M544" s="6"/>
      <c r="N544" s="6"/>
    </row>
    <row r="545" spans="1:14" ht="19.5" customHeight="1" x14ac:dyDescent="0.25">
      <c r="A545" s="6"/>
      <c r="B545" s="6"/>
      <c r="C545" s="10"/>
      <c r="D545" s="10"/>
      <c r="E545" s="10"/>
      <c r="F545" s="6"/>
      <c r="G545" s="6"/>
      <c r="H545" s="6"/>
      <c r="I545" s="6"/>
      <c r="J545" s="6"/>
      <c r="K545" s="6"/>
      <c r="L545" s="6"/>
      <c r="M545" s="6"/>
      <c r="N545" s="6"/>
    </row>
    <row r="546" spans="1:14" ht="19.5" customHeight="1" x14ac:dyDescent="0.25">
      <c r="A546" s="6"/>
      <c r="B546" s="6"/>
      <c r="C546" s="10"/>
      <c r="D546" s="10"/>
      <c r="E546" s="10"/>
      <c r="F546" s="6"/>
      <c r="G546" s="6"/>
      <c r="H546" s="6"/>
      <c r="I546" s="6"/>
      <c r="J546" s="6"/>
      <c r="K546" s="6"/>
      <c r="L546" s="6"/>
      <c r="M546" s="6"/>
      <c r="N546" s="6"/>
    </row>
    <row r="547" spans="1:14" ht="19.5" customHeight="1" x14ac:dyDescent="0.25">
      <c r="A547" s="6"/>
      <c r="B547" s="6"/>
      <c r="C547" s="10"/>
      <c r="D547" s="10"/>
      <c r="E547" s="10"/>
      <c r="F547" s="6"/>
      <c r="G547" s="6"/>
      <c r="H547" s="6"/>
      <c r="I547" s="6"/>
      <c r="J547" s="6"/>
      <c r="K547" s="6"/>
      <c r="L547" s="6"/>
      <c r="M547" s="6"/>
      <c r="N547" s="6"/>
    </row>
    <row r="548" spans="1:14" ht="19.5" customHeight="1" x14ac:dyDescent="0.25">
      <c r="A548" s="6"/>
      <c r="B548" s="6"/>
      <c r="C548" s="10"/>
      <c r="D548" s="10"/>
      <c r="E548" s="10"/>
      <c r="F548" s="6"/>
      <c r="G548" s="6"/>
      <c r="H548" s="6"/>
      <c r="I548" s="6"/>
      <c r="J548" s="6"/>
      <c r="K548" s="6"/>
      <c r="L548" s="6"/>
      <c r="M548" s="6"/>
      <c r="N548" s="6"/>
    </row>
    <row r="549" spans="1:14" ht="19.5" customHeight="1" x14ac:dyDescent="0.25">
      <c r="A549" s="6"/>
      <c r="B549" s="6"/>
      <c r="C549" s="10"/>
      <c r="D549" s="10"/>
      <c r="E549" s="10"/>
      <c r="F549" s="6"/>
      <c r="G549" s="6"/>
      <c r="H549" s="6"/>
      <c r="I549" s="6"/>
      <c r="J549" s="6"/>
      <c r="K549" s="6"/>
      <c r="L549" s="6"/>
      <c r="M549" s="6"/>
      <c r="N549" s="6"/>
    </row>
    <row r="550" spans="1:14" ht="19.5" customHeight="1" x14ac:dyDescent="0.25">
      <c r="A550" s="6"/>
      <c r="B550" s="6"/>
      <c r="C550" s="10"/>
      <c r="D550" s="10"/>
      <c r="E550" s="10"/>
      <c r="F550" s="6"/>
      <c r="G550" s="6"/>
      <c r="H550" s="6"/>
      <c r="I550" s="6"/>
      <c r="J550" s="6"/>
      <c r="K550" s="6"/>
      <c r="L550" s="6"/>
      <c r="M550" s="6"/>
      <c r="N550" s="6"/>
    </row>
    <row r="551" spans="1:14" ht="19.5" customHeight="1" x14ac:dyDescent="0.25">
      <c r="A551" s="6"/>
      <c r="B551" s="6"/>
      <c r="C551" s="10"/>
      <c r="D551" s="10"/>
      <c r="E551" s="10"/>
      <c r="F551" s="6"/>
      <c r="G551" s="6"/>
      <c r="H551" s="6"/>
      <c r="I551" s="6"/>
      <c r="J551" s="6"/>
      <c r="K551" s="6"/>
      <c r="L551" s="6"/>
      <c r="M551" s="6"/>
      <c r="N551" s="6"/>
    </row>
    <row r="552" spans="1:14" ht="19.5" customHeight="1" x14ac:dyDescent="0.25">
      <c r="A552" s="6"/>
      <c r="B552" s="6"/>
      <c r="C552" s="10"/>
      <c r="D552" s="10"/>
      <c r="E552" s="10"/>
      <c r="F552" s="6"/>
      <c r="G552" s="6"/>
      <c r="H552" s="6"/>
      <c r="I552" s="6"/>
      <c r="J552" s="6"/>
      <c r="K552" s="6"/>
      <c r="L552" s="6"/>
      <c r="M552" s="6"/>
      <c r="N552" s="6"/>
    </row>
    <row r="553" spans="1:14" ht="19.5" customHeight="1" x14ac:dyDescent="0.25">
      <c r="A553" s="6"/>
      <c r="B553" s="6"/>
      <c r="C553" s="10"/>
      <c r="D553" s="10"/>
      <c r="E553" s="10"/>
      <c r="F553" s="6"/>
      <c r="G553" s="6"/>
      <c r="H553" s="6"/>
      <c r="I553" s="6"/>
      <c r="J553" s="6"/>
      <c r="K553" s="6"/>
      <c r="L553" s="6"/>
      <c r="M553" s="6"/>
      <c r="N553" s="6"/>
    </row>
    <row r="554" spans="1:14" ht="19.5" customHeight="1" x14ac:dyDescent="0.25">
      <c r="A554" s="6"/>
      <c r="B554" s="6"/>
      <c r="C554" s="10"/>
      <c r="D554" s="10"/>
      <c r="E554" s="10"/>
      <c r="F554" s="6"/>
      <c r="G554" s="6"/>
      <c r="H554" s="6"/>
      <c r="I554" s="6"/>
      <c r="J554" s="6"/>
      <c r="K554" s="6"/>
      <c r="L554" s="6"/>
      <c r="M554" s="6"/>
      <c r="N554" s="6"/>
    </row>
    <row r="555" spans="1:14" ht="19.5" customHeight="1" x14ac:dyDescent="0.25">
      <c r="A555" s="6"/>
      <c r="B555" s="6"/>
      <c r="C555" s="10"/>
      <c r="D555" s="10"/>
      <c r="E555" s="10"/>
      <c r="F555" s="6"/>
      <c r="G555" s="6"/>
      <c r="H555" s="6"/>
      <c r="I555" s="6"/>
      <c r="J555" s="6"/>
      <c r="K555" s="6"/>
      <c r="L555" s="6"/>
      <c r="M555" s="6"/>
      <c r="N555" s="6"/>
    </row>
    <row r="556" spans="1:14" ht="19.5" customHeight="1" x14ac:dyDescent="0.25">
      <c r="A556" s="6"/>
      <c r="B556" s="6"/>
      <c r="C556" s="10"/>
      <c r="D556" s="10"/>
      <c r="E556" s="10"/>
      <c r="F556" s="6"/>
      <c r="G556" s="6"/>
      <c r="H556" s="6"/>
      <c r="I556" s="6"/>
      <c r="J556" s="6"/>
      <c r="K556" s="6"/>
      <c r="L556" s="6"/>
      <c r="M556" s="6"/>
      <c r="N556" s="6"/>
    </row>
    <row r="557" spans="1:14" ht="19.5" customHeight="1" x14ac:dyDescent="0.25">
      <c r="A557" s="6"/>
      <c r="B557" s="6"/>
      <c r="C557" s="10"/>
      <c r="D557" s="10"/>
      <c r="E557" s="10"/>
      <c r="F557" s="6"/>
      <c r="G557" s="6"/>
      <c r="H557" s="6"/>
      <c r="I557" s="6"/>
      <c r="J557" s="6"/>
      <c r="K557" s="6"/>
      <c r="L557" s="6"/>
      <c r="M557" s="6"/>
      <c r="N557" s="6"/>
    </row>
    <row r="558" spans="1:14" ht="19.5" customHeight="1" x14ac:dyDescent="0.25">
      <c r="A558" s="6"/>
      <c r="B558" s="6"/>
      <c r="C558" s="10"/>
      <c r="D558" s="10"/>
      <c r="E558" s="10"/>
      <c r="F558" s="6"/>
      <c r="G558" s="6"/>
      <c r="H558" s="6"/>
      <c r="I558" s="6"/>
      <c r="J558" s="6"/>
      <c r="K558" s="6"/>
      <c r="L558" s="6"/>
      <c r="M558" s="6"/>
      <c r="N558" s="6"/>
    </row>
    <row r="559" spans="1:14" ht="19.5" customHeight="1" x14ac:dyDescent="0.25">
      <c r="A559" s="6"/>
      <c r="B559" s="6"/>
      <c r="C559" s="10"/>
      <c r="D559" s="10"/>
      <c r="E559" s="10"/>
      <c r="F559" s="6"/>
      <c r="G559" s="6"/>
      <c r="H559" s="6"/>
      <c r="I559" s="6"/>
      <c r="J559" s="6"/>
      <c r="K559" s="6"/>
      <c r="L559" s="6"/>
      <c r="M559" s="6"/>
      <c r="N559" s="6"/>
    </row>
    <row r="560" spans="1:14" ht="19.5" customHeight="1" x14ac:dyDescent="0.25">
      <c r="A560" s="6"/>
      <c r="B560" s="6"/>
      <c r="C560" s="10"/>
      <c r="D560" s="10"/>
      <c r="E560" s="10"/>
      <c r="F560" s="6"/>
      <c r="G560" s="6"/>
      <c r="H560" s="6"/>
      <c r="I560" s="6"/>
      <c r="J560" s="6"/>
      <c r="K560" s="6"/>
      <c r="L560" s="6"/>
      <c r="M560" s="6"/>
      <c r="N560" s="6"/>
    </row>
    <row r="561" spans="1:14" ht="19.5" customHeight="1" x14ac:dyDescent="0.25">
      <c r="A561" s="6"/>
      <c r="B561" s="6"/>
      <c r="C561" s="10"/>
      <c r="D561" s="10"/>
      <c r="E561" s="10"/>
      <c r="F561" s="6"/>
      <c r="G561" s="6"/>
      <c r="H561" s="6"/>
      <c r="I561" s="6"/>
      <c r="J561" s="6"/>
      <c r="K561" s="6"/>
      <c r="L561" s="6"/>
      <c r="M561" s="6"/>
      <c r="N561" s="6"/>
    </row>
    <row r="562" spans="1:14" ht="19.5" customHeight="1" x14ac:dyDescent="0.25">
      <c r="A562" s="6"/>
      <c r="B562" s="6"/>
      <c r="C562" s="10"/>
      <c r="D562" s="10"/>
      <c r="E562" s="10"/>
      <c r="F562" s="6"/>
      <c r="G562" s="6"/>
      <c r="H562" s="6"/>
      <c r="I562" s="6"/>
      <c r="J562" s="6"/>
      <c r="K562" s="6"/>
      <c r="L562" s="6"/>
      <c r="M562" s="6"/>
      <c r="N562" s="6"/>
    </row>
    <row r="563" spans="1:14" ht="19.5" customHeight="1" x14ac:dyDescent="0.25">
      <c r="A563" s="6"/>
      <c r="B563" s="6"/>
      <c r="C563" s="10"/>
      <c r="D563" s="10"/>
      <c r="E563" s="10"/>
      <c r="F563" s="6"/>
      <c r="G563" s="6"/>
      <c r="H563" s="6"/>
      <c r="I563" s="6"/>
      <c r="J563" s="6"/>
      <c r="K563" s="6"/>
      <c r="L563" s="6"/>
      <c r="M563" s="6"/>
      <c r="N563" s="6"/>
    </row>
    <row r="564" spans="1:14" ht="19.5" customHeight="1" x14ac:dyDescent="0.25">
      <c r="A564" s="6"/>
      <c r="B564" s="6"/>
      <c r="C564" s="10"/>
      <c r="D564" s="10"/>
      <c r="E564" s="10"/>
      <c r="F564" s="6"/>
      <c r="G564" s="6"/>
      <c r="H564" s="6"/>
      <c r="I564" s="6"/>
      <c r="J564" s="6"/>
      <c r="K564" s="6"/>
      <c r="L564" s="6"/>
      <c r="M564" s="6"/>
      <c r="N564" s="6"/>
    </row>
    <row r="565" spans="1:14" ht="19.5" customHeight="1" x14ac:dyDescent="0.25">
      <c r="A565" s="6"/>
      <c r="B565" s="6"/>
      <c r="C565" s="10"/>
      <c r="D565" s="10"/>
      <c r="E565" s="10"/>
      <c r="F565" s="6"/>
      <c r="G565" s="6"/>
      <c r="H565" s="6"/>
      <c r="I565" s="6"/>
      <c r="J565" s="6"/>
      <c r="K565" s="6"/>
      <c r="L565" s="6"/>
      <c r="M565" s="6"/>
      <c r="N565" s="6"/>
    </row>
    <row r="566" spans="1:14" ht="19.5" customHeight="1" x14ac:dyDescent="0.25">
      <c r="A566" s="6"/>
      <c r="B566" s="6"/>
      <c r="C566" s="10"/>
      <c r="D566" s="10"/>
      <c r="E566" s="10"/>
      <c r="F566" s="6"/>
      <c r="G566" s="6"/>
      <c r="H566" s="6"/>
      <c r="I566" s="6"/>
      <c r="J566" s="6"/>
      <c r="K566" s="6"/>
      <c r="L566" s="6"/>
      <c r="M566" s="6"/>
      <c r="N566" s="6"/>
    </row>
    <row r="567" spans="1:14" ht="19.5" customHeight="1" x14ac:dyDescent="0.25">
      <c r="A567" s="6"/>
      <c r="B567" s="6"/>
      <c r="C567" s="10"/>
      <c r="D567" s="10"/>
      <c r="E567" s="10"/>
      <c r="F567" s="6"/>
      <c r="G567" s="6"/>
      <c r="H567" s="6"/>
      <c r="I567" s="6"/>
      <c r="J567" s="6"/>
      <c r="K567" s="6"/>
      <c r="L567" s="6"/>
      <c r="M567" s="6"/>
      <c r="N567" s="6"/>
    </row>
    <row r="568" spans="1:14" ht="19.5" customHeight="1" x14ac:dyDescent="0.25">
      <c r="A568" s="6"/>
      <c r="B568" s="6"/>
      <c r="C568" s="10"/>
      <c r="D568" s="10"/>
      <c r="E568" s="10"/>
      <c r="F568" s="6"/>
      <c r="G568" s="6"/>
      <c r="H568" s="6"/>
      <c r="I568" s="6"/>
      <c r="J568" s="6"/>
      <c r="K568" s="6"/>
      <c r="L568" s="6"/>
      <c r="M568" s="6"/>
      <c r="N568" s="6"/>
    </row>
    <row r="569" spans="1:14" ht="19.5" customHeight="1" x14ac:dyDescent="0.25">
      <c r="A569" s="6"/>
      <c r="B569" s="6"/>
      <c r="C569" s="10"/>
      <c r="D569" s="10"/>
      <c r="E569" s="10"/>
      <c r="F569" s="6"/>
      <c r="G569" s="6"/>
      <c r="H569" s="6"/>
      <c r="I569" s="6"/>
      <c r="J569" s="6"/>
      <c r="K569" s="6"/>
      <c r="L569" s="6"/>
      <c r="M569" s="6"/>
      <c r="N569" s="6"/>
    </row>
    <row r="570" spans="1:14" ht="19.5" customHeight="1" x14ac:dyDescent="0.25">
      <c r="A570" s="6"/>
      <c r="B570" s="6"/>
      <c r="C570" s="10"/>
      <c r="D570" s="10"/>
      <c r="E570" s="10"/>
      <c r="F570" s="6"/>
      <c r="G570" s="6"/>
      <c r="H570" s="6"/>
      <c r="I570" s="6"/>
      <c r="J570" s="6"/>
      <c r="K570" s="6"/>
      <c r="L570" s="6"/>
      <c r="M570" s="6"/>
      <c r="N570" s="6"/>
    </row>
    <row r="571" spans="1:14" ht="19.5" customHeight="1" x14ac:dyDescent="0.25">
      <c r="A571" s="6"/>
      <c r="B571" s="6"/>
      <c r="C571" s="10"/>
      <c r="D571" s="10"/>
      <c r="E571" s="10"/>
      <c r="F571" s="6"/>
      <c r="G571" s="6"/>
      <c r="H571" s="6"/>
      <c r="I571" s="6"/>
      <c r="J571" s="6"/>
      <c r="K571" s="6"/>
      <c r="L571" s="6"/>
      <c r="M571" s="6"/>
      <c r="N571" s="6"/>
    </row>
    <row r="572" spans="1:14" ht="19.5" customHeight="1" x14ac:dyDescent="0.25">
      <c r="A572" s="6"/>
      <c r="B572" s="6"/>
      <c r="C572" s="10"/>
      <c r="D572" s="10"/>
      <c r="E572" s="10"/>
      <c r="F572" s="6"/>
      <c r="G572" s="6"/>
      <c r="H572" s="6"/>
      <c r="I572" s="6"/>
      <c r="J572" s="6"/>
      <c r="K572" s="6"/>
      <c r="L572" s="6"/>
      <c r="M572" s="6"/>
      <c r="N572" s="6"/>
    </row>
    <row r="573" spans="1:14" ht="19.5" customHeight="1" x14ac:dyDescent="0.25">
      <c r="A573" s="6"/>
      <c r="B573" s="6"/>
      <c r="C573" s="10"/>
      <c r="D573" s="10"/>
      <c r="E573" s="10"/>
      <c r="F573" s="6"/>
      <c r="G573" s="6"/>
      <c r="H573" s="6"/>
      <c r="I573" s="6"/>
      <c r="J573" s="6"/>
      <c r="K573" s="6"/>
      <c r="L573" s="6"/>
      <c r="M573" s="6"/>
      <c r="N573" s="6"/>
    </row>
    <row r="574" spans="1:14" ht="19.5" customHeight="1" x14ac:dyDescent="0.25">
      <c r="A574" s="6"/>
      <c r="B574" s="6"/>
      <c r="C574" s="10"/>
      <c r="D574" s="10"/>
      <c r="E574" s="10"/>
      <c r="F574" s="6"/>
      <c r="G574" s="6"/>
      <c r="H574" s="6"/>
      <c r="I574" s="6"/>
      <c r="J574" s="6"/>
      <c r="K574" s="6"/>
      <c r="L574" s="6"/>
      <c r="M574" s="6"/>
      <c r="N574" s="6"/>
    </row>
    <row r="575" spans="1:14" ht="19.5" customHeight="1" x14ac:dyDescent="0.25">
      <c r="A575" s="6"/>
      <c r="B575" s="6"/>
      <c r="C575" s="10"/>
      <c r="D575" s="10"/>
      <c r="E575" s="10"/>
      <c r="F575" s="6"/>
      <c r="G575" s="6"/>
      <c r="H575" s="6"/>
      <c r="I575" s="6"/>
      <c r="J575" s="6"/>
      <c r="K575" s="6"/>
      <c r="L575" s="6"/>
      <c r="M575" s="6"/>
      <c r="N575" s="6"/>
    </row>
    <row r="576" spans="1:14" ht="19.5" customHeight="1" x14ac:dyDescent="0.25">
      <c r="A576" s="6"/>
      <c r="B576" s="6"/>
      <c r="C576" s="10"/>
      <c r="D576" s="10"/>
      <c r="E576" s="10"/>
      <c r="F576" s="6"/>
      <c r="G576" s="6"/>
      <c r="H576" s="6"/>
      <c r="I576" s="6"/>
      <c r="J576" s="6"/>
      <c r="K576" s="6"/>
      <c r="L576" s="6"/>
      <c r="M576" s="6"/>
      <c r="N576" s="6"/>
    </row>
    <row r="577" spans="1:14" ht="19.5" customHeight="1" x14ac:dyDescent="0.25">
      <c r="A577" s="6"/>
      <c r="B577" s="6"/>
      <c r="C577" s="10"/>
      <c r="D577" s="10"/>
      <c r="E577" s="10"/>
      <c r="F577" s="6"/>
      <c r="G577" s="6"/>
      <c r="H577" s="6"/>
      <c r="I577" s="6"/>
      <c r="J577" s="6"/>
      <c r="K577" s="6"/>
      <c r="L577" s="6"/>
      <c r="M577" s="6"/>
      <c r="N577" s="6"/>
    </row>
    <row r="578" spans="1:14" ht="19.5" customHeight="1" x14ac:dyDescent="0.25">
      <c r="A578" s="6"/>
      <c r="B578" s="6"/>
      <c r="C578" s="10"/>
      <c r="D578" s="10"/>
      <c r="E578" s="10"/>
      <c r="F578" s="6"/>
      <c r="G578" s="6"/>
      <c r="H578" s="6"/>
      <c r="I578" s="6"/>
      <c r="J578" s="6"/>
      <c r="K578" s="6"/>
      <c r="L578" s="6"/>
      <c r="M578" s="6"/>
      <c r="N578" s="6"/>
    </row>
    <row r="579" spans="1:14" ht="19.5" customHeight="1" x14ac:dyDescent="0.25">
      <c r="A579" s="6"/>
      <c r="B579" s="6"/>
      <c r="C579" s="10"/>
      <c r="D579" s="10"/>
      <c r="E579" s="10"/>
      <c r="F579" s="6"/>
      <c r="G579" s="6"/>
      <c r="H579" s="6"/>
      <c r="I579" s="6"/>
      <c r="J579" s="6"/>
      <c r="K579" s="6"/>
      <c r="L579" s="6"/>
      <c r="M579" s="6"/>
      <c r="N579" s="6"/>
    </row>
    <row r="580" spans="1:14" ht="19.5" customHeight="1" x14ac:dyDescent="0.25">
      <c r="A580" s="6"/>
      <c r="B580" s="6"/>
      <c r="C580" s="10"/>
      <c r="D580" s="10"/>
      <c r="E580" s="10"/>
      <c r="F580" s="6"/>
      <c r="G580" s="6"/>
      <c r="H580" s="6"/>
      <c r="I580" s="6"/>
      <c r="J580" s="6"/>
      <c r="K580" s="6"/>
      <c r="L580" s="6"/>
      <c r="M580" s="6"/>
      <c r="N580" s="6"/>
    </row>
    <row r="581" spans="1:14" ht="19.5" customHeight="1" x14ac:dyDescent="0.25">
      <c r="A581" s="6"/>
      <c r="B581" s="6"/>
      <c r="C581" s="10"/>
      <c r="D581" s="10"/>
      <c r="E581" s="10"/>
      <c r="F581" s="6"/>
      <c r="G581" s="6"/>
      <c r="H581" s="6"/>
      <c r="I581" s="6"/>
      <c r="J581" s="6"/>
      <c r="K581" s="6"/>
      <c r="L581" s="6"/>
      <c r="M581" s="6"/>
      <c r="N581" s="6"/>
    </row>
    <row r="582" spans="1:14" ht="19.5" customHeight="1" x14ac:dyDescent="0.25">
      <c r="A582" s="6"/>
      <c r="B582" s="6"/>
      <c r="C582" s="10"/>
      <c r="D582" s="10"/>
      <c r="E582" s="10"/>
      <c r="F582" s="6"/>
      <c r="G582" s="6"/>
      <c r="H582" s="6"/>
      <c r="I582" s="6"/>
      <c r="J582" s="6"/>
      <c r="K582" s="6"/>
      <c r="L582" s="6"/>
      <c r="M582" s="6"/>
      <c r="N582" s="6"/>
    </row>
    <row r="583" spans="1:14" ht="19.5" customHeight="1" x14ac:dyDescent="0.25">
      <c r="A583" s="6"/>
      <c r="B583" s="6"/>
      <c r="C583" s="10"/>
      <c r="D583" s="10"/>
      <c r="E583" s="10"/>
      <c r="F583" s="6"/>
      <c r="G583" s="6"/>
      <c r="H583" s="6"/>
      <c r="I583" s="6"/>
      <c r="J583" s="6"/>
      <c r="K583" s="6"/>
      <c r="L583" s="6"/>
      <c r="M583" s="6"/>
      <c r="N583" s="6"/>
    </row>
    <row r="584" spans="1:14" ht="19.5" customHeight="1" x14ac:dyDescent="0.25">
      <c r="A584" s="6"/>
      <c r="B584" s="6"/>
      <c r="C584" s="10"/>
      <c r="D584" s="10"/>
      <c r="E584" s="10"/>
      <c r="F584" s="6"/>
      <c r="G584" s="6"/>
      <c r="H584" s="6"/>
      <c r="I584" s="6"/>
      <c r="J584" s="6"/>
      <c r="K584" s="6"/>
      <c r="L584" s="6"/>
      <c r="M584" s="6"/>
      <c r="N584" s="6"/>
    </row>
    <row r="585" spans="1:14" ht="19.5" customHeight="1" x14ac:dyDescent="0.25">
      <c r="A585" s="6"/>
      <c r="B585" s="6"/>
      <c r="C585" s="10"/>
      <c r="D585" s="10"/>
      <c r="E585" s="10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19.5" customHeight="1" x14ac:dyDescent="0.25">
      <c r="A586" s="6"/>
      <c r="B586" s="6"/>
      <c r="C586" s="10"/>
      <c r="D586" s="10"/>
      <c r="E586" s="10"/>
      <c r="F586" s="6"/>
      <c r="G586" s="6"/>
      <c r="H586" s="6"/>
      <c r="I586" s="6"/>
      <c r="J586" s="6"/>
      <c r="K586" s="6"/>
      <c r="L586" s="6"/>
      <c r="M586" s="6"/>
      <c r="N586" s="6"/>
    </row>
    <row r="587" spans="1:14" ht="19.5" customHeight="1" x14ac:dyDescent="0.25">
      <c r="A587" s="6"/>
      <c r="B587" s="6"/>
      <c r="C587" s="10"/>
      <c r="D587" s="10"/>
      <c r="E587" s="10"/>
      <c r="F587" s="6"/>
      <c r="G587" s="6"/>
      <c r="H587" s="6"/>
      <c r="I587" s="6"/>
      <c r="J587" s="6"/>
      <c r="K587" s="6"/>
      <c r="L587" s="6"/>
      <c r="M587" s="6"/>
      <c r="N587" s="6"/>
    </row>
    <row r="588" spans="1:14" ht="19.5" customHeight="1" x14ac:dyDescent="0.25">
      <c r="A588" s="6"/>
      <c r="B588" s="6"/>
      <c r="C588" s="10"/>
      <c r="D588" s="10"/>
      <c r="E588" s="10"/>
      <c r="F588" s="6"/>
      <c r="G588" s="6"/>
      <c r="H588" s="6"/>
      <c r="I588" s="6"/>
      <c r="J588" s="6"/>
      <c r="K588" s="6"/>
      <c r="L588" s="6"/>
      <c r="M588" s="6"/>
      <c r="N588" s="6"/>
    </row>
    <row r="589" spans="1:14" ht="19.5" customHeight="1" x14ac:dyDescent="0.25">
      <c r="A589" s="6"/>
      <c r="B589" s="6"/>
      <c r="C589" s="10"/>
      <c r="D589" s="10"/>
      <c r="E589" s="10"/>
      <c r="F589" s="6"/>
      <c r="G589" s="6"/>
      <c r="H589" s="6"/>
      <c r="I589" s="6"/>
      <c r="J589" s="6"/>
      <c r="K589" s="6"/>
      <c r="L589" s="6"/>
      <c r="M589" s="6"/>
      <c r="N589" s="6"/>
    </row>
    <row r="590" spans="1:14" ht="19.5" customHeight="1" x14ac:dyDescent="0.25">
      <c r="A590" s="6"/>
      <c r="B590" s="6"/>
      <c r="C590" s="10"/>
      <c r="D590" s="10"/>
      <c r="E590" s="10"/>
      <c r="F590" s="6"/>
      <c r="G590" s="6"/>
      <c r="H590" s="6"/>
      <c r="I590" s="6"/>
      <c r="J590" s="6"/>
      <c r="K590" s="6"/>
      <c r="L590" s="6"/>
      <c r="M590" s="6"/>
      <c r="N590" s="6"/>
    </row>
    <row r="591" spans="1:14" ht="19.5" customHeight="1" x14ac:dyDescent="0.25">
      <c r="A591" s="6"/>
      <c r="B591" s="6"/>
      <c r="C591" s="10"/>
      <c r="D591" s="10"/>
      <c r="E591" s="10"/>
      <c r="F591" s="6"/>
      <c r="G591" s="6"/>
      <c r="H591" s="6"/>
      <c r="I591" s="6"/>
      <c r="J591" s="6"/>
      <c r="K591" s="6"/>
      <c r="L591" s="6"/>
      <c r="M591" s="6"/>
      <c r="N591" s="6"/>
    </row>
    <row r="592" spans="1:14" ht="19.5" customHeight="1" x14ac:dyDescent="0.25">
      <c r="A592" s="6"/>
      <c r="B592" s="6"/>
      <c r="C592" s="10"/>
      <c r="D592" s="10"/>
      <c r="E592" s="10"/>
      <c r="F592" s="6"/>
      <c r="G592" s="6"/>
      <c r="H592" s="6"/>
      <c r="I592" s="6"/>
      <c r="J592" s="6"/>
      <c r="K592" s="6"/>
      <c r="L592" s="6"/>
      <c r="M592" s="6"/>
      <c r="N592" s="6"/>
    </row>
    <row r="593" spans="1:14" ht="19.5" customHeight="1" x14ac:dyDescent="0.25">
      <c r="A593" s="6"/>
      <c r="B593" s="6"/>
      <c r="C593" s="10"/>
      <c r="D593" s="10"/>
      <c r="E593" s="10"/>
      <c r="F593" s="6"/>
      <c r="G593" s="6"/>
      <c r="H593" s="6"/>
      <c r="I593" s="6"/>
      <c r="J593" s="6"/>
      <c r="K593" s="6"/>
      <c r="L593" s="6"/>
      <c r="M593" s="6"/>
      <c r="N593" s="6"/>
    </row>
    <row r="594" spans="1:14" ht="19.5" customHeight="1" x14ac:dyDescent="0.25">
      <c r="A594" s="6"/>
      <c r="B594" s="6"/>
      <c r="C594" s="10"/>
      <c r="D594" s="10"/>
      <c r="E594" s="10"/>
      <c r="F594" s="6"/>
      <c r="G594" s="6"/>
      <c r="H594" s="6"/>
      <c r="I594" s="6"/>
      <c r="J594" s="6"/>
      <c r="K594" s="6"/>
      <c r="L594" s="6"/>
      <c r="M594" s="6"/>
      <c r="N594" s="6"/>
    </row>
    <row r="595" spans="1:14" ht="19.5" customHeight="1" x14ac:dyDescent="0.25">
      <c r="A595" s="6"/>
      <c r="B595" s="6"/>
      <c r="C595" s="10"/>
      <c r="D595" s="10"/>
      <c r="E595" s="10"/>
      <c r="F595" s="6"/>
      <c r="G595" s="6"/>
      <c r="H595" s="6"/>
      <c r="I595" s="6"/>
      <c r="J595" s="6"/>
      <c r="K595" s="6"/>
      <c r="L595" s="6"/>
      <c r="M595" s="6"/>
      <c r="N595" s="6"/>
    </row>
    <row r="596" spans="1:14" ht="19.5" customHeight="1" x14ac:dyDescent="0.25">
      <c r="A596" s="6"/>
      <c r="B596" s="6"/>
      <c r="C596" s="10"/>
      <c r="D596" s="10"/>
      <c r="E596" s="10"/>
      <c r="F596" s="6"/>
      <c r="G596" s="6"/>
      <c r="H596" s="6"/>
      <c r="I596" s="6"/>
      <c r="J596" s="6"/>
      <c r="K596" s="6"/>
      <c r="L596" s="6"/>
      <c r="M596" s="6"/>
      <c r="N596" s="6"/>
    </row>
    <row r="597" spans="1:14" ht="19.5" customHeight="1" x14ac:dyDescent="0.25">
      <c r="A597" s="6"/>
      <c r="B597" s="6"/>
      <c r="C597" s="10"/>
      <c r="D597" s="10"/>
      <c r="E597" s="10"/>
      <c r="F597" s="6"/>
      <c r="G597" s="6"/>
      <c r="H597" s="6"/>
      <c r="I597" s="6"/>
      <c r="J597" s="6"/>
      <c r="K597" s="6"/>
      <c r="L597" s="6"/>
      <c r="M597" s="6"/>
      <c r="N597" s="6"/>
    </row>
    <row r="598" spans="1:14" ht="19.5" customHeight="1" x14ac:dyDescent="0.25">
      <c r="A598" s="6"/>
      <c r="B598" s="6"/>
      <c r="C598" s="10"/>
      <c r="D598" s="10"/>
      <c r="E598" s="10"/>
      <c r="F598" s="6"/>
      <c r="G598" s="6"/>
      <c r="H598" s="6"/>
      <c r="I598" s="6"/>
      <c r="J598" s="6"/>
      <c r="K598" s="6"/>
      <c r="L598" s="6"/>
      <c r="M598" s="6"/>
      <c r="N598" s="6"/>
    </row>
    <row r="599" spans="1:14" ht="19.5" customHeight="1" x14ac:dyDescent="0.25">
      <c r="A599" s="6"/>
      <c r="B599" s="6"/>
      <c r="C599" s="10"/>
      <c r="D599" s="10"/>
      <c r="E599" s="10"/>
      <c r="F599" s="6"/>
      <c r="G599" s="6"/>
      <c r="H599" s="6"/>
      <c r="I599" s="6"/>
      <c r="J599" s="6"/>
      <c r="K599" s="6"/>
      <c r="L599" s="6"/>
      <c r="M599" s="6"/>
      <c r="N599" s="6"/>
    </row>
    <row r="600" spans="1:14" ht="19.5" customHeight="1" x14ac:dyDescent="0.25">
      <c r="A600" s="6"/>
      <c r="B600" s="6"/>
      <c r="C600" s="10"/>
      <c r="D600" s="10"/>
      <c r="E600" s="10"/>
      <c r="F600" s="6"/>
      <c r="G600" s="6"/>
      <c r="H600" s="6"/>
      <c r="I600" s="6"/>
      <c r="J600" s="6"/>
      <c r="K600" s="6"/>
      <c r="L600" s="6"/>
      <c r="M600" s="6"/>
      <c r="N600" s="6"/>
    </row>
    <row r="601" spans="1:14" ht="19.5" customHeight="1" x14ac:dyDescent="0.25">
      <c r="A601" s="6"/>
      <c r="B601" s="6"/>
      <c r="C601" s="10"/>
      <c r="D601" s="10"/>
      <c r="E601" s="10"/>
      <c r="F601" s="6"/>
      <c r="G601" s="6"/>
      <c r="H601" s="6"/>
      <c r="I601" s="6"/>
      <c r="J601" s="6"/>
      <c r="K601" s="6"/>
      <c r="L601" s="6"/>
      <c r="M601" s="6"/>
      <c r="N601" s="6"/>
    </row>
    <row r="602" spans="1:14" ht="19.5" customHeight="1" x14ac:dyDescent="0.25">
      <c r="A602" s="6"/>
      <c r="B602" s="6"/>
      <c r="C602" s="10"/>
      <c r="D602" s="10"/>
      <c r="E602" s="10"/>
      <c r="F602" s="6"/>
      <c r="G602" s="6"/>
      <c r="H602" s="6"/>
      <c r="I602" s="6"/>
      <c r="J602" s="6"/>
      <c r="K602" s="6"/>
      <c r="L602" s="6"/>
      <c r="M602" s="6"/>
      <c r="N602" s="6"/>
    </row>
    <row r="603" spans="1:14" ht="19.5" customHeight="1" x14ac:dyDescent="0.25">
      <c r="A603" s="6"/>
      <c r="B603" s="6"/>
      <c r="C603" s="10"/>
      <c r="D603" s="10"/>
      <c r="E603" s="10"/>
      <c r="F603" s="6"/>
      <c r="G603" s="6"/>
      <c r="H603" s="6"/>
      <c r="I603" s="6"/>
      <c r="J603" s="6"/>
      <c r="K603" s="6"/>
      <c r="L603" s="6"/>
      <c r="M603" s="6"/>
      <c r="N603" s="6"/>
    </row>
    <row r="604" spans="1:14" ht="19.5" customHeight="1" x14ac:dyDescent="0.25">
      <c r="A604" s="6"/>
      <c r="B604" s="6"/>
      <c r="C604" s="10"/>
      <c r="D604" s="10"/>
      <c r="E604" s="10"/>
      <c r="F604" s="6"/>
      <c r="G604" s="6"/>
      <c r="H604" s="6"/>
      <c r="I604" s="6"/>
      <c r="J604" s="6"/>
      <c r="K604" s="6"/>
      <c r="L604" s="6"/>
      <c r="M604" s="6"/>
      <c r="N604" s="6"/>
    </row>
    <row r="605" spans="1:14" ht="19.5" customHeight="1" x14ac:dyDescent="0.25">
      <c r="A605" s="6"/>
      <c r="B605" s="6"/>
      <c r="C605" s="10"/>
      <c r="D605" s="10"/>
      <c r="E605" s="10"/>
      <c r="F605" s="6"/>
      <c r="G605" s="6"/>
      <c r="H605" s="6"/>
      <c r="I605" s="6"/>
      <c r="J605" s="6"/>
      <c r="K605" s="6"/>
      <c r="L605" s="6"/>
      <c r="M605" s="6"/>
      <c r="N605" s="6"/>
    </row>
    <row r="606" spans="1:14" ht="19.5" customHeight="1" x14ac:dyDescent="0.25">
      <c r="A606" s="6"/>
      <c r="B606" s="6"/>
      <c r="C606" s="10"/>
      <c r="D606" s="10"/>
      <c r="E606" s="10"/>
      <c r="F606" s="6"/>
      <c r="G606" s="6"/>
      <c r="H606" s="6"/>
      <c r="I606" s="6"/>
      <c r="J606" s="6"/>
      <c r="K606" s="6"/>
      <c r="L606" s="6"/>
      <c r="M606" s="6"/>
      <c r="N606" s="6"/>
    </row>
    <row r="607" spans="1:14" ht="19.5" customHeight="1" x14ac:dyDescent="0.25">
      <c r="A607" s="6"/>
      <c r="B607" s="6"/>
      <c r="C607" s="10"/>
      <c r="D607" s="10"/>
      <c r="E607" s="10"/>
      <c r="F607" s="6"/>
      <c r="G607" s="6"/>
      <c r="H607" s="6"/>
      <c r="I607" s="6"/>
      <c r="J607" s="6"/>
      <c r="K607" s="6"/>
      <c r="L607" s="6"/>
      <c r="M607" s="6"/>
      <c r="N607" s="6"/>
    </row>
    <row r="608" spans="1:14" ht="19.5" customHeight="1" x14ac:dyDescent="0.25">
      <c r="A608" s="6"/>
      <c r="B608" s="6"/>
      <c r="C608" s="10"/>
      <c r="D608" s="10"/>
      <c r="E608" s="10"/>
      <c r="F608" s="6"/>
      <c r="G608" s="6"/>
      <c r="H608" s="6"/>
      <c r="I608" s="6"/>
      <c r="J608" s="6"/>
      <c r="K608" s="6"/>
      <c r="L608" s="6"/>
      <c r="M608" s="6"/>
      <c r="N608" s="6"/>
    </row>
    <row r="609" spans="1:14" ht="19.5" customHeight="1" x14ac:dyDescent="0.25">
      <c r="A609" s="6"/>
      <c r="B609" s="6"/>
      <c r="C609" s="10"/>
      <c r="D609" s="10"/>
      <c r="E609" s="10"/>
      <c r="F609" s="6"/>
      <c r="G609" s="6"/>
      <c r="H609" s="6"/>
      <c r="I609" s="6"/>
      <c r="J609" s="6"/>
      <c r="K609" s="6"/>
      <c r="L609" s="6"/>
      <c r="M609" s="6"/>
      <c r="N609" s="6"/>
    </row>
    <row r="610" spans="1:14" ht="19.5" customHeight="1" x14ac:dyDescent="0.25">
      <c r="A610" s="6"/>
      <c r="B610" s="6"/>
      <c r="C610" s="10"/>
      <c r="D610" s="10"/>
      <c r="E610" s="10"/>
      <c r="F610" s="6"/>
      <c r="G610" s="6"/>
      <c r="H610" s="6"/>
      <c r="I610" s="6"/>
      <c r="J610" s="6"/>
      <c r="K610" s="6"/>
      <c r="L610" s="6"/>
      <c r="M610" s="6"/>
      <c r="N610" s="6"/>
    </row>
    <row r="611" spans="1:14" ht="19.5" customHeight="1" x14ac:dyDescent="0.25">
      <c r="A611" s="6"/>
      <c r="B611" s="6"/>
      <c r="C611" s="10"/>
      <c r="D611" s="10"/>
      <c r="E611" s="10"/>
      <c r="F611" s="6"/>
      <c r="G611" s="6"/>
      <c r="H611" s="6"/>
      <c r="I611" s="6"/>
      <c r="J611" s="6"/>
      <c r="K611" s="6"/>
      <c r="L611" s="6"/>
      <c r="M611" s="6"/>
      <c r="N611" s="6"/>
    </row>
    <row r="612" spans="1:14" ht="19.5" customHeight="1" x14ac:dyDescent="0.25">
      <c r="A612" s="6"/>
      <c r="B612" s="6"/>
      <c r="C612" s="10"/>
      <c r="D612" s="10"/>
      <c r="E612" s="10"/>
      <c r="F612" s="6"/>
      <c r="G612" s="6"/>
      <c r="H612" s="6"/>
      <c r="I612" s="6"/>
      <c r="J612" s="6"/>
      <c r="K612" s="6"/>
      <c r="L612" s="6"/>
      <c r="M612" s="6"/>
      <c r="N612" s="6"/>
    </row>
    <row r="613" spans="1:14" ht="19.5" customHeight="1" x14ac:dyDescent="0.25">
      <c r="A613" s="6"/>
      <c r="B613" s="6"/>
      <c r="C613" s="10"/>
      <c r="D613" s="10"/>
      <c r="E613" s="10"/>
      <c r="F613" s="6"/>
      <c r="G613" s="6"/>
      <c r="H613" s="6"/>
      <c r="I613" s="6"/>
      <c r="J613" s="6"/>
      <c r="K613" s="6"/>
      <c r="L613" s="6"/>
      <c r="M613" s="6"/>
      <c r="N613" s="6"/>
    </row>
    <row r="614" spans="1:14" ht="19.5" customHeight="1" x14ac:dyDescent="0.25">
      <c r="A614" s="6"/>
      <c r="B614" s="6"/>
      <c r="C614" s="10"/>
      <c r="D614" s="10"/>
      <c r="E614" s="10"/>
      <c r="F614" s="6"/>
      <c r="G614" s="6"/>
      <c r="H614" s="6"/>
      <c r="I614" s="6"/>
      <c r="J614" s="6"/>
      <c r="K614" s="6"/>
      <c r="L614" s="6"/>
      <c r="M614" s="6"/>
      <c r="N614" s="6"/>
    </row>
    <row r="615" spans="1:14" ht="19.5" customHeight="1" x14ac:dyDescent="0.25">
      <c r="A615" s="6"/>
      <c r="B615" s="6"/>
      <c r="C615" s="10"/>
      <c r="D615" s="10"/>
      <c r="E615" s="10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19.5" customHeight="1" x14ac:dyDescent="0.25">
      <c r="A616" s="6"/>
      <c r="B616" s="6"/>
      <c r="C616" s="10"/>
      <c r="D616" s="10"/>
      <c r="E616" s="10"/>
      <c r="F616" s="6"/>
      <c r="G616" s="6"/>
      <c r="H616" s="6"/>
      <c r="I616" s="6"/>
      <c r="J616" s="6"/>
      <c r="K616" s="6"/>
      <c r="L616" s="6"/>
      <c r="M616" s="6"/>
      <c r="N616" s="6"/>
    </row>
    <row r="617" spans="1:14" ht="19.5" customHeight="1" x14ac:dyDescent="0.25">
      <c r="A617" s="6"/>
      <c r="B617" s="6"/>
      <c r="C617" s="10"/>
      <c r="D617" s="10"/>
      <c r="E617" s="10"/>
      <c r="F617" s="6"/>
      <c r="G617" s="6"/>
      <c r="H617" s="6"/>
      <c r="I617" s="6"/>
      <c r="J617" s="6"/>
      <c r="K617" s="6"/>
      <c r="L617" s="6"/>
      <c r="M617" s="6"/>
      <c r="N617" s="6"/>
    </row>
    <row r="618" spans="1:14" ht="19.5" customHeight="1" x14ac:dyDescent="0.25">
      <c r="A618" s="6"/>
      <c r="B618" s="6"/>
      <c r="C618" s="10"/>
      <c r="D618" s="10"/>
      <c r="E618" s="10"/>
      <c r="F618" s="6"/>
      <c r="G618" s="6"/>
      <c r="H618" s="6"/>
      <c r="I618" s="6"/>
      <c r="J618" s="6"/>
      <c r="K618" s="6"/>
      <c r="L618" s="6"/>
      <c r="M618" s="6"/>
      <c r="N618" s="6"/>
    </row>
    <row r="619" spans="1:14" ht="19.5" customHeight="1" x14ac:dyDescent="0.25">
      <c r="A619" s="6"/>
      <c r="B619" s="6"/>
      <c r="C619" s="10"/>
      <c r="D619" s="10"/>
      <c r="E619" s="10"/>
      <c r="F619" s="6"/>
      <c r="G619" s="6"/>
      <c r="H619" s="6"/>
      <c r="I619" s="6"/>
      <c r="J619" s="6"/>
      <c r="K619" s="6"/>
      <c r="L619" s="6"/>
      <c r="M619" s="6"/>
      <c r="N619" s="6"/>
    </row>
    <row r="620" spans="1:14" ht="19.5" customHeight="1" x14ac:dyDescent="0.25">
      <c r="A620" s="6"/>
      <c r="B620" s="6"/>
      <c r="C620" s="10"/>
      <c r="D620" s="10"/>
      <c r="E620" s="10"/>
      <c r="F620" s="6"/>
      <c r="G620" s="6"/>
      <c r="H620" s="6"/>
      <c r="I620" s="6"/>
      <c r="J620" s="6"/>
      <c r="K620" s="6"/>
      <c r="L620" s="6"/>
      <c r="M620" s="6"/>
      <c r="N620" s="6"/>
    </row>
    <row r="621" spans="1:14" ht="19.5" customHeight="1" x14ac:dyDescent="0.25">
      <c r="A621" s="6"/>
      <c r="B621" s="6"/>
      <c r="C621" s="10"/>
      <c r="D621" s="10"/>
      <c r="E621" s="10"/>
      <c r="F621" s="6"/>
      <c r="G621" s="6"/>
      <c r="H621" s="6"/>
      <c r="I621" s="6"/>
      <c r="J621" s="6"/>
      <c r="K621" s="6"/>
      <c r="L621" s="6"/>
      <c r="M621" s="6"/>
      <c r="N621" s="6"/>
    </row>
    <row r="622" spans="1:14" ht="19.5" customHeight="1" x14ac:dyDescent="0.25">
      <c r="A622" s="6"/>
      <c r="B622" s="6"/>
      <c r="C622" s="10"/>
      <c r="D622" s="10"/>
      <c r="E622" s="10"/>
      <c r="F622" s="6"/>
      <c r="G622" s="6"/>
      <c r="H622" s="6"/>
      <c r="I622" s="6"/>
      <c r="J622" s="6"/>
      <c r="K622" s="6"/>
      <c r="L622" s="6"/>
      <c r="M622" s="6"/>
      <c r="N622" s="6"/>
    </row>
    <row r="623" spans="1:14" ht="19.5" customHeight="1" x14ac:dyDescent="0.25">
      <c r="A623" s="6"/>
      <c r="B623" s="6"/>
      <c r="C623" s="10"/>
      <c r="D623" s="10"/>
      <c r="E623" s="10"/>
      <c r="F623" s="6"/>
      <c r="G623" s="6"/>
      <c r="H623" s="6"/>
      <c r="I623" s="6"/>
      <c r="J623" s="6"/>
      <c r="K623" s="6"/>
      <c r="L623" s="6"/>
      <c r="M623" s="6"/>
      <c r="N623" s="6"/>
    </row>
    <row r="624" spans="1:14" ht="19.5" customHeight="1" x14ac:dyDescent="0.25">
      <c r="A624" s="6"/>
      <c r="B624" s="6"/>
      <c r="C624" s="10"/>
      <c r="D624" s="10"/>
      <c r="E624" s="10"/>
      <c r="F624" s="6"/>
      <c r="G624" s="6"/>
      <c r="H624" s="6"/>
      <c r="I624" s="6"/>
      <c r="J624" s="6"/>
      <c r="K624" s="6"/>
      <c r="L624" s="6"/>
      <c r="M624" s="6"/>
      <c r="N624" s="6"/>
    </row>
    <row r="625" spans="1:14" ht="19.5" customHeight="1" x14ac:dyDescent="0.25">
      <c r="A625" s="6"/>
      <c r="B625" s="6"/>
      <c r="C625" s="10"/>
      <c r="D625" s="10"/>
      <c r="E625" s="10"/>
      <c r="F625" s="6"/>
      <c r="G625" s="6"/>
      <c r="H625" s="6"/>
      <c r="I625" s="6"/>
      <c r="J625" s="6"/>
      <c r="K625" s="6"/>
      <c r="L625" s="6"/>
      <c r="M625" s="6"/>
      <c r="N625" s="6"/>
    </row>
    <row r="626" spans="1:14" ht="19.5" customHeight="1" x14ac:dyDescent="0.25">
      <c r="A626" s="6"/>
      <c r="B626" s="6"/>
      <c r="C626" s="10"/>
      <c r="D626" s="10"/>
      <c r="E626" s="10"/>
      <c r="F626" s="6"/>
      <c r="G626" s="6"/>
      <c r="H626" s="6"/>
      <c r="I626" s="6"/>
      <c r="J626" s="6"/>
      <c r="K626" s="6"/>
      <c r="L626" s="6"/>
      <c r="M626" s="6"/>
      <c r="N626" s="6"/>
    </row>
    <row r="627" spans="1:14" ht="19.5" customHeight="1" x14ac:dyDescent="0.25">
      <c r="A627" s="6"/>
      <c r="B627" s="6"/>
      <c r="C627" s="10"/>
      <c r="D627" s="10"/>
      <c r="E627" s="10"/>
      <c r="F627" s="6"/>
      <c r="G627" s="6"/>
      <c r="H627" s="6"/>
      <c r="I627" s="6"/>
      <c r="J627" s="6"/>
      <c r="K627" s="6"/>
      <c r="L627" s="6"/>
      <c r="M627" s="6"/>
      <c r="N627" s="6"/>
    </row>
    <row r="628" spans="1:14" ht="19.5" customHeight="1" x14ac:dyDescent="0.25">
      <c r="A628" s="6"/>
      <c r="B628" s="6"/>
      <c r="C628" s="10"/>
      <c r="D628" s="10"/>
      <c r="E628" s="10"/>
      <c r="F628" s="6"/>
      <c r="G628" s="6"/>
      <c r="H628" s="6"/>
      <c r="I628" s="6"/>
      <c r="J628" s="6"/>
      <c r="K628" s="6"/>
      <c r="L628" s="6"/>
      <c r="M628" s="6"/>
      <c r="N628" s="6"/>
    </row>
    <row r="629" spans="1:14" ht="19.5" customHeight="1" x14ac:dyDescent="0.25">
      <c r="A629" s="6"/>
      <c r="B629" s="6"/>
      <c r="C629" s="10"/>
      <c r="D629" s="10"/>
      <c r="E629" s="10"/>
      <c r="F629" s="6"/>
      <c r="G629" s="6"/>
      <c r="H629" s="6"/>
      <c r="I629" s="6"/>
      <c r="J629" s="6"/>
      <c r="K629" s="6"/>
      <c r="L629" s="6"/>
      <c r="M629" s="6"/>
      <c r="N629" s="6"/>
    </row>
    <row r="630" spans="1:14" ht="19.5" customHeight="1" x14ac:dyDescent="0.25">
      <c r="A630" s="6"/>
      <c r="B630" s="6"/>
      <c r="C630" s="10"/>
      <c r="D630" s="10"/>
      <c r="E630" s="10"/>
      <c r="F630" s="6"/>
      <c r="G630" s="6"/>
      <c r="H630" s="6"/>
      <c r="I630" s="6"/>
      <c r="J630" s="6"/>
      <c r="K630" s="6"/>
      <c r="L630" s="6"/>
      <c r="M630" s="6"/>
      <c r="N630" s="6"/>
    </row>
    <row r="631" spans="1:14" ht="19.5" customHeight="1" x14ac:dyDescent="0.25">
      <c r="A631" s="6"/>
      <c r="B631" s="6"/>
      <c r="C631" s="10"/>
      <c r="D631" s="10"/>
      <c r="E631" s="10"/>
      <c r="F631" s="6"/>
      <c r="G631" s="6"/>
      <c r="H631" s="6"/>
      <c r="I631" s="6"/>
      <c r="J631" s="6"/>
      <c r="K631" s="6"/>
      <c r="L631" s="6"/>
      <c r="M631" s="6"/>
      <c r="N631" s="6"/>
    </row>
    <row r="632" spans="1:14" ht="19.5" customHeight="1" x14ac:dyDescent="0.25">
      <c r="A632" s="6"/>
      <c r="B632" s="6"/>
      <c r="C632" s="10"/>
      <c r="D632" s="10"/>
      <c r="E632" s="10"/>
      <c r="F632" s="6"/>
      <c r="G632" s="6"/>
      <c r="H632" s="6"/>
      <c r="I632" s="6"/>
      <c r="J632" s="6"/>
      <c r="K632" s="6"/>
      <c r="L632" s="6"/>
      <c r="M632" s="6"/>
      <c r="N632" s="6"/>
    </row>
    <row r="633" spans="1:14" ht="19.5" customHeight="1" x14ac:dyDescent="0.25">
      <c r="A633" s="6"/>
      <c r="B633" s="6"/>
      <c r="C633" s="10"/>
      <c r="D633" s="10"/>
      <c r="E633" s="10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19.5" customHeight="1" x14ac:dyDescent="0.25">
      <c r="A634" s="6"/>
      <c r="B634" s="6"/>
      <c r="C634" s="10"/>
      <c r="D634" s="10"/>
      <c r="E634" s="10"/>
      <c r="F634" s="6"/>
      <c r="G634" s="6"/>
      <c r="H634" s="6"/>
      <c r="I634" s="6"/>
      <c r="J634" s="6"/>
      <c r="K634" s="6"/>
      <c r="L634" s="6"/>
      <c r="M634" s="6"/>
      <c r="N634" s="6"/>
    </row>
    <row r="635" spans="1:14" ht="19.5" customHeight="1" x14ac:dyDescent="0.25">
      <c r="A635" s="6"/>
      <c r="B635" s="6"/>
      <c r="C635" s="10"/>
      <c r="D635" s="10"/>
      <c r="E635" s="10"/>
      <c r="F635" s="6"/>
      <c r="G635" s="6"/>
      <c r="H635" s="6"/>
      <c r="I635" s="6"/>
      <c r="J635" s="6"/>
      <c r="K635" s="6"/>
      <c r="L635" s="6"/>
      <c r="M635" s="6"/>
      <c r="N635" s="6"/>
    </row>
    <row r="636" spans="1:14" ht="19.5" customHeight="1" x14ac:dyDescent="0.25">
      <c r="A636" s="6"/>
      <c r="B636" s="6"/>
      <c r="C636" s="10"/>
      <c r="D636" s="10"/>
      <c r="E636" s="10"/>
      <c r="F636" s="6"/>
      <c r="G636" s="6"/>
      <c r="H636" s="6"/>
      <c r="I636" s="6"/>
      <c r="J636" s="6"/>
      <c r="K636" s="6"/>
      <c r="L636" s="6"/>
      <c r="M636" s="6"/>
      <c r="N636" s="6"/>
    </row>
    <row r="637" spans="1:14" ht="19.5" customHeight="1" x14ac:dyDescent="0.25">
      <c r="A637" s="6"/>
      <c r="B637" s="6"/>
      <c r="C637" s="10"/>
      <c r="D637" s="10"/>
      <c r="E637" s="10"/>
      <c r="F637" s="6"/>
      <c r="G637" s="6"/>
      <c r="H637" s="6"/>
      <c r="I637" s="6"/>
      <c r="J637" s="6"/>
      <c r="K637" s="6"/>
      <c r="L637" s="6"/>
      <c r="M637" s="6"/>
      <c r="N637" s="6"/>
    </row>
    <row r="638" spans="1:14" ht="19.5" customHeight="1" x14ac:dyDescent="0.25">
      <c r="A638" s="6"/>
      <c r="B638" s="6"/>
      <c r="C638" s="10"/>
      <c r="D638" s="10"/>
      <c r="E638" s="10"/>
      <c r="F638" s="6"/>
      <c r="G638" s="6"/>
      <c r="H638" s="6"/>
      <c r="I638" s="6"/>
      <c r="J638" s="6"/>
      <c r="K638" s="6"/>
      <c r="L638" s="6"/>
      <c r="M638" s="6"/>
      <c r="N638" s="6"/>
    </row>
    <row r="639" spans="1:14" ht="19.5" customHeight="1" x14ac:dyDescent="0.25">
      <c r="A639" s="6"/>
      <c r="B639" s="6"/>
      <c r="C639" s="10"/>
      <c r="D639" s="10"/>
      <c r="E639" s="10"/>
      <c r="F639" s="6"/>
      <c r="G639" s="6"/>
      <c r="H639" s="6"/>
      <c r="I639" s="6"/>
      <c r="J639" s="6"/>
      <c r="K639" s="6"/>
      <c r="L639" s="6"/>
      <c r="M639" s="6"/>
      <c r="N639" s="6"/>
    </row>
    <row r="640" spans="1:14" ht="19.5" customHeight="1" x14ac:dyDescent="0.25">
      <c r="A640" s="6"/>
      <c r="B640" s="6"/>
      <c r="C640" s="10"/>
      <c r="D640" s="10"/>
      <c r="E640" s="10"/>
      <c r="F640" s="6"/>
      <c r="G640" s="6"/>
      <c r="H640" s="6"/>
      <c r="I640" s="6"/>
      <c r="J640" s="6"/>
      <c r="K640" s="6"/>
      <c r="L640" s="6"/>
      <c r="M640" s="6"/>
      <c r="N640" s="6"/>
    </row>
    <row r="641" spans="1:14" ht="19.5" customHeight="1" x14ac:dyDescent="0.25">
      <c r="A641" s="6"/>
      <c r="B641" s="6"/>
      <c r="C641" s="10"/>
      <c r="D641" s="10"/>
      <c r="E641" s="10"/>
      <c r="F641" s="6"/>
      <c r="G641" s="6"/>
      <c r="H641" s="6"/>
      <c r="I641" s="6"/>
      <c r="J641" s="6"/>
      <c r="K641" s="6"/>
      <c r="L641" s="6"/>
      <c r="M641" s="6"/>
      <c r="N641" s="6"/>
    </row>
    <row r="642" spans="1:14" ht="19.5" customHeight="1" x14ac:dyDescent="0.25">
      <c r="A642" s="6"/>
      <c r="B642" s="6"/>
      <c r="C642" s="10"/>
      <c r="D642" s="10"/>
      <c r="E642" s="10"/>
      <c r="F642" s="6"/>
      <c r="G642" s="6"/>
      <c r="H642" s="6"/>
      <c r="I642" s="6"/>
      <c r="J642" s="6"/>
      <c r="K642" s="6"/>
      <c r="L642" s="6"/>
      <c r="M642" s="6"/>
      <c r="N642" s="6"/>
    </row>
    <row r="643" spans="1:14" ht="19.5" customHeight="1" x14ac:dyDescent="0.25">
      <c r="A643" s="6"/>
      <c r="B643" s="6"/>
      <c r="C643" s="10"/>
      <c r="D643" s="10"/>
      <c r="E643" s="10"/>
      <c r="F643" s="6"/>
      <c r="G643" s="6"/>
      <c r="H643" s="6"/>
      <c r="I643" s="6"/>
      <c r="J643" s="6"/>
      <c r="K643" s="6"/>
      <c r="L643" s="6"/>
      <c r="M643" s="6"/>
      <c r="N643" s="6"/>
    </row>
    <row r="644" spans="1:14" ht="19.5" customHeight="1" x14ac:dyDescent="0.25">
      <c r="A644" s="6"/>
      <c r="B644" s="6"/>
      <c r="C644" s="10"/>
      <c r="D644" s="10"/>
      <c r="E644" s="10"/>
      <c r="F644" s="6"/>
      <c r="G644" s="6"/>
      <c r="H644" s="6"/>
      <c r="I644" s="6"/>
      <c r="J644" s="6"/>
      <c r="K644" s="6"/>
      <c r="L644" s="6"/>
      <c r="M644" s="6"/>
      <c r="N644" s="6"/>
    </row>
    <row r="645" spans="1:14" ht="19.5" customHeight="1" x14ac:dyDescent="0.25">
      <c r="A645" s="6"/>
      <c r="B645" s="6"/>
      <c r="C645" s="10"/>
      <c r="D645" s="10"/>
      <c r="E645" s="10"/>
      <c r="F645" s="6"/>
      <c r="G645" s="6"/>
      <c r="H645" s="6"/>
      <c r="I645" s="6"/>
      <c r="J645" s="6"/>
      <c r="K645" s="6"/>
      <c r="L645" s="6"/>
      <c r="M645" s="6"/>
      <c r="N645" s="6"/>
    </row>
    <row r="646" spans="1:14" ht="19.5" customHeight="1" x14ac:dyDescent="0.25">
      <c r="A646" s="6"/>
      <c r="B646" s="6"/>
      <c r="C646" s="10"/>
      <c r="D646" s="10"/>
      <c r="E646" s="10"/>
      <c r="F646" s="6"/>
      <c r="G646" s="6"/>
      <c r="H646" s="6"/>
      <c r="I646" s="6"/>
      <c r="J646" s="6"/>
      <c r="K646" s="6"/>
      <c r="L646" s="6"/>
      <c r="M646" s="6"/>
      <c r="N646" s="6"/>
    </row>
    <row r="647" spans="1:14" ht="19.5" customHeight="1" x14ac:dyDescent="0.25">
      <c r="A647" s="6"/>
      <c r="B647" s="6"/>
      <c r="C647" s="10"/>
      <c r="D647" s="10"/>
      <c r="E647" s="10"/>
      <c r="F647" s="6"/>
      <c r="G647" s="6"/>
      <c r="H647" s="6"/>
      <c r="I647" s="6"/>
      <c r="J647" s="6"/>
      <c r="K647" s="6"/>
      <c r="L647" s="6"/>
      <c r="M647" s="6"/>
      <c r="N647" s="6"/>
    </row>
    <row r="648" spans="1:14" ht="19.5" customHeight="1" x14ac:dyDescent="0.25">
      <c r="A648" s="6"/>
      <c r="B648" s="6"/>
      <c r="C648" s="10"/>
      <c r="D648" s="10"/>
      <c r="E648" s="10"/>
      <c r="F648" s="6"/>
      <c r="G648" s="6"/>
      <c r="H648" s="6"/>
      <c r="I648" s="6"/>
      <c r="J648" s="6"/>
      <c r="K648" s="6"/>
      <c r="L648" s="6"/>
      <c r="M648" s="6"/>
      <c r="N648" s="6"/>
    </row>
    <row r="649" spans="1:14" ht="19.5" customHeight="1" x14ac:dyDescent="0.25">
      <c r="A649" s="6"/>
      <c r="B649" s="6"/>
      <c r="C649" s="10"/>
      <c r="D649" s="10"/>
      <c r="E649" s="10"/>
      <c r="F649" s="6"/>
      <c r="G649" s="6"/>
      <c r="H649" s="6"/>
      <c r="I649" s="6"/>
      <c r="J649" s="6"/>
      <c r="K649" s="6"/>
      <c r="L649" s="6"/>
      <c r="M649" s="6"/>
      <c r="N649" s="6"/>
    </row>
    <row r="650" spans="1:14" ht="19.5" customHeight="1" x14ac:dyDescent="0.25">
      <c r="A650" s="6"/>
      <c r="B650" s="6"/>
      <c r="C650" s="10"/>
      <c r="D650" s="10"/>
      <c r="E650" s="10"/>
      <c r="F650" s="6"/>
      <c r="G650" s="6"/>
      <c r="H650" s="6"/>
      <c r="I650" s="6"/>
      <c r="J650" s="6"/>
      <c r="K650" s="6"/>
      <c r="L650" s="6"/>
      <c r="M650" s="6"/>
      <c r="N650" s="6"/>
    </row>
    <row r="651" spans="1:14" ht="19.5" customHeight="1" x14ac:dyDescent="0.25">
      <c r="A651" s="6"/>
      <c r="B651" s="6"/>
      <c r="C651" s="10"/>
      <c r="D651" s="10"/>
      <c r="E651" s="10"/>
      <c r="F651" s="6"/>
      <c r="G651" s="6"/>
      <c r="H651" s="6"/>
      <c r="I651" s="6"/>
      <c r="J651" s="6"/>
      <c r="K651" s="6"/>
      <c r="L651" s="6"/>
      <c r="M651" s="6"/>
      <c r="N651" s="6"/>
    </row>
    <row r="652" spans="1:14" ht="19.5" customHeight="1" x14ac:dyDescent="0.25">
      <c r="A652" s="6"/>
      <c r="B652" s="6"/>
      <c r="C652" s="10"/>
      <c r="D652" s="10"/>
      <c r="E652" s="10"/>
      <c r="F652" s="6"/>
      <c r="G652" s="6"/>
      <c r="H652" s="6"/>
      <c r="I652" s="6"/>
      <c r="J652" s="6"/>
      <c r="K652" s="6"/>
      <c r="L652" s="6"/>
      <c r="M652" s="6"/>
      <c r="N652" s="6"/>
    </row>
    <row r="653" spans="1:14" ht="19.5" customHeight="1" x14ac:dyDescent="0.25">
      <c r="A653" s="6"/>
      <c r="B653" s="6"/>
      <c r="C653" s="10"/>
      <c r="D653" s="10"/>
      <c r="E653" s="10"/>
      <c r="F653" s="6"/>
      <c r="G653" s="6"/>
      <c r="H653" s="6"/>
      <c r="I653" s="6"/>
      <c r="J653" s="6"/>
      <c r="K653" s="6"/>
      <c r="L653" s="6"/>
      <c r="M653" s="6"/>
      <c r="N653" s="6"/>
    </row>
    <row r="654" spans="1:14" ht="19.5" customHeight="1" x14ac:dyDescent="0.25">
      <c r="A654" s="6"/>
      <c r="B654" s="6"/>
      <c r="C654" s="10"/>
      <c r="D654" s="10"/>
      <c r="E654" s="10"/>
      <c r="F654" s="6"/>
      <c r="G654" s="6"/>
      <c r="H654" s="6"/>
      <c r="I654" s="6"/>
      <c r="J654" s="6"/>
      <c r="K654" s="6"/>
      <c r="L654" s="6"/>
      <c r="M654" s="6"/>
      <c r="N654" s="6"/>
    </row>
    <row r="655" spans="1:14" ht="19.5" customHeight="1" x14ac:dyDescent="0.25">
      <c r="A655" s="6"/>
      <c r="B655" s="6"/>
      <c r="C655" s="10"/>
      <c r="D655" s="10"/>
      <c r="E655" s="10"/>
      <c r="F655" s="6"/>
      <c r="G655" s="6"/>
      <c r="H655" s="6"/>
      <c r="I655" s="6"/>
      <c r="J655" s="6"/>
      <c r="K655" s="6"/>
      <c r="L655" s="6"/>
      <c r="M655" s="6"/>
      <c r="N655" s="6"/>
    </row>
    <row r="656" spans="1:14" ht="19.5" customHeight="1" x14ac:dyDescent="0.25">
      <c r="A656" s="6"/>
      <c r="B656" s="6"/>
      <c r="C656" s="10"/>
      <c r="D656" s="10"/>
      <c r="E656" s="10"/>
      <c r="F656" s="6"/>
      <c r="G656" s="6"/>
      <c r="H656" s="6"/>
      <c r="I656" s="6"/>
      <c r="J656" s="6"/>
      <c r="K656" s="6"/>
      <c r="L656" s="6"/>
      <c r="M656" s="6"/>
      <c r="N656" s="6"/>
    </row>
    <row r="657" spans="1:14" ht="19.5" customHeight="1" x14ac:dyDescent="0.25">
      <c r="A657" s="6"/>
      <c r="B657" s="6"/>
      <c r="C657" s="10"/>
      <c r="D657" s="10"/>
      <c r="E657" s="10"/>
      <c r="F657" s="6"/>
      <c r="G657" s="6"/>
      <c r="H657" s="6"/>
      <c r="I657" s="6"/>
      <c r="J657" s="6"/>
      <c r="K657" s="6"/>
      <c r="L657" s="6"/>
      <c r="M657" s="6"/>
      <c r="N657" s="6"/>
    </row>
    <row r="658" spans="1:14" ht="19.5" customHeight="1" x14ac:dyDescent="0.25">
      <c r="A658" s="6"/>
      <c r="B658" s="6"/>
      <c r="C658" s="10"/>
      <c r="D658" s="10"/>
      <c r="E658" s="10"/>
      <c r="F658" s="6"/>
      <c r="G658" s="6"/>
      <c r="H658" s="6"/>
      <c r="I658" s="6"/>
      <c r="J658" s="6"/>
      <c r="K658" s="6"/>
      <c r="L658" s="6"/>
      <c r="M658" s="6"/>
      <c r="N658" s="6"/>
    </row>
    <row r="659" spans="1:14" ht="19.5" customHeight="1" x14ac:dyDescent="0.25">
      <c r="A659" s="6"/>
      <c r="B659" s="6"/>
      <c r="C659" s="10"/>
      <c r="D659" s="10"/>
      <c r="E659" s="10"/>
      <c r="F659" s="6"/>
      <c r="G659" s="6"/>
      <c r="H659" s="6"/>
      <c r="I659" s="6"/>
      <c r="J659" s="6"/>
      <c r="K659" s="6"/>
      <c r="L659" s="6"/>
      <c r="M659" s="6"/>
      <c r="N659" s="6"/>
    </row>
    <row r="660" spans="1:14" ht="19.5" customHeight="1" x14ac:dyDescent="0.25">
      <c r="A660" s="6"/>
      <c r="B660" s="6"/>
      <c r="C660" s="10"/>
      <c r="D660" s="10"/>
      <c r="E660" s="10"/>
      <c r="F660" s="6"/>
      <c r="G660" s="6"/>
      <c r="H660" s="6"/>
      <c r="I660" s="6"/>
      <c r="J660" s="6"/>
      <c r="K660" s="6"/>
      <c r="L660" s="6"/>
      <c r="M660" s="6"/>
      <c r="N660" s="6"/>
    </row>
    <row r="661" spans="1:14" ht="19.5" customHeight="1" x14ac:dyDescent="0.25">
      <c r="A661" s="6"/>
      <c r="B661" s="6"/>
      <c r="C661" s="10"/>
      <c r="D661" s="10"/>
      <c r="E661" s="10"/>
      <c r="F661" s="6"/>
      <c r="G661" s="6"/>
      <c r="H661" s="6"/>
      <c r="I661" s="6"/>
      <c r="J661" s="6"/>
      <c r="K661" s="6"/>
      <c r="L661" s="6"/>
      <c r="M661" s="6"/>
      <c r="N661" s="6"/>
    </row>
    <row r="662" spans="1:14" ht="19.5" customHeight="1" x14ac:dyDescent="0.25">
      <c r="A662" s="6"/>
      <c r="B662" s="6"/>
      <c r="C662" s="10"/>
      <c r="D662" s="10"/>
      <c r="E662" s="10"/>
      <c r="F662" s="6"/>
      <c r="G662" s="6"/>
      <c r="H662" s="6"/>
      <c r="I662" s="6"/>
      <c r="J662" s="6"/>
      <c r="K662" s="6"/>
      <c r="L662" s="6"/>
      <c r="M662" s="6"/>
      <c r="N662" s="6"/>
    </row>
    <row r="663" spans="1:14" ht="19.5" customHeight="1" x14ac:dyDescent="0.25">
      <c r="A663" s="6"/>
      <c r="B663" s="6"/>
      <c r="C663" s="10"/>
      <c r="D663" s="10"/>
      <c r="E663" s="10"/>
      <c r="F663" s="6"/>
      <c r="G663" s="6"/>
      <c r="H663" s="6"/>
      <c r="I663" s="6"/>
      <c r="J663" s="6"/>
      <c r="K663" s="6"/>
      <c r="L663" s="6"/>
      <c r="M663" s="6"/>
      <c r="N663" s="6"/>
    </row>
    <row r="664" spans="1:14" ht="19.5" customHeight="1" x14ac:dyDescent="0.25">
      <c r="A664" s="6"/>
      <c r="B664" s="6"/>
      <c r="C664" s="10"/>
      <c r="D664" s="10"/>
      <c r="E664" s="10"/>
      <c r="F664" s="6"/>
      <c r="G664" s="6"/>
      <c r="H664" s="6"/>
      <c r="I664" s="6"/>
      <c r="J664" s="6"/>
      <c r="K664" s="6"/>
      <c r="L664" s="6"/>
      <c r="M664" s="6"/>
      <c r="N664" s="6"/>
    </row>
    <row r="665" spans="1:14" ht="19.5" customHeight="1" x14ac:dyDescent="0.25">
      <c r="A665" s="6"/>
      <c r="B665" s="6"/>
      <c r="C665" s="10"/>
      <c r="D665" s="10"/>
      <c r="E665" s="10"/>
      <c r="F665" s="6"/>
      <c r="G665" s="6"/>
      <c r="H665" s="6"/>
      <c r="I665" s="6"/>
      <c r="J665" s="6"/>
      <c r="K665" s="6"/>
      <c r="L665" s="6"/>
      <c r="M665" s="6"/>
      <c r="N665" s="6"/>
    </row>
    <row r="666" spans="1:14" ht="19.5" customHeight="1" x14ac:dyDescent="0.25">
      <c r="A666" s="6"/>
      <c r="B666" s="6"/>
      <c r="C666" s="10"/>
      <c r="D666" s="10"/>
      <c r="E666" s="10"/>
      <c r="F666" s="6"/>
      <c r="G666" s="6"/>
      <c r="H666" s="6"/>
      <c r="I666" s="6"/>
      <c r="J666" s="6"/>
      <c r="K666" s="6"/>
      <c r="L666" s="6"/>
      <c r="M666" s="6"/>
      <c r="N666" s="6"/>
    </row>
    <row r="667" spans="1:14" ht="19.5" customHeight="1" x14ac:dyDescent="0.25">
      <c r="A667" s="6"/>
      <c r="B667" s="6"/>
      <c r="C667" s="10"/>
      <c r="D667" s="10"/>
      <c r="E667" s="10"/>
      <c r="F667" s="6"/>
      <c r="G667" s="6"/>
      <c r="H667" s="6"/>
      <c r="I667" s="6"/>
      <c r="J667" s="6"/>
      <c r="K667" s="6"/>
      <c r="L667" s="6"/>
      <c r="M667" s="6"/>
      <c r="N667" s="6"/>
    </row>
    <row r="668" spans="1:14" ht="19.5" customHeight="1" x14ac:dyDescent="0.25">
      <c r="A668" s="6"/>
      <c r="B668" s="6"/>
      <c r="C668" s="10"/>
      <c r="D668" s="10"/>
      <c r="E668" s="10"/>
      <c r="F668" s="6"/>
      <c r="G668" s="6"/>
      <c r="H668" s="6"/>
      <c r="I668" s="6"/>
      <c r="J668" s="6"/>
      <c r="K668" s="6"/>
      <c r="L668" s="6"/>
      <c r="M668" s="6"/>
      <c r="N668" s="6"/>
    </row>
    <row r="669" spans="1:14" ht="19.5" customHeight="1" x14ac:dyDescent="0.25">
      <c r="A669" s="6"/>
      <c r="B669" s="6"/>
      <c r="C669" s="10"/>
      <c r="D669" s="10"/>
      <c r="E669" s="10"/>
      <c r="F669" s="6"/>
      <c r="G669" s="6"/>
      <c r="H669" s="6"/>
      <c r="I669" s="6"/>
      <c r="J669" s="6"/>
      <c r="K669" s="6"/>
      <c r="L669" s="6"/>
      <c r="M669" s="6"/>
      <c r="N669" s="6"/>
    </row>
    <row r="670" spans="1:14" ht="19.5" customHeight="1" x14ac:dyDescent="0.25">
      <c r="A670" s="6"/>
      <c r="B670" s="6"/>
      <c r="C670" s="10"/>
      <c r="D670" s="10"/>
      <c r="E670" s="10"/>
      <c r="F670" s="6"/>
      <c r="G670" s="6"/>
      <c r="H670" s="6"/>
      <c r="I670" s="6"/>
      <c r="J670" s="6"/>
      <c r="K670" s="6"/>
      <c r="L670" s="6"/>
      <c r="M670" s="6"/>
      <c r="N670" s="6"/>
    </row>
    <row r="671" spans="1:14" ht="19.5" customHeight="1" x14ac:dyDescent="0.25">
      <c r="A671" s="6"/>
      <c r="B671" s="6"/>
      <c r="C671" s="10"/>
      <c r="D671" s="10"/>
      <c r="E671" s="10"/>
      <c r="F671" s="6"/>
      <c r="G671" s="6"/>
      <c r="H671" s="6"/>
      <c r="I671" s="6"/>
      <c r="J671" s="6"/>
      <c r="K671" s="6"/>
      <c r="L671" s="6"/>
      <c r="M671" s="6"/>
      <c r="N671" s="6"/>
    </row>
    <row r="672" spans="1:14" ht="19.5" customHeight="1" x14ac:dyDescent="0.25">
      <c r="A672" s="6"/>
      <c r="B672" s="6"/>
      <c r="C672" s="10"/>
      <c r="D672" s="10"/>
      <c r="E672" s="10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19.5" customHeight="1" x14ac:dyDescent="0.25">
      <c r="A673" s="6"/>
      <c r="B673" s="6"/>
      <c r="C673" s="10"/>
      <c r="D673" s="10"/>
      <c r="E673" s="10"/>
      <c r="F673" s="6"/>
      <c r="G673" s="6"/>
      <c r="H673" s="6"/>
      <c r="I673" s="6"/>
      <c r="J673" s="6"/>
      <c r="K673" s="6"/>
      <c r="L673" s="6"/>
      <c r="M673" s="6"/>
      <c r="N673" s="6"/>
    </row>
    <row r="674" spans="1:14" ht="19.5" customHeight="1" x14ac:dyDescent="0.25">
      <c r="A674" s="6"/>
      <c r="B674" s="6"/>
      <c r="C674" s="10"/>
      <c r="D674" s="10"/>
      <c r="E674" s="10"/>
      <c r="F674" s="6"/>
      <c r="G674" s="6"/>
      <c r="H674" s="6"/>
      <c r="I674" s="6"/>
      <c r="J674" s="6"/>
      <c r="K674" s="6"/>
      <c r="L674" s="6"/>
      <c r="M674" s="6"/>
      <c r="N674" s="6"/>
    </row>
    <row r="675" spans="1:14" ht="19.5" customHeight="1" x14ac:dyDescent="0.25">
      <c r="A675" s="6"/>
      <c r="B675" s="6"/>
      <c r="C675" s="10"/>
      <c r="D675" s="10"/>
      <c r="E675" s="10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19.5" customHeight="1" x14ac:dyDescent="0.25">
      <c r="A676" s="6"/>
      <c r="B676" s="6"/>
      <c r="C676" s="10"/>
      <c r="D676" s="10"/>
      <c r="E676" s="10"/>
      <c r="F676" s="6"/>
      <c r="G676" s="6"/>
      <c r="H676" s="6"/>
      <c r="I676" s="6"/>
      <c r="J676" s="6"/>
      <c r="K676" s="6"/>
      <c r="L676" s="6"/>
      <c r="M676" s="6"/>
      <c r="N676" s="6"/>
    </row>
    <row r="677" spans="1:14" ht="19.5" customHeight="1" x14ac:dyDescent="0.25">
      <c r="A677" s="6"/>
      <c r="B677" s="6"/>
      <c r="C677" s="10"/>
      <c r="D677" s="10"/>
      <c r="E677" s="10"/>
      <c r="F677" s="6"/>
      <c r="G677" s="6"/>
      <c r="H677" s="6"/>
      <c r="I677" s="6"/>
      <c r="J677" s="6"/>
      <c r="K677" s="6"/>
      <c r="L677" s="6"/>
      <c r="M677" s="6"/>
      <c r="N677" s="6"/>
    </row>
    <row r="678" spans="1:14" ht="19.5" customHeight="1" x14ac:dyDescent="0.25">
      <c r="A678" s="6"/>
      <c r="B678" s="6"/>
      <c r="C678" s="10"/>
      <c r="D678" s="10"/>
      <c r="E678" s="10"/>
      <c r="F678" s="6"/>
      <c r="G678" s="6"/>
      <c r="H678" s="6"/>
      <c r="I678" s="6"/>
      <c r="J678" s="6"/>
      <c r="K678" s="6"/>
      <c r="L678" s="6"/>
      <c r="M678" s="6"/>
      <c r="N678" s="6"/>
    </row>
    <row r="679" spans="1:14" ht="19.5" customHeight="1" x14ac:dyDescent="0.25">
      <c r="A679" s="6"/>
      <c r="B679" s="6"/>
      <c r="C679" s="10"/>
      <c r="D679" s="10"/>
      <c r="E679" s="10"/>
      <c r="F679" s="6"/>
      <c r="G679" s="6"/>
      <c r="H679" s="6"/>
      <c r="I679" s="6"/>
      <c r="J679" s="6"/>
      <c r="K679" s="6"/>
      <c r="L679" s="6"/>
      <c r="M679" s="6"/>
      <c r="N679" s="6"/>
    </row>
    <row r="680" spans="1:14" ht="19.5" customHeight="1" x14ac:dyDescent="0.25">
      <c r="A680" s="6"/>
      <c r="B680" s="6"/>
      <c r="C680" s="10"/>
      <c r="D680" s="10"/>
      <c r="E680" s="10"/>
      <c r="F680" s="6"/>
      <c r="G680" s="6"/>
      <c r="H680" s="6"/>
      <c r="I680" s="6"/>
      <c r="J680" s="6"/>
      <c r="K680" s="6"/>
      <c r="L680" s="6"/>
      <c r="M680" s="6"/>
      <c r="N680" s="6"/>
    </row>
    <row r="681" spans="1:14" ht="19.5" customHeight="1" x14ac:dyDescent="0.25">
      <c r="A681" s="6"/>
      <c r="B681" s="6"/>
      <c r="C681" s="10"/>
      <c r="D681" s="10"/>
      <c r="E681" s="10"/>
      <c r="F681" s="6"/>
      <c r="G681" s="6"/>
      <c r="H681" s="6"/>
      <c r="I681" s="6"/>
      <c r="J681" s="6"/>
      <c r="K681" s="6"/>
      <c r="L681" s="6"/>
      <c r="M681" s="6"/>
      <c r="N681" s="6"/>
    </row>
    <row r="682" spans="1:14" ht="19.5" customHeight="1" x14ac:dyDescent="0.25">
      <c r="A682" s="6"/>
      <c r="B682" s="6"/>
      <c r="C682" s="10"/>
      <c r="D682" s="10"/>
      <c r="E682" s="10"/>
      <c r="F682" s="6"/>
      <c r="G682" s="6"/>
      <c r="H682" s="6"/>
      <c r="I682" s="6"/>
      <c r="J682" s="6"/>
      <c r="K682" s="6"/>
      <c r="L682" s="6"/>
      <c r="M682" s="6"/>
      <c r="N682" s="6"/>
    </row>
    <row r="683" spans="1:14" ht="19.5" customHeight="1" x14ac:dyDescent="0.25">
      <c r="A683" s="6"/>
      <c r="B683" s="6"/>
      <c r="C683" s="10"/>
      <c r="D683" s="10"/>
      <c r="E683" s="10"/>
      <c r="F683" s="6"/>
      <c r="G683" s="6"/>
      <c r="H683" s="6"/>
      <c r="I683" s="6"/>
      <c r="J683" s="6"/>
      <c r="K683" s="6"/>
      <c r="L683" s="6"/>
      <c r="M683" s="6"/>
      <c r="N683" s="6"/>
    </row>
    <row r="684" spans="1:14" ht="19.5" customHeight="1" x14ac:dyDescent="0.25">
      <c r="A684" s="6"/>
      <c r="B684" s="6"/>
      <c r="C684" s="10"/>
      <c r="D684" s="10"/>
      <c r="E684" s="10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19.5" customHeight="1" x14ac:dyDescent="0.25">
      <c r="A685" s="6"/>
      <c r="B685" s="6"/>
      <c r="C685" s="10"/>
      <c r="D685" s="10"/>
      <c r="E685" s="10"/>
      <c r="F685" s="6"/>
      <c r="G685" s="6"/>
      <c r="H685" s="6"/>
      <c r="I685" s="6"/>
      <c r="J685" s="6"/>
      <c r="K685" s="6"/>
      <c r="L685" s="6"/>
      <c r="M685" s="6"/>
      <c r="N685" s="6"/>
    </row>
    <row r="686" spans="1:14" ht="19.5" customHeight="1" x14ac:dyDescent="0.25">
      <c r="A686" s="6"/>
      <c r="B686" s="6"/>
      <c r="C686" s="10"/>
      <c r="D686" s="10"/>
      <c r="E686" s="10"/>
      <c r="F686" s="6"/>
      <c r="G686" s="6"/>
      <c r="H686" s="6"/>
      <c r="I686" s="6"/>
      <c r="J686" s="6"/>
      <c r="K686" s="6"/>
      <c r="L686" s="6"/>
      <c r="M686" s="6"/>
      <c r="N686" s="6"/>
    </row>
    <row r="687" spans="1:14" ht="19.5" customHeight="1" x14ac:dyDescent="0.25">
      <c r="A687" s="6"/>
      <c r="B687" s="6"/>
      <c r="C687" s="10"/>
      <c r="D687" s="10"/>
      <c r="E687" s="10"/>
      <c r="F687" s="6"/>
      <c r="G687" s="6"/>
      <c r="H687" s="6"/>
      <c r="I687" s="6"/>
      <c r="J687" s="6"/>
      <c r="K687" s="6"/>
      <c r="L687" s="6"/>
      <c r="M687" s="6"/>
      <c r="N687" s="6"/>
    </row>
    <row r="688" spans="1:14" ht="19.5" customHeight="1" x14ac:dyDescent="0.25">
      <c r="A688" s="6"/>
      <c r="B688" s="6"/>
      <c r="C688" s="10"/>
      <c r="D688" s="10"/>
      <c r="E688" s="10"/>
      <c r="F688" s="6"/>
      <c r="G688" s="6"/>
      <c r="H688" s="6"/>
      <c r="I688" s="6"/>
      <c r="J688" s="6"/>
      <c r="K688" s="6"/>
      <c r="L688" s="6"/>
      <c r="M688" s="6"/>
      <c r="N688" s="6"/>
    </row>
    <row r="689" spans="1:14" ht="19.5" customHeight="1" x14ac:dyDescent="0.25">
      <c r="A689" s="6"/>
      <c r="B689" s="6"/>
      <c r="C689" s="10"/>
      <c r="D689" s="10"/>
      <c r="E689" s="10"/>
      <c r="F689" s="6"/>
      <c r="G689" s="6"/>
      <c r="H689" s="6"/>
      <c r="I689" s="6"/>
      <c r="J689" s="6"/>
      <c r="K689" s="6"/>
      <c r="L689" s="6"/>
      <c r="M689" s="6"/>
      <c r="N689" s="6"/>
    </row>
    <row r="690" spans="1:14" ht="19.5" customHeight="1" x14ac:dyDescent="0.25">
      <c r="A690" s="6"/>
      <c r="B690" s="6"/>
      <c r="C690" s="10"/>
      <c r="D690" s="10"/>
      <c r="E690" s="10"/>
      <c r="F690" s="6"/>
      <c r="G690" s="6"/>
      <c r="H690" s="6"/>
      <c r="I690" s="6"/>
      <c r="J690" s="6"/>
      <c r="K690" s="6"/>
      <c r="L690" s="6"/>
      <c r="M690" s="6"/>
      <c r="N690" s="6"/>
    </row>
    <row r="691" spans="1:14" ht="19.5" customHeight="1" x14ac:dyDescent="0.25">
      <c r="A691" s="6"/>
      <c r="B691" s="6"/>
      <c r="C691" s="10"/>
      <c r="D691" s="10"/>
      <c r="E691" s="10"/>
      <c r="F691" s="6"/>
      <c r="G691" s="6"/>
      <c r="H691" s="6"/>
      <c r="I691" s="6"/>
      <c r="J691" s="6"/>
      <c r="K691" s="6"/>
      <c r="L691" s="6"/>
      <c r="M691" s="6"/>
      <c r="N691" s="6"/>
    </row>
    <row r="692" spans="1:14" ht="19.5" customHeight="1" x14ac:dyDescent="0.25">
      <c r="A692" s="6"/>
      <c r="B692" s="6"/>
      <c r="C692" s="10"/>
      <c r="D692" s="10"/>
      <c r="E692" s="10"/>
      <c r="F692" s="6"/>
      <c r="G692" s="6"/>
      <c r="H692" s="6"/>
      <c r="I692" s="6"/>
      <c r="J692" s="6"/>
      <c r="K692" s="6"/>
      <c r="L692" s="6"/>
      <c r="M692" s="6"/>
      <c r="N692" s="6"/>
    </row>
    <row r="693" spans="1:14" ht="19.5" customHeight="1" x14ac:dyDescent="0.25">
      <c r="A693" s="6"/>
      <c r="B693" s="6"/>
      <c r="C693" s="10"/>
      <c r="D693" s="10"/>
      <c r="E693" s="10"/>
      <c r="F693" s="6"/>
      <c r="G693" s="6"/>
      <c r="H693" s="6"/>
      <c r="I693" s="6"/>
      <c r="J693" s="6"/>
      <c r="K693" s="6"/>
      <c r="L693" s="6"/>
      <c r="M693" s="6"/>
      <c r="N693" s="6"/>
    </row>
    <row r="694" spans="1:14" ht="19.5" customHeight="1" x14ac:dyDescent="0.25">
      <c r="A694" s="6"/>
      <c r="B694" s="6"/>
      <c r="C694" s="10"/>
      <c r="D694" s="10"/>
      <c r="E694" s="10"/>
      <c r="F694" s="6"/>
      <c r="G694" s="6"/>
      <c r="H694" s="6"/>
      <c r="I694" s="6"/>
      <c r="J694" s="6"/>
      <c r="K694" s="6"/>
      <c r="L694" s="6"/>
      <c r="M694" s="6"/>
      <c r="N694" s="6"/>
    </row>
    <row r="695" spans="1:14" ht="19.5" customHeight="1" x14ac:dyDescent="0.25">
      <c r="A695" s="6"/>
      <c r="B695" s="6"/>
      <c r="C695" s="10"/>
      <c r="D695" s="10"/>
      <c r="E695" s="10"/>
      <c r="F695" s="6"/>
      <c r="G695" s="6"/>
      <c r="H695" s="6"/>
      <c r="I695" s="6"/>
      <c r="J695" s="6"/>
      <c r="K695" s="6"/>
      <c r="L695" s="6"/>
      <c r="M695" s="6"/>
      <c r="N695" s="6"/>
    </row>
    <row r="696" spans="1:14" ht="19.5" customHeight="1" x14ac:dyDescent="0.25">
      <c r="A696" s="6"/>
      <c r="B696" s="6"/>
      <c r="C696" s="10"/>
      <c r="D696" s="10"/>
      <c r="E696" s="10"/>
      <c r="F696" s="6"/>
      <c r="G696" s="6"/>
      <c r="H696" s="6"/>
      <c r="I696" s="6"/>
      <c r="J696" s="6"/>
      <c r="K696" s="6"/>
      <c r="L696" s="6"/>
      <c r="M696" s="6"/>
      <c r="N696" s="6"/>
    </row>
    <row r="697" spans="1:14" ht="19.5" customHeight="1" x14ac:dyDescent="0.25">
      <c r="A697" s="6"/>
      <c r="B697" s="6"/>
      <c r="C697" s="10"/>
      <c r="D697" s="10"/>
      <c r="E697" s="10"/>
      <c r="F697" s="6"/>
      <c r="G697" s="6"/>
      <c r="H697" s="6"/>
      <c r="I697" s="6"/>
      <c r="J697" s="6"/>
      <c r="K697" s="6"/>
      <c r="L697" s="6"/>
      <c r="M697" s="6"/>
      <c r="N697" s="6"/>
    </row>
    <row r="698" spans="1:14" ht="19.5" customHeight="1" x14ac:dyDescent="0.25">
      <c r="A698" s="6"/>
      <c r="B698" s="6"/>
      <c r="C698" s="10"/>
      <c r="D698" s="10"/>
      <c r="E698" s="10"/>
      <c r="F698" s="6"/>
      <c r="G698" s="6"/>
      <c r="H698" s="6"/>
      <c r="I698" s="6"/>
      <c r="J698" s="6"/>
      <c r="K698" s="6"/>
      <c r="L698" s="6"/>
      <c r="M698" s="6"/>
      <c r="N698" s="6"/>
    </row>
    <row r="699" spans="1:14" ht="19.5" customHeight="1" x14ac:dyDescent="0.25">
      <c r="A699" s="6"/>
      <c r="B699" s="6"/>
      <c r="C699" s="10"/>
      <c r="D699" s="10"/>
      <c r="E699" s="10"/>
      <c r="F699" s="6"/>
      <c r="G699" s="6"/>
      <c r="H699" s="6"/>
      <c r="I699" s="6"/>
      <c r="J699" s="6"/>
      <c r="K699" s="6"/>
      <c r="L699" s="6"/>
      <c r="M699" s="6"/>
      <c r="N699" s="6"/>
    </row>
    <row r="700" spans="1:14" ht="19.5" customHeight="1" x14ac:dyDescent="0.25">
      <c r="A700" s="6"/>
      <c r="B700" s="6"/>
      <c r="C700" s="10"/>
      <c r="D700" s="10"/>
      <c r="E700" s="10"/>
      <c r="F700" s="6"/>
      <c r="G700" s="6"/>
      <c r="H700" s="6"/>
      <c r="I700" s="6"/>
      <c r="J700" s="6"/>
      <c r="K700" s="6"/>
      <c r="L700" s="6"/>
      <c r="M700" s="6"/>
      <c r="N700" s="6"/>
    </row>
    <row r="701" spans="1:14" ht="19.5" customHeight="1" x14ac:dyDescent="0.25">
      <c r="A701" s="6"/>
      <c r="B701" s="6"/>
      <c r="C701" s="10"/>
      <c r="D701" s="10"/>
      <c r="E701" s="10"/>
      <c r="F701" s="6"/>
      <c r="G701" s="6"/>
      <c r="H701" s="6"/>
      <c r="I701" s="6"/>
      <c r="J701" s="6"/>
      <c r="K701" s="6"/>
      <c r="L701" s="6"/>
      <c r="M701" s="6"/>
      <c r="N701" s="6"/>
    </row>
    <row r="702" spans="1:14" ht="19.5" customHeight="1" x14ac:dyDescent="0.25">
      <c r="A702" s="6"/>
      <c r="B702" s="6"/>
      <c r="C702" s="10"/>
      <c r="D702" s="10"/>
      <c r="E702" s="10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19.5" customHeight="1" x14ac:dyDescent="0.25">
      <c r="A703" s="6"/>
      <c r="B703" s="6"/>
      <c r="C703" s="10"/>
      <c r="D703" s="10"/>
      <c r="E703" s="10"/>
      <c r="F703" s="6"/>
      <c r="G703" s="6"/>
      <c r="H703" s="6"/>
      <c r="I703" s="6"/>
      <c r="J703" s="6"/>
      <c r="K703" s="6"/>
      <c r="L703" s="6"/>
      <c r="M703" s="6"/>
      <c r="N703" s="6"/>
    </row>
    <row r="704" spans="1:14" ht="19.5" customHeight="1" x14ac:dyDescent="0.25">
      <c r="A704" s="6"/>
      <c r="B704" s="6"/>
      <c r="C704" s="10"/>
      <c r="D704" s="10"/>
      <c r="E704" s="10"/>
      <c r="F704" s="6"/>
      <c r="G704" s="6"/>
      <c r="H704" s="6"/>
      <c r="I704" s="6"/>
      <c r="J704" s="6"/>
      <c r="K704" s="6"/>
      <c r="L704" s="6"/>
      <c r="M704" s="6"/>
      <c r="N704" s="6"/>
    </row>
    <row r="705" spans="1:14" ht="19.5" customHeight="1" x14ac:dyDescent="0.25">
      <c r="A705" s="6"/>
      <c r="B705" s="6"/>
      <c r="C705" s="10"/>
      <c r="D705" s="10"/>
      <c r="E705" s="10"/>
      <c r="F705" s="6"/>
      <c r="G705" s="6"/>
      <c r="H705" s="6"/>
      <c r="I705" s="6"/>
      <c r="J705" s="6"/>
      <c r="K705" s="6"/>
      <c r="L705" s="6"/>
      <c r="M705" s="6"/>
      <c r="N705" s="6"/>
    </row>
    <row r="706" spans="1:14" ht="19.5" customHeight="1" x14ac:dyDescent="0.25">
      <c r="A706" s="6"/>
      <c r="B706" s="6"/>
      <c r="C706" s="10"/>
      <c r="D706" s="10"/>
      <c r="E706" s="10"/>
      <c r="F706" s="6"/>
      <c r="G706" s="6"/>
      <c r="H706" s="6"/>
      <c r="I706" s="6"/>
      <c r="J706" s="6"/>
      <c r="K706" s="6"/>
      <c r="L706" s="6"/>
      <c r="M706" s="6"/>
      <c r="N706" s="6"/>
    </row>
    <row r="707" spans="1:14" ht="19.5" customHeight="1" x14ac:dyDescent="0.25">
      <c r="A707" s="6"/>
      <c r="B707" s="6"/>
      <c r="C707" s="10"/>
      <c r="D707" s="10"/>
      <c r="E707" s="10"/>
      <c r="F707" s="6"/>
      <c r="G707" s="6"/>
      <c r="H707" s="6"/>
      <c r="I707" s="6"/>
      <c r="J707" s="6"/>
      <c r="K707" s="6"/>
      <c r="L707" s="6"/>
      <c r="M707" s="6"/>
      <c r="N707" s="6"/>
    </row>
    <row r="708" spans="1:14" ht="19.5" customHeight="1" x14ac:dyDescent="0.25">
      <c r="A708" s="6"/>
      <c r="B708" s="6"/>
      <c r="C708" s="10"/>
      <c r="D708" s="10"/>
      <c r="E708" s="10"/>
      <c r="F708" s="6"/>
      <c r="G708" s="6"/>
      <c r="H708" s="6"/>
      <c r="I708" s="6"/>
      <c r="J708" s="6"/>
      <c r="K708" s="6"/>
      <c r="L708" s="6"/>
      <c r="M708" s="6"/>
      <c r="N708" s="6"/>
    </row>
    <row r="709" spans="1:14" ht="19.5" customHeight="1" x14ac:dyDescent="0.25">
      <c r="A709" s="6"/>
      <c r="B709" s="6"/>
      <c r="C709" s="10"/>
      <c r="D709" s="10"/>
      <c r="E709" s="10"/>
      <c r="F709" s="6"/>
      <c r="G709" s="6"/>
      <c r="H709" s="6"/>
      <c r="I709" s="6"/>
      <c r="J709" s="6"/>
      <c r="K709" s="6"/>
      <c r="L709" s="6"/>
      <c r="M709" s="6"/>
      <c r="N709" s="6"/>
    </row>
    <row r="710" spans="1:14" ht="19.5" customHeight="1" x14ac:dyDescent="0.25">
      <c r="A710" s="6"/>
      <c r="B710" s="6"/>
      <c r="C710" s="10"/>
      <c r="D710" s="10"/>
      <c r="E710" s="10"/>
      <c r="F710" s="6"/>
      <c r="G710" s="6"/>
      <c r="H710" s="6"/>
      <c r="I710" s="6"/>
      <c r="J710" s="6"/>
      <c r="K710" s="6"/>
      <c r="L710" s="6"/>
      <c r="M710" s="6"/>
      <c r="N710" s="6"/>
    </row>
    <row r="711" spans="1:14" ht="19.5" customHeight="1" x14ac:dyDescent="0.25">
      <c r="A711" s="6"/>
      <c r="B711" s="6"/>
      <c r="C711" s="10"/>
      <c r="D711" s="10"/>
      <c r="E711" s="10"/>
      <c r="F711" s="6"/>
      <c r="G711" s="6"/>
      <c r="H711" s="6"/>
      <c r="I711" s="6"/>
      <c r="J711" s="6"/>
      <c r="K711" s="6"/>
      <c r="L711" s="6"/>
      <c r="M711" s="6"/>
      <c r="N711" s="6"/>
    </row>
    <row r="712" spans="1:14" ht="19.5" customHeight="1" x14ac:dyDescent="0.25">
      <c r="A712" s="6"/>
      <c r="B712" s="6"/>
      <c r="C712" s="10"/>
      <c r="D712" s="10"/>
      <c r="E712" s="10"/>
      <c r="F712" s="6"/>
      <c r="G712" s="6"/>
      <c r="H712" s="6"/>
      <c r="I712" s="6"/>
      <c r="J712" s="6"/>
      <c r="K712" s="6"/>
      <c r="L712" s="6"/>
      <c r="M712" s="6"/>
      <c r="N712" s="6"/>
    </row>
    <row r="713" spans="1:14" ht="19.5" customHeight="1" x14ac:dyDescent="0.25">
      <c r="A713" s="6"/>
      <c r="B713" s="6"/>
      <c r="C713" s="10"/>
      <c r="D713" s="10"/>
      <c r="E713" s="10"/>
      <c r="F713" s="6"/>
      <c r="G713" s="6"/>
      <c r="H713" s="6"/>
      <c r="I713" s="6"/>
      <c r="J713" s="6"/>
      <c r="K713" s="6"/>
      <c r="L713" s="6"/>
      <c r="M713" s="6"/>
      <c r="N713" s="6"/>
    </row>
    <row r="714" spans="1:14" ht="19.5" customHeight="1" x14ac:dyDescent="0.25">
      <c r="A714" s="6"/>
      <c r="B714" s="6"/>
      <c r="C714" s="10"/>
      <c r="D714" s="10"/>
      <c r="E714" s="10"/>
      <c r="F714" s="6"/>
      <c r="G714" s="6"/>
      <c r="H714" s="6"/>
      <c r="I714" s="6"/>
      <c r="J714" s="6"/>
      <c r="K714" s="6"/>
      <c r="L714" s="6"/>
      <c r="M714" s="6"/>
      <c r="N714" s="6"/>
    </row>
    <row r="715" spans="1:14" ht="19.5" customHeight="1" x14ac:dyDescent="0.25">
      <c r="A715" s="6"/>
      <c r="B715" s="6"/>
      <c r="C715" s="10"/>
      <c r="D715" s="10"/>
      <c r="E715" s="10"/>
      <c r="F715" s="6"/>
      <c r="G715" s="6"/>
      <c r="H715" s="6"/>
      <c r="I715" s="6"/>
      <c r="J715" s="6"/>
      <c r="K715" s="6"/>
      <c r="L715" s="6"/>
      <c r="M715" s="6"/>
      <c r="N715" s="6"/>
    </row>
    <row r="716" spans="1:14" ht="19.5" customHeight="1" x14ac:dyDescent="0.25">
      <c r="A716" s="6"/>
      <c r="B716" s="6"/>
      <c r="C716" s="10"/>
      <c r="D716" s="10"/>
      <c r="E716" s="10"/>
      <c r="F716" s="6"/>
      <c r="G716" s="6"/>
      <c r="H716" s="6"/>
      <c r="I716" s="6"/>
      <c r="J716" s="6"/>
      <c r="K716" s="6"/>
      <c r="L716" s="6"/>
      <c r="M716" s="6"/>
      <c r="N716" s="6"/>
    </row>
    <row r="717" spans="1:14" ht="19.5" customHeight="1" x14ac:dyDescent="0.25">
      <c r="A717" s="6"/>
      <c r="B717" s="6"/>
      <c r="C717" s="10"/>
      <c r="D717" s="10"/>
      <c r="E717" s="10"/>
      <c r="F717" s="6"/>
      <c r="G717" s="6"/>
      <c r="H717" s="6"/>
      <c r="I717" s="6"/>
      <c r="J717" s="6"/>
      <c r="K717" s="6"/>
      <c r="L717" s="6"/>
      <c r="M717" s="6"/>
      <c r="N717" s="6"/>
    </row>
    <row r="718" spans="1:14" ht="19.5" customHeight="1" x14ac:dyDescent="0.25">
      <c r="A718" s="6"/>
      <c r="B718" s="6"/>
      <c r="C718" s="10"/>
      <c r="D718" s="10"/>
      <c r="E718" s="10"/>
      <c r="F718" s="6"/>
      <c r="G718" s="6"/>
      <c r="H718" s="6"/>
      <c r="I718" s="6"/>
      <c r="J718" s="6"/>
      <c r="K718" s="6"/>
      <c r="L718" s="6"/>
      <c r="M718" s="6"/>
      <c r="N718" s="6"/>
    </row>
    <row r="719" spans="1:14" ht="19.5" customHeight="1" x14ac:dyDescent="0.25">
      <c r="A719" s="6"/>
      <c r="B719" s="6"/>
      <c r="C719" s="10"/>
      <c r="D719" s="10"/>
      <c r="E719" s="10"/>
      <c r="F719" s="6"/>
      <c r="G719" s="6"/>
      <c r="H719" s="6"/>
      <c r="I719" s="6"/>
      <c r="J719" s="6"/>
      <c r="K719" s="6"/>
      <c r="L719" s="6"/>
      <c r="M719" s="6"/>
      <c r="N719" s="6"/>
    </row>
    <row r="720" spans="1:14" ht="19.5" customHeight="1" x14ac:dyDescent="0.25">
      <c r="A720" s="6"/>
      <c r="B720" s="6"/>
      <c r="C720" s="10"/>
      <c r="D720" s="10"/>
      <c r="E720" s="10"/>
      <c r="F720" s="6"/>
      <c r="G720" s="6"/>
      <c r="H720" s="6"/>
      <c r="I720" s="6"/>
      <c r="J720" s="6"/>
      <c r="K720" s="6"/>
      <c r="L720" s="6"/>
      <c r="M720" s="6"/>
      <c r="N720" s="6"/>
    </row>
    <row r="721" spans="1:14" ht="19.5" customHeight="1" x14ac:dyDescent="0.25">
      <c r="A721" s="6"/>
      <c r="B721" s="6"/>
      <c r="C721" s="10"/>
      <c r="D721" s="10"/>
      <c r="E721" s="10"/>
      <c r="F721" s="6"/>
      <c r="G721" s="6"/>
      <c r="H721" s="6"/>
      <c r="I721" s="6"/>
      <c r="J721" s="6"/>
      <c r="K721" s="6"/>
      <c r="L721" s="6"/>
      <c r="M721" s="6"/>
      <c r="N721" s="6"/>
    </row>
    <row r="722" spans="1:14" ht="19.5" customHeight="1" x14ac:dyDescent="0.25">
      <c r="A722" s="6"/>
      <c r="B722" s="6"/>
      <c r="C722" s="10"/>
      <c r="D722" s="10"/>
      <c r="E722" s="10"/>
      <c r="F722" s="6"/>
      <c r="G722" s="6"/>
      <c r="H722" s="6"/>
      <c r="I722" s="6"/>
      <c r="J722" s="6"/>
      <c r="K722" s="6"/>
      <c r="L722" s="6"/>
      <c r="M722" s="6"/>
      <c r="N722" s="6"/>
    </row>
    <row r="723" spans="1:14" ht="19.5" customHeight="1" x14ac:dyDescent="0.25">
      <c r="A723" s="6"/>
      <c r="B723" s="6"/>
      <c r="C723" s="10"/>
      <c r="D723" s="10"/>
      <c r="E723" s="10"/>
      <c r="F723" s="6"/>
      <c r="G723" s="6"/>
      <c r="H723" s="6"/>
      <c r="I723" s="6"/>
      <c r="J723" s="6"/>
      <c r="K723" s="6"/>
      <c r="L723" s="6"/>
      <c r="M723" s="6"/>
      <c r="N723" s="6"/>
    </row>
    <row r="724" spans="1:14" ht="19.5" customHeight="1" x14ac:dyDescent="0.25">
      <c r="A724" s="6"/>
      <c r="B724" s="6"/>
      <c r="C724" s="10"/>
      <c r="D724" s="10"/>
      <c r="E724" s="10"/>
      <c r="F724" s="6"/>
      <c r="G724" s="6"/>
      <c r="H724" s="6"/>
      <c r="I724" s="6"/>
      <c r="J724" s="6"/>
      <c r="K724" s="6"/>
      <c r="L724" s="6"/>
      <c r="M724" s="6"/>
      <c r="N724" s="6"/>
    </row>
    <row r="725" spans="1:14" ht="19.5" customHeight="1" x14ac:dyDescent="0.25">
      <c r="A725" s="6"/>
      <c r="B725" s="6"/>
      <c r="C725" s="10"/>
      <c r="D725" s="10"/>
      <c r="E725" s="10"/>
      <c r="F725" s="6"/>
      <c r="G725" s="6"/>
      <c r="H725" s="6"/>
      <c r="I725" s="6"/>
      <c r="J725" s="6"/>
      <c r="K725" s="6"/>
      <c r="L725" s="6"/>
      <c r="M725" s="6"/>
      <c r="N725" s="6"/>
    </row>
    <row r="726" spans="1:14" ht="19.5" customHeight="1" x14ac:dyDescent="0.25">
      <c r="A726" s="6"/>
      <c r="B726" s="6"/>
      <c r="C726" s="10"/>
      <c r="D726" s="10"/>
      <c r="E726" s="10"/>
      <c r="F726" s="6"/>
      <c r="G726" s="6"/>
      <c r="H726" s="6"/>
      <c r="I726" s="6"/>
      <c r="J726" s="6"/>
      <c r="K726" s="6"/>
      <c r="L726" s="6"/>
      <c r="M726" s="6"/>
      <c r="N726" s="6"/>
    </row>
    <row r="727" spans="1:14" ht="19.5" customHeight="1" x14ac:dyDescent="0.25">
      <c r="A727" s="6"/>
      <c r="B727" s="6"/>
      <c r="C727" s="10"/>
      <c r="D727" s="10"/>
      <c r="E727" s="10"/>
      <c r="F727" s="6"/>
      <c r="G727" s="6"/>
      <c r="H727" s="6"/>
      <c r="I727" s="6"/>
      <c r="J727" s="6"/>
      <c r="K727" s="6"/>
      <c r="L727" s="6"/>
      <c r="M727" s="6"/>
      <c r="N727" s="6"/>
    </row>
    <row r="728" spans="1:14" ht="19.5" customHeight="1" x14ac:dyDescent="0.25">
      <c r="A728" s="6"/>
      <c r="B728" s="6"/>
      <c r="C728" s="10"/>
      <c r="D728" s="10"/>
      <c r="E728" s="10"/>
      <c r="F728" s="6"/>
      <c r="G728" s="6"/>
      <c r="H728" s="6"/>
      <c r="I728" s="6"/>
      <c r="J728" s="6"/>
      <c r="K728" s="6"/>
      <c r="L728" s="6"/>
      <c r="M728" s="6"/>
      <c r="N728" s="6"/>
    </row>
    <row r="729" spans="1:14" ht="19.5" customHeight="1" x14ac:dyDescent="0.25">
      <c r="A729" s="6"/>
      <c r="B729" s="6"/>
      <c r="C729" s="10"/>
      <c r="D729" s="10"/>
      <c r="E729" s="10"/>
      <c r="F729" s="6"/>
      <c r="G729" s="6"/>
      <c r="H729" s="6"/>
      <c r="I729" s="6"/>
      <c r="J729" s="6"/>
      <c r="K729" s="6"/>
      <c r="L729" s="6"/>
      <c r="M729" s="6"/>
      <c r="N729" s="6"/>
    </row>
    <row r="730" spans="1:14" ht="19.5" customHeight="1" x14ac:dyDescent="0.25">
      <c r="A730" s="6"/>
      <c r="B730" s="6"/>
      <c r="C730" s="10"/>
      <c r="D730" s="10"/>
      <c r="E730" s="10"/>
      <c r="F730" s="6"/>
      <c r="G730" s="6"/>
      <c r="H730" s="6"/>
      <c r="I730" s="6"/>
      <c r="J730" s="6"/>
      <c r="K730" s="6"/>
      <c r="L730" s="6"/>
      <c r="M730" s="6"/>
      <c r="N730" s="6"/>
    </row>
    <row r="731" spans="1:14" ht="19.5" customHeight="1" x14ac:dyDescent="0.25">
      <c r="A731" s="6"/>
      <c r="B731" s="6"/>
      <c r="C731" s="10"/>
      <c r="D731" s="10"/>
      <c r="E731" s="10"/>
      <c r="F731" s="6"/>
      <c r="G731" s="6"/>
      <c r="H731" s="6"/>
      <c r="I731" s="6"/>
      <c r="J731" s="6"/>
      <c r="K731" s="6"/>
      <c r="L731" s="6"/>
      <c r="M731" s="6"/>
      <c r="N731" s="6"/>
    </row>
    <row r="732" spans="1:14" ht="19.5" customHeight="1" x14ac:dyDescent="0.25">
      <c r="A732" s="6"/>
      <c r="B732" s="6"/>
      <c r="C732" s="10"/>
      <c r="D732" s="10"/>
      <c r="E732" s="10"/>
      <c r="F732" s="6"/>
      <c r="G732" s="6"/>
      <c r="H732" s="6"/>
      <c r="I732" s="6"/>
      <c r="J732" s="6"/>
      <c r="K732" s="6"/>
      <c r="L732" s="6"/>
      <c r="M732" s="6"/>
      <c r="N732" s="6"/>
    </row>
    <row r="733" spans="1:14" ht="19.5" customHeight="1" x14ac:dyDescent="0.25">
      <c r="A733" s="6"/>
      <c r="B733" s="6"/>
      <c r="C733" s="10"/>
      <c r="D733" s="10"/>
      <c r="E733" s="10"/>
      <c r="F733" s="6"/>
      <c r="G733" s="6"/>
      <c r="H733" s="6"/>
      <c r="I733" s="6"/>
      <c r="J733" s="6"/>
      <c r="K733" s="6"/>
      <c r="L733" s="6"/>
      <c r="M733" s="6"/>
      <c r="N733" s="6"/>
    </row>
    <row r="734" spans="1:14" ht="19.5" customHeight="1" x14ac:dyDescent="0.25">
      <c r="A734" s="6"/>
      <c r="B734" s="6"/>
      <c r="C734" s="10"/>
      <c r="D734" s="10"/>
      <c r="E734" s="10"/>
      <c r="F734" s="6"/>
      <c r="G734" s="6"/>
      <c r="H734" s="6"/>
      <c r="I734" s="6"/>
      <c r="J734" s="6"/>
      <c r="K734" s="6"/>
      <c r="L734" s="6"/>
      <c r="M734" s="6"/>
      <c r="N734" s="6"/>
    </row>
    <row r="735" spans="1:14" ht="19.5" customHeight="1" x14ac:dyDescent="0.25">
      <c r="A735" s="6"/>
      <c r="B735" s="6"/>
      <c r="C735" s="10"/>
      <c r="D735" s="10"/>
      <c r="E735" s="10"/>
      <c r="F735" s="6"/>
      <c r="G735" s="6"/>
      <c r="H735" s="6"/>
      <c r="I735" s="6"/>
      <c r="J735" s="6"/>
      <c r="K735" s="6"/>
      <c r="L735" s="6"/>
      <c r="M735" s="6"/>
      <c r="N735" s="6"/>
    </row>
    <row r="736" spans="1:14" ht="19.5" customHeight="1" x14ac:dyDescent="0.25">
      <c r="A736" s="6"/>
      <c r="B736" s="6"/>
      <c r="C736" s="10"/>
      <c r="D736" s="10"/>
      <c r="E736" s="10"/>
      <c r="F736" s="6"/>
      <c r="G736" s="6"/>
      <c r="H736" s="6"/>
      <c r="I736" s="6"/>
      <c r="J736" s="6"/>
      <c r="K736" s="6"/>
      <c r="L736" s="6"/>
      <c r="M736" s="6"/>
      <c r="N736" s="6"/>
    </row>
    <row r="737" spans="1:14" ht="19.5" customHeight="1" x14ac:dyDescent="0.25">
      <c r="A737" s="6"/>
      <c r="B737" s="6"/>
      <c r="C737" s="10"/>
      <c r="D737" s="10"/>
      <c r="E737" s="10"/>
      <c r="F737" s="6"/>
      <c r="G737" s="6"/>
      <c r="H737" s="6"/>
      <c r="I737" s="6"/>
      <c r="J737" s="6"/>
      <c r="K737" s="6"/>
      <c r="L737" s="6"/>
      <c r="M737" s="6"/>
      <c r="N737" s="6"/>
    </row>
    <row r="738" spans="1:14" ht="19.5" customHeight="1" x14ac:dyDescent="0.25">
      <c r="A738" s="6"/>
      <c r="B738" s="6"/>
      <c r="C738" s="10"/>
      <c r="D738" s="10"/>
      <c r="E738" s="10"/>
      <c r="F738" s="6"/>
      <c r="G738" s="6"/>
      <c r="H738" s="6"/>
      <c r="I738" s="6"/>
      <c r="J738" s="6"/>
      <c r="K738" s="6"/>
      <c r="L738" s="6"/>
      <c r="M738" s="6"/>
      <c r="N738" s="6"/>
    </row>
    <row r="739" spans="1:14" ht="19.5" customHeight="1" x14ac:dyDescent="0.25">
      <c r="A739" s="6"/>
      <c r="B739" s="6"/>
      <c r="C739" s="10"/>
      <c r="D739" s="10"/>
      <c r="E739" s="10"/>
      <c r="F739" s="6"/>
      <c r="G739" s="6"/>
      <c r="H739" s="6"/>
      <c r="I739" s="6"/>
      <c r="J739" s="6"/>
      <c r="K739" s="6"/>
      <c r="L739" s="6"/>
      <c r="M739" s="6"/>
      <c r="N739" s="6"/>
    </row>
    <row r="740" spans="1:14" ht="19.5" customHeight="1" x14ac:dyDescent="0.25">
      <c r="A740" s="6"/>
      <c r="B740" s="6"/>
      <c r="C740" s="10"/>
      <c r="D740" s="10"/>
      <c r="E740" s="10"/>
      <c r="F740" s="6"/>
      <c r="G740" s="6"/>
      <c r="H740" s="6"/>
      <c r="I740" s="6"/>
      <c r="J740" s="6"/>
      <c r="K740" s="6"/>
      <c r="L740" s="6"/>
      <c r="M740" s="6"/>
      <c r="N740" s="6"/>
    </row>
    <row r="741" spans="1:14" ht="19.5" customHeight="1" x14ac:dyDescent="0.25">
      <c r="A741" s="6"/>
      <c r="B741" s="6"/>
      <c r="C741" s="10"/>
      <c r="D741" s="10"/>
      <c r="E741" s="10"/>
      <c r="F741" s="6"/>
      <c r="G741" s="6"/>
      <c r="H741" s="6"/>
      <c r="I741" s="6"/>
      <c r="J741" s="6"/>
      <c r="K741" s="6"/>
      <c r="L741" s="6"/>
      <c r="M741" s="6"/>
      <c r="N741" s="6"/>
    </row>
    <row r="742" spans="1:14" ht="19.5" customHeight="1" x14ac:dyDescent="0.25">
      <c r="A742" s="6"/>
      <c r="B742" s="6"/>
      <c r="C742" s="10"/>
      <c r="D742" s="10"/>
      <c r="E742" s="10"/>
      <c r="F742" s="6"/>
      <c r="G742" s="6"/>
      <c r="H742" s="6"/>
      <c r="I742" s="6"/>
      <c r="J742" s="6"/>
      <c r="K742" s="6"/>
      <c r="L742" s="6"/>
      <c r="M742" s="6"/>
      <c r="N742" s="6"/>
    </row>
    <row r="743" spans="1:14" ht="19.5" customHeight="1" x14ac:dyDescent="0.25">
      <c r="A743" s="6"/>
      <c r="B743" s="6"/>
      <c r="C743" s="10"/>
      <c r="D743" s="10"/>
      <c r="E743" s="10"/>
      <c r="F743" s="6"/>
      <c r="G743" s="6"/>
      <c r="H743" s="6"/>
      <c r="I743" s="6"/>
      <c r="J743" s="6"/>
      <c r="K743" s="6"/>
      <c r="L743" s="6"/>
      <c r="M743" s="6"/>
      <c r="N743" s="6"/>
    </row>
    <row r="744" spans="1:14" ht="19.5" customHeight="1" x14ac:dyDescent="0.25">
      <c r="A744" s="6"/>
      <c r="B744" s="6"/>
      <c r="C744" s="10"/>
      <c r="D744" s="10"/>
      <c r="E744" s="10"/>
      <c r="F744" s="6"/>
      <c r="G744" s="6"/>
      <c r="H744" s="6"/>
      <c r="I744" s="6"/>
      <c r="J744" s="6"/>
      <c r="K744" s="6"/>
      <c r="L744" s="6"/>
      <c r="M744" s="6"/>
      <c r="N744" s="6"/>
    </row>
    <row r="745" spans="1:14" ht="19.5" customHeight="1" x14ac:dyDescent="0.25">
      <c r="A745" s="6"/>
      <c r="B745" s="6"/>
      <c r="C745" s="10"/>
      <c r="D745" s="10"/>
      <c r="E745" s="10"/>
      <c r="F745" s="6"/>
      <c r="G745" s="6"/>
      <c r="H745" s="6"/>
      <c r="I745" s="6"/>
      <c r="J745" s="6"/>
      <c r="K745" s="6"/>
      <c r="L745" s="6"/>
      <c r="M745" s="6"/>
      <c r="N745" s="6"/>
    </row>
    <row r="746" spans="1:14" ht="19.5" customHeight="1" x14ac:dyDescent="0.25">
      <c r="A746" s="6"/>
      <c r="B746" s="6"/>
      <c r="C746" s="10"/>
      <c r="D746" s="10"/>
      <c r="E746" s="10"/>
      <c r="F746" s="6"/>
      <c r="G746" s="6"/>
      <c r="H746" s="6"/>
      <c r="I746" s="6"/>
      <c r="J746" s="6"/>
      <c r="K746" s="6"/>
      <c r="L746" s="6"/>
      <c r="M746" s="6"/>
      <c r="N746" s="6"/>
    </row>
    <row r="747" spans="1:14" ht="19.5" customHeight="1" x14ac:dyDescent="0.25">
      <c r="A747" s="6"/>
      <c r="B747" s="6"/>
      <c r="C747" s="10"/>
      <c r="D747" s="10"/>
      <c r="E747" s="10"/>
      <c r="F747" s="6"/>
      <c r="G747" s="6"/>
      <c r="H747" s="6"/>
      <c r="I747" s="6"/>
      <c r="J747" s="6"/>
      <c r="K747" s="6"/>
      <c r="L747" s="6"/>
      <c r="M747" s="6"/>
      <c r="N747" s="6"/>
    </row>
    <row r="748" spans="1:14" ht="19.5" customHeight="1" x14ac:dyDescent="0.25">
      <c r="A748" s="6"/>
      <c r="B748" s="6"/>
      <c r="C748" s="10"/>
      <c r="D748" s="10"/>
      <c r="E748" s="10"/>
      <c r="F748" s="6"/>
      <c r="G748" s="6"/>
      <c r="H748" s="6"/>
      <c r="I748" s="6"/>
      <c r="J748" s="6"/>
      <c r="K748" s="6"/>
      <c r="L748" s="6"/>
      <c r="M748" s="6"/>
      <c r="N748" s="6"/>
    </row>
    <row r="749" spans="1:14" ht="19.5" customHeight="1" x14ac:dyDescent="0.25">
      <c r="A749" s="6"/>
      <c r="B749" s="6"/>
      <c r="C749" s="10"/>
      <c r="D749" s="10"/>
      <c r="E749" s="10"/>
      <c r="F749" s="6"/>
      <c r="G749" s="6"/>
      <c r="H749" s="6"/>
      <c r="I749" s="6"/>
      <c r="J749" s="6"/>
      <c r="K749" s="6"/>
      <c r="L749" s="6"/>
      <c r="M749" s="6"/>
      <c r="N749" s="6"/>
    </row>
    <row r="750" spans="1:14" ht="19.5" customHeight="1" x14ac:dyDescent="0.25">
      <c r="A750" s="6"/>
      <c r="B750" s="6"/>
      <c r="C750" s="10"/>
      <c r="D750" s="10"/>
      <c r="E750" s="10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19.5" customHeight="1" x14ac:dyDescent="0.25">
      <c r="A751" s="6"/>
      <c r="B751" s="6"/>
      <c r="C751" s="10"/>
      <c r="D751" s="10"/>
      <c r="E751" s="10"/>
      <c r="F751" s="6"/>
      <c r="G751" s="6"/>
      <c r="H751" s="6"/>
      <c r="I751" s="6"/>
      <c r="J751" s="6"/>
      <c r="K751" s="6"/>
      <c r="L751" s="6"/>
      <c r="M751" s="6"/>
      <c r="N751" s="6"/>
    </row>
    <row r="752" spans="1:14" ht="19.5" customHeight="1" x14ac:dyDescent="0.25">
      <c r="A752" s="6"/>
      <c r="B752" s="6"/>
      <c r="C752" s="10"/>
      <c r="D752" s="10"/>
      <c r="E752" s="10"/>
      <c r="F752" s="6"/>
      <c r="G752" s="6"/>
      <c r="H752" s="6"/>
      <c r="I752" s="6"/>
      <c r="J752" s="6"/>
      <c r="K752" s="6"/>
      <c r="L752" s="6"/>
      <c r="M752" s="6"/>
      <c r="N752" s="6"/>
    </row>
    <row r="753" spans="1:14" ht="19.5" customHeight="1" x14ac:dyDescent="0.25">
      <c r="A753" s="6"/>
      <c r="B753" s="6"/>
      <c r="C753" s="10"/>
      <c r="D753" s="10"/>
      <c r="E753" s="10"/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19.5" customHeight="1" x14ac:dyDescent="0.25">
      <c r="A754" s="6"/>
      <c r="B754" s="6"/>
      <c r="C754" s="10"/>
      <c r="D754" s="10"/>
      <c r="E754" s="10"/>
      <c r="F754" s="6"/>
      <c r="G754" s="6"/>
      <c r="H754" s="6"/>
      <c r="I754" s="6"/>
      <c r="J754" s="6"/>
      <c r="K754" s="6"/>
      <c r="L754" s="6"/>
      <c r="M754" s="6"/>
      <c r="N754" s="6"/>
    </row>
    <row r="755" spans="1:14" ht="19.5" customHeight="1" x14ac:dyDescent="0.25">
      <c r="A755" s="6"/>
      <c r="B755" s="6"/>
      <c r="C755" s="10"/>
      <c r="D755" s="10"/>
      <c r="E755" s="10"/>
      <c r="F755" s="6"/>
      <c r="G755" s="6"/>
      <c r="H755" s="6"/>
      <c r="I755" s="6"/>
      <c r="J755" s="6"/>
      <c r="K755" s="6"/>
      <c r="L755" s="6"/>
      <c r="M755" s="6"/>
      <c r="N755" s="6"/>
    </row>
    <row r="756" spans="1:14" ht="19.5" customHeight="1" x14ac:dyDescent="0.25">
      <c r="A756" s="6"/>
      <c r="B756" s="6"/>
      <c r="C756" s="10"/>
      <c r="D756" s="10"/>
      <c r="E756" s="10"/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19.5" customHeight="1" x14ac:dyDescent="0.25">
      <c r="A757" s="6"/>
      <c r="B757" s="6"/>
      <c r="C757" s="10"/>
      <c r="D757" s="10"/>
      <c r="E757" s="10"/>
      <c r="F757" s="6"/>
      <c r="G757" s="6"/>
      <c r="H757" s="6"/>
      <c r="I757" s="6"/>
      <c r="J757" s="6"/>
      <c r="K757" s="6"/>
      <c r="L757" s="6"/>
      <c r="M757" s="6"/>
      <c r="N757" s="6"/>
    </row>
    <row r="758" spans="1:14" ht="19.5" customHeight="1" x14ac:dyDescent="0.25">
      <c r="A758" s="6"/>
      <c r="B758" s="6"/>
      <c r="C758" s="10"/>
      <c r="D758" s="10"/>
      <c r="E758" s="10"/>
      <c r="F758" s="6"/>
      <c r="G758" s="6"/>
      <c r="H758" s="6"/>
      <c r="I758" s="6"/>
      <c r="J758" s="6"/>
      <c r="K758" s="6"/>
      <c r="L758" s="6"/>
      <c r="M758" s="6"/>
      <c r="N758" s="6"/>
    </row>
    <row r="759" spans="1:14" ht="19.5" customHeight="1" x14ac:dyDescent="0.25">
      <c r="A759" s="6"/>
      <c r="B759" s="6"/>
      <c r="C759" s="10"/>
      <c r="D759" s="10"/>
      <c r="E759" s="10"/>
      <c r="F759" s="6"/>
      <c r="G759" s="6"/>
      <c r="H759" s="6"/>
      <c r="I759" s="6"/>
      <c r="J759" s="6"/>
      <c r="K759" s="6"/>
      <c r="L759" s="6"/>
      <c r="M759" s="6"/>
      <c r="N759" s="6"/>
    </row>
    <row r="760" spans="1:14" ht="19.5" customHeight="1" x14ac:dyDescent="0.25">
      <c r="A760" s="6"/>
      <c r="B760" s="6"/>
      <c r="C760" s="10"/>
      <c r="D760" s="10"/>
      <c r="E760" s="10"/>
      <c r="F760" s="6"/>
      <c r="G760" s="6"/>
      <c r="H760" s="6"/>
      <c r="I760" s="6"/>
      <c r="J760" s="6"/>
      <c r="K760" s="6"/>
      <c r="L760" s="6"/>
      <c r="M760" s="6"/>
      <c r="N760" s="6"/>
    </row>
    <row r="761" spans="1:14" ht="19.5" customHeight="1" x14ac:dyDescent="0.25">
      <c r="A761" s="6"/>
      <c r="B761" s="6"/>
      <c r="C761" s="10"/>
      <c r="D761" s="10"/>
      <c r="E761" s="10"/>
      <c r="F761" s="6"/>
      <c r="G761" s="6"/>
      <c r="H761" s="6"/>
      <c r="I761" s="6"/>
      <c r="J761" s="6"/>
      <c r="K761" s="6"/>
      <c r="L761" s="6"/>
      <c r="M761" s="6"/>
      <c r="N761" s="6"/>
    </row>
    <row r="762" spans="1:14" ht="19.5" customHeight="1" x14ac:dyDescent="0.25">
      <c r="A762" s="6"/>
      <c r="B762" s="6"/>
      <c r="C762" s="10"/>
      <c r="D762" s="10"/>
      <c r="E762" s="10"/>
      <c r="F762" s="6"/>
      <c r="G762" s="6"/>
      <c r="H762" s="6"/>
      <c r="I762" s="6"/>
      <c r="J762" s="6"/>
      <c r="K762" s="6"/>
      <c r="L762" s="6"/>
      <c r="M762" s="6"/>
      <c r="N762" s="6"/>
    </row>
    <row r="763" spans="1:14" ht="19.5" customHeight="1" x14ac:dyDescent="0.25">
      <c r="A763" s="6"/>
      <c r="B763" s="6"/>
      <c r="C763" s="10"/>
      <c r="D763" s="10"/>
      <c r="E763" s="10"/>
      <c r="F763" s="6"/>
      <c r="G763" s="6"/>
      <c r="H763" s="6"/>
      <c r="I763" s="6"/>
      <c r="J763" s="6"/>
      <c r="K763" s="6"/>
      <c r="L763" s="6"/>
      <c r="M763" s="6"/>
      <c r="N763" s="6"/>
    </row>
    <row r="764" spans="1:14" ht="19.5" customHeight="1" x14ac:dyDescent="0.25">
      <c r="A764" s="6"/>
      <c r="B764" s="6"/>
      <c r="C764" s="10"/>
      <c r="D764" s="10"/>
      <c r="E764" s="10"/>
      <c r="F764" s="6"/>
      <c r="G764" s="6"/>
      <c r="H764" s="6"/>
      <c r="I764" s="6"/>
      <c r="J764" s="6"/>
      <c r="K764" s="6"/>
      <c r="L764" s="6"/>
      <c r="M764" s="6"/>
      <c r="N764" s="6"/>
    </row>
    <row r="765" spans="1:14" ht="19.5" customHeight="1" x14ac:dyDescent="0.25">
      <c r="A765" s="6"/>
      <c r="B765" s="6"/>
      <c r="C765" s="10"/>
      <c r="D765" s="10"/>
      <c r="E765" s="10"/>
      <c r="F765" s="6"/>
      <c r="G765" s="6"/>
      <c r="H765" s="6"/>
      <c r="I765" s="6"/>
      <c r="J765" s="6"/>
      <c r="K765" s="6"/>
      <c r="L765" s="6"/>
      <c r="M765" s="6"/>
      <c r="N765" s="6"/>
    </row>
    <row r="766" spans="1:14" ht="19.5" customHeight="1" x14ac:dyDescent="0.25">
      <c r="A766" s="6"/>
      <c r="B766" s="6"/>
      <c r="C766" s="10"/>
      <c r="D766" s="10"/>
      <c r="E766" s="10"/>
      <c r="F766" s="6"/>
      <c r="G766" s="6"/>
      <c r="H766" s="6"/>
      <c r="I766" s="6"/>
      <c r="J766" s="6"/>
      <c r="K766" s="6"/>
      <c r="L766" s="6"/>
      <c r="M766" s="6"/>
      <c r="N766" s="6"/>
    </row>
    <row r="767" spans="1:14" ht="19.5" customHeight="1" x14ac:dyDescent="0.25">
      <c r="A767" s="6"/>
      <c r="B767" s="6"/>
      <c r="C767" s="10"/>
      <c r="D767" s="10"/>
      <c r="E767" s="10"/>
      <c r="F767" s="6"/>
      <c r="G767" s="6"/>
      <c r="H767" s="6"/>
      <c r="I767" s="6"/>
      <c r="J767" s="6"/>
      <c r="K767" s="6"/>
      <c r="L767" s="6"/>
      <c r="M767" s="6"/>
      <c r="N767" s="6"/>
    </row>
    <row r="768" spans="1:14" ht="19.5" customHeight="1" x14ac:dyDescent="0.25">
      <c r="A768" s="6"/>
      <c r="B768" s="6"/>
      <c r="C768" s="10"/>
      <c r="D768" s="10"/>
      <c r="E768" s="10"/>
      <c r="F768" s="6"/>
      <c r="G768" s="6"/>
      <c r="H768" s="6"/>
      <c r="I768" s="6"/>
      <c r="J768" s="6"/>
      <c r="K768" s="6"/>
      <c r="L768" s="6"/>
      <c r="M768" s="6"/>
      <c r="N768" s="6"/>
    </row>
    <row r="769" spans="1:14" ht="19.5" customHeight="1" x14ac:dyDescent="0.25">
      <c r="A769" s="6"/>
      <c r="B769" s="6"/>
      <c r="C769" s="10"/>
      <c r="D769" s="10"/>
      <c r="E769" s="10"/>
      <c r="F769" s="6"/>
      <c r="G769" s="6"/>
      <c r="H769" s="6"/>
      <c r="I769" s="6"/>
      <c r="J769" s="6"/>
      <c r="K769" s="6"/>
      <c r="L769" s="6"/>
      <c r="M769" s="6"/>
      <c r="N769" s="6"/>
    </row>
    <row r="770" spans="1:14" ht="19.5" customHeight="1" x14ac:dyDescent="0.25">
      <c r="A770" s="6"/>
      <c r="B770" s="6"/>
      <c r="C770" s="10"/>
      <c r="D770" s="10"/>
      <c r="E770" s="10"/>
      <c r="F770" s="6"/>
      <c r="G770" s="6"/>
      <c r="H770" s="6"/>
      <c r="I770" s="6"/>
      <c r="J770" s="6"/>
      <c r="K770" s="6"/>
      <c r="L770" s="6"/>
      <c r="M770" s="6"/>
      <c r="N770" s="6"/>
    </row>
    <row r="771" spans="1:14" ht="19.5" customHeight="1" x14ac:dyDescent="0.25">
      <c r="A771" s="6"/>
      <c r="B771" s="6"/>
      <c r="C771" s="10"/>
      <c r="D771" s="10"/>
      <c r="E771" s="10"/>
      <c r="F771" s="6"/>
      <c r="G771" s="6"/>
      <c r="H771" s="6"/>
      <c r="I771" s="6"/>
      <c r="J771" s="6"/>
      <c r="K771" s="6"/>
      <c r="L771" s="6"/>
      <c r="M771" s="6"/>
      <c r="N771" s="6"/>
    </row>
    <row r="772" spans="1:14" ht="19.5" customHeight="1" x14ac:dyDescent="0.25">
      <c r="A772" s="6"/>
      <c r="B772" s="6"/>
      <c r="C772" s="10"/>
      <c r="D772" s="10"/>
      <c r="E772" s="10"/>
      <c r="F772" s="6"/>
      <c r="G772" s="6"/>
      <c r="H772" s="6"/>
      <c r="I772" s="6"/>
      <c r="J772" s="6"/>
      <c r="K772" s="6"/>
      <c r="L772" s="6"/>
      <c r="M772" s="6"/>
      <c r="N772" s="6"/>
    </row>
    <row r="773" spans="1:14" ht="19.5" customHeight="1" x14ac:dyDescent="0.25">
      <c r="A773" s="6"/>
      <c r="B773" s="6"/>
      <c r="C773" s="10"/>
      <c r="D773" s="10"/>
      <c r="E773" s="10"/>
      <c r="F773" s="6"/>
      <c r="G773" s="6"/>
      <c r="H773" s="6"/>
      <c r="I773" s="6"/>
      <c r="J773" s="6"/>
      <c r="K773" s="6"/>
      <c r="L773" s="6"/>
      <c r="M773" s="6"/>
      <c r="N773" s="6"/>
    </row>
    <row r="774" spans="1:14" ht="19.5" customHeight="1" x14ac:dyDescent="0.25">
      <c r="A774" s="6"/>
      <c r="B774" s="6"/>
      <c r="C774" s="10"/>
      <c r="D774" s="10"/>
      <c r="E774" s="10"/>
      <c r="F774" s="6"/>
      <c r="G774" s="6"/>
      <c r="H774" s="6"/>
      <c r="I774" s="6"/>
      <c r="J774" s="6"/>
      <c r="K774" s="6"/>
      <c r="L774" s="6"/>
      <c r="M774" s="6"/>
      <c r="N774" s="6"/>
    </row>
    <row r="775" spans="1:14" ht="19.5" customHeight="1" x14ac:dyDescent="0.25">
      <c r="A775" s="6"/>
      <c r="B775" s="6"/>
      <c r="C775" s="10"/>
      <c r="D775" s="10"/>
      <c r="E775" s="10"/>
      <c r="F775" s="6"/>
      <c r="G775" s="6"/>
      <c r="H775" s="6"/>
      <c r="I775" s="6"/>
      <c r="J775" s="6"/>
      <c r="K775" s="6"/>
      <c r="L775" s="6"/>
      <c r="M775" s="6"/>
      <c r="N775" s="6"/>
    </row>
    <row r="776" spans="1:14" ht="19.5" customHeight="1" x14ac:dyDescent="0.25">
      <c r="A776" s="6"/>
      <c r="B776" s="6"/>
      <c r="C776" s="10"/>
      <c r="D776" s="10"/>
      <c r="E776" s="10"/>
      <c r="F776" s="6"/>
      <c r="G776" s="6"/>
      <c r="H776" s="6"/>
      <c r="I776" s="6"/>
      <c r="J776" s="6"/>
      <c r="K776" s="6"/>
      <c r="L776" s="6"/>
      <c r="M776" s="6"/>
      <c r="N776" s="6"/>
    </row>
    <row r="777" spans="1:14" ht="19.5" customHeight="1" x14ac:dyDescent="0.25">
      <c r="A777" s="6"/>
      <c r="B777" s="6"/>
      <c r="C777" s="10"/>
      <c r="D777" s="10"/>
      <c r="E777" s="10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19.5" customHeight="1" x14ac:dyDescent="0.25">
      <c r="A778" s="6"/>
      <c r="B778" s="6"/>
      <c r="C778" s="10"/>
      <c r="D778" s="10"/>
      <c r="E778" s="10"/>
      <c r="F778" s="6"/>
      <c r="G778" s="6"/>
      <c r="H778" s="6"/>
      <c r="I778" s="6"/>
      <c r="J778" s="6"/>
      <c r="K778" s="6"/>
      <c r="L778" s="6"/>
      <c r="M778" s="6"/>
      <c r="N778" s="6"/>
    </row>
    <row r="779" spans="1:14" ht="19.5" customHeight="1" x14ac:dyDescent="0.25">
      <c r="A779" s="6"/>
      <c r="B779" s="6"/>
      <c r="C779" s="10"/>
      <c r="D779" s="10"/>
      <c r="E779" s="10"/>
      <c r="F779" s="6"/>
      <c r="G779" s="6"/>
      <c r="H779" s="6"/>
      <c r="I779" s="6"/>
      <c r="J779" s="6"/>
      <c r="K779" s="6"/>
      <c r="L779" s="6"/>
      <c r="M779" s="6"/>
      <c r="N779" s="6"/>
    </row>
    <row r="780" spans="1:14" ht="19.5" customHeight="1" x14ac:dyDescent="0.25">
      <c r="A780" s="6"/>
      <c r="B780" s="6"/>
      <c r="C780" s="10"/>
      <c r="D780" s="10"/>
      <c r="E780" s="10"/>
      <c r="F780" s="6"/>
      <c r="G780" s="6"/>
      <c r="H780" s="6"/>
      <c r="I780" s="6"/>
      <c r="J780" s="6"/>
      <c r="K780" s="6"/>
      <c r="L780" s="6"/>
      <c r="M780" s="6"/>
      <c r="N780" s="6"/>
    </row>
    <row r="781" spans="1:14" ht="19.5" customHeight="1" x14ac:dyDescent="0.25">
      <c r="A781" s="6"/>
      <c r="B781" s="6"/>
      <c r="C781" s="10"/>
      <c r="D781" s="10"/>
      <c r="E781" s="10"/>
      <c r="F781" s="6"/>
      <c r="G781" s="6"/>
      <c r="H781" s="6"/>
      <c r="I781" s="6"/>
      <c r="J781" s="6"/>
      <c r="K781" s="6"/>
      <c r="L781" s="6"/>
      <c r="M781" s="6"/>
      <c r="N781" s="6"/>
    </row>
    <row r="782" spans="1:14" ht="19.5" customHeight="1" x14ac:dyDescent="0.25">
      <c r="A782" s="6"/>
      <c r="B782" s="6"/>
      <c r="C782" s="10"/>
      <c r="D782" s="10"/>
      <c r="E782" s="10"/>
      <c r="F782" s="6"/>
      <c r="G782" s="6"/>
      <c r="H782" s="6"/>
      <c r="I782" s="6"/>
      <c r="J782" s="6"/>
      <c r="K782" s="6"/>
      <c r="L782" s="6"/>
      <c r="M782" s="6"/>
      <c r="N782" s="6"/>
    </row>
    <row r="783" spans="1:14" ht="19.5" customHeight="1" x14ac:dyDescent="0.25">
      <c r="A783" s="6"/>
      <c r="B783" s="6"/>
      <c r="C783" s="10"/>
      <c r="D783" s="10"/>
      <c r="E783" s="10"/>
      <c r="F783" s="6"/>
      <c r="G783" s="6"/>
      <c r="H783" s="6"/>
      <c r="I783" s="6"/>
      <c r="J783" s="6"/>
      <c r="K783" s="6"/>
      <c r="L783" s="6"/>
      <c r="M783" s="6"/>
      <c r="N783" s="6"/>
    </row>
    <row r="784" spans="1:14" ht="19.5" customHeight="1" x14ac:dyDescent="0.25">
      <c r="A784" s="6"/>
      <c r="B784" s="6"/>
      <c r="C784" s="10"/>
      <c r="D784" s="10"/>
      <c r="E784" s="10"/>
      <c r="F784" s="6"/>
      <c r="G784" s="6"/>
      <c r="H784" s="6"/>
      <c r="I784" s="6"/>
      <c r="J784" s="6"/>
      <c r="K784" s="6"/>
      <c r="L784" s="6"/>
      <c r="M784" s="6"/>
      <c r="N784" s="6"/>
    </row>
    <row r="785" spans="1:14" ht="19.5" customHeight="1" x14ac:dyDescent="0.25">
      <c r="A785" s="6"/>
      <c r="B785" s="6"/>
      <c r="C785" s="10"/>
      <c r="D785" s="10"/>
      <c r="E785" s="10"/>
      <c r="F785" s="6"/>
      <c r="G785" s="6"/>
      <c r="H785" s="6"/>
      <c r="I785" s="6"/>
      <c r="J785" s="6"/>
      <c r="K785" s="6"/>
      <c r="L785" s="6"/>
      <c r="M785" s="6"/>
      <c r="N785" s="6"/>
    </row>
    <row r="786" spans="1:14" ht="19.5" customHeight="1" x14ac:dyDescent="0.25">
      <c r="A786" s="6"/>
      <c r="B786" s="6"/>
      <c r="C786" s="10"/>
      <c r="D786" s="10"/>
      <c r="E786" s="10"/>
      <c r="F786" s="6"/>
      <c r="G786" s="6"/>
      <c r="H786" s="6"/>
      <c r="I786" s="6"/>
      <c r="J786" s="6"/>
      <c r="K786" s="6"/>
      <c r="L786" s="6"/>
      <c r="M786" s="6"/>
      <c r="N786" s="6"/>
    </row>
    <row r="787" spans="1:14" ht="19.5" customHeight="1" x14ac:dyDescent="0.25">
      <c r="A787" s="6"/>
      <c r="B787" s="6"/>
      <c r="C787" s="10"/>
      <c r="D787" s="10"/>
      <c r="E787" s="10"/>
      <c r="F787" s="6"/>
      <c r="G787" s="6"/>
      <c r="H787" s="6"/>
      <c r="I787" s="6"/>
      <c r="J787" s="6"/>
      <c r="K787" s="6"/>
      <c r="L787" s="6"/>
      <c r="M787" s="6"/>
      <c r="N787" s="6"/>
    </row>
    <row r="788" spans="1:14" ht="19.5" customHeight="1" x14ac:dyDescent="0.25">
      <c r="A788" s="6"/>
      <c r="B788" s="6"/>
      <c r="C788" s="10"/>
      <c r="D788" s="10"/>
      <c r="E788" s="10"/>
      <c r="F788" s="6"/>
      <c r="G788" s="6"/>
      <c r="H788" s="6"/>
      <c r="I788" s="6"/>
      <c r="J788" s="6"/>
      <c r="K788" s="6"/>
      <c r="L788" s="6"/>
      <c r="M788" s="6"/>
      <c r="N788" s="6"/>
    </row>
    <row r="789" spans="1:14" ht="19.5" customHeight="1" x14ac:dyDescent="0.25">
      <c r="A789" s="6"/>
      <c r="B789" s="6"/>
      <c r="C789" s="10"/>
      <c r="D789" s="10"/>
      <c r="E789" s="10"/>
      <c r="F789" s="6"/>
      <c r="G789" s="6"/>
      <c r="H789" s="6"/>
      <c r="I789" s="6"/>
      <c r="J789" s="6"/>
      <c r="K789" s="6"/>
      <c r="L789" s="6"/>
      <c r="M789" s="6"/>
      <c r="N789" s="6"/>
    </row>
    <row r="790" spans="1:14" ht="19.5" customHeight="1" x14ac:dyDescent="0.25">
      <c r="A790" s="6"/>
      <c r="B790" s="6"/>
      <c r="C790" s="10"/>
      <c r="D790" s="10"/>
      <c r="E790" s="10"/>
      <c r="F790" s="6"/>
      <c r="G790" s="6"/>
      <c r="H790" s="6"/>
      <c r="I790" s="6"/>
      <c r="J790" s="6"/>
      <c r="K790" s="6"/>
      <c r="L790" s="6"/>
      <c r="M790" s="6"/>
      <c r="N790" s="6"/>
    </row>
    <row r="791" spans="1:14" ht="19.5" customHeight="1" x14ac:dyDescent="0.25">
      <c r="A791" s="6"/>
      <c r="B791" s="6"/>
      <c r="C791" s="10"/>
      <c r="D791" s="10"/>
      <c r="E791" s="10"/>
      <c r="F791" s="6"/>
      <c r="G791" s="6"/>
      <c r="H791" s="6"/>
      <c r="I791" s="6"/>
      <c r="J791" s="6"/>
      <c r="K791" s="6"/>
      <c r="L791" s="6"/>
      <c r="M791" s="6"/>
      <c r="N791" s="6"/>
    </row>
    <row r="792" spans="1:14" ht="19.5" customHeight="1" x14ac:dyDescent="0.25">
      <c r="A792" s="6"/>
      <c r="B792" s="6"/>
      <c r="C792" s="10"/>
      <c r="D792" s="10"/>
      <c r="E792" s="10"/>
      <c r="F792" s="6"/>
      <c r="G792" s="6"/>
      <c r="H792" s="6"/>
      <c r="I792" s="6"/>
      <c r="J792" s="6"/>
      <c r="K792" s="6"/>
      <c r="L792" s="6"/>
      <c r="M792" s="6"/>
      <c r="N792" s="6"/>
    </row>
    <row r="793" spans="1:14" ht="19.5" customHeight="1" x14ac:dyDescent="0.25">
      <c r="A793" s="6"/>
      <c r="B793" s="6"/>
      <c r="C793" s="10"/>
      <c r="D793" s="10"/>
      <c r="E793" s="10"/>
      <c r="F793" s="6"/>
      <c r="G793" s="6"/>
      <c r="H793" s="6"/>
      <c r="I793" s="6"/>
      <c r="J793" s="6"/>
      <c r="K793" s="6"/>
      <c r="L793" s="6"/>
      <c r="M793" s="6"/>
      <c r="N793" s="6"/>
    </row>
    <row r="794" spans="1:14" ht="19.5" customHeight="1" x14ac:dyDescent="0.25">
      <c r="A794" s="6"/>
      <c r="B794" s="6"/>
      <c r="C794" s="10"/>
      <c r="D794" s="10"/>
      <c r="E794" s="10"/>
      <c r="F794" s="6"/>
      <c r="G794" s="6"/>
      <c r="H794" s="6"/>
      <c r="I794" s="6"/>
      <c r="J794" s="6"/>
      <c r="K794" s="6"/>
      <c r="L794" s="6"/>
      <c r="M794" s="6"/>
      <c r="N794" s="6"/>
    </row>
    <row r="795" spans="1:14" ht="19.5" customHeight="1" x14ac:dyDescent="0.25">
      <c r="A795" s="6"/>
      <c r="B795" s="6"/>
      <c r="C795" s="10"/>
      <c r="D795" s="10"/>
      <c r="E795" s="10"/>
      <c r="F795" s="6"/>
      <c r="G795" s="6"/>
      <c r="H795" s="6"/>
      <c r="I795" s="6"/>
      <c r="J795" s="6"/>
      <c r="K795" s="6"/>
      <c r="L795" s="6"/>
      <c r="M795" s="6"/>
      <c r="N795" s="6"/>
    </row>
    <row r="796" spans="1:14" ht="19.5" customHeight="1" x14ac:dyDescent="0.25">
      <c r="A796" s="6"/>
      <c r="B796" s="6"/>
      <c r="C796" s="10"/>
      <c r="D796" s="10"/>
      <c r="E796" s="10"/>
      <c r="F796" s="6"/>
      <c r="G796" s="6"/>
      <c r="H796" s="6"/>
      <c r="I796" s="6"/>
      <c r="J796" s="6"/>
      <c r="K796" s="6"/>
      <c r="L796" s="6"/>
      <c r="M796" s="6"/>
      <c r="N796" s="6"/>
    </row>
    <row r="797" spans="1:14" ht="19.5" customHeight="1" x14ac:dyDescent="0.25">
      <c r="A797" s="6"/>
      <c r="B797" s="6"/>
      <c r="C797" s="10"/>
      <c r="D797" s="10"/>
      <c r="E797" s="10"/>
      <c r="F797" s="6"/>
      <c r="G797" s="6"/>
      <c r="H797" s="6"/>
      <c r="I797" s="6"/>
      <c r="J797" s="6"/>
      <c r="K797" s="6"/>
      <c r="L797" s="6"/>
      <c r="M797" s="6"/>
      <c r="N797" s="6"/>
    </row>
    <row r="798" spans="1:14" ht="19.5" customHeight="1" x14ac:dyDescent="0.25">
      <c r="A798" s="6"/>
      <c r="B798" s="6"/>
      <c r="C798" s="10"/>
      <c r="D798" s="10"/>
      <c r="E798" s="10"/>
      <c r="F798" s="6"/>
      <c r="G798" s="6"/>
      <c r="H798" s="6"/>
      <c r="I798" s="6"/>
      <c r="J798" s="6"/>
      <c r="K798" s="6"/>
      <c r="L798" s="6"/>
      <c r="M798" s="6"/>
      <c r="N798" s="6"/>
    </row>
    <row r="799" spans="1:14" ht="19.5" customHeight="1" x14ac:dyDescent="0.25">
      <c r="A799" s="6"/>
      <c r="B799" s="6"/>
      <c r="C799" s="10"/>
      <c r="D799" s="10"/>
      <c r="E799" s="10"/>
      <c r="F799" s="6"/>
      <c r="G799" s="6"/>
      <c r="H799" s="6"/>
      <c r="I799" s="6"/>
      <c r="J799" s="6"/>
      <c r="K799" s="6"/>
      <c r="L799" s="6"/>
      <c r="M799" s="6"/>
      <c r="N799" s="6"/>
    </row>
    <row r="800" spans="1:14" ht="19.5" customHeight="1" x14ac:dyDescent="0.25">
      <c r="A800" s="6"/>
      <c r="B800" s="6"/>
      <c r="C800" s="10"/>
      <c r="D800" s="10"/>
      <c r="E800" s="10"/>
      <c r="F800" s="6"/>
      <c r="G800" s="6"/>
      <c r="H800" s="6"/>
      <c r="I800" s="6"/>
      <c r="J800" s="6"/>
      <c r="K800" s="6"/>
      <c r="L800" s="6"/>
      <c r="M800" s="6"/>
      <c r="N800" s="6"/>
    </row>
    <row r="801" spans="1:14" ht="19.5" customHeight="1" x14ac:dyDescent="0.25">
      <c r="A801" s="6"/>
      <c r="B801" s="6"/>
      <c r="C801" s="10"/>
      <c r="D801" s="10"/>
      <c r="E801" s="10"/>
      <c r="F801" s="6"/>
      <c r="G801" s="6"/>
      <c r="H801" s="6"/>
      <c r="I801" s="6"/>
      <c r="J801" s="6"/>
      <c r="K801" s="6"/>
      <c r="L801" s="6"/>
      <c r="M801" s="6"/>
      <c r="N801" s="6"/>
    </row>
    <row r="802" spans="1:14" ht="19.5" customHeight="1" x14ac:dyDescent="0.25">
      <c r="A802" s="6"/>
      <c r="B802" s="6"/>
      <c r="C802" s="10"/>
      <c r="D802" s="10"/>
      <c r="E802" s="10"/>
      <c r="F802" s="6"/>
      <c r="G802" s="6"/>
      <c r="H802" s="6"/>
      <c r="I802" s="6"/>
      <c r="J802" s="6"/>
      <c r="K802" s="6"/>
      <c r="L802" s="6"/>
      <c r="M802" s="6"/>
      <c r="N802" s="6"/>
    </row>
    <row r="803" spans="1:14" ht="19.5" customHeight="1" x14ac:dyDescent="0.25">
      <c r="A803" s="6"/>
      <c r="B803" s="6"/>
      <c r="C803" s="10"/>
      <c r="D803" s="10"/>
      <c r="E803" s="10"/>
      <c r="F803" s="6"/>
      <c r="G803" s="6"/>
      <c r="H803" s="6"/>
      <c r="I803" s="6"/>
      <c r="J803" s="6"/>
      <c r="K803" s="6"/>
      <c r="L803" s="6"/>
      <c r="M803" s="6"/>
      <c r="N803" s="6"/>
    </row>
    <row r="804" spans="1:14" ht="19.5" customHeight="1" x14ac:dyDescent="0.25">
      <c r="A804" s="6"/>
      <c r="B804" s="6"/>
      <c r="C804" s="10"/>
      <c r="D804" s="10"/>
      <c r="E804" s="10"/>
      <c r="F804" s="6"/>
      <c r="G804" s="6"/>
      <c r="H804" s="6"/>
      <c r="I804" s="6"/>
      <c r="J804" s="6"/>
      <c r="K804" s="6"/>
      <c r="L804" s="6"/>
      <c r="M804" s="6"/>
      <c r="N804" s="6"/>
    </row>
    <row r="805" spans="1:14" ht="19.5" customHeight="1" x14ac:dyDescent="0.25">
      <c r="A805" s="6"/>
      <c r="B805" s="6"/>
      <c r="C805" s="10"/>
      <c r="D805" s="10"/>
      <c r="E805" s="10"/>
      <c r="F805" s="6"/>
      <c r="G805" s="6"/>
      <c r="H805" s="6"/>
      <c r="I805" s="6"/>
      <c r="J805" s="6"/>
      <c r="K805" s="6"/>
      <c r="L805" s="6"/>
      <c r="M805" s="6"/>
      <c r="N805" s="6"/>
    </row>
    <row r="806" spans="1:14" ht="19.5" customHeight="1" x14ac:dyDescent="0.25">
      <c r="A806" s="6"/>
      <c r="B806" s="6"/>
      <c r="C806" s="10"/>
      <c r="D806" s="10"/>
      <c r="E806" s="10"/>
      <c r="F806" s="6"/>
      <c r="G806" s="6"/>
      <c r="H806" s="6"/>
      <c r="I806" s="6"/>
      <c r="J806" s="6"/>
      <c r="K806" s="6"/>
      <c r="L806" s="6"/>
      <c r="M806" s="6"/>
      <c r="N806" s="6"/>
    </row>
    <row r="807" spans="1:14" ht="19.5" customHeight="1" x14ac:dyDescent="0.25">
      <c r="A807" s="6"/>
      <c r="B807" s="6"/>
      <c r="C807" s="10"/>
      <c r="D807" s="10"/>
      <c r="E807" s="10"/>
      <c r="F807" s="6"/>
      <c r="G807" s="6"/>
      <c r="H807" s="6"/>
      <c r="I807" s="6"/>
      <c r="J807" s="6"/>
      <c r="K807" s="6"/>
      <c r="L807" s="6"/>
      <c r="M807" s="6"/>
      <c r="N807" s="6"/>
    </row>
    <row r="808" spans="1:14" ht="19.5" customHeight="1" x14ac:dyDescent="0.25">
      <c r="A808" s="6"/>
      <c r="B808" s="6"/>
      <c r="C808" s="10"/>
      <c r="D808" s="10"/>
      <c r="E808" s="10"/>
      <c r="F808" s="6"/>
      <c r="G808" s="6"/>
      <c r="H808" s="6"/>
      <c r="I808" s="6"/>
      <c r="J808" s="6"/>
      <c r="K808" s="6"/>
      <c r="L808" s="6"/>
      <c r="M808" s="6"/>
      <c r="N808" s="6"/>
    </row>
    <row r="809" spans="1:14" ht="19.5" customHeight="1" x14ac:dyDescent="0.25">
      <c r="A809" s="6"/>
      <c r="B809" s="6"/>
      <c r="C809" s="10"/>
      <c r="D809" s="10"/>
      <c r="E809" s="10"/>
      <c r="F809" s="6"/>
      <c r="G809" s="6"/>
      <c r="H809" s="6"/>
      <c r="I809" s="6"/>
      <c r="J809" s="6"/>
      <c r="K809" s="6"/>
      <c r="L809" s="6"/>
      <c r="M809" s="6"/>
      <c r="N809" s="6"/>
    </row>
    <row r="810" spans="1:14" ht="19.5" customHeight="1" x14ac:dyDescent="0.25">
      <c r="A810" s="6"/>
      <c r="B810" s="6"/>
      <c r="C810" s="10"/>
      <c r="D810" s="10"/>
      <c r="E810" s="10"/>
      <c r="F810" s="6"/>
      <c r="G810" s="6"/>
      <c r="H810" s="6"/>
      <c r="I810" s="6"/>
      <c r="J810" s="6"/>
      <c r="K810" s="6"/>
      <c r="L810" s="6"/>
      <c r="M810" s="6"/>
      <c r="N810" s="6"/>
    </row>
    <row r="811" spans="1:14" ht="19.5" customHeight="1" x14ac:dyDescent="0.25">
      <c r="A811" s="6"/>
      <c r="B811" s="6"/>
      <c r="C811" s="10"/>
      <c r="D811" s="10"/>
      <c r="E811" s="10"/>
      <c r="F811" s="6"/>
      <c r="G811" s="6"/>
      <c r="H811" s="6"/>
      <c r="I811" s="6"/>
      <c r="J811" s="6"/>
      <c r="K811" s="6"/>
      <c r="L811" s="6"/>
      <c r="M811" s="6"/>
      <c r="N811" s="6"/>
    </row>
    <row r="812" spans="1:14" ht="19.5" customHeight="1" x14ac:dyDescent="0.25">
      <c r="A812" s="6"/>
      <c r="B812" s="6"/>
      <c r="C812" s="10"/>
      <c r="D812" s="10"/>
      <c r="E812" s="10"/>
      <c r="F812" s="6"/>
      <c r="G812" s="6"/>
      <c r="H812" s="6"/>
      <c r="I812" s="6"/>
      <c r="J812" s="6"/>
      <c r="K812" s="6"/>
      <c r="L812" s="6"/>
      <c r="M812" s="6"/>
      <c r="N812" s="6"/>
    </row>
    <row r="813" spans="1:14" ht="19.5" customHeight="1" x14ac:dyDescent="0.25">
      <c r="A813" s="6"/>
      <c r="B813" s="6"/>
      <c r="C813" s="10"/>
      <c r="D813" s="10"/>
      <c r="E813" s="10"/>
      <c r="F813" s="6"/>
      <c r="G813" s="6"/>
      <c r="H813" s="6"/>
      <c r="I813" s="6"/>
      <c r="J813" s="6"/>
      <c r="K813" s="6"/>
      <c r="L813" s="6"/>
      <c r="M813" s="6"/>
      <c r="N813" s="6"/>
    </row>
    <row r="814" spans="1:14" ht="19.5" customHeight="1" x14ac:dyDescent="0.25">
      <c r="A814" s="6"/>
      <c r="B814" s="6"/>
      <c r="C814" s="10"/>
      <c r="D814" s="10"/>
      <c r="E814" s="10"/>
      <c r="F814" s="6"/>
      <c r="G814" s="6"/>
      <c r="H814" s="6"/>
      <c r="I814" s="6"/>
      <c r="J814" s="6"/>
      <c r="K814" s="6"/>
      <c r="L814" s="6"/>
      <c r="M814" s="6"/>
      <c r="N814" s="6"/>
    </row>
    <row r="815" spans="1:14" ht="19.5" customHeight="1" x14ac:dyDescent="0.25">
      <c r="A815" s="6"/>
      <c r="B815" s="6"/>
      <c r="C815" s="10"/>
      <c r="D815" s="10"/>
      <c r="E815" s="10"/>
      <c r="F815" s="6"/>
      <c r="G815" s="6"/>
      <c r="H815" s="6"/>
      <c r="I815" s="6"/>
      <c r="J815" s="6"/>
      <c r="K815" s="6"/>
      <c r="L815" s="6"/>
      <c r="M815" s="6"/>
      <c r="N815" s="6"/>
    </row>
    <row r="816" spans="1:14" ht="19.5" customHeight="1" x14ac:dyDescent="0.25">
      <c r="A816" s="6"/>
      <c r="B816" s="6"/>
      <c r="C816" s="10"/>
      <c r="D816" s="10"/>
      <c r="E816" s="10"/>
      <c r="F816" s="6"/>
      <c r="G816" s="6"/>
      <c r="H816" s="6"/>
      <c r="I816" s="6"/>
      <c r="J816" s="6"/>
      <c r="K816" s="6"/>
      <c r="L816" s="6"/>
      <c r="M816" s="6"/>
      <c r="N816" s="6"/>
    </row>
    <row r="817" spans="1:14" ht="19.5" customHeight="1" x14ac:dyDescent="0.25">
      <c r="A817" s="6"/>
      <c r="B817" s="6"/>
      <c r="C817" s="10"/>
      <c r="D817" s="10"/>
      <c r="E817" s="10"/>
      <c r="F817" s="6"/>
      <c r="G817" s="6"/>
      <c r="H817" s="6"/>
      <c r="I817" s="6"/>
      <c r="J817" s="6"/>
      <c r="K817" s="6"/>
      <c r="L817" s="6"/>
      <c r="M817" s="6"/>
      <c r="N817" s="6"/>
    </row>
    <row r="818" spans="1:14" ht="19.5" customHeight="1" x14ac:dyDescent="0.25">
      <c r="A818" s="6"/>
      <c r="B818" s="6"/>
      <c r="C818" s="10"/>
      <c r="D818" s="10"/>
      <c r="E818" s="10"/>
      <c r="F818" s="6"/>
      <c r="G818" s="6"/>
      <c r="H818" s="6"/>
      <c r="I818" s="6"/>
      <c r="J818" s="6"/>
      <c r="K818" s="6"/>
      <c r="L818" s="6"/>
      <c r="M818" s="6"/>
      <c r="N818" s="6"/>
    </row>
    <row r="819" spans="1:14" ht="19.5" customHeight="1" x14ac:dyDescent="0.25">
      <c r="A819" s="6"/>
      <c r="B819" s="6"/>
      <c r="C819" s="10"/>
      <c r="D819" s="10"/>
      <c r="E819" s="10"/>
      <c r="F819" s="6"/>
      <c r="G819" s="6"/>
      <c r="H819" s="6"/>
      <c r="I819" s="6"/>
      <c r="J819" s="6"/>
      <c r="K819" s="6"/>
      <c r="L819" s="6"/>
      <c r="M819" s="6"/>
      <c r="N819" s="6"/>
    </row>
    <row r="820" spans="1:14" ht="19.5" customHeight="1" x14ac:dyDescent="0.25">
      <c r="A820" s="6"/>
      <c r="B820" s="6"/>
      <c r="C820" s="10"/>
      <c r="D820" s="10"/>
      <c r="E820" s="10"/>
      <c r="F820" s="6"/>
      <c r="G820" s="6"/>
      <c r="H820" s="6"/>
      <c r="I820" s="6"/>
      <c r="J820" s="6"/>
      <c r="K820" s="6"/>
      <c r="L820" s="6"/>
      <c r="M820" s="6"/>
      <c r="N820" s="6"/>
    </row>
    <row r="821" spans="1:14" ht="19.5" customHeight="1" x14ac:dyDescent="0.25">
      <c r="A821" s="6"/>
      <c r="B821" s="6"/>
      <c r="C821" s="10"/>
      <c r="D821" s="10"/>
      <c r="E821" s="10"/>
      <c r="F821" s="6"/>
      <c r="G821" s="6"/>
      <c r="H821" s="6"/>
      <c r="I821" s="6"/>
      <c r="J821" s="6"/>
      <c r="K821" s="6"/>
      <c r="L821" s="6"/>
      <c r="M821" s="6"/>
      <c r="N821" s="6"/>
    </row>
    <row r="822" spans="1:14" ht="19.5" customHeight="1" x14ac:dyDescent="0.25">
      <c r="A822" s="6"/>
      <c r="B822" s="6"/>
      <c r="C822" s="10"/>
      <c r="D822" s="10"/>
      <c r="E822" s="10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19.5" customHeight="1" x14ac:dyDescent="0.25">
      <c r="A823" s="6"/>
      <c r="B823" s="6"/>
      <c r="C823" s="10"/>
      <c r="D823" s="10"/>
      <c r="E823" s="10"/>
      <c r="F823" s="6"/>
      <c r="G823" s="6"/>
      <c r="H823" s="6"/>
      <c r="I823" s="6"/>
      <c r="J823" s="6"/>
      <c r="K823" s="6"/>
      <c r="L823" s="6"/>
      <c r="M823" s="6"/>
      <c r="N823" s="6"/>
    </row>
    <row r="824" spans="1:14" ht="19.5" customHeight="1" x14ac:dyDescent="0.25">
      <c r="A824" s="6"/>
      <c r="B824" s="6"/>
      <c r="C824" s="10"/>
      <c r="D824" s="10"/>
      <c r="E824" s="10"/>
      <c r="F824" s="6"/>
      <c r="G824" s="6"/>
      <c r="H824" s="6"/>
      <c r="I824" s="6"/>
      <c r="J824" s="6"/>
      <c r="K824" s="6"/>
      <c r="L824" s="6"/>
      <c r="M824" s="6"/>
      <c r="N824" s="6"/>
    </row>
    <row r="825" spans="1:14" ht="19.5" customHeight="1" x14ac:dyDescent="0.25">
      <c r="A825" s="6"/>
      <c r="B825" s="6"/>
      <c r="C825" s="10"/>
      <c r="D825" s="10"/>
      <c r="E825" s="10"/>
      <c r="F825" s="6"/>
      <c r="G825" s="6"/>
      <c r="H825" s="6"/>
      <c r="I825" s="6"/>
      <c r="J825" s="6"/>
      <c r="K825" s="6"/>
      <c r="L825" s="6"/>
      <c r="M825" s="6"/>
      <c r="N825" s="6"/>
    </row>
    <row r="826" spans="1:14" ht="19.5" customHeight="1" x14ac:dyDescent="0.25">
      <c r="A826" s="6"/>
      <c r="B826" s="6"/>
      <c r="C826" s="10"/>
      <c r="D826" s="10"/>
      <c r="E826" s="10"/>
      <c r="F826" s="6"/>
      <c r="G826" s="6"/>
      <c r="H826" s="6"/>
      <c r="I826" s="6"/>
      <c r="J826" s="6"/>
      <c r="K826" s="6"/>
      <c r="L826" s="6"/>
      <c r="M826" s="6"/>
      <c r="N826" s="6"/>
    </row>
    <row r="827" spans="1:14" ht="19.5" customHeight="1" x14ac:dyDescent="0.25">
      <c r="A827" s="6"/>
      <c r="B827" s="6"/>
      <c r="C827" s="10"/>
      <c r="D827" s="10"/>
      <c r="E827" s="10"/>
      <c r="F827" s="6"/>
      <c r="G827" s="6"/>
      <c r="H827" s="6"/>
      <c r="I827" s="6"/>
      <c r="J827" s="6"/>
      <c r="K827" s="6"/>
      <c r="L827" s="6"/>
      <c r="M827" s="6"/>
      <c r="N827" s="6"/>
    </row>
    <row r="828" spans="1:14" ht="19.5" customHeight="1" x14ac:dyDescent="0.25">
      <c r="A828" s="6"/>
      <c r="B828" s="6"/>
      <c r="C828" s="10"/>
      <c r="D828" s="10"/>
      <c r="E828" s="10"/>
      <c r="F828" s="6"/>
      <c r="G828" s="6"/>
      <c r="H828" s="6"/>
      <c r="I828" s="6"/>
      <c r="J828" s="6"/>
      <c r="K828" s="6"/>
      <c r="L828" s="6"/>
      <c r="M828" s="6"/>
      <c r="N828" s="6"/>
    </row>
    <row r="829" spans="1:14" ht="19.5" customHeight="1" x14ac:dyDescent="0.25">
      <c r="A829" s="6"/>
      <c r="B829" s="6"/>
      <c r="C829" s="10"/>
      <c r="D829" s="10"/>
      <c r="E829" s="10"/>
      <c r="F829" s="6"/>
      <c r="G829" s="6"/>
      <c r="H829" s="6"/>
      <c r="I829" s="6"/>
      <c r="J829" s="6"/>
      <c r="K829" s="6"/>
      <c r="L829" s="6"/>
      <c r="M829" s="6"/>
      <c r="N829" s="6"/>
    </row>
    <row r="830" spans="1:14" ht="19.5" customHeight="1" x14ac:dyDescent="0.25">
      <c r="A830" s="6"/>
      <c r="B830" s="6"/>
      <c r="C830" s="10"/>
      <c r="D830" s="10"/>
      <c r="E830" s="10"/>
      <c r="F830" s="6"/>
      <c r="G830" s="6"/>
      <c r="H830" s="6"/>
      <c r="I830" s="6"/>
      <c r="J830" s="6"/>
      <c r="K830" s="6"/>
      <c r="L830" s="6"/>
      <c r="M830" s="6"/>
      <c r="N830" s="6"/>
    </row>
    <row r="831" spans="1:14" ht="19.5" customHeight="1" x14ac:dyDescent="0.25">
      <c r="A831" s="6"/>
      <c r="B831" s="6"/>
      <c r="C831" s="10"/>
      <c r="D831" s="10"/>
      <c r="E831" s="10"/>
      <c r="F831" s="6"/>
      <c r="G831" s="6"/>
      <c r="H831" s="6"/>
      <c r="I831" s="6"/>
      <c r="J831" s="6"/>
      <c r="K831" s="6"/>
      <c r="L831" s="6"/>
      <c r="M831" s="6"/>
      <c r="N831" s="6"/>
    </row>
    <row r="832" spans="1:14" ht="19.5" customHeight="1" x14ac:dyDescent="0.25">
      <c r="A832" s="6"/>
      <c r="B832" s="6"/>
      <c r="C832" s="10"/>
      <c r="D832" s="10"/>
      <c r="E832" s="10"/>
      <c r="F832" s="6"/>
      <c r="G832" s="6"/>
      <c r="H832" s="6"/>
      <c r="I832" s="6"/>
      <c r="J832" s="6"/>
      <c r="K832" s="6"/>
      <c r="L832" s="6"/>
      <c r="M832" s="6"/>
      <c r="N832" s="6"/>
    </row>
    <row r="833" spans="1:14" ht="19.5" customHeight="1" x14ac:dyDescent="0.25">
      <c r="A833" s="6"/>
      <c r="B833" s="6"/>
      <c r="C833" s="10"/>
      <c r="D833" s="10"/>
      <c r="E833" s="10"/>
      <c r="F833" s="6"/>
      <c r="G833" s="6"/>
      <c r="H833" s="6"/>
      <c r="I833" s="6"/>
      <c r="J833" s="6"/>
      <c r="K833" s="6"/>
      <c r="L833" s="6"/>
      <c r="M833" s="6"/>
      <c r="N833" s="6"/>
    </row>
    <row r="834" spans="1:14" ht="19.5" customHeight="1" x14ac:dyDescent="0.25">
      <c r="A834" s="6"/>
      <c r="B834" s="6"/>
      <c r="C834" s="10"/>
      <c r="D834" s="10"/>
      <c r="E834" s="10"/>
      <c r="F834" s="6"/>
      <c r="G834" s="6"/>
      <c r="H834" s="6"/>
      <c r="I834" s="6"/>
      <c r="J834" s="6"/>
      <c r="K834" s="6"/>
      <c r="L834" s="6"/>
      <c r="M834" s="6"/>
      <c r="N834" s="6"/>
    </row>
    <row r="835" spans="1:14" ht="19.5" customHeight="1" x14ac:dyDescent="0.25">
      <c r="A835" s="6"/>
      <c r="B835" s="6"/>
      <c r="C835" s="10"/>
      <c r="D835" s="10"/>
      <c r="E835" s="10"/>
      <c r="F835" s="6"/>
      <c r="G835" s="6"/>
      <c r="H835" s="6"/>
      <c r="I835" s="6"/>
      <c r="J835" s="6"/>
      <c r="K835" s="6"/>
      <c r="L835" s="6"/>
      <c r="M835" s="6"/>
      <c r="N835" s="6"/>
    </row>
    <row r="836" spans="1:14" ht="19.5" customHeight="1" x14ac:dyDescent="0.25">
      <c r="A836" s="6"/>
      <c r="B836" s="6"/>
      <c r="C836" s="10"/>
      <c r="D836" s="10"/>
      <c r="E836" s="10"/>
      <c r="F836" s="6"/>
      <c r="G836" s="6"/>
      <c r="H836" s="6"/>
      <c r="I836" s="6"/>
      <c r="J836" s="6"/>
      <c r="K836" s="6"/>
      <c r="L836" s="6"/>
      <c r="M836" s="6"/>
      <c r="N836" s="6"/>
    </row>
    <row r="837" spans="1:14" ht="19.5" customHeight="1" x14ac:dyDescent="0.25">
      <c r="A837" s="6"/>
      <c r="B837" s="6"/>
      <c r="C837" s="10"/>
      <c r="D837" s="10"/>
      <c r="E837" s="10"/>
      <c r="F837" s="6"/>
      <c r="G837" s="6"/>
      <c r="H837" s="6"/>
      <c r="I837" s="6"/>
      <c r="J837" s="6"/>
      <c r="K837" s="6"/>
      <c r="L837" s="6"/>
      <c r="M837" s="6"/>
      <c r="N837" s="6"/>
    </row>
    <row r="838" spans="1:14" ht="19.5" customHeight="1" x14ac:dyDescent="0.25">
      <c r="A838" s="6"/>
      <c r="B838" s="6"/>
      <c r="C838" s="10"/>
      <c r="D838" s="10"/>
      <c r="E838" s="10"/>
      <c r="F838" s="6"/>
      <c r="G838" s="6"/>
      <c r="H838" s="6"/>
      <c r="I838" s="6"/>
      <c r="J838" s="6"/>
      <c r="K838" s="6"/>
      <c r="L838" s="6"/>
      <c r="M838" s="6"/>
      <c r="N838" s="6"/>
    </row>
    <row r="839" spans="1:14" ht="19.5" customHeight="1" x14ac:dyDescent="0.25">
      <c r="A839" s="6"/>
      <c r="B839" s="6"/>
      <c r="C839" s="10"/>
      <c r="D839" s="10"/>
      <c r="E839" s="10"/>
      <c r="F839" s="6"/>
      <c r="G839" s="6"/>
      <c r="H839" s="6"/>
      <c r="I839" s="6"/>
      <c r="J839" s="6"/>
      <c r="K839" s="6"/>
      <c r="L839" s="6"/>
      <c r="M839" s="6"/>
      <c r="N839" s="6"/>
    </row>
    <row r="840" spans="1:14" ht="19.5" customHeight="1" x14ac:dyDescent="0.25">
      <c r="A840" s="6"/>
      <c r="B840" s="6"/>
      <c r="C840" s="10"/>
      <c r="D840" s="10"/>
      <c r="E840" s="10"/>
      <c r="F840" s="6"/>
      <c r="G840" s="6"/>
      <c r="H840" s="6"/>
      <c r="I840" s="6"/>
      <c r="J840" s="6"/>
      <c r="K840" s="6"/>
      <c r="L840" s="6"/>
      <c r="M840" s="6"/>
      <c r="N840" s="6"/>
    </row>
    <row r="841" spans="1:14" ht="19.5" customHeight="1" x14ac:dyDescent="0.25">
      <c r="A841" s="6"/>
      <c r="B841" s="6"/>
      <c r="C841" s="10"/>
      <c r="D841" s="10"/>
      <c r="E841" s="10"/>
      <c r="F841" s="6"/>
      <c r="G841" s="6"/>
      <c r="H841" s="6"/>
      <c r="I841" s="6"/>
      <c r="J841" s="6"/>
      <c r="K841" s="6"/>
      <c r="L841" s="6"/>
      <c r="M841" s="6"/>
      <c r="N841" s="6"/>
    </row>
    <row r="842" spans="1:14" ht="19.5" customHeight="1" x14ac:dyDescent="0.25">
      <c r="A842" s="6"/>
      <c r="B842" s="6"/>
      <c r="C842" s="10"/>
      <c r="D842" s="10"/>
      <c r="E842" s="10"/>
      <c r="F842" s="6"/>
      <c r="G842" s="6"/>
      <c r="H842" s="6"/>
      <c r="I842" s="6"/>
      <c r="J842" s="6"/>
      <c r="K842" s="6"/>
      <c r="L842" s="6"/>
      <c r="M842" s="6"/>
      <c r="N842" s="6"/>
    </row>
    <row r="843" spans="1:14" ht="19.5" customHeight="1" x14ac:dyDescent="0.25">
      <c r="A843" s="6"/>
      <c r="B843" s="6"/>
      <c r="C843" s="10"/>
      <c r="D843" s="10"/>
      <c r="E843" s="10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19.5" customHeight="1" x14ac:dyDescent="0.25">
      <c r="A844" s="6"/>
      <c r="B844" s="6"/>
      <c r="C844" s="10"/>
      <c r="D844" s="10"/>
      <c r="E844" s="10"/>
      <c r="F844" s="6"/>
      <c r="G844" s="6"/>
      <c r="H844" s="6"/>
      <c r="I844" s="6"/>
      <c r="J844" s="6"/>
      <c r="K844" s="6"/>
      <c r="L844" s="6"/>
      <c r="M844" s="6"/>
      <c r="N844" s="6"/>
    </row>
    <row r="845" spans="1:14" ht="19.5" customHeight="1" x14ac:dyDescent="0.25">
      <c r="A845" s="6"/>
      <c r="B845" s="6"/>
      <c r="C845" s="10"/>
      <c r="D845" s="10"/>
      <c r="E845" s="10"/>
      <c r="F845" s="6"/>
      <c r="G845" s="6"/>
      <c r="H845" s="6"/>
      <c r="I845" s="6"/>
      <c r="J845" s="6"/>
      <c r="K845" s="6"/>
      <c r="L845" s="6"/>
      <c r="M845" s="6"/>
      <c r="N845" s="6"/>
    </row>
    <row r="846" spans="1:14" ht="19.5" customHeight="1" x14ac:dyDescent="0.25">
      <c r="A846" s="6"/>
      <c r="B846" s="6"/>
      <c r="C846" s="10"/>
      <c r="D846" s="10"/>
      <c r="E846" s="10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19.5" customHeight="1" x14ac:dyDescent="0.25">
      <c r="A847" s="6"/>
      <c r="B847" s="6"/>
      <c r="C847" s="10"/>
      <c r="D847" s="10"/>
      <c r="E847" s="10"/>
      <c r="F847" s="6"/>
      <c r="G847" s="6"/>
      <c r="H847" s="6"/>
      <c r="I847" s="6"/>
      <c r="J847" s="6"/>
      <c r="K847" s="6"/>
      <c r="L847" s="6"/>
      <c r="M847" s="6"/>
      <c r="N847" s="6"/>
    </row>
    <row r="848" spans="1:14" ht="19.5" customHeight="1" x14ac:dyDescent="0.25">
      <c r="A848" s="6"/>
      <c r="B848" s="6"/>
      <c r="C848" s="10"/>
      <c r="D848" s="10"/>
      <c r="E848" s="10"/>
      <c r="F848" s="6"/>
      <c r="G848" s="6"/>
      <c r="H848" s="6"/>
      <c r="I848" s="6"/>
      <c r="J848" s="6"/>
      <c r="K848" s="6"/>
      <c r="L848" s="6"/>
      <c r="M848" s="6"/>
      <c r="N848" s="6"/>
    </row>
    <row r="849" spans="1:14" ht="19.5" customHeight="1" x14ac:dyDescent="0.25">
      <c r="A849" s="6"/>
      <c r="B849" s="6"/>
      <c r="C849" s="10"/>
      <c r="D849" s="10"/>
      <c r="E849" s="10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19.5" customHeight="1" x14ac:dyDescent="0.25">
      <c r="A850" s="6"/>
      <c r="B850" s="6"/>
      <c r="C850" s="10"/>
      <c r="D850" s="10"/>
      <c r="E850" s="10"/>
      <c r="F850" s="6"/>
      <c r="G850" s="6"/>
      <c r="H850" s="6"/>
      <c r="I850" s="6"/>
      <c r="J850" s="6"/>
      <c r="K850" s="6"/>
      <c r="L850" s="6"/>
      <c r="M850" s="6"/>
      <c r="N850" s="6"/>
    </row>
    <row r="851" spans="1:14" ht="19.5" customHeight="1" x14ac:dyDescent="0.25">
      <c r="A851" s="6"/>
      <c r="B851" s="6"/>
      <c r="C851" s="10"/>
      <c r="D851" s="10"/>
      <c r="E851" s="10"/>
      <c r="F851" s="6"/>
      <c r="G851" s="6"/>
      <c r="H851" s="6"/>
      <c r="I851" s="6"/>
      <c r="J851" s="6"/>
      <c r="K851" s="6"/>
      <c r="L851" s="6"/>
      <c r="M851" s="6"/>
      <c r="N851" s="6"/>
    </row>
    <row r="852" spans="1:14" ht="19.5" customHeight="1" x14ac:dyDescent="0.25">
      <c r="A852" s="6"/>
      <c r="B852" s="6"/>
      <c r="C852" s="10"/>
      <c r="D852" s="10"/>
      <c r="E852" s="10"/>
      <c r="F852" s="6"/>
      <c r="G852" s="6"/>
      <c r="H852" s="6"/>
      <c r="I852" s="6"/>
      <c r="J852" s="6"/>
      <c r="K852" s="6"/>
      <c r="L852" s="6"/>
      <c r="M852" s="6"/>
      <c r="N852" s="6"/>
    </row>
    <row r="853" spans="1:14" ht="19.5" customHeight="1" x14ac:dyDescent="0.25">
      <c r="A853" s="6"/>
      <c r="B853" s="6"/>
      <c r="C853" s="10"/>
      <c r="D853" s="10"/>
      <c r="E853" s="10"/>
      <c r="F853" s="6"/>
      <c r="G853" s="6"/>
      <c r="H853" s="6"/>
      <c r="I853" s="6"/>
      <c r="J853" s="6"/>
      <c r="K853" s="6"/>
      <c r="L853" s="6"/>
      <c r="M853" s="6"/>
      <c r="N853" s="6"/>
    </row>
    <row r="854" spans="1:14" ht="19.5" customHeight="1" x14ac:dyDescent="0.25">
      <c r="A854" s="6"/>
      <c r="B854" s="6"/>
      <c r="C854" s="10"/>
      <c r="D854" s="10"/>
      <c r="E854" s="10"/>
      <c r="F854" s="6"/>
      <c r="G854" s="6"/>
      <c r="H854" s="6"/>
      <c r="I854" s="6"/>
      <c r="J854" s="6"/>
      <c r="K854" s="6"/>
      <c r="L854" s="6"/>
      <c r="M854" s="6"/>
      <c r="N854" s="6"/>
    </row>
    <row r="855" spans="1:14" ht="19.5" customHeight="1" x14ac:dyDescent="0.25">
      <c r="A855" s="6"/>
      <c r="B855" s="6"/>
      <c r="C855" s="10"/>
      <c r="D855" s="10"/>
      <c r="E855" s="10"/>
      <c r="F855" s="6"/>
      <c r="G855" s="6"/>
      <c r="H855" s="6"/>
      <c r="I855" s="6"/>
      <c r="J855" s="6"/>
      <c r="K855" s="6"/>
      <c r="L855" s="6"/>
      <c r="M855" s="6"/>
      <c r="N855" s="6"/>
    </row>
    <row r="856" spans="1:14" ht="19.5" customHeight="1" x14ac:dyDescent="0.25">
      <c r="A856" s="6"/>
      <c r="B856" s="6"/>
      <c r="C856" s="10"/>
      <c r="D856" s="10"/>
      <c r="E856" s="10"/>
      <c r="F856" s="6"/>
      <c r="G856" s="6"/>
      <c r="H856" s="6"/>
      <c r="I856" s="6"/>
      <c r="J856" s="6"/>
      <c r="K856" s="6"/>
      <c r="L856" s="6"/>
      <c r="M856" s="6"/>
      <c r="N856" s="6"/>
    </row>
    <row r="857" spans="1:14" ht="19.5" customHeight="1" x14ac:dyDescent="0.25">
      <c r="A857" s="6"/>
      <c r="B857" s="6"/>
      <c r="C857" s="10"/>
      <c r="D857" s="10"/>
      <c r="E857" s="10"/>
      <c r="F857" s="6"/>
      <c r="G857" s="6"/>
      <c r="H857" s="6"/>
      <c r="I857" s="6"/>
      <c r="J857" s="6"/>
      <c r="K857" s="6"/>
      <c r="L857" s="6"/>
      <c r="M857" s="6"/>
      <c r="N857" s="6"/>
    </row>
    <row r="858" spans="1:14" ht="19.5" customHeight="1" x14ac:dyDescent="0.25">
      <c r="A858" s="6"/>
      <c r="B858" s="6"/>
      <c r="C858" s="10"/>
      <c r="D858" s="10"/>
      <c r="E858" s="10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19.5" customHeight="1" x14ac:dyDescent="0.25">
      <c r="A859" s="6"/>
      <c r="B859" s="6"/>
      <c r="C859" s="10"/>
      <c r="D859" s="10"/>
      <c r="E859" s="10"/>
      <c r="F859" s="6"/>
      <c r="G859" s="6"/>
      <c r="H859" s="6"/>
      <c r="I859" s="6"/>
      <c r="J859" s="6"/>
      <c r="K859" s="6"/>
      <c r="L859" s="6"/>
      <c r="M859" s="6"/>
      <c r="N859" s="6"/>
    </row>
    <row r="860" spans="1:14" ht="19.5" customHeight="1" x14ac:dyDescent="0.25">
      <c r="A860" s="6"/>
      <c r="B860" s="6"/>
      <c r="C860" s="10"/>
      <c r="D860" s="10"/>
      <c r="E860" s="10"/>
      <c r="F860" s="6"/>
      <c r="G860" s="6"/>
      <c r="H860" s="6"/>
      <c r="I860" s="6"/>
      <c r="J860" s="6"/>
      <c r="K860" s="6"/>
      <c r="L860" s="6"/>
      <c r="M860" s="6"/>
      <c r="N860" s="6"/>
    </row>
    <row r="861" spans="1:14" ht="19.5" customHeight="1" x14ac:dyDescent="0.25">
      <c r="A861" s="6"/>
      <c r="B861" s="6"/>
      <c r="C861" s="10"/>
      <c r="D861" s="10"/>
      <c r="E861" s="10"/>
      <c r="F861" s="6"/>
      <c r="G861" s="6"/>
      <c r="H861" s="6"/>
      <c r="I861" s="6"/>
      <c r="J861" s="6"/>
      <c r="K861" s="6"/>
      <c r="L861" s="6"/>
      <c r="M861" s="6"/>
      <c r="N861" s="6"/>
    </row>
    <row r="862" spans="1:14" ht="19.5" customHeight="1" x14ac:dyDescent="0.25">
      <c r="A862" s="6"/>
      <c r="B862" s="6"/>
      <c r="C862" s="10"/>
      <c r="D862" s="10"/>
      <c r="E862" s="10"/>
      <c r="F862" s="6"/>
      <c r="G862" s="6"/>
      <c r="H862" s="6"/>
      <c r="I862" s="6"/>
      <c r="J862" s="6"/>
      <c r="K862" s="6"/>
      <c r="L862" s="6"/>
      <c r="M862" s="6"/>
      <c r="N862" s="6"/>
    </row>
    <row r="863" spans="1:14" ht="19.5" customHeight="1" x14ac:dyDescent="0.25">
      <c r="A863" s="6"/>
      <c r="B863" s="6"/>
      <c r="C863" s="10"/>
      <c r="D863" s="10"/>
      <c r="E863" s="10"/>
      <c r="F863" s="6"/>
      <c r="G863" s="6"/>
      <c r="H863" s="6"/>
      <c r="I863" s="6"/>
      <c r="J863" s="6"/>
      <c r="K863" s="6"/>
      <c r="L863" s="6"/>
      <c r="M863" s="6"/>
      <c r="N863" s="6"/>
    </row>
    <row r="864" spans="1:14" ht="19.5" customHeight="1" x14ac:dyDescent="0.25">
      <c r="A864" s="6"/>
      <c r="B864" s="6"/>
      <c r="C864" s="10"/>
      <c r="D864" s="10"/>
      <c r="E864" s="10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19.5" customHeight="1" x14ac:dyDescent="0.25">
      <c r="A865" s="6"/>
      <c r="B865" s="6"/>
      <c r="C865" s="10"/>
      <c r="D865" s="10"/>
      <c r="E865" s="10"/>
      <c r="F865" s="6"/>
      <c r="G865" s="6"/>
      <c r="H865" s="6"/>
      <c r="I865" s="6"/>
      <c r="J865" s="6"/>
      <c r="K865" s="6"/>
      <c r="L865" s="6"/>
      <c r="M865" s="6"/>
      <c r="N865" s="6"/>
    </row>
    <row r="866" spans="1:14" ht="19.5" customHeight="1" x14ac:dyDescent="0.25">
      <c r="A866" s="6"/>
      <c r="B866" s="6"/>
      <c r="C866" s="10"/>
      <c r="D866" s="10"/>
      <c r="E866" s="10"/>
      <c r="F866" s="6"/>
      <c r="G866" s="6"/>
      <c r="H866" s="6"/>
      <c r="I866" s="6"/>
      <c r="J866" s="6"/>
      <c r="K866" s="6"/>
      <c r="L866" s="6"/>
      <c r="M866" s="6"/>
      <c r="N866" s="6"/>
    </row>
    <row r="867" spans="1:14" ht="19.5" customHeight="1" x14ac:dyDescent="0.25">
      <c r="A867" s="6"/>
      <c r="B867" s="6"/>
      <c r="C867" s="10"/>
      <c r="D867" s="10"/>
      <c r="E867" s="10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19.5" customHeight="1" x14ac:dyDescent="0.25">
      <c r="A868" s="6"/>
      <c r="B868" s="6"/>
      <c r="C868" s="10"/>
      <c r="D868" s="10"/>
      <c r="E868" s="10"/>
      <c r="F868" s="6"/>
      <c r="G868" s="6"/>
      <c r="H868" s="6"/>
      <c r="I868" s="6"/>
      <c r="J868" s="6"/>
      <c r="K868" s="6"/>
      <c r="L868" s="6"/>
      <c r="M868" s="6"/>
      <c r="N868" s="6"/>
    </row>
    <row r="869" spans="1:14" ht="19.5" customHeight="1" x14ac:dyDescent="0.25">
      <c r="A869" s="6"/>
      <c r="B869" s="6"/>
      <c r="C869" s="10"/>
      <c r="D869" s="10"/>
      <c r="E869" s="10"/>
      <c r="F869" s="6"/>
      <c r="G869" s="6"/>
      <c r="H869" s="6"/>
      <c r="I869" s="6"/>
      <c r="J869" s="6"/>
      <c r="K869" s="6"/>
      <c r="L869" s="6"/>
      <c r="M869" s="6"/>
      <c r="N869" s="6"/>
    </row>
    <row r="870" spans="1:14" ht="19.5" customHeight="1" x14ac:dyDescent="0.25">
      <c r="A870" s="6"/>
      <c r="B870" s="6"/>
      <c r="C870" s="10"/>
      <c r="D870" s="10"/>
      <c r="E870" s="10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19.5" customHeight="1" x14ac:dyDescent="0.25">
      <c r="A871" s="6"/>
      <c r="B871" s="6"/>
      <c r="C871" s="10"/>
      <c r="D871" s="10"/>
      <c r="E871" s="10"/>
      <c r="F871" s="6"/>
      <c r="G871" s="6"/>
      <c r="H871" s="6"/>
      <c r="I871" s="6"/>
      <c r="J871" s="6"/>
      <c r="K871" s="6"/>
      <c r="L871" s="6"/>
      <c r="M871" s="6"/>
      <c r="N871" s="6"/>
    </row>
    <row r="872" spans="1:14" ht="19.5" customHeight="1" x14ac:dyDescent="0.25">
      <c r="A872" s="6"/>
      <c r="B872" s="6"/>
      <c r="C872" s="10"/>
      <c r="D872" s="10"/>
      <c r="E872" s="10"/>
      <c r="F872" s="6"/>
      <c r="G872" s="6"/>
      <c r="H872" s="6"/>
      <c r="I872" s="6"/>
      <c r="J872" s="6"/>
      <c r="K872" s="6"/>
      <c r="L872" s="6"/>
      <c r="M872" s="6"/>
      <c r="N872" s="6"/>
    </row>
    <row r="873" spans="1:14" ht="19.5" customHeight="1" x14ac:dyDescent="0.25">
      <c r="A873" s="6"/>
      <c r="B873" s="6"/>
      <c r="C873" s="10"/>
      <c r="D873" s="10"/>
      <c r="E873" s="10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19.5" customHeight="1" x14ac:dyDescent="0.25">
      <c r="A874" s="6"/>
      <c r="B874" s="6"/>
      <c r="C874" s="10"/>
      <c r="D874" s="10"/>
      <c r="E874" s="10"/>
      <c r="F874" s="6"/>
      <c r="G874" s="6"/>
      <c r="H874" s="6"/>
      <c r="I874" s="6"/>
      <c r="J874" s="6"/>
      <c r="K874" s="6"/>
      <c r="L874" s="6"/>
      <c r="M874" s="6"/>
      <c r="N874" s="6"/>
    </row>
    <row r="875" spans="1:14" ht="19.5" customHeight="1" x14ac:dyDescent="0.25">
      <c r="A875" s="6"/>
      <c r="B875" s="6"/>
      <c r="C875" s="10"/>
      <c r="D875" s="10"/>
      <c r="E875" s="10"/>
      <c r="F875" s="6"/>
      <c r="G875" s="6"/>
      <c r="H875" s="6"/>
      <c r="I875" s="6"/>
      <c r="J875" s="6"/>
      <c r="K875" s="6"/>
      <c r="L875" s="6"/>
      <c r="M875" s="6"/>
      <c r="N875" s="6"/>
    </row>
    <row r="876" spans="1:14" ht="19.5" customHeight="1" x14ac:dyDescent="0.25">
      <c r="A876" s="6"/>
      <c r="B876" s="6"/>
      <c r="C876" s="10"/>
      <c r="D876" s="10"/>
      <c r="E876" s="10"/>
      <c r="F876" s="6"/>
      <c r="G876" s="6"/>
      <c r="H876" s="6"/>
      <c r="I876" s="6"/>
      <c r="J876" s="6"/>
      <c r="K876" s="6"/>
      <c r="L876" s="6"/>
      <c r="M876" s="6"/>
      <c r="N876" s="6"/>
    </row>
    <row r="877" spans="1:14" ht="19.5" customHeight="1" x14ac:dyDescent="0.25">
      <c r="A877" s="6"/>
      <c r="B877" s="6"/>
      <c r="C877" s="10"/>
      <c r="D877" s="10"/>
      <c r="E877" s="10"/>
      <c r="F877" s="6"/>
      <c r="G877" s="6"/>
      <c r="H877" s="6"/>
      <c r="I877" s="6"/>
      <c r="J877" s="6"/>
      <c r="K877" s="6"/>
      <c r="L877" s="6"/>
      <c r="M877" s="6"/>
      <c r="N877" s="6"/>
    </row>
    <row r="878" spans="1:14" ht="19.5" customHeight="1" x14ac:dyDescent="0.25">
      <c r="A878" s="6"/>
      <c r="B878" s="6"/>
      <c r="C878" s="10"/>
      <c r="D878" s="10"/>
      <c r="E878" s="10"/>
      <c r="F878" s="6"/>
      <c r="G878" s="6"/>
      <c r="H878" s="6"/>
      <c r="I878" s="6"/>
      <c r="J878" s="6"/>
      <c r="K878" s="6"/>
      <c r="L878" s="6"/>
      <c r="M878" s="6"/>
      <c r="N878" s="6"/>
    </row>
    <row r="879" spans="1:14" ht="19.5" customHeight="1" x14ac:dyDescent="0.25">
      <c r="A879" s="6"/>
      <c r="B879" s="6"/>
      <c r="C879" s="10"/>
      <c r="D879" s="10"/>
      <c r="E879" s="10"/>
      <c r="F879" s="6"/>
      <c r="G879" s="6"/>
      <c r="H879" s="6"/>
      <c r="I879" s="6"/>
      <c r="J879" s="6"/>
      <c r="K879" s="6"/>
      <c r="L879" s="6"/>
      <c r="M879" s="6"/>
      <c r="N879" s="6"/>
    </row>
    <row r="880" spans="1:14" ht="19.5" customHeight="1" x14ac:dyDescent="0.25">
      <c r="A880" s="6"/>
      <c r="B880" s="6"/>
      <c r="C880" s="10"/>
      <c r="D880" s="10"/>
      <c r="E880" s="10"/>
      <c r="F880" s="6"/>
      <c r="G880" s="6"/>
      <c r="H880" s="6"/>
      <c r="I880" s="6"/>
      <c r="J880" s="6"/>
      <c r="K880" s="6"/>
      <c r="L880" s="6"/>
      <c r="M880" s="6"/>
      <c r="N880" s="6"/>
    </row>
    <row r="881" spans="1:14" ht="19.5" customHeight="1" x14ac:dyDescent="0.25">
      <c r="A881" s="6"/>
      <c r="B881" s="6"/>
      <c r="C881" s="10"/>
      <c r="D881" s="10"/>
      <c r="E881" s="10"/>
      <c r="F881" s="6"/>
      <c r="G881" s="6"/>
      <c r="H881" s="6"/>
      <c r="I881" s="6"/>
      <c r="J881" s="6"/>
      <c r="K881" s="6"/>
      <c r="L881" s="6"/>
      <c r="M881" s="6"/>
      <c r="N881" s="6"/>
    </row>
    <row r="882" spans="1:14" ht="19.5" customHeight="1" x14ac:dyDescent="0.25">
      <c r="A882" s="6"/>
      <c r="B882" s="6"/>
      <c r="C882" s="10"/>
      <c r="D882" s="10"/>
      <c r="E882" s="10"/>
      <c r="F882" s="6"/>
      <c r="G882" s="6"/>
      <c r="H882" s="6"/>
      <c r="I882" s="6"/>
      <c r="J882" s="6"/>
      <c r="K882" s="6"/>
      <c r="L882" s="6"/>
      <c r="M882" s="6"/>
      <c r="N882" s="6"/>
    </row>
    <row r="883" spans="1:14" ht="19.5" customHeight="1" x14ac:dyDescent="0.25">
      <c r="A883" s="6"/>
      <c r="B883" s="6"/>
      <c r="C883" s="10"/>
      <c r="D883" s="10"/>
      <c r="E883" s="10"/>
      <c r="F883" s="6"/>
      <c r="G883" s="6"/>
      <c r="H883" s="6"/>
      <c r="I883" s="6"/>
      <c r="J883" s="6"/>
      <c r="K883" s="6"/>
      <c r="L883" s="6"/>
      <c r="M883" s="6"/>
      <c r="N883" s="6"/>
    </row>
    <row r="884" spans="1:14" ht="19.5" customHeight="1" x14ac:dyDescent="0.25">
      <c r="A884" s="6"/>
      <c r="B884" s="6"/>
      <c r="C884" s="10"/>
      <c r="D884" s="10"/>
      <c r="E884" s="10"/>
      <c r="F884" s="6"/>
      <c r="G884" s="6"/>
      <c r="H884" s="6"/>
      <c r="I884" s="6"/>
      <c r="J884" s="6"/>
      <c r="K884" s="6"/>
      <c r="L884" s="6"/>
      <c r="M884" s="6"/>
      <c r="N884" s="6"/>
    </row>
    <row r="885" spans="1:14" ht="19.5" customHeight="1" x14ac:dyDescent="0.25">
      <c r="A885" s="6"/>
      <c r="B885" s="6"/>
      <c r="C885" s="10"/>
      <c r="D885" s="10"/>
      <c r="E885" s="10"/>
      <c r="F885" s="6"/>
      <c r="G885" s="6"/>
      <c r="H885" s="6"/>
      <c r="I885" s="6"/>
      <c r="J885" s="6"/>
      <c r="K885" s="6"/>
      <c r="L885" s="6"/>
      <c r="M885" s="6"/>
      <c r="N885" s="6"/>
    </row>
    <row r="886" spans="1:14" ht="19.5" customHeight="1" x14ac:dyDescent="0.25">
      <c r="A886" s="6"/>
      <c r="B886" s="6"/>
      <c r="C886" s="10"/>
      <c r="D886" s="10"/>
      <c r="E886" s="10"/>
      <c r="F886" s="6"/>
      <c r="G886" s="6"/>
      <c r="H886" s="6"/>
      <c r="I886" s="6"/>
      <c r="J886" s="6"/>
      <c r="K886" s="6"/>
      <c r="L886" s="6"/>
      <c r="M886" s="6"/>
      <c r="N886" s="6"/>
    </row>
    <row r="887" spans="1:14" ht="19.5" customHeight="1" x14ac:dyDescent="0.25">
      <c r="A887" s="6"/>
      <c r="B887" s="6"/>
      <c r="C887" s="10"/>
      <c r="D887" s="10"/>
      <c r="E887" s="10"/>
      <c r="F887" s="6"/>
      <c r="G887" s="6"/>
      <c r="H887" s="6"/>
      <c r="I887" s="6"/>
      <c r="J887" s="6"/>
      <c r="K887" s="6"/>
      <c r="L887" s="6"/>
      <c r="M887" s="6"/>
      <c r="N887" s="6"/>
    </row>
    <row r="888" spans="1:14" ht="19.5" customHeight="1" x14ac:dyDescent="0.25">
      <c r="A888" s="6"/>
      <c r="B888" s="6"/>
      <c r="C888" s="10"/>
      <c r="D888" s="10"/>
      <c r="E888" s="10"/>
      <c r="F888" s="6"/>
      <c r="G888" s="6"/>
      <c r="H888" s="6"/>
      <c r="I888" s="6"/>
      <c r="J888" s="6"/>
      <c r="K888" s="6"/>
      <c r="L888" s="6"/>
      <c r="M888" s="6"/>
      <c r="N888" s="6"/>
    </row>
    <row r="889" spans="1:14" ht="19.5" customHeight="1" x14ac:dyDescent="0.25">
      <c r="A889" s="6"/>
      <c r="B889" s="6"/>
      <c r="C889" s="10"/>
      <c r="D889" s="10"/>
      <c r="E889" s="10"/>
      <c r="F889" s="6"/>
      <c r="G889" s="6"/>
      <c r="H889" s="6"/>
      <c r="I889" s="6"/>
      <c r="J889" s="6"/>
      <c r="K889" s="6"/>
      <c r="L889" s="6"/>
      <c r="M889" s="6"/>
      <c r="N889" s="6"/>
    </row>
    <row r="890" spans="1:14" ht="19.5" customHeight="1" x14ac:dyDescent="0.25">
      <c r="A890" s="6"/>
      <c r="B890" s="6"/>
      <c r="C890" s="10"/>
      <c r="D890" s="10"/>
      <c r="E890" s="10"/>
      <c r="F890" s="6"/>
      <c r="G890" s="6"/>
      <c r="H890" s="6"/>
      <c r="I890" s="6"/>
      <c r="J890" s="6"/>
      <c r="K890" s="6"/>
      <c r="L890" s="6"/>
      <c r="M890" s="6"/>
      <c r="N890" s="6"/>
    </row>
    <row r="891" spans="1:14" ht="19.5" customHeight="1" x14ac:dyDescent="0.25">
      <c r="A891" s="6"/>
      <c r="B891" s="6"/>
      <c r="C891" s="10"/>
      <c r="D891" s="10"/>
      <c r="E891" s="10"/>
      <c r="F891" s="6"/>
      <c r="G891" s="6"/>
      <c r="H891" s="6"/>
      <c r="I891" s="6"/>
      <c r="J891" s="6"/>
      <c r="K891" s="6"/>
      <c r="L891" s="6"/>
      <c r="M891" s="6"/>
      <c r="N891" s="6"/>
    </row>
    <row r="892" spans="1:14" ht="19.5" customHeight="1" x14ac:dyDescent="0.25">
      <c r="A892" s="6"/>
      <c r="B892" s="6"/>
      <c r="C892" s="10"/>
      <c r="D892" s="10"/>
      <c r="E892" s="10"/>
      <c r="F892" s="6"/>
      <c r="G892" s="6"/>
      <c r="H892" s="6"/>
      <c r="I892" s="6"/>
      <c r="J892" s="6"/>
      <c r="K892" s="6"/>
      <c r="L892" s="6"/>
      <c r="M892" s="6"/>
      <c r="N892" s="6"/>
    </row>
    <row r="893" spans="1:14" ht="19.5" customHeight="1" x14ac:dyDescent="0.25">
      <c r="A893" s="6"/>
      <c r="B893" s="6"/>
      <c r="C893" s="10"/>
      <c r="D893" s="10"/>
      <c r="E893" s="10"/>
      <c r="F893" s="6"/>
      <c r="G893" s="6"/>
      <c r="H893" s="6"/>
      <c r="I893" s="6"/>
      <c r="J893" s="6"/>
      <c r="K893" s="6"/>
      <c r="L893" s="6"/>
      <c r="M893" s="6"/>
      <c r="N893" s="6"/>
    </row>
    <row r="894" spans="1:14" ht="19.5" customHeight="1" x14ac:dyDescent="0.25">
      <c r="A894" s="6"/>
      <c r="B894" s="6"/>
      <c r="C894" s="10"/>
      <c r="D894" s="10"/>
      <c r="E894" s="10"/>
      <c r="F894" s="6"/>
      <c r="G894" s="6"/>
      <c r="H894" s="6"/>
      <c r="I894" s="6"/>
      <c r="J894" s="6"/>
      <c r="K894" s="6"/>
      <c r="L894" s="6"/>
      <c r="M894" s="6"/>
      <c r="N894" s="6"/>
    </row>
    <row r="895" spans="1:14" ht="19.5" customHeight="1" x14ac:dyDescent="0.25">
      <c r="A895" s="6"/>
      <c r="B895" s="6"/>
      <c r="C895" s="10"/>
      <c r="D895" s="10"/>
      <c r="E895" s="10"/>
      <c r="F895" s="6"/>
      <c r="G895" s="6"/>
      <c r="H895" s="6"/>
      <c r="I895" s="6"/>
      <c r="J895" s="6"/>
      <c r="K895" s="6"/>
      <c r="L895" s="6"/>
      <c r="M895" s="6"/>
      <c r="N895" s="6"/>
    </row>
    <row r="896" spans="1:14" ht="19.5" customHeight="1" x14ac:dyDescent="0.25">
      <c r="A896" s="6"/>
      <c r="B896" s="6"/>
      <c r="C896" s="10"/>
      <c r="D896" s="10"/>
      <c r="E896" s="10"/>
      <c r="F896" s="6"/>
      <c r="G896" s="6"/>
      <c r="H896" s="6"/>
      <c r="I896" s="6"/>
      <c r="J896" s="6"/>
      <c r="K896" s="6"/>
      <c r="L896" s="6"/>
      <c r="M896" s="6"/>
      <c r="N896" s="6"/>
    </row>
    <row r="897" spans="1:14" ht="19.5" customHeight="1" x14ac:dyDescent="0.25">
      <c r="A897" s="6"/>
      <c r="B897" s="6"/>
      <c r="C897" s="10"/>
      <c r="D897" s="10"/>
      <c r="E897" s="10"/>
      <c r="F897" s="6"/>
      <c r="G897" s="6"/>
      <c r="H897" s="6"/>
      <c r="I897" s="6"/>
      <c r="J897" s="6"/>
      <c r="K897" s="6"/>
      <c r="L897" s="6"/>
      <c r="M897" s="6"/>
      <c r="N897" s="6"/>
    </row>
    <row r="898" spans="1:14" ht="19.5" customHeight="1" x14ac:dyDescent="0.25">
      <c r="A898" s="6"/>
      <c r="B898" s="6"/>
      <c r="C898" s="10"/>
      <c r="D898" s="10"/>
      <c r="E898" s="10"/>
      <c r="F898" s="6"/>
      <c r="G898" s="6"/>
      <c r="H898" s="6"/>
      <c r="I898" s="6"/>
      <c r="J898" s="6"/>
      <c r="K898" s="6"/>
      <c r="L898" s="6"/>
      <c r="M898" s="6"/>
      <c r="N898" s="6"/>
    </row>
    <row r="899" spans="1:14" ht="19.5" customHeight="1" x14ac:dyDescent="0.25">
      <c r="A899" s="6"/>
      <c r="B899" s="6"/>
      <c r="C899" s="10"/>
      <c r="D899" s="10"/>
      <c r="E899" s="10"/>
      <c r="F899" s="6"/>
      <c r="G899" s="6"/>
      <c r="H899" s="6"/>
      <c r="I899" s="6"/>
      <c r="J899" s="6"/>
      <c r="K899" s="6"/>
      <c r="L899" s="6"/>
      <c r="M899" s="6"/>
      <c r="N899" s="6"/>
    </row>
    <row r="900" spans="1:14" ht="19.5" customHeight="1" x14ac:dyDescent="0.25">
      <c r="A900" s="6"/>
      <c r="B900" s="6"/>
      <c r="C900" s="10"/>
      <c r="D900" s="10"/>
      <c r="E900" s="10"/>
      <c r="F900" s="6"/>
      <c r="G900" s="6"/>
      <c r="H900" s="6"/>
      <c r="I900" s="6"/>
      <c r="J900" s="6"/>
      <c r="K900" s="6"/>
      <c r="L900" s="6"/>
      <c r="M900" s="6"/>
      <c r="N900" s="6"/>
    </row>
    <row r="901" spans="1:14" ht="19.5" customHeight="1" x14ac:dyDescent="0.25">
      <c r="A901" s="6"/>
      <c r="B901" s="6"/>
      <c r="C901" s="10"/>
      <c r="D901" s="10"/>
      <c r="E901" s="10"/>
      <c r="F901" s="6"/>
      <c r="G901" s="6"/>
      <c r="H901" s="6"/>
      <c r="I901" s="6"/>
      <c r="J901" s="6"/>
      <c r="K901" s="6"/>
      <c r="L901" s="6"/>
      <c r="M901" s="6"/>
      <c r="N901" s="6"/>
    </row>
    <row r="902" spans="1:14" ht="19.5" customHeight="1" x14ac:dyDescent="0.25">
      <c r="A902" s="6"/>
      <c r="B902" s="6"/>
      <c r="C902" s="10"/>
      <c r="D902" s="10"/>
      <c r="E902" s="10"/>
      <c r="F902" s="6"/>
      <c r="G902" s="6"/>
      <c r="H902" s="6"/>
      <c r="I902" s="6"/>
      <c r="J902" s="6"/>
      <c r="K902" s="6"/>
      <c r="L902" s="6"/>
      <c r="M902" s="6"/>
      <c r="N902" s="6"/>
    </row>
    <row r="903" spans="1:14" ht="19.5" customHeight="1" x14ac:dyDescent="0.25">
      <c r="A903" s="6"/>
      <c r="B903" s="6"/>
      <c r="C903" s="10"/>
      <c r="D903" s="10"/>
      <c r="E903" s="10"/>
      <c r="F903" s="6"/>
      <c r="G903" s="6"/>
      <c r="H903" s="6"/>
      <c r="I903" s="6"/>
      <c r="J903" s="6"/>
      <c r="K903" s="6"/>
      <c r="L903" s="6"/>
      <c r="M903" s="6"/>
      <c r="N903" s="6"/>
    </row>
    <row r="904" spans="1:14" ht="19.5" customHeight="1" x14ac:dyDescent="0.25">
      <c r="A904" s="6"/>
      <c r="B904" s="6"/>
      <c r="C904" s="10"/>
      <c r="D904" s="10"/>
      <c r="E904" s="10"/>
      <c r="F904" s="6"/>
      <c r="G904" s="6"/>
      <c r="H904" s="6"/>
      <c r="I904" s="6"/>
      <c r="J904" s="6"/>
      <c r="K904" s="6"/>
      <c r="L904" s="6"/>
      <c r="M904" s="6"/>
      <c r="N904" s="6"/>
    </row>
    <row r="905" spans="1:14" ht="19.5" customHeight="1" x14ac:dyDescent="0.25">
      <c r="A905" s="6"/>
      <c r="B905" s="6"/>
      <c r="C905" s="10"/>
      <c r="D905" s="10"/>
      <c r="E905" s="10"/>
      <c r="F905" s="6"/>
      <c r="G905" s="6"/>
      <c r="H905" s="6"/>
      <c r="I905" s="6"/>
      <c r="J905" s="6"/>
      <c r="K905" s="6"/>
      <c r="L905" s="6"/>
      <c r="M905" s="6"/>
      <c r="N905" s="6"/>
    </row>
    <row r="906" spans="1:14" ht="19.5" customHeight="1" x14ac:dyDescent="0.25">
      <c r="A906" s="6"/>
      <c r="B906" s="6"/>
      <c r="C906" s="10"/>
      <c r="D906" s="10"/>
      <c r="E906" s="10"/>
      <c r="F906" s="6"/>
      <c r="G906" s="6"/>
      <c r="H906" s="6"/>
      <c r="I906" s="6"/>
      <c r="J906" s="6"/>
      <c r="K906" s="6"/>
      <c r="L906" s="6"/>
      <c r="M906" s="6"/>
      <c r="N906" s="6"/>
    </row>
    <row r="907" spans="1:14" ht="19.5" customHeight="1" x14ac:dyDescent="0.25">
      <c r="A907" s="6"/>
      <c r="B907" s="6"/>
      <c r="C907" s="10"/>
      <c r="D907" s="10"/>
      <c r="E907" s="10"/>
      <c r="F907" s="6"/>
      <c r="G907" s="6"/>
      <c r="H907" s="6"/>
      <c r="I907" s="6"/>
      <c r="J907" s="6"/>
      <c r="K907" s="6"/>
      <c r="L907" s="6"/>
      <c r="M907" s="6"/>
      <c r="N907" s="6"/>
    </row>
    <row r="908" spans="1:14" ht="19.5" customHeight="1" x14ac:dyDescent="0.25">
      <c r="A908" s="6"/>
      <c r="B908" s="6"/>
      <c r="C908" s="10"/>
      <c r="D908" s="10"/>
      <c r="E908" s="10"/>
      <c r="F908" s="6"/>
      <c r="G908" s="6"/>
      <c r="H908" s="6"/>
      <c r="I908" s="6"/>
      <c r="J908" s="6"/>
      <c r="K908" s="6"/>
      <c r="L908" s="6"/>
      <c r="M908" s="6"/>
      <c r="N908" s="6"/>
    </row>
    <row r="909" spans="1:14" ht="19.5" customHeight="1" x14ac:dyDescent="0.25">
      <c r="A909" s="6"/>
      <c r="B909" s="6"/>
      <c r="C909" s="10"/>
      <c r="D909" s="10"/>
      <c r="E909" s="10"/>
      <c r="F909" s="6"/>
      <c r="G909" s="6"/>
      <c r="H909" s="6"/>
      <c r="I909" s="6"/>
      <c r="J909" s="6"/>
      <c r="K909" s="6"/>
      <c r="L909" s="6"/>
      <c r="M909" s="6"/>
      <c r="N909" s="6"/>
    </row>
    <row r="910" spans="1:14" ht="19.5" customHeight="1" x14ac:dyDescent="0.25">
      <c r="A910" s="6"/>
      <c r="B910" s="6"/>
      <c r="C910" s="10"/>
      <c r="D910" s="10"/>
      <c r="E910" s="10"/>
      <c r="F910" s="6"/>
      <c r="G910" s="6"/>
      <c r="H910" s="6"/>
      <c r="I910" s="6"/>
      <c r="J910" s="6"/>
      <c r="K910" s="6"/>
      <c r="L910" s="6"/>
      <c r="M910" s="6"/>
      <c r="N910" s="6"/>
    </row>
    <row r="911" spans="1:14" ht="19.5" customHeight="1" x14ac:dyDescent="0.25">
      <c r="A911" s="6"/>
      <c r="B911" s="6"/>
      <c r="C911" s="10"/>
      <c r="D911" s="10"/>
      <c r="E911" s="10"/>
      <c r="F911" s="6"/>
      <c r="G911" s="6"/>
      <c r="H911" s="6"/>
      <c r="I911" s="6"/>
      <c r="J911" s="6"/>
      <c r="K911" s="6"/>
      <c r="L911" s="6"/>
      <c r="M911" s="6"/>
      <c r="N911" s="6"/>
    </row>
    <row r="912" spans="1:14" ht="19.5" customHeight="1" x14ac:dyDescent="0.25">
      <c r="A912" s="6"/>
      <c r="B912" s="6"/>
      <c r="C912" s="10"/>
      <c r="D912" s="10"/>
      <c r="E912" s="10"/>
      <c r="F912" s="6"/>
      <c r="G912" s="6"/>
      <c r="H912" s="6"/>
      <c r="I912" s="6"/>
      <c r="J912" s="6"/>
      <c r="K912" s="6"/>
      <c r="L912" s="6"/>
      <c r="M912" s="6"/>
      <c r="N912" s="6"/>
    </row>
    <row r="913" spans="1:14" ht="19.5" customHeight="1" x14ac:dyDescent="0.25">
      <c r="A913" s="6"/>
      <c r="B913" s="6"/>
      <c r="C913" s="10"/>
      <c r="D913" s="10"/>
      <c r="E913" s="10"/>
      <c r="F913" s="6"/>
      <c r="G913" s="6"/>
      <c r="H913" s="6"/>
      <c r="I913" s="6"/>
      <c r="J913" s="6"/>
      <c r="K913" s="6"/>
      <c r="L913" s="6"/>
      <c r="M913" s="6"/>
      <c r="N913" s="6"/>
    </row>
    <row r="914" spans="1:14" ht="19.5" customHeight="1" x14ac:dyDescent="0.25">
      <c r="A914" s="6"/>
      <c r="B914" s="6"/>
      <c r="C914" s="10"/>
      <c r="D914" s="10"/>
      <c r="E914" s="10"/>
      <c r="F914" s="6"/>
      <c r="G914" s="6"/>
      <c r="H914" s="6"/>
      <c r="I914" s="6"/>
      <c r="J914" s="6"/>
      <c r="K914" s="6"/>
      <c r="L914" s="6"/>
      <c r="M914" s="6"/>
      <c r="N914" s="6"/>
    </row>
    <row r="915" spans="1:14" ht="19.5" customHeight="1" x14ac:dyDescent="0.25">
      <c r="A915" s="6"/>
      <c r="B915" s="6"/>
      <c r="C915" s="10"/>
      <c r="D915" s="10"/>
      <c r="E915" s="10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19.5" customHeight="1" x14ac:dyDescent="0.25">
      <c r="A916" s="6"/>
      <c r="B916" s="6"/>
      <c r="C916" s="10"/>
      <c r="D916" s="10"/>
      <c r="E916" s="10"/>
      <c r="F916" s="6"/>
      <c r="G916" s="6"/>
      <c r="H916" s="6"/>
      <c r="I916" s="6"/>
      <c r="J916" s="6"/>
      <c r="K916" s="6"/>
      <c r="L916" s="6"/>
      <c r="M916" s="6"/>
      <c r="N916" s="6"/>
    </row>
    <row r="917" spans="1:14" ht="19.5" customHeight="1" x14ac:dyDescent="0.25">
      <c r="A917" s="6"/>
      <c r="B917" s="6"/>
      <c r="C917" s="10"/>
      <c r="D917" s="10"/>
      <c r="E917" s="10"/>
      <c r="F917" s="6"/>
      <c r="G917" s="6"/>
      <c r="H917" s="6"/>
      <c r="I917" s="6"/>
      <c r="J917" s="6"/>
      <c r="K917" s="6"/>
      <c r="L917" s="6"/>
      <c r="M917" s="6"/>
      <c r="N917" s="6"/>
    </row>
    <row r="918" spans="1:14" ht="19.5" customHeight="1" x14ac:dyDescent="0.25">
      <c r="A918" s="6"/>
      <c r="B918" s="6"/>
      <c r="C918" s="10"/>
      <c r="D918" s="10"/>
      <c r="E918" s="10"/>
      <c r="F918" s="6"/>
      <c r="G918" s="6"/>
      <c r="H918" s="6"/>
      <c r="I918" s="6"/>
      <c r="J918" s="6"/>
      <c r="K918" s="6"/>
      <c r="L918" s="6"/>
      <c r="M918" s="6"/>
      <c r="N918" s="6"/>
    </row>
    <row r="919" spans="1:14" ht="19.5" customHeight="1" x14ac:dyDescent="0.25">
      <c r="A919" s="6"/>
      <c r="B919" s="6"/>
      <c r="C919" s="10"/>
      <c r="D919" s="10"/>
      <c r="E919" s="10"/>
      <c r="F919" s="6"/>
      <c r="G919" s="6"/>
      <c r="H919" s="6"/>
      <c r="I919" s="6"/>
      <c r="J919" s="6"/>
      <c r="K919" s="6"/>
      <c r="L919" s="6"/>
      <c r="M919" s="6"/>
      <c r="N919" s="6"/>
    </row>
    <row r="920" spans="1:14" ht="19.5" customHeight="1" x14ac:dyDescent="0.25">
      <c r="A920" s="6"/>
      <c r="B920" s="6"/>
      <c r="C920" s="10"/>
      <c r="D920" s="10"/>
      <c r="E920" s="10"/>
      <c r="F920" s="6"/>
      <c r="G920" s="6"/>
      <c r="H920" s="6"/>
      <c r="I920" s="6"/>
      <c r="J920" s="6"/>
      <c r="K920" s="6"/>
      <c r="L920" s="6"/>
      <c r="M920" s="6"/>
      <c r="N920" s="6"/>
    </row>
    <row r="921" spans="1:14" ht="19.5" customHeight="1" x14ac:dyDescent="0.25">
      <c r="A921" s="6"/>
      <c r="B921" s="6"/>
      <c r="C921" s="10"/>
      <c r="D921" s="10"/>
      <c r="E921" s="10"/>
      <c r="F921" s="6"/>
      <c r="G921" s="6"/>
      <c r="H921" s="6"/>
      <c r="I921" s="6"/>
      <c r="J921" s="6"/>
      <c r="K921" s="6"/>
      <c r="L921" s="6"/>
      <c r="M921" s="6"/>
      <c r="N921" s="6"/>
    </row>
    <row r="922" spans="1:14" ht="19.5" customHeight="1" x14ac:dyDescent="0.25">
      <c r="A922" s="6"/>
      <c r="B922" s="6"/>
      <c r="C922" s="10"/>
      <c r="D922" s="10"/>
      <c r="E922" s="10"/>
      <c r="F922" s="6"/>
      <c r="G922" s="6"/>
      <c r="H922" s="6"/>
      <c r="I922" s="6"/>
      <c r="J922" s="6"/>
      <c r="K922" s="6"/>
      <c r="L922" s="6"/>
      <c r="M922" s="6"/>
      <c r="N922" s="6"/>
    </row>
    <row r="923" spans="1:14" ht="19.5" customHeight="1" x14ac:dyDescent="0.25">
      <c r="A923" s="6"/>
      <c r="B923" s="6"/>
      <c r="C923" s="10"/>
      <c r="D923" s="10"/>
      <c r="E923" s="10"/>
      <c r="F923" s="6"/>
      <c r="G923" s="6"/>
      <c r="H923" s="6"/>
      <c r="I923" s="6"/>
      <c r="J923" s="6"/>
      <c r="K923" s="6"/>
      <c r="L923" s="6"/>
      <c r="M923" s="6"/>
      <c r="N923" s="6"/>
    </row>
    <row r="924" spans="1:14" ht="19.5" customHeight="1" x14ac:dyDescent="0.25">
      <c r="A924" s="6"/>
      <c r="B924" s="6"/>
      <c r="C924" s="10"/>
      <c r="D924" s="10"/>
      <c r="E924" s="10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19.5" customHeight="1" x14ac:dyDescent="0.25">
      <c r="A925" s="6"/>
      <c r="B925" s="6"/>
      <c r="C925" s="10"/>
      <c r="D925" s="10"/>
      <c r="E925" s="10"/>
      <c r="F925" s="6"/>
      <c r="G925" s="6"/>
      <c r="H925" s="6"/>
      <c r="I925" s="6"/>
      <c r="J925" s="6"/>
      <c r="K925" s="6"/>
      <c r="L925" s="6"/>
      <c r="M925" s="6"/>
      <c r="N925" s="6"/>
    </row>
    <row r="926" spans="1:14" ht="19.5" customHeight="1" x14ac:dyDescent="0.25">
      <c r="A926" s="6"/>
      <c r="B926" s="6"/>
      <c r="C926" s="10"/>
      <c r="D926" s="10"/>
      <c r="E926" s="10"/>
      <c r="F926" s="6"/>
      <c r="G926" s="6"/>
      <c r="H926" s="6"/>
      <c r="I926" s="6"/>
      <c r="J926" s="6"/>
      <c r="K926" s="6"/>
      <c r="L926" s="6"/>
      <c r="M926" s="6"/>
      <c r="N926" s="6"/>
    </row>
    <row r="927" spans="1:14" ht="19.5" customHeight="1" x14ac:dyDescent="0.25">
      <c r="A927" s="6"/>
      <c r="B927" s="6"/>
      <c r="C927" s="10"/>
      <c r="D927" s="10"/>
      <c r="E927" s="10"/>
      <c r="F927" s="6"/>
      <c r="G927" s="6"/>
      <c r="H927" s="6"/>
      <c r="I927" s="6"/>
      <c r="J927" s="6"/>
      <c r="K927" s="6"/>
      <c r="L927" s="6"/>
      <c r="M927" s="6"/>
      <c r="N927" s="6"/>
    </row>
    <row r="928" spans="1:14" ht="19.5" customHeight="1" x14ac:dyDescent="0.25">
      <c r="A928" s="6"/>
      <c r="B928" s="6"/>
      <c r="C928" s="10"/>
      <c r="D928" s="10"/>
      <c r="E928" s="10"/>
      <c r="F928" s="6"/>
      <c r="G928" s="6"/>
      <c r="H928" s="6"/>
      <c r="I928" s="6"/>
      <c r="J928" s="6"/>
      <c r="K928" s="6"/>
      <c r="L928" s="6"/>
      <c r="M928" s="6"/>
      <c r="N928" s="6"/>
    </row>
    <row r="929" spans="1:14" ht="19.5" customHeight="1" x14ac:dyDescent="0.25">
      <c r="A929" s="6"/>
      <c r="B929" s="6"/>
      <c r="C929" s="10"/>
      <c r="D929" s="10"/>
      <c r="E929" s="10"/>
      <c r="F929" s="6"/>
      <c r="G929" s="6"/>
      <c r="H929" s="6"/>
      <c r="I929" s="6"/>
      <c r="J929" s="6"/>
      <c r="K929" s="6"/>
      <c r="L929" s="6"/>
      <c r="M929" s="6"/>
      <c r="N929" s="6"/>
    </row>
    <row r="930" spans="1:14" ht="19.5" customHeight="1" x14ac:dyDescent="0.25">
      <c r="A930" s="6"/>
      <c r="B930" s="6"/>
      <c r="C930" s="10"/>
      <c r="D930" s="10"/>
      <c r="E930" s="10"/>
      <c r="F930" s="6"/>
      <c r="G930" s="6"/>
      <c r="H930" s="6"/>
      <c r="I930" s="6"/>
      <c r="J930" s="6"/>
      <c r="K930" s="6"/>
      <c r="L930" s="6"/>
      <c r="M930" s="6"/>
      <c r="N930" s="6"/>
    </row>
    <row r="931" spans="1:14" ht="19.5" customHeight="1" x14ac:dyDescent="0.25">
      <c r="A931" s="6"/>
      <c r="B931" s="6"/>
      <c r="C931" s="10"/>
      <c r="D931" s="10"/>
      <c r="E931" s="10"/>
      <c r="F931" s="6"/>
      <c r="G931" s="6"/>
      <c r="H931" s="6"/>
      <c r="I931" s="6"/>
      <c r="J931" s="6"/>
      <c r="K931" s="6"/>
      <c r="L931" s="6"/>
      <c r="M931" s="6"/>
      <c r="N931" s="6"/>
    </row>
    <row r="932" spans="1:14" ht="19.5" customHeight="1" x14ac:dyDescent="0.25">
      <c r="A932" s="6"/>
      <c r="B932" s="6"/>
      <c r="C932" s="10"/>
      <c r="D932" s="10"/>
      <c r="E932" s="10"/>
      <c r="F932" s="6"/>
      <c r="G932" s="6"/>
      <c r="H932" s="6"/>
      <c r="I932" s="6"/>
      <c r="J932" s="6"/>
      <c r="K932" s="6"/>
      <c r="L932" s="6"/>
      <c r="M932" s="6"/>
      <c r="N932" s="6"/>
    </row>
    <row r="933" spans="1:14" ht="19.5" customHeight="1" x14ac:dyDescent="0.25">
      <c r="A933" s="6"/>
      <c r="B933" s="6"/>
      <c r="C933" s="10"/>
      <c r="D933" s="10"/>
      <c r="E933" s="10"/>
      <c r="F933" s="6"/>
      <c r="G933" s="6"/>
      <c r="H933" s="6"/>
      <c r="I933" s="6"/>
      <c r="J933" s="6"/>
      <c r="K933" s="6"/>
      <c r="L933" s="6"/>
      <c r="M933" s="6"/>
      <c r="N933" s="6"/>
    </row>
    <row r="934" spans="1:14" ht="19.5" customHeight="1" x14ac:dyDescent="0.25">
      <c r="A934" s="6"/>
      <c r="B934" s="6"/>
      <c r="C934" s="10"/>
      <c r="D934" s="10"/>
      <c r="E934" s="10"/>
      <c r="F934" s="6"/>
      <c r="G934" s="6"/>
      <c r="H934" s="6"/>
      <c r="I934" s="6"/>
      <c r="J934" s="6"/>
      <c r="K934" s="6"/>
      <c r="L934" s="6"/>
      <c r="M934" s="6"/>
      <c r="N934" s="6"/>
    </row>
    <row r="935" spans="1:14" ht="19.5" customHeight="1" x14ac:dyDescent="0.25">
      <c r="A935" s="6"/>
      <c r="B935" s="6"/>
      <c r="C935" s="10"/>
      <c r="D935" s="10"/>
      <c r="E935" s="10"/>
      <c r="F935" s="6"/>
      <c r="G935" s="6"/>
      <c r="H935" s="6"/>
      <c r="I935" s="6"/>
      <c r="J935" s="6"/>
      <c r="K935" s="6"/>
      <c r="L935" s="6"/>
      <c r="M935" s="6"/>
      <c r="N935" s="6"/>
    </row>
    <row r="936" spans="1:14" ht="19.5" customHeight="1" x14ac:dyDescent="0.25">
      <c r="A936" s="6"/>
      <c r="B936" s="6"/>
      <c r="C936" s="10"/>
      <c r="D936" s="10"/>
      <c r="E936" s="10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19.5" customHeight="1" x14ac:dyDescent="0.25">
      <c r="A937" s="6"/>
      <c r="B937" s="6"/>
      <c r="C937" s="10"/>
      <c r="D937" s="10"/>
      <c r="E937" s="10"/>
      <c r="F937" s="6"/>
      <c r="G937" s="6"/>
      <c r="H937" s="6"/>
      <c r="I937" s="6"/>
      <c r="J937" s="6"/>
      <c r="K937" s="6"/>
      <c r="L937" s="6"/>
      <c r="M937" s="6"/>
      <c r="N937" s="6"/>
    </row>
    <row r="938" spans="1:14" ht="19.5" customHeight="1" x14ac:dyDescent="0.25">
      <c r="A938" s="6"/>
      <c r="B938" s="6"/>
      <c r="C938" s="10"/>
      <c r="D938" s="10"/>
      <c r="E938" s="10"/>
      <c r="F938" s="6"/>
      <c r="G938" s="6"/>
      <c r="H938" s="6"/>
      <c r="I938" s="6"/>
      <c r="J938" s="6"/>
      <c r="K938" s="6"/>
      <c r="L938" s="6"/>
      <c r="M938" s="6"/>
      <c r="N938" s="6"/>
    </row>
    <row r="939" spans="1:14" ht="19.5" customHeight="1" x14ac:dyDescent="0.25">
      <c r="A939" s="6"/>
      <c r="B939" s="6"/>
      <c r="C939" s="10"/>
      <c r="D939" s="10"/>
      <c r="E939" s="10"/>
      <c r="F939" s="6"/>
      <c r="G939" s="6"/>
      <c r="H939" s="6"/>
      <c r="I939" s="6"/>
      <c r="J939" s="6"/>
      <c r="K939" s="6"/>
      <c r="L939" s="6"/>
      <c r="M939" s="6"/>
      <c r="N939" s="6"/>
    </row>
    <row r="940" spans="1:14" ht="19.5" customHeight="1" x14ac:dyDescent="0.25">
      <c r="A940" s="6"/>
      <c r="B940" s="6"/>
      <c r="C940" s="10"/>
      <c r="D940" s="10"/>
      <c r="E940" s="10"/>
      <c r="F940" s="6"/>
      <c r="G940" s="6"/>
      <c r="H940" s="6"/>
      <c r="I940" s="6"/>
      <c r="J940" s="6"/>
      <c r="K940" s="6"/>
      <c r="L940" s="6"/>
      <c r="M940" s="6"/>
      <c r="N940" s="6"/>
    </row>
    <row r="941" spans="1:14" ht="19.5" customHeight="1" x14ac:dyDescent="0.25">
      <c r="A941" s="6"/>
      <c r="B941" s="6"/>
      <c r="C941" s="10"/>
      <c r="D941" s="10"/>
      <c r="E941" s="10"/>
      <c r="F941" s="6"/>
      <c r="G941" s="6"/>
      <c r="H941" s="6"/>
      <c r="I941" s="6"/>
      <c r="J941" s="6"/>
      <c r="K941" s="6"/>
      <c r="L941" s="6"/>
      <c r="M941" s="6"/>
      <c r="N941" s="6"/>
    </row>
    <row r="942" spans="1:14" ht="19.5" customHeight="1" x14ac:dyDescent="0.25">
      <c r="A942" s="6"/>
      <c r="B942" s="6"/>
      <c r="C942" s="10"/>
      <c r="D942" s="10"/>
      <c r="E942" s="10"/>
      <c r="F942" s="6"/>
      <c r="G942" s="6"/>
      <c r="H942" s="6"/>
      <c r="I942" s="6"/>
      <c r="J942" s="6"/>
      <c r="K942" s="6"/>
      <c r="L942" s="6"/>
      <c r="M942" s="6"/>
      <c r="N942" s="6"/>
    </row>
    <row r="943" spans="1:14" ht="19.5" customHeight="1" x14ac:dyDescent="0.25">
      <c r="A943" s="6"/>
      <c r="B943" s="6"/>
      <c r="C943" s="10"/>
      <c r="D943" s="10"/>
      <c r="E943" s="10"/>
      <c r="F943" s="6"/>
      <c r="G943" s="6"/>
      <c r="H943" s="6"/>
      <c r="I943" s="6"/>
      <c r="J943" s="6"/>
      <c r="K943" s="6"/>
      <c r="L943" s="6"/>
      <c r="M943" s="6"/>
      <c r="N943" s="6"/>
    </row>
    <row r="944" spans="1:14" ht="19.5" customHeight="1" x14ac:dyDescent="0.25">
      <c r="A944" s="6"/>
      <c r="B944" s="6"/>
      <c r="C944" s="10"/>
      <c r="D944" s="10"/>
      <c r="E944" s="10"/>
      <c r="F944" s="6"/>
      <c r="G944" s="6"/>
      <c r="H944" s="6"/>
      <c r="I944" s="6"/>
      <c r="J944" s="6"/>
      <c r="K944" s="6"/>
      <c r="L944" s="6"/>
      <c r="M944" s="6"/>
      <c r="N944" s="6"/>
    </row>
    <row r="945" spans="1:14" ht="19.5" customHeight="1" x14ac:dyDescent="0.25">
      <c r="A945" s="6"/>
      <c r="B945" s="6"/>
      <c r="C945" s="10"/>
      <c r="D945" s="10"/>
      <c r="E945" s="10"/>
      <c r="F945" s="6"/>
      <c r="G945" s="6"/>
      <c r="H945" s="6"/>
      <c r="I945" s="6"/>
      <c r="J945" s="6"/>
      <c r="K945" s="6"/>
      <c r="L945" s="6"/>
      <c r="M945" s="6"/>
      <c r="N945" s="6"/>
    </row>
    <row r="946" spans="1:14" ht="19.5" customHeight="1" x14ac:dyDescent="0.25">
      <c r="A946" s="6"/>
      <c r="B946" s="6"/>
      <c r="C946" s="10"/>
      <c r="D946" s="10"/>
      <c r="E946" s="10"/>
      <c r="F946" s="6"/>
      <c r="G946" s="6"/>
      <c r="H946" s="6"/>
      <c r="I946" s="6"/>
      <c r="J946" s="6"/>
      <c r="K946" s="6"/>
      <c r="L946" s="6"/>
      <c r="M946" s="6"/>
      <c r="N946" s="6"/>
    </row>
    <row r="947" spans="1:14" ht="19.5" customHeight="1" x14ac:dyDescent="0.25">
      <c r="A947" s="6"/>
      <c r="B947" s="6"/>
      <c r="C947" s="10"/>
      <c r="D947" s="10"/>
      <c r="E947" s="10"/>
      <c r="F947" s="6"/>
      <c r="G947" s="6"/>
      <c r="H947" s="6"/>
      <c r="I947" s="6"/>
      <c r="J947" s="6"/>
      <c r="K947" s="6"/>
      <c r="L947" s="6"/>
      <c r="M947" s="6"/>
      <c r="N947" s="6"/>
    </row>
    <row r="948" spans="1:14" ht="19.5" customHeight="1" x14ac:dyDescent="0.25">
      <c r="A948" s="6"/>
      <c r="B948" s="6"/>
      <c r="C948" s="10"/>
      <c r="D948" s="10"/>
      <c r="E948" s="10"/>
      <c r="F948" s="6"/>
      <c r="G948" s="6"/>
      <c r="H948" s="6"/>
      <c r="I948" s="6"/>
      <c r="J948" s="6"/>
      <c r="K948" s="6"/>
      <c r="L948" s="6"/>
      <c r="M948" s="6"/>
      <c r="N948" s="6"/>
    </row>
    <row r="949" spans="1:14" ht="19.5" customHeight="1" x14ac:dyDescent="0.25">
      <c r="A949" s="6"/>
      <c r="B949" s="6"/>
      <c r="C949" s="10"/>
      <c r="D949" s="10"/>
      <c r="E949" s="10"/>
      <c r="F949" s="6"/>
      <c r="G949" s="6"/>
      <c r="H949" s="6"/>
      <c r="I949" s="6"/>
      <c r="J949" s="6"/>
      <c r="K949" s="6"/>
      <c r="L949" s="6"/>
      <c r="M949" s="6"/>
      <c r="N949" s="6"/>
    </row>
    <row r="950" spans="1:14" ht="19.5" customHeight="1" x14ac:dyDescent="0.25">
      <c r="A950" s="6"/>
      <c r="B950" s="6"/>
      <c r="C950" s="10"/>
      <c r="D950" s="10"/>
      <c r="E950" s="10"/>
      <c r="F950" s="6"/>
      <c r="G950" s="6"/>
      <c r="H950" s="6"/>
      <c r="I950" s="6"/>
      <c r="J950" s="6"/>
      <c r="K950" s="6"/>
      <c r="L950" s="6"/>
      <c r="M950" s="6"/>
      <c r="N950" s="6"/>
    </row>
    <row r="951" spans="1:14" ht="19.5" customHeight="1" x14ac:dyDescent="0.25">
      <c r="A951" s="6"/>
      <c r="B951" s="6"/>
      <c r="C951" s="10"/>
      <c r="D951" s="10"/>
      <c r="E951" s="10"/>
      <c r="F951" s="6"/>
      <c r="G951" s="6"/>
      <c r="H951" s="6"/>
      <c r="I951" s="6"/>
      <c r="J951" s="6"/>
      <c r="K951" s="6"/>
      <c r="L951" s="6"/>
      <c r="M951" s="6"/>
      <c r="N951" s="6"/>
    </row>
    <row r="952" spans="1:14" ht="19.5" customHeight="1" x14ac:dyDescent="0.25">
      <c r="A952" s="6"/>
      <c r="B952" s="6"/>
      <c r="C952" s="10"/>
      <c r="D952" s="10"/>
      <c r="E952" s="10"/>
      <c r="F952" s="6"/>
      <c r="G952" s="6"/>
      <c r="H952" s="6"/>
      <c r="I952" s="6"/>
      <c r="J952" s="6"/>
      <c r="K952" s="6"/>
      <c r="L952" s="6"/>
      <c r="M952" s="6"/>
      <c r="N952" s="6"/>
    </row>
    <row r="953" spans="1:14" ht="19.5" customHeight="1" x14ac:dyDescent="0.25">
      <c r="A953" s="6"/>
      <c r="B953" s="6"/>
      <c r="C953" s="10"/>
      <c r="D953" s="10"/>
      <c r="E953" s="10"/>
      <c r="F953" s="6"/>
      <c r="G953" s="6"/>
      <c r="H953" s="6"/>
      <c r="I953" s="6"/>
      <c r="J953" s="6"/>
      <c r="K953" s="6"/>
      <c r="L953" s="6"/>
      <c r="M953" s="6"/>
      <c r="N953" s="6"/>
    </row>
    <row r="954" spans="1:14" ht="19.5" customHeight="1" x14ac:dyDescent="0.25">
      <c r="A954" s="6"/>
      <c r="B954" s="6"/>
      <c r="C954" s="10"/>
      <c r="D954" s="10"/>
      <c r="E954" s="10"/>
      <c r="F954" s="6"/>
      <c r="G954" s="6"/>
      <c r="H954" s="6"/>
      <c r="I954" s="6"/>
      <c r="J954" s="6"/>
      <c r="K954" s="6"/>
      <c r="L954" s="6"/>
      <c r="M954" s="6"/>
      <c r="N954" s="6"/>
    </row>
    <row r="955" spans="1:14" ht="19.5" customHeight="1" x14ac:dyDescent="0.25">
      <c r="A955" s="6"/>
      <c r="B955" s="6"/>
      <c r="C955" s="10"/>
      <c r="D955" s="10"/>
      <c r="E955" s="10"/>
      <c r="F955" s="6"/>
      <c r="G955" s="6"/>
      <c r="H955" s="6"/>
      <c r="I955" s="6"/>
      <c r="J955" s="6"/>
      <c r="K955" s="6"/>
      <c r="L955" s="6"/>
      <c r="M955" s="6"/>
      <c r="N955" s="6"/>
    </row>
    <row r="956" spans="1:14" ht="19.5" customHeight="1" x14ac:dyDescent="0.25">
      <c r="A956" s="6"/>
      <c r="B956" s="6"/>
      <c r="C956" s="10"/>
      <c r="D956" s="10"/>
      <c r="E956" s="10"/>
      <c r="F956" s="6"/>
      <c r="G956" s="6"/>
      <c r="H956" s="6"/>
      <c r="I956" s="6"/>
      <c r="J956" s="6"/>
      <c r="K956" s="6"/>
      <c r="L956" s="6"/>
      <c r="M956" s="6"/>
      <c r="N956" s="6"/>
    </row>
    <row r="957" spans="1:14" ht="19.5" customHeight="1" x14ac:dyDescent="0.25">
      <c r="A957" s="6"/>
      <c r="B957" s="6"/>
      <c r="C957" s="10"/>
      <c r="D957" s="10"/>
      <c r="E957" s="10"/>
      <c r="F957" s="6"/>
      <c r="G957" s="6"/>
      <c r="H957" s="6"/>
      <c r="I957" s="6"/>
      <c r="J957" s="6"/>
      <c r="K957" s="6"/>
      <c r="L957" s="6"/>
      <c r="M957" s="6"/>
      <c r="N957" s="6"/>
    </row>
    <row r="958" spans="1:14" ht="19.5" customHeight="1" x14ac:dyDescent="0.25">
      <c r="A958" s="6"/>
      <c r="B958" s="6"/>
      <c r="C958" s="10"/>
      <c r="D958" s="10"/>
      <c r="E958" s="10"/>
      <c r="F958" s="6"/>
      <c r="G958" s="6"/>
      <c r="H958" s="6"/>
      <c r="I958" s="6"/>
      <c r="J958" s="6"/>
      <c r="K958" s="6"/>
      <c r="L958" s="6"/>
      <c r="M958" s="6"/>
      <c r="N958" s="6"/>
    </row>
    <row r="959" spans="1:14" ht="19.5" customHeight="1" x14ac:dyDescent="0.25">
      <c r="A959" s="6"/>
      <c r="B959" s="6"/>
      <c r="C959" s="10"/>
      <c r="D959" s="10"/>
      <c r="E959" s="10"/>
      <c r="F959" s="6"/>
      <c r="G959" s="6"/>
      <c r="H959" s="6"/>
      <c r="I959" s="6"/>
      <c r="J959" s="6"/>
      <c r="K959" s="6"/>
      <c r="L959" s="6"/>
      <c r="M959" s="6"/>
      <c r="N959" s="6"/>
    </row>
    <row r="960" spans="1:14" ht="19.5" customHeight="1" x14ac:dyDescent="0.25">
      <c r="A960" s="6"/>
      <c r="B960" s="6"/>
      <c r="C960" s="10"/>
      <c r="D960" s="10"/>
      <c r="E960" s="10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19.5" customHeight="1" x14ac:dyDescent="0.25">
      <c r="A961" s="6"/>
      <c r="B961" s="6"/>
      <c r="C961" s="10"/>
      <c r="D961" s="10"/>
      <c r="E961" s="10"/>
      <c r="F961" s="6"/>
      <c r="G961" s="6"/>
      <c r="H961" s="6"/>
      <c r="I961" s="6"/>
      <c r="J961" s="6"/>
      <c r="K961" s="6"/>
      <c r="L961" s="6"/>
      <c r="M961" s="6"/>
      <c r="N961" s="6"/>
    </row>
    <row r="962" spans="1:14" ht="19.5" customHeight="1" x14ac:dyDescent="0.25">
      <c r="A962" s="6"/>
      <c r="B962" s="6"/>
      <c r="C962" s="10"/>
      <c r="D962" s="10"/>
      <c r="E962" s="10"/>
      <c r="F962" s="6"/>
      <c r="G962" s="6"/>
      <c r="H962" s="6"/>
      <c r="I962" s="6"/>
      <c r="J962" s="6"/>
      <c r="K962" s="6"/>
      <c r="L962" s="6"/>
      <c r="M962" s="6"/>
      <c r="N962" s="6"/>
    </row>
    <row r="963" spans="1:14" ht="19.5" customHeight="1" x14ac:dyDescent="0.25">
      <c r="A963" s="6"/>
      <c r="B963" s="6"/>
      <c r="C963" s="10"/>
      <c r="D963" s="10"/>
      <c r="E963" s="10"/>
      <c r="F963" s="6"/>
      <c r="G963" s="6"/>
      <c r="H963" s="6"/>
      <c r="I963" s="6"/>
      <c r="J963" s="6"/>
      <c r="K963" s="6"/>
      <c r="L963" s="6"/>
      <c r="M963" s="6"/>
      <c r="N963" s="6"/>
    </row>
    <row r="964" spans="1:14" ht="19.5" customHeight="1" x14ac:dyDescent="0.25">
      <c r="A964" s="6"/>
      <c r="B964" s="6"/>
      <c r="C964" s="10"/>
      <c r="D964" s="10"/>
      <c r="E964" s="10"/>
      <c r="F964" s="6"/>
      <c r="G964" s="6"/>
      <c r="H964" s="6"/>
      <c r="I964" s="6"/>
      <c r="J964" s="6"/>
      <c r="K964" s="6"/>
      <c r="L964" s="6"/>
      <c r="M964" s="6"/>
      <c r="N964" s="6"/>
    </row>
    <row r="965" spans="1:14" ht="19.5" customHeight="1" x14ac:dyDescent="0.25">
      <c r="A965" s="6"/>
      <c r="B965" s="6"/>
      <c r="C965" s="10"/>
      <c r="D965" s="10"/>
      <c r="E965" s="10"/>
      <c r="F965" s="6"/>
      <c r="G965" s="6"/>
      <c r="H965" s="6"/>
      <c r="I965" s="6"/>
      <c r="J965" s="6"/>
      <c r="K965" s="6"/>
      <c r="L965" s="6"/>
      <c r="M965" s="6"/>
      <c r="N965" s="6"/>
    </row>
    <row r="966" spans="1:14" ht="19.5" customHeight="1" x14ac:dyDescent="0.25">
      <c r="A966" s="6"/>
      <c r="B966" s="6"/>
      <c r="C966" s="10"/>
      <c r="D966" s="10"/>
      <c r="E966" s="10"/>
      <c r="F966" s="6"/>
      <c r="G966" s="6"/>
      <c r="H966" s="6"/>
      <c r="I966" s="6"/>
      <c r="J966" s="6"/>
      <c r="K966" s="6"/>
      <c r="L966" s="6"/>
      <c r="M966" s="6"/>
      <c r="N966" s="6"/>
    </row>
    <row r="967" spans="1:14" ht="19.5" customHeight="1" x14ac:dyDescent="0.25">
      <c r="A967" s="6"/>
      <c r="B967" s="6"/>
      <c r="C967" s="10"/>
      <c r="D967" s="10"/>
      <c r="E967" s="10"/>
      <c r="F967" s="6"/>
      <c r="G967" s="6"/>
      <c r="H967" s="6"/>
      <c r="I967" s="6"/>
      <c r="J967" s="6"/>
      <c r="K967" s="6"/>
      <c r="L967" s="6"/>
      <c r="M967" s="6"/>
      <c r="N967" s="6"/>
    </row>
    <row r="968" spans="1:14" ht="19.5" customHeight="1" x14ac:dyDescent="0.25">
      <c r="A968" s="6"/>
      <c r="B968" s="6"/>
      <c r="C968" s="10"/>
      <c r="D968" s="10"/>
      <c r="E968" s="10"/>
      <c r="F968" s="6"/>
      <c r="G968" s="6"/>
      <c r="H968" s="6"/>
      <c r="I968" s="6"/>
      <c r="J968" s="6"/>
      <c r="K968" s="6"/>
      <c r="L968" s="6"/>
      <c r="M968" s="6"/>
      <c r="N968" s="6"/>
    </row>
    <row r="969" spans="1:14" ht="19.5" customHeight="1" x14ac:dyDescent="0.25">
      <c r="A969" s="6"/>
      <c r="B969" s="6"/>
      <c r="C969" s="10"/>
      <c r="D969" s="10"/>
      <c r="E969" s="10"/>
      <c r="F969" s="6"/>
      <c r="G969" s="6"/>
      <c r="H969" s="6"/>
      <c r="I969" s="6"/>
      <c r="J969" s="6"/>
      <c r="K969" s="6"/>
      <c r="L969" s="6"/>
      <c r="M969" s="6"/>
      <c r="N969" s="6"/>
    </row>
    <row r="970" spans="1:14" ht="19.5" customHeight="1" x14ac:dyDescent="0.25">
      <c r="A970" s="6"/>
      <c r="B970" s="6"/>
      <c r="C970" s="10"/>
      <c r="D970" s="10"/>
      <c r="E970" s="10"/>
      <c r="F970" s="6"/>
      <c r="G970" s="6"/>
      <c r="H970" s="6"/>
      <c r="I970" s="6"/>
      <c r="J970" s="6"/>
      <c r="K970" s="6"/>
      <c r="L970" s="6"/>
      <c r="M970" s="6"/>
      <c r="N970" s="6"/>
    </row>
    <row r="971" spans="1:14" ht="19.5" customHeight="1" x14ac:dyDescent="0.25">
      <c r="A971" s="6"/>
      <c r="B971" s="6"/>
      <c r="C971" s="10"/>
      <c r="D971" s="10"/>
      <c r="E971" s="10"/>
      <c r="F971" s="6"/>
      <c r="G971" s="6"/>
      <c r="H971" s="6"/>
      <c r="I971" s="6"/>
      <c r="J971" s="6"/>
      <c r="K971" s="6"/>
      <c r="L971" s="6"/>
      <c r="M971" s="6"/>
      <c r="N971" s="6"/>
    </row>
    <row r="972" spans="1:14" ht="19.5" customHeight="1" x14ac:dyDescent="0.25">
      <c r="A972" s="6"/>
      <c r="B972" s="6"/>
      <c r="C972" s="10"/>
      <c r="D972" s="10"/>
      <c r="E972" s="10"/>
      <c r="F972" s="6"/>
      <c r="G972" s="6"/>
      <c r="H972" s="6"/>
      <c r="I972" s="6"/>
      <c r="J972" s="6"/>
      <c r="K972" s="6"/>
      <c r="L972" s="6"/>
      <c r="M972" s="6"/>
      <c r="N972" s="6"/>
    </row>
    <row r="973" spans="1:14" ht="19.5" customHeight="1" x14ac:dyDescent="0.25">
      <c r="A973" s="6"/>
      <c r="B973" s="6"/>
      <c r="C973" s="10"/>
      <c r="D973" s="10"/>
      <c r="E973" s="10"/>
      <c r="F973" s="6"/>
      <c r="G973" s="6"/>
      <c r="H973" s="6"/>
      <c r="I973" s="6"/>
      <c r="J973" s="6"/>
      <c r="K973" s="6"/>
      <c r="L973" s="6"/>
      <c r="M973" s="6"/>
      <c r="N973" s="6"/>
    </row>
    <row r="974" spans="1:14" ht="19.5" customHeight="1" x14ac:dyDescent="0.25">
      <c r="A974" s="6"/>
      <c r="B974" s="6"/>
      <c r="C974" s="10"/>
      <c r="D974" s="10"/>
      <c r="E974" s="10"/>
      <c r="F974" s="6"/>
      <c r="G974" s="6"/>
      <c r="H974" s="6"/>
      <c r="I974" s="6"/>
      <c r="J974" s="6"/>
      <c r="K974" s="6"/>
      <c r="L974" s="6"/>
      <c r="M974" s="6"/>
      <c r="N974" s="6"/>
    </row>
    <row r="975" spans="1:14" ht="19.5" customHeight="1" x14ac:dyDescent="0.25">
      <c r="A975" s="6"/>
      <c r="B975" s="6"/>
      <c r="C975" s="10"/>
      <c r="D975" s="10"/>
      <c r="E975" s="10"/>
      <c r="F975" s="6"/>
      <c r="G975" s="6"/>
      <c r="H975" s="6"/>
      <c r="I975" s="6"/>
      <c r="J975" s="6"/>
      <c r="K975" s="6"/>
      <c r="L975" s="6"/>
      <c r="M975" s="6"/>
      <c r="N975" s="6"/>
    </row>
    <row r="976" spans="1:14" ht="19.5" customHeight="1" x14ac:dyDescent="0.25">
      <c r="A976" s="6"/>
      <c r="B976" s="6"/>
      <c r="C976" s="10"/>
      <c r="D976" s="10"/>
      <c r="E976" s="10"/>
      <c r="F976" s="6"/>
      <c r="G976" s="6"/>
      <c r="H976" s="6"/>
      <c r="I976" s="6"/>
      <c r="J976" s="6"/>
      <c r="K976" s="6"/>
      <c r="L976" s="6"/>
      <c r="M976" s="6"/>
      <c r="N976" s="6"/>
    </row>
    <row r="977" spans="1:14" ht="19.5" customHeight="1" x14ac:dyDescent="0.25">
      <c r="A977" s="6"/>
      <c r="B977" s="6"/>
      <c r="C977" s="10"/>
      <c r="D977" s="10"/>
      <c r="E977" s="10"/>
      <c r="F977" s="6"/>
      <c r="G977" s="6"/>
      <c r="H977" s="6"/>
      <c r="I977" s="6"/>
      <c r="J977" s="6"/>
      <c r="K977" s="6"/>
      <c r="L977" s="6"/>
      <c r="M977" s="6"/>
      <c r="N977" s="6"/>
    </row>
    <row r="978" spans="1:14" ht="19.5" customHeight="1" x14ac:dyDescent="0.25">
      <c r="A978" s="6"/>
      <c r="B978" s="6"/>
      <c r="C978" s="10"/>
      <c r="D978" s="10"/>
      <c r="E978" s="10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19.5" customHeight="1" x14ac:dyDescent="0.25">
      <c r="A979" s="6"/>
      <c r="B979" s="6"/>
      <c r="C979" s="10"/>
      <c r="D979" s="10"/>
      <c r="E979" s="10"/>
      <c r="F979" s="6"/>
      <c r="G979" s="6"/>
      <c r="H979" s="6"/>
      <c r="I979" s="6"/>
      <c r="J979" s="6"/>
      <c r="K979" s="6"/>
      <c r="L979" s="6"/>
      <c r="M979" s="6"/>
      <c r="N979" s="6"/>
    </row>
    <row r="980" spans="1:14" ht="19.5" customHeight="1" x14ac:dyDescent="0.25">
      <c r="A980" s="6"/>
      <c r="B980" s="6"/>
      <c r="C980" s="10"/>
      <c r="D980" s="10"/>
      <c r="E980" s="10"/>
      <c r="F980" s="6"/>
      <c r="G980" s="6"/>
      <c r="H980" s="6"/>
      <c r="I980" s="6"/>
      <c r="J980" s="6"/>
      <c r="K980" s="6"/>
      <c r="L980" s="6"/>
      <c r="M980" s="6"/>
      <c r="N980" s="6"/>
    </row>
  </sheetData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K957"/>
  <sheetViews>
    <sheetView zoomScale="85" zoomScaleNormal="85" workbookViewId="0">
      <selection sqref="A1:D16"/>
    </sheetView>
  </sheetViews>
  <sheetFormatPr defaultColWidth="14.42578125" defaultRowHeight="15" customHeight="1" x14ac:dyDescent="0.25"/>
  <cols>
    <col min="1" max="1" width="66.28515625" customWidth="1"/>
    <col min="2" max="2" width="24.7109375" customWidth="1"/>
    <col min="3" max="3" width="19.85546875" customWidth="1"/>
    <col min="4" max="4" width="26.85546875" style="36" customWidth="1"/>
    <col min="5" max="5" width="100.140625" customWidth="1"/>
    <col min="6" max="6" width="75.42578125" bestFit="1" customWidth="1"/>
  </cols>
  <sheetData>
    <row r="1" spans="1:6" ht="16.5" customHeight="1" x14ac:dyDescent="0.6">
      <c r="A1" s="240" t="s">
        <v>0</v>
      </c>
      <c r="B1" s="242" t="s">
        <v>94</v>
      </c>
      <c r="C1" s="243"/>
      <c r="D1" s="50" t="s">
        <v>54</v>
      </c>
      <c r="E1" s="1"/>
      <c r="F1" s="1"/>
    </row>
    <row r="2" spans="1:6" ht="43.5" x14ac:dyDescent="0.6">
      <c r="A2" s="241"/>
      <c r="B2" s="76" t="s">
        <v>61</v>
      </c>
      <c r="C2" s="42" t="s">
        <v>1</v>
      </c>
      <c r="D2" s="51" t="s">
        <v>1</v>
      </c>
      <c r="E2" s="1"/>
      <c r="F2" s="1"/>
    </row>
    <row r="3" spans="1:6" ht="19.5" customHeight="1" x14ac:dyDescent="0.6">
      <c r="A3" s="157" t="s">
        <v>2</v>
      </c>
      <c r="B3" s="158">
        <f>'SEM IMPREVISTOS'!B46</f>
        <v>1415598.7796026384</v>
      </c>
      <c r="C3" s="158">
        <f>B3/'GER_EXECUTIVO CART'!G$2</f>
        <v>90.726936399608945</v>
      </c>
      <c r="D3" s="46" t="str">
        <f>FIXED(CÁLCULO_MÉDIAS!X11,2,FALSE)&amp;" "&amp;"-"&amp;FIXED(CÁLCULO_MÉDIAS!Y11,2,FALSE)</f>
        <v>30,00 -90,00</v>
      </c>
      <c r="E3" s="161" t="s">
        <v>123</v>
      </c>
      <c r="F3" s="1"/>
    </row>
    <row r="4" spans="1:6" ht="18.75" customHeight="1" x14ac:dyDescent="0.25">
      <c r="A4" s="156" t="str">
        <f>'SEM IMPREVISTOS'!A4</f>
        <v>ESTRUTURA</v>
      </c>
      <c r="B4" s="159">
        <f>'SEM IMPREVISTOS'!C47</f>
        <v>18362171.804884642</v>
      </c>
      <c r="C4" s="159">
        <f>B4/'GER_EXECUTIVO CART'!G$2</f>
        <v>1176.8472942369274</v>
      </c>
      <c r="D4" s="67" t="str">
        <f>FIXED(CÁLCULO_MÉDIAS!X12,2,FALSE)&amp;" "&amp;"-"&amp;FIXED(CÁLCULO_MÉDIAS!Y12,2,FALSE)</f>
        <v>860,00 -1.090,00</v>
      </c>
      <c r="E4" s="160" t="s">
        <v>92</v>
      </c>
      <c r="F4" s="4"/>
    </row>
    <row r="5" spans="1:6" ht="19.5" customHeight="1" x14ac:dyDescent="0.25">
      <c r="A5" s="157" t="str">
        <f>'SEM IMPREVISTOS'!A5</f>
        <v>PAREDES E PAINÉIS</v>
      </c>
      <c r="B5" s="158">
        <f>'SEM IMPREVISTOS'!C52</f>
        <v>3110673.7711449144</v>
      </c>
      <c r="C5" s="158">
        <f>B5/'GER_EXECUTIVO CART'!G$2</f>
        <v>199.36574222945899</v>
      </c>
      <c r="D5" s="46" t="str">
        <f>FIXED(CÁLCULO_MÉDIAS!X14,2,FALSE)&amp;" "&amp;"-"&amp;FIXED(CÁLCULO_MÉDIAS!Y14,2,FALSE)</f>
        <v>110,00 -170,00</v>
      </c>
      <c r="E5" s="155" t="s">
        <v>124</v>
      </c>
      <c r="F5" s="162">
        <f>20*'GER_EXECUTIVO CART'!G2</f>
        <v>312057</v>
      </c>
    </row>
    <row r="6" spans="1:6" ht="19.5" customHeight="1" x14ac:dyDescent="0.25">
      <c r="A6" s="156" t="str">
        <f>'SEM IMPREVISTOS'!A6</f>
        <v>INSTALAÇÕES ELÉTRICAS, HIDRÁULICAS, GLP E PREVENTIVAS</v>
      </c>
      <c r="B6" s="159">
        <f>'SEM IMPREVISTOS'!C56+'SEM IMPREVISTOS'!C58+'SEM IMPREVISTOS'!C60+'SEM IMPREVISTOS'!C62+'SEM IMPREVISTOS'!C64+'SEM IMPREVISTOS'!C93</f>
        <v>6325299.1251793317</v>
      </c>
      <c r="C6" s="159">
        <f>B6/'GER_EXECUTIVO CART'!G$2</f>
        <v>405.39383030531803</v>
      </c>
      <c r="D6" s="67" t="str">
        <f>FIXED(CÁLCULO_MÉDIAS!X15,2,FALSE)&amp;" "&amp;"-"&amp;FIXED(CÁLCULO_MÉDIAS!Y15,2,FALSE)</f>
        <v>300,00 -360,00</v>
      </c>
      <c r="E6" s="155" t="s">
        <v>121</v>
      </c>
      <c r="F6" s="3"/>
    </row>
    <row r="7" spans="1:6" ht="19.5" customHeight="1" x14ac:dyDescent="0.25">
      <c r="A7" s="157" t="str">
        <f>'SEM IMPREVISTOS'!A7</f>
        <v>EQUIPAMENTOS E SISTEMAS ESPECIAIS</v>
      </c>
      <c r="B7" s="158">
        <f>'SEM IMPREVISTOS'!B66+'SEM IMPREVISTOS'!C67</f>
        <v>2681510.4620166668</v>
      </c>
      <c r="C7" s="158">
        <f>B7/'GER_EXECUTIVO CART'!G$2</f>
        <v>171.86029872854425</v>
      </c>
      <c r="D7" s="46" t="str">
        <f>FIXED(CÁLCULO_MÉDIAS!X16,2,FALSE)&amp;" "&amp;"-"&amp;FIXED(CÁLCULO_MÉDIAS!Y16,2,FALSE)</f>
        <v>150,00 -270,00</v>
      </c>
      <c r="E7" s="95" t="s">
        <v>120</v>
      </c>
      <c r="F7" s="3"/>
    </row>
    <row r="8" spans="1:6" ht="19.5" customHeight="1" x14ac:dyDescent="0.25">
      <c r="A8" s="156" t="str">
        <f>'SEM IMPREVISTOS'!A8</f>
        <v>IMPERMEABILIZAÇÃO</v>
      </c>
      <c r="B8" s="159">
        <f>'SEM IMPREVISTOS'!C54</f>
        <v>802414.60617499996</v>
      </c>
      <c r="C8" s="159">
        <f>B8/'GER_EXECUTIVO CART'!G$2</f>
        <v>51.427438331779129</v>
      </c>
      <c r="D8" s="67" t="str">
        <f>FIXED(CÁLCULO_MÉDIAS!X17,2,FALSE)&amp;" "&amp;"-"&amp;FIXED(CÁLCULO_MÉDIAS!Y17,2,FALSE)</f>
        <v>50,00 -80,00</v>
      </c>
      <c r="E8" s="95" t="s">
        <v>120</v>
      </c>
      <c r="F8" s="3"/>
    </row>
    <row r="9" spans="1:6" ht="19.5" customHeight="1" x14ac:dyDescent="0.25">
      <c r="A9" s="157" t="s">
        <v>44</v>
      </c>
      <c r="B9" s="158">
        <f>'SEM IMPREVISTOS'!B70+'SEM IMPREVISTOS'!B72+'SEM IMPREVISTOS'!B79+'SEM IMPREVISTOS'!B84</f>
        <v>2181983.0477471007</v>
      </c>
      <c r="C9" s="158">
        <f>B9/'GER_EXECUTIVO CART'!G$2</f>
        <v>139.8451595539982</v>
      </c>
      <c r="D9" s="46" t="str">
        <f>FIXED(CÁLCULO_MÉDIAS!X18,2,FALSE)&amp;" "&amp;"-"&amp;FIXED(CÁLCULO_MÉDIAS!Y18,2,FALSE)</f>
        <v>170,00 -205,00</v>
      </c>
      <c r="E9" s="155" t="s">
        <v>119</v>
      </c>
      <c r="F9" s="3"/>
    </row>
    <row r="10" spans="1:6" ht="21.75" x14ac:dyDescent="0.25">
      <c r="A10" s="156" t="s">
        <v>18</v>
      </c>
      <c r="B10" s="159">
        <f>'SEM IMPREVISTOS'!C76</f>
        <v>1650987.8791083335</v>
      </c>
      <c r="C10" s="159">
        <f>B10/'GER_EXECUTIVO CART'!G$2</f>
        <v>105.81322509082209</v>
      </c>
      <c r="D10" s="67" t="str">
        <f>FIXED(CÁLCULO_MÉDIAS!X19,2,FALSE)&amp;" "&amp;"-"&amp;FIXED(CÁLCULO_MÉDIAS!Y19,2,FALSE)</f>
        <v>60,00 -95,00</v>
      </c>
      <c r="E10" s="155" t="s">
        <v>122</v>
      </c>
      <c r="F10" s="3"/>
    </row>
    <row r="11" spans="1:6" s="98" customFormat="1" ht="19.5" customHeight="1" x14ac:dyDescent="0.25">
      <c r="A11" s="157" t="s">
        <v>8</v>
      </c>
      <c r="B11" s="158">
        <f>'SEM IMPREVISTOS'!B85+'SEM IMPREVISTOS'!B83+'SEM IMPREVISTOS'!B82+'SEM IMPREVISTOS'!B81+'SEM IMPREVISTOS'!B80+'SEM IMPREVISTOS'!C74</f>
        <v>2201208.6940517118</v>
      </c>
      <c r="C11" s="158">
        <f>B11/'GER_EXECUTIVO CART'!G$2</f>
        <v>141.0773476673628</v>
      </c>
      <c r="D11" s="46" t="str">
        <f>FIXED(CÁLCULO_MÉDIAS!X20,2,FALSE)&amp;" "&amp;"-"&amp;FIXED(CÁLCULO_MÉDIAS!Y20,2,FALSE)</f>
        <v>150,00 -200,00</v>
      </c>
      <c r="E11" s="95" t="s">
        <v>120</v>
      </c>
      <c r="F11" s="97"/>
    </row>
    <row r="12" spans="1:6" ht="19.5" customHeight="1" x14ac:dyDescent="0.25">
      <c r="A12" s="156" t="str">
        <f>'SEM IMPREVISTOS'!A12</f>
        <v>PINTURA INTERNA</v>
      </c>
      <c r="B12" s="159">
        <f>'SEM IMPREVISTOS'!C88</f>
        <v>2472056.1793083544</v>
      </c>
      <c r="C12" s="159">
        <f>B12/'GER_EXECUTIVO CART'!G$2</f>
        <v>158.4361946252354</v>
      </c>
      <c r="D12" s="67" t="str">
        <f>FIXED(CÁLCULO_MÉDIAS!X21,2,FALSE)&amp;" "&amp;"-"&amp;FIXED(CÁLCULO_MÉDIAS!Y21,2,FALSE)</f>
        <v>140,00 -150,00</v>
      </c>
      <c r="E12" s="155" t="s">
        <v>118</v>
      </c>
      <c r="F12" s="3"/>
    </row>
    <row r="13" spans="1:6" ht="19.5" customHeight="1" x14ac:dyDescent="0.25">
      <c r="A13" s="157" t="str">
        <f>'SEM IMPREVISTOS'!A13</f>
        <v>ESQUADRIAS, VIDROS E FERRAGENS</v>
      </c>
      <c r="B13" s="158">
        <f>'SEM IMPREVISTOS'!C91</f>
        <v>4972980.9791717418</v>
      </c>
      <c r="C13" s="158">
        <f>B13/'GER_EXECUTIVO CART'!G$2</f>
        <v>318.72260383018113</v>
      </c>
      <c r="D13" s="46" t="str">
        <f>FIXED(CÁLCULO_MÉDIAS!X22,2,FALSE)&amp;" "&amp;"-"&amp;FIXED(CÁLCULO_MÉDIAS!Y22,2,FALSE)</f>
        <v>240,00 -350,00</v>
      </c>
      <c r="E13" s="95" t="s">
        <v>120</v>
      </c>
      <c r="F13" s="3"/>
    </row>
    <row r="14" spans="1:6" ht="19.5" customHeight="1" x14ac:dyDescent="0.25">
      <c r="A14" s="156" t="s">
        <v>11</v>
      </c>
      <c r="B14" s="159">
        <f>'SEM IMPREVISTOS'!B90+'SEM IMPREVISTOS'!B71+'SEM IMPREVISTOS'!B73</f>
        <v>2575359.9868533504</v>
      </c>
      <c r="C14" s="159">
        <f>B14/'GER_EXECUTIVO CART'!G$2</f>
        <v>165.05702399583092</v>
      </c>
      <c r="D14" s="67" t="str">
        <f>FIXED(CÁLCULO_MÉDIAS!X24,2,FALSE)&amp;" "&amp;"-"&amp;FIXED(CÁLCULO_MÉDIAS!Y24,2,FALSE)</f>
        <v>115,00 -180,00</v>
      </c>
      <c r="E14" s="95" t="s">
        <v>120</v>
      </c>
      <c r="F14" s="3"/>
    </row>
    <row r="15" spans="1:6" ht="19.5" customHeight="1" x14ac:dyDescent="0.25">
      <c r="A15" s="157" t="s">
        <v>12</v>
      </c>
      <c r="B15" s="158">
        <f>'SEM IMPREVISTOS'!C95</f>
        <v>2465512.4706464191</v>
      </c>
      <c r="C15" s="158">
        <f>B15/'GER_EXECUTIVO CART'!G$2</f>
        <v>158.01680274093636</v>
      </c>
      <c r="D15" s="46" t="str">
        <f>FIXED(CÁLCULO_MÉDIAS!X25,2,FALSE)&amp;" "&amp;"-"&amp;FIXED(CÁLCULO_MÉDIAS!Y25,2,FALSE)</f>
        <v>120,00 -180,00</v>
      </c>
      <c r="E15" s="95" t="s">
        <v>120</v>
      </c>
      <c r="F15" s="3"/>
    </row>
    <row r="16" spans="1:6" ht="19.5" customHeight="1" thickBot="1" x14ac:dyDescent="0.65">
      <c r="A16" s="52" t="s">
        <v>13</v>
      </c>
      <c r="B16" s="84">
        <f>SUM(B3:B15)</f>
        <v>51217757.785890207</v>
      </c>
      <c r="C16" s="53">
        <f t="shared" ref="C16" si="0">SUM(C3:C15)</f>
        <v>3282.5898977360034</v>
      </c>
      <c r="D16" s="54" t="str">
        <f>FIXED(CÁLCULO_MÉDIAS!X26,2,FALSE)&amp;" "&amp;"-"&amp;FIXED(CÁLCULO_MÉDIAS!Y26,2,FALSE)</f>
        <v>3.175,00 -4.170,00</v>
      </c>
      <c r="E16" s="3"/>
      <c r="F16" s="3"/>
    </row>
    <row r="17" spans="1:11" ht="21.75" customHeight="1" x14ac:dyDescent="0.6">
      <c r="A17" s="1"/>
      <c r="B17" s="5"/>
      <c r="C17" s="1"/>
      <c r="D17" s="38"/>
      <c r="E17" s="1">
        <f>175+660</f>
        <v>835</v>
      </c>
      <c r="F17" s="1"/>
    </row>
    <row r="18" spans="1:11" ht="21.75" customHeight="1" x14ac:dyDescent="0.6">
      <c r="A18" s="1"/>
      <c r="B18" s="5"/>
      <c r="C18" s="1"/>
      <c r="D18" s="38"/>
      <c r="E18" s="1"/>
      <c r="F18" s="1"/>
    </row>
    <row r="19" spans="1:11" ht="21.75" customHeight="1" x14ac:dyDescent="0.6">
      <c r="A19" s="1"/>
      <c r="B19" s="5"/>
      <c r="C19" s="1"/>
      <c r="D19" s="38"/>
      <c r="E19" s="1"/>
      <c r="F19" s="1"/>
    </row>
    <row r="20" spans="1:11" ht="21.75" customHeight="1" x14ac:dyDescent="0.6">
      <c r="A20" s="1"/>
      <c r="B20" s="5"/>
      <c r="C20" s="1"/>
      <c r="D20" s="38"/>
      <c r="E20" s="1"/>
      <c r="F20" s="1"/>
    </row>
    <row r="21" spans="1:11" ht="21.75" customHeight="1" x14ac:dyDescent="0.6">
      <c r="A21" s="1"/>
      <c r="B21" s="5"/>
      <c r="C21" s="1"/>
      <c r="D21" s="38"/>
      <c r="E21" s="1"/>
      <c r="F21" s="1"/>
    </row>
    <row r="22" spans="1:11" ht="21.75" customHeight="1" x14ac:dyDescent="0.6">
      <c r="A22" s="1"/>
      <c r="B22" s="5"/>
      <c r="C22" s="1"/>
      <c r="D22" s="38"/>
      <c r="E22" s="1"/>
      <c r="F22" s="1"/>
    </row>
    <row r="23" spans="1:11" ht="21.75" customHeight="1" x14ac:dyDescent="0.6">
      <c r="A23" s="1"/>
      <c r="B23" s="5"/>
      <c r="C23" s="1"/>
      <c r="D23" s="38"/>
      <c r="E23" s="1"/>
      <c r="F23" s="1"/>
    </row>
    <row r="24" spans="1:11" ht="21.75" customHeight="1" x14ac:dyDescent="0.6">
      <c r="A24" s="1"/>
      <c r="B24" s="5"/>
      <c r="C24" s="1"/>
      <c r="D24" s="38"/>
      <c r="E24" s="1"/>
      <c r="F24" s="1"/>
    </row>
    <row r="25" spans="1:11" ht="21.75" customHeight="1" x14ac:dyDescent="0.6">
      <c r="A25" s="1"/>
      <c r="B25" s="5"/>
      <c r="C25" s="1"/>
      <c r="D25" s="38"/>
      <c r="E25" s="1"/>
      <c r="F25" s="77"/>
      <c r="G25" s="77"/>
    </row>
    <row r="26" spans="1:11" ht="21.75" customHeight="1" x14ac:dyDescent="0.6">
      <c r="A26" s="1"/>
      <c r="B26" s="5"/>
      <c r="C26" s="1"/>
      <c r="D26" s="39"/>
      <c r="E26" s="1"/>
      <c r="H26" s="78"/>
      <c r="I26" s="78"/>
      <c r="J26" s="77"/>
      <c r="K26" s="77"/>
    </row>
    <row r="27" spans="1:11" ht="21.75" customHeight="1" x14ac:dyDescent="0.6">
      <c r="A27" s="1"/>
      <c r="B27" s="5"/>
      <c r="C27" s="5"/>
      <c r="D27" s="39"/>
      <c r="E27" s="1"/>
      <c r="H27" s="78"/>
      <c r="I27" s="78"/>
      <c r="J27" s="77"/>
      <c r="K27" s="77"/>
    </row>
    <row r="28" spans="1:11" ht="21.75" customHeight="1" x14ac:dyDescent="0.6">
      <c r="A28" s="1"/>
      <c r="B28" s="5"/>
      <c r="C28" s="5"/>
      <c r="D28" s="39"/>
      <c r="E28" s="1"/>
      <c r="H28" s="78"/>
      <c r="I28" s="78"/>
      <c r="J28" s="77"/>
      <c r="K28" s="77"/>
    </row>
    <row r="29" spans="1:11" ht="21.75" customHeight="1" x14ac:dyDescent="0.6">
      <c r="A29" s="1"/>
      <c r="B29" s="5"/>
      <c r="C29" s="5"/>
      <c r="D29" s="39"/>
      <c r="E29" s="1"/>
      <c r="H29" s="78"/>
      <c r="I29" s="78"/>
      <c r="J29" s="77"/>
      <c r="K29" s="77"/>
    </row>
    <row r="30" spans="1:11" ht="21.75" customHeight="1" x14ac:dyDescent="0.6">
      <c r="A30" s="1"/>
      <c r="B30" s="5"/>
      <c r="C30" s="5"/>
      <c r="D30" s="39"/>
      <c r="E30" s="1"/>
      <c r="H30" s="78"/>
      <c r="I30" s="78"/>
      <c r="J30" s="77"/>
      <c r="K30" s="77"/>
    </row>
    <row r="31" spans="1:11" ht="21.75" customHeight="1" x14ac:dyDescent="0.6">
      <c r="A31" s="1"/>
      <c r="B31" s="5"/>
      <c r="C31" s="1"/>
      <c r="D31" s="38"/>
      <c r="E31" s="1"/>
      <c r="F31" s="1"/>
    </row>
    <row r="32" spans="1:11" ht="21.75" customHeight="1" x14ac:dyDescent="0.6">
      <c r="A32" s="1"/>
      <c r="B32" s="5"/>
      <c r="C32" s="1"/>
      <c r="D32" s="38"/>
      <c r="E32" s="1"/>
      <c r="F32" s="1"/>
    </row>
    <row r="33" spans="1:6" ht="21.75" customHeight="1" x14ac:dyDescent="0.6">
      <c r="A33" s="1"/>
      <c r="B33" s="5"/>
      <c r="C33" s="1"/>
      <c r="D33" s="38"/>
      <c r="E33" s="1"/>
      <c r="F33" s="1"/>
    </row>
    <row r="34" spans="1:6" ht="21.75" customHeight="1" x14ac:dyDescent="0.6">
      <c r="A34" s="1"/>
      <c r="B34" s="5"/>
      <c r="C34" s="1"/>
      <c r="D34" s="38"/>
      <c r="E34" s="1"/>
      <c r="F34" s="1"/>
    </row>
    <row r="35" spans="1:6" ht="21.75" customHeight="1" x14ac:dyDescent="0.6">
      <c r="A35" s="1"/>
      <c r="B35" s="5"/>
      <c r="C35" s="1"/>
      <c r="D35" s="38"/>
      <c r="E35" s="1"/>
      <c r="F35" s="1"/>
    </row>
    <row r="36" spans="1:6" ht="21.75" customHeight="1" x14ac:dyDescent="0.6">
      <c r="A36" s="1"/>
      <c r="B36" s="5"/>
      <c r="C36" s="1"/>
      <c r="D36" s="38"/>
      <c r="E36" s="1"/>
      <c r="F36" s="1"/>
    </row>
    <row r="37" spans="1:6" ht="21.75" customHeight="1" x14ac:dyDescent="0.6">
      <c r="A37" s="1"/>
      <c r="B37" s="5"/>
      <c r="C37" s="1"/>
      <c r="D37" s="38"/>
      <c r="E37" s="1"/>
      <c r="F37" s="1"/>
    </row>
    <row r="38" spans="1:6" ht="21.75" customHeight="1" x14ac:dyDescent="0.6">
      <c r="A38" s="1"/>
      <c r="B38" s="5"/>
      <c r="C38" s="1"/>
      <c r="D38" s="38"/>
      <c r="E38" s="1"/>
      <c r="F38" s="1"/>
    </row>
    <row r="39" spans="1:6" ht="21.75" customHeight="1" x14ac:dyDescent="0.6">
      <c r="A39" s="1"/>
      <c r="B39" s="5"/>
      <c r="C39" s="1"/>
      <c r="D39" s="38"/>
      <c r="E39" s="1"/>
      <c r="F39" s="1"/>
    </row>
    <row r="40" spans="1:6" ht="21.75" customHeight="1" x14ac:dyDescent="0.6">
      <c r="A40" s="1"/>
      <c r="B40" s="5"/>
      <c r="C40" s="1"/>
      <c r="D40" s="38"/>
      <c r="E40" s="1"/>
      <c r="F40" s="1"/>
    </row>
    <row r="41" spans="1:6" ht="21.75" customHeight="1" x14ac:dyDescent="0.6">
      <c r="A41" s="1"/>
      <c r="B41" s="5"/>
      <c r="C41" s="1"/>
      <c r="D41" s="38"/>
      <c r="E41" s="1"/>
      <c r="F41" s="1"/>
    </row>
    <row r="42" spans="1:6" ht="21.75" customHeight="1" x14ac:dyDescent="0.6">
      <c r="A42" s="1"/>
      <c r="B42" s="5"/>
      <c r="C42" s="1"/>
      <c r="D42" s="38"/>
      <c r="E42" s="1"/>
      <c r="F42" s="1"/>
    </row>
    <row r="43" spans="1:6" ht="21.75" customHeight="1" x14ac:dyDescent="0.6">
      <c r="A43" s="1"/>
      <c r="B43" s="5"/>
      <c r="C43" s="1"/>
      <c r="D43" s="38"/>
      <c r="E43" s="1"/>
      <c r="F43" s="1"/>
    </row>
    <row r="44" spans="1:6" ht="21.75" customHeight="1" x14ac:dyDescent="0.6">
      <c r="A44" s="1"/>
      <c r="B44" s="5"/>
      <c r="C44" s="1"/>
      <c r="D44" s="38"/>
      <c r="E44" s="1"/>
      <c r="F44" s="1"/>
    </row>
    <row r="45" spans="1:6" ht="21.75" customHeight="1" x14ac:dyDescent="0.6">
      <c r="A45" s="1"/>
      <c r="B45" s="5"/>
      <c r="C45" s="1"/>
      <c r="D45" s="38"/>
      <c r="E45" s="1"/>
      <c r="F45" s="1"/>
    </row>
    <row r="46" spans="1:6" ht="21.75" customHeight="1" x14ac:dyDescent="0.6">
      <c r="A46" s="1"/>
      <c r="B46" s="5"/>
      <c r="C46" s="1"/>
      <c r="D46" s="38"/>
      <c r="E46" s="1"/>
      <c r="F46" s="1"/>
    </row>
    <row r="47" spans="1:6" ht="21.75" customHeight="1" x14ac:dyDescent="0.6">
      <c r="A47" s="1"/>
      <c r="B47" s="5"/>
      <c r="C47" s="1"/>
      <c r="D47" s="38"/>
      <c r="E47" s="1"/>
      <c r="F47" s="1"/>
    </row>
    <row r="48" spans="1:6" ht="21.75" customHeight="1" x14ac:dyDescent="0.6">
      <c r="A48" s="1"/>
      <c r="B48" s="5"/>
      <c r="C48" s="1"/>
      <c r="D48" s="38"/>
      <c r="E48" s="1"/>
      <c r="F48" s="1"/>
    </row>
    <row r="49" spans="1:6" ht="21.75" customHeight="1" x14ac:dyDescent="0.6">
      <c r="A49" s="1"/>
      <c r="B49" s="5"/>
      <c r="C49" s="1"/>
      <c r="D49" s="38"/>
      <c r="E49" s="1"/>
      <c r="F49" s="1"/>
    </row>
    <row r="50" spans="1:6" ht="21.75" customHeight="1" x14ac:dyDescent="0.6">
      <c r="A50" s="1"/>
      <c r="B50" s="5"/>
      <c r="C50" s="1"/>
      <c r="D50" s="38"/>
      <c r="E50" s="1"/>
      <c r="F50" s="1"/>
    </row>
    <row r="51" spans="1:6" ht="21.75" customHeight="1" x14ac:dyDescent="0.6">
      <c r="A51" s="1"/>
      <c r="B51" s="5"/>
      <c r="C51" s="1"/>
      <c r="D51" s="38"/>
      <c r="E51" s="1"/>
      <c r="F51" s="1"/>
    </row>
    <row r="52" spans="1:6" ht="21.75" customHeight="1" x14ac:dyDescent="0.6">
      <c r="A52" s="1"/>
      <c r="B52" s="5"/>
      <c r="C52" s="1"/>
      <c r="D52" s="38"/>
      <c r="E52" s="1"/>
      <c r="F52" s="1"/>
    </row>
    <row r="53" spans="1:6" ht="21.75" customHeight="1" x14ac:dyDescent="0.6">
      <c r="A53" s="1"/>
      <c r="B53" s="5"/>
      <c r="C53" s="1"/>
      <c r="D53" s="38"/>
      <c r="E53" s="1"/>
      <c r="F53" s="1"/>
    </row>
    <row r="54" spans="1:6" ht="21.75" customHeight="1" x14ac:dyDescent="0.6">
      <c r="A54" s="1"/>
      <c r="B54" s="5"/>
      <c r="C54" s="1"/>
      <c r="D54" s="38"/>
      <c r="E54" s="1"/>
      <c r="F54" s="1"/>
    </row>
    <row r="55" spans="1:6" ht="21.75" customHeight="1" x14ac:dyDescent="0.6">
      <c r="A55" s="1"/>
      <c r="B55" s="5"/>
      <c r="C55" s="1"/>
      <c r="D55" s="38"/>
      <c r="E55" s="1"/>
      <c r="F55" s="1"/>
    </row>
    <row r="56" spans="1:6" ht="21.75" customHeight="1" x14ac:dyDescent="0.6">
      <c r="A56" s="1"/>
      <c r="B56" s="5"/>
      <c r="C56" s="1"/>
      <c r="D56" s="38"/>
      <c r="E56" s="1"/>
      <c r="F56" s="1"/>
    </row>
    <row r="57" spans="1:6" ht="21.75" customHeight="1" x14ac:dyDescent="0.6">
      <c r="A57" s="1"/>
      <c r="B57" s="5"/>
      <c r="C57" s="1"/>
      <c r="D57" s="38"/>
      <c r="E57" s="1"/>
      <c r="F57" s="1"/>
    </row>
    <row r="58" spans="1:6" ht="21.75" customHeight="1" x14ac:dyDescent="0.6">
      <c r="A58" s="1"/>
      <c r="B58" s="5"/>
      <c r="C58" s="1"/>
      <c r="D58" s="38"/>
      <c r="E58" s="1"/>
      <c r="F58" s="1"/>
    </row>
    <row r="59" spans="1:6" ht="21.75" customHeight="1" x14ac:dyDescent="0.6">
      <c r="A59" s="1"/>
      <c r="B59" s="5"/>
      <c r="C59" s="1"/>
      <c r="D59" s="38"/>
      <c r="E59" s="1"/>
      <c r="F59" s="1"/>
    </row>
    <row r="60" spans="1:6" ht="21.75" customHeight="1" x14ac:dyDescent="0.6">
      <c r="A60" s="1"/>
      <c r="B60" s="5"/>
      <c r="C60" s="1"/>
      <c r="D60" s="38"/>
      <c r="E60" s="1"/>
      <c r="F60" s="1"/>
    </row>
    <row r="61" spans="1:6" ht="21.75" customHeight="1" x14ac:dyDescent="0.6">
      <c r="A61" s="1"/>
      <c r="B61" s="5"/>
      <c r="C61" s="1"/>
      <c r="D61" s="38"/>
      <c r="E61" s="1"/>
      <c r="F61" s="1"/>
    </row>
    <row r="62" spans="1:6" ht="21.75" customHeight="1" x14ac:dyDescent="0.6">
      <c r="A62" s="1"/>
      <c r="B62" s="5"/>
      <c r="C62" s="1"/>
      <c r="D62" s="38"/>
      <c r="E62" s="1"/>
      <c r="F62" s="1"/>
    </row>
    <row r="63" spans="1:6" ht="21.75" customHeight="1" x14ac:dyDescent="0.6">
      <c r="A63" s="1"/>
      <c r="B63" s="5"/>
      <c r="C63" s="1"/>
      <c r="D63" s="38"/>
      <c r="E63" s="1"/>
      <c r="F63" s="1"/>
    </row>
    <row r="64" spans="1:6" ht="21.75" customHeight="1" x14ac:dyDescent="0.6">
      <c r="A64" s="1"/>
      <c r="B64" s="5"/>
      <c r="C64" s="1"/>
      <c r="D64" s="38"/>
      <c r="E64" s="1"/>
      <c r="F64" s="1"/>
    </row>
    <row r="65" spans="1:6" ht="21.75" customHeight="1" x14ac:dyDescent="0.6">
      <c r="A65" s="1"/>
      <c r="B65" s="5"/>
      <c r="C65" s="1"/>
      <c r="D65" s="38"/>
      <c r="E65" s="1"/>
      <c r="F65" s="1"/>
    </row>
    <row r="66" spans="1:6" ht="21.75" customHeight="1" x14ac:dyDescent="0.6">
      <c r="A66" s="1"/>
      <c r="B66" s="5"/>
      <c r="C66" s="1"/>
      <c r="D66" s="38"/>
      <c r="E66" s="1"/>
      <c r="F66" s="1"/>
    </row>
    <row r="67" spans="1:6" ht="21.75" customHeight="1" x14ac:dyDescent="0.6">
      <c r="A67" s="1"/>
      <c r="B67" s="5"/>
      <c r="C67" s="1"/>
      <c r="D67" s="38"/>
      <c r="E67" s="1"/>
      <c r="F67" s="1"/>
    </row>
    <row r="68" spans="1:6" ht="21.75" customHeight="1" x14ac:dyDescent="0.6">
      <c r="A68" s="1"/>
      <c r="B68" s="5"/>
      <c r="C68" s="1"/>
      <c r="D68" s="38"/>
      <c r="E68" s="1"/>
      <c r="F68" s="1"/>
    </row>
    <row r="69" spans="1:6" ht="21.75" customHeight="1" x14ac:dyDescent="0.6">
      <c r="A69" s="1"/>
      <c r="B69" s="5"/>
      <c r="C69" s="1"/>
      <c r="D69" s="38"/>
      <c r="E69" s="1"/>
      <c r="F69" s="1"/>
    </row>
    <row r="70" spans="1:6" ht="21.75" customHeight="1" x14ac:dyDescent="0.6">
      <c r="A70" s="1"/>
      <c r="B70" s="5"/>
      <c r="C70" s="1"/>
      <c r="D70" s="38"/>
      <c r="E70" s="1"/>
      <c r="F70" s="1"/>
    </row>
    <row r="71" spans="1:6" ht="21.75" customHeight="1" x14ac:dyDescent="0.6">
      <c r="A71" s="1"/>
      <c r="B71" s="5"/>
      <c r="C71" s="1"/>
      <c r="D71" s="38"/>
      <c r="E71" s="1"/>
      <c r="F71" s="1"/>
    </row>
    <row r="72" spans="1:6" ht="21.75" customHeight="1" x14ac:dyDescent="0.6">
      <c r="A72" s="1"/>
      <c r="B72" s="5"/>
      <c r="C72" s="1"/>
      <c r="D72" s="38"/>
      <c r="E72" s="1"/>
      <c r="F72" s="1"/>
    </row>
    <row r="73" spans="1:6" ht="21.75" customHeight="1" x14ac:dyDescent="0.6">
      <c r="A73" s="1"/>
      <c r="B73" s="5"/>
      <c r="C73" s="1"/>
      <c r="D73" s="38"/>
      <c r="E73" s="1"/>
      <c r="F73" s="1"/>
    </row>
    <row r="74" spans="1:6" ht="21.75" customHeight="1" x14ac:dyDescent="0.6">
      <c r="A74" s="1"/>
      <c r="B74" s="5"/>
      <c r="C74" s="1"/>
      <c r="D74" s="38"/>
      <c r="E74" s="1"/>
      <c r="F74" s="1"/>
    </row>
    <row r="75" spans="1:6" ht="21.75" customHeight="1" x14ac:dyDescent="0.6">
      <c r="A75" s="1"/>
      <c r="B75" s="5"/>
      <c r="C75" s="1"/>
      <c r="D75" s="38"/>
      <c r="E75" s="1"/>
      <c r="F75" s="1"/>
    </row>
    <row r="76" spans="1:6" ht="21.75" customHeight="1" x14ac:dyDescent="0.6">
      <c r="A76" s="1"/>
      <c r="B76" s="5"/>
      <c r="C76" s="1"/>
      <c r="D76" s="38"/>
      <c r="E76" s="1"/>
      <c r="F76" s="1"/>
    </row>
    <row r="77" spans="1:6" ht="21.75" customHeight="1" x14ac:dyDescent="0.6">
      <c r="A77" s="1"/>
      <c r="B77" s="5"/>
      <c r="C77" s="1"/>
      <c r="D77" s="38"/>
      <c r="E77" s="1"/>
      <c r="F77" s="1"/>
    </row>
    <row r="78" spans="1:6" ht="21.75" customHeight="1" x14ac:dyDescent="0.6">
      <c r="A78" s="1"/>
      <c r="B78" s="5"/>
      <c r="C78" s="1"/>
      <c r="D78" s="38"/>
      <c r="E78" s="1"/>
      <c r="F78" s="1"/>
    </row>
    <row r="79" spans="1:6" ht="21.75" customHeight="1" x14ac:dyDescent="0.6">
      <c r="A79" s="1"/>
      <c r="B79" s="5"/>
      <c r="C79" s="1"/>
      <c r="D79" s="38"/>
      <c r="E79" s="1"/>
      <c r="F79" s="1"/>
    </row>
    <row r="80" spans="1:6" ht="21.75" customHeight="1" x14ac:dyDescent="0.6">
      <c r="A80" s="1"/>
      <c r="B80" s="5"/>
      <c r="C80" s="1"/>
      <c r="D80" s="38"/>
      <c r="E80" s="1"/>
      <c r="F80" s="1"/>
    </row>
    <row r="81" spans="1:6" ht="21.75" customHeight="1" x14ac:dyDescent="0.6">
      <c r="A81" s="1"/>
      <c r="B81" s="5"/>
      <c r="C81" s="1"/>
      <c r="D81" s="38"/>
      <c r="E81" s="1"/>
      <c r="F81" s="1"/>
    </row>
    <row r="82" spans="1:6" ht="21.75" customHeight="1" x14ac:dyDescent="0.6">
      <c r="A82" s="1"/>
      <c r="B82" s="5"/>
      <c r="C82" s="1"/>
      <c r="D82" s="38"/>
      <c r="E82" s="1"/>
      <c r="F82" s="1"/>
    </row>
    <row r="83" spans="1:6" ht="21.75" customHeight="1" x14ac:dyDescent="0.6">
      <c r="A83" s="1"/>
      <c r="B83" s="5"/>
      <c r="C83" s="1"/>
      <c r="D83" s="38"/>
      <c r="E83" s="1"/>
      <c r="F83" s="1"/>
    </row>
    <row r="84" spans="1:6" ht="21.75" customHeight="1" x14ac:dyDescent="0.6">
      <c r="A84" s="1"/>
      <c r="B84" s="5"/>
      <c r="C84" s="1"/>
      <c r="D84" s="38"/>
      <c r="E84" s="1"/>
      <c r="F84" s="1"/>
    </row>
    <row r="85" spans="1:6" ht="21.75" customHeight="1" x14ac:dyDescent="0.6">
      <c r="A85" s="1"/>
      <c r="B85" s="5"/>
      <c r="C85" s="1"/>
      <c r="D85" s="38"/>
      <c r="E85" s="1"/>
      <c r="F85" s="1"/>
    </row>
    <row r="86" spans="1:6" ht="21.75" customHeight="1" x14ac:dyDescent="0.6">
      <c r="A86" s="1"/>
      <c r="B86" s="5"/>
      <c r="C86" s="1"/>
      <c r="D86" s="38"/>
      <c r="E86" s="1"/>
      <c r="F86" s="1"/>
    </row>
    <row r="87" spans="1:6" ht="21.75" customHeight="1" x14ac:dyDescent="0.6">
      <c r="A87" s="1"/>
      <c r="B87" s="5"/>
      <c r="C87" s="1"/>
      <c r="D87" s="38"/>
      <c r="E87" s="1"/>
      <c r="F87" s="1"/>
    </row>
    <row r="88" spans="1:6" ht="21.75" customHeight="1" x14ac:dyDescent="0.6">
      <c r="A88" s="1"/>
      <c r="B88" s="5"/>
      <c r="C88" s="1"/>
      <c r="D88" s="38"/>
      <c r="E88" s="1"/>
      <c r="F88" s="1"/>
    </row>
    <row r="89" spans="1:6" ht="21.75" customHeight="1" x14ac:dyDescent="0.6">
      <c r="A89" s="1"/>
      <c r="B89" s="5"/>
      <c r="C89" s="1"/>
      <c r="D89" s="38"/>
      <c r="E89" s="1"/>
      <c r="F89" s="1"/>
    </row>
    <row r="90" spans="1:6" ht="21.75" customHeight="1" x14ac:dyDescent="0.6">
      <c r="A90" s="1"/>
      <c r="B90" s="5"/>
      <c r="C90" s="1"/>
      <c r="D90" s="38"/>
      <c r="E90" s="1"/>
      <c r="F90" s="1"/>
    </row>
    <row r="91" spans="1:6" ht="21.75" customHeight="1" x14ac:dyDescent="0.6">
      <c r="A91" s="1"/>
      <c r="B91" s="5"/>
      <c r="C91" s="1"/>
      <c r="D91" s="38"/>
      <c r="E91" s="1"/>
      <c r="F91" s="1"/>
    </row>
    <row r="92" spans="1:6" ht="21.75" customHeight="1" x14ac:dyDescent="0.6">
      <c r="A92" s="1"/>
      <c r="B92" s="5"/>
      <c r="C92" s="1"/>
      <c r="D92" s="38"/>
      <c r="E92" s="1"/>
      <c r="F92" s="1"/>
    </row>
    <row r="93" spans="1:6" ht="21.75" customHeight="1" x14ac:dyDescent="0.6">
      <c r="A93" s="1"/>
      <c r="B93" s="5"/>
      <c r="C93" s="1"/>
      <c r="D93" s="38"/>
      <c r="E93" s="1"/>
      <c r="F93" s="1"/>
    </row>
    <row r="94" spans="1:6" ht="21.75" customHeight="1" x14ac:dyDescent="0.6">
      <c r="A94" s="1"/>
      <c r="B94" s="5"/>
      <c r="C94" s="1"/>
      <c r="D94" s="38"/>
      <c r="E94" s="1"/>
      <c r="F94" s="1"/>
    </row>
    <row r="95" spans="1:6" ht="21.75" customHeight="1" x14ac:dyDescent="0.6">
      <c r="A95" s="1"/>
      <c r="B95" s="5"/>
      <c r="C95" s="1"/>
      <c r="D95" s="38"/>
      <c r="E95" s="1"/>
      <c r="F95" s="1"/>
    </row>
    <row r="96" spans="1:6" ht="21.75" customHeight="1" x14ac:dyDescent="0.6">
      <c r="A96" s="1"/>
      <c r="B96" s="5"/>
      <c r="C96" s="1"/>
      <c r="D96" s="38"/>
      <c r="E96" s="1"/>
      <c r="F96" s="1"/>
    </row>
    <row r="97" spans="1:6" ht="21.75" customHeight="1" x14ac:dyDescent="0.6">
      <c r="A97" s="1"/>
      <c r="B97" s="5"/>
      <c r="C97" s="1"/>
      <c r="D97" s="38"/>
      <c r="E97" s="1"/>
      <c r="F97" s="1"/>
    </row>
    <row r="98" spans="1:6" ht="21.75" customHeight="1" x14ac:dyDescent="0.6">
      <c r="A98" s="1"/>
      <c r="B98" s="5"/>
      <c r="C98" s="1"/>
      <c r="D98" s="38"/>
      <c r="E98" s="1"/>
      <c r="F98" s="1"/>
    </row>
    <row r="99" spans="1:6" ht="21.75" customHeight="1" x14ac:dyDescent="0.6">
      <c r="A99" s="1"/>
      <c r="B99" s="5"/>
      <c r="C99" s="1"/>
      <c r="D99" s="38"/>
      <c r="E99" s="1"/>
      <c r="F99" s="1"/>
    </row>
    <row r="100" spans="1:6" ht="21.75" customHeight="1" x14ac:dyDescent="0.6">
      <c r="A100" s="1"/>
      <c r="B100" s="5"/>
      <c r="C100" s="1"/>
      <c r="D100" s="38"/>
      <c r="E100" s="1"/>
      <c r="F100" s="1"/>
    </row>
    <row r="101" spans="1:6" ht="21.75" customHeight="1" x14ac:dyDescent="0.6">
      <c r="A101" s="1"/>
      <c r="B101" s="5"/>
      <c r="C101" s="1"/>
      <c r="D101" s="38"/>
      <c r="E101" s="1"/>
      <c r="F101" s="1"/>
    </row>
    <row r="102" spans="1:6" ht="21.75" customHeight="1" x14ac:dyDescent="0.6">
      <c r="A102" s="1"/>
      <c r="B102" s="5"/>
      <c r="C102" s="1"/>
      <c r="D102" s="38"/>
      <c r="E102" s="1"/>
      <c r="F102" s="1"/>
    </row>
    <row r="103" spans="1:6" ht="21.75" customHeight="1" x14ac:dyDescent="0.6">
      <c r="A103" s="1"/>
      <c r="B103" s="5"/>
      <c r="C103" s="1"/>
      <c r="D103" s="38"/>
      <c r="E103" s="1"/>
      <c r="F103" s="1"/>
    </row>
    <row r="104" spans="1:6" ht="21.75" customHeight="1" x14ac:dyDescent="0.6">
      <c r="A104" s="1"/>
      <c r="B104" s="5"/>
      <c r="C104" s="1"/>
      <c r="D104" s="38"/>
      <c r="E104" s="1"/>
      <c r="F104" s="1"/>
    </row>
    <row r="105" spans="1:6" ht="21.75" customHeight="1" x14ac:dyDescent="0.6">
      <c r="A105" s="1"/>
      <c r="B105" s="5"/>
      <c r="C105" s="1"/>
      <c r="D105" s="38"/>
      <c r="E105" s="1"/>
      <c r="F105" s="1"/>
    </row>
    <row r="106" spans="1:6" ht="21.75" customHeight="1" x14ac:dyDescent="0.6">
      <c r="A106" s="1"/>
      <c r="B106" s="5"/>
      <c r="C106" s="1"/>
      <c r="D106" s="38"/>
      <c r="E106" s="1"/>
      <c r="F106" s="1"/>
    </row>
    <row r="107" spans="1:6" ht="21.75" customHeight="1" x14ac:dyDescent="0.6">
      <c r="A107" s="1"/>
      <c r="B107" s="5"/>
      <c r="C107" s="1"/>
      <c r="D107" s="38"/>
      <c r="E107" s="1"/>
      <c r="F107" s="1"/>
    </row>
    <row r="108" spans="1:6" ht="21.75" customHeight="1" x14ac:dyDescent="0.6">
      <c r="A108" s="1"/>
      <c r="B108" s="5"/>
      <c r="C108" s="1"/>
      <c r="D108" s="38"/>
      <c r="E108" s="1"/>
      <c r="F108" s="1"/>
    </row>
    <row r="109" spans="1:6" ht="21.75" customHeight="1" x14ac:dyDescent="0.6">
      <c r="A109" s="1"/>
      <c r="B109" s="5"/>
      <c r="C109" s="1"/>
      <c r="D109" s="38"/>
      <c r="E109" s="1"/>
      <c r="F109" s="1"/>
    </row>
    <row r="110" spans="1:6" ht="21.75" customHeight="1" x14ac:dyDescent="0.6">
      <c r="A110" s="1"/>
      <c r="B110" s="5"/>
      <c r="C110" s="1"/>
      <c r="D110" s="38"/>
      <c r="E110" s="1"/>
      <c r="F110" s="1"/>
    </row>
    <row r="111" spans="1:6" ht="21.75" customHeight="1" x14ac:dyDescent="0.6">
      <c r="A111" s="1"/>
      <c r="B111" s="5"/>
      <c r="C111" s="1"/>
      <c r="D111" s="38"/>
      <c r="E111" s="1"/>
      <c r="F111" s="1"/>
    </row>
    <row r="112" spans="1:6" ht="21.75" customHeight="1" x14ac:dyDescent="0.6">
      <c r="A112" s="1"/>
      <c r="B112" s="5"/>
      <c r="C112" s="1"/>
      <c r="D112" s="38"/>
      <c r="E112" s="1"/>
      <c r="F112" s="1"/>
    </row>
    <row r="113" spans="1:6" ht="21.75" customHeight="1" x14ac:dyDescent="0.6">
      <c r="A113" s="1"/>
      <c r="B113" s="5"/>
      <c r="C113" s="1"/>
      <c r="D113" s="38"/>
      <c r="E113" s="1"/>
      <c r="F113" s="1"/>
    </row>
    <row r="114" spans="1:6" ht="21.75" customHeight="1" x14ac:dyDescent="0.6">
      <c r="A114" s="1"/>
      <c r="B114" s="5"/>
      <c r="C114" s="1"/>
      <c r="D114" s="38"/>
      <c r="E114" s="1"/>
      <c r="F114" s="1"/>
    </row>
    <row r="115" spans="1:6" ht="21.75" customHeight="1" x14ac:dyDescent="0.6">
      <c r="A115" s="1"/>
      <c r="B115" s="5"/>
      <c r="C115" s="1"/>
      <c r="D115" s="38"/>
      <c r="E115" s="1"/>
      <c r="F115" s="1"/>
    </row>
    <row r="116" spans="1:6" ht="21.75" customHeight="1" x14ac:dyDescent="0.6">
      <c r="A116" s="1"/>
      <c r="B116" s="5"/>
      <c r="C116" s="1"/>
      <c r="D116" s="38"/>
      <c r="E116" s="1"/>
      <c r="F116" s="1"/>
    </row>
    <row r="117" spans="1:6" ht="21.75" customHeight="1" x14ac:dyDescent="0.6">
      <c r="A117" s="1"/>
      <c r="B117" s="5"/>
      <c r="C117" s="1"/>
      <c r="D117" s="38"/>
      <c r="E117" s="1"/>
      <c r="F117" s="1"/>
    </row>
    <row r="118" spans="1:6" ht="21.75" customHeight="1" x14ac:dyDescent="0.6">
      <c r="A118" s="1"/>
      <c r="B118" s="5"/>
      <c r="C118" s="1"/>
      <c r="D118" s="38"/>
      <c r="E118" s="1"/>
      <c r="F118" s="1"/>
    </row>
    <row r="119" spans="1:6" ht="21.75" customHeight="1" x14ac:dyDescent="0.6">
      <c r="A119" s="1"/>
      <c r="B119" s="5"/>
      <c r="C119" s="1"/>
      <c r="D119" s="38"/>
      <c r="E119" s="1"/>
      <c r="F119" s="1"/>
    </row>
    <row r="120" spans="1:6" ht="21.75" customHeight="1" x14ac:dyDescent="0.6">
      <c r="A120" s="1"/>
      <c r="B120" s="5"/>
      <c r="C120" s="1"/>
      <c r="D120" s="38"/>
      <c r="E120" s="1"/>
      <c r="F120" s="1"/>
    </row>
    <row r="121" spans="1:6" ht="21.75" customHeight="1" x14ac:dyDescent="0.6">
      <c r="A121" s="1"/>
      <c r="B121" s="5"/>
      <c r="C121" s="1"/>
      <c r="D121" s="38"/>
      <c r="E121" s="1"/>
      <c r="F121" s="1"/>
    </row>
    <row r="122" spans="1:6" ht="21.75" customHeight="1" x14ac:dyDescent="0.6">
      <c r="A122" s="1"/>
      <c r="B122" s="5"/>
      <c r="C122" s="1"/>
      <c r="D122" s="38"/>
      <c r="E122" s="1"/>
      <c r="F122" s="1"/>
    </row>
    <row r="123" spans="1:6" ht="21.75" customHeight="1" x14ac:dyDescent="0.6">
      <c r="A123" s="1"/>
      <c r="B123" s="5"/>
      <c r="C123" s="1"/>
      <c r="D123" s="38"/>
      <c r="E123" s="1"/>
      <c r="F123" s="1"/>
    </row>
    <row r="124" spans="1:6" ht="21.75" customHeight="1" x14ac:dyDescent="0.6">
      <c r="A124" s="1"/>
      <c r="B124" s="5"/>
      <c r="C124" s="1"/>
      <c r="D124" s="38"/>
      <c r="E124" s="1"/>
      <c r="F124" s="1"/>
    </row>
    <row r="125" spans="1:6" ht="21.75" customHeight="1" x14ac:dyDescent="0.6">
      <c r="A125" s="1"/>
      <c r="B125" s="5"/>
      <c r="C125" s="1"/>
      <c r="D125" s="38"/>
      <c r="E125" s="1"/>
      <c r="F125" s="1"/>
    </row>
    <row r="126" spans="1:6" ht="21.75" customHeight="1" x14ac:dyDescent="0.6">
      <c r="A126" s="1"/>
      <c r="B126" s="5"/>
      <c r="C126" s="1"/>
      <c r="D126" s="38"/>
      <c r="E126" s="1"/>
      <c r="F126" s="1"/>
    </row>
    <row r="127" spans="1:6" ht="21.75" customHeight="1" x14ac:dyDescent="0.6">
      <c r="A127" s="1"/>
      <c r="B127" s="5"/>
      <c r="C127" s="1"/>
      <c r="D127" s="38"/>
      <c r="E127" s="1"/>
      <c r="F127" s="1"/>
    </row>
    <row r="128" spans="1:6" ht="21.75" customHeight="1" x14ac:dyDescent="0.6">
      <c r="A128" s="1"/>
      <c r="B128" s="5"/>
      <c r="C128" s="1"/>
      <c r="D128" s="38"/>
      <c r="E128" s="1"/>
      <c r="F128" s="1"/>
    </row>
    <row r="129" spans="1:6" ht="21.75" customHeight="1" x14ac:dyDescent="0.6">
      <c r="A129" s="1"/>
      <c r="B129" s="5"/>
      <c r="C129" s="1"/>
      <c r="D129" s="38"/>
      <c r="E129" s="1"/>
      <c r="F129" s="1"/>
    </row>
    <row r="130" spans="1:6" ht="21.75" customHeight="1" x14ac:dyDescent="0.6">
      <c r="A130" s="1"/>
      <c r="B130" s="5"/>
      <c r="C130" s="1"/>
      <c r="D130" s="38"/>
      <c r="E130" s="1"/>
      <c r="F130" s="1"/>
    </row>
    <row r="131" spans="1:6" ht="21.75" customHeight="1" x14ac:dyDescent="0.6">
      <c r="A131" s="1"/>
      <c r="B131" s="5"/>
      <c r="C131" s="1"/>
      <c r="D131" s="38"/>
      <c r="E131" s="1"/>
      <c r="F131" s="1"/>
    </row>
    <row r="132" spans="1:6" ht="21.75" customHeight="1" x14ac:dyDescent="0.6">
      <c r="A132" s="1"/>
      <c r="B132" s="5"/>
      <c r="C132" s="1"/>
      <c r="D132" s="38"/>
      <c r="E132" s="1"/>
      <c r="F132" s="1"/>
    </row>
    <row r="133" spans="1:6" ht="21.75" customHeight="1" x14ac:dyDescent="0.6">
      <c r="A133" s="1"/>
      <c r="B133" s="5"/>
      <c r="C133" s="1"/>
      <c r="D133" s="38"/>
      <c r="E133" s="1"/>
      <c r="F133" s="1"/>
    </row>
    <row r="134" spans="1:6" ht="21.75" customHeight="1" x14ac:dyDescent="0.6">
      <c r="A134" s="1"/>
      <c r="B134" s="5"/>
      <c r="C134" s="1"/>
      <c r="D134" s="38"/>
      <c r="E134" s="1"/>
      <c r="F134" s="1"/>
    </row>
    <row r="135" spans="1:6" ht="21.75" customHeight="1" x14ac:dyDescent="0.6">
      <c r="A135" s="1"/>
      <c r="B135" s="5"/>
      <c r="C135" s="1"/>
      <c r="D135" s="38"/>
      <c r="E135" s="1"/>
      <c r="F135" s="1"/>
    </row>
    <row r="136" spans="1:6" ht="21.75" customHeight="1" x14ac:dyDescent="0.6">
      <c r="A136" s="1"/>
      <c r="B136" s="5"/>
      <c r="C136" s="1"/>
      <c r="D136" s="38"/>
      <c r="E136" s="1"/>
      <c r="F136" s="1"/>
    </row>
    <row r="137" spans="1:6" ht="21.75" customHeight="1" x14ac:dyDescent="0.6">
      <c r="A137" s="1"/>
      <c r="B137" s="5"/>
      <c r="C137" s="1"/>
      <c r="D137" s="38"/>
      <c r="E137" s="1"/>
      <c r="F137" s="1"/>
    </row>
    <row r="138" spans="1:6" ht="21.75" customHeight="1" x14ac:dyDescent="0.6">
      <c r="A138" s="1"/>
      <c r="B138" s="5"/>
      <c r="C138" s="1"/>
      <c r="D138" s="38"/>
      <c r="E138" s="1"/>
      <c r="F138" s="1"/>
    </row>
    <row r="139" spans="1:6" ht="21.75" customHeight="1" x14ac:dyDescent="0.6">
      <c r="A139" s="1"/>
      <c r="B139" s="5"/>
      <c r="C139" s="1"/>
      <c r="D139" s="38"/>
      <c r="E139" s="1"/>
      <c r="F139" s="1"/>
    </row>
    <row r="140" spans="1:6" ht="21.75" customHeight="1" x14ac:dyDescent="0.6">
      <c r="A140" s="1"/>
      <c r="B140" s="5"/>
      <c r="C140" s="1"/>
      <c r="D140" s="38"/>
      <c r="E140" s="1"/>
      <c r="F140" s="1"/>
    </row>
    <row r="141" spans="1:6" ht="21.75" customHeight="1" x14ac:dyDescent="0.6">
      <c r="A141" s="1"/>
      <c r="B141" s="5"/>
      <c r="C141" s="1"/>
      <c r="D141" s="38"/>
      <c r="E141" s="1"/>
      <c r="F141" s="1"/>
    </row>
    <row r="142" spans="1:6" ht="21.75" customHeight="1" x14ac:dyDescent="0.6">
      <c r="A142" s="1"/>
      <c r="B142" s="5"/>
      <c r="C142" s="1"/>
      <c r="D142" s="38"/>
      <c r="E142" s="1"/>
      <c r="F142" s="1"/>
    </row>
    <row r="143" spans="1:6" ht="21.75" customHeight="1" x14ac:dyDescent="0.6">
      <c r="A143" s="1"/>
      <c r="B143" s="5"/>
      <c r="C143" s="1"/>
      <c r="D143" s="38"/>
      <c r="E143" s="1"/>
      <c r="F143" s="1"/>
    </row>
    <row r="144" spans="1:6" ht="21.75" customHeight="1" x14ac:dyDescent="0.6">
      <c r="A144" s="1"/>
      <c r="B144" s="5"/>
      <c r="C144" s="1"/>
      <c r="D144" s="38"/>
      <c r="E144" s="1"/>
      <c r="F144" s="1"/>
    </row>
    <row r="145" spans="1:6" ht="21.75" customHeight="1" x14ac:dyDescent="0.6">
      <c r="A145" s="1"/>
      <c r="B145" s="5"/>
      <c r="C145" s="1"/>
      <c r="D145" s="38"/>
      <c r="E145" s="1"/>
      <c r="F145" s="1"/>
    </row>
    <row r="146" spans="1:6" ht="21.75" customHeight="1" x14ac:dyDescent="0.6">
      <c r="A146" s="1"/>
      <c r="B146" s="5"/>
      <c r="C146" s="1"/>
      <c r="D146" s="38"/>
      <c r="E146" s="1"/>
      <c r="F146" s="1"/>
    </row>
    <row r="147" spans="1:6" ht="21.75" customHeight="1" x14ac:dyDescent="0.6">
      <c r="A147" s="1"/>
      <c r="B147" s="5"/>
      <c r="C147" s="1"/>
      <c r="D147" s="38"/>
      <c r="E147" s="1"/>
      <c r="F147" s="1"/>
    </row>
    <row r="148" spans="1:6" ht="21.75" customHeight="1" x14ac:dyDescent="0.6">
      <c r="A148" s="1"/>
      <c r="B148" s="5"/>
      <c r="C148" s="1"/>
      <c r="D148" s="38"/>
      <c r="E148" s="1"/>
      <c r="F148" s="1"/>
    </row>
    <row r="149" spans="1:6" ht="21.75" customHeight="1" x14ac:dyDescent="0.6">
      <c r="A149" s="1"/>
      <c r="B149" s="5"/>
      <c r="C149" s="1"/>
      <c r="D149" s="38"/>
      <c r="E149" s="1"/>
      <c r="F149" s="1"/>
    </row>
    <row r="150" spans="1:6" ht="21.75" customHeight="1" x14ac:dyDescent="0.6">
      <c r="A150" s="1"/>
      <c r="B150" s="5"/>
      <c r="C150" s="1"/>
      <c r="D150" s="38"/>
      <c r="E150" s="1"/>
      <c r="F150" s="1"/>
    </row>
    <row r="151" spans="1:6" ht="21.75" customHeight="1" x14ac:dyDescent="0.6">
      <c r="A151" s="1"/>
      <c r="B151" s="5"/>
      <c r="C151" s="1"/>
      <c r="D151" s="38"/>
      <c r="E151" s="1"/>
      <c r="F151" s="1"/>
    </row>
    <row r="152" spans="1:6" ht="21.75" customHeight="1" x14ac:dyDescent="0.6">
      <c r="A152" s="1"/>
      <c r="B152" s="5"/>
      <c r="C152" s="1"/>
      <c r="D152" s="38"/>
      <c r="E152" s="1"/>
      <c r="F152" s="1"/>
    </row>
    <row r="153" spans="1:6" ht="21.75" customHeight="1" x14ac:dyDescent="0.6">
      <c r="A153" s="1"/>
      <c r="B153" s="5"/>
      <c r="C153" s="1"/>
      <c r="D153" s="38"/>
      <c r="E153" s="1"/>
      <c r="F153" s="1"/>
    </row>
    <row r="154" spans="1:6" ht="21.75" customHeight="1" x14ac:dyDescent="0.6">
      <c r="A154" s="1"/>
      <c r="B154" s="5"/>
      <c r="C154" s="1"/>
      <c r="D154" s="38"/>
      <c r="E154" s="1"/>
      <c r="F154" s="1"/>
    </row>
    <row r="155" spans="1:6" ht="21.75" customHeight="1" x14ac:dyDescent="0.6">
      <c r="A155" s="1"/>
      <c r="B155" s="5"/>
      <c r="C155" s="1"/>
      <c r="D155" s="38"/>
      <c r="E155" s="1"/>
      <c r="F155" s="1"/>
    </row>
    <row r="156" spans="1:6" ht="21.75" customHeight="1" x14ac:dyDescent="0.6">
      <c r="A156" s="1"/>
      <c r="B156" s="5"/>
      <c r="C156" s="1"/>
      <c r="D156" s="38"/>
      <c r="E156" s="1"/>
      <c r="F156" s="1"/>
    </row>
    <row r="157" spans="1:6" ht="21.75" customHeight="1" x14ac:dyDescent="0.6">
      <c r="A157" s="1"/>
      <c r="B157" s="5"/>
      <c r="C157" s="1"/>
      <c r="D157" s="38"/>
      <c r="E157" s="1"/>
      <c r="F157" s="1"/>
    </row>
    <row r="158" spans="1:6" ht="21.75" customHeight="1" x14ac:dyDescent="0.6">
      <c r="A158" s="1"/>
      <c r="B158" s="5"/>
      <c r="C158" s="1"/>
      <c r="D158" s="38"/>
      <c r="E158" s="1"/>
      <c r="F158" s="1"/>
    </row>
    <row r="159" spans="1:6" ht="21.75" customHeight="1" x14ac:dyDescent="0.6">
      <c r="A159" s="1"/>
      <c r="B159" s="5"/>
      <c r="C159" s="1"/>
      <c r="D159" s="38"/>
      <c r="E159" s="1"/>
      <c r="F159" s="1"/>
    </row>
    <row r="160" spans="1:6" ht="21.75" customHeight="1" x14ac:dyDescent="0.6">
      <c r="A160" s="1"/>
      <c r="B160" s="5"/>
      <c r="C160" s="1"/>
      <c r="D160" s="38"/>
      <c r="E160" s="1"/>
      <c r="F160" s="1"/>
    </row>
    <row r="161" spans="1:6" ht="21.75" customHeight="1" x14ac:dyDescent="0.6">
      <c r="A161" s="1"/>
      <c r="B161" s="5"/>
      <c r="C161" s="1"/>
      <c r="D161" s="38"/>
      <c r="E161" s="1"/>
      <c r="F161" s="1"/>
    </row>
    <row r="162" spans="1:6" ht="21.75" customHeight="1" x14ac:dyDescent="0.6">
      <c r="A162" s="1"/>
      <c r="B162" s="5"/>
      <c r="C162" s="1"/>
      <c r="D162" s="38"/>
      <c r="E162" s="1"/>
      <c r="F162" s="1"/>
    </row>
    <row r="163" spans="1:6" ht="21.75" customHeight="1" x14ac:dyDescent="0.6">
      <c r="A163" s="1"/>
      <c r="B163" s="5"/>
      <c r="C163" s="1"/>
      <c r="D163" s="38"/>
      <c r="E163" s="1"/>
      <c r="F163" s="1"/>
    </row>
    <row r="164" spans="1:6" ht="21.75" customHeight="1" x14ac:dyDescent="0.6">
      <c r="A164" s="1"/>
      <c r="B164" s="5"/>
      <c r="C164" s="1"/>
      <c r="D164" s="38"/>
      <c r="E164" s="1"/>
      <c r="F164" s="1"/>
    </row>
    <row r="165" spans="1:6" ht="21.75" customHeight="1" x14ac:dyDescent="0.6">
      <c r="A165" s="1"/>
      <c r="B165" s="5"/>
      <c r="C165" s="1"/>
      <c r="D165" s="38"/>
      <c r="E165" s="1"/>
      <c r="F165" s="1"/>
    </row>
    <row r="166" spans="1:6" ht="21.75" customHeight="1" x14ac:dyDescent="0.6">
      <c r="A166" s="1"/>
      <c r="B166" s="5"/>
      <c r="C166" s="1"/>
      <c r="D166" s="38"/>
      <c r="E166" s="1"/>
      <c r="F166" s="1"/>
    </row>
    <row r="167" spans="1:6" ht="21.75" customHeight="1" x14ac:dyDescent="0.6">
      <c r="A167" s="1"/>
      <c r="B167" s="5"/>
      <c r="C167" s="1"/>
      <c r="D167" s="38"/>
      <c r="E167" s="1"/>
      <c r="F167" s="1"/>
    </row>
    <row r="168" spans="1:6" ht="21.75" customHeight="1" x14ac:dyDescent="0.6">
      <c r="A168" s="1"/>
      <c r="B168" s="5"/>
      <c r="C168" s="1"/>
      <c r="D168" s="38"/>
      <c r="E168" s="1"/>
      <c r="F168" s="1"/>
    </row>
    <row r="169" spans="1:6" ht="21.75" customHeight="1" x14ac:dyDescent="0.6">
      <c r="A169" s="1"/>
      <c r="B169" s="5"/>
      <c r="C169" s="1"/>
      <c r="D169" s="38"/>
      <c r="E169" s="1"/>
      <c r="F169" s="1"/>
    </row>
    <row r="170" spans="1:6" ht="21.75" customHeight="1" x14ac:dyDescent="0.6">
      <c r="A170" s="1"/>
      <c r="B170" s="5"/>
      <c r="C170" s="1"/>
      <c r="D170" s="38"/>
      <c r="E170" s="1"/>
      <c r="F170" s="1"/>
    </row>
    <row r="171" spans="1:6" ht="21.75" customHeight="1" x14ac:dyDescent="0.6">
      <c r="A171" s="1"/>
      <c r="B171" s="5"/>
      <c r="C171" s="1"/>
      <c r="D171" s="38"/>
      <c r="E171" s="1"/>
      <c r="F171" s="1"/>
    </row>
    <row r="172" spans="1:6" ht="21.75" customHeight="1" x14ac:dyDescent="0.6">
      <c r="A172" s="1"/>
      <c r="B172" s="5"/>
      <c r="C172" s="1"/>
      <c r="D172" s="38"/>
      <c r="E172" s="1"/>
      <c r="F172" s="1"/>
    </row>
    <row r="173" spans="1:6" ht="21.75" customHeight="1" x14ac:dyDescent="0.6">
      <c r="A173" s="1"/>
      <c r="B173" s="5"/>
      <c r="C173" s="1"/>
      <c r="D173" s="38"/>
      <c r="E173" s="1"/>
      <c r="F173" s="1"/>
    </row>
    <row r="174" spans="1:6" ht="21.75" customHeight="1" x14ac:dyDescent="0.6">
      <c r="A174" s="1"/>
      <c r="B174" s="5"/>
      <c r="C174" s="1"/>
      <c r="D174" s="38"/>
      <c r="E174" s="1"/>
      <c r="F174" s="1"/>
    </row>
    <row r="175" spans="1:6" ht="21.75" customHeight="1" x14ac:dyDescent="0.6">
      <c r="A175" s="1"/>
      <c r="B175" s="5"/>
      <c r="C175" s="1"/>
      <c r="D175" s="38"/>
      <c r="E175" s="1"/>
      <c r="F175" s="1"/>
    </row>
    <row r="176" spans="1:6" ht="21.75" customHeight="1" x14ac:dyDescent="0.6">
      <c r="A176" s="1"/>
      <c r="B176" s="5"/>
      <c r="C176" s="1"/>
      <c r="D176" s="38"/>
      <c r="E176" s="1"/>
      <c r="F176" s="1"/>
    </row>
    <row r="177" spans="1:6" ht="21.75" customHeight="1" x14ac:dyDescent="0.6">
      <c r="A177" s="1"/>
      <c r="B177" s="5"/>
      <c r="C177" s="1"/>
      <c r="D177" s="38"/>
      <c r="E177" s="1"/>
      <c r="F177" s="1"/>
    </row>
    <row r="178" spans="1:6" ht="21.75" customHeight="1" x14ac:dyDescent="0.6">
      <c r="A178" s="1"/>
      <c r="B178" s="5"/>
      <c r="C178" s="1"/>
      <c r="D178" s="38"/>
      <c r="E178" s="1"/>
      <c r="F178" s="1"/>
    </row>
    <row r="179" spans="1:6" ht="21.75" customHeight="1" x14ac:dyDescent="0.6">
      <c r="A179" s="1"/>
      <c r="B179" s="5"/>
      <c r="C179" s="1"/>
      <c r="D179" s="38"/>
      <c r="E179" s="1"/>
      <c r="F179" s="1"/>
    </row>
    <row r="180" spans="1:6" ht="21.75" customHeight="1" x14ac:dyDescent="0.6">
      <c r="A180" s="1"/>
      <c r="B180" s="5"/>
      <c r="C180" s="1"/>
      <c r="D180" s="38"/>
      <c r="E180" s="1"/>
      <c r="F180" s="1"/>
    </row>
    <row r="181" spans="1:6" ht="21.75" customHeight="1" x14ac:dyDescent="0.6">
      <c r="A181" s="1"/>
      <c r="B181" s="5"/>
      <c r="C181" s="1"/>
      <c r="D181" s="38"/>
      <c r="E181" s="1"/>
      <c r="F181" s="1"/>
    </row>
    <row r="182" spans="1:6" ht="21.75" customHeight="1" x14ac:dyDescent="0.6">
      <c r="A182" s="1"/>
      <c r="B182" s="5"/>
      <c r="C182" s="1"/>
      <c r="D182" s="38"/>
      <c r="E182" s="1"/>
      <c r="F182" s="1"/>
    </row>
    <row r="183" spans="1:6" ht="21.75" customHeight="1" x14ac:dyDescent="0.6">
      <c r="A183" s="1"/>
      <c r="B183" s="5"/>
      <c r="C183" s="1"/>
      <c r="D183" s="38"/>
      <c r="E183" s="1"/>
      <c r="F183" s="1"/>
    </row>
    <row r="184" spans="1:6" ht="21.75" customHeight="1" x14ac:dyDescent="0.6">
      <c r="A184" s="1"/>
      <c r="B184" s="5"/>
      <c r="C184" s="1"/>
      <c r="D184" s="38"/>
      <c r="E184" s="1"/>
      <c r="F184" s="1"/>
    </row>
    <row r="185" spans="1:6" ht="21.75" customHeight="1" x14ac:dyDescent="0.6">
      <c r="A185" s="1"/>
      <c r="B185" s="5"/>
      <c r="C185" s="1"/>
      <c r="D185" s="38"/>
      <c r="E185" s="1"/>
      <c r="F185" s="1"/>
    </row>
    <row r="186" spans="1:6" ht="21.75" customHeight="1" x14ac:dyDescent="0.6">
      <c r="A186" s="1"/>
      <c r="B186" s="5"/>
      <c r="C186" s="1"/>
      <c r="D186" s="38"/>
      <c r="E186" s="1"/>
      <c r="F186" s="1"/>
    </row>
    <row r="187" spans="1:6" ht="21.75" customHeight="1" x14ac:dyDescent="0.6">
      <c r="A187" s="1"/>
      <c r="B187" s="5"/>
      <c r="C187" s="1"/>
      <c r="D187" s="38"/>
      <c r="E187" s="1"/>
      <c r="F187" s="1"/>
    </row>
    <row r="188" spans="1:6" ht="21.75" customHeight="1" x14ac:dyDescent="0.6">
      <c r="A188" s="1"/>
      <c r="B188" s="5"/>
      <c r="C188" s="1"/>
      <c r="D188" s="38"/>
      <c r="E188" s="1"/>
      <c r="F188" s="1"/>
    </row>
    <row r="189" spans="1:6" ht="21.75" customHeight="1" x14ac:dyDescent="0.6">
      <c r="A189" s="1"/>
      <c r="B189" s="5"/>
      <c r="C189" s="1"/>
      <c r="D189" s="38"/>
      <c r="E189" s="1"/>
      <c r="F189" s="1"/>
    </row>
    <row r="190" spans="1:6" ht="21.75" customHeight="1" x14ac:dyDescent="0.6">
      <c r="A190" s="1"/>
      <c r="B190" s="5"/>
      <c r="C190" s="1"/>
      <c r="D190" s="38"/>
      <c r="E190" s="1"/>
      <c r="F190" s="1"/>
    </row>
    <row r="191" spans="1:6" ht="21.75" customHeight="1" x14ac:dyDescent="0.6">
      <c r="A191" s="1"/>
      <c r="B191" s="5"/>
      <c r="C191" s="1"/>
      <c r="D191" s="38"/>
      <c r="E191" s="1"/>
      <c r="F191" s="1"/>
    </row>
    <row r="192" spans="1:6" ht="21.75" customHeight="1" x14ac:dyDescent="0.6">
      <c r="A192" s="1"/>
      <c r="B192" s="5"/>
      <c r="C192" s="1"/>
      <c r="D192" s="38"/>
      <c r="E192" s="1"/>
      <c r="F192" s="1"/>
    </row>
    <row r="193" spans="1:6" ht="21.75" customHeight="1" x14ac:dyDescent="0.6">
      <c r="A193" s="1"/>
      <c r="B193" s="5"/>
      <c r="C193" s="1"/>
      <c r="D193" s="38"/>
      <c r="E193" s="1"/>
      <c r="F193" s="1"/>
    </row>
    <row r="194" spans="1:6" ht="21.75" customHeight="1" x14ac:dyDescent="0.6">
      <c r="A194" s="1"/>
      <c r="B194" s="5"/>
      <c r="C194" s="1"/>
      <c r="D194" s="38"/>
      <c r="E194" s="1"/>
      <c r="F194" s="1"/>
    </row>
    <row r="195" spans="1:6" ht="21.75" customHeight="1" x14ac:dyDescent="0.6">
      <c r="A195" s="1"/>
      <c r="B195" s="5"/>
      <c r="C195" s="1"/>
      <c r="D195" s="38"/>
      <c r="E195" s="1"/>
      <c r="F195" s="1"/>
    </row>
    <row r="196" spans="1:6" ht="21.75" customHeight="1" x14ac:dyDescent="0.6">
      <c r="A196" s="1"/>
      <c r="B196" s="5"/>
      <c r="C196" s="1"/>
      <c r="D196" s="38"/>
      <c r="E196" s="1"/>
      <c r="F196" s="1"/>
    </row>
    <row r="197" spans="1:6" ht="21.75" customHeight="1" x14ac:dyDescent="0.6">
      <c r="A197" s="1"/>
      <c r="B197" s="5"/>
      <c r="C197" s="1"/>
      <c r="D197" s="38"/>
      <c r="E197" s="1"/>
      <c r="F197" s="1"/>
    </row>
    <row r="198" spans="1:6" ht="21.75" customHeight="1" x14ac:dyDescent="0.6">
      <c r="A198" s="1"/>
      <c r="B198" s="5"/>
      <c r="C198" s="1"/>
      <c r="D198" s="38"/>
      <c r="E198" s="1"/>
      <c r="F198" s="1"/>
    </row>
    <row r="199" spans="1:6" ht="21.75" customHeight="1" x14ac:dyDescent="0.6">
      <c r="A199" s="1"/>
      <c r="B199" s="5"/>
      <c r="C199" s="1"/>
      <c r="D199" s="38"/>
      <c r="E199" s="1"/>
      <c r="F199" s="1"/>
    </row>
    <row r="200" spans="1:6" ht="21.75" customHeight="1" x14ac:dyDescent="0.6">
      <c r="A200" s="1"/>
      <c r="B200" s="5"/>
      <c r="C200" s="1"/>
      <c r="D200" s="38"/>
      <c r="E200" s="1"/>
      <c r="F200" s="1"/>
    </row>
    <row r="201" spans="1:6" ht="21.75" customHeight="1" x14ac:dyDescent="0.6">
      <c r="A201" s="1"/>
      <c r="B201" s="5"/>
      <c r="C201" s="1"/>
      <c r="D201" s="38"/>
      <c r="E201" s="1"/>
      <c r="F201" s="1"/>
    </row>
    <row r="202" spans="1:6" ht="21.75" customHeight="1" x14ac:dyDescent="0.6">
      <c r="A202" s="1"/>
      <c r="B202" s="5"/>
      <c r="C202" s="1"/>
      <c r="D202" s="38"/>
      <c r="E202" s="1"/>
      <c r="F202" s="1"/>
    </row>
    <row r="203" spans="1:6" ht="21.75" customHeight="1" x14ac:dyDescent="0.6">
      <c r="A203" s="1"/>
      <c r="B203" s="5"/>
      <c r="C203" s="1"/>
      <c r="D203" s="38"/>
      <c r="E203" s="1"/>
      <c r="F203" s="1"/>
    </row>
    <row r="204" spans="1:6" ht="21.75" customHeight="1" x14ac:dyDescent="0.6">
      <c r="A204" s="1"/>
      <c r="B204" s="5"/>
      <c r="C204" s="1"/>
      <c r="D204" s="38"/>
      <c r="E204" s="1"/>
      <c r="F204" s="1"/>
    </row>
    <row r="205" spans="1:6" ht="21.75" customHeight="1" x14ac:dyDescent="0.6">
      <c r="A205" s="1"/>
      <c r="B205" s="5"/>
      <c r="C205" s="1"/>
      <c r="D205" s="38"/>
      <c r="E205" s="1"/>
      <c r="F205" s="1"/>
    </row>
    <row r="206" spans="1:6" ht="21.75" customHeight="1" x14ac:dyDescent="0.6">
      <c r="A206" s="1"/>
      <c r="B206" s="5"/>
      <c r="C206" s="1"/>
      <c r="D206" s="38"/>
      <c r="E206" s="1"/>
      <c r="F206" s="1"/>
    </row>
    <row r="207" spans="1:6" ht="21.75" customHeight="1" x14ac:dyDescent="0.6">
      <c r="A207" s="1"/>
      <c r="B207" s="5"/>
      <c r="C207" s="1"/>
      <c r="D207" s="38"/>
      <c r="E207" s="1"/>
      <c r="F207" s="1"/>
    </row>
    <row r="208" spans="1:6" ht="21.75" customHeight="1" x14ac:dyDescent="0.6">
      <c r="A208" s="1"/>
      <c r="B208" s="5"/>
      <c r="C208" s="1"/>
      <c r="D208" s="38"/>
      <c r="E208" s="1"/>
      <c r="F208" s="1"/>
    </row>
    <row r="209" spans="1:6" ht="21.75" customHeight="1" x14ac:dyDescent="0.6">
      <c r="A209" s="1"/>
      <c r="B209" s="5"/>
      <c r="C209" s="1"/>
      <c r="D209" s="38"/>
      <c r="E209" s="1"/>
      <c r="F209" s="1"/>
    </row>
    <row r="210" spans="1:6" ht="21.75" customHeight="1" x14ac:dyDescent="0.6">
      <c r="A210" s="1"/>
      <c r="B210" s="5"/>
      <c r="C210" s="1"/>
      <c r="D210" s="38"/>
      <c r="E210" s="1"/>
      <c r="F210" s="1"/>
    </row>
    <row r="211" spans="1:6" ht="21.75" customHeight="1" x14ac:dyDescent="0.6">
      <c r="A211" s="1"/>
      <c r="B211" s="5"/>
      <c r="C211" s="1"/>
      <c r="D211" s="38"/>
      <c r="E211" s="1"/>
      <c r="F211" s="1"/>
    </row>
    <row r="212" spans="1:6" ht="21.75" customHeight="1" x14ac:dyDescent="0.6">
      <c r="A212" s="1"/>
      <c r="B212" s="5"/>
      <c r="C212" s="1"/>
      <c r="D212" s="38"/>
      <c r="E212" s="1"/>
      <c r="F212" s="1"/>
    </row>
    <row r="213" spans="1:6" ht="21.75" customHeight="1" x14ac:dyDescent="0.6">
      <c r="A213" s="1"/>
      <c r="B213" s="5"/>
      <c r="C213" s="1"/>
      <c r="D213" s="38"/>
      <c r="E213" s="1"/>
      <c r="F213" s="1"/>
    </row>
    <row r="214" spans="1:6" ht="21.75" customHeight="1" x14ac:dyDescent="0.6">
      <c r="A214" s="1"/>
      <c r="B214" s="5"/>
      <c r="C214" s="1"/>
      <c r="D214" s="38"/>
      <c r="E214" s="1"/>
      <c r="F214" s="1"/>
    </row>
    <row r="215" spans="1:6" ht="21.75" customHeight="1" x14ac:dyDescent="0.6">
      <c r="A215" s="1"/>
      <c r="B215" s="5"/>
      <c r="C215" s="1"/>
      <c r="D215" s="38"/>
      <c r="E215" s="1"/>
      <c r="F215" s="1"/>
    </row>
    <row r="216" spans="1:6" ht="21.75" customHeight="1" x14ac:dyDescent="0.6">
      <c r="A216" s="1"/>
      <c r="B216" s="5"/>
      <c r="C216" s="1"/>
      <c r="D216" s="38"/>
      <c r="E216" s="1"/>
      <c r="F216" s="1"/>
    </row>
    <row r="217" spans="1:6" ht="21.75" customHeight="1" x14ac:dyDescent="0.6">
      <c r="A217" s="1"/>
      <c r="B217" s="5"/>
      <c r="C217" s="1"/>
      <c r="D217" s="38"/>
      <c r="E217" s="1"/>
      <c r="F217" s="1"/>
    </row>
    <row r="218" spans="1:6" ht="21.75" customHeight="1" x14ac:dyDescent="0.6">
      <c r="A218" s="1"/>
      <c r="B218" s="5"/>
      <c r="C218" s="1"/>
      <c r="D218" s="38"/>
      <c r="E218" s="1"/>
      <c r="F218" s="1"/>
    </row>
    <row r="219" spans="1:6" ht="21.75" customHeight="1" x14ac:dyDescent="0.6">
      <c r="A219" s="1"/>
      <c r="B219" s="5"/>
      <c r="C219" s="1"/>
      <c r="D219" s="38"/>
      <c r="E219" s="1"/>
      <c r="F219" s="1"/>
    </row>
    <row r="220" spans="1:6" ht="21.75" customHeight="1" x14ac:dyDescent="0.6">
      <c r="A220" s="1"/>
      <c r="B220" s="5"/>
      <c r="C220" s="1"/>
      <c r="D220" s="38"/>
      <c r="E220" s="1"/>
      <c r="F220" s="1"/>
    </row>
    <row r="221" spans="1:6" ht="21.75" customHeight="1" x14ac:dyDescent="0.6">
      <c r="A221" s="1"/>
      <c r="B221" s="5"/>
      <c r="C221" s="1"/>
      <c r="D221" s="38"/>
      <c r="E221" s="1"/>
      <c r="F221" s="1"/>
    </row>
    <row r="222" spans="1:6" ht="21.75" customHeight="1" x14ac:dyDescent="0.6">
      <c r="A222" s="1"/>
      <c r="B222" s="5"/>
      <c r="C222" s="1"/>
      <c r="D222" s="38"/>
      <c r="E222" s="1"/>
      <c r="F222" s="1"/>
    </row>
    <row r="223" spans="1:6" ht="21.75" customHeight="1" x14ac:dyDescent="0.6">
      <c r="A223" s="1"/>
      <c r="B223" s="5"/>
      <c r="C223" s="1"/>
      <c r="D223" s="38"/>
      <c r="E223" s="1"/>
      <c r="F223" s="1"/>
    </row>
    <row r="224" spans="1:6" ht="21.75" customHeight="1" x14ac:dyDescent="0.6">
      <c r="A224" s="1"/>
      <c r="B224" s="5"/>
      <c r="C224" s="1"/>
      <c r="D224" s="38"/>
      <c r="E224" s="1"/>
      <c r="F224" s="1"/>
    </row>
    <row r="225" spans="1:6" ht="21.75" customHeight="1" x14ac:dyDescent="0.6">
      <c r="A225" s="1"/>
      <c r="B225" s="5"/>
      <c r="C225" s="1"/>
      <c r="D225" s="38"/>
      <c r="E225" s="1"/>
      <c r="F225" s="1"/>
    </row>
    <row r="226" spans="1:6" ht="21.75" customHeight="1" x14ac:dyDescent="0.6">
      <c r="A226" s="1"/>
      <c r="B226" s="5"/>
      <c r="C226" s="1"/>
      <c r="D226" s="38"/>
      <c r="E226" s="1"/>
      <c r="F226" s="1"/>
    </row>
    <row r="227" spans="1:6" ht="21.75" customHeight="1" x14ac:dyDescent="0.6">
      <c r="A227" s="1"/>
      <c r="B227" s="5"/>
      <c r="C227" s="1"/>
      <c r="D227" s="38"/>
      <c r="E227" s="1"/>
      <c r="F227" s="1"/>
    </row>
    <row r="228" spans="1:6" ht="21.75" customHeight="1" x14ac:dyDescent="0.6">
      <c r="A228" s="1"/>
      <c r="B228" s="5"/>
      <c r="C228" s="1"/>
      <c r="D228" s="38"/>
      <c r="E228" s="1"/>
      <c r="F228" s="1"/>
    </row>
    <row r="229" spans="1:6" ht="21.75" customHeight="1" x14ac:dyDescent="0.6">
      <c r="A229" s="1"/>
      <c r="B229" s="5"/>
      <c r="C229" s="1"/>
      <c r="D229" s="38"/>
      <c r="E229" s="1"/>
      <c r="F229" s="1"/>
    </row>
    <row r="230" spans="1:6" ht="21.75" customHeight="1" x14ac:dyDescent="0.6">
      <c r="A230" s="1"/>
      <c r="B230" s="5"/>
      <c r="C230" s="1"/>
      <c r="D230" s="38"/>
      <c r="E230" s="1"/>
      <c r="F230" s="1"/>
    </row>
    <row r="231" spans="1:6" ht="21.75" customHeight="1" x14ac:dyDescent="0.6">
      <c r="A231" s="1"/>
      <c r="B231" s="5"/>
      <c r="C231" s="1"/>
      <c r="D231" s="38"/>
      <c r="E231" s="1"/>
      <c r="F231" s="1"/>
    </row>
    <row r="232" spans="1:6" ht="21.75" customHeight="1" x14ac:dyDescent="0.6">
      <c r="A232" s="1"/>
      <c r="B232" s="5"/>
      <c r="C232" s="1"/>
      <c r="D232" s="38"/>
      <c r="E232" s="1"/>
      <c r="F232" s="1"/>
    </row>
    <row r="233" spans="1:6" ht="21.75" customHeight="1" x14ac:dyDescent="0.6">
      <c r="A233" s="1"/>
      <c r="B233" s="5"/>
      <c r="C233" s="1"/>
      <c r="D233" s="38"/>
      <c r="E233" s="1"/>
      <c r="F233" s="1"/>
    </row>
    <row r="234" spans="1:6" ht="21.75" customHeight="1" x14ac:dyDescent="0.6">
      <c r="A234" s="1"/>
      <c r="B234" s="5"/>
      <c r="C234" s="1"/>
      <c r="D234" s="38"/>
      <c r="E234" s="1"/>
      <c r="F234" s="1"/>
    </row>
    <row r="235" spans="1:6" ht="21.75" customHeight="1" x14ac:dyDescent="0.6">
      <c r="A235" s="1"/>
      <c r="B235" s="5"/>
      <c r="C235" s="1"/>
      <c r="D235" s="38"/>
      <c r="E235" s="1"/>
      <c r="F235" s="1"/>
    </row>
    <row r="236" spans="1:6" ht="21.75" customHeight="1" x14ac:dyDescent="0.6">
      <c r="A236" s="1"/>
      <c r="B236" s="5"/>
      <c r="C236" s="1"/>
      <c r="D236" s="38"/>
      <c r="E236" s="1"/>
      <c r="F236" s="1"/>
    </row>
    <row r="237" spans="1:6" ht="21.75" customHeight="1" x14ac:dyDescent="0.6">
      <c r="A237" s="1"/>
      <c r="B237" s="5"/>
      <c r="C237" s="1"/>
      <c r="D237" s="38"/>
      <c r="E237" s="1"/>
      <c r="F237" s="1"/>
    </row>
    <row r="238" spans="1:6" ht="21.75" customHeight="1" x14ac:dyDescent="0.6">
      <c r="A238" s="1"/>
      <c r="B238" s="5"/>
      <c r="C238" s="1"/>
      <c r="D238" s="38"/>
      <c r="E238" s="1"/>
      <c r="F238" s="1"/>
    </row>
    <row r="239" spans="1:6" ht="21.75" customHeight="1" x14ac:dyDescent="0.6">
      <c r="A239" s="1"/>
      <c r="B239" s="5"/>
      <c r="C239" s="1"/>
      <c r="D239" s="38"/>
      <c r="E239" s="1"/>
      <c r="F239" s="1"/>
    </row>
    <row r="240" spans="1:6" ht="21.75" customHeight="1" x14ac:dyDescent="0.6">
      <c r="A240" s="1"/>
      <c r="B240" s="5"/>
      <c r="C240" s="1"/>
      <c r="D240" s="38"/>
      <c r="E240" s="1"/>
      <c r="F240" s="1"/>
    </row>
    <row r="241" spans="1:6" ht="21.75" customHeight="1" x14ac:dyDescent="0.6">
      <c r="A241" s="1"/>
      <c r="B241" s="5"/>
      <c r="C241" s="1"/>
      <c r="D241" s="38"/>
      <c r="E241" s="1"/>
      <c r="F241" s="1"/>
    </row>
    <row r="242" spans="1:6" ht="21.75" customHeight="1" x14ac:dyDescent="0.6">
      <c r="A242" s="1"/>
      <c r="B242" s="5"/>
      <c r="C242" s="1"/>
      <c r="D242" s="38"/>
      <c r="E242" s="1"/>
      <c r="F242" s="1"/>
    </row>
    <row r="243" spans="1:6" ht="21.75" customHeight="1" x14ac:dyDescent="0.6">
      <c r="A243" s="1"/>
      <c r="B243" s="5"/>
      <c r="C243" s="1"/>
      <c r="D243" s="38"/>
      <c r="E243" s="1"/>
      <c r="F243" s="1"/>
    </row>
    <row r="244" spans="1:6" ht="21.75" customHeight="1" x14ac:dyDescent="0.6">
      <c r="A244" s="1"/>
      <c r="B244" s="5"/>
      <c r="C244" s="1"/>
      <c r="D244" s="38"/>
      <c r="E244" s="1"/>
      <c r="F244" s="1"/>
    </row>
    <row r="245" spans="1:6" ht="21.75" customHeight="1" x14ac:dyDescent="0.6">
      <c r="A245" s="1"/>
      <c r="B245" s="5"/>
      <c r="C245" s="1"/>
      <c r="D245" s="38"/>
      <c r="E245" s="1"/>
      <c r="F245" s="1"/>
    </row>
    <row r="246" spans="1:6" ht="21.75" customHeight="1" x14ac:dyDescent="0.6">
      <c r="A246" s="1"/>
      <c r="B246" s="5"/>
      <c r="C246" s="1"/>
      <c r="D246" s="38"/>
      <c r="E246" s="1"/>
      <c r="F246" s="1"/>
    </row>
    <row r="247" spans="1:6" ht="21.75" customHeight="1" x14ac:dyDescent="0.6">
      <c r="A247" s="1"/>
      <c r="B247" s="5"/>
      <c r="C247" s="1"/>
      <c r="D247" s="38"/>
      <c r="E247" s="1"/>
      <c r="F247" s="1"/>
    </row>
    <row r="248" spans="1:6" ht="21.75" customHeight="1" x14ac:dyDescent="0.6">
      <c r="A248" s="1"/>
      <c r="B248" s="5"/>
      <c r="C248" s="1"/>
      <c r="D248" s="38"/>
      <c r="E248" s="1"/>
      <c r="F248" s="1"/>
    </row>
    <row r="249" spans="1:6" ht="21.75" customHeight="1" x14ac:dyDescent="0.6">
      <c r="A249" s="1"/>
      <c r="B249" s="5"/>
      <c r="C249" s="1"/>
      <c r="D249" s="38"/>
      <c r="E249" s="1"/>
      <c r="F249" s="1"/>
    </row>
    <row r="250" spans="1:6" ht="21.75" customHeight="1" x14ac:dyDescent="0.6">
      <c r="A250" s="1"/>
      <c r="B250" s="5"/>
      <c r="C250" s="1"/>
      <c r="D250" s="38"/>
      <c r="E250" s="1"/>
      <c r="F250" s="1"/>
    </row>
    <row r="251" spans="1:6" ht="21.75" customHeight="1" x14ac:dyDescent="0.6">
      <c r="A251" s="1"/>
      <c r="B251" s="5"/>
      <c r="C251" s="1"/>
      <c r="D251" s="38"/>
      <c r="E251" s="1"/>
      <c r="F251" s="1"/>
    </row>
    <row r="252" spans="1:6" ht="21.75" customHeight="1" x14ac:dyDescent="0.6">
      <c r="A252" s="1"/>
      <c r="B252" s="5"/>
      <c r="C252" s="1"/>
      <c r="D252" s="38"/>
      <c r="E252" s="1"/>
      <c r="F252" s="1"/>
    </row>
    <row r="253" spans="1:6" ht="21.75" customHeight="1" x14ac:dyDescent="0.6">
      <c r="A253" s="1"/>
      <c r="B253" s="5"/>
      <c r="C253" s="1"/>
      <c r="D253" s="38"/>
      <c r="E253" s="1"/>
      <c r="F253" s="1"/>
    </row>
    <row r="254" spans="1:6" ht="21.75" customHeight="1" x14ac:dyDescent="0.6">
      <c r="A254" s="1"/>
      <c r="B254" s="5"/>
      <c r="C254" s="1"/>
      <c r="D254" s="38"/>
      <c r="E254" s="1"/>
      <c r="F254" s="1"/>
    </row>
    <row r="255" spans="1:6" ht="21.75" customHeight="1" x14ac:dyDescent="0.6">
      <c r="A255" s="1"/>
      <c r="B255" s="5"/>
      <c r="C255" s="1"/>
      <c r="D255" s="38"/>
      <c r="E255" s="1"/>
      <c r="F255" s="1"/>
    </row>
    <row r="256" spans="1:6" ht="21.75" customHeight="1" x14ac:dyDescent="0.6">
      <c r="A256" s="1"/>
      <c r="B256" s="5"/>
      <c r="C256" s="1"/>
      <c r="D256" s="38"/>
      <c r="E256" s="1"/>
      <c r="F256" s="1"/>
    </row>
    <row r="257" spans="1:6" ht="21.75" customHeight="1" x14ac:dyDescent="0.6">
      <c r="A257" s="1"/>
      <c r="B257" s="5"/>
      <c r="C257" s="1"/>
      <c r="D257" s="38"/>
      <c r="E257" s="1"/>
      <c r="F257" s="1"/>
    </row>
    <row r="258" spans="1:6" ht="21.75" customHeight="1" x14ac:dyDescent="0.6">
      <c r="A258" s="1"/>
      <c r="B258" s="5"/>
      <c r="C258" s="1"/>
      <c r="D258" s="38"/>
      <c r="E258" s="1"/>
      <c r="F258" s="1"/>
    </row>
    <row r="259" spans="1:6" ht="21.75" customHeight="1" x14ac:dyDescent="0.6">
      <c r="A259" s="1"/>
      <c r="B259" s="5"/>
      <c r="C259" s="1"/>
      <c r="D259" s="38"/>
      <c r="E259" s="1"/>
      <c r="F259" s="1"/>
    </row>
    <row r="260" spans="1:6" ht="21.75" customHeight="1" x14ac:dyDescent="0.6">
      <c r="A260" s="1"/>
      <c r="B260" s="5"/>
      <c r="C260" s="1"/>
      <c r="D260" s="38"/>
      <c r="E260" s="1"/>
      <c r="F260" s="1"/>
    </row>
    <row r="261" spans="1:6" ht="21.75" customHeight="1" x14ac:dyDescent="0.6">
      <c r="A261" s="1"/>
      <c r="B261" s="5"/>
      <c r="C261" s="1"/>
      <c r="D261" s="38"/>
      <c r="E261" s="1"/>
      <c r="F261" s="1"/>
    </row>
    <row r="262" spans="1:6" ht="21.75" customHeight="1" x14ac:dyDescent="0.6">
      <c r="A262" s="1"/>
      <c r="B262" s="5"/>
      <c r="C262" s="1"/>
      <c r="D262" s="38"/>
      <c r="E262" s="1"/>
      <c r="F262" s="1"/>
    </row>
    <row r="263" spans="1:6" ht="21.75" customHeight="1" x14ac:dyDescent="0.6">
      <c r="A263" s="1"/>
      <c r="B263" s="5"/>
      <c r="C263" s="1"/>
      <c r="D263" s="38"/>
      <c r="E263" s="1"/>
      <c r="F263" s="1"/>
    </row>
    <row r="264" spans="1:6" ht="21.75" customHeight="1" x14ac:dyDescent="0.6">
      <c r="A264" s="1"/>
      <c r="B264" s="5"/>
      <c r="C264" s="1"/>
      <c r="D264" s="38"/>
      <c r="E264" s="1"/>
      <c r="F264" s="1"/>
    </row>
    <row r="265" spans="1:6" ht="21.75" customHeight="1" x14ac:dyDescent="0.6">
      <c r="A265" s="1"/>
      <c r="B265" s="5"/>
      <c r="C265" s="1"/>
      <c r="D265" s="38"/>
      <c r="E265" s="1"/>
      <c r="F265" s="1"/>
    </row>
    <row r="266" spans="1:6" ht="21.75" customHeight="1" x14ac:dyDescent="0.6">
      <c r="A266" s="1"/>
      <c r="B266" s="5"/>
      <c r="C266" s="1"/>
      <c r="D266" s="38"/>
      <c r="E266" s="1"/>
      <c r="F266" s="1"/>
    </row>
    <row r="267" spans="1:6" ht="21.75" customHeight="1" x14ac:dyDescent="0.6">
      <c r="A267" s="1"/>
      <c r="B267" s="5"/>
      <c r="C267" s="1"/>
      <c r="D267" s="38"/>
      <c r="E267" s="1"/>
      <c r="F267" s="1"/>
    </row>
    <row r="268" spans="1:6" ht="21.75" customHeight="1" x14ac:dyDescent="0.6">
      <c r="A268" s="1"/>
      <c r="B268" s="5"/>
      <c r="C268" s="1"/>
      <c r="D268" s="38"/>
      <c r="E268" s="1"/>
      <c r="F268" s="1"/>
    </row>
    <row r="269" spans="1:6" ht="21.75" customHeight="1" x14ac:dyDescent="0.6">
      <c r="A269" s="1"/>
      <c r="B269" s="5"/>
      <c r="C269" s="1"/>
      <c r="D269" s="38"/>
      <c r="E269" s="1"/>
      <c r="F269" s="1"/>
    </row>
    <row r="270" spans="1:6" ht="21.75" customHeight="1" x14ac:dyDescent="0.6">
      <c r="A270" s="1"/>
      <c r="B270" s="5"/>
      <c r="C270" s="1"/>
      <c r="D270" s="38"/>
      <c r="E270" s="1"/>
      <c r="F270" s="1"/>
    </row>
    <row r="271" spans="1:6" ht="21.75" customHeight="1" x14ac:dyDescent="0.6">
      <c r="A271" s="1"/>
      <c r="B271" s="5"/>
      <c r="C271" s="1"/>
      <c r="D271" s="38"/>
      <c r="E271" s="1"/>
      <c r="F271" s="1"/>
    </row>
    <row r="272" spans="1:6" ht="21.75" customHeight="1" x14ac:dyDescent="0.6">
      <c r="A272" s="1"/>
      <c r="B272" s="5"/>
      <c r="C272" s="1"/>
      <c r="D272" s="38"/>
      <c r="E272" s="1"/>
      <c r="F272" s="1"/>
    </row>
    <row r="273" spans="1:6" ht="21.75" customHeight="1" x14ac:dyDescent="0.6">
      <c r="A273" s="1"/>
      <c r="B273" s="5"/>
      <c r="C273" s="1"/>
      <c r="D273" s="38"/>
      <c r="E273" s="1"/>
      <c r="F273" s="1"/>
    </row>
    <row r="274" spans="1:6" ht="21.75" customHeight="1" x14ac:dyDescent="0.6">
      <c r="A274" s="1"/>
      <c r="B274" s="5"/>
      <c r="C274" s="1"/>
      <c r="D274" s="38"/>
      <c r="E274" s="1"/>
      <c r="F274" s="1"/>
    </row>
    <row r="275" spans="1:6" ht="21.75" customHeight="1" x14ac:dyDescent="0.6">
      <c r="A275" s="1"/>
      <c r="B275" s="5"/>
      <c r="C275" s="1"/>
      <c r="D275" s="38"/>
      <c r="E275" s="1"/>
      <c r="F275" s="1"/>
    </row>
    <row r="276" spans="1:6" ht="21.75" customHeight="1" x14ac:dyDescent="0.6">
      <c r="A276" s="1"/>
      <c r="B276" s="5"/>
      <c r="C276" s="1"/>
      <c r="D276" s="38"/>
      <c r="E276" s="1"/>
      <c r="F276" s="1"/>
    </row>
    <row r="277" spans="1:6" ht="21.75" customHeight="1" x14ac:dyDescent="0.6">
      <c r="A277" s="1"/>
      <c r="B277" s="5"/>
      <c r="C277" s="1"/>
      <c r="D277" s="38"/>
      <c r="E277" s="1"/>
      <c r="F277" s="1"/>
    </row>
    <row r="278" spans="1:6" ht="21.75" customHeight="1" x14ac:dyDescent="0.6">
      <c r="A278" s="1"/>
      <c r="B278" s="5"/>
      <c r="C278" s="1"/>
      <c r="D278" s="38"/>
      <c r="E278" s="1"/>
      <c r="F278" s="1"/>
    </row>
    <row r="279" spans="1:6" ht="21.75" customHeight="1" x14ac:dyDescent="0.6">
      <c r="A279" s="1"/>
      <c r="B279" s="5"/>
      <c r="C279" s="1"/>
      <c r="D279" s="38"/>
      <c r="E279" s="1"/>
      <c r="F279" s="1"/>
    </row>
    <row r="280" spans="1:6" ht="21.75" customHeight="1" x14ac:dyDescent="0.6">
      <c r="A280" s="1"/>
      <c r="B280" s="5"/>
      <c r="C280" s="1"/>
      <c r="D280" s="38"/>
      <c r="E280" s="1"/>
      <c r="F280" s="1"/>
    </row>
    <row r="281" spans="1:6" ht="21.75" customHeight="1" x14ac:dyDescent="0.6">
      <c r="A281" s="1"/>
      <c r="B281" s="5"/>
      <c r="C281" s="1"/>
      <c r="D281" s="38"/>
      <c r="E281" s="1"/>
      <c r="F281" s="1"/>
    </row>
    <row r="282" spans="1:6" ht="21.75" customHeight="1" x14ac:dyDescent="0.6">
      <c r="A282" s="1"/>
      <c r="B282" s="5"/>
      <c r="C282" s="1"/>
      <c r="D282" s="38"/>
      <c r="E282" s="1"/>
      <c r="F282" s="1"/>
    </row>
    <row r="283" spans="1:6" ht="21.75" customHeight="1" x14ac:dyDescent="0.6">
      <c r="A283" s="1"/>
      <c r="B283" s="5"/>
      <c r="C283" s="1"/>
      <c r="D283" s="38"/>
      <c r="E283" s="1"/>
      <c r="F283" s="1"/>
    </row>
    <row r="284" spans="1:6" ht="21.75" customHeight="1" x14ac:dyDescent="0.6">
      <c r="A284" s="1"/>
      <c r="B284" s="5"/>
      <c r="C284" s="1"/>
      <c r="D284" s="38"/>
      <c r="E284" s="1"/>
      <c r="F284" s="1"/>
    </row>
    <row r="285" spans="1:6" ht="21.75" customHeight="1" x14ac:dyDescent="0.6">
      <c r="A285" s="1"/>
      <c r="B285" s="5"/>
      <c r="C285" s="1"/>
      <c r="D285" s="38"/>
      <c r="E285" s="1"/>
      <c r="F285" s="1"/>
    </row>
    <row r="286" spans="1:6" ht="21.75" customHeight="1" x14ac:dyDescent="0.6">
      <c r="A286" s="1"/>
      <c r="B286" s="5"/>
      <c r="C286" s="1"/>
      <c r="D286" s="38"/>
      <c r="E286" s="1"/>
      <c r="F286" s="1"/>
    </row>
    <row r="287" spans="1:6" ht="21.75" customHeight="1" x14ac:dyDescent="0.6">
      <c r="A287" s="1"/>
      <c r="B287" s="5"/>
      <c r="C287" s="1"/>
      <c r="D287" s="38"/>
      <c r="E287" s="1"/>
      <c r="F287" s="1"/>
    </row>
    <row r="288" spans="1:6" ht="21.75" customHeight="1" x14ac:dyDescent="0.6">
      <c r="A288" s="1"/>
      <c r="B288" s="5"/>
      <c r="C288" s="1"/>
      <c r="D288" s="38"/>
      <c r="E288" s="1"/>
      <c r="F288" s="1"/>
    </row>
    <row r="289" spans="1:6" ht="21.75" customHeight="1" x14ac:dyDescent="0.6">
      <c r="A289" s="1"/>
      <c r="B289" s="5"/>
      <c r="C289" s="1"/>
      <c r="D289" s="38"/>
      <c r="E289" s="1"/>
      <c r="F289" s="1"/>
    </row>
    <row r="290" spans="1:6" ht="21.75" customHeight="1" x14ac:dyDescent="0.6">
      <c r="A290" s="1"/>
      <c r="B290" s="5"/>
      <c r="C290" s="1"/>
      <c r="D290" s="38"/>
      <c r="E290" s="1"/>
      <c r="F290" s="1"/>
    </row>
    <row r="291" spans="1:6" ht="21.75" customHeight="1" x14ac:dyDescent="0.6">
      <c r="A291" s="1"/>
      <c r="B291" s="5"/>
      <c r="C291" s="1"/>
      <c r="D291" s="38"/>
      <c r="E291" s="1"/>
      <c r="F291" s="1"/>
    </row>
    <row r="292" spans="1:6" ht="21.75" customHeight="1" x14ac:dyDescent="0.6">
      <c r="A292" s="1"/>
      <c r="B292" s="5"/>
      <c r="C292" s="1"/>
      <c r="D292" s="38"/>
      <c r="E292" s="1"/>
      <c r="F292" s="1"/>
    </row>
    <row r="293" spans="1:6" ht="21.75" customHeight="1" x14ac:dyDescent="0.6">
      <c r="A293" s="1"/>
      <c r="B293" s="5"/>
      <c r="C293" s="1"/>
      <c r="D293" s="38"/>
      <c r="E293" s="1"/>
      <c r="F293" s="1"/>
    </row>
    <row r="294" spans="1:6" ht="21.75" customHeight="1" x14ac:dyDescent="0.6">
      <c r="A294" s="1"/>
      <c r="B294" s="5"/>
      <c r="C294" s="1"/>
      <c r="D294" s="38"/>
      <c r="E294" s="1"/>
      <c r="F294" s="1"/>
    </row>
    <row r="295" spans="1:6" ht="21.75" customHeight="1" x14ac:dyDescent="0.6">
      <c r="A295" s="1"/>
      <c r="B295" s="5"/>
      <c r="C295" s="1"/>
      <c r="D295" s="38"/>
      <c r="E295" s="1"/>
      <c r="F295" s="1"/>
    </row>
    <row r="296" spans="1:6" ht="21.75" customHeight="1" x14ac:dyDescent="0.6">
      <c r="A296" s="1"/>
      <c r="B296" s="5"/>
      <c r="C296" s="1"/>
      <c r="D296" s="38"/>
      <c r="E296" s="1"/>
      <c r="F296" s="1"/>
    </row>
    <row r="297" spans="1:6" ht="21.75" customHeight="1" x14ac:dyDescent="0.6">
      <c r="A297" s="1"/>
      <c r="B297" s="5"/>
      <c r="C297" s="1"/>
      <c r="D297" s="38"/>
      <c r="E297" s="1"/>
      <c r="F297" s="1"/>
    </row>
    <row r="298" spans="1:6" ht="21.75" customHeight="1" x14ac:dyDescent="0.6">
      <c r="A298" s="1"/>
      <c r="B298" s="5"/>
      <c r="C298" s="1"/>
      <c r="D298" s="38"/>
      <c r="E298" s="1"/>
      <c r="F298" s="1"/>
    </row>
    <row r="299" spans="1:6" ht="21.75" customHeight="1" x14ac:dyDescent="0.6">
      <c r="A299" s="1"/>
      <c r="B299" s="5"/>
      <c r="C299" s="1"/>
      <c r="D299" s="38"/>
      <c r="E299" s="1"/>
      <c r="F299" s="1"/>
    </row>
    <row r="300" spans="1:6" ht="21.75" customHeight="1" x14ac:dyDescent="0.6">
      <c r="A300" s="1"/>
      <c r="B300" s="5"/>
      <c r="C300" s="1"/>
      <c r="D300" s="38"/>
      <c r="E300" s="1"/>
      <c r="F300" s="1"/>
    </row>
    <row r="301" spans="1:6" ht="21.75" customHeight="1" x14ac:dyDescent="0.6">
      <c r="A301" s="1"/>
      <c r="B301" s="5"/>
      <c r="C301" s="1"/>
      <c r="D301" s="38"/>
      <c r="E301" s="1"/>
      <c r="F301" s="1"/>
    </row>
    <row r="302" spans="1:6" ht="21.75" customHeight="1" x14ac:dyDescent="0.6">
      <c r="A302" s="1"/>
      <c r="B302" s="5"/>
      <c r="C302" s="1"/>
      <c r="D302" s="38"/>
      <c r="E302" s="1"/>
      <c r="F302" s="1"/>
    </row>
    <row r="303" spans="1:6" ht="21.75" customHeight="1" x14ac:dyDescent="0.6">
      <c r="A303" s="1"/>
      <c r="B303" s="5"/>
      <c r="C303" s="1"/>
      <c r="D303" s="38"/>
      <c r="E303" s="1"/>
      <c r="F303" s="1"/>
    </row>
    <row r="304" spans="1:6" ht="21.75" customHeight="1" x14ac:dyDescent="0.6">
      <c r="A304" s="1"/>
      <c r="B304" s="5"/>
      <c r="C304" s="1"/>
      <c r="D304" s="38"/>
      <c r="E304" s="1"/>
      <c r="F304" s="1"/>
    </row>
    <row r="305" spans="1:6" ht="21.75" customHeight="1" x14ac:dyDescent="0.6">
      <c r="A305" s="1"/>
      <c r="B305" s="5"/>
      <c r="C305" s="1"/>
      <c r="D305" s="38"/>
      <c r="E305" s="1"/>
      <c r="F305" s="1"/>
    </row>
    <row r="306" spans="1:6" ht="21.75" customHeight="1" x14ac:dyDescent="0.6">
      <c r="A306" s="1"/>
      <c r="B306" s="5"/>
      <c r="C306" s="1"/>
      <c r="D306" s="38"/>
      <c r="E306" s="1"/>
      <c r="F306" s="1"/>
    </row>
    <row r="307" spans="1:6" ht="21.75" customHeight="1" x14ac:dyDescent="0.6">
      <c r="A307" s="1"/>
      <c r="B307" s="5"/>
      <c r="C307" s="1"/>
      <c r="D307" s="38"/>
      <c r="E307" s="1"/>
      <c r="F307" s="1"/>
    </row>
    <row r="308" spans="1:6" ht="21.75" customHeight="1" x14ac:dyDescent="0.6">
      <c r="A308" s="1"/>
      <c r="B308" s="5"/>
      <c r="C308" s="1"/>
      <c r="D308" s="38"/>
      <c r="E308" s="1"/>
      <c r="F308" s="1"/>
    </row>
    <row r="309" spans="1:6" ht="21.75" customHeight="1" x14ac:dyDescent="0.6">
      <c r="A309" s="1"/>
      <c r="B309" s="5"/>
      <c r="C309" s="1"/>
      <c r="D309" s="38"/>
      <c r="E309" s="1"/>
      <c r="F309" s="1"/>
    </row>
    <row r="310" spans="1:6" ht="21.75" customHeight="1" x14ac:dyDescent="0.6">
      <c r="A310" s="1"/>
      <c r="B310" s="5"/>
      <c r="C310" s="1"/>
      <c r="D310" s="38"/>
      <c r="E310" s="1"/>
      <c r="F310" s="1"/>
    </row>
    <row r="311" spans="1:6" ht="21.75" customHeight="1" x14ac:dyDescent="0.6">
      <c r="A311" s="1"/>
      <c r="B311" s="5"/>
      <c r="C311" s="1"/>
      <c r="D311" s="38"/>
      <c r="E311" s="1"/>
      <c r="F311" s="1"/>
    </row>
    <row r="312" spans="1:6" ht="21.75" customHeight="1" x14ac:dyDescent="0.6">
      <c r="A312" s="1"/>
      <c r="B312" s="5"/>
      <c r="C312" s="1"/>
      <c r="D312" s="38"/>
      <c r="E312" s="1"/>
      <c r="F312" s="1"/>
    </row>
    <row r="313" spans="1:6" ht="21.75" customHeight="1" x14ac:dyDescent="0.6">
      <c r="A313" s="1"/>
      <c r="B313" s="5"/>
      <c r="C313" s="1"/>
      <c r="D313" s="38"/>
      <c r="E313" s="1"/>
      <c r="F313" s="1"/>
    </row>
    <row r="314" spans="1:6" ht="21.75" customHeight="1" x14ac:dyDescent="0.6">
      <c r="A314" s="1"/>
      <c r="B314" s="5"/>
      <c r="C314" s="1"/>
      <c r="D314" s="38"/>
      <c r="E314" s="1"/>
      <c r="F314" s="1"/>
    </row>
    <row r="315" spans="1:6" ht="21.75" customHeight="1" x14ac:dyDescent="0.6">
      <c r="A315" s="1"/>
      <c r="B315" s="5"/>
      <c r="C315" s="1"/>
      <c r="D315" s="38"/>
      <c r="E315" s="1"/>
      <c r="F315" s="1"/>
    </row>
    <row r="316" spans="1:6" ht="21.75" customHeight="1" x14ac:dyDescent="0.6">
      <c r="A316" s="1"/>
      <c r="B316" s="5"/>
      <c r="C316" s="1"/>
      <c r="D316" s="38"/>
      <c r="E316" s="1"/>
      <c r="F316" s="1"/>
    </row>
    <row r="317" spans="1:6" ht="21.75" customHeight="1" x14ac:dyDescent="0.6">
      <c r="A317" s="1"/>
      <c r="B317" s="5"/>
      <c r="C317" s="1"/>
      <c r="D317" s="38"/>
      <c r="E317" s="1"/>
      <c r="F317" s="1"/>
    </row>
    <row r="318" spans="1:6" ht="21.75" customHeight="1" x14ac:dyDescent="0.6">
      <c r="A318" s="1"/>
      <c r="B318" s="5"/>
      <c r="C318" s="1"/>
      <c r="D318" s="38"/>
      <c r="E318" s="1"/>
      <c r="F318" s="1"/>
    </row>
    <row r="319" spans="1:6" ht="21.75" customHeight="1" x14ac:dyDescent="0.6">
      <c r="A319" s="1"/>
      <c r="B319" s="5"/>
      <c r="C319" s="1"/>
      <c r="D319" s="38"/>
      <c r="E319" s="1"/>
      <c r="F319" s="1"/>
    </row>
    <row r="320" spans="1:6" ht="21.75" customHeight="1" x14ac:dyDescent="0.6">
      <c r="A320" s="1"/>
      <c r="B320" s="5"/>
      <c r="C320" s="1"/>
      <c r="D320" s="38"/>
      <c r="E320" s="1"/>
      <c r="F320" s="1"/>
    </row>
    <row r="321" spans="1:6" ht="21.75" customHeight="1" x14ac:dyDescent="0.6">
      <c r="A321" s="1"/>
      <c r="B321" s="5"/>
      <c r="C321" s="1"/>
      <c r="D321" s="38"/>
      <c r="E321" s="1"/>
      <c r="F321" s="1"/>
    </row>
    <row r="322" spans="1:6" ht="21.75" customHeight="1" x14ac:dyDescent="0.6">
      <c r="A322" s="1"/>
      <c r="B322" s="5"/>
      <c r="C322" s="1"/>
      <c r="D322" s="38"/>
      <c r="E322" s="1"/>
      <c r="F322" s="1"/>
    </row>
    <row r="323" spans="1:6" ht="21.75" customHeight="1" x14ac:dyDescent="0.6">
      <c r="A323" s="1"/>
      <c r="B323" s="5"/>
      <c r="C323" s="1"/>
      <c r="D323" s="38"/>
      <c r="E323" s="1"/>
      <c r="F323" s="1"/>
    </row>
    <row r="324" spans="1:6" ht="21.75" customHeight="1" x14ac:dyDescent="0.6">
      <c r="A324" s="1"/>
      <c r="B324" s="5"/>
      <c r="C324" s="1"/>
      <c r="D324" s="38"/>
      <c r="E324" s="1"/>
      <c r="F324" s="1"/>
    </row>
    <row r="325" spans="1:6" ht="21.75" customHeight="1" x14ac:dyDescent="0.6">
      <c r="A325" s="1"/>
      <c r="B325" s="5"/>
      <c r="C325" s="1"/>
      <c r="D325" s="38"/>
      <c r="E325" s="1"/>
      <c r="F325" s="1"/>
    </row>
    <row r="326" spans="1:6" ht="21.75" customHeight="1" x14ac:dyDescent="0.6">
      <c r="A326" s="1"/>
      <c r="B326" s="5"/>
      <c r="C326" s="1"/>
      <c r="D326" s="38"/>
      <c r="E326" s="1"/>
      <c r="F326" s="1"/>
    </row>
    <row r="327" spans="1:6" ht="21.75" customHeight="1" x14ac:dyDescent="0.6">
      <c r="A327" s="1"/>
      <c r="B327" s="5"/>
      <c r="C327" s="1"/>
      <c r="D327" s="38"/>
      <c r="E327" s="1"/>
      <c r="F327" s="1"/>
    </row>
    <row r="328" spans="1:6" ht="21.75" customHeight="1" x14ac:dyDescent="0.6">
      <c r="A328" s="1"/>
      <c r="B328" s="5"/>
      <c r="C328" s="1"/>
      <c r="D328" s="38"/>
      <c r="E328" s="1"/>
      <c r="F328" s="1"/>
    </row>
    <row r="329" spans="1:6" ht="21.75" customHeight="1" x14ac:dyDescent="0.6">
      <c r="A329" s="1"/>
      <c r="B329" s="5"/>
      <c r="C329" s="1"/>
      <c r="D329" s="38"/>
      <c r="E329" s="1"/>
      <c r="F329" s="1"/>
    </row>
    <row r="330" spans="1:6" ht="21.75" customHeight="1" x14ac:dyDescent="0.6">
      <c r="A330" s="1"/>
      <c r="B330" s="5"/>
      <c r="C330" s="1"/>
      <c r="D330" s="38"/>
      <c r="E330" s="1"/>
      <c r="F330" s="1"/>
    </row>
    <row r="331" spans="1:6" ht="21.75" customHeight="1" x14ac:dyDescent="0.6">
      <c r="A331" s="1"/>
      <c r="B331" s="5"/>
      <c r="C331" s="1"/>
      <c r="D331" s="38"/>
      <c r="E331" s="1"/>
      <c r="F331" s="1"/>
    </row>
    <row r="332" spans="1:6" ht="21.75" customHeight="1" x14ac:dyDescent="0.6">
      <c r="A332" s="1"/>
      <c r="B332" s="5"/>
      <c r="C332" s="1"/>
      <c r="D332" s="38"/>
      <c r="E332" s="1"/>
      <c r="F332" s="1"/>
    </row>
    <row r="333" spans="1:6" ht="21.75" customHeight="1" x14ac:dyDescent="0.6">
      <c r="A333" s="1"/>
      <c r="B333" s="5"/>
      <c r="C333" s="1"/>
      <c r="D333" s="38"/>
      <c r="E333" s="1"/>
      <c r="F333" s="1"/>
    </row>
    <row r="334" spans="1:6" ht="21.75" customHeight="1" x14ac:dyDescent="0.6">
      <c r="A334" s="1"/>
      <c r="B334" s="5"/>
      <c r="C334" s="1"/>
      <c r="D334" s="38"/>
      <c r="E334" s="1"/>
      <c r="F334" s="1"/>
    </row>
    <row r="335" spans="1:6" ht="21.75" customHeight="1" x14ac:dyDescent="0.6">
      <c r="A335" s="1"/>
      <c r="B335" s="5"/>
      <c r="C335" s="1"/>
      <c r="D335" s="38"/>
      <c r="E335" s="1"/>
      <c r="F335" s="1"/>
    </row>
    <row r="336" spans="1:6" ht="21.75" customHeight="1" x14ac:dyDescent="0.6">
      <c r="A336" s="1"/>
      <c r="B336" s="5"/>
      <c r="C336" s="1"/>
      <c r="D336" s="38"/>
      <c r="E336" s="1"/>
      <c r="F336" s="1"/>
    </row>
    <row r="337" spans="1:6" ht="21.75" customHeight="1" x14ac:dyDescent="0.6">
      <c r="A337" s="1"/>
      <c r="B337" s="5"/>
      <c r="C337" s="1"/>
      <c r="D337" s="38"/>
      <c r="E337" s="1"/>
      <c r="F337" s="1"/>
    </row>
    <row r="338" spans="1:6" ht="21.75" customHeight="1" x14ac:dyDescent="0.6">
      <c r="A338" s="1"/>
      <c r="B338" s="5"/>
      <c r="C338" s="1"/>
      <c r="D338" s="38"/>
      <c r="E338" s="1"/>
      <c r="F338" s="1"/>
    </row>
    <row r="339" spans="1:6" ht="21.75" customHeight="1" x14ac:dyDescent="0.6">
      <c r="A339" s="1"/>
      <c r="B339" s="5"/>
      <c r="C339" s="1"/>
      <c r="D339" s="38"/>
      <c r="E339" s="1"/>
      <c r="F339" s="1"/>
    </row>
    <row r="340" spans="1:6" ht="21.75" customHeight="1" x14ac:dyDescent="0.6">
      <c r="A340" s="1"/>
      <c r="B340" s="5"/>
      <c r="C340" s="1"/>
      <c r="D340" s="38"/>
      <c r="E340" s="1"/>
      <c r="F340" s="1"/>
    </row>
    <row r="341" spans="1:6" ht="21.75" customHeight="1" x14ac:dyDescent="0.6">
      <c r="A341" s="1"/>
      <c r="B341" s="5"/>
      <c r="C341" s="1"/>
      <c r="D341" s="38"/>
      <c r="E341" s="1"/>
      <c r="F341" s="1"/>
    </row>
    <row r="342" spans="1:6" ht="21.75" customHeight="1" x14ac:dyDescent="0.6">
      <c r="A342" s="1"/>
      <c r="B342" s="5"/>
      <c r="C342" s="1"/>
      <c r="D342" s="38"/>
      <c r="E342" s="1"/>
      <c r="F342" s="1"/>
    </row>
    <row r="343" spans="1:6" ht="21.75" customHeight="1" x14ac:dyDescent="0.6">
      <c r="A343" s="1"/>
      <c r="B343" s="5"/>
      <c r="C343" s="1"/>
      <c r="D343" s="38"/>
      <c r="E343" s="1"/>
      <c r="F343" s="1"/>
    </row>
    <row r="344" spans="1:6" ht="21.75" customHeight="1" x14ac:dyDescent="0.6">
      <c r="A344" s="1"/>
      <c r="B344" s="5"/>
      <c r="C344" s="1"/>
      <c r="D344" s="38"/>
      <c r="E344" s="1"/>
      <c r="F344" s="1"/>
    </row>
    <row r="345" spans="1:6" ht="21.75" customHeight="1" x14ac:dyDescent="0.6">
      <c r="A345" s="1"/>
      <c r="B345" s="5"/>
      <c r="C345" s="1"/>
      <c r="D345" s="38"/>
      <c r="E345" s="1"/>
      <c r="F345" s="1"/>
    </row>
    <row r="346" spans="1:6" ht="21.75" customHeight="1" x14ac:dyDescent="0.6">
      <c r="A346" s="1"/>
      <c r="B346" s="5"/>
      <c r="C346" s="1"/>
      <c r="D346" s="38"/>
      <c r="E346" s="1"/>
      <c r="F346" s="1"/>
    </row>
    <row r="347" spans="1:6" ht="21.75" customHeight="1" x14ac:dyDescent="0.6">
      <c r="A347" s="1"/>
      <c r="B347" s="5"/>
      <c r="C347" s="1"/>
      <c r="D347" s="38"/>
      <c r="E347" s="1"/>
      <c r="F347" s="1"/>
    </row>
    <row r="348" spans="1:6" ht="21.75" customHeight="1" x14ac:dyDescent="0.6">
      <c r="A348" s="1"/>
      <c r="B348" s="5"/>
      <c r="C348" s="1"/>
      <c r="D348" s="38"/>
      <c r="E348" s="1"/>
      <c r="F348" s="1"/>
    </row>
    <row r="349" spans="1:6" ht="21.75" customHeight="1" x14ac:dyDescent="0.6">
      <c r="A349" s="1"/>
      <c r="B349" s="5"/>
      <c r="C349" s="1"/>
      <c r="D349" s="38"/>
      <c r="E349" s="1"/>
      <c r="F349" s="1"/>
    </row>
    <row r="350" spans="1:6" ht="21.75" customHeight="1" x14ac:dyDescent="0.6">
      <c r="A350" s="1"/>
      <c r="B350" s="5"/>
      <c r="C350" s="1"/>
      <c r="D350" s="38"/>
      <c r="E350" s="1"/>
      <c r="F350" s="1"/>
    </row>
    <row r="351" spans="1:6" ht="21.75" customHeight="1" x14ac:dyDescent="0.6">
      <c r="A351" s="1"/>
      <c r="B351" s="5"/>
      <c r="C351" s="1"/>
      <c r="D351" s="38"/>
      <c r="E351" s="1"/>
      <c r="F351" s="1"/>
    </row>
    <row r="352" spans="1:6" ht="21.75" customHeight="1" x14ac:dyDescent="0.6">
      <c r="A352" s="1"/>
      <c r="B352" s="5"/>
      <c r="C352" s="1"/>
      <c r="D352" s="38"/>
      <c r="E352" s="1"/>
      <c r="F352" s="1"/>
    </row>
    <row r="353" spans="1:6" ht="21.75" customHeight="1" x14ac:dyDescent="0.6">
      <c r="A353" s="1"/>
      <c r="B353" s="5"/>
      <c r="C353" s="1"/>
      <c r="D353" s="38"/>
      <c r="E353" s="1"/>
      <c r="F353" s="1"/>
    </row>
    <row r="354" spans="1:6" ht="21.75" customHeight="1" x14ac:dyDescent="0.6">
      <c r="A354" s="1"/>
      <c r="B354" s="5"/>
      <c r="C354" s="1"/>
      <c r="D354" s="38"/>
      <c r="E354" s="1"/>
      <c r="F354" s="1"/>
    </row>
    <row r="355" spans="1:6" ht="21.75" customHeight="1" x14ac:dyDescent="0.6">
      <c r="A355" s="1"/>
      <c r="B355" s="5"/>
      <c r="C355" s="1"/>
      <c r="D355" s="38"/>
      <c r="E355" s="1"/>
      <c r="F355" s="1"/>
    </row>
    <row r="356" spans="1:6" ht="21.75" customHeight="1" x14ac:dyDescent="0.6">
      <c r="A356" s="1"/>
      <c r="B356" s="5"/>
      <c r="C356" s="1"/>
      <c r="D356" s="38"/>
      <c r="E356" s="1"/>
      <c r="F356" s="1"/>
    </row>
    <row r="357" spans="1:6" ht="21.75" customHeight="1" x14ac:dyDescent="0.6">
      <c r="A357" s="1"/>
      <c r="B357" s="5"/>
      <c r="C357" s="1"/>
      <c r="D357" s="38"/>
      <c r="E357" s="1"/>
      <c r="F357" s="1"/>
    </row>
    <row r="358" spans="1:6" ht="21.75" customHeight="1" x14ac:dyDescent="0.6">
      <c r="A358" s="1"/>
      <c r="B358" s="5"/>
      <c r="C358" s="1"/>
      <c r="D358" s="38"/>
      <c r="E358" s="1"/>
      <c r="F358" s="1"/>
    </row>
    <row r="359" spans="1:6" ht="21.75" customHeight="1" x14ac:dyDescent="0.6">
      <c r="A359" s="1"/>
      <c r="B359" s="5"/>
      <c r="C359" s="1"/>
      <c r="D359" s="38"/>
      <c r="E359" s="1"/>
      <c r="F359" s="1"/>
    </row>
    <row r="360" spans="1:6" ht="21.75" customHeight="1" x14ac:dyDescent="0.6">
      <c r="A360" s="1"/>
      <c r="B360" s="5"/>
      <c r="C360" s="1"/>
      <c r="D360" s="38"/>
      <c r="E360" s="1"/>
      <c r="F360" s="1"/>
    </row>
    <row r="361" spans="1:6" ht="21.75" customHeight="1" x14ac:dyDescent="0.6">
      <c r="A361" s="1"/>
      <c r="B361" s="5"/>
      <c r="C361" s="1"/>
      <c r="D361" s="38"/>
      <c r="E361" s="1"/>
      <c r="F361" s="1"/>
    </row>
    <row r="362" spans="1:6" ht="21.75" customHeight="1" x14ac:dyDescent="0.6">
      <c r="A362" s="1"/>
      <c r="B362" s="5"/>
      <c r="C362" s="1"/>
      <c r="D362" s="38"/>
      <c r="E362" s="1"/>
      <c r="F362" s="1"/>
    </row>
    <row r="363" spans="1:6" ht="21.75" customHeight="1" x14ac:dyDescent="0.6">
      <c r="A363" s="1"/>
      <c r="B363" s="5"/>
      <c r="C363" s="1"/>
      <c r="D363" s="38"/>
      <c r="E363" s="1"/>
      <c r="F363" s="1"/>
    </row>
    <row r="364" spans="1:6" ht="21.75" customHeight="1" x14ac:dyDescent="0.6">
      <c r="A364" s="1"/>
      <c r="B364" s="5"/>
      <c r="C364" s="1"/>
      <c r="D364" s="38"/>
      <c r="E364" s="1"/>
      <c r="F364" s="1"/>
    </row>
    <row r="365" spans="1:6" ht="21.75" customHeight="1" x14ac:dyDescent="0.6">
      <c r="A365" s="1"/>
      <c r="B365" s="5"/>
      <c r="C365" s="1"/>
      <c r="D365" s="38"/>
      <c r="E365" s="1"/>
      <c r="F365" s="1"/>
    </row>
    <row r="366" spans="1:6" ht="21.75" customHeight="1" x14ac:dyDescent="0.6">
      <c r="A366" s="1"/>
      <c r="B366" s="5"/>
      <c r="C366" s="1"/>
      <c r="D366" s="38"/>
      <c r="E366" s="1"/>
      <c r="F366" s="1"/>
    </row>
    <row r="367" spans="1:6" ht="21.75" customHeight="1" x14ac:dyDescent="0.6">
      <c r="A367" s="1"/>
      <c r="B367" s="5"/>
      <c r="C367" s="1"/>
      <c r="D367" s="38"/>
      <c r="E367" s="1"/>
      <c r="F367" s="1"/>
    </row>
    <row r="368" spans="1:6" ht="21.75" customHeight="1" x14ac:dyDescent="0.6">
      <c r="A368" s="1"/>
      <c r="B368" s="5"/>
      <c r="C368" s="1"/>
      <c r="D368" s="38"/>
      <c r="E368" s="1"/>
      <c r="F368" s="1"/>
    </row>
    <row r="369" spans="1:6" ht="21.75" customHeight="1" x14ac:dyDescent="0.6">
      <c r="A369" s="1"/>
      <c r="B369" s="5"/>
      <c r="C369" s="1"/>
      <c r="D369" s="38"/>
      <c r="E369" s="1"/>
      <c r="F369" s="1"/>
    </row>
    <row r="370" spans="1:6" ht="21.75" customHeight="1" x14ac:dyDescent="0.6">
      <c r="A370" s="1"/>
      <c r="B370" s="5"/>
      <c r="C370" s="1"/>
      <c r="D370" s="38"/>
      <c r="E370" s="1"/>
      <c r="F370" s="1"/>
    </row>
    <row r="371" spans="1:6" ht="21.75" customHeight="1" x14ac:dyDescent="0.6">
      <c r="A371" s="1"/>
      <c r="B371" s="5"/>
      <c r="C371" s="1"/>
      <c r="D371" s="38"/>
      <c r="E371" s="1"/>
      <c r="F371" s="1"/>
    </row>
    <row r="372" spans="1:6" ht="21.75" customHeight="1" x14ac:dyDescent="0.6">
      <c r="A372" s="1"/>
      <c r="B372" s="5"/>
      <c r="C372" s="1"/>
      <c r="D372" s="38"/>
      <c r="E372" s="1"/>
      <c r="F372" s="1"/>
    </row>
    <row r="373" spans="1:6" ht="21.75" customHeight="1" x14ac:dyDescent="0.6">
      <c r="A373" s="1"/>
      <c r="B373" s="5"/>
      <c r="C373" s="1"/>
      <c r="D373" s="38"/>
      <c r="E373" s="1"/>
      <c r="F373" s="1"/>
    </row>
    <row r="374" spans="1:6" ht="21.75" customHeight="1" x14ac:dyDescent="0.6">
      <c r="A374" s="1"/>
      <c r="B374" s="5"/>
      <c r="C374" s="1"/>
      <c r="D374" s="38"/>
      <c r="E374" s="1"/>
      <c r="F374" s="1"/>
    </row>
    <row r="375" spans="1:6" ht="21.75" customHeight="1" x14ac:dyDescent="0.6">
      <c r="A375" s="1"/>
      <c r="B375" s="5"/>
      <c r="C375" s="1"/>
      <c r="D375" s="38"/>
      <c r="E375" s="1"/>
      <c r="F375" s="1"/>
    </row>
    <row r="376" spans="1:6" ht="21.75" customHeight="1" x14ac:dyDescent="0.6">
      <c r="A376" s="1"/>
      <c r="B376" s="5"/>
      <c r="C376" s="1"/>
      <c r="D376" s="38"/>
      <c r="E376" s="1"/>
      <c r="F376" s="1"/>
    </row>
    <row r="377" spans="1:6" ht="21.75" customHeight="1" x14ac:dyDescent="0.6">
      <c r="A377" s="1"/>
      <c r="B377" s="5"/>
      <c r="C377" s="1"/>
      <c r="D377" s="38"/>
      <c r="E377" s="1"/>
      <c r="F377" s="1"/>
    </row>
    <row r="378" spans="1:6" ht="21.75" customHeight="1" x14ac:dyDescent="0.6">
      <c r="A378" s="1"/>
      <c r="B378" s="5"/>
      <c r="C378" s="1"/>
      <c r="D378" s="38"/>
      <c r="E378" s="1"/>
      <c r="F378" s="1"/>
    </row>
    <row r="379" spans="1:6" ht="21.75" customHeight="1" x14ac:dyDescent="0.6">
      <c r="A379" s="1"/>
      <c r="B379" s="5"/>
      <c r="C379" s="1"/>
      <c r="D379" s="38"/>
      <c r="E379" s="1"/>
      <c r="F379" s="1"/>
    </row>
    <row r="380" spans="1:6" ht="21.75" customHeight="1" x14ac:dyDescent="0.6">
      <c r="A380" s="1"/>
      <c r="B380" s="5"/>
      <c r="C380" s="1"/>
      <c r="D380" s="38"/>
      <c r="E380" s="1"/>
      <c r="F380" s="1"/>
    </row>
    <row r="381" spans="1:6" ht="21.75" customHeight="1" x14ac:dyDescent="0.6">
      <c r="A381" s="1"/>
      <c r="B381" s="5"/>
      <c r="C381" s="1"/>
      <c r="D381" s="38"/>
      <c r="E381" s="1"/>
      <c r="F381" s="1"/>
    </row>
    <row r="382" spans="1:6" ht="21.75" customHeight="1" x14ac:dyDescent="0.6">
      <c r="A382" s="1"/>
      <c r="B382" s="5"/>
      <c r="C382" s="1"/>
      <c r="D382" s="38"/>
      <c r="E382" s="1"/>
      <c r="F382" s="1"/>
    </row>
    <row r="383" spans="1:6" ht="21.75" customHeight="1" x14ac:dyDescent="0.6">
      <c r="A383" s="1"/>
      <c r="B383" s="5"/>
      <c r="C383" s="1"/>
      <c r="D383" s="38"/>
      <c r="E383" s="1"/>
      <c r="F383" s="1"/>
    </row>
    <row r="384" spans="1:6" ht="21.75" customHeight="1" x14ac:dyDescent="0.6">
      <c r="A384" s="1"/>
      <c r="B384" s="5"/>
      <c r="C384" s="1"/>
      <c r="D384" s="38"/>
      <c r="E384" s="1"/>
      <c r="F384" s="1"/>
    </row>
    <row r="385" spans="1:6" ht="21.75" customHeight="1" x14ac:dyDescent="0.6">
      <c r="A385" s="1"/>
      <c r="B385" s="5"/>
      <c r="C385" s="1"/>
      <c r="D385" s="38"/>
      <c r="E385" s="1"/>
      <c r="F385" s="1"/>
    </row>
    <row r="386" spans="1:6" ht="21.75" customHeight="1" x14ac:dyDescent="0.6">
      <c r="A386" s="1"/>
      <c r="B386" s="5"/>
      <c r="C386" s="1"/>
      <c r="D386" s="38"/>
      <c r="E386" s="1"/>
      <c r="F386" s="1"/>
    </row>
    <row r="387" spans="1:6" ht="21.75" customHeight="1" x14ac:dyDescent="0.6">
      <c r="A387" s="1"/>
      <c r="B387" s="5"/>
      <c r="C387" s="1"/>
      <c r="D387" s="38"/>
      <c r="E387" s="1"/>
      <c r="F387" s="1"/>
    </row>
    <row r="388" spans="1:6" ht="21.75" customHeight="1" x14ac:dyDescent="0.6">
      <c r="A388" s="1"/>
      <c r="B388" s="5"/>
      <c r="C388" s="1"/>
      <c r="D388" s="38"/>
      <c r="E388" s="1"/>
      <c r="F388" s="1"/>
    </row>
    <row r="389" spans="1:6" ht="21.75" customHeight="1" x14ac:dyDescent="0.6">
      <c r="A389" s="1"/>
      <c r="B389" s="5"/>
      <c r="C389" s="1"/>
      <c r="D389" s="38"/>
      <c r="E389" s="1"/>
      <c r="F389" s="1"/>
    </row>
    <row r="390" spans="1:6" ht="21.75" customHeight="1" x14ac:dyDescent="0.6">
      <c r="A390" s="1"/>
      <c r="B390" s="5"/>
      <c r="C390" s="1"/>
      <c r="D390" s="38"/>
      <c r="E390" s="1"/>
      <c r="F390" s="1"/>
    </row>
    <row r="391" spans="1:6" ht="21.75" customHeight="1" x14ac:dyDescent="0.6">
      <c r="A391" s="1"/>
      <c r="B391" s="5"/>
      <c r="C391" s="1"/>
      <c r="D391" s="38"/>
      <c r="E391" s="1"/>
      <c r="F391" s="1"/>
    </row>
    <row r="392" spans="1:6" ht="21.75" customHeight="1" x14ac:dyDescent="0.6">
      <c r="A392" s="1"/>
      <c r="B392" s="5"/>
      <c r="C392" s="1"/>
      <c r="D392" s="38"/>
      <c r="E392" s="1"/>
      <c r="F392" s="1"/>
    </row>
    <row r="393" spans="1:6" ht="21.75" customHeight="1" x14ac:dyDescent="0.6">
      <c r="A393" s="1"/>
      <c r="B393" s="5"/>
      <c r="C393" s="1"/>
      <c r="D393" s="38"/>
      <c r="E393" s="1"/>
      <c r="F393" s="1"/>
    </row>
    <row r="394" spans="1:6" ht="21.75" customHeight="1" x14ac:dyDescent="0.6">
      <c r="A394" s="1"/>
      <c r="B394" s="5"/>
      <c r="C394" s="1"/>
      <c r="D394" s="38"/>
      <c r="E394" s="1"/>
      <c r="F394" s="1"/>
    </row>
    <row r="395" spans="1:6" ht="21.75" customHeight="1" x14ac:dyDescent="0.6">
      <c r="A395" s="1"/>
      <c r="B395" s="5"/>
      <c r="C395" s="1"/>
      <c r="D395" s="38"/>
      <c r="E395" s="1"/>
      <c r="F395" s="1"/>
    </row>
    <row r="396" spans="1:6" ht="21.75" customHeight="1" x14ac:dyDescent="0.6">
      <c r="A396" s="1"/>
      <c r="B396" s="5"/>
      <c r="C396" s="1"/>
      <c r="D396" s="38"/>
      <c r="E396" s="1"/>
      <c r="F396" s="1"/>
    </row>
    <row r="397" spans="1:6" ht="21.75" customHeight="1" x14ac:dyDescent="0.6">
      <c r="A397" s="1"/>
      <c r="B397" s="5"/>
      <c r="C397" s="1"/>
      <c r="D397" s="38"/>
      <c r="E397" s="1"/>
      <c r="F397" s="1"/>
    </row>
    <row r="398" spans="1:6" ht="21.75" customHeight="1" x14ac:dyDescent="0.6">
      <c r="A398" s="1"/>
      <c r="B398" s="5"/>
      <c r="C398" s="1"/>
      <c r="D398" s="38"/>
      <c r="E398" s="1"/>
      <c r="F398" s="1"/>
    </row>
    <row r="399" spans="1:6" ht="21.75" customHeight="1" x14ac:dyDescent="0.6">
      <c r="A399" s="1"/>
      <c r="B399" s="5"/>
      <c r="C399" s="1"/>
      <c r="D399" s="38"/>
      <c r="E399" s="1"/>
      <c r="F399" s="1"/>
    </row>
    <row r="400" spans="1:6" ht="21.75" customHeight="1" x14ac:dyDescent="0.6">
      <c r="A400" s="1"/>
      <c r="B400" s="5"/>
      <c r="C400" s="1"/>
      <c r="D400" s="38"/>
      <c r="E400" s="1"/>
      <c r="F400" s="1"/>
    </row>
    <row r="401" spans="1:6" ht="21.75" customHeight="1" x14ac:dyDescent="0.6">
      <c r="A401" s="1"/>
      <c r="B401" s="5"/>
      <c r="C401" s="1"/>
      <c r="D401" s="38"/>
      <c r="E401" s="1"/>
      <c r="F401" s="1"/>
    </row>
    <row r="402" spans="1:6" ht="21.75" customHeight="1" x14ac:dyDescent="0.6">
      <c r="A402" s="1"/>
      <c r="B402" s="5"/>
      <c r="C402" s="1"/>
      <c r="D402" s="38"/>
      <c r="E402" s="1"/>
      <c r="F402" s="1"/>
    </row>
    <row r="403" spans="1:6" ht="21.75" customHeight="1" x14ac:dyDescent="0.6">
      <c r="A403" s="1"/>
      <c r="B403" s="5"/>
      <c r="C403" s="1"/>
      <c r="D403" s="38"/>
      <c r="E403" s="1"/>
      <c r="F403" s="1"/>
    </row>
    <row r="404" spans="1:6" ht="21.75" customHeight="1" x14ac:dyDescent="0.6">
      <c r="A404" s="1"/>
      <c r="B404" s="5"/>
      <c r="C404" s="1"/>
      <c r="D404" s="38"/>
      <c r="E404" s="1"/>
      <c r="F404" s="1"/>
    </row>
    <row r="405" spans="1:6" ht="21.75" customHeight="1" x14ac:dyDescent="0.6">
      <c r="A405" s="1"/>
      <c r="B405" s="5"/>
      <c r="C405" s="1"/>
      <c r="D405" s="38"/>
      <c r="E405" s="1"/>
      <c r="F405" s="1"/>
    </row>
    <row r="406" spans="1:6" ht="21.75" customHeight="1" x14ac:dyDescent="0.6">
      <c r="A406" s="1"/>
      <c r="B406" s="5"/>
      <c r="C406" s="1"/>
      <c r="D406" s="38"/>
      <c r="E406" s="1"/>
      <c r="F406" s="1"/>
    </row>
    <row r="407" spans="1:6" ht="21.75" customHeight="1" x14ac:dyDescent="0.6">
      <c r="A407" s="1"/>
      <c r="B407" s="5"/>
      <c r="C407" s="1"/>
      <c r="D407" s="38"/>
      <c r="E407" s="1"/>
      <c r="F407" s="1"/>
    </row>
    <row r="408" spans="1:6" ht="21.75" customHeight="1" x14ac:dyDescent="0.6">
      <c r="A408" s="1"/>
      <c r="B408" s="5"/>
      <c r="C408" s="1"/>
      <c r="D408" s="38"/>
      <c r="E408" s="1"/>
      <c r="F408" s="1"/>
    </row>
    <row r="409" spans="1:6" ht="21.75" customHeight="1" x14ac:dyDescent="0.6">
      <c r="A409" s="1"/>
      <c r="B409" s="5"/>
      <c r="C409" s="1"/>
      <c r="D409" s="38"/>
      <c r="E409" s="1"/>
      <c r="F409" s="1"/>
    </row>
    <row r="410" spans="1:6" ht="21.75" customHeight="1" x14ac:dyDescent="0.6">
      <c r="A410" s="1"/>
      <c r="B410" s="5"/>
      <c r="C410" s="1"/>
      <c r="D410" s="38"/>
      <c r="E410" s="1"/>
      <c r="F410" s="1"/>
    </row>
    <row r="411" spans="1:6" ht="21.75" customHeight="1" x14ac:dyDescent="0.6">
      <c r="A411" s="1"/>
      <c r="B411" s="5"/>
      <c r="C411" s="1"/>
      <c r="D411" s="38"/>
      <c r="E411" s="1"/>
      <c r="F411" s="1"/>
    </row>
    <row r="412" spans="1:6" ht="21.75" customHeight="1" x14ac:dyDescent="0.6">
      <c r="A412" s="1"/>
      <c r="B412" s="5"/>
      <c r="C412" s="1"/>
      <c r="D412" s="38"/>
      <c r="E412" s="1"/>
      <c r="F412" s="1"/>
    </row>
    <row r="413" spans="1:6" ht="21.75" customHeight="1" x14ac:dyDescent="0.6">
      <c r="A413" s="1"/>
      <c r="B413" s="5"/>
      <c r="C413" s="1"/>
      <c r="D413" s="38"/>
      <c r="E413" s="1"/>
      <c r="F413" s="1"/>
    </row>
    <row r="414" spans="1:6" ht="21.75" customHeight="1" x14ac:dyDescent="0.6">
      <c r="A414" s="1"/>
      <c r="B414" s="5"/>
      <c r="C414" s="1"/>
      <c r="D414" s="38"/>
      <c r="E414" s="1"/>
      <c r="F414" s="1"/>
    </row>
    <row r="415" spans="1:6" ht="21.75" customHeight="1" x14ac:dyDescent="0.6">
      <c r="A415" s="1"/>
      <c r="B415" s="5"/>
      <c r="C415" s="1"/>
      <c r="D415" s="38"/>
      <c r="E415" s="1"/>
      <c r="F415" s="1"/>
    </row>
    <row r="416" spans="1:6" ht="21.75" customHeight="1" x14ac:dyDescent="0.6">
      <c r="A416" s="1"/>
      <c r="B416" s="5"/>
      <c r="C416" s="1"/>
      <c r="D416" s="38"/>
      <c r="E416" s="1"/>
      <c r="F416" s="1"/>
    </row>
    <row r="417" spans="1:6" ht="21.75" customHeight="1" x14ac:dyDescent="0.6">
      <c r="A417" s="1"/>
      <c r="B417" s="5"/>
      <c r="C417" s="1"/>
      <c r="D417" s="38"/>
      <c r="E417" s="1"/>
      <c r="F417" s="1"/>
    </row>
    <row r="418" spans="1:6" ht="21.75" customHeight="1" x14ac:dyDescent="0.6">
      <c r="A418" s="1"/>
      <c r="B418" s="5"/>
      <c r="C418" s="1"/>
      <c r="D418" s="38"/>
      <c r="E418" s="1"/>
      <c r="F418" s="1"/>
    </row>
    <row r="419" spans="1:6" ht="21.75" customHeight="1" x14ac:dyDescent="0.6">
      <c r="A419" s="1"/>
      <c r="B419" s="5"/>
      <c r="C419" s="1"/>
      <c r="D419" s="38"/>
      <c r="E419" s="1"/>
      <c r="F419" s="1"/>
    </row>
    <row r="420" spans="1:6" ht="21.75" customHeight="1" x14ac:dyDescent="0.6">
      <c r="A420" s="1"/>
      <c r="B420" s="5"/>
      <c r="C420" s="1"/>
      <c r="D420" s="38"/>
      <c r="E420" s="1"/>
      <c r="F420" s="1"/>
    </row>
    <row r="421" spans="1:6" ht="21.75" customHeight="1" x14ac:dyDescent="0.6">
      <c r="A421" s="1"/>
      <c r="B421" s="5"/>
      <c r="C421" s="1"/>
      <c r="D421" s="38"/>
      <c r="E421" s="1"/>
      <c r="F421" s="1"/>
    </row>
    <row r="422" spans="1:6" ht="21.75" customHeight="1" x14ac:dyDescent="0.6">
      <c r="A422" s="1"/>
      <c r="B422" s="5"/>
      <c r="C422" s="1"/>
      <c r="D422" s="38"/>
      <c r="E422" s="1"/>
      <c r="F422" s="1"/>
    </row>
    <row r="423" spans="1:6" ht="21.75" customHeight="1" x14ac:dyDescent="0.6">
      <c r="A423" s="1"/>
      <c r="B423" s="5"/>
      <c r="C423" s="1"/>
      <c r="D423" s="38"/>
      <c r="E423" s="1"/>
      <c r="F423" s="1"/>
    </row>
    <row r="424" spans="1:6" ht="21.75" customHeight="1" x14ac:dyDescent="0.6">
      <c r="A424" s="1"/>
      <c r="B424" s="5"/>
      <c r="C424" s="1"/>
      <c r="D424" s="38"/>
      <c r="E424" s="1"/>
      <c r="F424" s="1"/>
    </row>
    <row r="425" spans="1:6" ht="21.75" customHeight="1" x14ac:dyDescent="0.6">
      <c r="A425" s="1"/>
      <c r="B425" s="5"/>
      <c r="C425" s="1"/>
      <c r="D425" s="38"/>
      <c r="E425" s="1"/>
      <c r="F425" s="1"/>
    </row>
    <row r="426" spans="1:6" ht="21.75" customHeight="1" x14ac:dyDescent="0.6">
      <c r="A426" s="1"/>
      <c r="B426" s="5"/>
      <c r="C426" s="1"/>
      <c r="D426" s="38"/>
      <c r="E426" s="1"/>
      <c r="F426" s="1"/>
    </row>
    <row r="427" spans="1:6" ht="21.75" customHeight="1" x14ac:dyDescent="0.6">
      <c r="A427" s="1"/>
      <c r="B427" s="5"/>
      <c r="C427" s="1"/>
      <c r="D427" s="38"/>
      <c r="E427" s="1"/>
      <c r="F427" s="1"/>
    </row>
    <row r="428" spans="1:6" ht="21.75" customHeight="1" x14ac:dyDescent="0.6">
      <c r="A428" s="1"/>
      <c r="B428" s="5"/>
      <c r="C428" s="1"/>
      <c r="D428" s="38"/>
      <c r="E428" s="1"/>
      <c r="F428" s="1"/>
    </row>
    <row r="429" spans="1:6" ht="21.75" customHeight="1" x14ac:dyDescent="0.6">
      <c r="A429" s="1"/>
      <c r="B429" s="5"/>
      <c r="C429" s="1"/>
      <c r="D429" s="38"/>
      <c r="E429" s="1"/>
      <c r="F429" s="1"/>
    </row>
    <row r="430" spans="1:6" ht="21.75" customHeight="1" x14ac:dyDescent="0.6">
      <c r="A430" s="1"/>
      <c r="B430" s="5"/>
      <c r="C430" s="1"/>
      <c r="D430" s="38"/>
      <c r="E430" s="1"/>
      <c r="F430" s="1"/>
    </row>
    <row r="431" spans="1:6" ht="21.75" customHeight="1" x14ac:dyDescent="0.6">
      <c r="A431" s="1"/>
      <c r="B431" s="5"/>
      <c r="C431" s="1"/>
      <c r="D431" s="38"/>
      <c r="E431" s="1"/>
      <c r="F431" s="1"/>
    </row>
    <row r="432" spans="1:6" ht="21.75" customHeight="1" x14ac:dyDescent="0.6">
      <c r="A432" s="1"/>
      <c r="B432" s="5"/>
      <c r="C432" s="1"/>
      <c r="D432" s="38"/>
      <c r="E432" s="1"/>
      <c r="F432" s="1"/>
    </row>
    <row r="433" spans="1:6" ht="21.75" customHeight="1" x14ac:dyDescent="0.6">
      <c r="A433" s="1"/>
      <c r="B433" s="5"/>
      <c r="C433" s="1"/>
      <c r="D433" s="38"/>
      <c r="E433" s="1"/>
      <c r="F433" s="1"/>
    </row>
    <row r="434" spans="1:6" ht="21.75" customHeight="1" x14ac:dyDescent="0.6">
      <c r="A434" s="1"/>
      <c r="B434" s="5"/>
      <c r="C434" s="1"/>
      <c r="D434" s="38"/>
      <c r="E434" s="1"/>
      <c r="F434" s="1"/>
    </row>
    <row r="435" spans="1:6" ht="21.75" customHeight="1" x14ac:dyDescent="0.6">
      <c r="A435" s="1"/>
      <c r="B435" s="5"/>
      <c r="C435" s="1"/>
      <c r="D435" s="38"/>
      <c r="E435" s="1"/>
      <c r="F435" s="1"/>
    </row>
    <row r="436" spans="1:6" ht="21.75" customHeight="1" x14ac:dyDescent="0.6">
      <c r="A436" s="1"/>
      <c r="B436" s="5"/>
      <c r="C436" s="1"/>
      <c r="D436" s="38"/>
      <c r="E436" s="1"/>
      <c r="F436" s="1"/>
    </row>
    <row r="437" spans="1:6" ht="21.75" customHeight="1" x14ac:dyDescent="0.6">
      <c r="A437" s="1"/>
      <c r="B437" s="5"/>
      <c r="C437" s="1"/>
      <c r="D437" s="38"/>
      <c r="E437" s="1"/>
      <c r="F437" s="1"/>
    </row>
    <row r="438" spans="1:6" ht="21.75" customHeight="1" x14ac:dyDescent="0.6">
      <c r="A438" s="1"/>
      <c r="B438" s="5"/>
      <c r="C438" s="1"/>
      <c r="D438" s="38"/>
      <c r="E438" s="1"/>
      <c r="F438" s="1"/>
    </row>
    <row r="439" spans="1:6" ht="21.75" customHeight="1" x14ac:dyDescent="0.6">
      <c r="A439" s="1"/>
      <c r="B439" s="5"/>
      <c r="C439" s="1"/>
      <c r="D439" s="38"/>
      <c r="E439" s="1"/>
      <c r="F439" s="1"/>
    </row>
    <row r="440" spans="1:6" ht="21.75" customHeight="1" x14ac:dyDescent="0.6">
      <c r="A440" s="1"/>
      <c r="B440" s="5"/>
      <c r="C440" s="1"/>
      <c r="D440" s="38"/>
      <c r="E440" s="1"/>
      <c r="F440" s="1"/>
    </row>
    <row r="441" spans="1:6" ht="21.75" customHeight="1" x14ac:dyDescent="0.6">
      <c r="A441" s="1"/>
      <c r="B441" s="5"/>
      <c r="C441" s="1"/>
      <c r="D441" s="38"/>
      <c r="E441" s="1"/>
      <c r="F441" s="1"/>
    </row>
    <row r="442" spans="1:6" ht="21.75" customHeight="1" x14ac:dyDescent="0.6">
      <c r="A442" s="1"/>
      <c r="B442" s="5"/>
      <c r="C442" s="1"/>
      <c r="D442" s="38"/>
      <c r="E442" s="1"/>
      <c r="F442" s="1"/>
    </row>
    <row r="443" spans="1:6" ht="21.75" customHeight="1" x14ac:dyDescent="0.6">
      <c r="A443" s="1"/>
      <c r="B443" s="5"/>
      <c r="C443" s="1"/>
      <c r="D443" s="38"/>
      <c r="E443" s="1"/>
      <c r="F443" s="1"/>
    </row>
    <row r="444" spans="1:6" ht="21.75" customHeight="1" x14ac:dyDescent="0.6">
      <c r="A444" s="1"/>
      <c r="B444" s="5"/>
      <c r="C444" s="1"/>
      <c r="D444" s="38"/>
      <c r="E444" s="1"/>
      <c r="F444" s="1"/>
    </row>
    <row r="445" spans="1:6" ht="21.75" customHeight="1" x14ac:dyDescent="0.6">
      <c r="A445" s="1"/>
      <c r="B445" s="5"/>
      <c r="C445" s="1"/>
      <c r="D445" s="38"/>
      <c r="E445" s="1"/>
      <c r="F445" s="1"/>
    </row>
    <row r="446" spans="1:6" ht="21.75" customHeight="1" x14ac:dyDescent="0.6">
      <c r="A446" s="1"/>
      <c r="B446" s="5"/>
      <c r="C446" s="1"/>
      <c r="D446" s="38"/>
      <c r="E446" s="1"/>
      <c r="F446" s="1"/>
    </row>
    <row r="447" spans="1:6" ht="21.75" customHeight="1" x14ac:dyDescent="0.6">
      <c r="A447" s="1"/>
      <c r="B447" s="5"/>
      <c r="C447" s="1"/>
      <c r="D447" s="38"/>
      <c r="E447" s="1"/>
      <c r="F447" s="1"/>
    </row>
    <row r="448" spans="1:6" ht="21.75" customHeight="1" x14ac:dyDescent="0.6">
      <c r="A448" s="1"/>
      <c r="B448" s="5"/>
      <c r="C448" s="1"/>
      <c r="D448" s="38"/>
      <c r="E448" s="1"/>
      <c r="F448" s="1"/>
    </row>
    <row r="449" spans="1:6" ht="21.75" customHeight="1" x14ac:dyDescent="0.6">
      <c r="A449" s="1"/>
      <c r="B449" s="5"/>
      <c r="C449" s="1"/>
      <c r="D449" s="38"/>
      <c r="E449" s="1"/>
      <c r="F449" s="1"/>
    </row>
    <row r="450" spans="1:6" ht="21.75" customHeight="1" x14ac:dyDescent="0.6">
      <c r="A450" s="1"/>
      <c r="B450" s="5"/>
      <c r="C450" s="1"/>
      <c r="D450" s="38"/>
      <c r="E450" s="1"/>
      <c r="F450" s="1"/>
    </row>
    <row r="451" spans="1:6" ht="21.75" customHeight="1" x14ac:dyDescent="0.6">
      <c r="A451" s="1"/>
      <c r="B451" s="5"/>
      <c r="C451" s="1"/>
      <c r="D451" s="38"/>
      <c r="E451" s="1"/>
      <c r="F451" s="1"/>
    </row>
    <row r="452" spans="1:6" ht="21.75" customHeight="1" x14ac:dyDescent="0.6">
      <c r="A452" s="1"/>
      <c r="B452" s="5"/>
      <c r="C452" s="1"/>
      <c r="D452" s="38"/>
      <c r="E452" s="1"/>
      <c r="F452" s="1"/>
    </row>
    <row r="453" spans="1:6" ht="21.75" customHeight="1" x14ac:dyDescent="0.6">
      <c r="A453" s="1"/>
      <c r="B453" s="5"/>
      <c r="C453" s="1"/>
      <c r="D453" s="38"/>
      <c r="E453" s="1"/>
      <c r="F453" s="1"/>
    </row>
    <row r="454" spans="1:6" ht="21.75" customHeight="1" x14ac:dyDescent="0.6">
      <c r="A454" s="1"/>
      <c r="B454" s="5"/>
      <c r="C454" s="1"/>
      <c r="D454" s="38"/>
      <c r="E454" s="1"/>
      <c r="F454" s="1"/>
    </row>
    <row r="455" spans="1:6" ht="21.75" customHeight="1" x14ac:dyDescent="0.6">
      <c r="A455" s="1"/>
      <c r="B455" s="5"/>
      <c r="C455" s="1"/>
      <c r="D455" s="38"/>
      <c r="E455" s="1"/>
      <c r="F455" s="1"/>
    </row>
    <row r="456" spans="1:6" ht="21.75" customHeight="1" x14ac:dyDescent="0.6">
      <c r="A456" s="1"/>
      <c r="B456" s="5"/>
      <c r="C456" s="1"/>
      <c r="D456" s="38"/>
      <c r="E456" s="1"/>
      <c r="F456" s="1"/>
    </row>
    <row r="457" spans="1:6" ht="21.75" customHeight="1" x14ac:dyDescent="0.6">
      <c r="A457" s="1"/>
      <c r="B457" s="5"/>
      <c r="C457" s="1"/>
      <c r="D457" s="38"/>
      <c r="E457" s="1"/>
      <c r="F457" s="1"/>
    </row>
    <row r="458" spans="1:6" ht="21.75" customHeight="1" x14ac:dyDescent="0.6">
      <c r="A458" s="1"/>
      <c r="B458" s="5"/>
      <c r="C458" s="1"/>
      <c r="D458" s="38"/>
      <c r="E458" s="1"/>
      <c r="F458" s="1"/>
    </row>
    <row r="459" spans="1:6" ht="21.75" customHeight="1" x14ac:dyDescent="0.6">
      <c r="A459" s="1"/>
      <c r="B459" s="5"/>
      <c r="C459" s="1"/>
      <c r="D459" s="38"/>
      <c r="E459" s="1"/>
      <c r="F459" s="1"/>
    </row>
    <row r="460" spans="1:6" ht="21.75" customHeight="1" x14ac:dyDescent="0.6">
      <c r="A460" s="1"/>
      <c r="B460" s="5"/>
      <c r="C460" s="1"/>
      <c r="D460" s="38"/>
      <c r="E460" s="1"/>
      <c r="F460" s="1"/>
    </row>
    <row r="461" spans="1:6" ht="21.75" customHeight="1" x14ac:dyDescent="0.6">
      <c r="A461" s="1"/>
      <c r="B461" s="5"/>
      <c r="C461" s="1"/>
      <c r="D461" s="38"/>
      <c r="E461" s="1"/>
      <c r="F461" s="1"/>
    </row>
    <row r="462" spans="1:6" ht="21.75" customHeight="1" x14ac:dyDescent="0.6">
      <c r="A462" s="1"/>
      <c r="B462" s="5"/>
      <c r="C462" s="1"/>
      <c r="D462" s="38"/>
      <c r="E462" s="1"/>
      <c r="F462" s="1"/>
    </row>
    <row r="463" spans="1:6" ht="21.75" customHeight="1" x14ac:dyDescent="0.6">
      <c r="A463" s="1"/>
      <c r="B463" s="5"/>
      <c r="C463" s="1"/>
      <c r="D463" s="38"/>
      <c r="E463" s="1"/>
      <c r="F463" s="1"/>
    </row>
    <row r="464" spans="1:6" ht="21.75" customHeight="1" x14ac:dyDescent="0.6">
      <c r="A464" s="1"/>
      <c r="B464" s="5"/>
      <c r="C464" s="1"/>
      <c r="D464" s="38"/>
      <c r="E464" s="1"/>
      <c r="F464" s="1"/>
    </row>
    <row r="465" spans="1:6" ht="21.75" customHeight="1" x14ac:dyDescent="0.6">
      <c r="A465" s="1"/>
      <c r="B465" s="5"/>
      <c r="C465" s="1"/>
      <c r="D465" s="38"/>
      <c r="E465" s="1"/>
      <c r="F465" s="1"/>
    </row>
    <row r="466" spans="1:6" ht="21.75" customHeight="1" x14ac:dyDescent="0.6">
      <c r="A466" s="1"/>
      <c r="B466" s="5"/>
      <c r="C466" s="1"/>
      <c r="D466" s="38"/>
      <c r="E466" s="1"/>
      <c r="F466" s="1"/>
    </row>
    <row r="467" spans="1:6" ht="21.75" customHeight="1" x14ac:dyDescent="0.6">
      <c r="A467" s="1"/>
      <c r="B467" s="5"/>
      <c r="C467" s="1"/>
      <c r="D467" s="38"/>
      <c r="E467" s="1"/>
      <c r="F467" s="1"/>
    </row>
    <row r="468" spans="1:6" ht="21.75" customHeight="1" x14ac:dyDescent="0.6">
      <c r="A468" s="1"/>
      <c r="B468" s="5"/>
      <c r="C468" s="1"/>
      <c r="D468" s="38"/>
      <c r="E468" s="1"/>
      <c r="F468" s="1"/>
    </row>
    <row r="469" spans="1:6" ht="21.75" customHeight="1" x14ac:dyDescent="0.6">
      <c r="A469" s="1"/>
      <c r="B469" s="5"/>
      <c r="C469" s="1"/>
      <c r="D469" s="38"/>
      <c r="E469" s="1"/>
      <c r="F469" s="1"/>
    </row>
    <row r="470" spans="1:6" ht="21.75" customHeight="1" x14ac:dyDescent="0.6">
      <c r="A470" s="1"/>
      <c r="B470" s="5"/>
      <c r="C470" s="1"/>
      <c r="D470" s="38"/>
      <c r="E470" s="1"/>
      <c r="F470" s="1"/>
    </row>
    <row r="471" spans="1:6" ht="21.75" customHeight="1" x14ac:dyDescent="0.6">
      <c r="A471" s="1"/>
      <c r="B471" s="5"/>
      <c r="C471" s="1"/>
      <c r="D471" s="38"/>
      <c r="E471" s="1"/>
      <c r="F471" s="1"/>
    </row>
    <row r="472" spans="1:6" ht="21.75" customHeight="1" x14ac:dyDescent="0.6">
      <c r="A472" s="1"/>
      <c r="B472" s="5"/>
      <c r="C472" s="1"/>
      <c r="D472" s="38"/>
      <c r="E472" s="1"/>
      <c r="F472" s="1"/>
    </row>
    <row r="473" spans="1:6" ht="21.75" customHeight="1" x14ac:dyDescent="0.6">
      <c r="A473" s="1"/>
      <c r="B473" s="5"/>
      <c r="C473" s="1"/>
      <c r="D473" s="38"/>
      <c r="E473" s="1"/>
      <c r="F473" s="1"/>
    </row>
    <row r="474" spans="1:6" ht="21.75" customHeight="1" x14ac:dyDescent="0.6">
      <c r="A474" s="1"/>
      <c r="B474" s="5"/>
      <c r="C474" s="1"/>
      <c r="D474" s="38"/>
      <c r="E474" s="1"/>
      <c r="F474" s="1"/>
    </row>
    <row r="475" spans="1:6" ht="21.75" customHeight="1" x14ac:dyDescent="0.6">
      <c r="A475" s="1"/>
      <c r="B475" s="5"/>
      <c r="C475" s="1"/>
      <c r="D475" s="38"/>
      <c r="E475" s="1"/>
      <c r="F475" s="1"/>
    </row>
    <row r="476" spans="1:6" ht="21.75" customHeight="1" x14ac:dyDescent="0.6">
      <c r="A476" s="1"/>
      <c r="B476" s="5"/>
      <c r="C476" s="1"/>
      <c r="D476" s="38"/>
      <c r="E476" s="1"/>
      <c r="F476" s="1"/>
    </row>
    <row r="477" spans="1:6" ht="21.75" customHeight="1" x14ac:dyDescent="0.6">
      <c r="A477" s="1"/>
      <c r="B477" s="5"/>
      <c r="C477" s="1"/>
      <c r="D477" s="38"/>
      <c r="E477" s="1"/>
      <c r="F477" s="1"/>
    </row>
    <row r="478" spans="1:6" ht="21.75" customHeight="1" x14ac:dyDescent="0.6">
      <c r="A478" s="1"/>
      <c r="B478" s="5"/>
      <c r="C478" s="1"/>
      <c r="D478" s="38"/>
      <c r="E478" s="1"/>
      <c r="F478" s="1"/>
    </row>
    <row r="479" spans="1:6" ht="21.75" customHeight="1" x14ac:dyDescent="0.6">
      <c r="A479" s="1"/>
      <c r="B479" s="5"/>
      <c r="C479" s="1"/>
      <c r="D479" s="38"/>
      <c r="E479" s="1"/>
      <c r="F479" s="1"/>
    </row>
    <row r="480" spans="1:6" ht="21.75" customHeight="1" x14ac:dyDescent="0.6">
      <c r="A480" s="1"/>
      <c r="B480" s="5"/>
      <c r="C480" s="1"/>
      <c r="D480" s="38"/>
      <c r="E480" s="1"/>
      <c r="F480" s="1"/>
    </row>
    <row r="481" spans="1:6" ht="21.75" customHeight="1" x14ac:dyDescent="0.6">
      <c r="A481" s="1"/>
      <c r="B481" s="5"/>
      <c r="C481" s="1"/>
      <c r="D481" s="38"/>
      <c r="E481" s="1"/>
      <c r="F481" s="1"/>
    </row>
    <row r="482" spans="1:6" ht="21.75" customHeight="1" x14ac:dyDescent="0.6">
      <c r="A482" s="1"/>
      <c r="B482" s="5"/>
      <c r="C482" s="1"/>
      <c r="D482" s="38"/>
      <c r="E482" s="1"/>
      <c r="F482" s="1"/>
    </row>
    <row r="483" spans="1:6" ht="21.75" customHeight="1" x14ac:dyDescent="0.6">
      <c r="A483" s="1"/>
      <c r="B483" s="5"/>
      <c r="C483" s="1"/>
      <c r="D483" s="38"/>
      <c r="E483" s="1"/>
      <c r="F483" s="1"/>
    </row>
    <row r="484" spans="1:6" ht="21.75" customHeight="1" x14ac:dyDescent="0.6">
      <c r="A484" s="1"/>
      <c r="B484" s="5"/>
      <c r="C484" s="1"/>
      <c r="D484" s="38"/>
      <c r="E484" s="1"/>
      <c r="F484" s="1"/>
    </row>
    <row r="485" spans="1:6" ht="21.75" customHeight="1" x14ac:dyDescent="0.6">
      <c r="A485" s="1"/>
      <c r="B485" s="5"/>
      <c r="C485" s="1"/>
      <c r="D485" s="38"/>
      <c r="E485" s="1"/>
      <c r="F485" s="1"/>
    </row>
    <row r="486" spans="1:6" ht="21.75" customHeight="1" x14ac:dyDescent="0.6">
      <c r="A486" s="1"/>
      <c r="B486" s="5"/>
      <c r="C486" s="1"/>
      <c r="D486" s="38"/>
      <c r="E486" s="1"/>
      <c r="F486" s="1"/>
    </row>
    <row r="487" spans="1:6" ht="21.75" customHeight="1" x14ac:dyDescent="0.6">
      <c r="A487" s="1"/>
      <c r="B487" s="5"/>
      <c r="C487" s="1"/>
      <c r="D487" s="38"/>
      <c r="E487" s="1"/>
      <c r="F487" s="1"/>
    </row>
    <row r="488" spans="1:6" ht="21.75" customHeight="1" x14ac:dyDescent="0.6">
      <c r="A488" s="1"/>
      <c r="B488" s="5"/>
      <c r="C488" s="1"/>
      <c r="D488" s="38"/>
      <c r="E488" s="1"/>
      <c r="F488" s="1"/>
    </row>
    <row r="489" spans="1:6" ht="21.75" customHeight="1" x14ac:dyDescent="0.6">
      <c r="A489" s="1"/>
      <c r="B489" s="5"/>
      <c r="C489" s="1"/>
      <c r="D489" s="38"/>
      <c r="E489" s="1"/>
      <c r="F489" s="1"/>
    </row>
    <row r="490" spans="1:6" ht="21.75" customHeight="1" x14ac:dyDescent="0.6">
      <c r="A490" s="1"/>
      <c r="B490" s="5"/>
      <c r="C490" s="1"/>
      <c r="D490" s="38"/>
      <c r="E490" s="1"/>
      <c r="F490" s="1"/>
    </row>
    <row r="491" spans="1:6" ht="21.75" customHeight="1" x14ac:dyDescent="0.6">
      <c r="A491" s="1"/>
      <c r="B491" s="5"/>
      <c r="C491" s="1"/>
      <c r="D491" s="38"/>
      <c r="E491" s="1"/>
      <c r="F491" s="1"/>
    </row>
    <row r="492" spans="1:6" ht="21.75" customHeight="1" x14ac:dyDescent="0.6">
      <c r="A492" s="1"/>
      <c r="B492" s="5"/>
      <c r="C492" s="1"/>
      <c r="D492" s="38"/>
      <c r="E492" s="1"/>
      <c r="F492" s="1"/>
    </row>
    <row r="493" spans="1:6" ht="21.75" customHeight="1" x14ac:dyDescent="0.6">
      <c r="A493" s="1"/>
      <c r="B493" s="5"/>
      <c r="C493" s="1"/>
      <c r="D493" s="38"/>
      <c r="E493" s="1"/>
      <c r="F493" s="1"/>
    </row>
    <row r="494" spans="1:6" ht="21.75" customHeight="1" x14ac:dyDescent="0.6">
      <c r="A494" s="1"/>
      <c r="B494" s="5"/>
      <c r="C494" s="1"/>
      <c r="D494" s="38"/>
      <c r="E494" s="1"/>
      <c r="F494" s="1"/>
    </row>
    <row r="495" spans="1:6" ht="21.75" customHeight="1" x14ac:dyDescent="0.6">
      <c r="A495" s="1"/>
      <c r="B495" s="5"/>
      <c r="C495" s="1"/>
      <c r="D495" s="38"/>
      <c r="E495" s="1"/>
      <c r="F495" s="1"/>
    </row>
    <row r="496" spans="1:6" ht="21.75" customHeight="1" x14ac:dyDescent="0.6">
      <c r="A496" s="1"/>
      <c r="B496" s="5"/>
      <c r="C496" s="1"/>
      <c r="D496" s="38"/>
      <c r="E496" s="1"/>
      <c r="F496" s="1"/>
    </row>
    <row r="497" spans="1:6" ht="21.75" customHeight="1" x14ac:dyDescent="0.6">
      <c r="A497" s="1"/>
      <c r="B497" s="5"/>
      <c r="C497" s="1"/>
      <c r="D497" s="38"/>
      <c r="E497" s="1"/>
      <c r="F497" s="1"/>
    </row>
    <row r="498" spans="1:6" ht="21.75" customHeight="1" x14ac:dyDescent="0.6">
      <c r="A498" s="1"/>
      <c r="B498" s="5"/>
      <c r="C498" s="1"/>
      <c r="D498" s="38"/>
      <c r="E498" s="1"/>
      <c r="F498" s="1"/>
    </row>
    <row r="499" spans="1:6" ht="21.75" customHeight="1" x14ac:dyDescent="0.6">
      <c r="A499" s="1"/>
      <c r="B499" s="5"/>
      <c r="C499" s="1"/>
      <c r="D499" s="38"/>
      <c r="E499" s="1"/>
      <c r="F499" s="1"/>
    </row>
    <row r="500" spans="1:6" ht="21.75" customHeight="1" x14ac:dyDescent="0.6">
      <c r="A500" s="1"/>
      <c r="B500" s="5"/>
      <c r="C500" s="1"/>
      <c r="D500" s="38"/>
      <c r="E500" s="1"/>
      <c r="F500" s="1"/>
    </row>
    <row r="501" spans="1:6" ht="21.75" customHeight="1" x14ac:dyDescent="0.6">
      <c r="A501" s="1"/>
      <c r="B501" s="5"/>
      <c r="C501" s="1"/>
      <c r="D501" s="38"/>
      <c r="E501" s="1"/>
      <c r="F501" s="1"/>
    </row>
    <row r="502" spans="1:6" ht="21.75" customHeight="1" x14ac:dyDescent="0.6">
      <c r="A502" s="1"/>
      <c r="B502" s="5"/>
      <c r="C502" s="1"/>
      <c r="D502" s="38"/>
      <c r="E502" s="1"/>
      <c r="F502" s="1"/>
    </row>
    <row r="503" spans="1:6" ht="21.75" customHeight="1" x14ac:dyDescent="0.6">
      <c r="A503" s="1"/>
      <c r="B503" s="5"/>
      <c r="C503" s="1"/>
      <c r="D503" s="38"/>
      <c r="E503" s="1"/>
      <c r="F503" s="1"/>
    </row>
    <row r="504" spans="1:6" ht="21.75" customHeight="1" x14ac:dyDescent="0.6">
      <c r="A504" s="1"/>
      <c r="B504" s="5"/>
      <c r="C504" s="1"/>
      <c r="D504" s="38"/>
      <c r="E504" s="1"/>
      <c r="F504" s="1"/>
    </row>
    <row r="505" spans="1:6" ht="21.75" customHeight="1" x14ac:dyDescent="0.6">
      <c r="A505" s="1"/>
      <c r="B505" s="5"/>
      <c r="C505" s="1"/>
      <c r="D505" s="38"/>
      <c r="E505" s="1"/>
      <c r="F505" s="1"/>
    </row>
    <row r="506" spans="1:6" ht="21.75" customHeight="1" x14ac:dyDescent="0.6">
      <c r="A506" s="1"/>
      <c r="B506" s="5"/>
      <c r="C506" s="1"/>
      <c r="D506" s="38"/>
      <c r="E506" s="1"/>
      <c r="F506" s="1"/>
    </row>
    <row r="507" spans="1:6" ht="21.75" customHeight="1" x14ac:dyDescent="0.6">
      <c r="A507" s="1"/>
      <c r="B507" s="5"/>
      <c r="C507" s="1"/>
      <c r="D507" s="38"/>
      <c r="E507" s="1"/>
      <c r="F507" s="1"/>
    </row>
    <row r="508" spans="1:6" ht="21.75" customHeight="1" x14ac:dyDescent="0.6">
      <c r="A508" s="1"/>
      <c r="B508" s="5"/>
      <c r="C508" s="1"/>
      <c r="D508" s="38"/>
      <c r="E508" s="1"/>
      <c r="F508" s="1"/>
    </row>
    <row r="509" spans="1:6" ht="21.75" customHeight="1" x14ac:dyDescent="0.6">
      <c r="A509" s="1"/>
      <c r="B509" s="5"/>
      <c r="C509" s="1"/>
      <c r="D509" s="38"/>
      <c r="E509" s="1"/>
      <c r="F509" s="1"/>
    </row>
    <row r="510" spans="1:6" ht="21.75" customHeight="1" x14ac:dyDescent="0.6">
      <c r="A510" s="1"/>
      <c r="B510" s="5"/>
      <c r="C510" s="1"/>
      <c r="D510" s="38"/>
      <c r="E510" s="1"/>
      <c r="F510" s="1"/>
    </row>
    <row r="511" spans="1:6" ht="21.75" customHeight="1" x14ac:dyDescent="0.6">
      <c r="A511" s="1"/>
      <c r="B511" s="5"/>
      <c r="C511" s="1"/>
      <c r="D511" s="38"/>
      <c r="E511" s="1"/>
      <c r="F511" s="1"/>
    </row>
    <row r="512" spans="1:6" ht="21.75" customHeight="1" x14ac:dyDescent="0.6">
      <c r="A512" s="1"/>
      <c r="B512" s="5"/>
      <c r="C512" s="1"/>
      <c r="D512" s="38"/>
      <c r="E512" s="1"/>
      <c r="F512" s="1"/>
    </row>
    <row r="513" spans="1:6" ht="21.75" customHeight="1" x14ac:dyDescent="0.6">
      <c r="A513" s="1"/>
      <c r="B513" s="5"/>
      <c r="C513" s="1"/>
      <c r="D513" s="38"/>
      <c r="E513" s="1"/>
      <c r="F513" s="1"/>
    </row>
    <row r="514" spans="1:6" ht="21.75" customHeight="1" x14ac:dyDescent="0.6">
      <c r="A514" s="1"/>
      <c r="B514" s="5"/>
      <c r="C514" s="1"/>
      <c r="D514" s="38"/>
      <c r="E514" s="1"/>
      <c r="F514" s="1"/>
    </row>
    <row r="515" spans="1:6" ht="21.75" customHeight="1" x14ac:dyDescent="0.6">
      <c r="A515" s="1"/>
      <c r="B515" s="5"/>
      <c r="C515" s="1"/>
      <c r="D515" s="38"/>
      <c r="E515" s="1"/>
      <c r="F515" s="1"/>
    </row>
    <row r="516" spans="1:6" ht="21.75" customHeight="1" x14ac:dyDescent="0.6">
      <c r="A516" s="1"/>
      <c r="B516" s="5"/>
      <c r="C516" s="1"/>
      <c r="D516" s="38"/>
      <c r="E516" s="1"/>
      <c r="F516" s="1"/>
    </row>
    <row r="517" spans="1:6" ht="21.75" customHeight="1" x14ac:dyDescent="0.6">
      <c r="A517" s="1"/>
      <c r="B517" s="5"/>
      <c r="C517" s="1"/>
      <c r="D517" s="38"/>
      <c r="E517" s="1"/>
      <c r="F517" s="1"/>
    </row>
    <row r="518" spans="1:6" ht="21.75" customHeight="1" x14ac:dyDescent="0.6">
      <c r="A518" s="1"/>
      <c r="B518" s="5"/>
      <c r="C518" s="1"/>
      <c r="D518" s="38"/>
      <c r="E518" s="1"/>
      <c r="F518" s="1"/>
    </row>
    <row r="519" spans="1:6" ht="21.75" customHeight="1" x14ac:dyDescent="0.6">
      <c r="A519" s="1"/>
      <c r="B519" s="5"/>
      <c r="C519" s="1"/>
      <c r="D519" s="38"/>
      <c r="E519" s="1"/>
      <c r="F519" s="1"/>
    </row>
    <row r="520" spans="1:6" ht="21.75" customHeight="1" x14ac:dyDescent="0.6">
      <c r="A520" s="1"/>
      <c r="B520" s="5"/>
      <c r="C520" s="1"/>
      <c r="D520" s="38"/>
      <c r="E520" s="1"/>
      <c r="F520" s="1"/>
    </row>
    <row r="521" spans="1:6" ht="21.75" customHeight="1" x14ac:dyDescent="0.6">
      <c r="A521" s="1"/>
      <c r="B521" s="5"/>
      <c r="C521" s="1"/>
      <c r="D521" s="38"/>
      <c r="E521" s="1"/>
      <c r="F521" s="1"/>
    </row>
    <row r="522" spans="1:6" ht="21.75" customHeight="1" x14ac:dyDescent="0.6">
      <c r="A522" s="1"/>
      <c r="B522" s="5"/>
      <c r="C522" s="1"/>
      <c r="D522" s="38"/>
      <c r="E522" s="1"/>
      <c r="F522" s="1"/>
    </row>
    <row r="523" spans="1:6" ht="21.75" customHeight="1" x14ac:dyDescent="0.6">
      <c r="A523" s="1"/>
      <c r="B523" s="5"/>
      <c r="C523" s="1"/>
      <c r="D523" s="38"/>
      <c r="E523" s="1"/>
      <c r="F523" s="1"/>
    </row>
    <row r="524" spans="1:6" ht="21.75" customHeight="1" x14ac:dyDescent="0.6">
      <c r="A524" s="1"/>
      <c r="B524" s="5"/>
      <c r="C524" s="1"/>
      <c r="D524" s="38"/>
      <c r="E524" s="1"/>
      <c r="F524" s="1"/>
    </row>
    <row r="525" spans="1:6" ht="21.75" customHeight="1" x14ac:dyDescent="0.6">
      <c r="A525" s="1"/>
      <c r="B525" s="5"/>
      <c r="C525" s="1"/>
      <c r="D525" s="38"/>
      <c r="E525" s="1"/>
      <c r="F525" s="1"/>
    </row>
    <row r="526" spans="1:6" ht="21.75" customHeight="1" x14ac:dyDescent="0.6">
      <c r="A526" s="1"/>
      <c r="B526" s="5"/>
      <c r="C526" s="1"/>
      <c r="D526" s="38"/>
      <c r="E526" s="1"/>
      <c r="F526" s="1"/>
    </row>
    <row r="527" spans="1:6" ht="21.75" customHeight="1" x14ac:dyDescent="0.6">
      <c r="A527" s="1"/>
      <c r="B527" s="5"/>
      <c r="C527" s="1"/>
      <c r="D527" s="38"/>
      <c r="E527" s="1"/>
      <c r="F527" s="1"/>
    </row>
    <row r="528" spans="1:6" ht="21.75" customHeight="1" x14ac:dyDescent="0.6">
      <c r="A528" s="1"/>
      <c r="B528" s="5"/>
      <c r="C528" s="1"/>
      <c r="D528" s="38"/>
      <c r="E528" s="1"/>
      <c r="F528" s="1"/>
    </row>
    <row r="529" spans="1:6" ht="21.75" customHeight="1" x14ac:dyDescent="0.6">
      <c r="A529" s="1"/>
      <c r="B529" s="5"/>
      <c r="C529" s="1"/>
      <c r="D529" s="38"/>
      <c r="E529" s="1"/>
      <c r="F529" s="1"/>
    </row>
    <row r="530" spans="1:6" ht="21.75" customHeight="1" x14ac:dyDescent="0.6">
      <c r="A530" s="1"/>
      <c r="B530" s="5"/>
      <c r="C530" s="1"/>
      <c r="D530" s="38"/>
      <c r="E530" s="1"/>
      <c r="F530" s="1"/>
    </row>
    <row r="531" spans="1:6" ht="21.75" customHeight="1" x14ac:dyDescent="0.6">
      <c r="A531" s="1"/>
      <c r="B531" s="5"/>
      <c r="C531" s="1"/>
      <c r="D531" s="38"/>
      <c r="E531" s="1"/>
      <c r="F531" s="1"/>
    </row>
    <row r="532" spans="1:6" ht="21.75" customHeight="1" x14ac:dyDescent="0.6">
      <c r="A532" s="1"/>
      <c r="B532" s="5"/>
      <c r="C532" s="1"/>
      <c r="D532" s="38"/>
      <c r="E532" s="1"/>
      <c r="F532" s="1"/>
    </row>
    <row r="533" spans="1:6" ht="21.75" customHeight="1" x14ac:dyDescent="0.6">
      <c r="A533" s="1"/>
      <c r="B533" s="5"/>
      <c r="C533" s="1"/>
      <c r="D533" s="38"/>
      <c r="E533" s="1"/>
      <c r="F533" s="1"/>
    </row>
    <row r="534" spans="1:6" ht="21.75" customHeight="1" x14ac:dyDescent="0.6">
      <c r="A534" s="1"/>
      <c r="B534" s="5"/>
      <c r="C534" s="1"/>
      <c r="D534" s="38"/>
      <c r="E534" s="1"/>
      <c r="F534" s="1"/>
    </row>
    <row r="535" spans="1:6" ht="21.75" customHeight="1" x14ac:dyDescent="0.6">
      <c r="A535" s="1"/>
      <c r="B535" s="5"/>
      <c r="C535" s="1"/>
      <c r="D535" s="38"/>
      <c r="E535" s="1"/>
      <c r="F535" s="1"/>
    </row>
    <row r="536" spans="1:6" ht="21.75" customHeight="1" x14ac:dyDescent="0.6">
      <c r="A536" s="1"/>
      <c r="B536" s="5"/>
      <c r="C536" s="1"/>
      <c r="D536" s="38"/>
      <c r="E536" s="1"/>
      <c r="F536" s="1"/>
    </row>
    <row r="537" spans="1:6" ht="21.75" customHeight="1" x14ac:dyDescent="0.6">
      <c r="A537" s="1"/>
      <c r="B537" s="5"/>
      <c r="C537" s="1"/>
      <c r="D537" s="38"/>
      <c r="E537" s="1"/>
      <c r="F537" s="1"/>
    </row>
    <row r="538" spans="1:6" ht="21.75" customHeight="1" x14ac:dyDescent="0.6">
      <c r="A538" s="1"/>
      <c r="B538" s="5"/>
      <c r="C538" s="1"/>
      <c r="D538" s="38"/>
      <c r="E538" s="1"/>
      <c r="F538" s="1"/>
    </row>
    <row r="539" spans="1:6" ht="21.75" customHeight="1" x14ac:dyDescent="0.6">
      <c r="A539" s="1"/>
      <c r="B539" s="5"/>
      <c r="C539" s="1"/>
      <c r="D539" s="38"/>
      <c r="E539" s="1"/>
      <c r="F539" s="1"/>
    </row>
    <row r="540" spans="1:6" ht="21.75" customHeight="1" x14ac:dyDescent="0.6">
      <c r="A540" s="1"/>
      <c r="B540" s="5"/>
      <c r="C540" s="1"/>
      <c r="D540" s="38"/>
      <c r="E540" s="1"/>
      <c r="F540" s="1"/>
    </row>
    <row r="541" spans="1:6" ht="21.75" customHeight="1" x14ac:dyDescent="0.6">
      <c r="A541" s="1"/>
      <c r="B541" s="5"/>
      <c r="C541" s="1"/>
      <c r="D541" s="38"/>
      <c r="E541" s="1"/>
      <c r="F541" s="1"/>
    </row>
    <row r="542" spans="1:6" ht="21.75" customHeight="1" x14ac:dyDescent="0.6">
      <c r="A542" s="1"/>
      <c r="B542" s="5"/>
      <c r="C542" s="1"/>
      <c r="D542" s="38"/>
      <c r="E542" s="1"/>
      <c r="F542" s="1"/>
    </row>
    <row r="543" spans="1:6" ht="21.75" customHeight="1" x14ac:dyDescent="0.6">
      <c r="A543" s="1"/>
      <c r="B543" s="5"/>
      <c r="C543" s="1"/>
      <c r="D543" s="38"/>
      <c r="E543" s="1"/>
      <c r="F543" s="1"/>
    </row>
    <row r="544" spans="1:6" ht="21.75" customHeight="1" x14ac:dyDescent="0.6">
      <c r="A544" s="1"/>
      <c r="B544" s="5"/>
      <c r="C544" s="1"/>
      <c r="D544" s="38"/>
      <c r="E544" s="1"/>
      <c r="F544" s="1"/>
    </row>
    <row r="545" spans="1:6" ht="21.75" customHeight="1" x14ac:dyDescent="0.6">
      <c r="A545" s="1"/>
      <c r="B545" s="5"/>
      <c r="C545" s="1"/>
      <c r="D545" s="38"/>
      <c r="E545" s="1"/>
      <c r="F545" s="1"/>
    </row>
    <row r="546" spans="1:6" ht="21.75" customHeight="1" x14ac:dyDescent="0.6">
      <c r="A546" s="1"/>
      <c r="B546" s="5"/>
      <c r="C546" s="1"/>
      <c r="D546" s="38"/>
      <c r="E546" s="1"/>
      <c r="F546" s="1"/>
    </row>
    <row r="547" spans="1:6" ht="21.75" customHeight="1" x14ac:dyDescent="0.6">
      <c r="A547" s="1"/>
      <c r="B547" s="5"/>
      <c r="C547" s="1"/>
      <c r="D547" s="38"/>
      <c r="E547" s="1"/>
      <c r="F547" s="1"/>
    </row>
    <row r="548" spans="1:6" ht="21.75" customHeight="1" x14ac:dyDescent="0.6">
      <c r="A548" s="1"/>
      <c r="B548" s="5"/>
      <c r="C548" s="1"/>
      <c r="D548" s="38"/>
      <c r="E548" s="1"/>
      <c r="F548" s="1"/>
    </row>
    <row r="549" spans="1:6" ht="21.75" customHeight="1" x14ac:dyDescent="0.6">
      <c r="A549" s="1"/>
      <c r="B549" s="5"/>
      <c r="C549" s="1"/>
      <c r="D549" s="38"/>
      <c r="E549" s="1"/>
      <c r="F549" s="1"/>
    </row>
    <row r="550" spans="1:6" ht="21.75" customHeight="1" x14ac:dyDescent="0.6">
      <c r="A550" s="1"/>
      <c r="B550" s="5"/>
      <c r="C550" s="1"/>
      <c r="D550" s="38"/>
      <c r="E550" s="1"/>
      <c r="F550" s="1"/>
    </row>
    <row r="551" spans="1:6" ht="21.75" customHeight="1" x14ac:dyDescent="0.6">
      <c r="A551" s="1"/>
      <c r="B551" s="5"/>
      <c r="C551" s="1"/>
      <c r="D551" s="38"/>
      <c r="E551" s="1"/>
      <c r="F551" s="1"/>
    </row>
    <row r="552" spans="1:6" ht="21.75" customHeight="1" x14ac:dyDescent="0.6">
      <c r="A552" s="1"/>
      <c r="B552" s="5"/>
      <c r="C552" s="1"/>
      <c r="D552" s="38"/>
      <c r="E552" s="1"/>
      <c r="F552" s="1"/>
    </row>
    <row r="553" spans="1:6" ht="21.75" customHeight="1" x14ac:dyDescent="0.6">
      <c r="A553" s="1"/>
      <c r="B553" s="5"/>
      <c r="C553" s="1"/>
      <c r="D553" s="38"/>
      <c r="E553" s="1"/>
      <c r="F553" s="1"/>
    </row>
    <row r="554" spans="1:6" ht="21.75" customHeight="1" x14ac:dyDescent="0.6">
      <c r="A554" s="1"/>
      <c r="B554" s="5"/>
      <c r="C554" s="1"/>
      <c r="D554" s="38"/>
      <c r="E554" s="1"/>
      <c r="F554" s="1"/>
    </row>
    <row r="555" spans="1:6" ht="21.75" customHeight="1" x14ac:dyDescent="0.6">
      <c r="A555" s="1"/>
      <c r="B555" s="5"/>
      <c r="C555" s="1"/>
      <c r="D555" s="38"/>
      <c r="E555" s="1"/>
      <c r="F555" s="1"/>
    </row>
    <row r="556" spans="1:6" ht="21.75" customHeight="1" x14ac:dyDescent="0.6">
      <c r="A556" s="1"/>
      <c r="B556" s="5"/>
      <c r="C556" s="1"/>
      <c r="D556" s="38"/>
      <c r="E556" s="1"/>
      <c r="F556" s="1"/>
    </row>
    <row r="557" spans="1:6" ht="21.75" customHeight="1" x14ac:dyDescent="0.6">
      <c r="A557" s="1"/>
      <c r="B557" s="5"/>
      <c r="C557" s="1"/>
      <c r="D557" s="38"/>
      <c r="E557" s="1"/>
      <c r="F557" s="1"/>
    </row>
    <row r="558" spans="1:6" ht="21.75" customHeight="1" x14ac:dyDescent="0.6">
      <c r="A558" s="1"/>
      <c r="B558" s="5"/>
      <c r="C558" s="1"/>
      <c r="D558" s="38"/>
      <c r="E558" s="1"/>
      <c r="F558" s="1"/>
    </row>
    <row r="559" spans="1:6" ht="21.75" customHeight="1" x14ac:dyDescent="0.6">
      <c r="A559" s="1"/>
      <c r="B559" s="5"/>
      <c r="C559" s="1"/>
      <c r="D559" s="38"/>
      <c r="E559" s="1"/>
      <c r="F559" s="1"/>
    </row>
    <row r="560" spans="1:6" ht="21.75" customHeight="1" x14ac:dyDescent="0.6">
      <c r="A560" s="1"/>
      <c r="B560" s="5"/>
      <c r="C560" s="1"/>
      <c r="D560" s="38"/>
      <c r="E560" s="1"/>
      <c r="F560" s="1"/>
    </row>
    <row r="561" spans="1:6" ht="21.75" customHeight="1" x14ac:dyDescent="0.6">
      <c r="A561" s="1"/>
      <c r="B561" s="5"/>
      <c r="C561" s="1"/>
      <c r="D561" s="38"/>
      <c r="E561" s="1"/>
      <c r="F561" s="1"/>
    </row>
    <row r="562" spans="1:6" ht="21.75" customHeight="1" x14ac:dyDescent="0.6">
      <c r="A562" s="1"/>
      <c r="B562" s="5"/>
      <c r="C562" s="1"/>
      <c r="D562" s="38"/>
      <c r="E562" s="1"/>
      <c r="F562" s="1"/>
    </row>
    <row r="563" spans="1:6" ht="21.75" customHeight="1" x14ac:dyDescent="0.6">
      <c r="A563" s="1"/>
      <c r="B563" s="5"/>
      <c r="C563" s="1"/>
      <c r="D563" s="38"/>
      <c r="E563" s="1"/>
      <c r="F563" s="1"/>
    </row>
    <row r="564" spans="1:6" ht="21.75" customHeight="1" x14ac:dyDescent="0.6">
      <c r="A564" s="1"/>
      <c r="B564" s="5"/>
      <c r="C564" s="1"/>
      <c r="D564" s="38"/>
      <c r="E564" s="1"/>
      <c r="F564" s="1"/>
    </row>
    <row r="565" spans="1:6" ht="21.75" customHeight="1" x14ac:dyDescent="0.6">
      <c r="A565" s="1"/>
      <c r="B565" s="5"/>
      <c r="C565" s="1"/>
      <c r="D565" s="38"/>
      <c r="E565" s="1"/>
      <c r="F565" s="1"/>
    </row>
    <row r="566" spans="1:6" ht="21.75" customHeight="1" x14ac:dyDescent="0.6">
      <c r="A566" s="1"/>
      <c r="B566" s="5"/>
      <c r="C566" s="1"/>
      <c r="D566" s="38"/>
      <c r="E566" s="1"/>
      <c r="F566" s="1"/>
    </row>
    <row r="567" spans="1:6" ht="21.75" customHeight="1" x14ac:dyDescent="0.6">
      <c r="A567" s="1"/>
      <c r="B567" s="5"/>
      <c r="C567" s="1"/>
      <c r="D567" s="38"/>
      <c r="E567" s="1"/>
      <c r="F567" s="1"/>
    </row>
    <row r="568" spans="1:6" ht="21.75" customHeight="1" x14ac:dyDescent="0.6">
      <c r="A568" s="1"/>
      <c r="B568" s="5"/>
      <c r="C568" s="1"/>
      <c r="D568" s="38"/>
      <c r="E568" s="1"/>
      <c r="F568" s="1"/>
    </row>
    <row r="569" spans="1:6" ht="21.75" customHeight="1" x14ac:dyDescent="0.6">
      <c r="A569" s="1"/>
      <c r="B569" s="5"/>
      <c r="C569" s="1"/>
      <c r="D569" s="38"/>
      <c r="E569" s="1"/>
      <c r="F569" s="1"/>
    </row>
    <row r="570" spans="1:6" ht="21.75" customHeight="1" x14ac:dyDescent="0.6">
      <c r="A570" s="1"/>
      <c r="B570" s="5"/>
      <c r="C570" s="1"/>
      <c r="D570" s="38"/>
      <c r="E570" s="1"/>
      <c r="F570" s="1"/>
    </row>
    <row r="571" spans="1:6" ht="21.75" customHeight="1" x14ac:dyDescent="0.6">
      <c r="A571" s="1"/>
      <c r="B571" s="5"/>
      <c r="C571" s="1"/>
      <c r="D571" s="38"/>
      <c r="E571" s="1"/>
      <c r="F571" s="1"/>
    </row>
    <row r="572" spans="1:6" ht="21.75" customHeight="1" x14ac:dyDescent="0.6">
      <c r="A572" s="1"/>
      <c r="B572" s="5"/>
      <c r="C572" s="1"/>
      <c r="D572" s="38"/>
      <c r="E572" s="1"/>
      <c r="F572" s="1"/>
    </row>
    <row r="573" spans="1:6" ht="21.75" customHeight="1" x14ac:dyDescent="0.6">
      <c r="A573" s="1"/>
      <c r="B573" s="5"/>
      <c r="C573" s="1"/>
      <c r="D573" s="38"/>
      <c r="E573" s="1"/>
      <c r="F573" s="1"/>
    </row>
    <row r="574" spans="1:6" ht="21.75" customHeight="1" x14ac:dyDescent="0.6">
      <c r="A574" s="1"/>
      <c r="B574" s="5"/>
      <c r="C574" s="1"/>
      <c r="D574" s="38"/>
      <c r="E574" s="1"/>
      <c r="F574" s="1"/>
    </row>
    <row r="575" spans="1:6" ht="21.75" customHeight="1" x14ac:dyDescent="0.6">
      <c r="A575" s="1"/>
      <c r="B575" s="5"/>
      <c r="C575" s="1"/>
      <c r="D575" s="38"/>
      <c r="E575" s="1"/>
      <c r="F575" s="1"/>
    </row>
    <row r="576" spans="1:6" ht="21.75" customHeight="1" x14ac:dyDescent="0.6">
      <c r="A576" s="1"/>
      <c r="B576" s="5"/>
      <c r="C576" s="1"/>
      <c r="D576" s="38"/>
      <c r="E576" s="1"/>
      <c r="F576" s="1"/>
    </row>
    <row r="577" spans="1:6" ht="21.75" customHeight="1" x14ac:dyDescent="0.6">
      <c r="A577" s="1"/>
      <c r="B577" s="5"/>
      <c r="C577" s="1"/>
      <c r="D577" s="38"/>
      <c r="E577" s="1"/>
      <c r="F577" s="1"/>
    </row>
    <row r="578" spans="1:6" ht="21.75" customHeight="1" x14ac:dyDescent="0.6">
      <c r="A578" s="1"/>
      <c r="B578" s="5"/>
      <c r="C578" s="1"/>
      <c r="D578" s="38"/>
      <c r="E578" s="1"/>
      <c r="F578" s="1"/>
    </row>
    <row r="579" spans="1:6" ht="21.75" customHeight="1" x14ac:dyDescent="0.6">
      <c r="A579" s="1"/>
      <c r="B579" s="5"/>
      <c r="C579" s="1"/>
      <c r="D579" s="38"/>
      <c r="E579" s="1"/>
      <c r="F579" s="1"/>
    </row>
    <row r="580" spans="1:6" ht="21.75" customHeight="1" x14ac:dyDescent="0.6">
      <c r="A580" s="1"/>
      <c r="B580" s="5"/>
      <c r="C580" s="1"/>
      <c r="D580" s="38"/>
      <c r="E580" s="1"/>
      <c r="F580" s="1"/>
    </row>
    <row r="581" spans="1:6" ht="21.75" customHeight="1" x14ac:dyDescent="0.6">
      <c r="A581" s="1"/>
      <c r="B581" s="5"/>
      <c r="C581" s="1"/>
      <c r="D581" s="38"/>
      <c r="E581" s="1"/>
      <c r="F581" s="1"/>
    </row>
    <row r="582" spans="1:6" ht="21.75" customHeight="1" x14ac:dyDescent="0.6">
      <c r="A582" s="1"/>
      <c r="B582" s="5"/>
      <c r="C582" s="1"/>
      <c r="D582" s="38"/>
      <c r="E582" s="1"/>
      <c r="F582" s="1"/>
    </row>
    <row r="583" spans="1:6" ht="21.75" customHeight="1" x14ac:dyDescent="0.6">
      <c r="A583" s="1"/>
      <c r="B583" s="5"/>
      <c r="C583" s="1"/>
      <c r="D583" s="38"/>
      <c r="E583" s="1"/>
      <c r="F583" s="1"/>
    </row>
    <row r="584" spans="1:6" ht="21.75" customHeight="1" x14ac:dyDescent="0.6">
      <c r="A584" s="1"/>
      <c r="B584" s="5"/>
      <c r="C584" s="1"/>
      <c r="D584" s="38"/>
      <c r="E584" s="1"/>
      <c r="F584" s="1"/>
    </row>
    <row r="585" spans="1:6" ht="21.75" customHeight="1" x14ac:dyDescent="0.6">
      <c r="A585" s="1"/>
      <c r="B585" s="5"/>
      <c r="C585" s="1"/>
      <c r="D585" s="38"/>
      <c r="E585" s="1"/>
      <c r="F585" s="1"/>
    </row>
    <row r="586" spans="1:6" ht="21.75" customHeight="1" x14ac:dyDescent="0.6">
      <c r="A586" s="1"/>
      <c r="B586" s="5"/>
      <c r="C586" s="1"/>
      <c r="D586" s="38"/>
      <c r="E586" s="1"/>
      <c r="F586" s="1"/>
    </row>
    <row r="587" spans="1:6" ht="21.75" customHeight="1" x14ac:dyDescent="0.6">
      <c r="A587" s="1"/>
      <c r="B587" s="5"/>
      <c r="C587" s="1"/>
      <c r="D587" s="38"/>
      <c r="E587" s="1"/>
      <c r="F587" s="1"/>
    </row>
    <row r="588" spans="1:6" ht="21.75" customHeight="1" x14ac:dyDescent="0.6">
      <c r="A588" s="1"/>
      <c r="B588" s="5"/>
      <c r="C588" s="1"/>
      <c r="D588" s="38"/>
      <c r="E588" s="1"/>
      <c r="F588" s="1"/>
    </row>
    <row r="589" spans="1:6" ht="21.75" customHeight="1" x14ac:dyDescent="0.6">
      <c r="A589" s="1"/>
      <c r="B589" s="5"/>
      <c r="C589" s="1"/>
      <c r="D589" s="38"/>
      <c r="E589" s="1"/>
      <c r="F589" s="1"/>
    </row>
    <row r="590" spans="1:6" ht="21.75" customHeight="1" x14ac:dyDescent="0.6">
      <c r="A590" s="1"/>
      <c r="B590" s="5"/>
      <c r="C590" s="1"/>
      <c r="D590" s="38"/>
      <c r="E590" s="1"/>
      <c r="F590" s="1"/>
    </row>
    <row r="591" spans="1:6" ht="21.75" customHeight="1" x14ac:dyDescent="0.6">
      <c r="A591" s="1"/>
      <c r="B591" s="5"/>
      <c r="C591" s="1"/>
      <c r="D591" s="38"/>
      <c r="E591" s="1"/>
      <c r="F591" s="1"/>
    </row>
    <row r="592" spans="1:6" ht="21.75" customHeight="1" x14ac:dyDescent="0.6">
      <c r="A592" s="1"/>
      <c r="B592" s="5"/>
      <c r="C592" s="1"/>
      <c r="D592" s="38"/>
      <c r="E592" s="1"/>
      <c r="F592" s="1"/>
    </row>
    <row r="593" spans="1:6" ht="21.75" customHeight="1" x14ac:dyDescent="0.6">
      <c r="A593" s="1"/>
      <c r="B593" s="5"/>
      <c r="C593" s="1"/>
      <c r="D593" s="38"/>
      <c r="E593" s="1"/>
      <c r="F593" s="1"/>
    </row>
    <row r="594" spans="1:6" ht="21.75" customHeight="1" x14ac:dyDescent="0.6">
      <c r="A594" s="1"/>
      <c r="B594" s="5"/>
      <c r="C594" s="1"/>
      <c r="D594" s="38"/>
      <c r="E594" s="1"/>
      <c r="F594" s="1"/>
    </row>
    <row r="595" spans="1:6" ht="21.75" customHeight="1" x14ac:dyDescent="0.6">
      <c r="A595" s="1"/>
      <c r="B595" s="5"/>
      <c r="C595" s="1"/>
      <c r="D595" s="38"/>
      <c r="E595" s="1"/>
      <c r="F595" s="1"/>
    </row>
    <row r="596" spans="1:6" ht="21.75" customHeight="1" x14ac:dyDescent="0.6">
      <c r="A596" s="1"/>
      <c r="B596" s="5"/>
      <c r="C596" s="1"/>
      <c r="D596" s="38"/>
      <c r="E596" s="1"/>
      <c r="F596" s="1"/>
    </row>
    <row r="597" spans="1:6" ht="21.75" customHeight="1" x14ac:dyDescent="0.6">
      <c r="A597" s="1"/>
      <c r="B597" s="5"/>
      <c r="C597" s="1"/>
      <c r="D597" s="38"/>
      <c r="E597" s="1"/>
      <c r="F597" s="1"/>
    </row>
    <row r="598" spans="1:6" ht="21.75" customHeight="1" x14ac:dyDescent="0.6">
      <c r="A598" s="1"/>
      <c r="B598" s="5"/>
      <c r="C598" s="1"/>
      <c r="D598" s="38"/>
      <c r="E598" s="1"/>
      <c r="F598" s="1"/>
    </row>
    <row r="599" spans="1:6" ht="21.75" customHeight="1" x14ac:dyDescent="0.6">
      <c r="A599" s="1"/>
      <c r="B599" s="5"/>
      <c r="C599" s="1"/>
      <c r="D599" s="38"/>
      <c r="E599" s="1"/>
      <c r="F599" s="1"/>
    </row>
    <row r="600" spans="1:6" ht="21.75" customHeight="1" x14ac:dyDescent="0.6">
      <c r="A600" s="1"/>
      <c r="B600" s="5"/>
      <c r="C600" s="1"/>
      <c r="D600" s="38"/>
      <c r="E600" s="1"/>
      <c r="F600" s="1"/>
    </row>
    <row r="601" spans="1:6" ht="21.75" customHeight="1" x14ac:dyDescent="0.6">
      <c r="A601" s="1"/>
      <c r="B601" s="5"/>
      <c r="C601" s="1"/>
      <c r="D601" s="38"/>
      <c r="E601" s="1"/>
      <c r="F601" s="1"/>
    </row>
    <row r="602" spans="1:6" ht="21.75" customHeight="1" x14ac:dyDescent="0.6">
      <c r="A602" s="1"/>
      <c r="B602" s="5"/>
      <c r="C602" s="1"/>
      <c r="D602" s="38"/>
      <c r="E602" s="1"/>
      <c r="F602" s="1"/>
    </row>
    <row r="603" spans="1:6" ht="21.75" customHeight="1" x14ac:dyDescent="0.6">
      <c r="A603" s="1"/>
      <c r="B603" s="5"/>
      <c r="C603" s="1"/>
      <c r="D603" s="38"/>
      <c r="E603" s="1"/>
      <c r="F603" s="1"/>
    </row>
    <row r="604" spans="1:6" ht="21.75" customHeight="1" x14ac:dyDescent="0.6">
      <c r="A604" s="1"/>
      <c r="B604" s="5"/>
      <c r="C604" s="1"/>
      <c r="D604" s="38"/>
      <c r="E604" s="1"/>
      <c r="F604" s="1"/>
    </row>
    <row r="605" spans="1:6" ht="21.75" customHeight="1" x14ac:dyDescent="0.6">
      <c r="A605" s="1"/>
      <c r="B605" s="5"/>
      <c r="C605" s="1"/>
      <c r="D605" s="38"/>
      <c r="E605" s="1"/>
      <c r="F605" s="1"/>
    </row>
    <row r="606" spans="1:6" ht="21.75" customHeight="1" x14ac:dyDescent="0.6">
      <c r="A606" s="1"/>
      <c r="B606" s="5"/>
      <c r="C606" s="1"/>
      <c r="D606" s="38"/>
      <c r="E606" s="1"/>
      <c r="F606" s="1"/>
    </row>
    <row r="607" spans="1:6" ht="21.75" customHeight="1" x14ac:dyDescent="0.6">
      <c r="A607" s="1"/>
      <c r="B607" s="5"/>
      <c r="C607" s="1"/>
      <c r="D607" s="38"/>
      <c r="E607" s="1"/>
      <c r="F607" s="1"/>
    </row>
    <row r="608" spans="1:6" ht="21.75" customHeight="1" x14ac:dyDescent="0.6">
      <c r="A608" s="1"/>
      <c r="B608" s="5"/>
      <c r="C608" s="1"/>
      <c r="D608" s="38"/>
      <c r="E608" s="1"/>
      <c r="F608" s="1"/>
    </row>
    <row r="609" spans="1:6" ht="21.75" customHeight="1" x14ac:dyDescent="0.6">
      <c r="A609" s="1"/>
      <c r="B609" s="5"/>
      <c r="C609" s="1"/>
      <c r="D609" s="38"/>
      <c r="E609" s="1"/>
      <c r="F609" s="1"/>
    </row>
    <row r="610" spans="1:6" ht="21.75" customHeight="1" x14ac:dyDescent="0.6">
      <c r="A610" s="1"/>
      <c r="B610" s="5"/>
      <c r="C610" s="1"/>
      <c r="D610" s="38"/>
      <c r="E610" s="1"/>
      <c r="F610" s="1"/>
    </row>
    <row r="611" spans="1:6" ht="21.75" customHeight="1" x14ac:dyDescent="0.6">
      <c r="A611" s="1"/>
      <c r="B611" s="5"/>
      <c r="C611" s="1"/>
      <c r="D611" s="38"/>
      <c r="E611" s="1"/>
      <c r="F611" s="1"/>
    </row>
    <row r="612" spans="1:6" ht="21.75" customHeight="1" x14ac:dyDescent="0.6">
      <c r="A612" s="1"/>
      <c r="B612" s="5"/>
      <c r="C612" s="1"/>
      <c r="D612" s="38"/>
      <c r="E612" s="1"/>
      <c r="F612" s="1"/>
    </row>
    <row r="613" spans="1:6" ht="21.75" customHeight="1" x14ac:dyDescent="0.6">
      <c r="A613" s="1"/>
      <c r="B613" s="5"/>
      <c r="C613" s="1"/>
      <c r="D613" s="38"/>
      <c r="E613" s="1"/>
      <c r="F613" s="1"/>
    </row>
    <row r="614" spans="1:6" ht="21.75" customHeight="1" x14ac:dyDescent="0.6">
      <c r="A614" s="1"/>
      <c r="B614" s="5"/>
      <c r="C614" s="1"/>
      <c r="D614" s="38"/>
      <c r="E614" s="1"/>
      <c r="F614" s="1"/>
    </row>
    <row r="615" spans="1:6" ht="21.75" customHeight="1" x14ac:dyDescent="0.6">
      <c r="A615" s="1"/>
      <c r="B615" s="5"/>
      <c r="C615" s="1"/>
      <c r="D615" s="38"/>
      <c r="E615" s="1"/>
      <c r="F615" s="1"/>
    </row>
    <row r="616" spans="1:6" ht="21.75" customHeight="1" x14ac:dyDescent="0.6">
      <c r="A616" s="1"/>
      <c r="B616" s="5"/>
      <c r="C616" s="1"/>
      <c r="D616" s="38"/>
      <c r="E616" s="1"/>
      <c r="F616" s="1"/>
    </row>
    <row r="617" spans="1:6" ht="21.75" customHeight="1" x14ac:dyDescent="0.6">
      <c r="A617" s="1"/>
      <c r="B617" s="5"/>
      <c r="C617" s="1"/>
      <c r="D617" s="38"/>
      <c r="E617" s="1"/>
      <c r="F617" s="1"/>
    </row>
    <row r="618" spans="1:6" ht="21.75" customHeight="1" x14ac:dyDescent="0.6">
      <c r="A618" s="1"/>
      <c r="B618" s="5"/>
      <c r="C618" s="1"/>
      <c r="D618" s="38"/>
      <c r="E618" s="1"/>
      <c r="F618" s="1"/>
    </row>
    <row r="619" spans="1:6" ht="21.75" customHeight="1" x14ac:dyDescent="0.6">
      <c r="A619" s="1"/>
      <c r="B619" s="5"/>
      <c r="C619" s="1"/>
      <c r="D619" s="38"/>
      <c r="E619" s="1"/>
      <c r="F619" s="1"/>
    </row>
    <row r="620" spans="1:6" ht="21.75" customHeight="1" x14ac:dyDescent="0.6">
      <c r="A620" s="1"/>
      <c r="B620" s="5"/>
      <c r="C620" s="1"/>
      <c r="D620" s="38"/>
      <c r="E620" s="1"/>
      <c r="F620" s="1"/>
    </row>
    <row r="621" spans="1:6" ht="21.75" customHeight="1" x14ac:dyDescent="0.6">
      <c r="A621" s="1"/>
      <c r="B621" s="5"/>
      <c r="C621" s="1"/>
      <c r="D621" s="38"/>
      <c r="E621" s="1"/>
      <c r="F621" s="1"/>
    </row>
    <row r="622" spans="1:6" ht="21.75" customHeight="1" x14ac:dyDescent="0.6">
      <c r="A622" s="1"/>
      <c r="B622" s="5"/>
      <c r="C622" s="1"/>
      <c r="D622" s="38"/>
      <c r="E622" s="1"/>
      <c r="F622" s="1"/>
    </row>
    <row r="623" spans="1:6" ht="21.75" customHeight="1" x14ac:dyDescent="0.6">
      <c r="A623" s="1"/>
      <c r="B623" s="5"/>
      <c r="C623" s="1"/>
      <c r="D623" s="38"/>
      <c r="E623" s="1"/>
      <c r="F623" s="1"/>
    </row>
    <row r="624" spans="1:6" ht="21.75" customHeight="1" x14ac:dyDescent="0.6">
      <c r="A624" s="1"/>
      <c r="B624" s="5"/>
      <c r="C624" s="1"/>
      <c r="D624" s="38"/>
      <c r="E624" s="1"/>
      <c r="F624" s="1"/>
    </row>
    <row r="625" spans="1:6" ht="21.75" customHeight="1" x14ac:dyDescent="0.6">
      <c r="A625" s="1"/>
      <c r="B625" s="5"/>
      <c r="C625" s="1"/>
      <c r="D625" s="38"/>
      <c r="E625" s="1"/>
      <c r="F625" s="1"/>
    </row>
    <row r="626" spans="1:6" ht="21.75" customHeight="1" x14ac:dyDescent="0.6">
      <c r="A626" s="1"/>
      <c r="B626" s="5"/>
      <c r="C626" s="1"/>
      <c r="D626" s="38"/>
      <c r="E626" s="1"/>
      <c r="F626" s="1"/>
    </row>
    <row r="627" spans="1:6" ht="21.75" customHeight="1" x14ac:dyDescent="0.6">
      <c r="A627" s="1"/>
      <c r="B627" s="5"/>
      <c r="C627" s="1"/>
      <c r="D627" s="38"/>
      <c r="E627" s="1"/>
      <c r="F627" s="1"/>
    </row>
    <row r="628" spans="1:6" ht="21.75" customHeight="1" x14ac:dyDescent="0.6">
      <c r="A628" s="1"/>
      <c r="B628" s="5"/>
      <c r="C628" s="1"/>
      <c r="D628" s="38"/>
      <c r="E628" s="1"/>
      <c r="F628" s="1"/>
    </row>
    <row r="629" spans="1:6" ht="21.75" customHeight="1" x14ac:dyDescent="0.6">
      <c r="A629" s="1"/>
      <c r="B629" s="5"/>
      <c r="C629" s="1"/>
      <c r="D629" s="38"/>
      <c r="E629" s="1"/>
      <c r="F629" s="1"/>
    </row>
    <row r="630" spans="1:6" ht="21.75" customHeight="1" x14ac:dyDescent="0.6">
      <c r="A630" s="1"/>
      <c r="B630" s="5"/>
      <c r="C630" s="1"/>
      <c r="D630" s="38"/>
      <c r="E630" s="1"/>
      <c r="F630" s="1"/>
    </row>
    <row r="631" spans="1:6" ht="21.75" customHeight="1" x14ac:dyDescent="0.6">
      <c r="A631" s="1"/>
      <c r="B631" s="5"/>
      <c r="C631" s="1"/>
      <c r="D631" s="38"/>
      <c r="E631" s="1"/>
      <c r="F631" s="1"/>
    </row>
    <row r="632" spans="1:6" ht="21.75" customHeight="1" x14ac:dyDescent="0.6">
      <c r="A632" s="1"/>
      <c r="B632" s="5"/>
      <c r="C632" s="1"/>
      <c r="D632" s="38"/>
      <c r="E632" s="1"/>
      <c r="F632" s="1"/>
    </row>
    <row r="633" spans="1:6" ht="21.75" customHeight="1" x14ac:dyDescent="0.6">
      <c r="A633" s="1"/>
      <c r="B633" s="5"/>
      <c r="C633" s="1"/>
      <c r="D633" s="38"/>
      <c r="E633" s="1"/>
      <c r="F633" s="1"/>
    </row>
    <row r="634" spans="1:6" ht="21.75" customHeight="1" x14ac:dyDescent="0.6">
      <c r="A634" s="1"/>
      <c r="B634" s="5"/>
      <c r="C634" s="1"/>
      <c r="D634" s="38"/>
      <c r="E634" s="1"/>
      <c r="F634" s="1"/>
    </row>
    <row r="635" spans="1:6" ht="21.75" customHeight="1" x14ac:dyDescent="0.6">
      <c r="A635" s="1"/>
      <c r="B635" s="5"/>
      <c r="C635" s="1"/>
      <c r="D635" s="38"/>
      <c r="E635" s="1"/>
      <c r="F635" s="1"/>
    </row>
    <row r="636" spans="1:6" ht="21.75" customHeight="1" x14ac:dyDescent="0.6">
      <c r="A636" s="1"/>
      <c r="B636" s="5"/>
      <c r="C636" s="1"/>
      <c r="D636" s="38"/>
      <c r="E636" s="1"/>
      <c r="F636" s="1"/>
    </row>
    <row r="637" spans="1:6" ht="21.75" customHeight="1" x14ac:dyDescent="0.6">
      <c r="A637" s="1"/>
      <c r="B637" s="5"/>
      <c r="C637" s="1"/>
      <c r="D637" s="38"/>
      <c r="E637" s="1"/>
      <c r="F637" s="1"/>
    </row>
    <row r="638" spans="1:6" ht="21.75" customHeight="1" x14ac:dyDescent="0.6">
      <c r="A638" s="1"/>
      <c r="B638" s="5"/>
      <c r="C638" s="1"/>
      <c r="D638" s="38"/>
      <c r="E638" s="1"/>
      <c r="F638" s="1"/>
    </row>
    <row r="639" spans="1:6" ht="21.75" customHeight="1" x14ac:dyDescent="0.6">
      <c r="A639" s="1"/>
      <c r="B639" s="5"/>
      <c r="C639" s="1"/>
      <c r="D639" s="38"/>
      <c r="E639" s="1"/>
      <c r="F639" s="1"/>
    </row>
    <row r="640" spans="1:6" ht="21.75" customHeight="1" x14ac:dyDescent="0.6">
      <c r="A640" s="1"/>
      <c r="B640" s="5"/>
      <c r="C640" s="1"/>
      <c r="D640" s="38"/>
      <c r="E640" s="1"/>
      <c r="F640" s="1"/>
    </row>
    <row r="641" spans="1:6" ht="21.75" customHeight="1" x14ac:dyDescent="0.6">
      <c r="A641" s="1"/>
      <c r="B641" s="5"/>
      <c r="C641" s="1"/>
      <c r="D641" s="38"/>
      <c r="E641" s="1"/>
      <c r="F641" s="1"/>
    </row>
    <row r="642" spans="1:6" ht="21.75" customHeight="1" x14ac:dyDescent="0.6">
      <c r="A642" s="1"/>
      <c r="B642" s="5"/>
      <c r="C642" s="1"/>
      <c r="D642" s="38"/>
      <c r="E642" s="1"/>
      <c r="F642" s="1"/>
    </row>
    <row r="643" spans="1:6" ht="21.75" customHeight="1" x14ac:dyDescent="0.6">
      <c r="A643" s="1"/>
      <c r="B643" s="5"/>
      <c r="C643" s="1"/>
      <c r="D643" s="38"/>
      <c r="E643" s="1"/>
      <c r="F643" s="1"/>
    </row>
    <row r="644" spans="1:6" ht="21.75" customHeight="1" x14ac:dyDescent="0.6">
      <c r="A644" s="1"/>
      <c r="B644" s="5"/>
      <c r="C644" s="1"/>
      <c r="D644" s="38"/>
      <c r="E644" s="1"/>
      <c r="F644" s="1"/>
    </row>
    <row r="645" spans="1:6" ht="21.75" customHeight="1" x14ac:dyDescent="0.6">
      <c r="A645" s="1"/>
      <c r="B645" s="5"/>
      <c r="C645" s="1"/>
      <c r="D645" s="38"/>
      <c r="E645" s="1"/>
      <c r="F645" s="1"/>
    </row>
    <row r="646" spans="1:6" ht="21.75" customHeight="1" x14ac:dyDescent="0.6">
      <c r="A646" s="1"/>
      <c r="B646" s="5"/>
      <c r="C646" s="1"/>
      <c r="D646" s="38"/>
      <c r="E646" s="1"/>
      <c r="F646" s="1"/>
    </row>
    <row r="647" spans="1:6" ht="21.75" customHeight="1" x14ac:dyDescent="0.6">
      <c r="A647" s="1"/>
      <c r="B647" s="5"/>
      <c r="C647" s="1"/>
      <c r="D647" s="38"/>
      <c r="E647" s="1"/>
      <c r="F647" s="1"/>
    </row>
    <row r="648" spans="1:6" ht="21.75" customHeight="1" x14ac:dyDescent="0.6">
      <c r="A648" s="1"/>
      <c r="B648" s="5"/>
      <c r="C648" s="1"/>
      <c r="D648" s="38"/>
      <c r="E648" s="1"/>
      <c r="F648" s="1"/>
    </row>
    <row r="649" spans="1:6" ht="21.75" customHeight="1" x14ac:dyDescent="0.6">
      <c r="A649" s="1"/>
      <c r="B649" s="5"/>
      <c r="C649" s="1"/>
      <c r="D649" s="38"/>
      <c r="E649" s="1"/>
      <c r="F649" s="1"/>
    </row>
    <row r="650" spans="1:6" ht="21.75" customHeight="1" x14ac:dyDescent="0.6">
      <c r="A650" s="1"/>
      <c r="B650" s="5"/>
      <c r="C650" s="1"/>
      <c r="D650" s="38"/>
      <c r="E650" s="1"/>
      <c r="F650" s="1"/>
    </row>
    <row r="651" spans="1:6" ht="21.75" customHeight="1" x14ac:dyDescent="0.6">
      <c r="A651" s="1"/>
      <c r="B651" s="5"/>
      <c r="C651" s="1"/>
      <c r="D651" s="38"/>
      <c r="E651" s="1"/>
      <c r="F651" s="1"/>
    </row>
    <row r="652" spans="1:6" ht="21.75" customHeight="1" x14ac:dyDescent="0.6">
      <c r="A652" s="1"/>
      <c r="B652" s="5"/>
      <c r="C652" s="1"/>
      <c r="D652" s="38"/>
      <c r="E652" s="1"/>
      <c r="F652" s="1"/>
    </row>
    <row r="653" spans="1:6" ht="21.75" customHeight="1" x14ac:dyDescent="0.6">
      <c r="A653" s="1"/>
      <c r="B653" s="5"/>
      <c r="C653" s="1"/>
      <c r="D653" s="38"/>
      <c r="E653" s="1"/>
      <c r="F653" s="1"/>
    </row>
    <row r="654" spans="1:6" ht="21.75" customHeight="1" x14ac:dyDescent="0.6">
      <c r="A654" s="1"/>
      <c r="B654" s="5"/>
      <c r="C654" s="1"/>
      <c r="D654" s="38"/>
      <c r="E654" s="1"/>
      <c r="F654" s="1"/>
    </row>
    <row r="655" spans="1:6" ht="21.75" customHeight="1" x14ac:dyDescent="0.6">
      <c r="A655" s="1"/>
      <c r="B655" s="5"/>
      <c r="C655" s="1"/>
      <c r="D655" s="38"/>
      <c r="E655" s="1"/>
      <c r="F655" s="1"/>
    </row>
    <row r="656" spans="1:6" ht="21.75" customHeight="1" x14ac:dyDescent="0.6">
      <c r="A656" s="1"/>
      <c r="B656" s="5"/>
      <c r="C656" s="1"/>
      <c r="D656" s="38"/>
      <c r="E656" s="1"/>
      <c r="F656" s="1"/>
    </row>
    <row r="657" spans="1:6" ht="21.75" customHeight="1" x14ac:dyDescent="0.6">
      <c r="A657" s="1"/>
      <c r="B657" s="5"/>
      <c r="C657" s="1"/>
      <c r="D657" s="38"/>
      <c r="E657" s="1"/>
      <c r="F657" s="1"/>
    </row>
    <row r="658" spans="1:6" ht="21.75" customHeight="1" x14ac:dyDescent="0.6">
      <c r="A658" s="1"/>
      <c r="B658" s="5"/>
      <c r="C658" s="1"/>
      <c r="D658" s="38"/>
      <c r="E658" s="1"/>
      <c r="F658" s="1"/>
    </row>
    <row r="659" spans="1:6" ht="21.75" customHeight="1" x14ac:dyDescent="0.6">
      <c r="A659" s="1"/>
      <c r="B659" s="5"/>
      <c r="C659" s="1"/>
      <c r="D659" s="38"/>
      <c r="E659" s="1"/>
      <c r="F659" s="1"/>
    </row>
    <row r="660" spans="1:6" ht="21.75" customHeight="1" x14ac:dyDescent="0.6">
      <c r="A660" s="1"/>
      <c r="B660" s="5"/>
      <c r="C660" s="1"/>
      <c r="D660" s="38"/>
      <c r="E660" s="1"/>
      <c r="F660" s="1"/>
    </row>
    <row r="661" spans="1:6" ht="21.75" customHeight="1" x14ac:dyDescent="0.6">
      <c r="A661" s="1"/>
      <c r="B661" s="5"/>
      <c r="C661" s="1"/>
      <c r="D661" s="38"/>
      <c r="E661" s="1"/>
      <c r="F661" s="1"/>
    </row>
    <row r="662" spans="1:6" ht="21.75" customHeight="1" x14ac:dyDescent="0.6">
      <c r="A662" s="1"/>
      <c r="B662" s="5"/>
      <c r="C662" s="1"/>
      <c r="D662" s="38"/>
      <c r="E662" s="1"/>
      <c r="F662" s="1"/>
    </row>
    <row r="663" spans="1:6" ht="21.75" customHeight="1" x14ac:dyDescent="0.6">
      <c r="A663" s="1"/>
      <c r="B663" s="5"/>
      <c r="C663" s="1"/>
      <c r="D663" s="38"/>
      <c r="E663" s="1"/>
      <c r="F663" s="1"/>
    </row>
    <row r="664" spans="1:6" ht="21.75" customHeight="1" x14ac:dyDescent="0.6">
      <c r="A664" s="1"/>
      <c r="B664" s="5"/>
      <c r="C664" s="1"/>
      <c r="D664" s="38"/>
      <c r="E664" s="1"/>
      <c r="F664" s="1"/>
    </row>
    <row r="665" spans="1:6" ht="21.75" customHeight="1" x14ac:dyDescent="0.6">
      <c r="A665" s="1"/>
      <c r="B665" s="5"/>
      <c r="C665" s="1"/>
      <c r="D665" s="38"/>
      <c r="E665" s="1"/>
      <c r="F665" s="1"/>
    </row>
    <row r="666" spans="1:6" ht="21.75" customHeight="1" x14ac:dyDescent="0.6">
      <c r="A666" s="1"/>
      <c r="B666" s="5"/>
      <c r="C666" s="1"/>
      <c r="D666" s="38"/>
      <c r="E666" s="1"/>
      <c r="F666" s="1"/>
    </row>
    <row r="667" spans="1:6" ht="21.75" customHeight="1" x14ac:dyDescent="0.6">
      <c r="A667" s="1"/>
      <c r="B667" s="5"/>
      <c r="C667" s="1"/>
      <c r="D667" s="38"/>
      <c r="E667" s="1"/>
      <c r="F667" s="1"/>
    </row>
    <row r="668" spans="1:6" ht="21.75" customHeight="1" x14ac:dyDescent="0.6">
      <c r="A668" s="1"/>
      <c r="B668" s="5"/>
      <c r="C668" s="1"/>
      <c r="D668" s="38"/>
      <c r="E668" s="1"/>
      <c r="F668" s="1"/>
    </row>
    <row r="669" spans="1:6" ht="21.75" customHeight="1" x14ac:dyDescent="0.6">
      <c r="A669" s="1"/>
      <c r="B669" s="5"/>
      <c r="C669" s="1"/>
      <c r="D669" s="38"/>
      <c r="E669" s="1"/>
      <c r="F669" s="1"/>
    </row>
    <row r="670" spans="1:6" ht="21.75" customHeight="1" x14ac:dyDescent="0.6">
      <c r="A670" s="1"/>
      <c r="B670" s="5"/>
      <c r="C670" s="1"/>
      <c r="D670" s="38"/>
      <c r="E670" s="1"/>
      <c r="F670" s="1"/>
    </row>
    <row r="671" spans="1:6" ht="21.75" customHeight="1" x14ac:dyDescent="0.6">
      <c r="A671" s="1"/>
      <c r="B671" s="5"/>
      <c r="C671" s="1"/>
      <c r="D671" s="38"/>
      <c r="E671" s="1"/>
      <c r="F671" s="1"/>
    </row>
    <row r="672" spans="1:6" ht="21.75" customHeight="1" x14ac:dyDescent="0.6">
      <c r="A672" s="1"/>
      <c r="B672" s="5"/>
      <c r="C672" s="1"/>
      <c r="D672" s="38"/>
      <c r="E672" s="1"/>
      <c r="F672" s="1"/>
    </row>
    <row r="673" spans="1:6" ht="21.75" customHeight="1" x14ac:dyDescent="0.6">
      <c r="A673" s="1"/>
      <c r="B673" s="5"/>
      <c r="C673" s="1"/>
      <c r="D673" s="38"/>
      <c r="E673" s="1"/>
      <c r="F673" s="1"/>
    </row>
    <row r="674" spans="1:6" ht="21.75" customHeight="1" x14ac:dyDescent="0.6">
      <c r="A674" s="1"/>
      <c r="B674" s="5"/>
      <c r="C674" s="1"/>
      <c r="D674" s="38"/>
      <c r="E674" s="1"/>
      <c r="F674" s="1"/>
    </row>
    <row r="675" spans="1:6" ht="21.75" customHeight="1" x14ac:dyDescent="0.6">
      <c r="A675" s="1"/>
      <c r="B675" s="5"/>
      <c r="C675" s="1"/>
      <c r="D675" s="38"/>
      <c r="E675" s="1"/>
      <c r="F675" s="1"/>
    </row>
    <row r="676" spans="1:6" ht="21.75" customHeight="1" x14ac:dyDescent="0.6">
      <c r="A676" s="1"/>
      <c r="B676" s="5"/>
      <c r="C676" s="1"/>
      <c r="D676" s="38"/>
      <c r="E676" s="1"/>
      <c r="F676" s="1"/>
    </row>
    <row r="677" spans="1:6" ht="21.75" customHeight="1" x14ac:dyDescent="0.6">
      <c r="A677" s="1"/>
      <c r="B677" s="5"/>
      <c r="C677" s="1"/>
      <c r="D677" s="38"/>
      <c r="E677" s="1"/>
      <c r="F677" s="1"/>
    </row>
    <row r="678" spans="1:6" ht="21.75" customHeight="1" x14ac:dyDescent="0.6">
      <c r="A678" s="1"/>
      <c r="B678" s="5"/>
      <c r="C678" s="1"/>
      <c r="D678" s="38"/>
      <c r="E678" s="1"/>
      <c r="F678" s="1"/>
    </row>
    <row r="679" spans="1:6" ht="21.75" customHeight="1" x14ac:dyDescent="0.6">
      <c r="A679" s="1"/>
      <c r="B679" s="5"/>
      <c r="C679" s="1"/>
      <c r="D679" s="38"/>
      <c r="E679" s="1"/>
      <c r="F679" s="1"/>
    </row>
    <row r="680" spans="1:6" ht="21.75" customHeight="1" x14ac:dyDescent="0.6">
      <c r="A680" s="1"/>
      <c r="B680" s="5"/>
      <c r="C680" s="1"/>
      <c r="D680" s="38"/>
      <c r="E680" s="1"/>
      <c r="F680" s="1"/>
    </row>
    <row r="681" spans="1:6" ht="21.75" customHeight="1" x14ac:dyDescent="0.6">
      <c r="A681" s="1"/>
      <c r="B681" s="5"/>
      <c r="C681" s="1"/>
      <c r="D681" s="38"/>
      <c r="E681" s="1"/>
      <c r="F681" s="1"/>
    </row>
    <row r="682" spans="1:6" ht="21.75" customHeight="1" x14ac:dyDescent="0.6">
      <c r="A682" s="1"/>
      <c r="B682" s="5"/>
      <c r="C682" s="1"/>
      <c r="D682" s="38"/>
      <c r="E682" s="1"/>
      <c r="F682" s="1"/>
    </row>
    <row r="683" spans="1:6" ht="21.75" customHeight="1" x14ac:dyDescent="0.6">
      <c r="A683" s="1"/>
      <c r="B683" s="5"/>
      <c r="C683" s="1"/>
      <c r="D683" s="38"/>
      <c r="E683" s="1"/>
      <c r="F683" s="1"/>
    </row>
    <row r="684" spans="1:6" ht="21.75" customHeight="1" x14ac:dyDescent="0.6">
      <c r="A684" s="1"/>
      <c r="B684" s="5"/>
      <c r="C684" s="1"/>
      <c r="D684" s="38"/>
      <c r="E684" s="1"/>
      <c r="F684" s="1"/>
    </row>
    <row r="685" spans="1:6" ht="21.75" customHeight="1" x14ac:dyDescent="0.6">
      <c r="A685" s="1"/>
      <c r="B685" s="5"/>
      <c r="C685" s="1"/>
      <c r="D685" s="38"/>
      <c r="E685" s="1"/>
      <c r="F685" s="1"/>
    </row>
    <row r="686" spans="1:6" ht="21.75" customHeight="1" x14ac:dyDescent="0.6">
      <c r="A686" s="1"/>
      <c r="B686" s="5"/>
      <c r="C686" s="1"/>
      <c r="D686" s="38"/>
      <c r="E686" s="1"/>
      <c r="F686" s="1"/>
    </row>
    <row r="687" spans="1:6" ht="21.75" customHeight="1" x14ac:dyDescent="0.6">
      <c r="A687" s="1"/>
      <c r="B687" s="5"/>
      <c r="C687" s="1"/>
      <c r="D687" s="38"/>
      <c r="E687" s="1"/>
      <c r="F687" s="1"/>
    </row>
    <row r="688" spans="1:6" ht="21.75" customHeight="1" x14ac:dyDescent="0.6">
      <c r="A688" s="1"/>
      <c r="B688" s="5"/>
      <c r="C688" s="1"/>
      <c r="D688" s="38"/>
      <c r="E688" s="1"/>
      <c r="F688" s="1"/>
    </row>
    <row r="689" spans="1:6" ht="21.75" customHeight="1" x14ac:dyDescent="0.6">
      <c r="A689" s="1"/>
      <c r="B689" s="5"/>
      <c r="C689" s="1"/>
      <c r="D689" s="38"/>
      <c r="E689" s="1"/>
      <c r="F689" s="1"/>
    </row>
    <row r="690" spans="1:6" ht="21.75" customHeight="1" x14ac:dyDescent="0.6">
      <c r="A690" s="1"/>
      <c r="B690" s="5"/>
      <c r="C690" s="1"/>
      <c r="D690" s="38"/>
      <c r="E690" s="1"/>
      <c r="F690" s="1"/>
    </row>
    <row r="691" spans="1:6" ht="21.75" customHeight="1" x14ac:dyDescent="0.6">
      <c r="A691" s="1"/>
      <c r="B691" s="5"/>
      <c r="C691" s="1"/>
      <c r="D691" s="38"/>
      <c r="E691" s="1"/>
      <c r="F691" s="1"/>
    </row>
    <row r="692" spans="1:6" ht="21.75" customHeight="1" x14ac:dyDescent="0.6">
      <c r="A692" s="1"/>
      <c r="B692" s="5"/>
      <c r="C692" s="1"/>
      <c r="D692" s="38"/>
      <c r="E692" s="1"/>
      <c r="F692" s="1"/>
    </row>
    <row r="693" spans="1:6" ht="21.75" customHeight="1" x14ac:dyDescent="0.6">
      <c r="A693" s="1"/>
      <c r="B693" s="5"/>
      <c r="C693" s="1"/>
      <c r="D693" s="38"/>
      <c r="E693" s="1"/>
      <c r="F693" s="1"/>
    </row>
    <row r="694" spans="1:6" ht="21.75" customHeight="1" x14ac:dyDescent="0.6">
      <c r="A694" s="1"/>
      <c r="B694" s="5"/>
      <c r="C694" s="1"/>
      <c r="D694" s="38"/>
      <c r="E694" s="1"/>
      <c r="F694" s="1"/>
    </row>
    <row r="695" spans="1:6" ht="21.75" customHeight="1" x14ac:dyDescent="0.6">
      <c r="A695" s="1"/>
      <c r="B695" s="5"/>
      <c r="C695" s="1"/>
      <c r="D695" s="38"/>
      <c r="E695" s="1"/>
      <c r="F695" s="1"/>
    </row>
    <row r="696" spans="1:6" ht="21.75" customHeight="1" x14ac:dyDescent="0.6">
      <c r="A696" s="1"/>
      <c r="B696" s="5"/>
      <c r="C696" s="1"/>
      <c r="D696" s="38"/>
      <c r="E696" s="1"/>
      <c r="F696" s="1"/>
    </row>
    <row r="697" spans="1:6" ht="21.75" customHeight="1" x14ac:dyDescent="0.6">
      <c r="A697" s="1"/>
      <c r="B697" s="5"/>
      <c r="C697" s="1"/>
      <c r="D697" s="38"/>
      <c r="E697" s="1"/>
      <c r="F697" s="1"/>
    </row>
    <row r="698" spans="1:6" ht="21.75" customHeight="1" x14ac:dyDescent="0.6">
      <c r="A698" s="1"/>
      <c r="B698" s="5"/>
      <c r="C698" s="1"/>
      <c r="D698" s="38"/>
      <c r="E698" s="1"/>
      <c r="F698" s="1"/>
    </row>
    <row r="699" spans="1:6" ht="21.75" customHeight="1" x14ac:dyDescent="0.6">
      <c r="A699" s="1"/>
      <c r="B699" s="5"/>
      <c r="C699" s="1"/>
      <c r="D699" s="38"/>
      <c r="E699" s="1"/>
      <c r="F699" s="1"/>
    </row>
    <row r="700" spans="1:6" ht="21.75" customHeight="1" x14ac:dyDescent="0.6">
      <c r="A700" s="1"/>
      <c r="B700" s="5"/>
      <c r="C700" s="1"/>
      <c r="D700" s="38"/>
      <c r="E700" s="1"/>
      <c r="F700" s="1"/>
    </row>
    <row r="701" spans="1:6" ht="21.75" customHeight="1" x14ac:dyDescent="0.6">
      <c r="A701" s="1"/>
      <c r="B701" s="5"/>
      <c r="C701" s="1"/>
      <c r="D701" s="38"/>
      <c r="E701" s="1"/>
      <c r="F701" s="1"/>
    </row>
    <row r="702" spans="1:6" ht="21.75" customHeight="1" x14ac:dyDescent="0.6">
      <c r="A702" s="1"/>
      <c r="B702" s="5"/>
      <c r="C702" s="1"/>
      <c r="D702" s="38"/>
      <c r="E702" s="1"/>
      <c r="F702" s="1"/>
    </row>
    <row r="703" spans="1:6" ht="21.75" customHeight="1" x14ac:dyDescent="0.6">
      <c r="A703" s="1"/>
      <c r="B703" s="5"/>
      <c r="C703" s="1"/>
      <c r="D703" s="38"/>
      <c r="E703" s="1"/>
      <c r="F703" s="1"/>
    </row>
    <row r="704" spans="1:6" ht="21.75" customHeight="1" x14ac:dyDescent="0.6">
      <c r="A704" s="1"/>
      <c r="B704" s="5"/>
      <c r="C704" s="1"/>
      <c r="D704" s="38"/>
      <c r="E704" s="1"/>
      <c r="F704" s="1"/>
    </row>
    <row r="705" spans="1:6" ht="21.75" customHeight="1" x14ac:dyDescent="0.6">
      <c r="A705" s="1"/>
      <c r="B705" s="5"/>
      <c r="C705" s="1"/>
      <c r="D705" s="38"/>
      <c r="E705" s="1"/>
      <c r="F705" s="1"/>
    </row>
    <row r="706" spans="1:6" ht="21.75" customHeight="1" x14ac:dyDescent="0.6">
      <c r="A706" s="1"/>
      <c r="B706" s="5"/>
      <c r="C706" s="1"/>
      <c r="D706" s="38"/>
      <c r="E706" s="1"/>
      <c r="F706" s="1"/>
    </row>
    <row r="707" spans="1:6" ht="21.75" customHeight="1" x14ac:dyDescent="0.6">
      <c r="A707" s="1"/>
      <c r="B707" s="5"/>
      <c r="C707" s="1"/>
      <c r="D707" s="38"/>
      <c r="E707" s="1"/>
      <c r="F707" s="1"/>
    </row>
    <row r="708" spans="1:6" ht="21.75" customHeight="1" x14ac:dyDescent="0.6">
      <c r="A708" s="1"/>
      <c r="B708" s="5"/>
      <c r="C708" s="1"/>
      <c r="D708" s="38"/>
      <c r="E708" s="1"/>
      <c r="F708" s="1"/>
    </row>
    <row r="709" spans="1:6" ht="21.75" customHeight="1" x14ac:dyDescent="0.6">
      <c r="A709" s="1"/>
      <c r="B709" s="5"/>
      <c r="C709" s="1"/>
      <c r="D709" s="38"/>
      <c r="E709" s="1"/>
      <c r="F709" s="1"/>
    </row>
    <row r="710" spans="1:6" ht="21.75" customHeight="1" x14ac:dyDescent="0.6">
      <c r="A710" s="1"/>
      <c r="B710" s="5"/>
      <c r="C710" s="1"/>
      <c r="D710" s="38"/>
      <c r="E710" s="1"/>
      <c r="F710" s="1"/>
    </row>
    <row r="711" spans="1:6" ht="21.75" customHeight="1" x14ac:dyDescent="0.6">
      <c r="A711" s="1"/>
      <c r="B711" s="5"/>
      <c r="C711" s="1"/>
      <c r="D711" s="38"/>
      <c r="E711" s="1"/>
      <c r="F711" s="1"/>
    </row>
    <row r="712" spans="1:6" ht="21.75" customHeight="1" x14ac:dyDescent="0.6">
      <c r="A712" s="1"/>
      <c r="B712" s="5"/>
      <c r="C712" s="1"/>
      <c r="D712" s="38"/>
      <c r="E712" s="1"/>
      <c r="F712" s="1"/>
    </row>
    <row r="713" spans="1:6" ht="21.75" customHeight="1" x14ac:dyDescent="0.6">
      <c r="A713" s="1"/>
      <c r="B713" s="5"/>
      <c r="C713" s="1"/>
      <c r="D713" s="38"/>
      <c r="E713" s="1"/>
      <c r="F713" s="1"/>
    </row>
    <row r="714" spans="1:6" ht="21.75" customHeight="1" x14ac:dyDescent="0.6">
      <c r="A714" s="1"/>
      <c r="B714" s="5"/>
      <c r="C714" s="1"/>
      <c r="D714" s="38"/>
      <c r="E714" s="1"/>
      <c r="F714" s="1"/>
    </row>
    <row r="715" spans="1:6" ht="21.75" customHeight="1" x14ac:dyDescent="0.6">
      <c r="A715" s="1"/>
      <c r="B715" s="5"/>
      <c r="C715" s="1"/>
      <c r="D715" s="38"/>
      <c r="E715" s="1"/>
      <c r="F715" s="1"/>
    </row>
    <row r="716" spans="1:6" ht="21.75" customHeight="1" x14ac:dyDescent="0.6">
      <c r="A716" s="1"/>
      <c r="B716" s="5"/>
      <c r="C716" s="1"/>
      <c r="D716" s="38"/>
      <c r="E716" s="1"/>
      <c r="F716" s="1"/>
    </row>
    <row r="717" spans="1:6" ht="21.75" customHeight="1" x14ac:dyDescent="0.6">
      <c r="A717" s="1"/>
      <c r="B717" s="5"/>
      <c r="C717" s="1"/>
      <c r="D717" s="38"/>
      <c r="E717" s="1"/>
      <c r="F717" s="1"/>
    </row>
    <row r="718" spans="1:6" ht="21.75" customHeight="1" x14ac:dyDescent="0.6">
      <c r="A718" s="1"/>
      <c r="B718" s="5"/>
      <c r="C718" s="1"/>
      <c r="D718" s="38"/>
      <c r="E718" s="1"/>
      <c r="F718" s="1"/>
    </row>
    <row r="719" spans="1:6" ht="21.75" customHeight="1" x14ac:dyDescent="0.6">
      <c r="A719" s="1"/>
      <c r="B719" s="5"/>
      <c r="C719" s="1"/>
      <c r="D719" s="38"/>
      <c r="E719" s="1"/>
      <c r="F719" s="1"/>
    </row>
    <row r="720" spans="1:6" ht="21.75" customHeight="1" x14ac:dyDescent="0.6">
      <c r="A720" s="1"/>
      <c r="B720" s="5"/>
      <c r="C720" s="1"/>
      <c r="D720" s="38"/>
      <c r="E720" s="1"/>
      <c r="F720" s="1"/>
    </row>
    <row r="721" spans="1:6" ht="21.75" customHeight="1" x14ac:dyDescent="0.6">
      <c r="A721" s="1"/>
      <c r="B721" s="5"/>
      <c r="C721" s="1"/>
      <c r="D721" s="38"/>
      <c r="E721" s="1"/>
      <c r="F721" s="1"/>
    </row>
    <row r="722" spans="1:6" ht="21.75" customHeight="1" x14ac:dyDescent="0.6">
      <c r="A722" s="1"/>
      <c r="B722" s="5"/>
      <c r="C722" s="1"/>
      <c r="D722" s="38"/>
      <c r="E722" s="1"/>
      <c r="F722" s="1"/>
    </row>
    <row r="723" spans="1:6" ht="21.75" customHeight="1" x14ac:dyDescent="0.6">
      <c r="A723" s="1"/>
      <c r="B723" s="5"/>
      <c r="C723" s="1"/>
      <c r="D723" s="38"/>
      <c r="E723" s="1"/>
      <c r="F723" s="1"/>
    </row>
    <row r="724" spans="1:6" ht="21.75" customHeight="1" x14ac:dyDescent="0.6">
      <c r="A724" s="1"/>
      <c r="B724" s="5"/>
      <c r="C724" s="1"/>
      <c r="D724" s="38"/>
      <c r="E724" s="1"/>
      <c r="F724" s="1"/>
    </row>
    <row r="725" spans="1:6" ht="21.75" customHeight="1" x14ac:dyDescent="0.6">
      <c r="A725" s="1"/>
      <c r="B725" s="5"/>
      <c r="C725" s="1"/>
      <c r="D725" s="38"/>
      <c r="E725" s="1"/>
      <c r="F725" s="1"/>
    </row>
    <row r="726" spans="1:6" ht="21.75" customHeight="1" x14ac:dyDescent="0.6">
      <c r="A726" s="1"/>
      <c r="B726" s="5"/>
      <c r="C726" s="1"/>
      <c r="D726" s="38"/>
      <c r="E726" s="1"/>
      <c r="F726" s="1"/>
    </row>
    <row r="727" spans="1:6" ht="21.75" customHeight="1" x14ac:dyDescent="0.6">
      <c r="A727" s="1"/>
      <c r="B727" s="5"/>
      <c r="C727" s="1"/>
      <c r="D727" s="38"/>
      <c r="E727" s="1"/>
      <c r="F727" s="1"/>
    </row>
    <row r="728" spans="1:6" ht="21.75" customHeight="1" x14ac:dyDescent="0.6">
      <c r="A728" s="1"/>
      <c r="B728" s="5"/>
      <c r="C728" s="1"/>
      <c r="D728" s="38"/>
      <c r="E728" s="1"/>
      <c r="F728" s="1"/>
    </row>
    <row r="729" spans="1:6" ht="21.75" customHeight="1" x14ac:dyDescent="0.6">
      <c r="A729" s="1"/>
      <c r="B729" s="5"/>
      <c r="C729" s="1"/>
      <c r="D729" s="38"/>
      <c r="E729" s="1"/>
      <c r="F729" s="1"/>
    </row>
    <row r="730" spans="1:6" ht="21.75" customHeight="1" x14ac:dyDescent="0.6">
      <c r="A730" s="1"/>
      <c r="B730" s="5"/>
      <c r="C730" s="1"/>
      <c r="D730" s="38"/>
      <c r="E730" s="1"/>
      <c r="F730" s="1"/>
    </row>
    <row r="731" spans="1:6" ht="21.75" customHeight="1" x14ac:dyDescent="0.6">
      <c r="A731" s="1"/>
      <c r="B731" s="5"/>
      <c r="C731" s="1"/>
      <c r="D731" s="38"/>
      <c r="E731" s="1"/>
      <c r="F731" s="1"/>
    </row>
    <row r="732" spans="1:6" ht="21.75" customHeight="1" x14ac:dyDescent="0.6">
      <c r="A732" s="1"/>
      <c r="B732" s="5"/>
      <c r="C732" s="1"/>
      <c r="D732" s="38"/>
      <c r="E732" s="1"/>
      <c r="F732" s="1"/>
    </row>
    <row r="733" spans="1:6" ht="21.75" customHeight="1" x14ac:dyDescent="0.6">
      <c r="A733" s="1"/>
      <c r="B733" s="5"/>
      <c r="C733" s="1"/>
      <c r="D733" s="38"/>
      <c r="E733" s="1"/>
      <c r="F733" s="1"/>
    </row>
    <row r="734" spans="1:6" ht="21.75" customHeight="1" x14ac:dyDescent="0.6">
      <c r="A734" s="1"/>
      <c r="B734" s="5"/>
      <c r="C734" s="1"/>
      <c r="D734" s="38"/>
      <c r="E734" s="1"/>
      <c r="F734" s="1"/>
    </row>
    <row r="735" spans="1:6" ht="21.75" customHeight="1" x14ac:dyDescent="0.6">
      <c r="A735" s="1"/>
      <c r="B735" s="5"/>
      <c r="C735" s="1"/>
      <c r="D735" s="38"/>
      <c r="E735" s="1"/>
      <c r="F735" s="1"/>
    </row>
    <row r="736" spans="1:6" ht="21.75" customHeight="1" x14ac:dyDescent="0.6">
      <c r="A736" s="1"/>
      <c r="B736" s="5"/>
      <c r="C736" s="1"/>
      <c r="D736" s="38"/>
      <c r="E736" s="1"/>
      <c r="F736" s="1"/>
    </row>
    <row r="737" spans="1:6" ht="21.75" customHeight="1" x14ac:dyDescent="0.6">
      <c r="A737" s="1"/>
      <c r="B737" s="5"/>
      <c r="C737" s="1"/>
      <c r="D737" s="38"/>
      <c r="E737" s="1"/>
      <c r="F737" s="1"/>
    </row>
    <row r="738" spans="1:6" ht="21.75" customHeight="1" x14ac:dyDescent="0.6">
      <c r="A738" s="1"/>
      <c r="B738" s="5"/>
      <c r="C738" s="1"/>
      <c r="D738" s="38"/>
      <c r="E738" s="1"/>
      <c r="F738" s="1"/>
    </row>
    <row r="739" spans="1:6" ht="21.75" customHeight="1" x14ac:dyDescent="0.6">
      <c r="A739" s="1"/>
      <c r="B739" s="5"/>
      <c r="C739" s="1"/>
      <c r="D739" s="38"/>
      <c r="E739" s="1"/>
      <c r="F739" s="1"/>
    </row>
    <row r="740" spans="1:6" ht="21.75" customHeight="1" x14ac:dyDescent="0.6">
      <c r="A740" s="1"/>
      <c r="B740" s="5"/>
      <c r="C740" s="1"/>
      <c r="D740" s="38"/>
      <c r="E740" s="1"/>
      <c r="F740" s="1"/>
    </row>
    <row r="741" spans="1:6" ht="21.75" customHeight="1" x14ac:dyDescent="0.6">
      <c r="A741" s="1"/>
      <c r="B741" s="5"/>
      <c r="C741" s="1"/>
      <c r="D741" s="38"/>
      <c r="E741" s="1"/>
      <c r="F741" s="1"/>
    </row>
    <row r="742" spans="1:6" ht="21.75" customHeight="1" x14ac:dyDescent="0.6">
      <c r="A742" s="1"/>
      <c r="B742" s="5"/>
      <c r="C742" s="1"/>
      <c r="D742" s="38"/>
      <c r="E742" s="1"/>
      <c r="F742" s="1"/>
    </row>
    <row r="743" spans="1:6" ht="21.75" customHeight="1" x14ac:dyDescent="0.6">
      <c r="A743" s="1"/>
      <c r="B743" s="5"/>
      <c r="C743" s="1"/>
      <c r="D743" s="38"/>
      <c r="E743" s="1"/>
      <c r="F743" s="1"/>
    </row>
    <row r="744" spans="1:6" ht="21.75" customHeight="1" x14ac:dyDescent="0.6">
      <c r="A744" s="1"/>
      <c r="B744" s="5"/>
      <c r="C744" s="1"/>
      <c r="D744" s="38"/>
      <c r="E744" s="1"/>
      <c r="F744" s="1"/>
    </row>
    <row r="745" spans="1:6" ht="21.75" customHeight="1" x14ac:dyDescent="0.6">
      <c r="A745" s="1"/>
      <c r="B745" s="5"/>
      <c r="C745" s="1"/>
      <c r="D745" s="38"/>
      <c r="E745" s="1"/>
      <c r="F745" s="1"/>
    </row>
    <row r="746" spans="1:6" ht="21.75" customHeight="1" x14ac:dyDescent="0.6">
      <c r="A746" s="1"/>
      <c r="B746" s="5"/>
      <c r="C746" s="1"/>
      <c r="D746" s="38"/>
      <c r="E746" s="1"/>
      <c r="F746" s="1"/>
    </row>
    <row r="747" spans="1:6" ht="21.75" customHeight="1" x14ac:dyDescent="0.6">
      <c r="A747" s="1"/>
      <c r="B747" s="5"/>
      <c r="C747" s="1"/>
      <c r="D747" s="38"/>
      <c r="E747" s="1"/>
      <c r="F747" s="1"/>
    </row>
    <row r="748" spans="1:6" ht="21.75" customHeight="1" x14ac:dyDescent="0.6">
      <c r="A748" s="1"/>
      <c r="B748" s="5"/>
      <c r="C748" s="1"/>
      <c r="D748" s="38"/>
      <c r="E748" s="1"/>
      <c r="F748" s="1"/>
    </row>
    <row r="749" spans="1:6" ht="21.75" customHeight="1" x14ac:dyDescent="0.6">
      <c r="A749" s="1"/>
      <c r="B749" s="5"/>
      <c r="C749" s="1"/>
      <c r="D749" s="38"/>
      <c r="E749" s="1"/>
      <c r="F749" s="1"/>
    </row>
    <row r="750" spans="1:6" ht="21.75" customHeight="1" x14ac:dyDescent="0.6">
      <c r="A750" s="1"/>
      <c r="B750" s="5"/>
      <c r="C750" s="1"/>
      <c r="D750" s="38"/>
      <c r="E750" s="1"/>
      <c r="F750" s="1"/>
    </row>
    <row r="751" spans="1:6" ht="21.75" customHeight="1" x14ac:dyDescent="0.6">
      <c r="A751" s="1"/>
      <c r="B751" s="5"/>
      <c r="C751" s="1"/>
      <c r="D751" s="38"/>
      <c r="E751" s="1"/>
      <c r="F751" s="1"/>
    </row>
    <row r="752" spans="1:6" ht="21.75" customHeight="1" x14ac:dyDescent="0.6">
      <c r="A752" s="1"/>
      <c r="B752" s="5"/>
      <c r="C752" s="1"/>
      <c r="D752" s="38"/>
      <c r="E752" s="1"/>
      <c r="F752" s="1"/>
    </row>
    <row r="753" spans="1:6" ht="21.75" customHeight="1" x14ac:dyDescent="0.6">
      <c r="A753" s="1"/>
      <c r="B753" s="5"/>
      <c r="C753" s="1"/>
      <c r="D753" s="38"/>
      <c r="E753" s="1"/>
      <c r="F753" s="1"/>
    </row>
    <row r="754" spans="1:6" ht="21.75" customHeight="1" x14ac:dyDescent="0.6">
      <c r="A754" s="1"/>
      <c r="B754" s="5"/>
      <c r="C754" s="1"/>
      <c r="D754" s="38"/>
      <c r="E754" s="1"/>
      <c r="F754" s="1"/>
    </row>
    <row r="755" spans="1:6" ht="21.75" customHeight="1" x14ac:dyDescent="0.6">
      <c r="A755" s="1"/>
      <c r="B755" s="5"/>
      <c r="C755" s="1"/>
      <c r="D755" s="38"/>
      <c r="E755" s="1"/>
      <c r="F755" s="1"/>
    </row>
    <row r="756" spans="1:6" ht="21.75" customHeight="1" x14ac:dyDescent="0.6">
      <c r="A756" s="1"/>
      <c r="B756" s="5"/>
      <c r="C756" s="1"/>
      <c r="D756" s="38"/>
      <c r="E756" s="1"/>
      <c r="F756" s="1"/>
    </row>
    <row r="757" spans="1:6" ht="21.75" customHeight="1" x14ac:dyDescent="0.6">
      <c r="A757" s="1"/>
      <c r="B757" s="5"/>
      <c r="C757" s="1"/>
      <c r="D757" s="38"/>
      <c r="E757" s="1"/>
      <c r="F757" s="1"/>
    </row>
    <row r="758" spans="1:6" ht="21.75" customHeight="1" x14ac:dyDescent="0.6">
      <c r="A758" s="1"/>
      <c r="B758" s="5"/>
      <c r="C758" s="1"/>
      <c r="D758" s="38"/>
      <c r="E758" s="1"/>
      <c r="F758" s="1"/>
    </row>
    <row r="759" spans="1:6" ht="21.75" customHeight="1" x14ac:dyDescent="0.6">
      <c r="A759" s="1"/>
      <c r="B759" s="5"/>
      <c r="C759" s="1"/>
      <c r="D759" s="38"/>
      <c r="E759" s="1"/>
      <c r="F759" s="1"/>
    </row>
    <row r="760" spans="1:6" ht="21.75" customHeight="1" x14ac:dyDescent="0.6">
      <c r="A760" s="1"/>
      <c r="B760" s="5"/>
      <c r="C760" s="1"/>
      <c r="D760" s="38"/>
      <c r="E760" s="1"/>
      <c r="F760" s="1"/>
    </row>
    <row r="761" spans="1:6" ht="21.75" customHeight="1" x14ac:dyDescent="0.6">
      <c r="A761" s="1"/>
      <c r="B761" s="5"/>
      <c r="C761" s="1"/>
      <c r="D761" s="38"/>
      <c r="E761" s="1"/>
      <c r="F761" s="1"/>
    </row>
    <row r="762" spans="1:6" ht="21.75" customHeight="1" x14ac:dyDescent="0.6">
      <c r="A762" s="1"/>
      <c r="B762" s="5"/>
      <c r="C762" s="1"/>
      <c r="D762" s="38"/>
      <c r="E762" s="1"/>
      <c r="F762" s="1"/>
    </row>
    <row r="763" spans="1:6" ht="21.75" customHeight="1" x14ac:dyDescent="0.6">
      <c r="A763" s="1"/>
      <c r="B763" s="5"/>
      <c r="C763" s="1"/>
      <c r="D763" s="38"/>
      <c r="E763" s="1"/>
      <c r="F763" s="1"/>
    </row>
    <row r="764" spans="1:6" ht="21.75" customHeight="1" x14ac:dyDescent="0.6">
      <c r="A764" s="1"/>
      <c r="B764" s="5"/>
      <c r="C764" s="1"/>
      <c r="D764" s="38"/>
      <c r="E764" s="1"/>
      <c r="F764" s="1"/>
    </row>
    <row r="765" spans="1:6" ht="21.75" customHeight="1" x14ac:dyDescent="0.6">
      <c r="A765" s="1"/>
      <c r="B765" s="5"/>
      <c r="C765" s="1"/>
      <c r="D765" s="38"/>
      <c r="E765" s="1"/>
      <c r="F765" s="1"/>
    </row>
    <row r="766" spans="1:6" ht="21.75" customHeight="1" x14ac:dyDescent="0.6">
      <c r="A766" s="1"/>
      <c r="B766" s="5"/>
      <c r="C766" s="1"/>
      <c r="D766" s="38"/>
      <c r="E766" s="1"/>
      <c r="F766" s="1"/>
    </row>
    <row r="767" spans="1:6" ht="21.75" customHeight="1" x14ac:dyDescent="0.6">
      <c r="A767" s="1"/>
      <c r="B767" s="5"/>
      <c r="C767" s="1"/>
      <c r="D767" s="38"/>
      <c r="E767" s="1"/>
      <c r="F767" s="1"/>
    </row>
    <row r="768" spans="1:6" ht="21.75" customHeight="1" x14ac:dyDescent="0.6">
      <c r="A768" s="1"/>
      <c r="B768" s="5"/>
      <c r="C768" s="1"/>
      <c r="D768" s="38"/>
      <c r="E768" s="1"/>
      <c r="F768" s="1"/>
    </row>
    <row r="769" spans="1:6" ht="21.75" customHeight="1" x14ac:dyDescent="0.6">
      <c r="A769" s="1"/>
      <c r="B769" s="5"/>
      <c r="C769" s="1"/>
      <c r="D769" s="38"/>
      <c r="E769" s="1"/>
      <c r="F769" s="1"/>
    </row>
    <row r="770" spans="1:6" ht="21.75" customHeight="1" x14ac:dyDescent="0.6">
      <c r="A770" s="1"/>
      <c r="B770" s="5"/>
      <c r="C770" s="1"/>
      <c r="D770" s="38"/>
      <c r="E770" s="1"/>
      <c r="F770" s="1"/>
    </row>
    <row r="771" spans="1:6" ht="21.75" customHeight="1" x14ac:dyDescent="0.6">
      <c r="A771" s="1"/>
      <c r="B771" s="5"/>
      <c r="C771" s="1"/>
      <c r="D771" s="38"/>
      <c r="E771" s="1"/>
      <c r="F771" s="1"/>
    </row>
    <row r="772" spans="1:6" ht="21.75" customHeight="1" x14ac:dyDescent="0.6">
      <c r="A772" s="1"/>
      <c r="B772" s="5"/>
      <c r="C772" s="1"/>
      <c r="D772" s="38"/>
      <c r="E772" s="1"/>
      <c r="F772" s="1"/>
    </row>
    <row r="773" spans="1:6" ht="21.75" customHeight="1" x14ac:dyDescent="0.6">
      <c r="A773" s="1"/>
      <c r="B773" s="5"/>
      <c r="C773" s="1"/>
      <c r="D773" s="38"/>
      <c r="E773" s="1"/>
      <c r="F773" s="1"/>
    </row>
    <row r="774" spans="1:6" ht="21.75" customHeight="1" x14ac:dyDescent="0.6">
      <c r="A774" s="1"/>
      <c r="B774" s="5"/>
      <c r="C774" s="1"/>
      <c r="D774" s="38"/>
      <c r="E774" s="1"/>
      <c r="F774" s="1"/>
    </row>
    <row r="775" spans="1:6" ht="21.75" customHeight="1" x14ac:dyDescent="0.6">
      <c r="A775" s="1"/>
      <c r="B775" s="5"/>
      <c r="C775" s="1"/>
      <c r="D775" s="38"/>
      <c r="E775" s="1"/>
      <c r="F775" s="1"/>
    </row>
    <row r="776" spans="1:6" ht="21.75" customHeight="1" x14ac:dyDescent="0.6">
      <c r="A776" s="1"/>
      <c r="B776" s="5"/>
      <c r="C776" s="1"/>
      <c r="D776" s="38"/>
      <c r="E776" s="1"/>
      <c r="F776" s="1"/>
    </row>
    <row r="777" spans="1:6" ht="21.75" customHeight="1" x14ac:dyDescent="0.6">
      <c r="A777" s="1"/>
      <c r="B777" s="5"/>
      <c r="C777" s="1"/>
      <c r="D777" s="38"/>
      <c r="E777" s="1"/>
      <c r="F777" s="1"/>
    </row>
    <row r="778" spans="1:6" ht="21.75" customHeight="1" x14ac:dyDescent="0.6">
      <c r="A778" s="1"/>
      <c r="B778" s="5"/>
      <c r="C778" s="1"/>
      <c r="D778" s="38"/>
      <c r="E778" s="1"/>
      <c r="F778" s="1"/>
    </row>
    <row r="779" spans="1:6" ht="21.75" customHeight="1" x14ac:dyDescent="0.6">
      <c r="A779" s="1"/>
      <c r="B779" s="5"/>
      <c r="C779" s="1"/>
      <c r="D779" s="38"/>
      <c r="E779" s="1"/>
      <c r="F779" s="1"/>
    </row>
    <row r="780" spans="1:6" ht="21.75" customHeight="1" x14ac:dyDescent="0.6">
      <c r="A780" s="1"/>
      <c r="B780" s="5"/>
      <c r="C780" s="1"/>
      <c r="D780" s="38"/>
      <c r="E780" s="1"/>
      <c r="F780" s="1"/>
    </row>
    <row r="781" spans="1:6" ht="21.75" customHeight="1" x14ac:dyDescent="0.6">
      <c r="A781" s="1"/>
      <c r="B781" s="5"/>
      <c r="C781" s="1"/>
      <c r="D781" s="38"/>
      <c r="E781" s="1"/>
      <c r="F781" s="1"/>
    </row>
    <row r="782" spans="1:6" ht="21.75" customHeight="1" x14ac:dyDescent="0.6">
      <c r="A782" s="1"/>
      <c r="B782" s="5"/>
      <c r="C782" s="1"/>
      <c r="D782" s="38"/>
      <c r="E782" s="1"/>
      <c r="F782" s="1"/>
    </row>
    <row r="783" spans="1:6" ht="21.75" customHeight="1" x14ac:dyDescent="0.6">
      <c r="A783" s="1"/>
      <c r="B783" s="5"/>
      <c r="C783" s="1"/>
      <c r="D783" s="38"/>
      <c r="E783" s="1"/>
      <c r="F783" s="1"/>
    </row>
    <row r="784" spans="1:6" ht="21.75" customHeight="1" x14ac:dyDescent="0.6">
      <c r="A784" s="1"/>
      <c r="B784" s="5"/>
      <c r="C784" s="1"/>
      <c r="D784" s="38"/>
      <c r="E784" s="1"/>
      <c r="F784" s="1"/>
    </row>
    <row r="785" spans="1:6" ht="21.75" customHeight="1" x14ac:dyDescent="0.6">
      <c r="A785" s="1"/>
      <c r="B785" s="5"/>
      <c r="C785" s="1"/>
      <c r="D785" s="38"/>
      <c r="E785" s="1"/>
      <c r="F785" s="1"/>
    </row>
    <row r="786" spans="1:6" ht="21.75" customHeight="1" x14ac:dyDescent="0.6">
      <c r="A786" s="1"/>
      <c r="B786" s="5"/>
      <c r="C786" s="1"/>
      <c r="D786" s="38"/>
      <c r="E786" s="1"/>
      <c r="F786" s="1"/>
    </row>
    <row r="787" spans="1:6" ht="21.75" customHeight="1" x14ac:dyDescent="0.6">
      <c r="A787" s="1"/>
      <c r="B787" s="5"/>
      <c r="C787" s="1"/>
      <c r="D787" s="38"/>
      <c r="E787" s="1"/>
      <c r="F787" s="1"/>
    </row>
    <row r="788" spans="1:6" ht="21.75" customHeight="1" x14ac:dyDescent="0.6">
      <c r="A788" s="1"/>
      <c r="B788" s="5"/>
      <c r="C788" s="1"/>
      <c r="D788" s="38"/>
      <c r="E788" s="1"/>
      <c r="F788" s="1"/>
    </row>
    <row r="789" spans="1:6" ht="21.75" customHeight="1" x14ac:dyDescent="0.6">
      <c r="A789" s="1"/>
      <c r="B789" s="5"/>
      <c r="C789" s="1"/>
      <c r="D789" s="38"/>
      <c r="E789" s="1"/>
      <c r="F789" s="1"/>
    </row>
    <row r="790" spans="1:6" ht="21.75" customHeight="1" x14ac:dyDescent="0.6">
      <c r="A790" s="1"/>
      <c r="B790" s="5"/>
      <c r="C790" s="1"/>
      <c r="D790" s="38"/>
      <c r="E790" s="1"/>
      <c r="F790" s="1"/>
    </row>
    <row r="791" spans="1:6" ht="21.75" customHeight="1" x14ac:dyDescent="0.6">
      <c r="A791" s="1"/>
      <c r="B791" s="5"/>
      <c r="C791" s="1"/>
      <c r="D791" s="38"/>
      <c r="E791" s="1"/>
      <c r="F791" s="1"/>
    </row>
    <row r="792" spans="1:6" ht="21.75" customHeight="1" x14ac:dyDescent="0.6">
      <c r="A792" s="1"/>
      <c r="B792" s="5"/>
      <c r="C792" s="1"/>
      <c r="D792" s="38"/>
      <c r="E792" s="1"/>
      <c r="F792" s="1"/>
    </row>
    <row r="793" spans="1:6" ht="21.75" customHeight="1" x14ac:dyDescent="0.6">
      <c r="A793" s="1"/>
      <c r="B793" s="5"/>
      <c r="C793" s="1"/>
      <c r="D793" s="38"/>
      <c r="E793" s="1"/>
      <c r="F793" s="1"/>
    </row>
    <row r="794" spans="1:6" ht="21.75" customHeight="1" x14ac:dyDescent="0.6">
      <c r="A794" s="1"/>
      <c r="B794" s="5"/>
      <c r="C794" s="1"/>
      <c r="D794" s="38"/>
      <c r="E794" s="1"/>
      <c r="F794" s="1"/>
    </row>
    <row r="795" spans="1:6" ht="21.75" customHeight="1" x14ac:dyDescent="0.6">
      <c r="A795" s="1"/>
      <c r="B795" s="5"/>
      <c r="C795" s="1"/>
      <c r="D795" s="38"/>
      <c r="E795" s="1"/>
      <c r="F795" s="1"/>
    </row>
    <row r="796" spans="1:6" ht="21.75" customHeight="1" x14ac:dyDescent="0.6">
      <c r="A796" s="1"/>
      <c r="B796" s="5"/>
      <c r="C796" s="1"/>
      <c r="D796" s="38"/>
      <c r="E796" s="1"/>
      <c r="F796" s="1"/>
    </row>
    <row r="797" spans="1:6" ht="21.75" customHeight="1" x14ac:dyDescent="0.6">
      <c r="A797" s="1"/>
      <c r="B797" s="5"/>
      <c r="C797" s="1"/>
      <c r="D797" s="38"/>
      <c r="E797" s="1"/>
      <c r="F797" s="1"/>
    </row>
    <row r="798" spans="1:6" ht="21.75" customHeight="1" x14ac:dyDescent="0.6">
      <c r="A798" s="1"/>
      <c r="B798" s="5"/>
      <c r="C798" s="1"/>
      <c r="D798" s="38"/>
      <c r="E798" s="1"/>
      <c r="F798" s="1"/>
    </row>
    <row r="799" spans="1:6" ht="21.75" customHeight="1" x14ac:dyDescent="0.6">
      <c r="A799" s="1"/>
      <c r="B799" s="5"/>
      <c r="C799" s="1"/>
      <c r="D799" s="38"/>
      <c r="E799" s="1"/>
      <c r="F799" s="1"/>
    </row>
    <row r="800" spans="1:6" ht="21.75" customHeight="1" x14ac:dyDescent="0.6">
      <c r="A800" s="1"/>
      <c r="B800" s="5"/>
      <c r="C800" s="1"/>
      <c r="D800" s="38"/>
      <c r="E800" s="1"/>
      <c r="F800" s="1"/>
    </row>
    <row r="801" spans="1:6" ht="21.75" customHeight="1" x14ac:dyDescent="0.6">
      <c r="A801" s="1"/>
      <c r="B801" s="5"/>
      <c r="C801" s="1"/>
      <c r="D801" s="38"/>
      <c r="E801" s="1"/>
      <c r="F801" s="1"/>
    </row>
    <row r="802" spans="1:6" ht="21.75" customHeight="1" x14ac:dyDescent="0.6">
      <c r="A802" s="1"/>
      <c r="B802" s="5"/>
      <c r="C802" s="1"/>
      <c r="D802" s="38"/>
      <c r="E802" s="1"/>
      <c r="F802" s="1"/>
    </row>
    <row r="803" spans="1:6" ht="21.75" customHeight="1" x14ac:dyDescent="0.6">
      <c r="A803" s="1"/>
      <c r="B803" s="5"/>
      <c r="C803" s="1"/>
      <c r="D803" s="38"/>
      <c r="E803" s="1"/>
      <c r="F803" s="1"/>
    </row>
    <row r="804" spans="1:6" ht="21.75" customHeight="1" x14ac:dyDescent="0.6">
      <c r="A804" s="1"/>
      <c r="B804" s="5"/>
      <c r="C804" s="1"/>
      <c r="D804" s="38"/>
      <c r="E804" s="1"/>
      <c r="F804" s="1"/>
    </row>
    <row r="805" spans="1:6" ht="21.75" customHeight="1" x14ac:dyDescent="0.6">
      <c r="A805" s="1"/>
      <c r="B805" s="5"/>
      <c r="C805" s="1"/>
      <c r="D805" s="38"/>
      <c r="E805" s="1"/>
      <c r="F805" s="1"/>
    </row>
    <row r="806" spans="1:6" ht="21.75" customHeight="1" x14ac:dyDescent="0.6">
      <c r="A806" s="1"/>
      <c r="B806" s="5"/>
      <c r="C806" s="1"/>
      <c r="D806" s="38"/>
      <c r="E806" s="1"/>
      <c r="F806" s="1"/>
    </row>
    <row r="807" spans="1:6" ht="21.75" customHeight="1" x14ac:dyDescent="0.6">
      <c r="A807" s="1"/>
      <c r="B807" s="5"/>
      <c r="C807" s="1"/>
      <c r="D807" s="38"/>
      <c r="E807" s="1"/>
      <c r="F807" s="1"/>
    </row>
    <row r="808" spans="1:6" ht="21.75" customHeight="1" x14ac:dyDescent="0.6">
      <c r="A808" s="1"/>
      <c r="B808" s="5"/>
      <c r="C808" s="1"/>
      <c r="D808" s="38"/>
      <c r="E808" s="1"/>
      <c r="F808" s="1"/>
    </row>
    <row r="809" spans="1:6" ht="21.75" customHeight="1" x14ac:dyDescent="0.6">
      <c r="A809" s="1"/>
      <c r="B809" s="5"/>
      <c r="C809" s="1"/>
      <c r="D809" s="38"/>
      <c r="E809" s="1"/>
      <c r="F809" s="1"/>
    </row>
    <row r="810" spans="1:6" ht="21.75" customHeight="1" x14ac:dyDescent="0.6">
      <c r="A810" s="1"/>
      <c r="B810" s="5"/>
      <c r="C810" s="1"/>
      <c r="D810" s="38"/>
      <c r="E810" s="1"/>
      <c r="F810" s="1"/>
    </row>
    <row r="811" spans="1:6" ht="21.75" customHeight="1" x14ac:dyDescent="0.6">
      <c r="A811" s="1"/>
      <c r="B811" s="5"/>
      <c r="C811" s="1"/>
      <c r="D811" s="38"/>
      <c r="E811" s="1"/>
      <c r="F811" s="1"/>
    </row>
    <row r="812" spans="1:6" ht="21.75" customHeight="1" x14ac:dyDescent="0.6">
      <c r="A812" s="1"/>
      <c r="B812" s="5"/>
      <c r="C812" s="1"/>
      <c r="D812" s="38"/>
      <c r="E812" s="1"/>
      <c r="F812" s="1"/>
    </row>
    <row r="813" spans="1:6" ht="21.75" customHeight="1" x14ac:dyDescent="0.6">
      <c r="A813" s="1"/>
      <c r="B813" s="5"/>
      <c r="C813" s="1"/>
      <c r="D813" s="38"/>
      <c r="E813" s="1"/>
      <c r="F813" s="1"/>
    </row>
    <row r="814" spans="1:6" ht="21.75" customHeight="1" x14ac:dyDescent="0.6">
      <c r="A814" s="1"/>
      <c r="B814" s="5"/>
      <c r="C814" s="1"/>
      <c r="D814" s="38"/>
      <c r="E814" s="1"/>
      <c r="F814" s="1"/>
    </row>
    <row r="815" spans="1:6" ht="21.75" customHeight="1" x14ac:dyDescent="0.6">
      <c r="A815" s="1"/>
      <c r="B815" s="5"/>
      <c r="C815" s="1"/>
      <c r="D815" s="38"/>
      <c r="E815" s="1"/>
      <c r="F815" s="1"/>
    </row>
    <row r="816" spans="1:6" ht="21.75" customHeight="1" x14ac:dyDescent="0.6">
      <c r="A816" s="1"/>
      <c r="B816" s="5"/>
      <c r="C816" s="1"/>
      <c r="D816" s="38"/>
      <c r="E816" s="1"/>
      <c r="F816" s="1"/>
    </row>
    <row r="817" spans="1:6" ht="21.75" customHeight="1" x14ac:dyDescent="0.6">
      <c r="A817" s="1"/>
      <c r="B817" s="5"/>
      <c r="C817" s="1"/>
      <c r="D817" s="38"/>
      <c r="E817" s="1"/>
      <c r="F817" s="1"/>
    </row>
    <row r="818" spans="1:6" ht="21.75" customHeight="1" x14ac:dyDescent="0.6">
      <c r="A818" s="1"/>
      <c r="B818" s="5"/>
      <c r="C818" s="1"/>
      <c r="D818" s="38"/>
      <c r="E818" s="1"/>
      <c r="F818" s="1"/>
    </row>
    <row r="819" spans="1:6" ht="21.75" customHeight="1" x14ac:dyDescent="0.6">
      <c r="A819" s="1"/>
      <c r="B819" s="5"/>
      <c r="C819" s="1"/>
      <c r="D819" s="38"/>
      <c r="E819" s="1"/>
      <c r="F819" s="1"/>
    </row>
    <row r="820" spans="1:6" ht="21.75" customHeight="1" x14ac:dyDescent="0.6">
      <c r="A820" s="1"/>
      <c r="B820" s="5"/>
      <c r="C820" s="1"/>
      <c r="D820" s="38"/>
      <c r="E820" s="1"/>
      <c r="F820" s="1"/>
    </row>
    <row r="821" spans="1:6" ht="21.75" customHeight="1" x14ac:dyDescent="0.6">
      <c r="A821" s="1"/>
      <c r="B821" s="5"/>
      <c r="C821" s="1"/>
      <c r="D821" s="38"/>
      <c r="E821" s="1"/>
      <c r="F821" s="1"/>
    </row>
    <row r="822" spans="1:6" ht="21.75" customHeight="1" x14ac:dyDescent="0.6">
      <c r="A822" s="1"/>
      <c r="B822" s="5"/>
      <c r="C822" s="1"/>
      <c r="D822" s="38"/>
      <c r="E822" s="1"/>
      <c r="F822" s="1"/>
    </row>
    <row r="823" spans="1:6" ht="21.75" customHeight="1" x14ac:dyDescent="0.6">
      <c r="A823" s="1"/>
      <c r="B823" s="5"/>
      <c r="C823" s="1"/>
      <c r="D823" s="38"/>
      <c r="E823" s="1"/>
      <c r="F823" s="1"/>
    </row>
    <row r="824" spans="1:6" ht="21.75" customHeight="1" x14ac:dyDescent="0.6">
      <c r="A824" s="1"/>
      <c r="B824" s="5"/>
      <c r="C824" s="1"/>
      <c r="D824" s="38"/>
      <c r="E824" s="1"/>
      <c r="F824" s="1"/>
    </row>
    <row r="825" spans="1:6" ht="21.75" customHeight="1" x14ac:dyDescent="0.6">
      <c r="A825" s="1"/>
      <c r="B825" s="5"/>
      <c r="C825" s="1"/>
      <c r="D825" s="38"/>
      <c r="E825" s="1"/>
      <c r="F825" s="1"/>
    </row>
    <row r="826" spans="1:6" ht="21.75" customHeight="1" x14ac:dyDescent="0.6">
      <c r="A826" s="1"/>
      <c r="B826" s="5"/>
      <c r="C826" s="1"/>
      <c r="D826" s="38"/>
      <c r="E826" s="1"/>
      <c r="F826" s="1"/>
    </row>
    <row r="827" spans="1:6" ht="21.75" customHeight="1" x14ac:dyDescent="0.6">
      <c r="A827" s="1"/>
      <c r="B827" s="5"/>
      <c r="C827" s="1"/>
      <c r="D827" s="38"/>
      <c r="E827" s="1"/>
      <c r="F827" s="1"/>
    </row>
    <row r="828" spans="1:6" ht="21.75" customHeight="1" x14ac:dyDescent="0.6">
      <c r="A828" s="1"/>
      <c r="B828" s="5"/>
      <c r="C828" s="1"/>
      <c r="D828" s="38"/>
      <c r="E828" s="1"/>
      <c r="F828" s="1"/>
    </row>
    <row r="829" spans="1:6" ht="21.75" customHeight="1" x14ac:dyDescent="0.6">
      <c r="A829" s="1"/>
      <c r="B829" s="5"/>
      <c r="C829" s="1"/>
      <c r="D829" s="38"/>
      <c r="E829" s="1"/>
      <c r="F829" s="1"/>
    </row>
    <row r="830" spans="1:6" ht="21.75" customHeight="1" x14ac:dyDescent="0.6">
      <c r="A830" s="1"/>
      <c r="B830" s="5"/>
      <c r="C830" s="1"/>
      <c r="D830" s="38"/>
      <c r="E830" s="1"/>
      <c r="F830" s="1"/>
    </row>
    <row r="831" spans="1:6" ht="21.75" customHeight="1" x14ac:dyDescent="0.6">
      <c r="A831" s="1"/>
      <c r="B831" s="5"/>
      <c r="C831" s="1"/>
      <c r="D831" s="38"/>
      <c r="E831" s="1"/>
      <c r="F831" s="1"/>
    </row>
    <row r="832" spans="1:6" ht="21.75" customHeight="1" x14ac:dyDescent="0.6">
      <c r="A832" s="1"/>
      <c r="B832" s="5"/>
      <c r="C832" s="1"/>
      <c r="D832" s="38"/>
      <c r="E832" s="1"/>
      <c r="F832" s="1"/>
    </row>
    <row r="833" spans="1:6" ht="21.75" customHeight="1" x14ac:dyDescent="0.6">
      <c r="A833" s="1"/>
      <c r="B833" s="5"/>
      <c r="C833" s="1"/>
      <c r="D833" s="38"/>
      <c r="E833" s="1"/>
      <c r="F833" s="1"/>
    </row>
    <row r="834" spans="1:6" ht="21.75" customHeight="1" x14ac:dyDescent="0.6">
      <c r="A834" s="1"/>
      <c r="B834" s="5"/>
      <c r="C834" s="1"/>
      <c r="D834" s="38"/>
      <c r="E834" s="1"/>
      <c r="F834" s="1"/>
    </row>
    <row r="835" spans="1:6" ht="21.75" customHeight="1" x14ac:dyDescent="0.6">
      <c r="A835" s="1"/>
      <c r="B835" s="5"/>
      <c r="C835" s="1"/>
      <c r="D835" s="38"/>
      <c r="E835" s="1"/>
      <c r="F835" s="1"/>
    </row>
    <row r="836" spans="1:6" ht="21.75" customHeight="1" x14ac:dyDescent="0.6">
      <c r="A836" s="1"/>
      <c r="B836" s="5"/>
      <c r="C836" s="1"/>
      <c r="D836" s="38"/>
      <c r="E836" s="1"/>
      <c r="F836" s="1"/>
    </row>
    <row r="837" spans="1:6" ht="21.75" customHeight="1" x14ac:dyDescent="0.6">
      <c r="A837" s="1"/>
      <c r="B837" s="5"/>
      <c r="C837" s="1"/>
      <c r="D837" s="38"/>
      <c r="E837" s="1"/>
      <c r="F837" s="1"/>
    </row>
    <row r="838" spans="1:6" ht="21.75" customHeight="1" x14ac:dyDescent="0.6">
      <c r="A838" s="1"/>
      <c r="B838" s="5"/>
      <c r="C838" s="1"/>
      <c r="D838" s="38"/>
      <c r="E838" s="1"/>
      <c r="F838" s="1"/>
    </row>
    <row r="839" spans="1:6" ht="21.75" customHeight="1" x14ac:dyDescent="0.6">
      <c r="A839" s="1"/>
      <c r="B839" s="5"/>
      <c r="C839" s="1"/>
      <c r="D839" s="38"/>
      <c r="E839" s="1"/>
      <c r="F839" s="1"/>
    </row>
    <row r="840" spans="1:6" ht="21.75" customHeight="1" x14ac:dyDescent="0.6">
      <c r="A840" s="1"/>
      <c r="B840" s="5"/>
      <c r="C840" s="1"/>
      <c r="D840" s="38"/>
      <c r="E840" s="1"/>
      <c r="F840" s="1"/>
    </row>
    <row r="841" spans="1:6" ht="21.75" customHeight="1" x14ac:dyDescent="0.6">
      <c r="A841" s="1"/>
      <c r="B841" s="5"/>
      <c r="C841" s="1"/>
      <c r="D841" s="38"/>
      <c r="E841" s="1"/>
      <c r="F841" s="1"/>
    </row>
    <row r="842" spans="1:6" ht="21.75" customHeight="1" x14ac:dyDescent="0.6">
      <c r="A842" s="1"/>
      <c r="B842" s="5"/>
      <c r="C842" s="1"/>
      <c r="D842" s="38"/>
      <c r="E842" s="1"/>
      <c r="F842" s="1"/>
    </row>
    <row r="843" spans="1:6" ht="21.75" customHeight="1" x14ac:dyDescent="0.6">
      <c r="A843" s="1"/>
      <c r="B843" s="5"/>
      <c r="C843" s="1"/>
      <c r="D843" s="38"/>
      <c r="E843" s="1"/>
      <c r="F843" s="1"/>
    </row>
    <row r="844" spans="1:6" ht="21.75" customHeight="1" x14ac:dyDescent="0.6">
      <c r="A844" s="1"/>
      <c r="B844" s="5"/>
      <c r="C844" s="1"/>
      <c r="D844" s="38"/>
      <c r="E844" s="1"/>
      <c r="F844" s="1"/>
    </row>
    <row r="845" spans="1:6" ht="21.75" customHeight="1" x14ac:dyDescent="0.6">
      <c r="A845" s="1"/>
      <c r="B845" s="5"/>
      <c r="C845" s="1"/>
      <c r="D845" s="38"/>
      <c r="E845" s="1"/>
      <c r="F845" s="1"/>
    </row>
    <row r="846" spans="1:6" ht="21.75" customHeight="1" x14ac:dyDescent="0.6">
      <c r="A846" s="1"/>
      <c r="B846" s="5"/>
      <c r="C846" s="1"/>
      <c r="D846" s="38"/>
      <c r="E846" s="1"/>
      <c r="F846" s="1"/>
    </row>
    <row r="847" spans="1:6" ht="21.75" customHeight="1" x14ac:dyDescent="0.6">
      <c r="A847" s="1"/>
      <c r="B847" s="5"/>
      <c r="C847" s="1"/>
      <c r="D847" s="38"/>
      <c r="E847" s="1"/>
      <c r="F847" s="1"/>
    </row>
    <row r="848" spans="1:6" ht="21.75" customHeight="1" x14ac:dyDescent="0.6">
      <c r="A848" s="1"/>
      <c r="B848" s="5"/>
      <c r="C848" s="1"/>
      <c r="D848" s="38"/>
      <c r="E848" s="1"/>
      <c r="F848" s="1"/>
    </row>
    <row r="849" spans="1:6" ht="21.75" customHeight="1" x14ac:dyDescent="0.6">
      <c r="A849" s="1"/>
      <c r="B849" s="5"/>
      <c r="C849" s="1"/>
      <c r="D849" s="38"/>
      <c r="E849" s="1"/>
      <c r="F849" s="1"/>
    </row>
    <row r="850" spans="1:6" ht="21.75" customHeight="1" x14ac:dyDescent="0.6">
      <c r="A850" s="1"/>
      <c r="B850" s="5"/>
      <c r="C850" s="1"/>
      <c r="D850" s="38"/>
      <c r="E850" s="1"/>
      <c r="F850" s="1"/>
    </row>
    <row r="851" spans="1:6" ht="21.75" customHeight="1" x14ac:dyDescent="0.6">
      <c r="A851" s="1"/>
      <c r="B851" s="5"/>
      <c r="C851" s="1"/>
      <c r="D851" s="38"/>
      <c r="E851" s="1"/>
      <c r="F851" s="1"/>
    </row>
    <row r="852" spans="1:6" ht="21.75" customHeight="1" x14ac:dyDescent="0.6">
      <c r="A852" s="1"/>
      <c r="B852" s="5"/>
      <c r="C852" s="1"/>
      <c r="D852" s="38"/>
      <c r="E852" s="1"/>
      <c r="F852" s="1"/>
    </row>
    <row r="853" spans="1:6" ht="21.75" customHeight="1" x14ac:dyDescent="0.6">
      <c r="A853" s="1"/>
      <c r="B853" s="5"/>
      <c r="C853" s="1"/>
      <c r="D853" s="38"/>
      <c r="E853" s="1"/>
      <c r="F853" s="1"/>
    </row>
    <row r="854" spans="1:6" ht="21.75" customHeight="1" x14ac:dyDescent="0.6">
      <c r="A854" s="1"/>
      <c r="B854" s="5"/>
      <c r="C854" s="1"/>
      <c r="D854" s="38"/>
      <c r="E854" s="1"/>
      <c r="F854" s="1"/>
    </row>
    <row r="855" spans="1:6" ht="21.75" customHeight="1" x14ac:dyDescent="0.6">
      <c r="A855" s="1"/>
      <c r="B855" s="5"/>
      <c r="C855" s="1"/>
      <c r="D855" s="38"/>
      <c r="E855" s="1"/>
      <c r="F855" s="1"/>
    </row>
    <row r="856" spans="1:6" ht="21.75" customHeight="1" x14ac:dyDescent="0.6">
      <c r="A856" s="1"/>
      <c r="B856" s="5"/>
      <c r="C856" s="1"/>
      <c r="D856" s="38"/>
      <c r="E856" s="1"/>
      <c r="F856" s="1"/>
    </row>
    <row r="857" spans="1:6" ht="21.75" customHeight="1" x14ac:dyDescent="0.6">
      <c r="A857" s="1"/>
      <c r="B857" s="5"/>
      <c r="C857" s="1"/>
      <c r="D857" s="38"/>
      <c r="E857" s="1"/>
      <c r="F857" s="1"/>
    </row>
    <row r="858" spans="1:6" ht="21.75" customHeight="1" x14ac:dyDescent="0.6">
      <c r="A858" s="1"/>
      <c r="B858" s="5"/>
      <c r="C858" s="1"/>
      <c r="D858" s="38"/>
      <c r="E858" s="1"/>
      <c r="F858" s="1"/>
    </row>
    <row r="859" spans="1:6" ht="21.75" customHeight="1" x14ac:dyDescent="0.6">
      <c r="A859" s="1"/>
      <c r="B859" s="5"/>
      <c r="C859" s="1"/>
      <c r="D859" s="38"/>
      <c r="E859" s="1"/>
      <c r="F859" s="1"/>
    </row>
    <row r="860" spans="1:6" ht="21.75" customHeight="1" x14ac:dyDescent="0.6">
      <c r="A860" s="1"/>
      <c r="B860" s="5"/>
      <c r="C860" s="1"/>
      <c r="D860" s="38"/>
      <c r="E860" s="1"/>
      <c r="F860" s="1"/>
    </row>
    <row r="861" spans="1:6" ht="21.75" customHeight="1" x14ac:dyDescent="0.6">
      <c r="A861" s="1"/>
      <c r="B861" s="5"/>
      <c r="C861" s="1"/>
      <c r="D861" s="38"/>
      <c r="E861" s="1"/>
      <c r="F861" s="1"/>
    </row>
    <row r="862" spans="1:6" ht="21.75" customHeight="1" x14ac:dyDescent="0.6">
      <c r="A862" s="1"/>
      <c r="B862" s="5"/>
      <c r="C862" s="1"/>
      <c r="D862" s="38"/>
      <c r="E862" s="1"/>
      <c r="F862" s="1"/>
    </row>
    <row r="863" spans="1:6" ht="21.75" customHeight="1" x14ac:dyDescent="0.6">
      <c r="A863" s="1"/>
      <c r="B863" s="5"/>
      <c r="C863" s="1"/>
      <c r="D863" s="38"/>
      <c r="E863" s="1"/>
      <c r="F863" s="1"/>
    </row>
    <row r="864" spans="1:6" ht="21.75" customHeight="1" x14ac:dyDescent="0.6">
      <c r="A864" s="1"/>
      <c r="B864" s="5"/>
      <c r="C864" s="1"/>
      <c r="D864" s="38"/>
      <c r="E864" s="1"/>
      <c r="F864" s="1"/>
    </row>
    <row r="865" spans="1:6" ht="21.75" customHeight="1" x14ac:dyDescent="0.6">
      <c r="A865" s="1"/>
      <c r="B865" s="5"/>
      <c r="C865" s="1"/>
      <c r="D865" s="38"/>
      <c r="E865" s="1"/>
      <c r="F865" s="1"/>
    </row>
    <row r="866" spans="1:6" ht="21.75" customHeight="1" x14ac:dyDescent="0.6">
      <c r="A866" s="1"/>
      <c r="B866" s="5"/>
      <c r="C866" s="1"/>
      <c r="D866" s="38"/>
      <c r="E866" s="1"/>
      <c r="F866" s="1"/>
    </row>
    <row r="867" spans="1:6" ht="21.75" customHeight="1" x14ac:dyDescent="0.6">
      <c r="A867" s="1"/>
      <c r="B867" s="5"/>
      <c r="C867" s="1"/>
      <c r="D867" s="38"/>
      <c r="E867" s="1"/>
      <c r="F867" s="1"/>
    </row>
    <row r="868" spans="1:6" ht="21.75" customHeight="1" x14ac:dyDescent="0.6">
      <c r="A868" s="1"/>
      <c r="B868" s="5"/>
      <c r="C868" s="1"/>
      <c r="D868" s="38"/>
      <c r="E868" s="1"/>
      <c r="F868" s="1"/>
    </row>
    <row r="869" spans="1:6" ht="21.75" customHeight="1" x14ac:dyDescent="0.6">
      <c r="A869" s="1"/>
      <c r="B869" s="5"/>
      <c r="C869" s="1"/>
      <c r="D869" s="38"/>
      <c r="E869" s="1"/>
      <c r="F869" s="1"/>
    </row>
    <row r="870" spans="1:6" ht="21.75" customHeight="1" x14ac:dyDescent="0.6">
      <c r="A870" s="1"/>
      <c r="B870" s="5"/>
      <c r="C870" s="1"/>
      <c r="D870" s="38"/>
      <c r="E870" s="1"/>
      <c r="F870" s="1"/>
    </row>
    <row r="871" spans="1:6" ht="21.75" customHeight="1" x14ac:dyDescent="0.6">
      <c r="A871" s="1"/>
      <c r="B871" s="5"/>
      <c r="C871" s="1"/>
      <c r="D871" s="38"/>
      <c r="E871" s="1"/>
      <c r="F871" s="1"/>
    </row>
    <row r="872" spans="1:6" ht="21.75" customHeight="1" x14ac:dyDescent="0.6">
      <c r="A872" s="1"/>
      <c r="B872" s="5"/>
      <c r="C872" s="1"/>
      <c r="D872" s="38"/>
      <c r="E872" s="1"/>
      <c r="F872" s="1"/>
    </row>
    <row r="873" spans="1:6" ht="21.75" customHeight="1" x14ac:dyDescent="0.6">
      <c r="A873" s="1"/>
      <c r="B873" s="5"/>
      <c r="C873" s="1"/>
      <c r="D873" s="38"/>
      <c r="E873" s="1"/>
      <c r="F873" s="1"/>
    </row>
    <row r="874" spans="1:6" ht="21.75" customHeight="1" x14ac:dyDescent="0.6">
      <c r="A874" s="1"/>
      <c r="B874" s="5"/>
      <c r="C874" s="1"/>
      <c r="D874" s="38"/>
      <c r="E874" s="1"/>
      <c r="F874" s="1"/>
    </row>
    <row r="875" spans="1:6" ht="21.75" customHeight="1" x14ac:dyDescent="0.6">
      <c r="A875" s="1"/>
      <c r="B875" s="5"/>
      <c r="C875" s="1"/>
      <c r="D875" s="38"/>
      <c r="E875" s="1"/>
      <c r="F875" s="1"/>
    </row>
    <row r="876" spans="1:6" ht="21.75" customHeight="1" x14ac:dyDescent="0.6">
      <c r="A876" s="1"/>
      <c r="B876" s="5"/>
      <c r="C876" s="1"/>
      <c r="D876" s="38"/>
      <c r="E876" s="1"/>
      <c r="F876" s="1"/>
    </row>
    <row r="877" spans="1:6" ht="21.75" customHeight="1" x14ac:dyDescent="0.6">
      <c r="A877" s="1"/>
      <c r="B877" s="5"/>
      <c r="C877" s="1"/>
      <c r="D877" s="38"/>
      <c r="E877" s="1"/>
      <c r="F877" s="1"/>
    </row>
    <row r="878" spans="1:6" ht="21.75" customHeight="1" x14ac:dyDescent="0.6">
      <c r="A878" s="1"/>
      <c r="B878" s="5"/>
      <c r="C878" s="1"/>
      <c r="D878" s="38"/>
      <c r="E878" s="1"/>
      <c r="F878" s="1"/>
    </row>
    <row r="879" spans="1:6" ht="21.75" customHeight="1" x14ac:dyDescent="0.6">
      <c r="A879" s="1"/>
      <c r="B879" s="5"/>
      <c r="C879" s="1"/>
      <c r="D879" s="38"/>
      <c r="E879" s="1"/>
      <c r="F879" s="1"/>
    </row>
    <row r="880" spans="1:6" ht="21.75" customHeight="1" x14ac:dyDescent="0.6">
      <c r="A880" s="1"/>
      <c r="B880" s="5"/>
      <c r="C880" s="1"/>
      <c r="D880" s="38"/>
      <c r="E880" s="1"/>
      <c r="F880" s="1"/>
    </row>
    <row r="881" spans="1:6" ht="21.75" customHeight="1" x14ac:dyDescent="0.6">
      <c r="A881" s="1"/>
      <c r="B881" s="5"/>
      <c r="C881" s="1"/>
      <c r="D881" s="38"/>
      <c r="E881" s="1"/>
      <c r="F881" s="1"/>
    </row>
    <row r="882" spans="1:6" ht="21.75" customHeight="1" x14ac:dyDescent="0.6">
      <c r="A882" s="1"/>
      <c r="B882" s="5"/>
      <c r="C882" s="1"/>
      <c r="D882" s="38"/>
      <c r="E882" s="1"/>
      <c r="F882" s="1"/>
    </row>
    <row r="883" spans="1:6" ht="21.75" customHeight="1" x14ac:dyDescent="0.6">
      <c r="A883" s="1"/>
      <c r="B883" s="5"/>
      <c r="C883" s="1"/>
      <c r="D883" s="38"/>
      <c r="E883" s="1"/>
      <c r="F883" s="1"/>
    </row>
    <row r="884" spans="1:6" ht="21.75" customHeight="1" x14ac:dyDescent="0.6">
      <c r="A884" s="1"/>
      <c r="B884" s="5"/>
      <c r="C884" s="1"/>
      <c r="D884" s="38"/>
      <c r="E884" s="1"/>
      <c r="F884" s="1"/>
    </row>
    <row r="885" spans="1:6" ht="21.75" customHeight="1" x14ac:dyDescent="0.6">
      <c r="A885" s="1"/>
      <c r="B885" s="5"/>
      <c r="C885" s="1"/>
      <c r="D885" s="38"/>
      <c r="E885" s="1"/>
      <c r="F885" s="1"/>
    </row>
    <row r="886" spans="1:6" ht="21.75" customHeight="1" x14ac:dyDescent="0.6">
      <c r="A886" s="1"/>
      <c r="B886" s="5"/>
      <c r="C886" s="1"/>
      <c r="D886" s="38"/>
      <c r="E886" s="1"/>
      <c r="F886" s="1"/>
    </row>
    <row r="887" spans="1:6" ht="21.75" customHeight="1" x14ac:dyDescent="0.6">
      <c r="A887" s="1"/>
      <c r="B887" s="5"/>
      <c r="C887" s="1"/>
      <c r="D887" s="38"/>
      <c r="E887" s="1"/>
      <c r="F887" s="1"/>
    </row>
    <row r="888" spans="1:6" ht="21.75" customHeight="1" x14ac:dyDescent="0.6">
      <c r="A888" s="1"/>
      <c r="B888" s="5"/>
      <c r="C888" s="1"/>
      <c r="D888" s="38"/>
      <c r="E888" s="1"/>
      <c r="F888" s="1"/>
    </row>
    <row r="889" spans="1:6" ht="21.75" customHeight="1" x14ac:dyDescent="0.6">
      <c r="A889" s="1"/>
      <c r="B889" s="5"/>
      <c r="C889" s="1"/>
      <c r="D889" s="38"/>
      <c r="E889" s="1"/>
      <c r="F889" s="1"/>
    </row>
    <row r="890" spans="1:6" ht="21.75" customHeight="1" x14ac:dyDescent="0.6">
      <c r="A890" s="1"/>
      <c r="B890" s="5"/>
      <c r="C890" s="1"/>
      <c r="D890" s="38"/>
      <c r="E890" s="1"/>
      <c r="F890" s="1"/>
    </row>
    <row r="891" spans="1:6" ht="21.75" customHeight="1" x14ac:dyDescent="0.6">
      <c r="A891" s="1"/>
      <c r="B891" s="5"/>
      <c r="C891" s="1"/>
      <c r="D891" s="38"/>
      <c r="E891" s="1"/>
      <c r="F891" s="1"/>
    </row>
    <row r="892" spans="1:6" ht="21.75" customHeight="1" x14ac:dyDescent="0.6">
      <c r="A892" s="1"/>
      <c r="B892" s="5"/>
      <c r="C892" s="1"/>
      <c r="D892" s="38"/>
      <c r="E892" s="1"/>
      <c r="F892" s="1"/>
    </row>
    <row r="893" spans="1:6" ht="21.75" customHeight="1" x14ac:dyDescent="0.6">
      <c r="A893" s="1"/>
      <c r="B893" s="5"/>
      <c r="C893" s="1"/>
      <c r="D893" s="38"/>
      <c r="E893" s="1"/>
      <c r="F893" s="1"/>
    </row>
    <row r="894" spans="1:6" ht="21.75" customHeight="1" x14ac:dyDescent="0.6">
      <c r="A894" s="1"/>
      <c r="B894" s="5"/>
      <c r="C894" s="1"/>
      <c r="D894" s="38"/>
      <c r="E894" s="1"/>
      <c r="F894" s="1"/>
    </row>
    <row r="895" spans="1:6" ht="21.75" customHeight="1" x14ac:dyDescent="0.6">
      <c r="A895" s="1"/>
      <c r="B895" s="5"/>
      <c r="C895" s="1"/>
      <c r="D895" s="38"/>
      <c r="E895" s="1"/>
      <c r="F895" s="1"/>
    </row>
    <row r="896" spans="1:6" ht="21.75" customHeight="1" x14ac:dyDescent="0.6">
      <c r="A896" s="1"/>
      <c r="B896" s="5"/>
      <c r="C896" s="1"/>
      <c r="D896" s="38"/>
      <c r="E896" s="1"/>
      <c r="F896" s="1"/>
    </row>
    <row r="897" spans="1:6" ht="21.75" customHeight="1" x14ac:dyDescent="0.6">
      <c r="A897" s="1"/>
      <c r="B897" s="5"/>
      <c r="C897" s="1"/>
      <c r="D897" s="38"/>
      <c r="E897" s="1"/>
      <c r="F897" s="1"/>
    </row>
    <row r="898" spans="1:6" ht="21.75" customHeight="1" x14ac:dyDescent="0.6">
      <c r="A898" s="1"/>
      <c r="B898" s="5"/>
      <c r="C898" s="1"/>
      <c r="D898" s="38"/>
      <c r="E898" s="1"/>
      <c r="F898" s="1"/>
    </row>
    <row r="899" spans="1:6" ht="21.75" customHeight="1" x14ac:dyDescent="0.6">
      <c r="A899" s="1"/>
      <c r="B899" s="5"/>
      <c r="C899" s="1"/>
      <c r="D899" s="38"/>
      <c r="E899" s="1"/>
      <c r="F899" s="1"/>
    </row>
    <row r="900" spans="1:6" ht="21.75" customHeight="1" x14ac:dyDescent="0.6">
      <c r="A900" s="1"/>
      <c r="B900" s="5"/>
      <c r="C900" s="1"/>
      <c r="D900" s="38"/>
      <c r="E900" s="1"/>
      <c r="F900" s="1"/>
    </row>
    <row r="901" spans="1:6" ht="21.75" customHeight="1" x14ac:dyDescent="0.6">
      <c r="A901" s="1"/>
      <c r="B901" s="5"/>
      <c r="C901" s="1"/>
      <c r="D901" s="38"/>
      <c r="E901" s="1"/>
      <c r="F901" s="1"/>
    </row>
    <row r="902" spans="1:6" ht="21.75" customHeight="1" x14ac:dyDescent="0.6">
      <c r="A902" s="1"/>
      <c r="B902" s="5"/>
      <c r="C902" s="1"/>
      <c r="D902" s="38"/>
      <c r="E902" s="1"/>
      <c r="F902" s="1"/>
    </row>
    <row r="903" spans="1:6" ht="21.75" customHeight="1" x14ac:dyDescent="0.6">
      <c r="A903" s="1"/>
      <c r="B903" s="5"/>
      <c r="C903" s="1"/>
      <c r="D903" s="38"/>
      <c r="E903" s="1"/>
      <c r="F903" s="1"/>
    </row>
    <row r="904" spans="1:6" ht="21.75" customHeight="1" x14ac:dyDescent="0.6">
      <c r="A904" s="1"/>
      <c r="B904" s="5"/>
      <c r="C904" s="1"/>
      <c r="D904" s="38"/>
      <c r="E904" s="1"/>
      <c r="F904" s="1"/>
    </row>
    <row r="905" spans="1:6" ht="21.75" customHeight="1" x14ac:dyDescent="0.6">
      <c r="A905" s="1"/>
      <c r="B905" s="5"/>
      <c r="C905" s="1"/>
      <c r="D905" s="38"/>
      <c r="E905" s="1"/>
      <c r="F905" s="1"/>
    </row>
    <row r="906" spans="1:6" ht="21.75" customHeight="1" x14ac:dyDescent="0.6">
      <c r="A906" s="1"/>
      <c r="B906" s="5"/>
      <c r="C906" s="1"/>
      <c r="D906" s="38"/>
      <c r="E906" s="1"/>
      <c r="F906" s="1"/>
    </row>
    <row r="907" spans="1:6" ht="21.75" customHeight="1" x14ac:dyDescent="0.6">
      <c r="A907" s="1"/>
      <c r="B907" s="5"/>
      <c r="C907" s="1"/>
      <c r="D907" s="38"/>
      <c r="E907" s="1"/>
      <c r="F907" s="1"/>
    </row>
    <row r="908" spans="1:6" ht="21.75" customHeight="1" x14ac:dyDescent="0.6">
      <c r="A908" s="1"/>
      <c r="B908" s="5"/>
      <c r="C908" s="1"/>
      <c r="D908" s="38"/>
      <c r="E908" s="1"/>
      <c r="F908" s="1"/>
    </row>
    <row r="909" spans="1:6" ht="21.75" customHeight="1" x14ac:dyDescent="0.6">
      <c r="A909" s="1"/>
      <c r="B909" s="5"/>
      <c r="C909" s="1"/>
      <c r="D909" s="38"/>
      <c r="E909" s="1"/>
      <c r="F909" s="1"/>
    </row>
    <row r="910" spans="1:6" ht="21.75" customHeight="1" x14ac:dyDescent="0.6">
      <c r="A910" s="1"/>
      <c r="B910" s="5"/>
      <c r="C910" s="1"/>
      <c r="D910" s="38"/>
      <c r="E910" s="1"/>
      <c r="F910" s="1"/>
    </row>
    <row r="911" spans="1:6" ht="21.75" customHeight="1" x14ac:dyDescent="0.6">
      <c r="A911" s="1"/>
      <c r="B911" s="5"/>
      <c r="C911" s="1"/>
      <c r="D911" s="38"/>
      <c r="E911" s="1"/>
      <c r="F911" s="1"/>
    </row>
    <row r="912" spans="1:6" ht="21.75" customHeight="1" x14ac:dyDescent="0.6">
      <c r="A912" s="1"/>
      <c r="B912" s="5"/>
      <c r="C912" s="1"/>
      <c r="D912" s="38"/>
      <c r="E912" s="1"/>
      <c r="F912" s="1"/>
    </row>
    <row r="913" spans="1:6" ht="21.75" customHeight="1" x14ac:dyDescent="0.6">
      <c r="A913" s="1"/>
      <c r="B913" s="5"/>
      <c r="C913" s="1"/>
      <c r="D913" s="38"/>
      <c r="E913" s="1"/>
      <c r="F913" s="1"/>
    </row>
    <row r="914" spans="1:6" ht="21.75" customHeight="1" x14ac:dyDescent="0.6">
      <c r="A914" s="1"/>
      <c r="B914" s="5"/>
      <c r="C914" s="1"/>
      <c r="D914" s="38"/>
      <c r="E914" s="1"/>
      <c r="F914" s="1"/>
    </row>
    <row r="915" spans="1:6" ht="21.75" customHeight="1" x14ac:dyDescent="0.6">
      <c r="A915" s="1"/>
      <c r="B915" s="5"/>
      <c r="C915" s="1"/>
      <c r="D915" s="38"/>
      <c r="E915" s="1"/>
      <c r="F915" s="1"/>
    </row>
    <row r="916" spans="1:6" ht="21.75" customHeight="1" x14ac:dyDescent="0.6">
      <c r="A916" s="1"/>
      <c r="B916" s="5"/>
      <c r="C916" s="1"/>
      <c r="D916" s="38"/>
      <c r="E916" s="1"/>
      <c r="F916" s="1"/>
    </row>
    <row r="917" spans="1:6" ht="21.75" customHeight="1" x14ac:dyDescent="0.6">
      <c r="A917" s="1"/>
      <c r="B917" s="5"/>
      <c r="C917" s="1"/>
      <c r="D917" s="38"/>
      <c r="E917" s="1"/>
      <c r="F917" s="1"/>
    </row>
    <row r="918" spans="1:6" ht="21.75" customHeight="1" x14ac:dyDescent="0.6">
      <c r="A918" s="1"/>
      <c r="B918" s="5"/>
      <c r="C918" s="1"/>
      <c r="D918" s="38"/>
      <c r="E918" s="1"/>
      <c r="F918" s="1"/>
    </row>
    <row r="919" spans="1:6" ht="21.75" customHeight="1" x14ac:dyDescent="0.6">
      <c r="A919" s="1"/>
      <c r="B919" s="5"/>
      <c r="C919" s="1"/>
      <c r="D919" s="38"/>
      <c r="E919" s="1"/>
      <c r="F919" s="1"/>
    </row>
    <row r="920" spans="1:6" ht="21.75" customHeight="1" x14ac:dyDescent="0.6">
      <c r="A920" s="1"/>
      <c r="B920" s="5"/>
      <c r="C920" s="1"/>
      <c r="D920" s="38"/>
      <c r="E920" s="1"/>
      <c r="F920" s="1"/>
    </row>
    <row r="921" spans="1:6" ht="21.75" customHeight="1" x14ac:dyDescent="0.6">
      <c r="A921" s="1"/>
      <c r="B921" s="5"/>
      <c r="C921" s="1"/>
      <c r="D921" s="38"/>
      <c r="E921" s="1"/>
      <c r="F921" s="1"/>
    </row>
    <row r="922" spans="1:6" ht="21.75" customHeight="1" x14ac:dyDescent="0.6">
      <c r="A922" s="1"/>
      <c r="B922" s="5"/>
      <c r="C922" s="1"/>
      <c r="D922" s="38"/>
      <c r="E922" s="1"/>
      <c r="F922" s="1"/>
    </row>
    <row r="923" spans="1:6" ht="21.75" customHeight="1" x14ac:dyDescent="0.6">
      <c r="A923" s="1"/>
      <c r="B923" s="5"/>
      <c r="C923" s="1"/>
      <c r="D923" s="38"/>
      <c r="E923" s="1"/>
      <c r="F923" s="1"/>
    </row>
    <row r="924" spans="1:6" ht="21.75" customHeight="1" x14ac:dyDescent="0.6">
      <c r="A924" s="1"/>
      <c r="B924" s="5"/>
      <c r="C924" s="1"/>
      <c r="D924" s="38"/>
      <c r="E924" s="1"/>
      <c r="F924" s="1"/>
    </row>
    <row r="925" spans="1:6" ht="21.75" customHeight="1" x14ac:dyDescent="0.6">
      <c r="A925" s="1"/>
      <c r="B925" s="5"/>
      <c r="C925" s="1"/>
      <c r="D925" s="38"/>
      <c r="E925" s="1"/>
      <c r="F925" s="1"/>
    </row>
    <row r="926" spans="1:6" ht="21.75" customHeight="1" x14ac:dyDescent="0.6">
      <c r="A926" s="1"/>
      <c r="B926" s="5"/>
      <c r="C926" s="1"/>
      <c r="D926" s="38"/>
      <c r="E926" s="1"/>
      <c r="F926" s="1"/>
    </row>
    <row r="927" spans="1:6" ht="21.75" customHeight="1" x14ac:dyDescent="0.6">
      <c r="A927" s="1"/>
      <c r="B927" s="5"/>
      <c r="C927" s="1"/>
      <c r="D927" s="38"/>
      <c r="E927" s="1"/>
      <c r="F927" s="1"/>
    </row>
    <row r="928" spans="1:6" ht="21.75" customHeight="1" x14ac:dyDescent="0.6">
      <c r="A928" s="1"/>
      <c r="B928" s="5"/>
      <c r="C928" s="1"/>
      <c r="D928" s="38"/>
      <c r="E928" s="1"/>
      <c r="F928" s="1"/>
    </row>
    <row r="929" spans="1:6" ht="21.75" customHeight="1" x14ac:dyDescent="0.6">
      <c r="A929" s="1"/>
      <c r="B929" s="5"/>
      <c r="C929" s="1"/>
      <c r="D929" s="38"/>
      <c r="E929" s="1"/>
      <c r="F929" s="1"/>
    </row>
    <row r="930" spans="1:6" ht="21.75" customHeight="1" x14ac:dyDescent="0.6">
      <c r="A930" s="1"/>
      <c r="B930" s="5"/>
      <c r="C930" s="1"/>
      <c r="D930" s="38"/>
      <c r="E930" s="1"/>
      <c r="F930" s="1"/>
    </row>
    <row r="931" spans="1:6" ht="21.75" customHeight="1" x14ac:dyDescent="0.6">
      <c r="A931" s="1"/>
      <c r="B931" s="5"/>
      <c r="C931" s="1"/>
      <c r="D931" s="38"/>
      <c r="E931" s="1"/>
      <c r="F931" s="1"/>
    </row>
    <row r="932" spans="1:6" ht="21.75" customHeight="1" x14ac:dyDescent="0.6">
      <c r="A932" s="1"/>
      <c r="B932" s="5"/>
      <c r="C932" s="1"/>
      <c r="D932" s="38"/>
      <c r="E932" s="1"/>
      <c r="F932" s="1"/>
    </row>
    <row r="933" spans="1:6" ht="21.75" customHeight="1" x14ac:dyDescent="0.6">
      <c r="A933" s="1"/>
      <c r="B933" s="5"/>
      <c r="C933" s="1"/>
      <c r="D933" s="38"/>
      <c r="E933" s="1"/>
      <c r="F933" s="1"/>
    </row>
    <row r="934" spans="1:6" ht="21.75" customHeight="1" x14ac:dyDescent="0.6">
      <c r="A934" s="1"/>
      <c r="B934" s="5"/>
      <c r="C934" s="1"/>
      <c r="D934" s="38"/>
      <c r="E934" s="1"/>
      <c r="F934" s="1"/>
    </row>
    <row r="935" spans="1:6" ht="21.75" customHeight="1" x14ac:dyDescent="0.6">
      <c r="A935" s="1"/>
      <c r="B935" s="5"/>
      <c r="C935" s="1"/>
      <c r="D935" s="38"/>
      <c r="E935" s="1"/>
      <c r="F935" s="1"/>
    </row>
    <row r="936" spans="1:6" ht="21.75" customHeight="1" x14ac:dyDescent="0.6">
      <c r="A936" s="1"/>
      <c r="B936" s="5"/>
      <c r="C936" s="1"/>
      <c r="D936" s="38"/>
      <c r="E936" s="1"/>
      <c r="F936" s="1"/>
    </row>
    <row r="937" spans="1:6" ht="21.75" customHeight="1" x14ac:dyDescent="0.6">
      <c r="A937" s="1"/>
      <c r="B937" s="5"/>
      <c r="C937" s="1"/>
      <c r="D937" s="38"/>
      <c r="E937" s="1"/>
      <c r="F937" s="1"/>
    </row>
    <row r="938" spans="1:6" ht="21.75" customHeight="1" x14ac:dyDescent="0.6">
      <c r="A938" s="1"/>
      <c r="B938" s="5"/>
      <c r="C938" s="1"/>
      <c r="D938" s="38"/>
      <c r="E938" s="1"/>
      <c r="F938" s="1"/>
    </row>
    <row r="939" spans="1:6" ht="21.75" customHeight="1" x14ac:dyDescent="0.6">
      <c r="A939" s="1"/>
      <c r="B939" s="5"/>
      <c r="C939" s="1"/>
      <c r="D939" s="38"/>
      <c r="E939" s="1"/>
      <c r="F939" s="1"/>
    </row>
    <row r="940" spans="1:6" ht="21.75" customHeight="1" x14ac:dyDescent="0.6">
      <c r="A940" s="1"/>
      <c r="B940" s="5"/>
      <c r="C940" s="1"/>
      <c r="D940" s="38"/>
      <c r="E940" s="1"/>
      <c r="F940" s="1"/>
    </row>
    <row r="941" spans="1:6" ht="21.75" customHeight="1" x14ac:dyDescent="0.6">
      <c r="A941" s="1"/>
      <c r="B941" s="5"/>
      <c r="C941" s="1"/>
      <c r="D941" s="38"/>
      <c r="E941" s="1"/>
      <c r="F941" s="1"/>
    </row>
    <row r="942" spans="1:6" ht="21.75" customHeight="1" x14ac:dyDescent="0.6">
      <c r="A942" s="1"/>
      <c r="B942" s="5"/>
      <c r="C942" s="1"/>
      <c r="D942" s="38"/>
      <c r="E942" s="1"/>
      <c r="F942" s="1"/>
    </row>
    <row r="943" spans="1:6" ht="21.75" customHeight="1" x14ac:dyDescent="0.6">
      <c r="A943" s="1"/>
      <c r="B943" s="5"/>
      <c r="C943" s="1"/>
      <c r="D943" s="38"/>
      <c r="E943" s="1"/>
      <c r="F943" s="1"/>
    </row>
    <row r="944" spans="1:6" ht="21.75" customHeight="1" x14ac:dyDescent="0.6">
      <c r="A944" s="1"/>
      <c r="B944" s="5"/>
      <c r="C944" s="1"/>
      <c r="D944" s="38"/>
      <c r="E944" s="1"/>
      <c r="F944" s="1"/>
    </row>
    <row r="945" spans="1:6" ht="21.75" customHeight="1" x14ac:dyDescent="0.6">
      <c r="A945" s="1"/>
      <c r="B945" s="5"/>
      <c r="C945" s="1"/>
      <c r="D945" s="38"/>
      <c r="E945" s="1"/>
      <c r="F945" s="1"/>
    </row>
    <row r="946" spans="1:6" ht="21.75" customHeight="1" x14ac:dyDescent="0.6">
      <c r="A946" s="1"/>
      <c r="B946" s="5"/>
      <c r="C946" s="1"/>
      <c r="D946" s="38"/>
      <c r="E946" s="1"/>
      <c r="F946" s="1"/>
    </row>
    <row r="947" spans="1:6" ht="21.75" customHeight="1" x14ac:dyDescent="0.6">
      <c r="A947" s="1"/>
      <c r="B947" s="5"/>
      <c r="C947" s="1"/>
      <c r="D947" s="38"/>
      <c r="E947" s="1"/>
      <c r="F947" s="1"/>
    </row>
    <row r="948" spans="1:6" ht="21.75" customHeight="1" x14ac:dyDescent="0.6">
      <c r="A948" s="1"/>
      <c r="B948" s="5"/>
      <c r="C948" s="1"/>
      <c r="D948" s="38"/>
      <c r="E948" s="1"/>
      <c r="F948" s="1"/>
    </row>
    <row r="949" spans="1:6" ht="21.75" customHeight="1" x14ac:dyDescent="0.6">
      <c r="A949" s="1"/>
      <c r="B949" s="5"/>
      <c r="C949" s="1"/>
      <c r="D949" s="38"/>
      <c r="E949" s="1"/>
      <c r="F949" s="1"/>
    </row>
    <row r="950" spans="1:6" ht="21.75" customHeight="1" x14ac:dyDescent="0.6">
      <c r="A950" s="1"/>
      <c r="B950" s="5"/>
      <c r="C950" s="1"/>
      <c r="D950" s="38"/>
      <c r="E950" s="1"/>
      <c r="F950" s="1"/>
    </row>
    <row r="951" spans="1:6" ht="21.75" customHeight="1" x14ac:dyDescent="0.6">
      <c r="A951" s="1"/>
      <c r="B951" s="5"/>
      <c r="C951" s="1"/>
      <c r="D951" s="38"/>
      <c r="E951" s="1"/>
      <c r="F951" s="1"/>
    </row>
    <row r="952" spans="1:6" ht="21.75" customHeight="1" x14ac:dyDescent="0.6">
      <c r="A952" s="1"/>
      <c r="B952" s="5"/>
      <c r="C952" s="1"/>
      <c r="D952" s="38"/>
      <c r="E952" s="1"/>
      <c r="F952" s="1"/>
    </row>
    <row r="953" spans="1:6" ht="21.75" customHeight="1" x14ac:dyDescent="0.6">
      <c r="A953" s="1"/>
      <c r="B953" s="5"/>
      <c r="C953" s="1"/>
      <c r="D953" s="38"/>
      <c r="E953" s="1"/>
      <c r="F953" s="1"/>
    </row>
    <row r="954" spans="1:6" ht="21.75" customHeight="1" x14ac:dyDescent="0.6">
      <c r="A954" s="1"/>
      <c r="B954" s="5"/>
      <c r="C954" s="1"/>
      <c r="D954" s="38"/>
      <c r="E954" s="1"/>
      <c r="F954" s="1"/>
    </row>
    <row r="955" spans="1:6" ht="21.75" customHeight="1" x14ac:dyDescent="0.6">
      <c r="A955" s="1"/>
      <c r="B955" s="5"/>
      <c r="C955" s="1"/>
      <c r="D955" s="38"/>
      <c r="E955" s="1"/>
      <c r="F955" s="1"/>
    </row>
    <row r="956" spans="1:6" ht="21.75" customHeight="1" x14ac:dyDescent="0.6">
      <c r="A956" s="1"/>
      <c r="B956" s="5"/>
      <c r="C956" s="1"/>
      <c r="D956" s="38"/>
      <c r="E956" s="1"/>
      <c r="F956" s="1"/>
    </row>
    <row r="957" spans="1:6" ht="21.75" customHeight="1" x14ac:dyDescent="0.6">
      <c r="A957" s="1"/>
      <c r="B957" s="5"/>
      <c r="C957" s="1"/>
      <c r="E957" s="1"/>
      <c r="F957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0113-0FEA-44B4-89A6-F8995777B8A0}">
  <sheetPr>
    <tabColor rgb="FF92D050"/>
  </sheetPr>
  <dimension ref="A1:H956"/>
  <sheetViews>
    <sheetView topLeftCell="A10" zoomScale="85" zoomScaleNormal="85" workbookViewId="0">
      <selection sqref="A1:G20"/>
    </sheetView>
  </sheetViews>
  <sheetFormatPr defaultColWidth="14.42578125" defaultRowHeight="15" customHeight="1" x14ac:dyDescent="0.25"/>
  <cols>
    <col min="1" max="1" width="66.28515625" style="107" customWidth="1"/>
    <col min="2" max="2" width="22.85546875" style="107" bestFit="1" customWidth="1"/>
    <col min="3" max="3" width="16.140625" style="107" bestFit="1" customWidth="1"/>
    <col min="4" max="4" width="22.85546875" style="107" bestFit="1" customWidth="1"/>
    <col min="5" max="5" width="16.140625" style="107" bestFit="1" customWidth="1"/>
    <col min="6" max="6" width="26.7109375" style="107" customWidth="1"/>
    <col min="7" max="7" width="19.28515625" style="107" customWidth="1"/>
    <col min="8" max="8" width="62.42578125" style="231" customWidth="1"/>
    <col min="9" max="16384" width="14.42578125" style="107"/>
  </cols>
  <sheetData>
    <row r="1" spans="1:8" ht="16.5" customHeight="1" x14ac:dyDescent="0.25">
      <c r="A1" s="244" t="s">
        <v>0</v>
      </c>
      <c r="B1" s="246" t="s">
        <v>217</v>
      </c>
      <c r="C1" s="247"/>
      <c r="D1" s="246" t="s">
        <v>216</v>
      </c>
      <c r="E1" s="247"/>
      <c r="F1" s="248" t="s">
        <v>89</v>
      </c>
      <c r="G1" s="249"/>
      <c r="H1" s="238"/>
    </row>
    <row r="2" spans="1:8" ht="22.5" thickBot="1" x14ac:dyDescent="0.3">
      <c r="A2" s="245"/>
      <c r="B2" s="127" t="s">
        <v>88</v>
      </c>
      <c r="C2" s="126" t="s">
        <v>1</v>
      </c>
      <c r="D2" s="127" t="s">
        <v>88</v>
      </c>
      <c r="E2" s="126" t="s">
        <v>1</v>
      </c>
      <c r="F2" s="127" t="s">
        <v>88</v>
      </c>
      <c r="G2" s="126" t="s">
        <v>1</v>
      </c>
      <c r="H2" s="126" t="s">
        <v>90</v>
      </c>
    </row>
    <row r="3" spans="1:8" ht="19.5" x14ac:dyDescent="0.25">
      <c r="A3" s="147" t="s">
        <v>16</v>
      </c>
      <c r="B3" s="147">
        <f>[2]Versões!$D3</f>
        <v>7594518.5979153067</v>
      </c>
      <c r="C3" s="147">
        <f>B3/'SEM IMPREVISTOS'!$G$2</f>
        <v>486.73919174479704</v>
      </c>
      <c r="D3" s="147">
        <f>'GER_EXECUTIVO MEGA'!B2</f>
        <v>7713624.6351084877</v>
      </c>
      <c r="E3" s="147">
        <f>D3/'SEM IMPREVISTOS'!$G$2</f>
        <v>494.37279952755347</v>
      </c>
      <c r="F3" s="147">
        <f>D3-B3</f>
        <v>119106.03719318099</v>
      </c>
      <c r="G3" s="147">
        <f>E3-C3</f>
        <v>7.6336077827564282</v>
      </c>
      <c r="H3" s="147" t="s">
        <v>218</v>
      </c>
    </row>
    <row r="4" spans="1:8" ht="19.5" customHeight="1" x14ac:dyDescent="0.25">
      <c r="A4" s="148" t="s">
        <v>2</v>
      </c>
      <c r="B4" s="148">
        <f>[2]Versões!$D4</f>
        <v>1354048.7796026384</v>
      </c>
      <c r="C4" s="148">
        <f>B4/'SEM IMPREVISTOS'!$G$2</f>
        <v>86.782144262275054</v>
      </c>
      <c r="D4" s="148">
        <f>'GER_EXECUTIVO MEGA'!B3</f>
        <v>1415598.7796026384</v>
      </c>
      <c r="E4" s="148">
        <f>D4/'SEM IMPREVISTOS'!$G$2</f>
        <v>90.726936399608945</v>
      </c>
      <c r="F4" s="148">
        <f t="shared" ref="F4:G19" si="0">D4-B4</f>
        <v>61550</v>
      </c>
      <c r="G4" s="148">
        <f t="shared" si="0"/>
        <v>3.9447921373338914</v>
      </c>
      <c r="H4" s="148" t="s">
        <v>218</v>
      </c>
    </row>
    <row r="5" spans="1:8" ht="19.5" customHeight="1" x14ac:dyDescent="0.25">
      <c r="A5" s="149" t="s">
        <v>3</v>
      </c>
      <c r="B5" s="149">
        <f>[2]Versões!$D5</f>
        <v>0</v>
      </c>
      <c r="C5" s="149">
        <f>B5/'SEM IMPREVISTOS'!$G$2</f>
        <v>0</v>
      </c>
      <c r="D5" s="149"/>
      <c r="E5" s="149">
        <f>D5/'SEM IMPREVISTOS'!$G$2</f>
        <v>0</v>
      </c>
      <c r="F5" s="149">
        <f t="shared" si="0"/>
        <v>0</v>
      </c>
      <c r="G5" s="149">
        <f t="shared" si="0"/>
        <v>0</v>
      </c>
      <c r="H5" s="149" t="s">
        <v>218</v>
      </c>
    </row>
    <row r="6" spans="1:8" ht="19.5" customHeight="1" x14ac:dyDescent="0.25">
      <c r="A6" s="148" t="s">
        <v>105</v>
      </c>
      <c r="B6" s="148">
        <f>[2]Versões!$D6</f>
        <v>0</v>
      </c>
      <c r="C6" s="148">
        <f>B6/'SEM IMPREVISTOS'!$G$2</f>
        <v>0</v>
      </c>
      <c r="D6" s="148"/>
      <c r="E6" s="148">
        <f>D6/'SEM IMPREVISTOS'!$G$2</f>
        <v>0</v>
      </c>
      <c r="F6" s="148">
        <f t="shared" si="0"/>
        <v>0</v>
      </c>
      <c r="G6" s="148">
        <f t="shared" si="0"/>
        <v>0</v>
      </c>
      <c r="H6" s="148" t="s">
        <v>218</v>
      </c>
    </row>
    <row r="7" spans="1:8" ht="19.5" customHeight="1" x14ac:dyDescent="0.25">
      <c r="A7" s="149" t="s">
        <v>106</v>
      </c>
      <c r="B7" s="149">
        <f>[2]Versões!$D7</f>
        <v>18771638.048205078</v>
      </c>
      <c r="C7" s="149">
        <f>B7/'SEM IMPREVISTOS'!$G$2</f>
        <v>1203.0903359453612</v>
      </c>
      <c r="D7" s="149">
        <f>'GER_EXECUTIVO MEGA'!B4</f>
        <v>18749746.800203342</v>
      </c>
      <c r="E7" s="149">
        <f>D7/'SEM IMPREVISTOS'!$G$2</f>
        <v>1201.6873071396151</v>
      </c>
      <c r="F7" s="149">
        <f t="shared" si="0"/>
        <v>-21891.248001735657</v>
      </c>
      <c r="G7" s="149">
        <f t="shared" si="0"/>
        <v>-1.4030288057460893</v>
      </c>
      <c r="H7" s="149" t="s">
        <v>218</v>
      </c>
    </row>
    <row r="8" spans="1:8" ht="38.25" customHeight="1" x14ac:dyDescent="0.25">
      <c r="A8" s="148" t="s">
        <v>37</v>
      </c>
      <c r="B8" s="148">
        <f>[2]Versões!$D8</f>
        <v>3180040.0703387442</v>
      </c>
      <c r="C8" s="148">
        <f>B8/'SEM IMPREVISTOS'!$G$2</f>
        <v>203.81148766659578</v>
      </c>
      <c r="D8" s="148">
        <f>'GER_EXECUTIVO MEGA'!B5</f>
        <v>3110673.7711449144</v>
      </c>
      <c r="E8" s="148">
        <f>D8/'SEM IMPREVISTOS'!$G$2</f>
        <v>199.36574222945899</v>
      </c>
      <c r="F8" s="148">
        <f t="shared" si="0"/>
        <v>-69366.299193829764</v>
      </c>
      <c r="G8" s="148">
        <f t="shared" si="0"/>
        <v>-4.445745437136793</v>
      </c>
      <c r="H8" s="148" t="s">
        <v>218</v>
      </c>
    </row>
    <row r="9" spans="1:8" ht="39" customHeight="1" x14ac:dyDescent="0.25">
      <c r="A9" s="149" t="s">
        <v>107</v>
      </c>
      <c r="B9" s="149">
        <f>[2]Versões!$D9</f>
        <v>5644076.6621364187</v>
      </c>
      <c r="C9" s="149">
        <f>B9/'SEM IMPREVISTOS'!$G$2</f>
        <v>361.73370006994998</v>
      </c>
      <c r="D9" s="149">
        <f>'GER_EXECUTIVO MEGA'!B6</f>
        <v>6469375.6182627501</v>
      </c>
      <c r="E9" s="149">
        <f>D9/'SEM IMPREVISTOS'!$G$2</f>
        <v>414.62781596072193</v>
      </c>
      <c r="F9" s="149">
        <f t="shared" si="0"/>
        <v>825298.95612633135</v>
      </c>
      <c r="G9" s="149">
        <f t="shared" si="0"/>
        <v>52.894115890771957</v>
      </c>
      <c r="H9" s="149" t="s">
        <v>218</v>
      </c>
    </row>
    <row r="10" spans="1:8" ht="39" customHeight="1" x14ac:dyDescent="0.25">
      <c r="A10" s="148" t="s">
        <v>20</v>
      </c>
      <c r="B10" s="148">
        <f>[2]Versões!$D10</f>
        <v>2594727.6316552144</v>
      </c>
      <c r="C10" s="148">
        <f>B10/'SEM IMPREVISTOS'!$G$2</f>
        <v>166.29831291432106</v>
      </c>
      <c r="D10" s="148">
        <f>'GER_EXECUTIVO MEGA'!B7</f>
        <v>2701000.7036312595</v>
      </c>
      <c r="E10" s="148">
        <f>D10/'SEM IMPREVISTOS'!$G$2</f>
        <v>173.10944498160654</v>
      </c>
      <c r="F10" s="148">
        <f t="shared" si="0"/>
        <v>106273.07197604515</v>
      </c>
      <c r="G10" s="148">
        <f t="shared" si="0"/>
        <v>6.8111320672854845</v>
      </c>
      <c r="H10" s="148" t="s">
        <v>218</v>
      </c>
    </row>
    <row r="11" spans="1:8" ht="19.5" customHeight="1" x14ac:dyDescent="0.25">
      <c r="A11" s="149" t="s">
        <v>7</v>
      </c>
      <c r="B11" s="149">
        <f>[2]Versões!$D11</f>
        <v>820308.0066870529</v>
      </c>
      <c r="C11" s="149">
        <f>B11/'SEM IMPREVISTOS'!$G$2</f>
        <v>52.574241672966984</v>
      </c>
      <c r="D11" s="149">
        <f>'GER_EXECUTIVO MEGA'!B8</f>
        <v>820493.65955901972</v>
      </c>
      <c r="E11" s="149">
        <f>D11/'SEM IMPREVISTOS'!$G$2</f>
        <v>52.586140324300992</v>
      </c>
      <c r="F11" s="149">
        <f t="shared" si="0"/>
        <v>185.65287196682766</v>
      </c>
      <c r="G11" s="149">
        <f t="shared" si="0"/>
        <v>1.1898651334007582E-2</v>
      </c>
      <c r="H11" s="149" t="s">
        <v>218</v>
      </c>
    </row>
    <row r="12" spans="1:8" ht="19.5" customHeight="1" x14ac:dyDescent="0.25">
      <c r="A12" s="148" t="s">
        <v>108</v>
      </c>
      <c r="B12" s="148">
        <f>[2]Versões!$D12</f>
        <v>2224244.0715656173</v>
      </c>
      <c r="C12" s="148">
        <f>B12/'SEM IMPREVISTOS'!$G$2</f>
        <v>142.55370471199925</v>
      </c>
      <c r="D12" s="148">
        <f>'GER_EXECUTIVO MEGA'!B9</f>
        <v>2542675.6698656175</v>
      </c>
      <c r="E12" s="148">
        <f>D12/'SEM IMPREVISTOS'!$G$2</f>
        <v>162.9622581685793</v>
      </c>
      <c r="F12" s="148">
        <f t="shared" si="0"/>
        <v>318431.59830000019</v>
      </c>
      <c r="G12" s="148">
        <f t="shared" si="0"/>
        <v>20.408553456580051</v>
      </c>
      <c r="H12" s="148" t="s">
        <v>218</v>
      </c>
    </row>
    <row r="13" spans="1:8" ht="19.5" x14ac:dyDescent="0.25">
      <c r="A13" s="149" t="s">
        <v>96</v>
      </c>
      <c r="B13" s="149">
        <f>[2]Versões!$D13</f>
        <v>501609.28036217537</v>
      </c>
      <c r="C13" s="149">
        <f>B13/'SEM IMPREVISTOS'!$G$2</f>
        <v>32.148567752825628</v>
      </c>
      <c r="D13" s="149">
        <f>'GER_EXECUTIVO MEGA'!B10</f>
        <v>585077.05261241295</v>
      </c>
      <c r="E13" s="149">
        <f>D13/'SEM IMPREVISTOS'!$G$2</f>
        <v>37.498088657675552</v>
      </c>
      <c r="F13" s="149">
        <f t="shared" si="0"/>
        <v>83467.772250237584</v>
      </c>
      <c r="G13" s="149">
        <f t="shared" si="0"/>
        <v>5.3495209048499248</v>
      </c>
      <c r="H13" s="149" t="s">
        <v>218</v>
      </c>
    </row>
    <row r="14" spans="1:8" ht="51" customHeight="1" x14ac:dyDescent="0.25">
      <c r="A14" s="148" t="s">
        <v>18</v>
      </c>
      <c r="B14" s="148">
        <f>[2]Versões!$D14</f>
        <v>1653498.0991348654</v>
      </c>
      <c r="C14" s="148">
        <f>B14/'SEM IMPREVISTOS'!$G$2</f>
        <v>105.97410723905347</v>
      </c>
      <c r="D14" s="148">
        <f>'GER_EXECUTIVO MEGA'!B11</f>
        <v>1688185.9781622028</v>
      </c>
      <c r="E14" s="148">
        <f>D14/'SEM IMPREVISTOS'!$G$2</f>
        <v>108.19728307086223</v>
      </c>
      <c r="F14" s="148">
        <f t="shared" si="0"/>
        <v>34687.879027337302</v>
      </c>
      <c r="G14" s="148">
        <f t="shared" si="0"/>
        <v>2.22317583180876</v>
      </c>
      <c r="H14" s="148" t="s">
        <v>218</v>
      </c>
    </row>
    <row r="15" spans="1:8" ht="52.5" customHeight="1" x14ac:dyDescent="0.25">
      <c r="A15" s="149" t="s">
        <v>56</v>
      </c>
      <c r="B15" s="149">
        <f>[2]Versões!$D15</f>
        <v>2334975.1159445313</v>
      </c>
      <c r="C15" s="149">
        <f>B15/'SEM IMPREVISTOS'!$G$2</f>
        <v>149.65055204302618</v>
      </c>
      <c r="D15" s="149">
        <f>'GER_EXECUTIVO MEGA'!B12</f>
        <v>2558866.3451860095</v>
      </c>
      <c r="E15" s="149">
        <f>D15/'SEM IMPREVISTOS'!$G$2</f>
        <v>163.99993239606928</v>
      </c>
      <c r="F15" s="149">
        <f t="shared" si="0"/>
        <v>223891.22924147826</v>
      </c>
      <c r="G15" s="149">
        <f t="shared" si="0"/>
        <v>14.349380353043102</v>
      </c>
      <c r="H15" s="149" t="s">
        <v>218</v>
      </c>
    </row>
    <row r="16" spans="1:8" ht="32.25" customHeight="1" x14ac:dyDescent="0.25">
      <c r="A16" s="148" t="s">
        <v>109</v>
      </c>
      <c r="B16" s="148">
        <f>[2]Versões!$D16</f>
        <v>3897130.1511801351</v>
      </c>
      <c r="C16" s="148">
        <f>B16/'SEM IMPREVISTOS'!$G$2</f>
        <v>249.7704042005233</v>
      </c>
      <c r="D16" s="148">
        <f>'GER_EXECUTIVO MEGA'!B13</f>
        <v>3898012.1533050649</v>
      </c>
      <c r="E16" s="148">
        <f>D16/'SEM IMPREVISTOS'!$G$2</f>
        <v>249.82693247099502</v>
      </c>
      <c r="F16" s="148">
        <f t="shared" si="0"/>
        <v>882.00212492980063</v>
      </c>
      <c r="G16" s="148">
        <f t="shared" si="0"/>
        <v>5.6528270471716269E-2</v>
      </c>
      <c r="H16" s="148" t="s">
        <v>218</v>
      </c>
    </row>
    <row r="17" spans="1:8" ht="33.75" customHeight="1" x14ac:dyDescent="0.25">
      <c r="A17" s="149" t="s">
        <v>10</v>
      </c>
      <c r="B17" s="149">
        <f>[2]Versões!$D17</f>
        <v>4762410.9568786398</v>
      </c>
      <c r="C17" s="149">
        <f>B17/'SEM IMPREVISTOS'!$G$2</f>
        <v>305.22699102270673</v>
      </c>
      <c r="D17" s="149">
        <f>'GER_EXECUTIVO MEGA'!B14</f>
        <v>5085026.2833178537</v>
      </c>
      <c r="E17" s="149">
        <f>D17/'SEM IMPREVISTOS'!$G$2</f>
        <v>325.9036831936379</v>
      </c>
      <c r="F17" s="149">
        <f t="shared" si="0"/>
        <v>322615.32643921394</v>
      </c>
      <c r="G17" s="149">
        <f t="shared" si="0"/>
        <v>20.676692170931176</v>
      </c>
      <c r="H17" s="149" t="s">
        <v>218</v>
      </c>
    </row>
    <row r="18" spans="1:8" ht="19.5" customHeight="1" x14ac:dyDescent="0.25">
      <c r="A18" s="148" t="s">
        <v>11</v>
      </c>
      <c r="B18" s="148">
        <f>[2]Versões!$D18</f>
        <v>0</v>
      </c>
      <c r="C18" s="148">
        <f>B18/'SEM IMPREVISTOS'!$G$2</f>
        <v>0</v>
      </c>
      <c r="D18" s="148"/>
      <c r="E18" s="148">
        <f>D18/'SEM IMPREVISTOS'!$G$2</f>
        <v>0</v>
      </c>
      <c r="F18" s="148">
        <f t="shared" si="0"/>
        <v>0</v>
      </c>
      <c r="G18" s="148">
        <f t="shared" si="0"/>
        <v>0</v>
      </c>
      <c r="H18" s="148" t="s">
        <v>218</v>
      </c>
    </row>
    <row r="19" spans="1:8" ht="52.5" customHeight="1" x14ac:dyDescent="0.25">
      <c r="A19" s="149" t="s">
        <v>12</v>
      </c>
      <c r="B19" s="149">
        <f>[2]Versões!$D19</f>
        <v>2494269.7018522541</v>
      </c>
      <c r="C19" s="149">
        <f>B19/'SEM IMPREVISTOS'!$G$2</f>
        <v>159.85987828199683</v>
      </c>
      <c r="D19" s="149">
        <f>'GER_EXECUTIVO MEGA'!B15</f>
        <v>2521062.4708991088</v>
      </c>
      <c r="E19" s="149">
        <f>D19/'SEM IMPREVISTOS'!$G$2</f>
        <v>161.57704976328739</v>
      </c>
      <c r="F19" s="149">
        <f t="shared" si="0"/>
        <v>26792.769046854693</v>
      </c>
      <c r="G19" s="149">
        <f t="shared" si="0"/>
        <v>1.7171714812905634</v>
      </c>
      <c r="H19" s="149" t="s">
        <v>218</v>
      </c>
    </row>
    <row r="20" spans="1:8" ht="19.5" customHeight="1" thickBot="1" x14ac:dyDescent="0.65">
      <c r="A20" s="146" t="s">
        <v>13</v>
      </c>
      <c r="B20" s="116">
        <f t="shared" ref="B20:C20" si="1">SUM(B3:B19)</f>
        <v>57827495.173458673</v>
      </c>
      <c r="C20" s="135">
        <f t="shared" si="1"/>
        <v>3706.2136195283988</v>
      </c>
      <c r="D20" s="116">
        <f>SUM(D3:D19)</f>
        <v>59859419.920860693</v>
      </c>
      <c r="E20" s="135">
        <f t="shared" ref="E20:G20" si="2">SUM(E3:E19)</f>
        <v>3836.4414142839728</v>
      </c>
      <c r="F20" s="116">
        <f>SUM(F3:F19)</f>
        <v>2031924.7474020107</v>
      </c>
      <c r="G20" s="135">
        <f t="shared" si="2"/>
        <v>130.22779475557417</v>
      </c>
      <c r="H20" s="230"/>
    </row>
    <row r="21" spans="1:8" ht="21.75" customHeight="1" x14ac:dyDescent="0.6">
      <c r="A21" s="109"/>
      <c r="B21" s="109"/>
      <c r="C21" s="109"/>
      <c r="D21" s="109"/>
      <c r="E21" s="109"/>
      <c r="F21" s="109"/>
      <c r="G21" s="109"/>
    </row>
    <row r="22" spans="1:8" ht="21.75" customHeight="1" x14ac:dyDescent="0.6">
      <c r="A22" s="109"/>
      <c r="B22" s="109"/>
      <c r="C22" s="109"/>
      <c r="D22" s="109"/>
      <c r="E22" s="109"/>
      <c r="F22" s="109"/>
      <c r="G22" s="109"/>
    </row>
    <row r="23" spans="1:8" ht="21.75" customHeight="1" x14ac:dyDescent="0.6">
      <c r="A23" s="109"/>
      <c r="B23" s="109"/>
      <c r="C23" s="109"/>
      <c r="D23" s="109"/>
      <c r="E23" s="109"/>
      <c r="F23" s="109"/>
      <c r="G23" s="109"/>
    </row>
    <row r="24" spans="1:8" ht="21.75" customHeight="1" x14ac:dyDescent="0.6">
      <c r="A24" s="109"/>
      <c r="B24" s="109"/>
      <c r="C24" s="109"/>
      <c r="D24" s="109"/>
      <c r="E24" s="109"/>
      <c r="F24" s="109"/>
      <c r="G24" s="109"/>
    </row>
    <row r="25" spans="1:8" ht="21.75" customHeight="1" x14ac:dyDescent="0.6">
      <c r="A25" s="109"/>
      <c r="B25" s="109"/>
      <c r="C25" s="109"/>
      <c r="D25" s="109"/>
      <c r="E25" s="109"/>
      <c r="F25" s="109"/>
      <c r="G25" s="109"/>
      <c r="H25" s="232"/>
    </row>
    <row r="26" spans="1:8" ht="21.75" customHeight="1" x14ac:dyDescent="0.6">
      <c r="A26" s="109"/>
      <c r="B26" s="109"/>
      <c r="C26" s="109"/>
      <c r="D26" s="109"/>
      <c r="E26" s="109"/>
      <c r="F26" s="109"/>
      <c r="G26" s="109"/>
      <c r="H26" s="232"/>
    </row>
    <row r="27" spans="1:8" ht="21.75" customHeight="1" x14ac:dyDescent="0.6">
      <c r="A27" s="109"/>
      <c r="B27" s="109"/>
      <c r="C27" s="109"/>
      <c r="D27" s="109"/>
      <c r="E27" s="109"/>
      <c r="F27" s="109"/>
      <c r="G27" s="109"/>
      <c r="H27" s="232"/>
    </row>
    <row r="28" spans="1:8" ht="21.75" customHeight="1" x14ac:dyDescent="0.6">
      <c r="A28" s="109"/>
      <c r="B28" s="109"/>
      <c r="C28" s="109"/>
      <c r="D28" s="109"/>
      <c r="E28" s="109"/>
      <c r="F28" s="109"/>
      <c r="G28" s="109"/>
      <c r="H28" s="232"/>
    </row>
    <row r="29" spans="1:8" ht="21.75" customHeight="1" x14ac:dyDescent="0.6">
      <c r="A29" s="109"/>
      <c r="B29" s="109"/>
      <c r="C29" s="109"/>
      <c r="D29" s="109"/>
      <c r="E29" s="109"/>
      <c r="F29" s="109"/>
      <c r="G29" s="109"/>
      <c r="H29" s="232"/>
    </row>
    <row r="30" spans="1:8" ht="21.75" customHeight="1" x14ac:dyDescent="0.6">
      <c r="A30" s="109"/>
      <c r="B30" s="109"/>
      <c r="C30" s="109"/>
      <c r="D30" s="109"/>
      <c r="E30" s="109"/>
      <c r="F30" s="109"/>
      <c r="G30" s="109"/>
    </row>
    <row r="31" spans="1:8" ht="21.75" customHeight="1" x14ac:dyDescent="0.6">
      <c r="A31" s="109"/>
      <c r="B31" s="109"/>
      <c r="C31" s="109"/>
      <c r="D31" s="109"/>
      <c r="E31" s="109"/>
      <c r="F31" s="109"/>
      <c r="G31" s="109"/>
    </row>
    <row r="32" spans="1:8" ht="21.75" customHeight="1" x14ac:dyDescent="0.6">
      <c r="A32" s="109"/>
      <c r="B32" s="109"/>
      <c r="C32" s="109"/>
      <c r="D32" s="109"/>
      <c r="E32" s="109"/>
      <c r="F32" s="109"/>
      <c r="G32" s="109"/>
    </row>
    <row r="33" spans="1:7" ht="21.75" customHeight="1" x14ac:dyDescent="0.6">
      <c r="A33" s="109"/>
      <c r="B33" s="109"/>
      <c r="C33" s="109"/>
      <c r="D33" s="109"/>
      <c r="E33" s="109"/>
      <c r="F33" s="109"/>
      <c r="G33" s="109"/>
    </row>
    <row r="34" spans="1:7" ht="21.75" customHeight="1" x14ac:dyDescent="0.6">
      <c r="A34" s="109"/>
      <c r="B34" s="109"/>
      <c r="C34" s="109"/>
      <c r="D34" s="109"/>
      <c r="E34" s="109"/>
      <c r="F34" s="109"/>
      <c r="G34" s="109"/>
    </row>
    <row r="35" spans="1:7" ht="21.75" customHeight="1" x14ac:dyDescent="0.6">
      <c r="A35" s="109"/>
      <c r="B35" s="109"/>
      <c r="C35" s="109"/>
      <c r="D35" s="109"/>
      <c r="E35" s="109"/>
      <c r="F35" s="109"/>
      <c r="G35" s="109"/>
    </row>
    <row r="36" spans="1:7" ht="21.75" customHeight="1" x14ac:dyDescent="0.6">
      <c r="A36" s="109"/>
      <c r="B36" s="109"/>
      <c r="C36" s="109"/>
      <c r="D36" s="109"/>
      <c r="E36" s="109"/>
      <c r="F36" s="109"/>
      <c r="G36" s="109"/>
    </row>
    <row r="37" spans="1:7" ht="21.75" customHeight="1" x14ac:dyDescent="0.6">
      <c r="A37" s="109"/>
      <c r="B37" s="109"/>
      <c r="C37" s="109"/>
      <c r="D37" s="109"/>
      <c r="E37" s="109"/>
      <c r="F37" s="109"/>
      <c r="G37" s="109"/>
    </row>
    <row r="38" spans="1:7" ht="21.75" customHeight="1" x14ac:dyDescent="0.6">
      <c r="A38" s="109"/>
      <c r="B38" s="109"/>
      <c r="C38" s="109"/>
      <c r="D38" s="109"/>
      <c r="E38" s="109"/>
      <c r="F38" s="109"/>
      <c r="G38" s="109"/>
    </row>
    <row r="39" spans="1:7" ht="21.75" customHeight="1" x14ac:dyDescent="0.6">
      <c r="A39" s="109"/>
      <c r="B39" s="109"/>
      <c r="C39" s="109"/>
      <c r="D39" s="109"/>
      <c r="E39" s="109"/>
      <c r="F39" s="109"/>
      <c r="G39" s="109"/>
    </row>
    <row r="40" spans="1:7" ht="21.75" customHeight="1" x14ac:dyDescent="0.6">
      <c r="A40" s="109"/>
      <c r="B40" s="109"/>
      <c r="C40" s="109"/>
      <c r="D40" s="109"/>
      <c r="E40" s="109"/>
      <c r="F40" s="109"/>
      <c r="G40" s="109"/>
    </row>
    <row r="41" spans="1:7" ht="21.75" customHeight="1" x14ac:dyDescent="0.6">
      <c r="A41" s="109"/>
      <c r="B41" s="109"/>
      <c r="C41" s="109"/>
      <c r="D41" s="109"/>
      <c r="E41" s="109"/>
      <c r="F41" s="109"/>
      <c r="G41" s="109"/>
    </row>
    <row r="42" spans="1:7" ht="21.75" customHeight="1" x14ac:dyDescent="0.6">
      <c r="A42" s="109"/>
      <c r="B42" s="109"/>
      <c r="C42" s="109"/>
      <c r="D42" s="109"/>
      <c r="E42" s="109"/>
      <c r="F42" s="109"/>
      <c r="G42" s="109"/>
    </row>
    <row r="43" spans="1:7" ht="21.75" customHeight="1" x14ac:dyDescent="0.6">
      <c r="A43" s="109"/>
      <c r="B43" s="109"/>
      <c r="C43" s="109"/>
      <c r="D43" s="109"/>
      <c r="E43" s="109"/>
      <c r="F43" s="109"/>
      <c r="G43" s="109"/>
    </row>
    <row r="44" spans="1:7" ht="21.75" customHeight="1" x14ac:dyDescent="0.6">
      <c r="A44" s="109"/>
      <c r="B44" s="109"/>
      <c r="C44" s="109"/>
      <c r="D44" s="109"/>
      <c r="E44" s="109"/>
      <c r="F44" s="109"/>
      <c r="G44" s="109"/>
    </row>
    <row r="45" spans="1:7" ht="21.75" customHeight="1" x14ac:dyDescent="0.6">
      <c r="A45" s="109"/>
      <c r="B45" s="109"/>
      <c r="C45" s="109"/>
      <c r="D45" s="109"/>
      <c r="E45" s="109"/>
      <c r="F45" s="109"/>
      <c r="G45" s="109"/>
    </row>
    <row r="46" spans="1:7" ht="21.75" customHeight="1" x14ac:dyDescent="0.6">
      <c r="A46" s="109"/>
      <c r="B46" s="109"/>
      <c r="C46" s="109"/>
      <c r="D46" s="109"/>
      <c r="E46" s="109"/>
      <c r="F46" s="109"/>
      <c r="G46" s="109"/>
    </row>
    <row r="47" spans="1:7" ht="21.75" customHeight="1" x14ac:dyDescent="0.6">
      <c r="A47" s="109"/>
      <c r="B47" s="109"/>
      <c r="C47" s="109"/>
      <c r="D47" s="109"/>
      <c r="E47" s="109"/>
      <c r="F47" s="109"/>
      <c r="G47" s="109"/>
    </row>
    <row r="48" spans="1:7" ht="21.75" customHeight="1" x14ac:dyDescent="0.6">
      <c r="A48" s="109"/>
      <c r="B48" s="109"/>
      <c r="C48" s="109"/>
      <c r="D48" s="109"/>
      <c r="E48" s="109"/>
      <c r="F48" s="109"/>
      <c r="G48" s="109"/>
    </row>
    <row r="49" spans="1:7" ht="21.75" customHeight="1" x14ac:dyDescent="0.6">
      <c r="A49" s="109"/>
      <c r="B49" s="109"/>
      <c r="C49" s="109"/>
      <c r="D49" s="109"/>
      <c r="E49" s="109"/>
      <c r="F49" s="109"/>
      <c r="G49" s="109"/>
    </row>
    <row r="50" spans="1:7" ht="21.75" customHeight="1" x14ac:dyDescent="0.6">
      <c r="A50" s="109"/>
      <c r="B50" s="109"/>
      <c r="C50" s="109"/>
      <c r="D50" s="109"/>
      <c r="E50" s="109"/>
      <c r="F50" s="109"/>
      <c r="G50" s="109"/>
    </row>
    <row r="51" spans="1:7" ht="21.75" customHeight="1" x14ac:dyDescent="0.6">
      <c r="A51" s="109"/>
      <c r="B51" s="109"/>
      <c r="C51" s="109"/>
      <c r="D51" s="109"/>
      <c r="E51" s="109"/>
      <c r="F51" s="109"/>
      <c r="G51" s="109"/>
    </row>
    <row r="52" spans="1:7" ht="21.75" customHeight="1" x14ac:dyDescent="0.6">
      <c r="A52" s="109"/>
      <c r="B52" s="109"/>
      <c r="C52" s="109"/>
      <c r="D52" s="109"/>
      <c r="E52" s="109"/>
      <c r="F52" s="109"/>
      <c r="G52" s="109"/>
    </row>
    <row r="53" spans="1:7" ht="21.75" customHeight="1" x14ac:dyDescent="0.6">
      <c r="A53" s="109"/>
      <c r="B53" s="109"/>
      <c r="C53" s="109"/>
      <c r="D53" s="109"/>
      <c r="E53" s="109"/>
      <c r="F53" s="109"/>
      <c r="G53" s="109"/>
    </row>
    <row r="54" spans="1:7" ht="21.75" customHeight="1" x14ac:dyDescent="0.6">
      <c r="A54" s="109"/>
      <c r="B54" s="109"/>
      <c r="C54" s="109"/>
      <c r="D54" s="109"/>
      <c r="E54" s="109"/>
      <c r="F54" s="109"/>
      <c r="G54" s="109"/>
    </row>
    <row r="55" spans="1:7" ht="21.75" customHeight="1" x14ac:dyDescent="0.6">
      <c r="A55" s="109"/>
      <c r="B55" s="109"/>
      <c r="C55" s="109"/>
      <c r="D55" s="109"/>
      <c r="E55" s="109"/>
      <c r="F55" s="109"/>
      <c r="G55" s="109"/>
    </row>
    <row r="56" spans="1:7" ht="21.75" customHeight="1" x14ac:dyDescent="0.6">
      <c r="A56" s="109"/>
      <c r="B56" s="109"/>
      <c r="C56" s="109"/>
      <c r="D56" s="109"/>
      <c r="E56" s="109"/>
      <c r="F56" s="109"/>
      <c r="G56" s="109"/>
    </row>
    <row r="57" spans="1:7" ht="21.75" customHeight="1" x14ac:dyDescent="0.6">
      <c r="A57" s="109"/>
      <c r="B57" s="109"/>
      <c r="C57" s="109"/>
      <c r="D57" s="109"/>
      <c r="E57" s="109"/>
      <c r="F57" s="109"/>
      <c r="G57" s="109"/>
    </row>
    <row r="58" spans="1:7" ht="21.75" customHeight="1" x14ac:dyDescent="0.6">
      <c r="A58" s="109"/>
      <c r="B58" s="109"/>
      <c r="C58" s="109"/>
      <c r="D58" s="109"/>
      <c r="E58" s="109"/>
      <c r="F58" s="109"/>
      <c r="G58" s="109"/>
    </row>
    <row r="59" spans="1:7" ht="21.75" customHeight="1" x14ac:dyDescent="0.6">
      <c r="A59" s="109"/>
      <c r="B59" s="109"/>
      <c r="C59" s="109"/>
      <c r="D59" s="109"/>
      <c r="E59" s="109"/>
      <c r="F59" s="109"/>
      <c r="G59" s="109"/>
    </row>
    <row r="60" spans="1:7" ht="21.75" customHeight="1" x14ac:dyDescent="0.6">
      <c r="A60" s="109"/>
      <c r="B60" s="109"/>
      <c r="C60" s="109"/>
      <c r="D60" s="109"/>
      <c r="E60" s="109"/>
      <c r="F60" s="109"/>
      <c r="G60" s="109"/>
    </row>
    <row r="61" spans="1:7" ht="21.75" customHeight="1" x14ac:dyDescent="0.6">
      <c r="A61" s="109"/>
      <c r="B61" s="109"/>
      <c r="C61" s="109"/>
      <c r="D61" s="109"/>
      <c r="E61" s="109"/>
      <c r="F61" s="109"/>
      <c r="G61" s="109"/>
    </row>
    <row r="62" spans="1:7" ht="21.75" customHeight="1" x14ac:dyDescent="0.6">
      <c r="A62" s="109"/>
      <c r="B62" s="109"/>
      <c r="C62" s="109"/>
      <c r="D62" s="109"/>
      <c r="E62" s="109"/>
      <c r="F62" s="109"/>
      <c r="G62" s="109"/>
    </row>
    <row r="63" spans="1:7" ht="21.75" customHeight="1" x14ac:dyDescent="0.6">
      <c r="A63" s="109"/>
      <c r="B63" s="109"/>
      <c r="C63" s="109"/>
      <c r="D63" s="109"/>
      <c r="E63" s="109"/>
      <c r="F63" s="109"/>
      <c r="G63" s="109"/>
    </row>
    <row r="64" spans="1:7" ht="21.75" customHeight="1" x14ac:dyDescent="0.6">
      <c r="A64" s="109"/>
      <c r="B64" s="109"/>
      <c r="C64" s="109"/>
      <c r="D64" s="109"/>
      <c r="E64" s="109"/>
      <c r="F64" s="109"/>
      <c r="G64" s="109"/>
    </row>
    <row r="65" spans="1:7" ht="21.75" customHeight="1" x14ac:dyDescent="0.6">
      <c r="A65" s="109"/>
      <c r="B65" s="109"/>
      <c r="C65" s="109"/>
      <c r="D65" s="109"/>
      <c r="E65" s="109"/>
      <c r="F65" s="109"/>
      <c r="G65" s="109"/>
    </row>
    <row r="66" spans="1:7" ht="21.75" customHeight="1" x14ac:dyDescent="0.6">
      <c r="A66" s="109"/>
      <c r="B66" s="109"/>
      <c r="C66" s="109"/>
      <c r="D66" s="109"/>
      <c r="E66" s="109"/>
      <c r="F66" s="109"/>
      <c r="G66" s="109"/>
    </row>
    <row r="67" spans="1:7" ht="21.75" customHeight="1" x14ac:dyDescent="0.6">
      <c r="A67" s="109"/>
      <c r="B67" s="109"/>
      <c r="C67" s="109"/>
      <c r="D67" s="109"/>
      <c r="E67" s="109"/>
      <c r="F67" s="109"/>
      <c r="G67" s="109"/>
    </row>
    <row r="68" spans="1:7" ht="21.75" customHeight="1" x14ac:dyDescent="0.6">
      <c r="A68" s="109"/>
      <c r="B68" s="109"/>
      <c r="C68" s="109"/>
      <c r="D68" s="109"/>
      <c r="E68" s="109"/>
      <c r="F68" s="109"/>
      <c r="G68" s="109"/>
    </row>
    <row r="69" spans="1:7" ht="21.75" customHeight="1" x14ac:dyDescent="0.6">
      <c r="A69" s="109"/>
      <c r="B69" s="109"/>
      <c r="C69" s="109"/>
      <c r="D69" s="109"/>
      <c r="E69" s="109"/>
      <c r="F69" s="109"/>
      <c r="G69" s="109"/>
    </row>
    <row r="70" spans="1:7" ht="21.75" customHeight="1" x14ac:dyDescent="0.6">
      <c r="A70" s="109"/>
      <c r="B70" s="109"/>
      <c r="C70" s="109"/>
      <c r="D70" s="109"/>
      <c r="E70" s="109"/>
      <c r="F70" s="109"/>
      <c r="G70" s="109"/>
    </row>
    <row r="71" spans="1:7" ht="21.75" customHeight="1" x14ac:dyDescent="0.6">
      <c r="A71" s="109"/>
      <c r="B71" s="109"/>
      <c r="C71" s="109"/>
      <c r="D71" s="109"/>
      <c r="E71" s="109"/>
      <c r="F71" s="109"/>
      <c r="G71" s="109"/>
    </row>
    <row r="72" spans="1:7" ht="21.75" customHeight="1" x14ac:dyDescent="0.6">
      <c r="A72" s="109"/>
      <c r="B72" s="109"/>
      <c r="C72" s="109"/>
      <c r="D72" s="109"/>
      <c r="E72" s="109"/>
      <c r="F72" s="109"/>
      <c r="G72" s="109"/>
    </row>
    <row r="73" spans="1:7" ht="21.75" customHeight="1" x14ac:dyDescent="0.6">
      <c r="A73" s="109"/>
      <c r="B73" s="109"/>
      <c r="C73" s="109"/>
      <c r="D73" s="109"/>
      <c r="E73" s="109"/>
      <c r="F73" s="109"/>
      <c r="G73" s="109"/>
    </row>
    <row r="74" spans="1:7" ht="21.75" customHeight="1" x14ac:dyDescent="0.6">
      <c r="A74" s="109"/>
      <c r="B74" s="109"/>
      <c r="C74" s="109"/>
      <c r="D74" s="109"/>
      <c r="E74" s="109"/>
      <c r="F74" s="109"/>
      <c r="G74" s="109"/>
    </row>
    <row r="75" spans="1:7" ht="21.75" customHeight="1" x14ac:dyDescent="0.6">
      <c r="A75" s="109"/>
      <c r="B75" s="109"/>
      <c r="C75" s="109"/>
      <c r="D75" s="109"/>
      <c r="E75" s="109"/>
      <c r="F75" s="109"/>
      <c r="G75" s="109"/>
    </row>
    <row r="76" spans="1:7" ht="21.75" customHeight="1" x14ac:dyDescent="0.6">
      <c r="A76" s="109"/>
      <c r="B76" s="109"/>
      <c r="C76" s="109"/>
      <c r="D76" s="109"/>
      <c r="E76" s="109"/>
      <c r="F76" s="109"/>
      <c r="G76" s="109"/>
    </row>
    <row r="77" spans="1:7" ht="21.75" customHeight="1" x14ac:dyDescent="0.6">
      <c r="A77" s="109"/>
      <c r="B77" s="109"/>
      <c r="C77" s="109"/>
      <c r="D77" s="109"/>
      <c r="E77" s="109"/>
      <c r="F77" s="109"/>
      <c r="G77" s="109"/>
    </row>
    <row r="78" spans="1:7" ht="21.75" customHeight="1" x14ac:dyDescent="0.6">
      <c r="A78" s="109"/>
      <c r="B78" s="109"/>
      <c r="C78" s="109"/>
      <c r="D78" s="109"/>
      <c r="E78" s="109"/>
      <c r="F78" s="109"/>
      <c r="G78" s="109"/>
    </row>
    <row r="79" spans="1:7" ht="21.75" customHeight="1" x14ac:dyDescent="0.6">
      <c r="A79" s="109"/>
      <c r="B79" s="109"/>
      <c r="C79" s="109"/>
      <c r="D79" s="109"/>
      <c r="E79" s="109"/>
      <c r="F79" s="109"/>
      <c r="G79" s="109"/>
    </row>
    <row r="80" spans="1:7" ht="21.75" customHeight="1" x14ac:dyDescent="0.6">
      <c r="A80" s="109"/>
      <c r="B80" s="109"/>
      <c r="C80" s="109"/>
      <c r="D80" s="109"/>
      <c r="E80" s="109"/>
      <c r="F80" s="109"/>
      <c r="G80" s="109"/>
    </row>
    <row r="81" spans="1:7" ht="21.75" customHeight="1" x14ac:dyDescent="0.6">
      <c r="A81" s="109"/>
      <c r="B81" s="109"/>
      <c r="C81" s="109"/>
      <c r="D81" s="109"/>
      <c r="E81" s="109"/>
      <c r="F81" s="109"/>
      <c r="G81" s="109"/>
    </row>
    <row r="82" spans="1:7" ht="21.75" customHeight="1" x14ac:dyDescent="0.6">
      <c r="A82" s="109"/>
      <c r="B82" s="109"/>
      <c r="C82" s="109"/>
      <c r="D82" s="109"/>
      <c r="E82" s="109"/>
      <c r="F82" s="109"/>
      <c r="G82" s="109"/>
    </row>
    <row r="83" spans="1:7" ht="21.75" customHeight="1" x14ac:dyDescent="0.6">
      <c r="A83" s="109"/>
      <c r="B83" s="109"/>
      <c r="C83" s="109"/>
      <c r="D83" s="109"/>
      <c r="E83" s="109"/>
      <c r="F83" s="109"/>
      <c r="G83" s="109"/>
    </row>
    <row r="84" spans="1:7" ht="21.75" customHeight="1" x14ac:dyDescent="0.6">
      <c r="A84" s="109"/>
      <c r="B84" s="109"/>
      <c r="C84" s="109"/>
      <c r="D84" s="109"/>
      <c r="E84" s="109"/>
      <c r="F84" s="109"/>
      <c r="G84" s="109"/>
    </row>
    <row r="85" spans="1:7" ht="21.75" customHeight="1" x14ac:dyDescent="0.6">
      <c r="A85" s="109"/>
      <c r="B85" s="109"/>
      <c r="C85" s="109"/>
      <c r="D85" s="109"/>
      <c r="E85" s="109"/>
      <c r="F85" s="109"/>
      <c r="G85" s="109"/>
    </row>
    <row r="86" spans="1:7" ht="21.75" customHeight="1" x14ac:dyDescent="0.6">
      <c r="A86" s="109"/>
      <c r="B86" s="109"/>
      <c r="C86" s="109"/>
      <c r="D86" s="109"/>
      <c r="E86" s="109"/>
      <c r="F86" s="109"/>
      <c r="G86" s="109"/>
    </row>
    <row r="87" spans="1:7" ht="21.75" customHeight="1" x14ac:dyDescent="0.6">
      <c r="A87" s="109"/>
      <c r="B87" s="109"/>
      <c r="C87" s="109"/>
      <c r="D87" s="109"/>
      <c r="E87" s="109"/>
      <c r="F87" s="109"/>
      <c r="G87" s="109"/>
    </row>
    <row r="88" spans="1:7" ht="21.75" customHeight="1" x14ac:dyDescent="0.6">
      <c r="A88" s="109"/>
      <c r="B88" s="109"/>
      <c r="C88" s="109"/>
      <c r="D88" s="109"/>
      <c r="E88" s="109"/>
      <c r="F88" s="109"/>
      <c r="G88" s="109"/>
    </row>
    <row r="89" spans="1:7" ht="21.75" customHeight="1" x14ac:dyDescent="0.6">
      <c r="A89" s="109"/>
      <c r="B89" s="109"/>
      <c r="C89" s="109"/>
      <c r="D89" s="109"/>
      <c r="E89" s="109"/>
      <c r="F89" s="109"/>
      <c r="G89" s="109"/>
    </row>
    <row r="90" spans="1:7" ht="21.75" customHeight="1" x14ac:dyDescent="0.6">
      <c r="A90" s="109"/>
      <c r="B90" s="109"/>
      <c r="C90" s="109"/>
      <c r="D90" s="109"/>
      <c r="E90" s="109"/>
      <c r="F90" s="109"/>
      <c r="G90" s="109"/>
    </row>
    <row r="91" spans="1:7" ht="21.75" customHeight="1" x14ac:dyDescent="0.6">
      <c r="A91" s="109"/>
      <c r="B91" s="109"/>
      <c r="C91" s="109"/>
      <c r="D91" s="109"/>
      <c r="E91" s="109"/>
      <c r="F91" s="109"/>
      <c r="G91" s="109"/>
    </row>
    <row r="92" spans="1:7" ht="21.75" customHeight="1" x14ac:dyDescent="0.6">
      <c r="A92" s="109"/>
      <c r="B92" s="109"/>
      <c r="C92" s="109"/>
      <c r="D92" s="109"/>
      <c r="E92" s="109"/>
      <c r="F92" s="109"/>
      <c r="G92" s="109"/>
    </row>
    <row r="93" spans="1:7" ht="21.75" customHeight="1" x14ac:dyDescent="0.6">
      <c r="A93" s="109"/>
      <c r="B93" s="109"/>
      <c r="C93" s="109"/>
      <c r="D93" s="109"/>
      <c r="E93" s="109"/>
      <c r="F93" s="109"/>
      <c r="G93" s="109"/>
    </row>
    <row r="94" spans="1:7" ht="21.75" customHeight="1" x14ac:dyDescent="0.6">
      <c r="A94" s="109"/>
      <c r="B94" s="109"/>
      <c r="C94" s="109"/>
      <c r="D94" s="109"/>
      <c r="E94" s="109"/>
      <c r="F94" s="109"/>
      <c r="G94" s="109"/>
    </row>
    <row r="95" spans="1:7" ht="21.75" customHeight="1" x14ac:dyDescent="0.6">
      <c r="A95" s="109"/>
      <c r="B95" s="109"/>
      <c r="C95" s="109"/>
      <c r="D95" s="109"/>
      <c r="E95" s="109"/>
      <c r="F95" s="109"/>
      <c r="G95" s="109"/>
    </row>
    <row r="96" spans="1:7" ht="21.75" customHeight="1" x14ac:dyDescent="0.6">
      <c r="A96" s="109"/>
      <c r="B96" s="109"/>
      <c r="C96" s="109"/>
      <c r="D96" s="109"/>
      <c r="E96" s="109"/>
      <c r="F96" s="109"/>
      <c r="G96" s="109"/>
    </row>
    <row r="97" spans="1:7" ht="21.75" customHeight="1" x14ac:dyDescent="0.6">
      <c r="A97" s="109"/>
      <c r="B97" s="109"/>
      <c r="C97" s="109"/>
      <c r="D97" s="109"/>
      <c r="E97" s="109"/>
      <c r="F97" s="109"/>
      <c r="G97" s="109"/>
    </row>
    <row r="98" spans="1:7" ht="21.75" customHeight="1" x14ac:dyDescent="0.6">
      <c r="A98" s="109"/>
      <c r="B98" s="109"/>
      <c r="C98" s="109"/>
      <c r="D98" s="109"/>
      <c r="E98" s="109"/>
      <c r="F98" s="109"/>
      <c r="G98" s="109"/>
    </row>
    <row r="99" spans="1:7" ht="21.75" customHeight="1" x14ac:dyDescent="0.6">
      <c r="A99" s="109"/>
      <c r="B99" s="109"/>
      <c r="C99" s="109"/>
      <c r="D99" s="109"/>
      <c r="E99" s="109"/>
      <c r="F99" s="109"/>
      <c r="G99" s="109"/>
    </row>
    <row r="100" spans="1:7" ht="21.75" customHeight="1" x14ac:dyDescent="0.6">
      <c r="A100" s="109"/>
      <c r="B100" s="109"/>
      <c r="C100" s="109"/>
      <c r="D100" s="109"/>
      <c r="E100" s="109"/>
      <c r="F100" s="109"/>
      <c r="G100" s="109"/>
    </row>
    <row r="101" spans="1:7" ht="21.75" customHeight="1" x14ac:dyDescent="0.6">
      <c r="A101" s="109"/>
      <c r="B101" s="109"/>
      <c r="C101" s="109"/>
      <c r="D101" s="109"/>
      <c r="E101" s="109"/>
      <c r="F101" s="109"/>
      <c r="G101" s="109"/>
    </row>
    <row r="102" spans="1:7" ht="21.75" customHeight="1" x14ac:dyDescent="0.6">
      <c r="A102" s="109"/>
      <c r="B102" s="109"/>
      <c r="C102" s="109"/>
      <c r="D102" s="109"/>
      <c r="E102" s="109"/>
      <c r="F102" s="109"/>
      <c r="G102" s="109"/>
    </row>
    <row r="103" spans="1:7" ht="21.75" customHeight="1" x14ac:dyDescent="0.6">
      <c r="A103" s="109"/>
      <c r="B103" s="109"/>
      <c r="C103" s="109"/>
      <c r="D103" s="109"/>
      <c r="E103" s="109"/>
      <c r="F103" s="109"/>
      <c r="G103" s="109"/>
    </row>
    <row r="104" spans="1:7" ht="21.75" customHeight="1" x14ac:dyDescent="0.6">
      <c r="A104" s="109"/>
      <c r="B104" s="109"/>
      <c r="C104" s="109"/>
      <c r="D104" s="109"/>
      <c r="E104" s="109"/>
      <c r="F104" s="109"/>
      <c r="G104" s="109"/>
    </row>
    <row r="105" spans="1:7" ht="21.75" customHeight="1" x14ac:dyDescent="0.6">
      <c r="A105" s="109"/>
      <c r="B105" s="109"/>
      <c r="C105" s="109"/>
      <c r="D105" s="109"/>
      <c r="E105" s="109"/>
      <c r="F105" s="109"/>
      <c r="G105" s="109"/>
    </row>
    <row r="106" spans="1:7" ht="21.75" customHeight="1" x14ac:dyDescent="0.6">
      <c r="A106" s="109"/>
      <c r="B106" s="109"/>
      <c r="C106" s="109"/>
      <c r="D106" s="109"/>
      <c r="E106" s="109"/>
      <c r="F106" s="109"/>
      <c r="G106" s="109"/>
    </row>
    <row r="107" spans="1:7" ht="21.75" customHeight="1" x14ac:dyDescent="0.6">
      <c r="A107" s="109"/>
      <c r="B107" s="109"/>
      <c r="C107" s="109"/>
      <c r="D107" s="109"/>
      <c r="E107" s="109"/>
      <c r="F107" s="109"/>
      <c r="G107" s="109"/>
    </row>
    <row r="108" spans="1:7" ht="21.75" customHeight="1" x14ac:dyDescent="0.6">
      <c r="A108" s="109"/>
      <c r="B108" s="109"/>
      <c r="C108" s="109"/>
      <c r="D108" s="109"/>
      <c r="E108" s="109"/>
      <c r="F108" s="109"/>
      <c r="G108" s="109"/>
    </row>
    <row r="109" spans="1:7" ht="21.75" customHeight="1" x14ac:dyDescent="0.6">
      <c r="A109" s="109"/>
      <c r="B109" s="109"/>
      <c r="C109" s="109"/>
      <c r="D109" s="109"/>
      <c r="E109" s="109"/>
      <c r="F109" s="109"/>
      <c r="G109" s="109"/>
    </row>
    <row r="110" spans="1:7" ht="21.75" customHeight="1" x14ac:dyDescent="0.6">
      <c r="A110" s="109"/>
      <c r="B110" s="109"/>
      <c r="C110" s="109"/>
      <c r="D110" s="109"/>
      <c r="E110" s="109"/>
      <c r="F110" s="109"/>
      <c r="G110" s="109"/>
    </row>
    <row r="111" spans="1:7" ht="21.75" customHeight="1" x14ac:dyDescent="0.6">
      <c r="A111" s="109"/>
      <c r="B111" s="109"/>
      <c r="C111" s="109"/>
      <c r="D111" s="109"/>
      <c r="E111" s="109"/>
      <c r="F111" s="109"/>
      <c r="G111" s="109"/>
    </row>
    <row r="112" spans="1:7" ht="21.75" customHeight="1" x14ac:dyDescent="0.6">
      <c r="A112" s="109"/>
      <c r="B112" s="109"/>
      <c r="C112" s="109"/>
      <c r="D112" s="109"/>
      <c r="E112" s="109"/>
      <c r="F112" s="109"/>
      <c r="G112" s="109"/>
    </row>
    <row r="113" spans="1:7" ht="21.75" customHeight="1" x14ac:dyDescent="0.6">
      <c r="A113" s="109"/>
      <c r="B113" s="109"/>
      <c r="C113" s="109"/>
      <c r="D113" s="109"/>
      <c r="E113" s="109"/>
      <c r="F113" s="109"/>
      <c r="G113" s="109"/>
    </row>
    <row r="114" spans="1:7" ht="21.75" customHeight="1" x14ac:dyDescent="0.6">
      <c r="A114" s="109"/>
      <c r="B114" s="109"/>
      <c r="C114" s="109"/>
      <c r="D114" s="109"/>
      <c r="E114" s="109"/>
      <c r="F114" s="109"/>
      <c r="G114" s="109"/>
    </row>
    <row r="115" spans="1:7" ht="21.75" customHeight="1" x14ac:dyDescent="0.6">
      <c r="A115" s="109"/>
      <c r="B115" s="109"/>
      <c r="C115" s="109"/>
      <c r="D115" s="109"/>
      <c r="E115" s="109"/>
      <c r="F115" s="109"/>
      <c r="G115" s="109"/>
    </row>
    <row r="116" spans="1:7" ht="21.75" customHeight="1" x14ac:dyDescent="0.6">
      <c r="A116" s="109"/>
      <c r="B116" s="109"/>
      <c r="C116" s="109"/>
      <c r="D116" s="109"/>
      <c r="E116" s="109"/>
      <c r="F116" s="109"/>
      <c r="G116" s="109"/>
    </row>
    <row r="117" spans="1:7" ht="21.75" customHeight="1" x14ac:dyDescent="0.6">
      <c r="A117" s="109"/>
      <c r="B117" s="109"/>
      <c r="C117" s="109"/>
      <c r="D117" s="109"/>
      <c r="E117" s="109"/>
      <c r="F117" s="109"/>
      <c r="G117" s="109"/>
    </row>
    <row r="118" spans="1:7" ht="21.75" customHeight="1" x14ac:dyDescent="0.6">
      <c r="A118" s="109"/>
      <c r="B118" s="109"/>
      <c r="C118" s="109"/>
      <c r="D118" s="109"/>
      <c r="E118" s="109"/>
      <c r="F118" s="109"/>
      <c r="G118" s="109"/>
    </row>
    <row r="119" spans="1:7" ht="21.75" customHeight="1" x14ac:dyDescent="0.6">
      <c r="A119" s="109"/>
      <c r="B119" s="109"/>
      <c r="C119" s="109"/>
      <c r="D119" s="109"/>
      <c r="E119" s="109"/>
      <c r="F119" s="109"/>
      <c r="G119" s="109"/>
    </row>
    <row r="120" spans="1:7" ht="21.75" customHeight="1" x14ac:dyDescent="0.6">
      <c r="A120" s="109"/>
      <c r="B120" s="109"/>
      <c r="C120" s="109"/>
      <c r="D120" s="109"/>
      <c r="E120" s="109"/>
      <c r="F120" s="109"/>
      <c r="G120" s="109"/>
    </row>
    <row r="121" spans="1:7" ht="21.75" customHeight="1" x14ac:dyDescent="0.6">
      <c r="A121" s="109"/>
      <c r="B121" s="109"/>
      <c r="C121" s="109"/>
      <c r="D121" s="109"/>
      <c r="E121" s="109"/>
      <c r="F121" s="109"/>
      <c r="G121" s="109"/>
    </row>
    <row r="122" spans="1:7" ht="21.75" customHeight="1" x14ac:dyDescent="0.6">
      <c r="A122" s="109"/>
      <c r="B122" s="109"/>
      <c r="C122" s="109"/>
      <c r="D122" s="109"/>
      <c r="E122" s="109"/>
      <c r="F122" s="109"/>
      <c r="G122" s="109"/>
    </row>
    <row r="123" spans="1:7" ht="21.75" customHeight="1" x14ac:dyDescent="0.6">
      <c r="A123" s="109"/>
      <c r="B123" s="109"/>
      <c r="C123" s="109"/>
      <c r="D123" s="109"/>
      <c r="E123" s="109"/>
      <c r="F123" s="109"/>
      <c r="G123" s="109"/>
    </row>
    <row r="124" spans="1:7" ht="21.75" customHeight="1" x14ac:dyDescent="0.6">
      <c r="A124" s="109"/>
      <c r="B124" s="109"/>
      <c r="C124" s="109"/>
      <c r="D124" s="109"/>
      <c r="E124" s="109"/>
      <c r="F124" s="109"/>
      <c r="G124" s="109"/>
    </row>
    <row r="125" spans="1:7" ht="21.75" customHeight="1" x14ac:dyDescent="0.6">
      <c r="A125" s="109"/>
      <c r="B125" s="109"/>
      <c r="C125" s="109"/>
      <c r="D125" s="109"/>
      <c r="E125" s="109"/>
      <c r="F125" s="109"/>
      <c r="G125" s="109"/>
    </row>
    <row r="126" spans="1:7" ht="21.75" customHeight="1" x14ac:dyDescent="0.6">
      <c r="A126" s="109"/>
      <c r="B126" s="109"/>
      <c r="C126" s="109"/>
      <c r="D126" s="109"/>
      <c r="E126" s="109"/>
      <c r="F126" s="109"/>
      <c r="G126" s="109"/>
    </row>
    <row r="127" spans="1:7" ht="21.75" customHeight="1" x14ac:dyDescent="0.6">
      <c r="A127" s="109"/>
      <c r="B127" s="109"/>
      <c r="C127" s="109"/>
      <c r="D127" s="109"/>
      <c r="E127" s="109"/>
      <c r="F127" s="109"/>
      <c r="G127" s="109"/>
    </row>
    <row r="128" spans="1:7" ht="21.75" customHeight="1" x14ac:dyDescent="0.6">
      <c r="A128" s="109"/>
      <c r="B128" s="109"/>
      <c r="C128" s="109"/>
      <c r="D128" s="109"/>
      <c r="E128" s="109"/>
      <c r="F128" s="109"/>
      <c r="G128" s="109"/>
    </row>
    <row r="129" spans="1:7" ht="21.75" customHeight="1" x14ac:dyDescent="0.6">
      <c r="A129" s="109"/>
      <c r="B129" s="109"/>
      <c r="C129" s="109"/>
      <c r="D129" s="109"/>
      <c r="E129" s="109"/>
      <c r="F129" s="109"/>
      <c r="G129" s="109"/>
    </row>
    <row r="130" spans="1:7" ht="21.75" customHeight="1" x14ac:dyDescent="0.6">
      <c r="A130" s="109"/>
      <c r="B130" s="109"/>
      <c r="C130" s="109"/>
      <c r="D130" s="109"/>
      <c r="E130" s="109"/>
      <c r="F130" s="109"/>
      <c r="G130" s="109"/>
    </row>
    <row r="131" spans="1:7" ht="21.75" customHeight="1" x14ac:dyDescent="0.6">
      <c r="A131" s="109"/>
      <c r="B131" s="109"/>
      <c r="C131" s="109"/>
      <c r="D131" s="109"/>
      <c r="E131" s="109"/>
      <c r="F131" s="109"/>
      <c r="G131" s="109"/>
    </row>
    <row r="132" spans="1:7" ht="21.75" customHeight="1" x14ac:dyDescent="0.6">
      <c r="A132" s="109"/>
      <c r="B132" s="109"/>
      <c r="C132" s="109"/>
      <c r="D132" s="109"/>
      <c r="E132" s="109"/>
      <c r="F132" s="109"/>
      <c r="G132" s="109"/>
    </row>
    <row r="133" spans="1:7" ht="21.75" customHeight="1" x14ac:dyDescent="0.6">
      <c r="A133" s="109"/>
      <c r="B133" s="109"/>
      <c r="C133" s="109"/>
      <c r="D133" s="109"/>
      <c r="E133" s="109"/>
      <c r="F133" s="109"/>
      <c r="G133" s="109"/>
    </row>
    <row r="134" spans="1:7" ht="21.75" customHeight="1" x14ac:dyDescent="0.6">
      <c r="A134" s="109"/>
      <c r="B134" s="109"/>
      <c r="C134" s="109"/>
      <c r="D134" s="109"/>
      <c r="E134" s="109"/>
      <c r="F134" s="109"/>
      <c r="G134" s="109"/>
    </row>
    <row r="135" spans="1:7" ht="21.75" customHeight="1" x14ac:dyDescent="0.6">
      <c r="A135" s="109"/>
      <c r="B135" s="109"/>
      <c r="C135" s="109"/>
      <c r="D135" s="109"/>
      <c r="E135" s="109"/>
      <c r="F135" s="109"/>
      <c r="G135" s="109"/>
    </row>
    <row r="136" spans="1:7" ht="21.75" customHeight="1" x14ac:dyDescent="0.6">
      <c r="A136" s="109"/>
      <c r="B136" s="109"/>
      <c r="C136" s="109"/>
      <c r="D136" s="109"/>
      <c r="E136" s="109"/>
      <c r="F136" s="109"/>
      <c r="G136" s="109"/>
    </row>
    <row r="137" spans="1:7" ht="21.75" customHeight="1" x14ac:dyDescent="0.6">
      <c r="A137" s="109"/>
      <c r="B137" s="109"/>
      <c r="C137" s="109"/>
      <c r="D137" s="109"/>
      <c r="E137" s="109"/>
      <c r="F137" s="109"/>
      <c r="G137" s="109"/>
    </row>
    <row r="138" spans="1:7" ht="21.75" customHeight="1" x14ac:dyDescent="0.6">
      <c r="A138" s="109"/>
      <c r="B138" s="109"/>
      <c r="C138" s="109"/>
      <c r="D138" s="109"/>
      <c r="E138" s="109"/>
      <c r="F138" s="109"/>
      <c r="G138" s="109"/>
    </row>
    <row r="139" spans="1:7" ht="21.75" customHeight="1" x14ac:dyDescent="0.6">
      <c r="A139" s="109"/>
      <c r="B139" s="109"/>
      <c r="C139" s="109"/>
      <c r="D139" s="109"/>
      <c r="E139" s="109"/>
      <c r="F139" s="109"/>
      <c r="G139" s="109"/>
    </row>
    <row r="140" spans="1:7" ht="21.75" customHeight="1" x14ac:dyDescent="0.6">
      <c r="A140" s="109"/>
      <c r="B140" s="109"/>
      <c r="C140" s="109"/>
      <c r="D140" s="109"/>
      <c r="E140" s="109"/>
      <c r="F140" s="109"/>
      <c r="G140" s="109"/>
    </row>
    <row r="141" spans="1:7" ht="21.75" customHeight="1" x14ac:dyDescent="0.6">
      <c r="A141" s="109"/>
      <c r="B141" s="109"/>
      <c r="C141" s="109"/>
      <c r="D141" s="109"/>
      <c r="E141" s="109"/>
      <c r="F141" s="109"/>
      <c r="G141" s="109"/>
    </row>
    <row r="142" spans="1:7" ht="21.75" customHeight="1" x14ac:dyDescent="0.6">
      <c r="A142" s="109"/>
      <c r="B142" s="109"/>
      <c r="C142" s="109"/>
      <c r="D142" s="109"/>
      <c r="E142" s="109"/>
      <c r="F142" s="109"/>
      <c r="G142" s="109"/>
    </row>
    <row r="143" spans="1:7" ht="21.75" customHeight="1" x14ac:dyDescent="0.6">
      <c r="A143" s="109"/>
      <c r="B143" s="109"/>
      <c r="C143" s="109"/>
      <c r="D143" s="109"/>
      <c r="E143" s="109"/>
      <c r="F143" s="109"/>
      <c r="G143" s="109"/>
    </row>
    <row r="144" spans="1:7" ht="21.75" customHeight="1" x14ac:dyDescent="0.6">
      <c r="A144" s="109"/>
      <c r="B144" s="109"/>
      <c r="C144" s="109"/>
      <c r="D144" s="109"/>
      <c r="E144" s="109"/>
      <c r="F144" s="109"/>
      <c r="G144" s="109"/>
    </row>
    <row r="145" spans="1:7" ht="21.75" customHeight="1" x14ac:dyDescent="0.6">
      <c r="A145" s="109"/>
      <c r="B145" s="109"/>
      <c r="C145" s="109"/>
      <c r="D145" s="109"/>
      <c r="E145" s="109"/>
      <c r="F145" s="109"/>
      <c r="G145" s="109"/>
    </row>
    <row r="146" spans="1:7" ht="21.75" customHeight="1" x14ac:dyDescent="0.6">
      <c r="A146" s="109"/>
      <c r="B146" s="109"/>
      <c r="C146" s="109"/>
      <c r="D146" s="109"/>
      <c r="E146" s="109"/>
      <c r="F146" s="109"/>
      <c r="G146" s="109"/>
    </row>
    <row r="147" spans="1:7" ht="21.75" customHeight="1" x14ac:dyDescent="0.6">
      <c r="A147" s="109"/>
      <c r="B147" s="109"/>
      <c r="C147" s="109"/>
      <c r="D147" s="109"/>
      <c r="E147" s="109"/>
      <c r="F147" s="109"/>
      <c r="G147" s="109"/>
    </row>
    <row r="148" spans="1:7" ht="21.75" customHeight="1" x14ac:dyDescent="0.6">
      <c r="A148" s="109"/>
      <c r="B148" s="109"/>
      <c r="C148" s="109"/>
      <c r="D148" s="109"/>
      <c r="E148" s="109"/>
      <c r="F148" s="109"/>
      <c r="G148" s="109"/>
    </row>
    <row r="149" spans="1:7" ht="21.75" customHeight="1" x14ac:dyDescent="0.6">
      <c r="A149" s="109"/>
      <c r="B149" s="109"/>
      <c r="C149" s="109"/>
      <c r="D149" s="109"/>
      <c r="E149" s="109"/>
      <c r="F149" s="109"/>
      <c r="G149" s="109"/>
    </row>
    <row r="150" spans="1:7" ht="21.75" customHeight="1" x14ac:dyDescent="0.6">
      <c r="A150" s="109"/>
      <c r="B150" s="109"/>
      <c r="C150" s="109"/>
      <c r="D150" s="109"/>
      <c r="E150" s="109"/>
      <c r="F150" s="109"/>
      <c r="G150" s="109"/>
    </row>
    <row r="151" spans="1:7" ht="21.75" customHeight="1" x14ac:dyDescent="0.6">
      <c r="A151" s="109"/>
      <c r="B151" s="109"/>
      <c r="C151" s="109"/>
      <c r="D151" s="109"/>
      <c r="E151" s="109"/>
      <c r="F151" s="109"/>
      <c r="G151" s="109"/>
    </row>
    <row r="152" spans="1:7" ht="21.75" customHeight="1" x14ac:dyDescent="0.6">
      <c r="A152" s="109"/>
      <c r="B152" s="109"/>
      <c r="C152" s="109"/>
      <c r="D152" s="109"/>
      <c r="E152" s="109"/>
      <c r="F152" s="109"/>
      <c r="G152" s="109"/>
    </row>
    <row r="153" spans="1:7" ht="21.75" customHeight="1" x14ac:dyDescent="0.6">
      <c r="A153" s="109"/>
      <c r="B153" s="109"/>
      <c r="C153" s="109"/>
      <c r="D153" s="109"/>
      <c r="E153" s="109"/>
      <c r="F153" s="109"/>
      <c r="G153" s="109"/>
    </row>
    <row r="154" spans="1:7" ht="21.75" customHeight="1" x14ac:dyDescent="0.6">
      <c r="A154" s="109"/>
      <c r="B154" s="109"/>
      <c r="C154" s="109"/>
      <c r="D154" s="109"/>
      <c r="E154" s="109"/>
      <c r="F154" s="109"/>
      <c r="G154" s="109"/>
    </row>
    <row r="155" spans="1:7" ht="21.75" customHeight="1" x14ac:dyDescent="0.6">
      <c r="A155" s="109"/>
      <c r="B155" s="109"/>
      <c r="C155" s="109"/>
      <c r="D155" s="109"/>
      <c r="E155" s="109"/>
      <c r="F155" s="109"/>
      <c r="G155" s="109"/>
    </row>
    <row r="156" spans="1:7" ht="21.75" customHeight="1" x14ac:dyDescent="0.6">
      <c r="A156" s="109"/>
      <c r="B156" s="109"/>
      <c r="C156" s="109"/>
      <c r="D156" s="109"/>
      <c r="E156" s="109"/>
      <c r="F156" s="109"/>
      <c r="G156" s="109"/>
    </row>
    <row r="157" spans="1:7" ht="21.75" customHeight="1" x14ac:dyDescent="0.6">
      <c r="A157" s="109"/>
      <c r="B157" s="109"/>
      <c r="C157" s="109"/>
      <c r="D157" s="109"/>
      <c r="E157" s="109"/>
      <c r="F157" s="109"/>
      <c r="G157" s="109"/>
    </row>
    <row r="158" spans="1:7" ht="21.75" customHeight="1" x14ac:dyDescent="0.6">
      <c r="A158" s="109"/>
      <c r="B158" s="109"/>
      <c r="C158" s="109"/>
      <c r="D158" s="109"/>
      <c r="E158" s="109"/>
      <c r="F158" s="109"/>
      <c r="G158" s="109"/>
    </row>
    <row r="159" spans="1:7" ht="21.75" customHeight="1" x14ac:dyDescent="0.6">
      <c r="A159" s="109"/>
      <c r="B159" s="109"/>
      <c r="C159" s="109"/>
      <c r="D159" s="109"/>
      <c r="E159" s="109"/>
      <c r="F159" s="109"/>
      <c r="G159" s="109"/>
    </row>
    <row r="160" spans="1:7" ht="21.75" customHeight="1" x14ac:dyDescent="0.6">
      <c r="A160" s="109"/>
      <c r="B160" s="109"/>
      <c r="C160" s="109"/>
      <c r="D160" s="109"/>
      <c r="E160" s="109"/>
      <c r="F160" s="109"/>
      <c r="G160" s="109"/>
    </row>
    <row r="161" spans="1:7" ht="21.75" customHeight="1" x14ac:dyDescent="0.6">
      <c r="A161" s="109"/>
      <c r="B161" s="109"/>
      <c r="C161" s="109"/>
      <c r="D161" s="109"/>
      <c r="E161" s="109"/>
      <c r="F161" s="109"/>
      <c r="G161" s="109"/>
    </row>
    <row r="162" spans="1:7" ht="21.75" customHeight="1" x14ac:dyDescent="0.6">
      <c r="A162" s="109"/>
      <c r="B162" s="109"/>
      <c r="C162" s="109"/>
      <c r="D162" s="109"/>
      <c r="E162" s="109"/>
      <c r="F162" s="109"/>
      <c r="G162" s="109"/>
    </row>
    <row r="163" spans="1:7" ht="21.75" customHeight="1" x14ac:dyDescent="0.6">
      <c r="A163" s="109"/>
      <c r="B163" s="109"/>
      <c r="C163" s="109"/>
      <c r="D163" s="109"/>
      <c r="E163" s="109"/>
      <c r="F163" s="109"/>
      <c r="G163" s="109"/>
    </row>
    <row r="164" spans="1:7" ht="21.75" customHeight="1" x14ac:dyDescent="0.6">
      <c r="A164" s="109"/>
      <c r="B164" s="109"/>
      <c r="C164" s="109"/>
      <c r="D164" s="109"/>
      <c r="E164" s="109"/>
      <c r="F164" s="109"/>
      <c r="G164" s="109"/>
    </row>
    <row r="165" spans="1:7" ht="21.75" customHeight="1" x14ac:dyDescent="0.6">
      <c r="A165" s="109"/>
      <c r="B165" s="109"/>
      <c r="C165" s="109"/>
      <c r="D165" s="109"/>
      <c r="E165" s="109"/>
      <c r="F165" s="109"/>
      <c r="G165" s="109"/>
    </row>
    <row r="166" spans="1:7" ht="21.75" customHeight="1" x14ac:dyDescent="0.6">
      <c r="A166" s="109"/>
      <c r="B166" s="109"/>
      <c r="C166" s="109"/>
      <c r="D166" s="109"/>
      <c r="E166" s="109"/>
      <c r="F166" s="109"/>
      <c r="G166" s="109"/>
    </row>
    <row r="167" spans="1:7" ht="21.75" customHeight="1" x14ac:dyDescent="0.6">
      <c r="A167" s="109"/>
      <c r="B167" s="109"/>
      <c r="C167" s="109"/>
      <c r="D167" s="109"/>
      <c r="E167" s="109"/>
      <c r="F167" s="109"/>
      <c r="G167" s="109"/>
    </row>
    <row r="168" spans="1:7" ht="21.75" customHeight="1" x14ac:dyDescent="0.6">
      <c r="A168" s="109"/>
      <c r="B168" s="109"/>
      <c r="C168" s="109"/>
      <c r="D168" s="109"/>
      <c r="E168" s="109"/>
      <c r="F168" s="109"/>
      <c r="G168" s="109"/>
    </row>
    <row r="169" spans="1:7" ht="21.75" customHeight="1" x14ac:dyDescent="0.6">
      <c r="A169" s="109"/>
      <c r="B169" s="109"/>
      <c r="C169" s="109"/>
      <c r="D169" s="109"/>
      <c r="E169" s="109"/>
      <c r="F169" s="109"/>
      <c r="G169" s="109"/>
    </row>
    <row r="170" spans="1:7" ht="21.75" customHeight="1" x14ac:dyDescent="0.6">
      <c r="A170" s="109"/>
      <c r="B170" s="109"/>
      <c r="C170" s="109"/>
      <c r="D170" s="109"/>
      <c r="E170" s="109"/>
      <c r="F170" s="109"/>
      <c r="G170" s="109"/>
    </row>
    <row r="171" spans="1:7" ht="21.75" customHeight="1" x14ac:dyDescent="0.6">
      <c r="A171" s="109"/>
      <c r="B171" s="109"/>
      <c r="C171" s="109"/>
      <c r="D171" s="109"/>
      <c r="E171" s="109"/>
      <c r="F171" s="109"/>
      <c r="G171" s="109"/>
    </row>
    <row r="172" spans="1:7" ht="21.75" customHeight="1" x14ac:dyDescent="0.6">
      <c r="A172" s="109"/>
      <c r="B172" s="109"/>
      <c r="C172" s="109"/>
      <c r="D172" s="109"/>
      <c r="E172" s="109"/>
      <c r="F172" s="109"/>
      <c r="G172" s="109"/>
    </row>
    <row r="173" spans="1:7" ht="21.75" customHeight="1" x14ac:dyDescent="0.6">
      <c r="A173" s="109"/>
      <c r="B173" s="109"/>
      <c r="C173" s="109"/>
      <c r="D173" s="109"/>
      <c r="E173" s="109"/>
      <c r="F173" s="109"/>
      <c r="G173" s="109"/>
    </row>
    <row r="174" spans="1:7" ht="21.75" customHeight="1" x14ac:dyDescent="0.6">
      <c r="A174" s="109"/>
      <c r="B174" s="109"/>
      <c r="C174" s="109"/>
      <c r="D174" s="109"/>
      <c r="E174" s="109"/>
      <c r="F174" s="109"/>
      <c r="G174" s="109"/>
    </row>
    <row r="175" spans="1:7" ht="21.75" customHeight="1" x14ac:dyDescent="0.6">
      <c r="A175" s="109"/>
      <c r="B175" s="109"/>
      <c r="C175" s="109"/>
      <c r="D175" s="109"/>
      <c r="E175" s="109"/>
      <c r="F175" s="109"/>
      <c r="G175" s="109"/>
    </row>
    <row r="176" spans="1:7" ht="21.75" customHeight="1" x14ac:dyDescent="0.6">
      <c r="A176" s="109"/>
      <c r="B176" s="109"/>
      <c r="C176" s="109"/>
      <c r="D176" s="109"/>
      <c r="E176" s="109"/>
      <c r="F176" s="109"/>
      <c r="G176" s="109"/>
    </row>
    <row r="177" spans="1:7" ht="21.75" customHeight="1" x14ac:dyDescent="0.6">
      <c r="A177" s="109"/>
      <c r="B177" s="109"/>
      <c r="C177" s="109"/>
      <c r="D177" s="109"/>
      <c r="E177" s="109"/>
      <c r="F177" s="109"/>
      <c r="G177" s="109"/>
    </row>
    <row r="178" spans="1:7" ht="21.75" customHeight="1" x14ac:dyDescent="0.6">
      <c r="A178" s="109"/>
      <c r="B178" s="109"/>
      <c r="C178" s="109"/>
      <c r="D178" s="109"/>
      <c r="E178" s="109"/>
      <c r="F178" s="109"/>
      <c r="G178" s="109"/>
    </row>
    <row r="179" spans="1:7" ht="21.75" customHeight="1" x14ac:dyDescent="0.6">
      <c r="A179" s="109"/>
      <c r="B179" s="109"/>
      <c r="C179" s="109"/>
      <c r="D179" s="109"/>
      <c r="E179" s="109"/>
      <c r="F179" s="109"/>
      <c r="G179" s="109"/>
    </row>
    <row r="180" spans="1:7" ht="21.75" customHeight="1" x14ac:dyDescent="0.6">
      <c r="A180" s="109"/>
      <c r="B180" s="109"/>
      <c r="C180" s="109"/>
      <c r="D180" s="109"/>
      <c r="E180" s="109"/>
      <c r="F180" s="109"/>
      <c r="G180" s="109"/>
    </row>
    <row r="181" spans="1:7" ht="21.75" customHeight="1" x14ac:dyDescent="0.6">
      <c r="A181" s="109"/>
      <c r="B181" s="109"/>
      <c r="C181" s="109"/>
      <c r="D181" s="109"/>
      <c r="E181" s="109"/>
      <c r="F181" s="109"/>
      <c r="G181" s="109"/>
    </row>
    <row r="182" spans="1:7" ht="21.75" customHeight="1" x14ac:dyDescent="0.6">
      <c r="A182" s="109"/>
      <c r="B182" s="109"/>
      <c r="C182" s="109"/>
      <c r="D182" s="109"/>
      <c r="E182" s="109"/>
      <c r="F182" s="109"/>
      <c r="G182" s="109"/>
    </row>
    <row r="183" spans="1:7" ht="21.75" customHeight="1" x14ac:dyDescent="0.6">
      <c r="A183" s="109"/>
      <c r="B183" s="109"/>
      <c r="C183" s="109"/>
      <c r="D183" s="109"/>
      <c r="E183" s="109"/>
      <c r="F183" s="109"/>
      <c r="G183" s="109"/>
    </row>
    <row r="184" spans="1:7" ht="21.75" customHeight="1" x14ac:dyDescent="0.6">
      <c r="A184" s="109"/>
      <c r="B184" s="109"/>
      <c r="C184" s="109"/>
      <c r="D184" s="109"/>
      <c r="E184" s="109"/>
      <c r="F184" s="109"/>
      <c r="G184" s="109"/>
    </row>
    <row r="185" spans="1:7" ht="21.75" customHeight="1" x14ac:dyDescent="0.6">
      <c r="A185" s="109"/>
      <c r="B185" s="109"/>
      <c r="C185" s="109"/>
      <c r="D185" s="109"/>
      <c r="E185" s="109"/>
      <c r="F185" s="109"/>
      <c r="G185" s="109"/>
    </row>
    <row r="186" spans="1:7" ht="21.75" customHeight="1" x14ac:dyDescent="0.6">
      <c r="A186" s="109"/>
      <c r="B186" s="109"/>
      <c r="C186" s="109"/>
      <c r="D186" s="109"/>
      <c r="E186" s="109"/>
      <c r="F186" s="109"/>
      <c r="G186" s="109"/>
    </row>
    <row r="187" spans="1:7" ht="21.75" customHeight="1" x14ac:dyDescent="0.6">
      <c r="A187" s="109"/>
      <c r="B187" s="109"/>
      <c r="C187" s="109"/>
      <c r="D187" s="109"/>
      <c r="E187" s="109"/>
      <c r="F187" s="109"/>
      <c r="G187" s="109"/>
    </row>
    <row r="188" spans="1:7" ht="21.75" customHeight="1" x14ac:dyDescent="0.6">
      <c r="A188" s="109"/>
      <c r="B188" s="109"/>
      <c r="C188" s="109"/>
      <c r="D188" s="109"/>
      <c r="E188" s="109"/>
      <c r="F188" s="109"/>
      <c r="G188" s="109"/>
    </row>
    <row r="189" spans="1:7" ht="21.75" customHeight="1" x14ac:dyDescent="0.6">
      <c r="A189" s="109"/>
      <c r="B189" s="109"/>
      <c r="C189" s="109"/>
      <c r="D189" s="109"/>
      <c r="E189" s="109"/>
      <c r="F189" s="109"/>
      <c r="G189" s="109"/>
    </row>
    <row r="190" spans="1:7" ht="21.75" customHeight="1" x14ac:dyDescent="0.6">
      <c r="A190" s="109"/>
      <c r="B190" s="109"/>
      <c r="C190" s="109"/>
      <c r="D190" s="109"/>
      <c r="E190" s="109"/>
      <c r="F190" s="109"/>
      <c r="G190" s="109"/>
    </row>
    <row r="191" spans="1:7" ht="21.75" customHeight="1" x14ac:dyDescent="0.6">
      <c r="A191" s="109"/>
      <c r="B191" s="109"/>
      <c r="C191" s="109"/>
      <c r="D191" s="109"/>
      <c r="E191" s="109"/>
      <c r="F191" s="109"/>
      <c r="G191" s="109"/>
    </row>
    <row r="192" spans="1:7" ht="21.75" customHeight="1" x14ac:dyDescent="0.6">
      <c r="A192" s="109"/>
      <c r="B192" s="109"/>
      <c r="C192" s="109"/>
      <c r="D192" s="109"/>
      <c r="E192" s="109"/>
      <c r="F192" s="109"/>
      <c r="G192" s="109"/>
    </row>
    <row r="193" spans="1:7" ht="21.75" customHeight="1" x14ac:dyDescent="0.6">
      <c r="A193" s="109"/>
      <c r="B193" s="109"/>
      <c r="C193" s="109"/>
      <c r="D193" s="109"/>
      <c r="E193" s="109"/>
      <c r="F193" s="109"/>
      <c r="G193" s="109"/>
    </row>
    <row r="194" spans="1:7" ht="21.75" customHeight="1" x14ac:dyDescent="0.6">
      <c r="A194" s="109"/>
      <c r="B194" s="109"/>
      <c r="C194" s="109"/>
      <c r="D194" s="109"/>
      <c r="E194" s="109"/>
      <c r="F194" s="109"/>
      <c r="G194" s="109"/>
    </row>
    <row r="195" spans="1:7" ht="21.75" customHeight="1" x14ac:dyDescent="0.6">
      <c r="A195" s="109"/>
      <c r="B195" s="109"/>
      <c r="C195" s="109"/>
      <c r="D195" s="109"/>
      <c r="E195" s="109"/>
      <c r="F195" s="109"/>
      <c r="G195" s="109"/>
    </row>
    <row r="196" spans="1:7" ht="21.75" customHeight="1" x14ac:dyDescent="0.6">
      <c r="A196" s="109"/>
      <c r="B196" s="109"/>
      <c r="C196" s="109"/>
      <c r="D196" s="109"/>
      <c r="E196" s="109"/>
      <c r="F196" s="109"/>
      <c r="G196" s="109"/>
    </row>
    <row r="197" spans="1:7" ht="21.75" customHeight="1" x14ac:dyDescent="0.6">
      <c r="A197" s="109"/>
      <c r="B197" s="109"/>
      <c r="C197" s="109"/>
      <c r="D197" s="109"/>
      <c r="E197" s="109"/>
      <c r="F197" s="109"/>
      <c r="G197" s="109"/>
    </row>
    <row r="198" spans="1:7" ht="21.75" customHeight="1" x14ac:dyDescent="0.6">
      <c r="A198" s="109"/>
      <c r="B198" s="109"/>
      <c r="C198" s="109"/>
      <c r="D198" s="109"/>
      <c r="E198" s="109"/>
      <c r="F198" s="109"/>
      <c r="G198" s="109"/>
    </row>
    <row r="199" spans="1:7" ht="21.75" customHeight="1" x14ac:dyDescent="0.6">
      <c r="A199" s="109"/>
      <c r="B199" s="109"/>
      <c r="C199" s="109"/>
      <c r="D199" s="109"/>
      <c r="E199" s="109"/>
      <c r="F199" s="109"/>
      <c r="G199" s="109"/>
    </row>
    <row r="200" spans="1:7" ht="21.75" customHeight="1" x14ac:dyDescent="0.6">
      <c r="A200" s="109"/>
      <c r="B200" s="109"/>
      <c r="C200" s="109"/>
      <c r="D200" s="109"/>
      <c r="E200" s="109"/>
      <c r="F200" s="109"/>
      <c r="G200" s="109"/>
    </row>
    <row r="201" spans="1:7" ht="21.75" customHeight="1" x14ac:dyDescent="0.6">
      <c r="A201" s="109"/>
      <c r="B201" s="109"/>
      <c r="C201" s="109"/>
      <c r="D201" s="109"/>
      <c r="E201" s="109"/>
      <c r="F201" s="109"/>
      <c r="G201" s="109"/>
    </row>
    <row r="202" spans="1:7" ht="21.75" customHeight="1" x14ac:dyDescent="0.6">
      <c r="A202" s="109"/>
      <c r="B202" s="109"/>
      <c r="C202" s="109"/>
      <c r="D202" s="109"/>
      <c r="E202" s="109"/>
      <c r="F202" s="109"/>
      <c r="G202" s="109"/>
    </row>
    <row r="203" spans="1:7" ht="21.75" customHeight="1" x14ac:dyDescent="0.6">
      <c r="A203" s="109"/>
      <c r="B203" s="109"/>
      <c r="C203" s="109"/>
      <c r="D203" s="109"/>
      <c r="E203" s="109"/>
      <c r="F203" s="109"/>
      <c r="G203" s="109"/>
    </row>
    <row r="204" spans="1:7" ht="21.75" customHeight="1" x14ac:dyDescent="0.6">
      <c r="A204" s="109"/>
      <c r="B204" s="109"/>
      <c r="C204" s="109"/>
      <c r="D204" s="109"/>
      <c r="E204" s="109"/>
      <c r="F204" s="109"/>
      <c r="G204" s="109"/>
    </row>
    <row r="205" spans="1:7" ht="21.75" customHeight="1" x14ac:dyDescent="0.6">
      <c r="A205" s="109"/>
      <c r="B205" s="109"/>
      <c r="C205" s="109"/>
      <c r="D205" s="109"/>
      <c r="E205" s="109"/>
      <c r="F205" s="109"/>
      <c r="G205" s="109"/>
    </row>
    <row r="206" spans="1:7" ht="21.75" customHeight="1" x14ac:dyDescent="0.6">
      <c r="A206" s="109"/>
      <c r="B206" s="109"/>
      <c r="C206" s="109"/>
      <c r="D206" s="109"/>
      <c r="E206" s="109"/>
      <c r="F206" s="109"/>
      <c r="G206" s="109"/>
    </row>
    <row r="207" spans="1:7" ht="21.75" customHeight="1" x14ac:dyDescent="0.6">
      <c r="A207" s="109"/>
      <c r="B207" s="109"/>
      <c r="C207" s="109"/>
      <c r="D207" s="109"/>
      <c r="E207" s="109"/>
      <c r="F207" s="109"/>
      <c r="G207" s="109"/>
    </row>
    <row r="208" spans="1:7" ht="21.75" customHeight="1" x14ac:dyDescent="0.6">
      <c r="A208" s="109"/>
      <c r="B208" s="109"/>
      <c r="C208" s="109"/>
      <c r="D208" s="109"/>
      <c r="E208" s="109"/>
      <c r="F208" s="109"/>
      <c r="G208" s="109"/>
    </row>
    <row r="209" spans="1:7" ht="21.75" customHeight="1" x14ac:dyDescent="0.6">
      <c r="A209" s="109"/>
      <c r="B209" s="109"/>
      <c r="C209" s="109"/>
      <c r="D209" s="109"/>
      <c r="E209" s="109"/>
      <c r="F209" s="109"/>
      <c r="G209" s="109"/>
    </row>
    <row r="210" spans="1:7" ht="21.75" customHeight="1" x14ac:dyDescent="0.6">
      <c r="A210" s="109"/>
      <c r="B210" s="109"/>
      <c r="C210" s="109"/>
      <c r="D210" s="109"/>
      <c r="E210" s="109"/>
      <c r="F210" s="109"/>
      <c r="G210" s="109"/>
    </row>
    <row r="211" spans="1:7" ht="21.75" customHeight="1" x14ac:dyDescent="0.6">
      <c r="A211" s="109"/>
      <c r="B211" s="109"/>
      <c r="C211" s="109"/>
      <c r="D211" s="109"/>
      <c r="E211" s="109"/>
      <c r="F211" s="109"/>
      <c r="G211" s="109"/>
    </row>
    <row r="212" spans="1:7" ht="21.75" customHeight="1" x14ac:dyDescent="0.6">
      <c r="A212" s="109"/>
      <c r="B212" s="109"/>
      <c r="C212" s="109"/>
      <c r="D212" s="109"/>
      <c r="E212" s="109"/>
      <c r="F212" s="109"/>
      <c r="G212" s="109"/>
    </row>
    <row r="213" spans="1:7" ht="21.75" customHeight="1" x14ac:dyDescent="0.6">
      <c r="A213" s="109"/>
      <c r="B213" s="109"/>
      <c r="C213" s="109"/>
      <c r="D213" s="109"/>
      <c r="E213" s="109"/>
      <c r="F213" s="109"/>
      <c r="G213" s="109"/>
    </row>
    <row r="214" spans="1:7" ht="21.75" customHeight="1" x14ac:dyDescent="0.6">
      <c r="A214" s="109"/>
      <c r="B214" s="109"/>
      <c r="C214" s="109"/>
      <c r="D214" s="109"/>
      <c r="E214" s="109"/>
      <c r="F214" s="109"/>
      <c r="G214" s="109"/>
    </row>
    <row r="215" spans="1:7" ht="21.75" customHeight="1" x14ac:dyDescent="0.6">
      <c r="A215" s="109"/>
      <c r="B215" s="109"/>
      <c r="C215" s="109"/>
      <c r="D215" s="109"/>
      <c r="E215" s="109"/>
      <c r="F215" s="109"/>
      <c r="G215" s="109"/>
    </row>
    <row r="216" spans="1:7" ht="21.75" customHeight="1" x14ac:dyDescent="0.6">
      <c r="A216" s="109"/>
      <c r="B216" s="109"/>
      <c r="C216" s="109"/>
      <c r="D216" s="109"/>
      <c r="E216" s="109"/>
      <c r="F216" s="109"/>
      <c r="G216" s="109"/>
    </row>
    <row r="217" spans="1:7" ht="21.75" customHeight="1" x14ac:dyDescent="0.6">
      <c r="A217" s="109"/>
      <c r="B217" s="109"/>
      <c r="C217" s="109"/>
      <c r="D217" s="109"/>
      <c r="E217" s="109"/>
      <c r="F217" s="109"/>
      <c r="G217" s="109"/>
    </row>
    <row r="218" spans="1:7" ht="21.75" customHeight="1" x14ac:dyDescent="0.6">
      <c r="A218" s="109"/>
      <c r="B218" s="109"/>
      <c r="C218" s="109"/>
      <c r="D218" s="109"/>
      <c r="E218" s="109"/>
      <c r="F218" s="109"/>
      <c r="G218" s="109"/>
    </row>
    <row r="219" spans="1:7" ht="21.75" customHeight="1" x14ac:dyDescent="0.6">
      <c r="A219" s="109"/>
      <c r="B219" s="109"/>
      <c r="C219" s="109"/>
      <c r="D219" s="109"/>
      <c r="E219" s="109"/>
      <c r="F219" s="109"/>
      <c r="G219" s="109"/>
    </row>
    <row r="220" spans="1:7" ht="21.75" customHeight="1" x14ac:dyDescent="0.6">
      <c r="A220" s="109"/>
      <c r="B220" s="109"/>
      <c r="C220" s="109"/>
      <c r="D220" s="109"/>
      <c r="E220" s="109"/>
      <c r="F220" s="109"/>
      <c r="G220" s="109"/>
    </row>
    <row r="221" spans="1:7" ht="21.75" customHeight="1" x14ac:dyDescent="0.6">
      <c r="A221" s="109"/>
      <c r="B221" s="109"/>
      <c r="C221" s="109"/>
      <c r="D221" s="109"/>
      <c r="E221" s="109"/>
      <c r="F221" s="109"/>
      <c r="G221" s="109"/>
    </row>
    <row r="222" spans="1:7" ht="21.75" customHeight="1" x14ac:dyDescent="0.6">
      <c r="A222" s="109"/>
      <c r="B222" s="109"/>
      <c r="C222" s="109"/>
      <c r="D222" s="109"/>
      <c r="E222" s="109"/>
      <c r="F222" s="109"/>
      <c r="G222" s="109"/>
    </row>
    <row r="223" spans="1:7" ht="21.75" customHeight="1" x14ac:dyDescent="0.6">
      <c r="A223" s="109"/>
      <c r="B223" s="109"/>
      <c r="C223" s="109"/>
      <c r="D223" s="109"/>
      <c r="E223" s="109"/>
      <c r="F223" s="109"/>
      <c r="G223" s="109"/>
    </row>
    <row r="224" spans="1:7" ht="21.75" customHeight="1" x14ac:dyDescent="0.6">
      <c r="A224" s="109"/>
      <c r="B224" s="109"/>
      <c r="C224" s="109"/>
      <c r="D224" s="109"/>
      <c r="E224" s="109"/>
      <c r="F224" s="109"/>
      <c r="G224" s="109"/>
    </row>
    <row r="225" spans="1:7" ht="21.75" customHeight="1" x14ac:dyDescent="0.6">
      <c r="A225" s="109"/>
      <c r="B225" s="109"/>
      <c r="C225" s="109"/>
      <c r="D225" s="109"/>
      <c r="E225" s="109"/>
      <c r="F225" s="109"/>
      <c r="G225" s="109"/>
    </row>
    <row r="226" spans="1:7" ht="21.75" customHeight="1" x14ac:dyDescent="0.6">
      <c r="A226" s="109"/>
      <c r="B226" s="109"/>
      <c r="C226" s="109"/>
      <c r="D226" s="109"/>
      <c r="E226" s="109"/>
      <c r="F226" s="109"/>
      <c r="G226" s="109"/>
    </row>
    <row r="227" spans="1:7" ht="21.75" customHeight="1" x14ac:dyDescent="0.6">
      <c r="A227" s="109"/>
      <c r="B227" s="109"/>
      <c r="C227" s="109"/>
      <c r="D227" s="109"/>
      <c r="E227" s="109"/>
      <c r="F227" s="109"/>
      <c r="G227" s="109"/>
    </row>
    <row r="228" spans="1:7" ht="21.75" customHeight="1" x14ac:dyDescent="0.6">
      <c r="A228" s="109"/>
      <c r="B228" s="109"/>
      <c r="C228" s="109"/>
      <c r="D228" s="109"/>
      <c r="E228" s="109"/>
      <c r="F228" s="109"/>
      <c r="G228" s="109"/>
    </row>
    <row r="229" spans="1:7" ht="21.75" customHeight="1" x14ac:dyDescent="0.6">
      <c r="A229" s="109"/>
      <c r="B229" s="109"/>
      <c r="C229" s="109"/>
      <c r="D229" s="109"/>
      <c r="E229" s="109"/>
      <c r="F229" s="109"/>
      <c r="G229" s="109"/>
    </row>
    <row r="230" spans="1:7" ht="21.75" customHeight="1" x14ac:dyDescent="0.6">
      <c r="A230" s="109"/>
      <c r="B230" s="109"/>
      <c r="C230" s="109"/>
      <c r="D230" s="109"/>
      <c r="E230" s="109"/>
      <c r="F230" s="109"/>
      <c r="G230" s="109"/>
    </row>
    <row r="231" spans="1:7" ht="21.75" customHeight="1" x14ac:dyDescent="0.6">
      <c r="A231" s="109"/>
      <c r="B231" s="109"/>
      <c r="C231" s="109"/>
      <c r="D231" s="109"/>
      <c r="E231" s="109"/>
      <c r="F231" s="109"/>
      <c r="G231" s="109"/>
    </row>
    <row r="232" spans="1:7" ht="21.75" customHeight="1" x14ac:dyDescent="0.6">
      <c r="A232" s="109"/>
      <c r="B232" s="109"/>
      <c r="C232" s="109"/>
      <c r="D232" s="109"/>
      <c r="E232" s="109"/>
      <c r="F232" s="109"/>
      <c r="G232" s="109"/>
    </row>
    <row r="233" spans="1:7" ht="21.75" customHeight="1" x14ac:dyDescent="0.6">
      <c r="A233" s="109"/>
      <c r="B233" s="109"/>
      <c r="C233" s="109"/>
      <c r="D233" s="109"/>
      <c r="E233" s="109"/>
      <c r="F233" s="109"/>
      <c r="G233" s="109"/>
    </row>
    <row r="234" spans="1:7" ht="21.75" customHeight="1" x14ac:dyDescent="0.6">
      <c r="A234" s="109"/>
      <c r="B234" s="109"/>
      <c r="C234" s="109"/>
      <c r="D234" s="109"/>
      <c r="E234" s="109"/>
      <c r="F234" s="109"/>
      <c r="G234" s="109"/>
    </row>
    <row r="235" spans="1:7" ht="21.75" customHeight="1" x14ac:dyDescent="0.6">
      <c r="A235" s="109"/>
      <c r="B235" s="109"/>
      <c r="C235" s="109"/>
      <c r="D235" s="109"/>
      <c r="E235" s="109"/>
      <c r="F235" s="109"/>
      <c r="G235" s="109"/>
    </row>
    <row r="236" spans="1:7" ht="21.75" customHeight="1" x14ac:dyDescent="0.6">
      <c r="A236" s="109"/>
      <c r="B236" s="109"/>
      <c r="C236" s="109"/>
      <c r="D236" s="109"/>
      <c r="E236" s="109"/>
      <c r="F236" s="109"/>
      <c r="G236" s="109"/>
    </row>
    <row r="237" spans="1:7" ht="21.75" customHeight="1" x14ac:dyDescent="0.6">
      <c r="A237" s="109"/>
      <c r="B237" s="109"/>
      <c r="C237" s="109"/>
      <c r="D237" s="109"/>
      <c r="E237" s="109"/>
      <c r="F237" s="109"/>
      <c r="G237" s="109"/>
    </row>
    <row r="238" spans="1:7" ht="21.75" customHeight="1" x14ac:dyDescent="0.6">
      <c r="A238" s="109"/>
      <c r="B238" s="109"/>
      <c r="C238" s="109"/>
      <c r="D238" s="109"/>
      <c r="E238" s="109"/>
      <c r="F238" s="109"/>
      <c r="G238" s="109"/>
    </row>
    <row r="239" spans="1:7" ht="21.75" customHeight="1" x14ac:dyDescent="0.6">
      <c r="A239" s="109"/>
      <c r="B239" s="109"/>
      <c r="C239" s="109"/>
      <c r="D239" s="109"/>
      <c r="E239" s="109"/>
      <c r="F239" s="109"/>
      <c r="G239" s="109"/>
    </row>
    <row r="240" spans="1:7" ht="21.75" customHeight="1" x14ac:dyDescent="0.6">
      <c r="A240" s="109"/>
      <c r="B240" s="109"/>
      <c r="C240" s="109"/>
      <c r="D240" s="109"/>
      <c r="E240" s="109"/>
      <c r="F240" s="109"/>
      <c r="G240" s="109"/>
    </row>
    <row r="241" spans="1:7" ht="21.75" customHeight="1" x14ac:dyDescent="0.6">
      <c r="A241" s="109"/>
      <c r="B241" s="109"/>
      <c r="C241" s="109"/>
      <c r="D241" s="109"/>
      <c r="E241" s="109"/>
      <c r="F241" s="109"/>
      <c r="G241" s="109"/>
    </row>
    <row r="242" spans="1:7" ht="21.75" customHeight="1" x14ac:dyDescent="0.6">
      <c r="A242" s="109"/>
      <c r="B242" s="109"/>
      <c r="C242" s="109"/>
      <c r="D242" s="109"/>
      <c r="E242" s="109"/>
      <c r="F242" s="109"/>
      <c r="G242" s="109"/>
    </row>
    <row r="243" spans="1:7" ht="21.75" customHeight="1" x14ac:dyDescent="0.6">
      <c r="A243" s="109"/>
      <c r="B243" s="109"/>
      <c r="C243" s="109"/>
      <c r="D243" s="109"/>
      <c r="E243" s="109"/>
      <c r="F243" s="109"/>
      <c r="G243" s="109"/>
    </row>
    <row r="244" spans="1:7" ht="21.75" customHeight="1" x14ac:dyDescent="0.6">
      <c r="A244" s="109"/>
      <c r="B244" s="109"/>
      <c r="C244" s="109"/>
      <c r="D244" s="109"/>
      <c r="E244" s="109"/>
      <c r="F244" s="109"/>
      <c r="G244" s="109"/>
    </row>
    <row r="245" spans="1:7" ht="21.75" customHeight="1" x14ac:dyDescent="0.6">
      <c r="A245" s="109"/>
      <c r="B245" s="109"/>
      <c r="C245" s="109"/>
      <c r="D245" s="109"/>
      <c r="E245" s="109"/>
      <c r="F245" s="109"/>
      <c r="G245" s="109"/>
    </row>
    <row r="246" spans="1:7" ht="21.75" customHeight="1" x14ac:dyDescent="0.6">
      <c r="A246" s="109"/>
      <c r="B246" s="109"/>
      <c r="C246" s="109"/>
      <c r="D246" s="109"/>
      <c r="E246" s="109"/>
      <c r="F246" s="109"/>
      <c r="G246" s="109"/>
    </row>
    <row r="247" spans="1:7" ht="21.75" customHeight="1" x14ac:dyDescent="0.6">
      <c r="A247" s="109"/>
      <c r="B247" s="109"/>
      <c r="C247" s="109"/>
      <c r="D247" s="109"/>
      <c r="E247" s="109"/>
      <c r="F247" s="109"/>
      <c r="G247" s="109"/>
    </row>
    <row r="248" spans="1:7" ht="21.75" customHeight="1" x14ac:dyDescent="0.6">
      <c r="A248" s="109"/>
      <c r="B248" s="109"/>
      <c r="C248" s="109"/>
      <c r="D248" s="109"/>
      <c r="E248" s="109"/>
      <c r="F248" s="109"/>
      <c r="G248" s="109"/>
    </row>
    <row r="249" spans="1:7" ht="21.75" customHeight="1" x14ac:dyDescent="0.6">
      <c r="A249" s="109"/>
      <c r="B249" s="109"/>
      <c r="C249" s="109"/>
      <c r="D249" s="109"/>
      <c r="E249" s="109"/>
      <c r="F249" s="109"/>
      <c r="G249" s="109"/>
    </row>
    <row r="250" spans="1:7" ht="21.75" customHeight="1" x14ac:dyDescent="0.6">
      <c r="A250" s="109"/>
      <c r="B250" s="109"/>
      <c r="C250" s="109"/>
      <c r="D250" s="109"/>
      <c r="E250" s="109"/>
      <c r="F250" s="109"/>
      <c r="G250" s="109"/>
    </row>
    <row r="251" spans="1:7" ht="21.75" customHeight="1" x14ac:dyDescent="0.6">
      <c r="A251" s="109"/>
      <c r="B251" s="109"/>
      <c r="C251" s="109"/>
      <c r="D251" s="109"/>
      <c r="E251" s="109"/>
      <c r="F251" s="109"/>
      <c r="G251" s="109"/>
    </row>
    <row r="252" spans="1:7" ht="21.75" customHeight="1" x14ac:dyDescent="0.6">
      <c r="A252" s="109"/>
      <c r="B252" s="109"/>
      <c r="C252" s="109"/>
      <c r="D252" s="109"/>
      <c r="E252" s="109"/>
      <c r="F252" s="109"/>
      <c r="G252" s="109"/>
    </row>
    <row r="253" spans="1:7" ht="21.75" customHeight="1" x14ac:dyDescent="0.6">
      <c r="A253" s="109"/>
      <c r="B253" s="109"/>
      <c r="C253" s="109"/>
      <c r="D253" s="109"/>
      <c r="E253" s="109"/>
      <c r="F253" s="109"/>
      <c r="G253" s="109"/>
    </row>
    <row r="254" spans="1:7" ht="21.75" customHeight="1" x14ac:dyDescent="0.6">
      <c r="A254" s="109"/>
      <c r="B254" s="109"/>
      <c r="C254" s="109"/>
      <c r="D254" s="109"/>
      <c r="E254" s="109"/>
      <c r="F254" s="109"/>
      <c r="G254" s="109"/>
    </row>
    <row r="255" spans="1:7" ht="21.75" customHeight="1" x14ac:dyDescent="0.6">
      <c r="A255" s="109"/>
      <c r="B255" s="109"/>
      <c r="C255" s="109"/>
      <c r="D255" s="109"/>
      <c r="E255" s="109"/>
      <c r="F255" s="109"/>
      <c r="G255" s="109"/>
    </row>
    <row r="256" spans="1:7" ht="21.75" customHeight="1" x14ac:dyDescent="0.6">
      <c r="A256" s="109"/>
      <c r="B256" s="109"/>
      <c r="C256" s="109"/>
      <c r="D256" s="109"/>
      <c r="E256" s="109"/>
      <c r="F256" s="109"/>
      <c r="G256" s="109"/>
    </row>
    <row r="257" spans="1:7" ht="21.75" customHeight="1" x14ac:dyDescent="0.6">
      <c r="A257" s="109"/>
      <c r="B257" s="109"/>
      <c r="C257" s="109"/>
      <c r="D257" s="109"/>
      <c r="E257" s="109"/>
      <c r="F257" s="109"/>
      <c r="G257" s="109"/>
    </row>
    <row r="258" spans="1:7" ht="21.75" customHeight="1" x14ac:dyDescent="0.6">
      <c r="A258" s="109"/>
      <c r="B258" s="109"/>
      <c r="C258" s="109"/>
      <c r="D258" s="109"/>
      <c r="E258" s="109"/>
      <c r="F258" s="109"/>
      <c r="G258" s="109"/>
    </row>
    <row r="259" spans="1:7" ht="21.75" customHeight="1" x14ac:dyDescent="0.6">
      <c r="A259" s="109"/>
      <c r="B259" s="109"/>
      <c r="C259" s="109"/>
      <c r="D259" s="109"/>
      <c r="E259" s="109"/>
      <c r="F259" s="109"/>
      <c r="G259" s="109"/>
    </row>
    <row r="260" spans="1:7" ht="21.75" customHeight="1" x14ac:dyDescent="0.6">
      <c r="A260" s="109"/>
      <c r="B260" s="109"/>
      <c r="C260" s="109"/>
      <c r="D260" s="109"/>
      <c r="E260" s="109"/>
      <c r="F260" s="109"/>
      <c r="G260" s="109"/>
    </row>
    <row r="261" spans="1:7" ht="21.75" customHeight="1" x14ac:dyDescent="0.6">
      <c r="A261" s="109"/>
      <c r="B261" s="109"/>
      <c r="C261" s="109"/>
      <c r="D261" s="109"/>
      <c r="E261" s="109"/>
      <c r="F261" s="109"/>
      <c r="G261" s="109"/>
    </row>
    <row r="262" spans="1:7" ht="21.75" customHeight="1" x14ac:dyDescent="0.6">
      <c r="A262" s="109"/>
      <c r="B262" s="109"/>
      <c r="C262" s="109"/>
      <c r="D262" s="109"/>
      <c r="E262" s="109"/>
      <c r="F262" s="109"/>
      <c r="G262" s="109"/>
    </row>
    <row r="263" spans="1:7" ht="21.75" customHeight="1" x14ac:dyDescent="0.6">
      <c r="A263" s="109"/>
      <c r="B263" s="109"/>
      <c r="C263" s="109"/>
      <c r="D263" s="109"/>
      <c r="E263" s="109"/>
      <c r="F263" s="109"/>
      <c r="G263" s="109"/>
    </row>
    <row r="264" spans="1:7" ht="21.75" customHeight="1" x14ac:dyDescent="0.6">
      <c r="A264" s="109"/>
      <c r="B264" s="109"/>
      <c r="C264" s="109"/>
      <c r="D264" s="109"/>
      <c r="E264" s="109"/>
      <c r="F264" s="109"/>
      <c r="G264" s="109"/>
    </row>
    <row r="265" spans="1:7" ht="21.75" customHeight="1" x14ac:dyDescent="0.6">
      <c r="A265" s="109"/>
      <c r="B265" s="109"/>
      <c r="C265" s="109"/>
      <c r="D265" s="109"/>
      <c r="E265" s="109"/>
      <c r="F265" s="109"/>
      <c r="G265" s="109"/>
    </row>
    <row r="266" spans="1:7" ht="21.75" customHeight="1" x14ac:dyDescent="0.6">
      <c r="A266" s="109"/>
      <c r="B266" s="109"/>
      <c r="C266" s="109"/>
      <c r="D266" s="109"/>
      <c r="E266" s="109"/>
      <c r="F266" s="109"/>
      <c r="G266" s="109"/>
    </row>
    <row r="267" spans="1:7" ht="21.75" customHeight="1" x14ac:dyDescent="0.6">
      <c r="A267" s="109"/>
      <c r="B267" s="109"/>
      <c r="C267" s="109"/>
      <c r="D267" s="109"/>
      <c r="E267" s="109"/>
      <c r="F267" s="109"/>
      <c r="G267" s="109"/>
    </row>
    <row r="268" spans="1:7" ht="21.75" customHeight="1" x14ac:dyDescent="0.6">
      <c r="A268" s="109"/>
      <c r="B268" s="109"/>
      <c r="C268" s="109"/>
      <c r="D268" s="109"/>
      <c r="E268" s="109"/>
      <c r="F268" s="109"/>
      <c r="G268" s="109"/>
    </row>
    <row r="269" spans="1:7" ht="21.75" customHeight="1" x14ac:dyDescent="0.6">
      <c r="A269" s="109"/>
      <c r="B269" s="109"/>
      <c r="C269" s="109"/>
      <c r="D269" s="109"/>
      <c r="E269" s="109"/>
      <c r="F269" s="109"/>
      <c r="G269" s="109"/>
    </row>
    <row r="270" spans="1:7" ht="21.75" customHeight="1" x14ac:dyDescent="0.6">
      <c r="A270" s="109"/>
      <c r="B270" s="109"/>
      <c r="C270" s="109"/>
      <c r="D270" s="109"/>
      <c r="E270" s="109"/>
      <c r="F270" s="109"/>
      <c r="G270" s="109"/>
    </row>
    <row r="271" spans="1:7" ht="21.75" customHeight="1" x14ac:dyDescent="0.6">
      <c r="A271" s="109"/>
      <c r="B271" s="109"/>
      <c r="C271" s="109"/>
      <c r="D271" s="109"/>
      <c r="E271" s="109"/>
      <c r="F271" s="109"/>
      <c r="G271" s="109"/>
    </row>
    <row r="272" spans="1:7" ht="21.75" customHeight="1" x14ac:dyDescent="0.6">
      <c r="A272" s="109"/>
      <c r="B272" s="109"/>
      <c r="C272" s="109"/>
      <c r="D272" s="109"/>
      <c r="E272" s="109"/>
      <c r="F272" s="109"/>
      <c r="G272" s="109"/>
    </row>
    <row r="273" spans="1:7" ht="21.75" customHeight="1" x14ac:dyDescent="0.6">
      <c r="A273" s="109"/>
      <c r="B273" s="109"/>
      <c r="C273" s="109"/>
      <c r="D273" s="109"/>
      <c r="E273" s="109"/>
      <c r="F273" s="109"/>
      <c r="G273" s="109"/>
    </row>
    <row r="274" spans="1:7" ht="21.75" customHeight="1" x14ac:dyDescent="0.6">
      <c r="A274" s="109"/>
      <c r="B274" s="109"/>
      <c r="C274" s="109"/>
      <c r="D274" s="109"/>
      <c r="E274" s="109"/>
      <c r="F274" s="109"/>
      <c r="G274" s="109"/>
    </row>
    <row r="275" spans="1:7" ht="21.75" customHeight="1" x14ac:dyDescent="0.6">
      <c r="A275" s="109"/>
      <c r="B275" s="109"/>
      <c r="C275" s="109"/>
      <c r="D275" s="109"/>
      <c r="E275" s="109"/>
      <c r="F275" s="109"/>
      <c r="G275" s="109"/>
    </row>
    <row r="276" spans="1:7" ht="21.75" customHeight="1" x14ac:dyDescent="0.6">
      <c r="A276" s="109"/>
      <c r="B276" s="109"/>
      <c r="C276" s="109"/>
      <c r="D276" s="109"/>
      <c r="E276" s="109"/>
      <c r="F276" s="109"/>
      <c r="G276" s="109"/>
    </row>
    <row r="277" spans="1:7" ht="21.75" customHeight="1" x14ac:dyDescent="0.6">
      <c r="A277" s="109"/>
      <c r="B277" s="109"/>
      <c r="C277" s="109"/>
      <c r="D277" s="109"/>
      <c r="E277" s="109"/>
      <c r="F277" s="109"/>
      <c r="G277" s="109"/>
    </row>
    <row r="278" spans="1:7" ht="21.75" customHeight="1" x14ac:dyDescent="0.6">
      <c r="A278" s="109"/>
      <c r="B278" s="109"/>
      <c r="C278" s="109"/>
      <c r="D278" s="109"/>
      <c r="E278" s="109"/>
      <c r="F278" s="109"/>
      <c r="G278" s="109"/>
    </row>
    <row r="279" spans="1:7" ht="21.75" customHeight="1" x14ac:dyDescent="0.6">
      <c r="A279" s="109"/>
      <c r="B279" s="109"/>
      <c r="C279" s="109"/>
      <c r="D279" s="109"/>
      <c r="E279" s="109"/>
      <c r="F279" s="109"/>
      <c r="G279" s="109"/>
    </row>
    <row r="280" spans="1:7" ht="21.75" customHeight="1" x14ac:dyDescent="0.6">
      <c r="A280" s="109"/>
      <c r="B280" s="109"/>
      <c r="C280" s="109"/>
      <c r="D280" s="109"/>
      <c r="E280" s="109"/>
      <c r="F280" s="109"/>
      <c r="G280" s="109"/>
    </row>
    <row r="281" spans="1:7" ht="21.75" customHeight="1" x14ac:dyDescent="0.6">
      <c r="A281" s="109"/>
      <c r="B281" s="109"/>
      <c r="C281" s="109"/>
      <c r="D281" s="109"/>
      <c r="E281" s="109"/>
      <c r="F281" s="109"/>
      <c r="G281" s="109"/>
    </row>
    <row r="282" spans="1:7" ht="21.75" customHeight="1" x14ac:dyDescent="0.6">
      <c r="A282" s="109"/>
      <c r="B282" s="109"/>
      <c r="C282" s="109"/>
      <c r="D282" s="109"/>
      <c r="E282" s="109"/>
      <c r="F282" s="109"/>
      <c r="G282" s="109"/>
    </row>
    <row r="283" spans="1:7" ht="21.75" customHeight="1" x14ac:dyDescent="0.6">
      <c r="A283" s="109"/>
      <c r="B283" s="109"/>
      <c r="C283" s="109"/>
      <c r="D283" s="109"/>
      <c r="E283" s="109"/>
      <c r="F283" s="109"/>
      <c r="G283" s="109"/>
    </row>
    <row r="284" spans="1:7" ht="21.75" customHeight="1" x14ac:dyDescent="0.6">
      <c r="A284" s="109"/>
      <c r="B284" s="109"/>
      <c r="C284" s="109"/>
      <c r="D284" s="109"/>
      <c r="E284" s="109"/>
      <c r="F284" s="109"/>
      <c r="G284" s="109"/>
    </row>
    <row r="285" spans="1:7" ht="21.75" customHeight="1" x14ac:dyDescent="0.6">
      <c r="A285" s="109"/>
      <c r="B285" s="109"/>
      <c r="C285" s="109"/>
      <c r="D285" s="109"/>
      <c r="E285" s="109"/>
      <c r="F285" s="109"/>
      <c r="G285" s="109"/>
    </row>
    <row r="286" spans="1:7" ht="21.75" customHeight="1" x14ac:dyDescent="0.6">
      <c r="A286" s="109"/>
      <c r="B286" s="109"/>
      <c r="C286" s="109"/>
      <c r="D286" s="109"/>
      <c r="E286" s="109"/>
      <c r="F286" s="109"/>
      <c r="G286" s="109"/>
    </row>
    <row r="287" spans="1:7" ht="21.75" customHeight="1" x14ac:dyDescent="0.6">
      <c r="A287" s="109"/>
      <c r="B287" s="109"/>
      <c r="C287" s="109"/>
      <c r="D287" s="109"/>
      <c r="E287" s="109"/>
      <c r="F287" s="109"/>
      <c r="G287" s="109"/>
    </row>
    <row r="288" spans="1:7" ht="21.75" customHeight="1" x14ac:dyDescent="0.6">
      <c r="A288" s="109"/>
      <c r="B288" s="109"/>
      <c r="C288" s="109"/>
      <c r="D288" s="109"/>
      <c r="E288" s="109"/>
      <c r="F288" s="109"/>
      <c r="G288" s="109"/>
    </row>
    <row r="289" spans="1:7" ht="21.75" customHeight="1" x14ac:dyDescent="0.6">
      <c r="A289" s="109"/>
      <c r="B289" s="109"/>
      <c r="C289" s="109"/>
      <c r="D289" s="109"/>
      <c r="E289" s="109"/>
      <c r="F289" s="109"/>
      <c r="G289" s="109"/>
    </row>
    <row r="290" spans="1:7" ht="21.75" customHeight="1" x14ac:dyDescent="0.6">
      <c r="A290" s="109"/>
      <c r="B290" s="109"/>
      <c r="C290" s="109"/>
      <c r="D290" s="109"/>
      <c r="E290" s="109"/>
      <c r="F290" s="109"/>
      <c r="G290" s="109"/>
    </row>
    <row r="291" spans="1:7" ht="21.75" customHeight="1" x14ac:dyDescent="0.6">
      <c r="A291" s="109"/>
      <c r="B291" s="109"/>
      <c r="C291" s="109"/>
      <c r="D291" s="109"/>
      <c r="E291" s="109"/>
      <c r="F291" s="109"/>
      <c r="G291" s="109"/>
    </row>
    <row r="292" spans="1:7" ht="21.75" customHeight="1" x14ac:dyDescent="0.6">
      <c r="A292" s="109"/>
      <c r="B292" s="109"/>
      <c r="C292" s="109"/>
      <c r="D292" s="109"/>
      <c r="E292" s="109"/>
      <c r="F292" s="109"/>
      <c r="G292" s="109"/>
    </row>
    <row r="293" spans="1:7" ht="21.75" customHeight="1" x14ac:dyDescent="0.6">
      <c r="A293" s="109"/>
      <c r="B293" s="109"/>
      <c r="C293" s="109"/>
      <c r="D293" s="109"/>
      <c r="E293" s="109"/>
      <c r="F293" s="109"/>
      <c r="G293" s="109"/>
    </row>
    <row r="294" spans="1:7" ht="21.75" customHeight="1" x14ac:dyDescent="0.6">
      <c r="A294" s="109"/>
      <c r="B294" s="109"/>
      <c r="C294" s="109"/>
      <c r="D294" s="109"/>
      <c r="E294" s="109"/>
      <c r="F294" s="109"/>
      <c r="G294" s="109"/>
    </row>
    <row r="295" spans="1:7" ht="21.75" customHeight="1" x14ac:dyDescent="0.6">
      <c r="A295" s="109"/>
      <c r="B295" s="109"/>
      <c r="C295" s="109"/>
      <c r="D295" s="109"/>
      <c r="E295" s="109"/>
      <c r="F295" s="109"/>
      <c r="G295" s="109"/>
    </row>
    <row r="296" spans="1:7" ht="21.75" customHeight="1" x14ac:dyDescent="0.6">
      <c r="A296" s="109"/>
      <c r="B296" s="109"/>
      <c r="C296" s="109"/>
      <c r="D296" s="109"/>
      <c r="E296" s="109"/>
      <c r="F296" s="109"/>
      <c r="G296" s="109"/>
    </row>
    <row r="297" spans="1:7" ht="21.75" customHeight="1" x14ac:dyDescent="0.6">
      <c r="A297" s="109"/>
      <c r="B297" s="109"/>
      <c r="C297" s="109"/>
      <c r="D297" s="109"/>
      <c r="E297" s="109"/>
      <c r="F297" s="109"/>
      <c r="G297" s="109"/>
    </row>
    <row r="298" spans="1:7" ht="21.75" customHeight="1" x14ac:dyDescent="0.6">
      <c r="A298" s="109"/>
      <c r="B298" s="109"/>
      <c r="C298" s="109"/>
      <c r="D298" s="109"/>
      <c r="E298" s="109"/>
      <c r="F298" s="109"/>
      <c r="G298" s="109"/>
    </row>
    <row r="299" spans="1:7" ht="21.75" customHeight="1" x14ac:dyDescent="0.6">
      <c r="A299" s="109"/>
      <c r="B299" s="109"/>
      <c r="C299" s="109"/>
      <c r="D299" s="109"/>
      <c r="E299" s="109"/>
      <c r="F299" s="109"/>
      <c r="G299" s="109"/>
    </row>
    <row r="300" spans="1:7" ht="21.75" customHeight="1" x14ac:dyDescent="0.6">
      <c r="A300" s="109"/>
      <c r="B300" s="109"/>
      <c r="C300" s="109"/>
      <c r="D300" s="109"/>
      <c r="E300" s="109"/>
      <c r="F300" s="109"/>
      <c r="G300" s="109"/>
    </row>
    <row r="301" spans="1:7" ht="21.75" customHeight="1" x14ac:dyDescent="0.6">
      <c r="A301" s="109"/>
      <c r="B301" s="109"/>
      <c r="C301" s="109"/>
      <c r="D301" s="109"/>
      <c r="E301" s="109"/>
      <c r="F301" s="109"/>
      <c r="G301" s="109"/>
    </row>
    <row r="302" spans="1:7" ht="21.75" customHeight="1" x14ac:dyDescent="0.6">
      <c r="A302" s="109"/>
      <c r="B302" s="109"/>
      <c r="C302" s="109"/>
      <c r="D302" s="109"/>
      <c r="E302" s="109"/>
      <c r="F302" s="109"/>
      <c r="G302" s="109"/>
    </row>
    <row r="303" spans="1:7" ht="21.75" customHeight="1" x14ac:dyDescent="0.6">
      <c r="A303" s="109"/>
      <c r="B303" s="109"/>
      <c r="C303" s="109"/>
      <c r="D303" s="109"/>
      <c r="E303" s="109"/>
      <c r="F303" s="109"/>
      <c r="G303" s="109"/>
    </row>
    <row r="304" spans="1:7" ht="21.75" customHeight="1" x14ac:dyDescent="0.6">
      <c r="A304" s="109"/>
      <c r="B304" s="109"/>
      <c r="C304" s="109"/>
      <c r="D304" s="109"/>
      <c r="E304" s="109"/>
      <c r="F304" s="109"/>
      <c r="G304" s="109"/>
    </row>
    <row r="305" spans="1:7" ht="21.75" customHeight="1" x14ac:dyDescent="0.6">
      <c r="A305" s="109"/>
      <c r="B305" s="109"/>
      <c r="C305" s="109"/>
      <c r="D305" s="109"/>
      <c r="E305" s="109"/>
      <c r="F305" s="109"/>
      <c r="G305" s="109"/>
    </row>
    <row r="306" spans="1:7" ht="21.75" customHeight="1" x14ac:dyDescent="0.6">
      <c r="A306" s="109"/>
      <c r="B306" s="109"/>
      <c r="C306" s="109"/>
      <c r="D306" s="109"/>
      <c r="E306" s="109"/>
      <c r="F306" s="109"/>
      <c r="G306" s="109"/>
    </row>
    <row r="307" spans="1:7" ht="21.75" customHeight="1" x14ac:dyDescent="0.6">
      <c r="A307" s="109"/>
      <c r="B307" s="109"/>
      <c r="C307" s="109"/>
      <c r="D307" s="109"/>
      <c r="E307" s="109"/>
      <c r="F307" s="109"/>
      <c r="G307" s="109"/>
    </row>
    <row r="308" spans="1:7" ht="21.75" customHeight="1" x14ac:dyDescent="0.6">
      <c r="A308" s="109"/>
      <c r="B308" s="109"/>
      <c r="C308" s="109"/>
      <c r="D308" s="109"/>
      <c r="E308" s="109"/>
      <c r="F308" s="109"/>
      <c r="G308" s="109"/>
    </row>
    <row r="309" spans="1:7" ht="21.75" customHeight="1" x14ac:dyDescent="0.6">
      <c r="A309" s="109"/>
      <c r="B309" s="109"/>
      <c r="C309" s="109"/>
      <c r="D309" s="109"/>
      <c r="E309" s="109"/>
      <c r="F309" s="109"/>
      <c r="G309" s="109"/>
    </row>
    <row r="310" spans="1:7" ht="21.75" customHeight="1" x14ac:dyDescent="0.6">
      <c r="A310" s="109"/>
      <c r="B310" s="109"/>
      <c r="C310" s="109"/>
      <c r="D310" s="109"/>
      <c r="E310" s="109"/>
      <c r="F310" s="109"/>
      <c r="G310" s="109"/>
    </row>
    <row r="311" spans="1:7" ht="21.75" customHeight="1" x14ac:dyDescent="0.6">
      <c r="A311" s="109"/>
      <c r="B311" s="109"/>
      <c r="C311" s="109"/>
      <c r="D311" s="109"/>
      <c r="E311" s="109"/>
      <c r="F311" s="109"/>
      <c r="G311" s="109"/>
    </row>
    <row r="312" spans="1:7" ht="21.75" customHeight="1" x14ac:dyDescent="0.6">
      <c r="A312" s="109"/>
      <c r="B312" s="109"/>
      <c r="C312" s="109"/>
      <c r="D312" s="109"/>
      <c r="E312" s="109"/>
      <c r="F312" s="109"/>
      <c r="G312" s="109"/>
    </row>
    <row r="313" spans="1:7" ht="21.75" customHeight="1" x14ac:dyDescent="0.6">
      <c r="A313" s="109"/>
      <c r="B313" s="109"/>
      <c r="C313" s="109"/>
      <c r="D313" s="109"/>
      <c r="E313" s="109"/>
      <c r="F313" s="109"/>
      <c r="G313" s="109"/>
    </row>
    <row r="314" spans="1:7" ht="21.75" customHeight="1" x14ac:dyDescent="0.6">
      <c r="A314" s="109"/>
      <c r="B314" s="109"/>
      <c r="C314" s="109"/>
      <c r="D314" s="109"/>
      <c r="E314" s="109"/>
      <c r="F314" s="109"/>
      <c r="G314" s="109"/>
    </row>
    <row r="315" spans="1:7" ht="21.75" customHeight="1" x14ac:dyDescent="0.6">
      <c r="A315" s="109"/>
      <c r="B315" s="109"/>
      <c r="C315" s="109"/>
      <c r="D315" s="109"/>
      <c r="E315" s="109"/>
      <c r="F315" s="109"/>
      <c r="G315" s="109"/>
    </row>
    <row r="316" spans="1:7" ht="21.75" customHeight="1" x14ac:dyDescent="0.6">
      <c r="A316" s="109"/>
      <c r="B316" s="109"/>
      <c r="C316" s="109"/>
      <c r="D316" s="109"/>
      <c r="E316" s="109"/>
      <c r="F316" s="109"/>
      <c r="G316" s="109"/>
    </row>
    <row r="317" spans="1:7" ht="21.75" customHeight="1" x14ac:dyDescent="0.6">
      <c r="A317" s="109"/>
      <c r="B317" s="109"/>
      <c r="C317" s="109"/>
      <c r="D317" s="109"/>
      <c r="E317" s="109"/>
      <c r="F317" s="109"/>
      <c r="G317" s="109"/>
    </row>
    <row r="318" spans="1:7" ht="21.75" customHeight="1" x14ac:dyDescent="0.6">
      <c r="A318" s="109"/>
      <c r="B318" s="109"/>
      <c r="C318" s="109"/>
      <c r="D318" s="109"/>
      <c r="E318" s="109"/>
      <c r="F318" s="109"/>
      <c r="G318" s="109"/>
    </row>
    <row r="319" spans="1:7" ht="21.75" customHeight="1" x14ac:dyDescent="0.6">
      <c r="A319" s="109"/>
      <c r="B319" s="109"/>
      <c r="C319" s="109"/>
      <c r="D319" s="109"/>
      <c r="E319" s="109"/>
      <c r="F319" s="109"/>
      <c r="G319" s="109"/>
    </row>
    <row r="320" spans="1:7" ht="21.75" customHeight="1" x14ac:dyDescent="0.6">
      <c r="A320" s="109"/>
      <c r="B320" s="109"/>
      <c r="C320" s="109"/>
      <c r="D320" s="109"/>
      <c r="E320" s="109"/>
      <c r="F320" s="109"/>
      <c r="G320" s="109"/>
    </row>
    <row r="321" spans="1:7" ht="21.75" customHeight="1" x14ac:dyDescent="0.6">
      <c r="A321" s="109"/>
      <c r="B321" s="109"/>
      <c r="C321" s="109"/>
      <c r="D321" s="109"/>
      <c r="E321" s="109"/>
      <c r="F321" s="109"/>
      <c r="G321" s="109"/>
    </row>
    <row r="322" spans="1:7" ht="21.75" customHeight="1" x14ac:dyDescent="0.6">
      <c r="A322" s="109"/>
      <c r="B322" s="109"/>
      <c r="C322" s="109"/>
      <c r="D322" s="109"/>
      <c r="E322" s="109"/>
      <c r="F322" s="109"/>
      <c r="G322" s="109"/>
    </row>
    <row r="323" spans="1:7" ht="21.75" customHeight="1" x14ac:dyDescent="0.6">
      <c r="A323" s="109"/>
      <c r="B323" s="109"/>
      <c r="C323" s="109"/>
      <c r="D323" s="109"/>
      <c r="E323" s="109"/>
      <c r="F323" s="109"/>
      <c r="G323" s="109"/>
    </row>
    <row r="324" spans="1:7" ht="21.75" customHeight="1" x14ac:dyDescent="0.6">
      <c r="A324" s="109"/>
      <c r="B324" s="109"/>
      <c r="C324" s="109"/>
      <c r="D324" s="109"/>
      <c r="E324" s="109"/>
      <c r="F324" s="109"/>
      <c r="G324" s="109"/>
    </row>
    <row r="325" spans="1:7" ht="21.75" customHeight="1" x14ac:dyDescent="0.6">
      <c r="A325" s="109"/>
      <c r="B325" s="109"/>
      <c r="C325" s="109"/>
      <c r="D325" s="109"/>
      <c r="E325" s="109"/>
      <c r="F325" s="109"/>
      <c r="G325" s="109"/>
    </row>
    <row r="326" spans="1:7" ht="21.75" customHeight="1" x14ac:dyDescent="0.6">
      <c r="A326" s="109"/>
      <c r="B326" s="109"/>
      <c r="C326" s="109"/>
      <c r="D326" s="109"/>
      <c r="E326" s="109"/>
      <c r="F326" s="109"/>
      <c r="G326" s="109"/>
    </row>
    <row r="327" spans="1:7" ht="21.75" customHeight="1" x14ac:dyDescent="0.6">
      <c r="A327" s="109"/>
      <c r="B327" s="109"/>
      <c r="C327" s="109"/>
      <c r="D327" s="109"/>
      <c r="E327" s="109"/>
      <c r="F327" s="109"/>
      <c r="G327" s="109"/>
    </row>
    <row r="328" spans="1:7" ht="21.75" customHeight="1" x14ac:dyDescent="0.6">
      <c r="A328" s="109"/>
      <c r="B328" s="109"/>
      <c r="C328" s="109"/>
      <c r="D328" s="109"/>
      <c r="E328" s="109"/>
      <c r="F328" s="109"/>
      <c r="G328" s="109"/>
    </row>
    <row r="329" spans="1:7" ht="21.75" customHeight="1" x14ac:dyDescent="0.6">
      <c r="A329" s="109"/>
      <c r="B329" s="109"/>
      <c r="C329" s="109"/>
      <c r="D329" s="109"/>
      <c r="E329" s="109"/>
      <c r="F329" s="109"/>
      <c r="G329" s="109"/>
    </row>
    <row r="330" spans="1:7" ht="21.75" customHeight="1" x14ac:dyDescent="0.6">
      <c r="A330" s="109"/>
      <c r="B330" s="109"/>
      <c r="C330" s="109"/>
      <c r="D330" s="109"/>
      <c r="E330" s="109"/>
      <c r="F330" s="109"/>
      <c r="G330" s="109"/>
    </row>
    <row r="331" spans="1:7" ht="21.75" customHeight="1" x14ac:dyDescent="0.6">
      <c r="A331" s="109"/>
      <c r="B331" s="109"/>
      <c r="C331" s="109"/>
      <c r="D331" s="109"/>
      <c r="E331" s="109"/>
      <c r="F331" s="109"/>
      <c r="G331" s="109"/>
    </row>
    <row r="332" spans="1:7" ht="21.75" customHeight="1" x14ac:dyDescent="0.6">
      <c r="A332" s="109"/>
      <c r="B332" s="109"/>
      <c r="C332" s="109"/>
      <c r="D332" s="109"/>
      <c r="E332" s="109"/>
      <c r="F332" s="109"/>
      <c r="G332" s="109"/>
    </row>
    <row r="333" spans="1:7" ht="21.75" customHeight="1" x14ac:dyDescent="0.6">
      <c r="A333" s="109"/>
      <c r="B333" s="109"/>
      <c r="C333" s="109"/>
      <c r="D333" s="109"/>
      <c r="E333" s="109"/>
      <c r="F333" s="109"/>
      <c r="G333" s="109"/>
    </row>
    <row r="334" spans="1:7" ht="21.75" customHeight="1" x14ac:dyDescent="0.6">
      <c r="A334" s="109"/>
      <c r="B334" s="109"/>
      <c r="C334" s="109"/>
      <c r="D334" s="109"/>
      <c r="E334" s="109"/>
      <c r="F334" s="109"/>
      <c r="G334" s="109"/>
    </row>
    <row r="335" spans="1:7" ht="21.75" customHeight="1" x14ac:dyDescent="0.6">
      <c r="A335" s="109"/>
      <c r="B335" s="109"/>
      <c r="C335" s="109"/>
      <c r="D335" s="109"/>
      <c r="E335" s="109"/>
      <c r="F335" s="109"/>
      <c r="G335" s="109"/>
    </row>
    <row r="336" spans="1:7" ht="21.75" customHeight="1" x14ac:dyDescent="0.6">
      <c r="A336" s="109"/>
      <c r="B336" s="109"/>
      <c r="C336" s="109"/>
      <c r="D336" s="109"/>
      <c r="E336" s="109"/>
      <c r="F336" s="109"/>
      <c r="G336" s="109"/>
    </row>
    <row r="337" spans="1:7" ht="21.75" customHeight="1" x14ac:dyDescent="0.6">
      <c r="A337" s="109"/>
      <c r="B337" s="109"/>
      <c r="C337" s="109"/>
      <c r="D337" s="109"/>
      <c r="E337" s="109"/>
      <c r="F337" s="109"/>
      <c r="G337" s="109"/>
    </row>
    <row r="338" spans="1:7" ht="21.75" customHeight="1" x14ac:dyDescent="0.6">
      <c r="A338" s="109"/>
      <c r="B338" s="109"/>
      <c r="C338" s="109"/>
      <c r="D338" s="109"/>
      <c r="E338" s="109"/>
      <c r="F338" s="109"/>
      <c r="G338" s="109"/>
    </row>
    <row r="339" spans="1:7" ht="21.75" customHeight="1" x14ac:dyDescent="0.6">
      <c r="A339" s="109"/>
      <c r="B339" s="109"/>
      <c r="C339" s="109"/>
      <c r="D339" s="109"/>
      <c r="E339" s="109"/>
      <c r="F339" s="109"/>
      <c r="G339" s="109"/>
    </row>
    <row r="340" spans="1:7" ht="21.75" customHeight="1" x14ac:dyDescent="0.6">
      <c r="A340" s="109"/>
      <c r="B340" s="109"/>
      <c r="C340" s="109"/>
      <c r="D340" s="109"/>
      <c r="E340" s="109"/>
      <c r="F340" s="109"/>
      <c r="G340" s="109"/>
    </row>
    <row r="341" spans="1:7" ht="21.75" customHeight="1" x14ac:dyDescent="0.6">
      <c r="A341" s="109"/>
      <c r="B341" s="109"/>
      <c r="C341" s="109"/>
      <c r="D341" s="109"/>
      <c r="E341" s="109"/>
      <c r="F341" s="109"/>
      <c r="G341" s="109"/>
    </row>
    <row r="342" spans="1:7" ht="21.75" customHeight="1" x14ac:dyDescent="0.6">
      <c r="A342" s="109"/>
      <c r="B342" s="109"/>
      <c r="C342" s="109"/>
      <c r="D342" s="109"/>
      <c r="E342" s="109"/>
      <c r="F342" s="109"/>
      <c r="G342" s="109"/>
    </row>
    <row r="343" spans="1:7" ht="21.75" customHeight="1" x14ac:dyDescent="0.6">
      <c r="A343" s="109"/>
      <c r="B343" s="109"/>
      <c r="C343" s="109"/>
      <c r="D343" s="109"/>
      <c r="E343" s="109"/>
      <c r="F343" s="109"/>
      <c r="G343" s="109"/>
    </row>
    <row r="344" spans="1:7" ht="21.75" customHeight="1" x14ac:dyDescent="0.6">
      <c r="A344" s="109"/>
      <c r="B344" s="109"/>
      <c r="C344" s="109"/>
      <c r="D344" s="109"/>
      <c r="E344" s="109"/>
      <c r="F344" s="109"/>
      <c r="G344" s="109"/>
    </row>
    <row r="345" spans="1:7" ht="21.75" customHeight="1" x14ac:dyDescent="0.6">
      <c r="A345" s="109"/>
      <c r="B345" s="109"/>
      <c r="C345" s="109"/>
      <c r="D345" s="109"/>
      <c r="E345" s="109"/>
      <c r="F345" s="109"/>
      <c r="G345" s="109"/>
    </row>
    <row r="346" spans="1:7" ht="21.75" customHeight="1" x14ac:dyDescent="0.6">
      <c r="A346" s="109"/>
      <c r="B346" s="109"/>
      <c r="C346" s="109"/>
      <c r="D346" s="109"/>
      <c r="E346" s="109"/>
      <c r="F346" s="109"/>
      <c r="G346" s="109"/>
    </row>
    <row r="347" spans="1:7" ht="21.75" customHeight="1" x14ac:dyDescent="0.6">
      <c r="A347" s="109"/>
      <c r="B347" s="109"/>
      <c r="C347" s="109"/>
      <c r="D347" s="109"/>
      <c r="E347" s="109"/>
      <c r="F347" s="109"/>
      <c r="G347" s="109"/>
    </row>
    <row r="348" spans="1:7" ht="21.75" customHeight="1" x14ac:dyDescent="0.6">
      <c r="A348" s="109"/>
      <c r="B348" s="109"/>
      <c r="C348" s="109"/>
      <c r="D348" s="109"/>
      <c r="E348" s="109"/>
      <c r="F348" s="109"/>
      <c r="G348" s="109"/>
    </row>
    <row r="349" spans="1:7" ht="21.75" customHeight="1" x14ac:dyDescent="0.6">
      <c r="A349" s="109"/>
      <c r="B349" s="109"/>
      <c r="C349" s="109"/>
      <c r="D349" s="109"/>
      <c r="E349" s="109"/>
      <c r="F349" s="109"/>
      <c r="G349" s="109"/>
    </row>
    <row r="350" spans="1:7" ht="21.75" customHeight="1" x14ac:dyDescent="0.6">
      <c r="A350" s="109"/>
      <c r="B350" s="109"/>
      <c r="C350" s="109"/>
      <c r="D350" s="109"/>
      <c r="E350" s="109"/>
      <c r="F350" s="109"/>
      <c r="G350" s="109"/>
    </row>
    <row r="351" spans="1:7" ht="21.75" customHeight="1" x14ac:dyDescent="0.6">
      <c r="A351" s="109"/>
      <c r="B351" s="109"/>
      <c r="C351" s="109"/>
      <c r="D351" s="109"/>
      <c r="E351" s="109"/>
      <c r="F351" s="109"/>
      <c r="G351" s="109"/>
    </row>
    <row r="352" spans="1:7" ht="21.75" customHeight="1" x14ac:dyDescent="0.6">
      <c r="A352" s="109"/>
      <c r="B352" s="109"/>
      <c r="C352" s="109"/>
      <c r="D352" s="109"/>
      <c r="E352" s="109"/>
      <c r="F352" s="109"/>
      <c r="G352" s="109"/>
    </row>
    <row r="353" spans="1:7" ht="21.75" customHeight="1" x14ac:dyDescent="0.6">
      <c r="A353" s="109"/>
      <c r="B353" s="109"/>
      <c r="C353" s="109"/>
      <c r="D353" s="109"/>
      <c r="E353" s="109"/>
      <c r="F353" s="109"/>
      <c r="G353" s="109"/>
    </row>
    <row r="354" spans="1:7" ht="21.75" customHeight="1" x14ac:dyDescent="0.6">
      <c r="A354" s="109"/>
      <c r="B354" s="109"/>
      <c r="C354" s="109"/>
      <c r="D354" s="109"/>
      <c r="E354" s="109"/>
      <c r="F354" s="109"/>
      <c r="G354" s="109"/>
    </row>
    <row r="355" spans="1:7" ht="21.75" customHeight="1" x14ac:dyDescent="0.6">
      <c r="A355" s="109"/>
      <c r="B355" s="109"/>
      <c r="C355" s="109"/>
      <c r="D355" s="109"/>
      <c r="E355" s="109"/>
      <c r="F355" s="109"/>
      <c r="G355" s="109"/>
    </row>
    <row r="356" spans="1:7" ht="21.75" customHeight="1" x14ac:dyDescent="0.6">
      <c r="A356" s="109"/>
      <c r="B356" s="109"/>
      <c r="C356" s="109"/>
      <c r="D356" s="109"/>
      <c r="E356" s="109"/>
      <c r="F356" s="109"/>
      <c r="G356" s="109"/>
    </row>
    <row r="357" spans="1:7" ht="21.75" customHeight="1" x14ac:dyDescent="0.6">
      <c r="A357" s="109"/>
      <c r="B357" s="109"/>
      <c r="C357" s="109"/>
      <c r="D357" s="109"/>
      <c r="E357" s="109"/>
      <c r="F357" s="109"/>
      <c r="G357" s="109"/>
    </row>
    <row r="358" spans="1:7" ht="21.75" customHeight="1" x14ac:dyDescent="0.6">
      <c r="A358" s="109"/>
      <c r="B358" s="109"/>
      <c r="C358" s="109"/>
      <c r="D358" s="109"/>
      <c r="E358" s="109"/>
      <c r="F358" s="109"/>
      <c r="G358" s="109"/>
    </row>
    <row r="359" spans="1:7" ht="21.75" customHeight="1" x14ac:dyDescent="0.6">
      <c r="A359" s="109"/>
      <c r="B359" s="109"/>
      <c r="C359" s="109"/>
      <c r="D359" s="109"/>
      <c r="E359" s="109"/>
      <c r="F359" s="109"/>
      <c r="G359" s="109"/>
    </row>
    <row r="360" spans="1:7" ht="21.75" customHeight="1" x14ac:dyDescent="0.6">
      <c r="A360" s="109"/>
      <c r="B360" s="109"/>
      <c r="C360" s="109"/>
      <c r="D360" s="109"/>
      <c r="E360" s="109"/>
      <c r="F360" s="109"/>
      <c r="G360" s="109"/>
    </row>
    <row r="361" spans="1:7" ht="21.75" customHeight="1" x14ac:dyDescent="0.6">
      <c r="A361" s="109"/>
      <c r="B361" s="109"/>
      <c r="C361" s="109"/>
      <c r="D361" s="109"/>
      <c r="E361" s="109"/>
      <c r="F361" s="109"/>
      <c r="G361" s="109"/>
    </row>
    <row r="362" spans="1:7" ht="21.75" customHeight="1" x14ac:dyDescent="0.6">
      <c r="A362" s="109"/>
      <c r="B362" s="109"/>
      <c r="C362" s="109"/>
      <c r="D362" s="109"/>
      <c r="E362" s="109"/>
      <c r="F362" s="109"/>
      <c r="G362" s="109"/>
    </row>
    <row r="363" spans="1:7" ht="21.75" customHeight="1" x14ac:dyDescent="0.6">
      <c r="A363" s="109"/>
      <c r="B363" s="109"/>
      <c r="C363" s="109"/>
      <c r="D363" s="109"/>
      <c r="E363" s="109"/>
      <c r="F363" s="109"/>
      <c r="G363" s="109"/>
    </row>
    <row r="364" spans="1:7" ht="21.75" customHeight="1" x14ac:dyDescent="0.6">
      <c r="A364" s="109"/>
      <c r="B364" s="109"/>
      <c r="C364" s="109"/>
      <c r="D364" s="109"/>
      <c r="E364" s="109"/>
      <c r="F364" s="109"/>
      <c r="G364" s="109"/>
    </row>
    <row r="365" spans="1:7" ht="21.75" customHeight="1" x14ac:dyDescent="0.6">
      <c r="A365" s="109"/>
      <c r="B365" s="109"/>
      <c r="C365" s="109"/>
      <c r="D365" s="109"/>
      <c r="E365" s="109"/>
      <c r="F365" s="109"/>
      <c r="G365" s="109"/>
    </row>
    <row r="366" spans="1:7" ht="21.75" customHeight="1" x14ac:dyDescent="0.6">
      <c r="A366" s="109"/>
      <c r="B366" s="109"/>
      <c r="C366" s="109"/>
      <c r="D366" s="109"/>
      <c r="E366" s="109"/>
      <c r="F366" s="109"/>
      <c r="G366" s="109"/>
    </row>
    <row r="367" spans="1:7" ht="21.75" customHeight="1" x14ac:dyDescent="0.6">
      <c r="A367" s="109"/>
      <c r="B367" s="109"/>
      <c r="C367" s="109"/>
      <c r="D367" s="109"/>
      <c r="E367" s="109"/>
      <c r="F367" s="109"/>
      <c r="G367" s="109"/>
    </row>
    <row r="368" spans="1:7" ht="21.75" customHeight="1" x14ac:dyDescent="0.6">
      <c r="A368" s="109"/>
      <c r="B368" s="109"/>
      <c r="C368" s="109"/>
      <c r="D368" s="109"/>
      <c r="E368" s="109"/>
      <c r="F368" s="109"/>
      <c r="G368" s="109"/>
    </row>
    <row r="369" spans="1:7" ht="21.75" customHeight="1" x14ac:dyDescent="0.6">
      <c r="A369" s="109"/>
      <c r="B369" s="109"/>
      <c r="C369" s="109"/>
      <c r="D369" s="109"/>
      <c r="E369" s="109"/>
      <c r="F369" s="109"/>
      <c r="G369" s="109"/>
    </row>
    <row r="370" spans="1:7" ht="21.75" customHeight="1" x14ac:dyDescent="0.6">
      <c r="A370" s="109"/>
      <c r="B370" s="109"/>
      <c r="C370" s="109"/>
      <c r="D370" s="109"/>
      <c r="E370" s="109"/>
      <c r="F370" s="109"/>
      <c r="G370" s="109"/>
    </row>
    <row r="371" spans="1:7" ht="21.75" customHeight="1" x14ac:dyDescent="0.6">
      <c r="A371" s="109"/>
      <c r="B371" s="109"/>
      <c r="C371" s="109"/>
      <c r="D371" s="109"/>
      <c r="E371" s="109"/>
      <c r="F371" s="109"/>
      <c r="G371" s="109"/>
    </row>
    <row r="372" spans="1:7" ht="21.75" customHeight="1" x14ac:dyDescent="0.6">
      <c r="A372" s="109"/>
      <c r="B372" s="109"/>
      <c r="C372" s="109"/>
      <c r="D372" s="109"/>
      <c r="E372" s="109"/>
      <c r="F372" s="109"/>
      <c r="G372" s="109"/>
    </row>
    <row r="373" spans="1:7" ht="21.75" customHeight="1" x14ac:dyDescent="0.6">
      <c r="A373" s="109"/>
      <c r="B373" s="109"/>
      <c r="C373" s="109"/>
      <c r="D373" s="109"/>
      <c r="E373" s="109"/>
      <c r="F373" s="109"/>
      <c r="G373" s="109"/>
    </row>
    <row r="374" spans="1:7" ht="21.75" customHeight="1" x14ac:dyDescent="0.6">
      <c r="A374" s="109"/>
      <c r="B374" s="109"/>
      <c r="C374" s="109"/>
      <c r="D374" s="109"/>
      <c r="E374" s="109"/>
      <c r="F374" s="109"/>
      <c r="G374" s="109"/>
    </row>
    <row r="375" spans="1:7" ht="21.75" customHeight="1" x14ac:dyDescent="0.6">
      <c r="A375" s="109"/>
      <c r="B375" s="109"/>
      <c r="C375" s="109"/>
      <c r="D375" s="109"/>
      <c r="E375" s="109"/>
      <c r="F375" s="109"/>
      <c r="G375" s="109"/>
    </row>
    <row r="376" spans="1:7" ht="21.75" customHeight="1" x14ac:dyDescent="0.6">
      <c r="A376" s="109"/>
      <c r="B376" s="109"/>
      <c r="C376" s="109"/>
      <c r="D376" s="109"/>
      <c r="E376" s="109"/>
      <c r="F376" s="109"/>
      <c r="G376" s="109"/>
    </row>
    <row r="377" spans="1:7" ht="21.75" customHeight="1" x14ac:dyDescent="0.6">
      <c r="A377" s="109"/>
      <c r="B377" s="109"/>
      <c r="C377" s="109"/>
      <c r="D377" s="109"/>
      <c r="E377" s="109"/>
      <c r="F377" s="109"/>
      <c r="G377" s="109"/>
    </row>
    <row r="378" spans="1:7" ht="21.75" customHeight="1" x14ac:dyDescent="0.6">
      <c r="A378" s="109"/>
      <c r="B378" s="109"/>
      <c r="C378" s="109"/>
      <c r="D378" s="109"/>
      <c r="E378" s="109"/>
      <c r="F378" s="109"/>
      <c r="G378" s="109"/>
    </row>
    <row r="379" spans="1:7" ht="21.75" customHeight="1" x14ac:dyDescent="0.6">
      <c r="A379" s="109"/>
      <c r="B379" s="109"/>
      <c r="C379" s="109"/>
      <c r="D379" s="109"/>
      <c r="E379" s="109"/>
      <c r="F379" s="109"/>
      <c r="G379" s="109"/>
    </row>
    <row r="380" spans="1:7" ht="21.75" customHeight="1" x14ac:dyDescent="0.6">
      <c r="A380" s="109"/>
      <c r="B380" s="109"/>
      <c r="C380" s="109"/>
      <c r="D380" s="109"/>
      <c r="E380" s="109"/>
      <c r="F380" s="109"/>
      <c r="G380" s="109"/>
    </row>
    <row r="381" spans="1:7" ht="21.75" customHeight="1" x14ac:dyDescent="0.6">
      <c r="A381" s="109"/>
      <c r="B381" s="109"/>
      <c r="C381" s="109"/>
      <c r="D381" s="109"/>
      <c r="E381" s="109"/>
      <c r="F381" s="109"/>
      <c r="G381" s="109"/>
    </row>
    <row r="382" spans="1:7" ht="21.75" customHeight="1" x14ac:dyDescent="0.6">
      <c r="A382" s="109"/>
      <c r="B382" s="109"/>
      <c r="C382" s="109"/>
      <c r="D382" s="109"/>
      <c r="E382" s="109"/>
      <c r="F382" s="109"/>
      <c r="G382" s="109"/>
    </row>
    <row r="383" spans="1:7" ht="21.75" customHeight="1" x14ac:dyDescent="0.6">
      <c r="A383" s="109"/>
      <c r="B383" s="109"/>
      <c r="C383" s="109"/>
      <c r="D383" s="109"/>
      <c r="E383" s="109"/>
      <c r="F383" s="109"/>
      <c r="G383" s="109"/>
    </row>
    <row r="384" spans="1:7" ht="21.75" customHeight="1" x14ac:dyDescent="0.6">
      <c r="A384" s="109"/>
      <c r="B384" s="109"/>
      <c r="C384" s="109"/>
      <c r="D384" s="109"/>
      <c r="E384" s="109"/>
      <c r="F384" s="109"/>
      <c r="G384" s="109"/>
    </row>
    <row r="385" spans="1:7" ht="21.75" customHeight="1" x14ac:dyDescent="0.6">
      <c r="A385" s="109"/>
      <c r="B385" s="109"/>
      <c r="C385" s="109"/>
      <c r="D385" s="109"/>
      <c r="E385" s="109"/>
      <c r="F385" s="109"/>
      <c r="G385" s="109"/>
    </row>
    <row r="386" spans="1:7" ht="21.75" customHeight="1" x14ac:dyDescent="0.6">
      <c r="A386" s="109"/>
      <c r="B386" s="109"/>
      <c r="C386" s="109"/>
      <c r="D386" s="109"/>
      <c r="E386" s="109"/>
      <c r="F386" s="109"/>
      <c r="G386" s="109"/>
    </row>
    <row r="387" spans="1:7" ht="21.75" customHeight="1" x14ac:dyDescent="0.6">
      <c r="A387" s="109"/>
      <c r="B387" s="109"/>
      <c r="C387" s="109"/>
      <c r="D387" s="109"/>
      <c r="E387" s="109"/>
      <c r="F387" s="109"/>
      <c r="G387" s="109"/>
    </row>
    <row r="388" spans="1:7" ht="21.75" customHeight="1" x14ac:dyDescent="0.6">
      <c r="A388" s="109"/>
      <c r="B388" s="109"/>
      <c r="C388" s="109"/>
      <c r="D388" s="109"/>
      <c r="E388" s="109"/>
      <c r="F388" s="109"/>
      <c r="G388" s="109"/>
    </row>
    <row r="389" spans="1:7" ht="21.75" customHeight="1" x14ac:dyDescent="0.6">
      <c r="A389" s="109"/>
      <c r="B389" s="109"/>
      <c r="C389" s="109"/>
      <c r="D389" s="109"/>
      <c r="E389" s="109"/>
      <c r="F389" s="109"/>
      <c r="G389" s="109"/>
    </row>
    <row r="390" spans="1:7" ht="21.75" customHeight="1" x14ac:dyDescent="0.6">
      <c r="A390" s="109"/>
      <c r="B390" s="109"/>
      <c r="C390" s="109"/>
      <c r="D390" s="109"/>
      <c r="E390" s="109"/>
      <c r="F390" s="109"/>
      <c r="G390" s="109"/>
    </row>
    <row r="391" spans="1:7" ht="21.75" customHeight="1" x14ac:dyDescent="0.6">
      <c r="A391" s="109"/>
      <c r="B391" s="109"/>
      <c r="C391" s="109"/>
      <c r="D391" s="109"/>
      <c r="E391" s="109"/>
      <c r="F391" s="109"/>
      <c r="G391" s="109"/>
    </row>
    <row r="392" spans="1:7" ht="21.75" customHeight="1" x14ac:dyDescent="0.6">
      <c r="A392" s="109"/>
      <c r="B392" s="109"/>
      <c r="C392" s="109"/>
      <c r="D392" s="109"/>
      <c r="E392" s="109"/>
      <c r="F392" s="109"/>
      <c r="G392" s="109"/>
    </row>
    <row r="393" spans="1:7" ht="21.75" customHeight="1" x14ac:dyDescent="0.6">
      <c r="A393" s="109"/>
      <c r="B393" s="109"/>
      <c r="C393" s="109"/>
      <c r="D393" s="109"/>
      <c r="E393" s="109"/>
      <c r="F393" s="109"/>
      <c r="G393" s="109"/>
    </row>
    <row r="394" spans="1:7" ht="21.75" customHeight="1" x14ac:dyDescent="0.6">
      <c r="A394" s="109"/>
      <c r="B394" s="109"/>
      <c r="C394" s="109"/>
      <c r="D394" s="109"/>
      <c r="E394" s="109"/>
      <c r="F394" s="109"/>
      <c r="G394" s="109"/>
    </row>
    <row r="395" spans="1:7" ht="21.75" customHeight="1" x14ac:dyDescent="0.6">
      <c r="A395" s="109"/>
      <c r="B395" s="109"/>
      <c r="C395" s="109"/>
      <c r="D395" s="109"/>
      <c r="E395" s="109"/>
      <c r="F395" s="109"/>
      <c r="G395" s="109"/>
    </row>
    <row r="396" spans="1:7" ht="21.75" customHeight="1" x14ac:dyDescent="0.6">
      <c r="A396" s="109"/>
      <c r="B396" s="109"/>
      <c r="C396" s="109"/>
      <c r="D396" s="109"/>
      <c r="E396" s="109"/>
      <c r="F396" s="109"/>
      <c r="G396" s="109"/>
    </row>
    <row r="397" spans="1:7" ht="21.75" customHeight="1" x14ac:dyDescent="0.6">
      <c r="A397" s="109"/>
      <c r="B397" s="109"/>
      <c r="C397" s="109"/>
      <c r="D397" s="109"/>
      <c r="E397" s="109"/>
      <c r="F397" s="109"/>
      <c r="G397" s="109"/>
    </row>
    <row r="398" spans="1:7" ht="21.75" customHeight="1" x14ac:dyDescent="0.6">
      <c r="A398" s="109"/>
      <c r="B398" s="109"/>
      <c r="C398" s="109"/>
      <c r="D398" s="109"/>
      <c r="E398" s="109"/>
      <c r="F398" s="109"/>
      <c r="G398" s="109"/>
    </row>
    <row r="399" spans="1:7" ht="21.75" customHeight="1" x14ac:dyDescent="0.6">
      <c r="A399" s="109"/>
      <c r="B399" s="109"/>
      <c r="C399" s="109"/>
      <c r="D399" s="109"/>
      <c r="E399" s="109"/>
      <c r="F399" s="109"/>
      <c r="G399" s="109"/>
    </row>
    <row r="400" spans="1:7" ht="21.75" customHeight="1" x14ac:dyDescent="0.6">
      <c r="A400" s="109"/>
      <c r="B400" s="109"/>
      <c r="C400" s="109"/>
      <c r="D400" s="109"/>
      <c r="E400" s="109"/>
      <c r="F400" s="109"/>
      <c r="G400" s="109"/>
    </row>
    <row r="401" spans="1:7" ht="21.75" customHeight="1" x14ac:dyDescent="0.6">
      <c r="A401" s="109"/>
      <c r="B401" s="109"/>
      <c r="C401" s="109"/>
      <c r="D401" s="109"/>
      <c r="E401" s="109"/>
      <c r="F401" s="109"/>
      <c r="G401" s="109"/>
    </row>
    <row r="402" spans="1:7" ht="21.75" customHeight="1" x14ac:dyDescent="0.6">
      <c r="A402" s="109"/>
      <c r="B402" s="109"/>
      <c r="C402" s="109"/>
      <c r="D402" s="109"/>
      <c r="E402" s="109"/>
      <c r="F402" s="109"/>
      <c r="G402" s="109"/>
    </row>
    <row r="403" spans="1:7" ht="21.75" customHeight="1" x14ac:dyDescent="0.6">
      <c r="A403" s="109"/>
      <c r="B403" s="109"/>
      <c r="C403" s="109"/>
      <c r="D403" s="109"/>
      <c r="E403" s="109"/>
      <c r="F403" s="109"/>
      <c r="G403" s="109"/>
    </row>
    <row r="404" spans="1:7" ht="21.75" customHeight="1" x14ac:dyDescent="0.6">
      <c r="A404" s="109"/>
      <c r="B404" s="109"/>
      <c r="C404" s="109"/>
      <c r="D404" s="109"/>
      <c r="E404" s="109"/>
      <c r="F404" s="109"/>
      <c r="G404" s="109"/>
    </row>
    <row r="405" spans="1:7" ht="21.75" customHeight="1" x14ac:dyDescent="0.6">
      <c r="A405" s="109"/>
      <c r="B405" s="109"/>
      <c r="C405" s="109"/>
      <c r="D405" s="109"/>
      <c r="E405" s="109"/>
      <c r="F405" s="109"/>
      <c r="G405" s="109"/>
    </row>
    <row r="406" spans="1:7" ht="21.75" customHeight="1" x14ac:dyDescent="0.6">
      <c r="A406" s="109"/>
      <c r="B406" s="109"/>
      <c r="C406" s="109"/>
      <c r="D406" s="109"/>
      <c r="E406" s="109"/>
      <c r="F406" s="109"/>
      <c r="G406" s="109"/>
    </row>
    <row r="407" spans="1:7" ht="21.75" customHeight="1" x14ac:dyDescent="0.6">
      <c r="A407" s="109"/>
      <c r="B407" s="109"/>
      <c r="C407" s="109"/>
      <c r="D407" s="109"/>
      <c r="E407" s="109"/>
      <c r="F407" s="109"/>
      <c r="G407" s="109"/>
    </row>
    <row r="408" spans="1:7" ht="21.75" customHeight="1" x14ac:dyDescent="0.6">
      <c r="A408" s="109"/>
      <c r="B408" s="109"/>
      <c r="C408" s="109"/>
      <c r="D408" s="109"/>
      <c r="E408" s="109"/>
      <c r="F408" s="109"/>
      <c r="G408" s="109"/>
    </row>
    <row r="409" spans="1:7" ht="21.75" customHeight="1" x14ac:dyDescent="0.6">
      <c r="A409" s="109"/>
      <c r="B409" s="109"/>
      <c r="C409" s="109"/>
      <c r="D409" s="109"/>
      <c r="E409" s="109"/>
      <c r="F409" s="109"/>
      <c r="G409" s="109"/>
    </row>
    <row r="410" spans="1:7" ht="21.75" customHeight="1" x14ac:dyDescent="0.6">
      <c r="A410" s="109"/>
      <c r="B410" s="109"/>
      <c r="C410" s="109"/>
      <c r="D410" s="109"/>
      <c r="E410" s="109"/>
      <c r="F410" s="109"/>
      <c r="G410" s="109"/>
    </row>
    <row r="411" spans="1:7" ht="21.75" customHeight="1" x14ac:dyDescent="0.6">
      <c r="A411" s="109"/>
      <c r="B411" s="109"/>
      <c r="C411" s="109"/>
      <c r="D411" s="109"/>
      <c r="E411" s="109"/>
      <c r="F411" s="109"/>
      <c r="G411" s="109"/>
    </row>
    <row r="412" spans="1:7" ht="21.75" customHeight="1" x14ac:dyDescent="0.6">
      <c r="A412" s="109"/>
      <c r="B412" s="109"/>
      <c r="C412" s="109"/>
      <c r="D412" s="109"/>
      <c r="E412" s="109"/>
      <c r="F412" s="109"/>
      <c r="G412" s="109"/>
    </row>
    <row r="413" spans="1:7" ht="21.75" customHeight="1" x14ac:dyDescent="0.6">
      <c r="A413" s="109"/>
      <c r="B413" s="109"/>
      <c r="C413" s="109"/>
      <c r="D413" s="109"/>
      <c r="E413" s="109"/>
      <c r="F413" s="109"/>
      <c r="G413" s="109"/>
    </row>
    <row r="414" spans="1:7" ht="21.75" customHeight="1" x14ac:dyDescent="0.6">
      <c r="A414" s="109"/>
      <c r="B414" s="109"/>
      <c r="C414" s="109"/>
      <c r="D414" s="109"/>
      <c r="E414" s="109"/>
      <c r="F414" s="109"/>
      <c r="G414" s="109"/>
    </row>
    <row r="415" spans="1:7" ht="21.75" customHeight="1" x14ac:dyDescent="0.6">
      <c r="A415" s="109"/>
      <c r="B415" s="109"/>
      <c r="C415" s="109"/>
      <c r="D415" s="109"/>
      <c r="E415" s="109"/>
      <c r="F415" s="109"/>
      <c r="G415" s="109"/>
    </row>
    <row r="416" spans="1:7" ht="21.75" customHeight="1" x14ac:dyDescent="0.6">
      <c r="A416" s="109"/>
      <c r="B416" s="109"/>
      <c r="C416" s="109"/>
      <c r="D416" s="109"/>
      <c r="E416" s="109"/>
      <c r="F416" s="109"/>
      <c r="G416" s="109"/>
    </row>
    <row r="417" spans="1:7" ht="21.75" customHeight="1" x14ac:dyDescent="0.6">
      <c r="A417" s="109"/>
      <c r="B417" s="109"/>
      <c r="C417" s="109"/>
      <c r="D417" s="109"/>
      <c r="E417" s="109"/>
      <c r="F417" s="109"/>
      <c r="G417" s="109"/>
    </row>
    <row r="418" spans="1:7" ht="21.75" customHeight="1" x14ac:dyDescent="0.6">
      <c r="A418" s="109"/>
      <c r="B418" s="109"/>
      <c r="C418" s="109"/>
      <c r="D418" s="109"/>
      <c r="E418" s="109"/>
      <c r="F418" s="109"/>
      <c r="G418" s="109"/>
    </row>
    <row r="419" spans="1:7" ht="21.75" customHeight="1" x14ac:dyDescent="0.6">
      <c r="A419" s="109"/>
      <c r="B419" s="109"/>
      <c r="C419" s="109"/>
      <c r="D419" s="109"/>
      <c r="E419" s="109"/>
      <c r="F419" s="109"/>
      <c r="G419" s="109"/>
    </row>
    <row r="420" spans="1:7" ht="21.75" customHeight="1" x14ac:dyDescent="0.6">
      <c r="A420" s="109"/>
      <c r="B420" s="109"/>
      <c r="C420" s="109"/>
      <c r="D420" s="109"/>
      <c r="E420" s="109"/>
      <c r="F420" s="109"/>
      <c r="G420" s="109"/>
    </row>
    <row r="421" spans="1:7" ht="21.75" customHeight="1" x14ac:dyDescent="0.6">
      <c r="A421" s="109"/>
      <c r="B421" s="109"/>
      <c r="C421" s="109"/>
      <c r="D421" s="109"/>
      <c r="E421" s="109"/>
      <c r="F421" s="109"/>
      <c r="G421" s="109"/>
    </row>
    <row r="422" spans="1:7" ht="21.75" customHeight="1" x14ac:dyDescent="0.6">
      <c r="A422" s="109"/>
      <c r="B422" s="109"/>
      <c r="C422" s="109"/>
      <c r="D422" s="109"/>
      <c r="E422" s="109"/>
      <c r="F422" s="109"/>
      <c r="G422" s="109"/>
    </row>
    <row r="423" spans="1:7" ht="21.75" customHeight="1" x14ac:dyDescent="0.6">
      <c r="A423" s="109"/>
      <c r="B423" s="109"/>
      <c r="C423" s="109"/>
      <c r="D423" s="109"/>
      <c r="E423" s="109"/>
      <c r="F423" s="109"/>
      <c r="G423" s="109"/>
    </row>
    <row r="424" spans="1:7" ht="21.75" customHeight="1" x14ac:dyDescent="0.6">
      <c r="A424" s="109"/>
      <c r="B424" s="109"/>
      <c r="C424" s="109"/>
      <c r="D424" s="109"/>
      <c r="E424" s="109"/>
      <c r="F424" s="109"/>
      <c r="G424" s="109"/>
    </row>
    <row r="425" spans="1:7" ht="21.75" customHeight="1" x14ac:dyDescent="0.6">
      <c r="A425" s="109"/>
      <c r="B425" s="109"/>
      <c r="C425" s="109"/>
      <c r="D425" s="109"/>
      <c r="E425" s="109"/>
      <c r="F425" s="109"/>
      <c r="G425" s="109"/>
    </row>
    <row r="426" spans="1:7" ht="21.75" customHeight="1" x14ac:dyDescent="0.6">
      <c r="A426" s="109"/>
      <c r="B426" s="109"/>
      <c r="C426" s="109"/>
      <c r="D426" s="109"/>
      <c r="E426" s="109"/>
      <c r="F426" s="109"/>
      <c r="G426" s="109"/>
    </row>
    <row r="427" spans="1:7" ht="21.75" customHeight="1" x14ac:dyDescent="0.6">
      <c r="A427" s="109"/>
      <c r="B427" s="109"/>
      <c r="C427" s="109"/>
      <c r="D427" s="109"/>
      <c r="E427" s="109"/>
      <c r="F427" s="109"/>
      <c r="G427" s="109"/>
    </row>
    <row r="428" spans="1:7" ht="21.75" customHeight="1" x14ac:dyDescent="0.6">
      <c r="A428" s="109"/>
      <c r="B428" s="109"/>
      <c r="C428" s="109"/>
      <c r="D428" s="109"/>
      <c r="E428" s="109"/>
      <c r="F428" s="109"/>
      <c r="G428" s="109"/>
    </row>
    <row r="429" spans="1:7" ht="21.75" customHeight="1" x14ac:dyDescent="0.6">
      <c r="A429" s="109"/>
      <c r="B429" s="109"/>
      <c r="C429" s="109"/>
      <c r="D429" s="109"/>
      <c r="E429" s="109"/>
      <c r="F429" s="109"/>
      <c r="G429" s="109"/>
    </row>
    <row r="430" spans="1:7" ht="21.75" customHeight="1" x14ac:dyDescent="0.6">
      <c r="A430" s="109"/>
      <c r="B430" s="109"/>
      <c r="C430" s="109"/>
      <c r="D430" s="109"/>
      <c r="E430" s="109"/>
      <c r="F430" s="109"/>
      <c r="G430" s="109"/>
    </row>
    <row r="431" spans="1:7" ht="21.75" customHeight="1" x14ac:dyDescent="0.6">
      <c r="A431" s="109"/>
      <c r="B431" s="109"/>
      <c r="C431" s="109"/>
      <c r="D431" s="109"/>
      <c r="E431" s="109"/>
      <c r="F431" s="109"/>
      <c r="G431" s="109"/>
    </row>
    <row r="432" spans="1:7" ht="21.75" customHeight="1" x14ac:dyDescent="0.6">
      <c r="A432" s="109"/>
      <c r="B432" s="109"/>
      <c r="C432" s="109"/>
      <c r="D432" s="109"/>
      <c r="E432" s="109"/>
      <c r="F432" s="109"/>
      <c r="G432" s="109"/>
    </row>
    <row r="433" spans="1:7" ht="21.75" customHeight="1" x14ac:dyDescent="0.6">
      <c r="A433" s="109"/>
      <c r="B433" s="109"/>
      <c r="C433" s="109"/>
      <c r="D433" s="109"/>
      <c r="E433" s="109"/>
      <c r="F433" s="109"/>
      <c r="G433" s="109"/>
    </row>
    <row r="434" spans="1:7" ht="21.75" customHeight="1" x14ac:dyDescent="0.6">
      <c r="A434" s="109"/>
      <c r="B434" s="109"/>
      <c r="C434" s="109"/>
      <c r="D434" s="109"/>
      <c r="E434" s="109"/>
      <c r="F434" s="109"/>
      <c r="G434" s="109"/>
    </row>
    <row r="435" spans="1:7" ht="21.75" customHeight="1" x14ac:dyDescent="0.6">
      <c r="A435" s="109"/>
      <c r="B435" s="109"/>
      <c r="C435" s="109"/>
      <c r="D435" s="109"/>
      <c r="E435" s="109"/>
      <c r="F435" s="109"/>
      <c r="G435" s="109"/>
    </row>
    <row r="436" spans="1:7" ht="21.75" customHeight="1" x14ac:dyDescent="0.6">
      <c r="A436" s="109"/>
      <c r="B436" s="109"/>
      <c r="C436" s="109"/>
      <c r="D436" s="109"/>
      <c r="E436" s="109"/>
      <c r="F436" s="109"/>
      <c r="G436" s="109"/>
    </row>
    <row r="437" spans="1:7" ht="21.75" customHeight="1" x14ac:dyDescent="0.6">
      <c r="A437" s="109"/>
      <c r="B437" s="109"/>
      <c r="C437" s="109"/>
      <c r="D437" s="109"/>
      <c r="E437" s="109"/>
      <c r="F437" s="109"/>
      <c r="G437" s="109"/>
    </row>
    <row r="438" spans="1:7" ht="21.75" customHeight="1" x14ac:dyDescent="0.6">
      <c r="A438" s="109"/>
      <c r="B438" s="109"/>
      <c r="C438" s="109"/>
      <c r="D438" s="109"/>
      <c r="E438" s="109"/>
      <c r="F438" s="109"/>
      <c r="G438" s="109"/>
    </row>
    <row r="439" spans="1:7" ht="21.75" customHeight="1" x14ac:dyDescent="0.6">
      <c r="A439" s="109"/>
      <c r="B439" s="109"/>
      <c r="C439" s="109"/>
      <c r="D439" s="109"/>
      <c r="E439" s="109"/>
      <c r="F439" s="109"/>
      <c r="G439" s="109"/>
    </row>
    <row r="440" spans="1:7" ht="21.75" customHeight="1" x14ac:dyDescent="0.6">
      <c r="A440" s="109"/>
      <c r="B440" s="109"/>
      <c r="C440" s="109"/>
      <c r="D440" s="109"/>
      <c r="E440" s="109"/>
      <c r="F440" s="109"/>
      <c r="G440" s="109"/>
    </row>
    <row r="441" spans="1:7" ht="21.75" customHeight="1" x14ac:dyDescent="0.6">
      <c r="A441" s="109"/>
      <c r="B441" s="109"/>
      <c r="C441" s="109"/>
      <c r="D441" s="109"/>
      <c r="E441" s="109"/>
      <c r="F441" s="109"/>
      <c r="G441" s="109"/>
    </row>
    <row r="442" spans="1:7" ht="21.75" customHeight="1" x14ac:dyDescent="0.6">
      <c r="A442" s="109"/>
      <c r="B442" s="109"/>
      <c r="C442" s="109"/>
      <c r="D442" s="109"/>
      <c r="E442" s="109"/>
      <c r="F442" s="109"/>
      <c r="G442" s="109"/>
    </row>
    <row r="443" spans="1:7" ht="21.75" customHeight="1" x14ac:dyDescent="0.6">
      <c r="A443" s="109"/>
      <c r="B443" s="109"/>
      <c r="C443" s="109"/>
      <c r="D443" s="109"/>
      <c r="E443" s="109"/>
      <c r="F443" s="109"/>
      <c r="G443" s="109"/>
    </row>
    <row r="444" spans="1:7" ht="21.75" customHeight="1" x14ac:dyDescent="0.6">
      <c r="A444" s="109"/>
      <c r="B444" s="109"/>
      <c r="C444" s="109"/>
      <c r="D444" s="109"/>
      <c r="E444" s="109"/>
      <c r="F444" s="109"/>
      <c r="G444" s="109"/>
    </row>
    <row r="445" spans="1:7" ht="21.75" customHeight="1" x14ac:dyDescent="0.6">
      <c r="A445" s="109"/>
      <c r="B445" s="109"/>
      <c r="C445" s="109"/>
      <c r="D445" s="109"/>
      <c r="E445" s="109"/>
      <c r="F445" s="109"/>
      <c r="G445" s="109"/>
    </row>
    <row r="446" spans="1:7" ht="21.75" customHeight="1" x14ac:dyDescent="0.6">
      <c r="A446" s="109"/>
      <c r="B446" s="109"/>
      <c r="C446" s="109"/>
      <c r="D446" s="109"/>
      <c r="E446" s="109"/>
      <c r="F446" s="109"/>
      <c r="G446" s="109"/>
    </row>
    <row r="447" spans="1:7" ht="21.75" customHeight="1" x14ac:dyDescent="0.6">
      <c r="A447" s="109"/>
      <c r="B447" s="109"/>
      <c r="C447" s="109"/>
      <c r="D447" s="109"/>
      <c r="E447" s="109"/>
      <c r="F447" s="109"/>
      <c r="G447" s="109"/>
    </row>
    <row r="448" spans="1:7" ht="21.75" customHeight="1" x14ac:dyDescent="0.6">
      <c r="A448" s="109"/>
      <c r="B448" s="109"/>
      <c r="C448" s="109"/>
      <c r="D448" s="109"/>
      <c r="E448" s="109"/>
      <c r="F448" s="109"/>
      <c r="G448" s="109"/>
    </row>
    <row r="449" spans="1:7" ht="21.75" customHeight="1" x14ac:dyDescent="0.6">
      <c r="A449" s="109"/>
      <c r="B449" s="109"/>
      <c r="C449" s="109"/>
      <c r="D449" s="109"/>
      <c r="E449" s="109"/>
      <c r="F449" s="109"/>
      <c r="G449" s="109"/>
    </row>
    <row r="450" spans="1:7" ht="21.75" customHeight="1" x14ac:dyDescent="0.6">
      <c r="A450" s="109"/>
      <c r="B450" s="109"/>
      <c r="C450" s="109"/>
      <c r="D450" s="109"/>
      <c r="E450" s="109"/>
      <c r="F450" s="109"/>
      <c r="G450" s="109"/>
    </row>
    <row r="451" spans="1:7" ht="21.75" customHeight="1" x14ac:dyDescent="0.6">
      <c r="A451" s="109"/>
      <c r="B451" s="109"/>
      <c r="C451" s="109"/>
      <c r="D451" s="109"/>
      <c r="E451" s="109"/>
      <c r="F451" s="109"/>
      <c r="G451" s="109"/>
    </row>
    <row r="452" spans="1:7" ht="21.75" customHeight="1" x14ac:dyDescent="0.6">
      <c r="A452" s="109"/>
      <c r="B452" s="109"/>
      <c r="C452" s="109"/>
      <c r="D452" s="109"/>
      <c r="E452" s="109"/>
      <c r="F452" s="109"/>
      <c r="G452" s="109"/>
    </row>
    <row r="453" spans="1:7" ht="21.75" customHeight="1" x14ac:dyDescent="0.6">
      <c r="A453" s="109"/>
      <c r="B453" s="109"/>
      <c r="C453" s="109"/>
      <c r="D453" s="109"/>
      <c r="E453" s="109"/>
      <c r="F453" s="109"/>
      <c r="G453" s="109"/>
    </row>
    <row r="454" spans="1:7" ht="21.75" customHeight="1" x14ac:dyDescent="0.6">
      <c r="A454" s="109"/>
      <c r="B454" s="109"/>
      <c r="C454" s="109"/>
      <c r="D454" s="109"/>
      <c r="E454" s="109"/>
      <c r="F454" s="109"/>
      <c r="G454" s="109"/>
    </row>
    <row r="455" spans="1:7" ht="21.75" customHeight="1" x14ac:dyDescent="0.6">
      <c r="A455" s="109"/>
      <c r="B455" s="109"/>
      <c r="C455" s="109"/>
      <c r="D455" s="109"/>
      <c r="E455" s="109"/>
      <c r="F455" s="109"/>
      <c r="G455" s="109"/>
    </row>
    <row r="456" spans="1:7" ht="21.75" customHeight="1" x14ac:dyDescent="0.6">
      <c r="A456" s="109"/>
      <c r="B456" s="109"/>
      <c r="C456" s="109"/>
      <c r="D456" s="109"/>
      <c r="E456" s="109"/>
      <c r="F456" s="109"/>
      <c r="G456" s="109"/>
    </row>
    <row r="457" spans="1:7" ht="21.75" customHeight="1" x14ac:dyDescent="0.6">
      <c r="A457" s="109"/>
      <c r="B457" s="109"/>
      <c r="C457" s="109"/>
      <c r="D457" s="109"/>
      <c r="E457" s="109"/>
      <c r="F457" s="109"/>
      <c r="G457" s="109"/>
    </row>
    <row r="458" spans="1:7" ht="21.75" customHeight="1" x14ac:dyDescent="0.6">
      <c r="A458" s="109"/>
      <c r="B458" s="109"/>
      <c r="C458" s="109"/>
      <c r="D458" s="109"/>
      <c r="E458" s="109"/>
      <c r="F458" s="109"/>
      <c r="G458" s="109"/>
    </row>
    <row r="459" spans="1:7" ht="21.75" customHeight="1" x14ac:dyDescent="0.6">
      <c r="A459" s="109"/>
      <c r="B459" s="109"/>
      <c r="C459" s="109"/>
      <c r="D459" s="109"/>
      <c r="E459" s="109"/>
      <c r="F459" s="109"/>
      <c r="G459" s="109"/>
    </row>
    <row r="460" spans="1:7" ht="21.75" customHeight="1" x14ac:dyDescent="0.6">
      <c r="A460" s="109"/>
      <c r="B460" s="109"/>
      <c r="C460" s="109"/>
      <c r="D460" s="109"/>
      <c r="E460" s="109"/>
      <c r="F460" s="109"/>
      <c r="G460" s="109"/>
    </row>
    <row r="461" spans="1:7" ht="21.75" customHeight="1" x14ac:dyDescent="0.6">
      <c r="A461" s="109"/>
      <c r="B461" s="109"/>
      <c r="C461" s="109"/>
      <c r="D461" s="109"/>
      <c r="E461" s="109"/>
      <c r="F461" s="109"/>
      <c r="G461" s="109"/>
    </row>
    <row r="462" spans="1:7" ht="21.75" customHeight="1" x14ac:dyDescent="0.6">
      <c r="A462" s="109"/>
      <c r="B462" s="109"/>
      <c r="C462" s="109"/>
      <c r="D462" s="109"/>
      <c r="E462" s="109"/>
      <c r="F462" s="109"/>
      <c r="G462" s="109"/>
    </row>
    <row r="463" spans="1:7" ht="21.75" customHeight="1" x14ac:dyDescent="0.6">
      <c r="A463" s="109"/>
      <c r="B463" s="109"/>
      <c r="C463" s="109"/>
      <c r="D463" s="109"/>
      <c r="E463" s="109"/>
      <c r="F463" s="109"/>
      <c r="G463" s="109"/>
    </row>
    <row r="464" spans="1:7" ht="21.75" customHeight="1" x14ac:dyDescent="0.6">
      <c r="A464" s="109"/>
      <c r="B464" s="109"/>
      <c r="C464" s="109"/>
      <c r="D464" s="109"/>
      <c r="E464" s="109"/>
      <c r="F464" s="109"/>
      <c r="G464" s="109"/>
    </row>
    <row r="465" spans="1:7" ht="21.75" customHeight="1" x14ac:dyDescent="0.6">
      <c r="A465" s="109"/>
      <c r="B465" s="109"/>
      <c r="C465" s="109"/>
      <c r="D465" s="109"/>
      <c r="E465" s="109"/>
      <c r="F465" s="109"/>
      <c r="G465" s="109"/>
    </row>
    <row r="466" spans="1:7" ht="21.75" customHeight="1" x14ac:dyDescent="0.6">
      <c r="A466" s="109"/>
      <c r="B466" s="109"/>
      <c r="C466" s="109"/>
      <c r="D466" s="109"/>
      <c r="E466" s="109"/>
      <c r="F466" s="109"/>
      <c r="G466" s="109"/>
    </row>
    <row r="467" spans="1:7" ht="21.75" customHeight="1" x14ac:dyDescent="0.6">
      <c r="A467" s="109"/>
      <c r="B467" s="109"/>
      <c r="C467" s="109"/>
      <c r="D467" s="109"/>
      <c r="E467" s="109"/>
      <c r="F467" s="109"/>
      <c r="G467" s="109"/>
    </row>
    <row r="468" spans="1:7" ht="21.75" customHeight="1" x14ac:dyDescent="0.6">
      <c r="A468" s="109"/>
      <c r="B468" s="109"/>
      <c r="C468" s="109"/>
      <c r="D468" s="109"/>
      <c r="E468" s="109"/>
      <c r="F468" s="109"/>
      <c r="G468" s="109"/>
    </row>
    <row r="469" spans="1:7" ht="21.75" customHeight="1" x14ac:dyDescent="0.6">
      <c r="A469" s="109"/>
      <c r="B469" s="109"/>
      <c r="C469" s="109"/>
      <c r="D469" s="109"/>
      <c r="E469" s="109"/>
      <c r="F469" s="109"/>
      <c r="G469" s="109"/>
    </row>
    <row r="470" spans="1:7" ht="21.75" customHeight="1" x14ac:dyDescent="0.6">
      <c r="A470" s="109"/>
      <c r="B470" s="109"/>
      <c r="C470" s="109"/>
      <c r="D470" s="109"/>
      <c r="E470" s="109"/>
      <c r="F470" s="109"/>
      <c r="G470" s="109"/>
    </row>
    <row r="471" spans="1:7" ht="21.75" customHeight="1" x14ac:dyDescent="0.6">
      <c r="A471" s="109"/>
      <c r="B471" s="109"/>
      <c r="C471" s="109"/>
      <c r="D471" s="109"/>
      <c r="E471" s="109"/>
      <c r="F471" s="109"/>
      <c r="G471" s="109"/>
    </row>
    <row r="472" spans="1:7" ht="21.75" customHeight="1" x14ac:dyDescent="0.6">
      <c r="A472" s="109"/>
      <c r="B472" s="109"/>
      <c r="C472" s="109"/>
      <c r="D472" s="109"/>
      <c r="E472" s="109"/>
      <c r="F472" s="109"/>
      <c r="G472" s="109"/>
    </row>
    <row r="473" spans="1:7" ht="21.75" customHeight="1" x14ac:dyDescent="0.6">
      <c r="A473" s="109"/>
      <c r="B473" s="109"/>
      <c r="C473" s="109"/>
      <c r="D473" s="109"/>
      <c r="E473" s="109"/>
      <c r="F473" s="109"/>
      <c r="G473" s="109"/>
    </row>
    <row r="474" spans="1:7" ht="21.75" customHeight="1" x14ac:dyDescent="0.6">
      <c r="A474" s="109"/>
      <c r="B474" s="109"/>
      <c r="C474" s="109"/>
      <c r="D474" s="109"/>
      <c r="E474" s="109"/>
      <c r="F474" s="109"/>
      <c r="G474" s="109"/>
    </row>
    <row r="475" spans="1:7" ht="21.75" customHeight="1" x14ac:dyDescent="0.6">
      <c r="A475" s="109"/>
      <c r="B475" s="109"/>
      <c r="C475" s="109"/>
      <c r="D475" s="109"/>
      <c r="E475" s="109"/>
      <c r="F475" s="109"/>
      <c r="G475" s="109"/>
    </row>
    <row r="476" spans="1:7" ht="21.75" customHeight="1" x14ac:dyDescent="0.6">
      <c r="A476" s="109"/>
      <c r="B476" s="109"/>
      <c r="C476" s="109"/>
      <c r="D476" s="109"/>
      <c r="E476" s="109"/>
      <c r="F476" s="109"/>
      <c r="G476" s="109"/>
    </row>
    <row r="477" spans="1:7" ht="21.75" customHeight="1" x14ac:dyDescent="0.6">
      <c r="A477" s="109"/>
      <c r="B477" s="109"/>
      <c r="C477" s="109"/>
      <c r="D477" s="109"/>
      <c r="E477" s="109"/>
      <c r="F477" s="109"/>
      <c r="G477" s="109"/>
    </row>
    <row r="478" spans="1:7" ht="21.75" customHeight="1" x14ac:dyDescent="0.6">
      <c r="A478" s="109"/>
      <c r="B478" s="109"/>
      <c r="C478" s="109"/>
      <c r="D478" s="109"/>
      <c r="E478" s="109"/>
      <c r="F478" s="109"/>
      <c r="G478" s="109"/>
    </row>
    <row r="479" spans="1:7" ht="21.75" customHeight="1" x14ac:dyDescent="0.6">
      <c r="A479" s="109"/>
      <c r="B479" s="109"/>
      <c r="C479" s="109"/>
      <c r="D479" s="109"/>
      <c r="E479" s="109"/>
      <c r="F479" s="109"/>
      <c r="G479" s="109"/>
    </row>
    <row r="480" spans="1:7" ht="21.75" customHeight="1" x14ac:dyDescent="0.6">
      <c r="A480" s="109"/>
      <c r="B480" s="109"/>
      <c r="C480" s="109"/>
      <c r="D480" s="109"/>
      <c r="E480" s="109"/>
      <c r="F480" s="109"/>
      <c r="G480" s="109"/>
    </row>
    <row r="481" spans="1:7" ht="21.75" customHeight="1" x14ac:dyDescent="0.6">
      <c r="A481" s="109"/>
      <c r="B481" s="109"/>
      <c r="C481" s="109"/>
      <c r="D481" s="109"/>
      <c r="E481" s="109"/>
      <c r="F481" s="109"/>
      <c r="G481" s="109"/>
    </row>
    <row r="482" spans="1:7" ht="21.75" customHeight="1" x14ac:dyDescent="0.6">
      <c r="A482" s="109"/>
      <c r="B482" s="109"/>
      <c r="C482" s="109"/>
      <c r="D482" s="109"/>
      <c r="E482" s="109"/>
      <c r="F482" s="109"/>
      <c r="G482" s="109"/>
    </row>
    <row r="483" spans="1:7" ht="21.75" customHeight="1" x14ac:dyDescent="0.6">
      <c r="A483" s="109"/>
      <c r="B483" s="109"/>
      <c r="C483" s="109"/>
      <c r="D483" s="109"/>
      <c r="E483" s="109"/>
      <c r="F483" s="109"/>
      <c r="G483" s="109"/>
    </row>
    <row r="484" spans="1:7" ht="21.75" customHeight="1" x14ac:dyDescent="0.6">
      <c r="A484" s="109"/>
      <c r="B484" s="109"/>
      <c r="C484" s="109"/>
      <c r="D484" s="109"/>
      <c r="E484" s="109"/>
      <c r="F484" s="109"/>
      <c r="G484" s="109"/>
    </row>
    <row r="485" spans="1:7" ht="21.75" customHeight="1" x14ac:dyDescent="0.6">
      <c r="A485" s="109"/>
      <c r="B485" s="109"/>
      <c r="C485" s="109"/>
      <c r="D485" s="109"/>
      <c r="E485" s="109"/>
      <c r="F485" s="109"/>
      <c r="G485" s="109"/>
    </row>
    <row r="486" spans="1:7" ht="21.75" customHeight="1" x14ac:dyDescent="0.6">
      <c r="A486" s="109"/>
      <c r="B486" s="109"/>
      <c r="C486" s="109"/>
      <c r="D486" s="109"/>
      <c r="E486" s="109"/>
      <c r="F486" s="109"/>
      <c r="G486" s="109"/>
    </row>
    <row r="487" spans="1:7" ht="21.75" customHeight="1" x14ac:dyDescent="0.6">
      <c r="A487" s="109"/>
      <c r="B487" s="109"/>
      <c r="C487" s="109"/>
      <c r="D487" s="109"/>
      <c r="E487" s="109"/>
      <c r="F487" s="109"/>
      <c r="G487" s="109"/>
    </row>
    <row r="488" spans="1:7" ht="21.75" customHeight="1" x14ac:dyDescent="0.6">
      <c r="A488" s="109"/>
      <c r="B488" s="109"/>
      <c r="C488" s="109"/>
      <c r="D488" s="109"/>
      <c r="E488" s="109"/>
      <c r="F488" s="109"/>
      <c r="G488" s="109"/>
    </row>
    <row r="489" spans="1:7" ht="21.75" customHeight="1" x14ac:dyDescent="0.6">
      <c r="A489" s="109"/>
      <c r="B489" s="109"/>
      <c r="C489" s="109"/>
      <c r="D489" s="109"/>
      <c r="E489" s="109"/>
      <c r="F489" s="109"/>
      <c r="G489" s="109"/>
    </row>
    <row r="490" spans="1:7" ht="21.75" customHeight="1" x14ac:dyDescent="0.6">
      <c r="A490" s="109"/>
      <c r="B490" s="109"/>
      <c r="C490" s="109"/>
      <c r="D490" s="109"/>
      <c r="E490" s="109"/>
      <c r="F490" s="109"/>
      <c r="G490" s="109"/>
    </row>
    <row r="491" spans="1:7" ht="21.75" customHeight="1" x14ac:dyDescent="0.6">
      <c r="A491" s="109"/>
      <c r="B491" s="109"/>
      <c r="C491" s="109"/>
      <c r="D491" s="109"/>
      <c r="E491" s="109"/>
      <c r="F491" s="109"/>
      <c r="G491" s="109"/>
    </row>
    <row r="492" spans="1:7" ht="21.75" customHeight="1" x14ac:dyDescent="0.6">
      <c r="A492" s="109"/>
      <c r="B492" s="109"/>
      <c r="C492" s="109"/>
      <c r="D492" s="109"/>
      <c r="E492" s="109"/>
      <c r="F492" s="109"/>
      <c r="G492" s="109"/>
    </row>
    <row r="493" spans="1:7" ht="21.75" customHeight="1" x14ac:dyDescent="0.6">
      <c r="A493" s="109"/>
      <c r="B493" s="109"/>
      <c r="C493" s="109"/>
      <c r="D493" s="109"/>
      <c r="E493" s="109"/>
      <c r="F493" s="109"/>
      <c r="G493" s="109"/>
    </row>
    <row r="494" spans="1:7" ht="21.75" customHeight="1" x14ac:dyDescent="0.6">
      <c r="A494" s="109"/>
      <c r="B494" s="109"/>
      <c r="C494" s="109"/>
      <c r="D494" s="109"/>
      <c r="E494" s="109"/>
      <c r="F494" s="109"/>
      <c r="G494" s="109"/>
    </row>
    <row r="495" spans="1:7" ht="21.75" customHeight="1" x14ac:dyDescent="0.6">
      <c r="A495" s="109"/>
      <c r="B495" s="109"/>
      <c r="C495" s="109"/>
      <c r="D495" s="109"/>
      <c r="E495" s="109"/>
      <c r="F495" s="109"/>
      <c r="G495" s="109"/>
    </row>
    <row r="496" spans="1:7" ht="21.75" customHeight="1" x14ac:dyDescent="0.6">
      <c r="A496" s="109"/>
      <c r="B496" s="109"/>
      <c r="C496" s="109"/>
      <c r="D496" s="109"/>
      <c r="E496" s="109"/>
      <c r="F496" s="109"/>
      <c r="G496" s="109"/>
    </row>
    <row r="497" spans="1:7" ht="21.75" customHeight="1" x14ac:dyDescent="0.6">
      <c r="A497" s="109"/>
      <c r="B497" s="109"/>
      <c r="C497" s="109"/>
      <c r="D497" s="109"/>
      <c r="E497" s="109"/>
      <c r="F497" s="109"/>
      <c r="G497" s="109"/>
    </row>
    <row r="498" spans="1:7" ht="21.75" customHeight="1" x14ac:dyDescent="0.6">
      <c r="A498" s="109"/>
      <c r="B498" s="109"/>
      <c r="C498" s="109"/>
      <c r="D498" s="109"/>
      <c r="E498" s="109"/>
      <c r="F498" s="109"/>
      <c r="G498" s="109"/>
    </row>
    <row r="499" spans="1:7" ht="21.75" customHeight="1" x14ac:dyDescent="0.6">
      <c r="A499" s="109"/>
      <c r="B499" s="109"/>
      <c r="C499" s="109"/>
      <c r="D499" s="109"/>
      <c r="E499" s="109"/>
      <c r="F499" s="109"/>
      <c r="G499" s="109"/>
    </row>
    <row r="500" spans="1:7" ht="21.75" customHeight="1" x14ac:dyDescent="0.6">
      <c r="A500" s="109"/>
      <c r="B500" s="109"/>
      <c r="C500" s="109"/>
      <c r="D500" s="109"/>
      <c r="E500" s="109"/>
      <c r="F500" s="109"/>
      <c r="G500" s="109"/>
    </row>
    <row r="501" spans="1:7" ht="21.75" customHeight="1" x14ac:dyDescent="0.6">
      <c r="A501" s="109"/>
      <c r="B501" s="109"/>
      <c r="C501" s="109"/>
      <c r="D501" s="109"/>
      <c r="E501" s="109"/>
      <c r="F501" s="109"/>
      <c r="G501" s="109"/>
    </row>
    <row r="502" spans="1:7" ht="21.75" customHeight="1" x14ac:dyDescent="0.6">
      <c r="A502" s="109"/>
      <c r="B502" s="109"/>
      <c r="C502" s="109"/>
      <c r="D502" s="109"/>
      <c r="E502" s="109"/>
      <c r="F502" s="109"/>
      <c r="G502" s="109"/>
    </row>
    <row r="503" spans="1:7" ht="21.75" customHeight="1" x14ac:dyDescent="0.6">
      <c r="A503" s="109"/>
      <c r="B503" s="109"/>
      <c r="C503" s="109"/>
      <c r="D503" s="109"/>
      <c r="E503" s="109"/>
      <c r="F503" s="109"/>
      <c r="G503" s="109"/>
    </row>
    <row r="504" spans="1:7" ht="21.75" customHeight="1" x14ac:dyDescent="0.6">
      <c r="A504" s="109"/>
      <c r="B504" s="109"/>
      <c r="C504" s="109"/>
      <c r="D504" s="109"/>
      <c r="E504" s="109"/>
      <c r="F504" s="109"/>
      <c r="G504" s="109"/>
    </row>
    <row r="505" spans="1:7" ht="21.75" customHeight="1" x14ac:dyDescent="0.6">
      <c r="A505" s="109"/>
      <c r="B505" s="109"/>
      <c r="C505" s="109"/>
      <c r="D505" s="109"/>
      <c r="E505" s="109"/>
      <c r="F505" s="109"/>
      <c r="G505" s="109"/>
    </row>
    <row r="506" spans="1:7" ht="21.75" customHeight="1" x14ac:dyDescent="0.6">
      <c r="A506" s="109"/>
      <c r="B506" s="109"/>
      <c r="C506" s="109"/>
      <c r="D506" s="109"/>
      <c r="E506" s="109"/>
      <c r="F506" s="109"/>
      <c r="G506" s="109"/>
    </row>
    <row r="507" spans="1:7" ht="21.75" customHeight="1" x14ac:dyDescent="0.6">
      <c r="A507" s="109"/>
      <c r="B507" s="109"/>
      <c r="C507" s="109"/>
      <c r="D507" s="109"/>
      <c r="E507" s="109"/>
      <c r="F507" s="109"/>
      <c r="G507" s="109"/>
    </row>
    <row r="508" spans="1:7" ht="21.75" customHeight="1" x14ac:dyDescent="0.6">
      <c r="A508" s="109"/>
      <c r="B508" s="109"/>
      <c r="C508" s="109"/>
      <c r="D508" s="109"/>
      <c r="E508" s="109"/>
      <c r="F508" s="109"/>
      <c r="G508" s="109"/>
    </row>
    <row r="509" spans="1:7" ht="21.75" customHeight="1" x14ac:dyDescent="0.6">
      <c r="A509" s="109"/>
      <c r="B509" s="109"/>
      <c r="C509" s="109"/>
      <c r="D509" s="109"/>
      <c r="E509" s="109"/>
      <c r="F509" s="109"/>
      <c r="G509" s="109"/>
    </row>
    <row r="510" spans="1:7" ht="21.75" customHeight="1" x14ac:dyDescent="0.6">
      <c r="A510" s="109"/>
      <c r="B510" s="109"/>
      <c r="C510" s="109"/>
      <c r="D510" s="109"/>
      <c r="E510" s="109"/>
      <c r="F510" s="109"/>
      <c r="G510" s="109"/>
    </row>
    <row r="511" spans="1:7" ht="21.75" customHeight="1" x14ac:dyDescent="0.6">
      <c r="A511" s="109"/>
      <c r="B511" s="109"/>
      <c r="C511" s="109"/>
      <c r="D511" s="109"/>
      <c r="E511" s="109"/>
      <c r="F511" s="109"/>
      <c r="G511" s="109"/>
    </row>
    <row r="512" spans="1:7" ht="21.75" customHeight="1" x14ac:dyDescent="0.6">
      <c r="A512" s="109"/>
      <c r="B512" s="109"/>
      <c r="C512" s="109"/>
      <c r="D512" s="109"/>
      <c r="E512" s="109"/>
      <c r="F512" s="109"/>
      <c r="G512" s="109"/>
    </row>
    <row r="513" spans="1:7" ht="21.75" customHeight="1" x14ac:dyDescent="0.6">
      <c r="A513" s="109"/>
      <c r="B513" s="109"/>
      <c r="C513" s="109"/>
      <c r="D513" s="109"/>
      <c r="E513" s="109"/>
      <c r="F513" s="109"/>
      <c r="G513" s="109"/>
    </row>
    <row r="514" spans="1:7" ht="21.75" customHeight="1" x14ac:dyDescent="0.6">
      <c r="A514" s="109"/>
      <c r="B514" s="109"/>
      <c r="C514" s="109"/>
      <c r="D514" s="109"/>
      <c r="E514" s="109"/>
      <c r="F514" s="109"/>
      <c r="G514" s="109"/>
    </row>
    <row r="515" spans="1:7" ht="21.75" customHeight="1" x14ac:dyDescent="0.6">
      <c r="A515" s="109"/>
      <c r="B515" s="109"/>
      <c r="C515" s="109"/>
      <c r="D515" s="109"/>
      <c r="E515" s="109"/>
      <c r="F515" s="109"/>
      <c r="G515" s="109"/>
    </row>
    <row r="516" spans="1:7" ht="21.75" customHeight="1" x14ac:dyDescent="0.6">
      <c r="A516" s="109"/>
      <c r="B516" s="109"/>
      <c r="C516" s="109"/>
      <c r="D516" s="109"/>
      <c r="E516" s="109"/>
      <c r="F516" s="109"/>
      <c r="G516" s="109"/>
    </row>
    <row r="517" spans="1:7" ht="21.75" customHeight="1" x14ac:dyDescent="0.6">
      <c r="A517" s="109"/>
      <c r="B517" s="109"/>
      <c r="C517" s="109"/>
      <c r="D517" s="109"/>
      <c r="E517" s="109"/>
      <c r="F517" s="109"/>
      <c r="G517" s="109"/>
    </row>
    <row r="518" spans="1:7" ht="21.75" customHeight="1" x14ac:dyDescent="0.6">
      <c r="A518" s="109"/>
      <c r="B518" s="109"/>
      <c r="C518" s="109"/>
      <c r="D518" s="109"/>
      <c r="E518" s="109"/>
      <c r="F518" s="109"/>
      <c r="G518" s="109"/>
    </row>
    <row r="519" spans="1:7" ht="21.75" customHeight="1" x14ac:dyDescent="0.6">
      <c r="A519" s="109"/>
      <c r="B519" s="109"/>
      <c r="C519" s="109"/>
      <c r="D519" s="109"/>
      <c r="E519" s="109"/>
      <c r="F519" s="109"/>
      <c r="G519" s="109"/>
    </row>
    <row r="520" spans="1:7" ht="21.75" customHeight="1" x14ac:dyDescent="0.6">
      <c r="A520" s="109"/>
      <c r="B520" s="109"/>
      <c r="C520" s="109"/>
      <c r="D520" s="109"/>
      <c r="E520" s="109"/>
      <c r="F520" s="109"/>
      <c r="G520" s="109"/>
    </row>
    <row r="521" spans="1:7" ht="21.75" customHeight="1" x14ac:dyDescent="0.6">
      <c r="A521" s="109"/>
      <c r="B521" s="109"/>
      <c r="C521" s="109"/>
      <c r="D521" s="109"/>
      <c r="E521" s="109"/>
      <c r="F521" s="109"/>
      <c r="G521" s="109"/>
    </row>
    <row r="522" spans="1:7" ht="21.75" customHeight="1" x14ac:dyDescent="0.6">
      <c r="A522" s="109"/>
      <c r="B522" s="109"/>
      <c r="C522" s="109"/>
      <c r="D522" s="109"/>
      <c r="E522" s="109"/>
      <c r="F522" s="109"/>
      <c r="G522" s="109"/>
    </row>
    <row r="523" spans="1:7" ht="21.75" customHeight="1" x14ac:dyDescent="0.6">
      <c r="A523" s="109"/>
      <c r="B523" s="109"/>
      <c r="C523" s="109"/>
      <c r="D523" s="109"/>
      <c r="E523" s="109"/>
      <c r="F523" s="109"/>
      <c r="G523" s="109"/>
    </row>
    <row r="524" spans="1:7" ht="21.75" customHeight="1" x14ac:dyDescent="0.6">
      <c r="A524" s="109"/>
      <c r="B524" s="109"/>
      <c r="C524" s="109"/>
      <c r="D524" s="109"/>
      <c r="E524" s="109"/>
      <c r="F524" s="109"/>
      <c r="G524" s="109"/>
    </row>
    <row r="525" spans="1:7" ht="21.75" customHeight="1" x14ac:dyDescent="0.6">
      <c r="A525" s="109"/>
      <c r="B525" s="109"/>
      <c r="C525" s="109"/>
      <c r="D525" s="109"/>
      <c r="E525" s="109"/>
      <c r="F525" s="109"/>
      <c r="G525" s="109"/>
    </row>
    <row r="526" spans="1:7" ht="21.75" customHeight="1" x14ac:dyDescent="0.6">
      <c r="A526" s="109"/>
      <c r="B526" s="109"/>
      <c r="C526" s="109"/>
      <c r="D526" s="109"/>
      <c r="E526" s="109"/>
      <c r="F526" s="109"/>
      <c r="G526" s="109"/>
    </row>
    <row r="527" spans="1:7" ht="21.75" customHeight="1" x14ac:dyDescent="0.6">
      <c r="A527" s="109"/>
      <c r="B527" s="109"/>
      <c r="C527" s="109"/>
      <c r="D527" s="109"/>
      <c r="E527" s="109"/>
      <c r="F527" s="109"/>
      <c r="G527" s="109"/>
    </row>
    <row r="528" spans="1:7" ht="21.75" customHeight="1" x14ac:dyDescent="0.6">
      <c r="A528" s="109"/>
      <c r="B528" s="109"/>
      <c r="C528" s="109"/>
      <c r="D528" s="109"/>
      <c r="E528" s="109"/>
      <c r="F528" s="109"/>
      <c r="G528" s="109"/>
    </row>
    <row r="529" spans="1:7" ht="21.75" customHeight="1" x14ac:dyDescent="0.6">
      <c r="A529" s="109"/>
      <c r="B529" s="109"/>
      <c r="C529" s="109"/>
      <c r="D529" s="109"/>
      <c r="E529" s="109"/>
      <c r="F529" s="109"/>
      <c r="G529" s="109"/>
    </row>
    <row r="530" spans="1:7" ht="21.75" customHeight="1" x14ac:dyDescent="0.6">
      <c r="A530" s="109"/>
      <c r="B530" s="109"/>
      <c r="C530" s="109"/>
      <c r="D530" s="109"/>
      <c r="E530" s="109"/>
      <c r="F530" s="109"/>
      <c r="G530" s="109"/>
    </row>
    <row r="531" spans="1:7" ht="21.75" customHeight="1" x14ac:dyDescent="0.6">
      <c r="A531" s="109"/>
      <c r="B531" s="109"/>
      <c r="C531" s="109"/>
      <c r="D531" s="109"/>
      <c r="E531" s="109"/>
      <c r="F531" s="109"/>
      <c r="G531" s="109"/>
    </row>
    <row r="532" spans="1:7" ht="21.75" customHeight="1" x14ac:dyDescent="0.6">
      <c r="A532" s="109"/>
      <c r="B532" s="109"/>
      <c r="C532" s="109"/>
      <c r="D532" s="109"/>
      <c r="E532" s="109"/>
      <c r="F532" s="109"/>
      <c r="G532" s="109"/>
    </row>
    <row r="533" spans="1:7" ht="21.75" customHeight="1" x14ac:dyDescent="0.6">
      <c r="A533" s="109"/>
      <c r="B533" s="109"/>
      <c r="C533" s="109"/>
      <c r="D533" s="109"/>
      <c r="E533" s="109"/>
      <c r="F533" s="109"/>
      <c r="G533" s="109"/>
    </row>
    <row r="534" spans="1:7" ht="21.75" customHeight="1" x14ac:dyDescent="0.6">
      <c r="A534" s="109"/>
      <c r="B534" s="109"/>
      <c r="C534" s="109"/>
      <c r="D534" s="109"/>
      <c r="E534" s="109"/>
      <c r="F534" s="109"/>
      <c r="G534" s="109"/>
    </row>
    <row r="535" spans="1:7" ht="21.75" customHeight="1" x14ac:dyDescent="0.6">
      <c r="A535" s="109"/>
      <c r="B535" s="109"/>
      <c r="C535" s="109"/>
      <c r="D535" s="109"/>
      <c r="E535" s="109"/>
      <c r="F535" s="109"/>
      <c r="G535" s="109"/>
    </row>
    <row r="536" spans="1:7" ht="21.75" customHeight="1" x14ac:dyDescent="0.6">
      <c r="A536" s="109"/>
      <c r="B536" s="109"/>
      <c r="C536" s="109"/>
      <c r="D536" s="109"/>
      <c r="E536" s="109"/>
      <c r="F536" s="109"/>
      <c r="G536" s="109"/>
    </row>
    <row r="537" spans="1:7" ht="21.75" customHeight="1" x14ac:dyDescent="0.6">
      <c r="A537" s="109"/>
      <c r="B537" s="109"/>
      <c r="C537" s="109"/>
      <c r="D537" s="109"/>
      <c r="E537" s="109"/>
      <c r="F537" s="109"/>
      <c r="G537" s="109"/>
    </row>
    <row r="538" spans="1:7" ht="21.75" customHeight="1" x14ac:dyDescent="0.6">
      <c r="A538" s="109"/>
      <c r="B538" s="109"/>
      <c r="C538" s="109"/>
      <c r="D538" s="109"/>
      <c r="E538" s="109"/>
      <c r="F538" s="109"/>
      <c r="G538" s="109"/>
    </row>
    <row r="539" spans="1:7" ht="21.75" customHeight="1" x14ac:dyDescent="0.6">
      <c r="A539" s="109"/>
      <c r="B539" s="109"/>
      <c r="C539" s="109"/>
      <c r="D539" s="109"/>
      <c r="E539" s="109"/>
      <c r="F539" s="109"/>
      <c r="G539" s="109"/>
    </row>
    <row r="540" spans="1:7" ht="21.75" customHeight="1" x14ac:dyDescent="0.6">
      <c r="A540" s="109"/>
      <c r="B540" s="109"/>
      <c r="C540" s="109"/>
      <c r="D540" s="109"/>
      <c r="E540" s="109"/>
      <c r="F540" s="109"/>
      <c r="G540" s="109"/>
    </row>
    <row r="541" spans="1:7" ht="21.75" customHeight="1" x14ac:dyDescent="0.6">
      <c r="A541" s="109"/>
      <c r="B541" s="109"/>
      <c r="C541" s="109"/>
      <c r="D541" s="109"/>
      <c r="E541" s="109"/>
      <c r="F541" s="109"/>
      <c r="G541" s="109"/>
    </row>
    <row r="542" spans="1:7" ht="21.75" customHeight="1" x14ac:dyDescent="0.6">
      <c r="A542" s="109"/>
      <c r="B542" s="109"/>
      <c r="C542" s="109"/>
      <c r="D542" s="109"/>
      <c r="E542" s="109"/>
      <c r="F542" s="109"/>
      <c r="G542" s="109"/>
    </row>
    <row r="543" spans="1:7" ht="21.75" customHeight="1" x14ac:dyDescent="0.6">
      <c r="A543" s="109"/>
      <c r="B543" s="109"/>
      <c r="C543" s="109"/>
      <c r="D543" s="109"/>
      <c r="E543" s="109"/>
      <c r="F543" s="109"/>
      <c r="G543" s="109"/>
    </row>
    <row r="544" spans="1:7" ht="21.75" customHeight="1" x14ac:dyDescent="0.6">
      <c r="A544" s="109"/>
      <c r="B544" s="109"/>
      <c r="C544" s="109"/>
      <c r="D544" s="109"/>
      <c r="E544" s="109"/>
      <c r="F544" s="109"/>
      <c r="G544" s="109"/>
    </row>
    <row r="545" spans="1:7" ht="21.75" customHeight="1" x14ac:dyDescent="0.6">
      <c r="A545" s="109"/>
      <c r="B545" s="109"/>
      <c r="C545" s="109"/>
      <c r="D545" s="109"/>
      <c r="E545" s="109"/>
      <c r="F545" s="109"/>
      <c r="G545" s="109"/>
    </row>
    <row r="546" spans="1:7" ht="21.75" customHeight="1" x14ac:dyDescent="0.6">
      <c r="A546" s="109"/>
      <c r="B546" s="109"/>
      <c r="C546" s="109"/>
      <c r="D546" s="109"/>
      <c r="E546" s="109"/>
      <c r="F546" s="109"/>
      <c r="G546" s="109"/>
    </row>
    <row r="547" spans="1:7" ht="21.75" customHeight="1" x14ac:dyDescent="0.6">
      <c r="A547" s="109"/>
      <c r="B547" s="109"/>
      <c r="C547" s="109"/>
      <c r="D547" s="109"/>
      <c r="E547" s="109"/>
      <c r="F547" s="109"/>
      <c r="G547" s="109"/>
    </row>
    <row r="548" spans="1:7" ht="21.75" customHeight="1" x14ac:dyDescent="0.6">
      <c r="A548" s="109"/>
      <c r="B548" s="109"/>
      <c r="C548" s="109"/>
      <c r="D548" s="109"/>
      <c r="E548" s="109"/>
      <c r="F548" s="109"/>
      <c r="G548" s="109"/>
    </row>
    <row r="549" spans="1:7" ht="21.75" customHeight="1" x14ac:dyDescent="0.6">
      <c r="A549" s="109"/>
      <c r="B549" s="109"/>
      <c r="C549" s="109"/>
      <c r="D549" s="109"/>
      <c r="E549" s="109"/>
      <c r="F549" s="109"/>
      <c r="G549" s="109"/>
    </row>
    <row r="550" spans="1:7" ht="21.75" customHeight="1" x14ac:dyDescent="0.6">
      <c r="A550" s="109"/>
      <c r="B550" s="109"/>
      <c r="C550" s="109"/>
      <c r="D550" s="109"/>
      <c r="E550" s="109"/>
      <c r="F550" s="109"/>
      <c r="G550" s="109"/>
    </row>
    <row r="551" spans="1:7" ht="21.75" customHeight="1" x14ac:dyDescent="0.6">
      <c r="A551" s="109"/>
      <c r="B551" s="109"/>
      <c r="C551" s="109"/>
      <c r="D551" s="109"/>
      <c r="E551" s="109"/>
      <c r="F551" s="109"/>
      <c r="G551" s="109"/>
    </row>
    <row r="552" spans="1:7" ht="21.75" customHeight="1" x14ac:dyDescent="0.6">
      <c r="A552" s="109"/>
      <c r="B552" s="109"/>
      <c r="C552" s="109"/>
      <c r="D552" s="109"/>
      <c r="E552" s="109"/>
      <c r="F552" s="109"/>
      <c r="G552" s="109"/>
    </row>
    <row r="553" spans="1:7" ht="21.75" customHeight="1" x14ac:dyDescent="0.6">
      <c r="A553" s="109"/>
      <c r="B553" s="109"/>
      <c r="C553" s="109"/>
      <c r="D553" s="109"/>
      <c r="E553" s="109"/>
      <c r="F553" s="109"/>
      <c r="G553" s="109"/>
    </row>
    <row r="554" spans="1:7" ht="21.75" customHeight="1" x14ac:dyDescent="0.6">
      <c r="A554" s="109"/>
      <c r="B554" s="109"/>
      <c r="C554" s="109"/>
      <c r="D554" s="109"/>
      <c r="E554" s="109"/>
      <c r="F554" s="109"/>
      <c r="G554" s="109"/>
    </row>
    <row r="555" spans="1:7" ht="21.75" customHeight="1" x14ac:dyDescent="0.6">
      <c r="A555" s="109"/>
      <c r="B555" s="109"/>
      <c r="C555" s="109"/>
      <c r="D555" s="109"/>
      <c r="E555" s="109"/>
      <c r="F555" s="109"/>
      <c r="G555" s="109"/>
    </row>
    <row r="556" spans="1:7" ht="21.75" customHeight="1" x14ac:dyDescent="0.6">
      <c r="A556" s="109"/>
      <c r="B556" s="109"/>
      <c r="C556" s="109"/>
      <c r="D556" s="109"/>
      <c r="E556" s="109"/>
      <c r="F556" s="109"/>
      <c r="G556" s="109"/>
    </row>
    <row r="557" spans="1:7" ht="21.75" customHeight="1" x14ac:dyDescent="0.6">
      <c r="A557" s="109"/>
      <c r="B557" s="109"/>
      <c r="C557" s="109"/>
      <c r="D557" s="109"/>
      <c r="E557" s="109"/>
      <c r="F557" s="109"/>
      <c r="G557" s="109"/>
    </row>
    <row r="558" spans="1:7" ht="21.75" customHeight="1" x14ac:dyDescent="0.6">
      <c r="A558" s="109"/>
      <c r="B558" s="109"/>
      <c r="C558" s="109"/>
      <c r="D558" s="109"/>
      <c r="E558" s="109"/>
      <c r="F558" s="109"/>
      <c r="G558" s="109"/>
    </row>
    <row r="559" spans="1:7" ht="21.75" customHeight="1" x14ac:dyDescent="0.6">
      <c r="A559" s="109"/>
      <c r="B559" s="109"/>
      <c r="C559" s="109"/>
      <c r="D559" s="109"/>
      <c r="E559" s="109"/>
      <c r="F559" s="109"/>
      <c r="G559" s="109"/>
    </row>
    <row r="560" spans="1:7" ht="21.75" customHeight="1" x14ac:dyDescent="0.6">
      <c r="A560" s="109"/>
      <c r="B560" s="109"/>
      <c r="C560" s="109"/>
      <c r="D560" s="109"/>
      <c r="E560" s="109"/>
      <c r="F560" s="109"/>
      <c r="G560" s="109"/>
    </row>
    <row r="561" spans="1:7" ht="21.75" customHeight="1" x14ac:dyDescent="0.6">
      <c r="A561" s="109"/>
      <c r="B561" s="109"/>
      <c r="C561" s="109"/>
      <c r="D561" s="109"/>
      <c r="E561" s="109"/>
      <c r="F561" s="109"/>
      <c r="G561" s="109"/>
    </row>
    <row r="562" spans="1:7" ht="21.75" customHeight="1" x14ac:dyDescent="0.6">
      <c r="A562" s="109"/>
      <c r="B562" s="109"/>
      <c r="C562" s="109"/>
      <c r="D562" s="109"/>
      <c r="E562" s="109"/>
      <c r="F562" s="109"/>
      <c r="G562" s="109"/>
    </row>
    <row r="563" spans="1:7" ht="21.75" customHeight="1" x14ac:dyDescent="0.6">
      <c r="A563" s="109"/>
      <c r="B563" s="109"/>
      <c r="C563" s="109"/>
      <c r="D563" s="109"/>
      <c r="E563" s="109"/>
      <c r="F563" s="109"/>
      <c r="G563" s="109"/>
    </row>
    <row r="564" spans="1:7" ht="21.75" customHeight="1" x14ac:dyDescent="0.6">
      <c r="A564" s="109"/>
      <c r="B564" s="109"/>
      <c r="C564" s="109"/>
      <c r="D564" s="109"/>
      <c r="E564" s="109"/>
      <c r="F564" s="109"/>
      <c r="G564" s="109"/>
    </row>
    <row r="565" spans="1:7" ht="21.75" customHeight="1" x14ac:dyDescent="0.6">
      <c r="A565" s="109"/>
      <c r="B565" s="109"/>
      <c r="C565" s="109"/>
      <c r="D565" s="109"/>
      <c r="E565" s="109"/>
      <c r="F565" s="109"/>
      <c r="G565" s="109"/>
    </row>
    <row r="566" spans="1:7" ht="21.75" customHeight="1" x14ac:dyDescent="0.6">
      <c r="A566" s="109"/>
      <c r="B566" s="109"/>
      <c r="C566" s="109"/>
      <c r="D566" s="109"/>
      <c r="E566" s="109"/>
      <c r="F566" s="109"/>
      <c r="G566" s="109"/>
    </row>
    <row r="567" spans="1:7" ht="21.75" customHeight="1" x14ac:dyDescent="0.6">
      <c r="A567" s="109"/>
      <c r="B567" s="109"/>
      <c r="C567" s="109"/>
      <c r="D567" s="109"/>
      <c r="E567" s="109"/>
      <c r="F567" s="109"/>
      <c r="G567" s="109"/>
    </row>
    <row r="568" spans="1:7" ht="21.75" customHeight="1" x14ac:dyDescent="0.6">
      <c r="A568" s="109"/>
      <c r="B568" s="109"/>
      <c r="C568" s="109"/>
      <c r="D568" s="109"/>
      <c r="E568" s="109"/>
      <c r="F568" s="109"/>
      <c r="G568" s="109"/>
    </row>
    <row r="569" spans="1:7" ht="21.75" customHeight="1" x14ac:dyDescent="0.6">
      <c r="A569" s="109"/>
      <c r="B569" s="109"/>
      <c r="C569" s="109"/>
      <c r="D569" s="109"/>
      <c r="E569" s="109"/>
      <c r="F569" s="109"/>
      <c r="G569" s="109"/>
    </row>
    <row r="570" spans="1:7" ht="21.75" customHeight="1" x14ac:dyDescent="0.6">
      <c r="A570" s="109"/>
      <c r="B570" s="109"/>
      <c r="C570" s="109"/>
      <c r="D570" s="109"/>
      <c r="E570" s="109"/>
      <c r="F570" s="109"/>
      <c r="G570" s="109"/>
    </row>
    <row r="571" spans="1:7" ht="21.75" customHeight="1" x14ac:dyDescent="0.6">
      <c r="A571" s="109"/>
      <c r="B571" s="109"/>
      <c r="C571" s="109"/>
      <c r="D571" s="109"/>
      <c r="E571" s="109"/>
      <c r="F571" s="109"/>
      <c r="G571" s="109"/>
    </row>
    <row r="572" spans="1:7" ht="21.75" customHeight="1" x14ac:dyDescent="0.6">
      <c r="A572" s="109"/>
      <c r="B572" s="109"/>
      <c r="C572" s="109"/>
      <c r="D572" s="109"/>
      <c r="E572" s="109"/>
      <c r="F572" s="109"/>
      <c r="G572" s="109"/>
    </row>
    <row r="573" spans="1:7" ht="21.75" customHeight="1" x14ac:dyDescent="0.6">
      <c r="A573" s="109"/>
      <c r="B573" s="109"/>
      <c r="C573" s="109"/>
      <c r="D573" s="109"/>
      <c r="E573" s="109"/>
      <c r="F573" s="109"/>
      <c r="G573" s="109"/>
    </row>
    <row r="574" spans="1:7" ht="21.75" customHeight="1" x14ac:dyDescent="0.6">
      <c r="A574" s="109"/>
      <c r="B574" s="109"/>
      <c r="C574" s="109"/>
      <c r="D574" s="109"/>
      <c r="E574" s="109"/>
      <c r="F574" s="109"/>
      <c r="G574" s="109"/>
    </row>
    <row r="575" spans="1:7" ht="21.75" customHeight="1" x14ac:dyDescent="0.6">
      <c r="A575" s="109"/>
      <c r="B575" s="109"/>
      <c r="C575" s="109"/>
      <c r="D575" s="109"/>
      <c r="E575" s="109"/>
      <c r="F575" s="109"/>
      <c r="G575" s="109"/>
    </row>
    <row r="576" spans="1:7" ht="21.75" customHeight="1" x14ac:dyDescent="0.6">
      <c r="A576" s="109"/>
      <c r="B576" s="109"/>
      <c r="C576" s="109"/>
      <c r="D576" s="109"/>
      <c r="E576" s="109"/>
      <c r="F576" s="109"/>
      <c r="G576" s="109"/>
    </row>
    <row r="577" spans="1:7" ht="21.75" customHeight="1" x14ac:dyDescent="0.6">
      <c r="A577" s="109"/>
      <c r="B577" s="109"/>
      <c r="C577" s="109"/>
      <c r="D577" s="109"/>
      <c r="E577" s="109"/>
      <c r="F577" s="109"/>
      <c r="G577" s="109"/>
    </row>
    <row r="578" spans="1:7" ht="21.75" customHeight="1" x14ac:dyDescent="0.6">
      <c r="A578" s="109"/>
      <c r="B578" s="109"/>
      <c r="C578" s="109"/>
      <c r="D578" s="109"/>
      <c r="E578" s="109"/>
      <c r="F578" s="109"/>
      <c r="G578" s="109"/>
    </row>
    <row r="579" spans="1:7" ht="21.75" customHeight="1" x14ac:dyDescent="0.6">
      <c r="A579" s="109"/>
      <c r="B579" s="109"/>
      <c r="C579" s="109"/>
      <c r="D579" s="109"/>
      <c r="E579" s="109"/>
      <c r="F579" s="109"/>
      <c r="G579" s="109"/>
    </row>
    <row r="580" spans="1:7" ht="21.75" customHeight="1" x14ac:dyDescent="0.6">
      <c r="A580" s="109"/>
      <c r="B580" s="109"/>
      <c r="C580" s="109"/>
      <c r="D580" s="109"/>
      <c r="E580" s="109"/>
      <c r="F580" s="109"/>
      <c r="G580" s="109"/>
    </row>
    <row r="581" spans="1:7" ht="21.75" customHeight="1" x14ac:dyDescent="0.6">
      <c r="A581" s="109"/>
      <c r="B581" s="109"/>
      <c r="C581" s="109"/>
      <c r="D581" s="109"/>
      <c r="E581" s="109"/>
      <c r="F581" s="109"/>
      <c r="G581" s="109"/>
    </row>
    <row r="582" spans="1:7" ht="21.75" customHeight="1" x14ac:dyDescent="0.6">
      <c r="A582" s="109"/>
      <c r="B582" s="109"/>
      <c r="C582" s="109"/>
      <c r="D582" s="109"/>
      <c r="E582" s="109"/>
      <c r="F582" s="109"/>
      <c r="G582" s="109"/>
    </row>
    <row r="583" spans="1:7" ht="21.75" customHeight="1" x14ac:dyDescent="0.6">
      <c r="A583" s="109"/>
      <c r="B583" s="109"/>
      <c r="C583" s="109"/>
      <c r="D583" s="109"/>
      <c r="E583" s="109"/>
      <c r="F583" s="109"/>
      <c r="G583" s="109"/>
    </row>
    <row r="584" spans="1:7" ht="21.75" customHeight="1" x14ac:dyDescent="0.6">
      <c r="A584" s="109"/>
      <c r="B584" s="109"/>
      <c r="C584" s="109"/>
      <c r="D584" s="109"/>
      <c r="E584" s="109"/>
      <c r="F584" s="109"/>
      <c r="G584" s="109"/>
    </row>
    <row r="585" spans="1:7" ht="21.75" customHeight="1" x14ac:dyDescent="0.6">
      <c r="A585" s="109"/>
      <c r="B585" s="109"/>
      <c r="C585" s="109"/>
      <c r="D585" s="109"/>
      <c r="E585" s="109"/>
      <c r="F585" s="109"/>
      <c r="G585" s="109"/>
    </row>
    <row r="586" spans="1:7" ht="21.75" customHeight="1" x14ac:dyDescent="0.6">
      <c r="A586" s="109"/>
      <c r="B586" s="109"/>
      <c r="C586" s="109"/>
      <c r="D586" s="109"/>
      <c r="E586" s="109"/>
      <c r="F586" s="109"/>
      <c r="G586" s="109"/>
    </row>
    <row r="587" spans="1:7" ht="21.75" customHeight="1" x14ac:dyDescent="0.6">
      <c r="A587" s="109"/>
      <c r="B587" s="109"/>
      <c r="C587" s="109"/>
      <c r="D587" s="109"/>
      <c r="E587" s="109"/>
      <c r="F587" s="109"/>
      <c r="G587" s="109"/>
    </row>
    <row r="588" spans="1:7" ht="21.75" customHeight="1" x14ac:dyDescent="0.6">
      <c r="A588" s="109"/>
      <c r="B588" s="109"/>
      <c r="C588" s="109"/>
      <c r="D588" s="109"/>
      <c r="E588" s="109"/>
      <c r="F588" s="109"/>
      <c r="G588" s="109"/>
    </row>
    <row r="589" spans="1:7" ht="21.75" customHeight="1" x14ac:dyDescent="0.6">
      <c r="A589" s="109"/>
      <c r="B589" s="109"/>
      <c r="C589" s="109"/>
      <c r="D589" s="109"/>
      <c r="E589" s="109"/>
      <c r="F589" s="109"/>
      <c r="G589" s="109"/>
    </row>
    <row r="590" spans="1:7" ht="21.75" customHeight="1" x14ac:dyDescent="0.6">
      <c r="A590" s="109"/>
      <c r="B590" s="109"/>
      <c r="C590" s="109"/>
      <c r="D590" s="109"/>
      <c r="E590" s="109"/>
      <c r="F590" s="109"/>
      <c r="G590" s="109"/>
    </row>
    <row r="591" spans="1:7" ht="21.75" customHeight="1" x14ac:dyDescent="0.6">
      <c r="A591" s="109"/>
      <c r="B591" s="109"/>
      <c r="C591" s="109"/>
      <c r="D591" s="109"/>
      <c r="E591" s="109"/>
      <c r="F591" s="109"/>
      <c r="G591" s="109"/>
    </row>
    <row r="592" spans="1:7" ht="21.75" customHeight="1" x14ac:dyDescent="0.6">
      <c r="A592" s="109"/>
      <c r="B592" s="109"/>
      <c r="C592" s="109"/>
      <c r="D592" s="109"/>
      <c r="E592" s="109"/>
      <c r="F592" s="109"/>
      <c r="G592" s="109"/>
    </row>
    <row r="593" spans="1:7" ht="21.75" customHeight="1" x14ac:dyDescent="0.6">
      <c r="A593" s="109"/>
      <c r="B593" s="109"/>
      <c r="C593" s="109"/>
      <c r="D593" s="109"/>
      <c r="E593" s="109"/>
      <c r="F593" s="109"/>
      <c r="G593" s="109"/>
    </row>
    <row r="594" spans="1:7" ht="21.75" customHeight="1" x14ac:dyDescent="0.6">
      <c r="A594" s="109"/>
      <c r="B594" s="109"/>
      <c r="C594" s="109"/>
      <c r="D594" s="109"/>
      <c r="E594" s="109"/>
      <c r="F594" s="109"/>
      <c r="G594" s="109"/>
    </row>
    <row r="595" spans="1:7" ht="21.75" customHeight="1" x14ac:dyDescent="0.6">
      <c r="A595" s="109"/>
      <c r="B595" s="109"/>
      <c r="C595" s="109"/>
      <c r="D595" s="109"/>
      <c r="E595" s="109"/>
      <c r="F595" s="109"/>
      <c r="G595" s="109"/>
    </row>
    <row r="596" spans="1:7" ht="21.75" customHeight="1" x14ac:dyDescent="0.6">
      <c r="A596" s="109"/>
      <c r="B596" s="109"/>
      <c r="C596" s="109"/>
      <c r="D596" s="109"/>
      <c r="E596" s="109"/>
      <c r="F596" s="109"/>
      <c r="G596" s="109"/>
    </row>
    <row r="597" spans="1:7" ht="21.75" customHeight="1" x14ac:dyDescent="0.6">
      <c r="A597" s="109"/>
      <c r="B597" s="109"/>
      <c r="C597" s="109"/>
      <c r="D597" s="109"/>
      <c r="E597" s="109"/>
      <c r="F597" s="109"/>
      <c r="G597" s="109"/>
    </row>
    <row r="598" spans="1:7" ht="21.75" customHeight="1" x14ac:dyDescent="0.6">
      <c r="A598" s="109"/>
      <c r="B598" s="109"/>
      <c r="C598" s="109"/>
      <c r="D598" s="109"/>
      <c r="E598" s="109"/>
      <c r="F598" s="109"/>
      <c r="G598" s="109"/>
    </row>
    <row r="599" spans="1:7" ht="21.75" customHeight="1" x14ac:dyDescent="0.6">
      <c r="A599" s="109"/>
      <c r="B599" s="109"/>
      <c r="C599" s="109"/>
      <c r="D599" s="109"/>
      <c r="E599" s="109"/>
      <c r="F599" s="109"/>
      <c r="G599" s="109"/>
    </row>
    <row r="600" spans="1:7" ht="21.75" customHeight="1" x14ac:dyDescent="0.6">
      <c r="A600" s="109"/>
      <c r="B600" s="109"/>
      <c r="C600" s="109"/>
      <c r="D600" s="109"/>
      <c r="E600" s="109"/>
      <c r="F600" s="109"/>
      <c r="G600" s="109"/>
    </row>
    <row r="601" spans="1:7" ht="21.75" customHeight="1" x14ac:dyDescent="0.6">
      <c r="A601" s="109"/>
      <c r="B601" s="109"/>
      <c r="C601" s="109"/>
      <c r="D601" s="109"/>
      <c r="E601" s="109"/>
      <c r="F601" s="109"/>
      <c r="G601" s="109"/>
    </row>
    <row r="602" spans="1:7" ht="21.75" customHeight="1" x14ac:dyDescent="0.6">
      <c r="A602" s="109"/>
      <c r="B602" s="109"/>
      <c r="C602" s="109"/>
      <c r="D602" s="109"/>
      <c r="E602" s="109"/>
      <c r="F602" s="109"/>
      <c r="G602" s="109"/>
    </row>
    <row r="603" spans="1:7" ht="21.75" customHeight="1" x14ac:dyDescent="0.6">
      <c r="A603" s="109"/>
      <c r="B603" s="109"/>
      <c r="C603" s="109"/>
      <c r="D603" s="109"/>
      <c r="E603" s="109"/>
      <c r="F603" s="109"/>
      <c r="G603" s="109"/>
    </row>
    <row r="604" spans="1:7" ht="21.75" customHeight="1" x14ac:dyDescent="0.6">
      <c r="A604" s="109"/>
      <c r="B604" s="109"/>
      <c r="C604" s="109"/>
      <c r="D604" s="109"/>
      <c r="E604" s="109"/>
      <c r="F604" s="109"/>
      <c r="G604" s="109"/>
    </row>
    <row r="605" spans="1:7" ht="21.75" customHeight="1" x14ac:dyDescent="0.6">
      <c r="A605" s="109"/>
      <c r="B605" s="109"/>
      <c r="C605" s="109"/>
      <c r="D605" s="109"/>
      <c r="E605" s="109"/>
      <c r="F605" s="109"/>
      <c r="G605" s="109"/>
    </row>
    <row r="606" spans="1:7" ht="21.75" customHeight="1" x14ac:dyDescent="0.6">
      <c r="A606" s="109"/>
      <c r="B606" s="109"/>
      <c r="C606" s="109"/>
      <c r="D606" s="109"/>
      <c r="E606" s="109"/>
      <c r="F606" s="109"/>
      <c r="G606" s="109"/>
    </row>
    <row r="607" spans="1:7" ht="21.75" customHeight="1" x14ac:dyDescent="0.6">
      <c r="A607" s="109"/>
      <c r="B607" s="109"/>
      <c r="C607" s="109"/>
      <c r="D607" s="109"/>
      <c r="E607" s="109"/>
      <c r="F607" s="109"/>
      <c r="G607" s="109"/>
    </row>
    <row r="608" spans="1:7" ht="21.75" customHeight="1" x14ac:dyDescent="0.6">
      <c r="A608" s="109"/>
      <c r="B608" s="109"/>
      <c r="C608" s="109"/>
      <c r="D608" s="109"/>
      <c r="E608" s="109"/>
      <c r="F608" s="109"/>
      <c r="G608" s="109"/>
    </row>
    <row r="609" spans="1:7" ht="21.75" customHeight="1" x14ac:dyDescent="0.6">
      <c r="A609" s="109"/>
      <c r="B609" s="109"/>
      <c r="C609" s="109"/>
      <c r="D609" s="109"/>
      <c r="E609" s="109"/>
      <c r="F609" s="109"/>
      <c r="G609" s="109"/>
    </row>
    <row r="610" spans="1:7" ht="21.75" customHeight="1" x14ac:dyDescent="0.6">
      <c r="A610" s="109"/>
      <c r="B610" s="109"/>
      <c r="C610" s="109"/>
      <c r="D610" s="109"/>
      <c r="E610" s="109"/>
      <c r="F610" s="109"/>
      <c r="G610" s="109"/>
    </row>
    <row r="611" spans="1:7" ht="21.75" customHeight="1" x14ac:dyDescent="0.6">
      <c r="A611" s="109"/>
      <c r="B611" s="109"/>
      <c r="C611" s="109"/>
      <c r="D611" s="109"/>
      <c r="E611" s="109"/>
      <c r="F611" s="109"/>
      <c r="G611" s="109"/>
    </row>
    <row r="612" spans="1:7" ht="21.75" customHeight="1" x14ac:dyDescent="0.6">
      <c r="A612" s="109"/>
      <c r="B612" s="109"/>
      <c r="C612" s="109"/>
      <c r="D612" s="109"/>
      <c r="E612" s="109"/>
      <c r="F612" s="109"/>
      <c r="G612" s="109"/>
    </row>
    <row r="613" spans="1:7" ht="21.75" customHeight="1" x14ac:dyDescent="0.6">
      <c r="A613" s="109"/>
      <c r="B613" s="109"/>
      <c r="C613" s="109"/>
      <c r="D613" s="109"/>
      <c r="E613" s="109"/>
      <c r="F613" s="109"/>
      <c r="G613" s="109"/>
    </row>
    <row r="614" spans="1:7" ht="21.75" customHeight="1" x14ac:dyDescent="0.6">
      <c r="A614" s="109"/>
      <c r="B614" s="109"/>
      <c r="C614" s="109"/>
      <c r="D614" s="109"/>
      <c r="E614" s="109"/>
      <c r="F614" s="109"/>
      <c r="G614" s="109"/>
    </row>
    <row r="615" spans="1:7" ht="21.75" customHeight="1" x14ac:dyDescent="0.6">
      <c r="A615" s="109"/>
      <c r="B615" s="109"/>
      <c r="C615" s="109"/>
      <c r="D615" s="109"/>
      <c r="E615" s="109"/>
      <c r="F615" s="109"/>
      <c r="G615" s="109"/>
    </row>
    <row r="616" spans="1:7" ht="21.75" customHeight="1" x14ac:dyDescent="0.6">
      <c r="A616" s="109"/>
      <c r="B616" s="109"/>
      <c r="C616" s="109"/>
      <c r="D616" s="109"/>
      <c r="E616" s="109"/>
      <c r="F616" s="109"/>
      <c r="G616" s="109"/>
    </row>
    <row r="617" spans="1:7" ht="21.75" customHeight="1" x14ac:dyDescent="0.6">
      <c r="A617" s="109"/>
      <c r="B617" s="109"/>
      <c r="C617" s="109"/>
      <c r="D617" s="109"/>
      <c r="E617" s="109"/>
      <c r="F617" s="109"/>
      <c r="G617" s="109"/>
    </row>
    <row r="618" spans="1:7" ht="21.75" customHeight="1" x14ac:dyDescent="0.6">
      <c r="A618" s="109"/>
      <c r="B618" s="109"/>
      <c r="C618" s="109"/>
      <c r="D618" s="109"/>
      <c r="E618" s="109"/>
      <c r="F618" s="109"/>
      <c r="G618" s="109"/>
    </row>
    <row r="619" spans="1:7" ht="21.75" customHeight="1" x14ac:dyDescent="0.6">
      <c r="A619" s="109"/>
      <c r="B619" s="109"/>
      <c r="C619" s="109"/>
      <c r="D619" s="109"/>
      <c r="E619" s="109"/>
      <c r="F619" s="109"/>
      <c r="G619" s="109"/>
    </row>
    <row r="620" spans="1:7" ht="21.75" customHeight="1" x14ac:dyDescent="0.6">
      <c r="A620" s="109"/>
      <c r="B620" s="109"/>
      <c r="C620" s="109"/>
      <c r="D620" s="109"/>
      <c r="E620" s="109"/>
      <c r="F620" s="109"/>
      <c r="G620" s="109"/>
    </row>
    <row r="621" spans="1:7" ht="21.75" customHeight="1" x14ac:dyDescent="0.6">
      <c r="A621" s="109"/>
      <c r="B621" s="109"/>
      <c r="C621" s="109"/>
      <c r="D621" s="109"/>
      <c r="E621" s="109"/>
      <c r="F621" s="109"/>
      <c r="G621" s="109"/>
    </row>
    <row r="622" spans="1:7" ht="21.75" customHeight="1" x14ac:dyDescent="0.6">
      <c r="A622" s="109"/>
      <c r="B622" s="109"/>
      <c r="C622" s="109"/>
      <c r="D622" s="109"/>
      <c r="E622" s="109"/>
      <c r="F622" s="109"/>
      <c r="G622" s="109"/>
    </row>
    <row r="623" spans="1:7" ht="21.75" customHeight="1" x14ac:dyDescent="0.6">
      <c r="A623" s="109"/>
      <c r="B623" s="109"/>
      <c r="C623" s="109"/>
      <c r="D623" s="109"/>
      <c r="E623" s="109"/>
      <c r="F623" s="109"/>
      <c r="G623" s="109"/>
    </row>
    <row r="624" spans="1:7" ht="21.75" customHeight="1" x14ac:dyDescent="0.6">
      <c r="A624" s="109"/>
      <c r="B624" s="109"/>
      <c r="C624" s="109"/>
      <c r="D624" s="109"/>
      <c r="E624" s="109"/>
      <c r="F624" s="109"/>
      <c r="G624" s="109"/>
    </row>
    <row r="625" spans="1:7" ht="21.75" customHeight="1" x14ac:dyDescent="0.6">
      <c r="A625" s="109"/>
      <c r="B625" s="109"/>
      <c r="C625" s="109"/>
      <c r="D625" s="109"/>
      <c r="E625" s="109"/>
      <c r="F625" s="109"/>
      <c r="G625" s="109"/>
    </row>
    <row r="626" spans="1:7" ht="21.75" customHeight="1" x14ac:dyDescent="0.6">
      <c r="A626" s="109"/>
      <c r="B626" s="109"/>
      <c r="C626" s="109"/>
      <c r="D626" s="109"/>
      <c r="E626" s="109"/>
      <c r="F626" s="109"/>
      <c r="G626" s="109"/>
    </row>
    <row r="627" spans="1:7" ht="21.75" customHeight="1" x14ac:dyDescent="0.6">
      <c r="A627" s="109"/>
      <c r="B627" s="109"/>
      <c r="C627" s="109"/>
      <c r="D627" s="109"/>
      <c r="E627" s="109"/>
      <c r="F627" s="109"/>
      <c r="G627" s="109"/>
    </row>
    <row r="628" spans="1:7" ht="21.75" customHeight="1" x14ac:dyDescent="0.6">
      <c r="A628" s="109"/>
      <c r="B628" s="109"/>
      <c r="C628" s="109"/>
      <c r="D628" s="109"/>
      <c r="E628" s="109"/>
      <c r="F628" s="109"/>
      <c r="G628" s="109"/>
    </row>
    <row r="629" spans="1:7" ht="21.75" customHeight="1" x14ac:dyDescent="0.6">
      <c r="A629" s="109"/>
      <c r="B629" s="109"/>
      <c r="C629" s="109"/>
      <c r="D629" s="109"/>
      <c r="E629" s="109"/>
      <c r="F629" s="109"/>
      <c r="G629" s="109"/>
    </row>
    <row r="630" spans="1:7" ht="21.75" customHeight="1" x14ac:dyDescent="0.6">
      <c r="A630" s="109"/>
      <c r="B630" s="109"/>
      <c r="C630" s="109"/>
      <c r="D630" s="109"/>
      <c r="E630" s="109"/>
      <c r="F630" s="109"/>
      <c r="G630" s="109"/>
    </row>
    <row r="631" spans="1:7" ht="21.75" customHeight="1" x14ac:dyDescent="0.6">
      <c r="A631" s="109"/>
      <c r="B631" s="109"/>
      <c r="C631" s="109"/>
      <c r="D631" s="109"/>
      <c r="E631" s="109"/>
      <c r="F631" s="109"/>
      <c r="G631" s="109"/>
    </row>
    <row r="632" spans="1:7" ht="21.75" customHeight="1" x14ac:dyDescent="0.6">
      <c r="A632" s="109"/>
      <c r="B632" s="109"/>
      <c r="C632" s="109"/>
      <c r="D632" s="109"/>
      <c r="E632" s="109"/>
      <c r="F632" s="109"/>
      <c r="G632" s="109"/>
    </row>
    <row r="633" spans="1:7" ht="21.75" customHeight="1" x14ac:dyDescent="0.6">
      <c r="A633" s="109"/>
      <c r="B633" s="109"/>
      <c r="C633" s="109"/>
      <c r="D633" s="109"/>
      <c r="E633" s="109"/>
      <c r="F633" s="109"/>
      <c r="G633" s="109"/>
    </row>
    <row r="634" spans="1:7" ht="21.75" customHeight="1" x14ac:dyDescent="0.6">
      <c r="A634" s="109"/>
      <c r="B634" s="109"/>
      <c r="C634" s="109"/>
      <c r="D634" s="109"/>
      <c r="E634" s="109"/>
      <c r="F634" s="109"/>
      <c r="G634" s="109"/>
    </row>
    <row r="635" spans="1:7" ht="21.75" customHeight="1" x14ac:dyDescent="0.6">
      <c r="A635" s="109"/>
      <c r="B635" s="109"/>
      <c r="C635" s="109"/>
      <c r="D635" s="109"/>
      <c r="E635" s="109"/>
      <c r="F635" s="109"/>
      <c r="G635" s="109"/>
    </row>
    <row r="636" spans="1:7" ht="21.75" customHeight="1" x14ac:dyDescent="0.6">
      <c r="A636" s="109"/>
      <c r="B636" s="109"/>
      <c r="C636" s="109"/>
      <c r="D636" s="109"/>
      <c r="E636" s="109"/>
      <c r="F636" s="109"/>
      <c r="G636" s="109"/>
    </row>
    <row r="637" spans="1:7" ht="21.75" customHeight="1" x14ac:dyDescent="0.6">
      <c r="A637" s="109"/>
      <c r="B637" s="109"/>
      <c r="C637" s="109"/>
      <c r="D637" s="109"/>
      <c r="E637" s="109"/>
      <c r="F637" s="109"/>
      <c r="G637" s="109"/>
    </row>
    <row r="638" spans="1:7" ht="21.75" customHeight="1" x14ac:dyDescent="0.6">
      <c r="A638" s="109"/>
      <c r="B638" s="109"/>
      <c r="C638" s="109"/>
      <c r="D638" s="109"/>
      <c r="E638" s="109"/>
      <c r="F638" s="109"/>
      <c r="G638" s="109"/>
    </row>
    <row r="639" spans="1:7" ht="21.75" customHeight="1" x14ac:dyDescent="0.6">
      <c r="A639" s="109"/>
      <c r="B639" s="109"/>
      <c r="C639" s="109"/>
      <c r="D639" s="109"/>
      <c r="E639" s="109"/>
      <c r="F639" s="109"/>
      <c r="G639" s="109"/>
    </row>
    <row r="640" spans="1:7" ht="21.75" customHeight="1" x14ac:dyDescent="0.6">
      <c r="A640" s="109"/>
      <c r="B640" s="109"/>
      <c r="C640" s="109"/>
      <c r="D640" s="109"/>
      <c r="E640" s="109"/>
      <c r="F640" s="109"/>
      <c r="G640" s="109"/>
    </row>
    <row r="641" spans="1:7" ht="21.75" customHeight="1" x14ac:dyDescent="0.6">
      <c r="A641" s="109"/>
      <c r="B641" s="109"/>
      <c r="C641" s="109"/>
      <c r="D641" s="109"/>
      <c r="E641" s="109"/>
      <c r="F641" s="109"/>
      <c r="G641" s="109"/>
    </row>
    <row r="642" spans="1:7" ht="21.75" customHeight="1" x14ac:dyDescent="0.6">
      <c r="A642" s="109"/>
      <c r="B642" s="109"/>
      <c r="C642" s="109"/>
      <c r="D642" s="109"/>
      <c r="E642" s="109"/>
      <c r="F642" s="109"/>
      <c r="G642" s="109"/>
    </row>
    <row r="643" spans="1:7" ht="21.75" customHeight="1" x14ac:dyDescent="0.6">
      <c r="A643" s="109"/>
      <c r="B643" s="109"/>
      <c r="C643" s="109"/>
      <c r="D643" s="109"/>
      <c r="E643" s="109"/>
      <c r="F643" s="109"/>
      <c r="G643" s="109"/>
    </row>
    <row r="644" spans="1:7" ht="21.75" customHeight="1" x14ac:dyDescent="0.6">
      <c r="A644" s="109"/>
      <c r="B644" s="109"/>
      <c r="C644" s="109"/>
      <c r="D644" s="109"/>
      <c r="E644" s="109"/>
      <c r="F644" s="109"/>
      <c r="G644" s="109"/>
    </row>
    <row r="645" spans="1:7" ht="21.75" customHeight="1" x14ac:dyDescent="0.6">
      <c r="A645" s="109"/>
      <c r="B645" s="109"/>
      <c r="C645" s="109"/>
      <c r="D645" s="109"/>
      <c r="E645" s="109"/>
      <c r="F645" s="109"/>
      <c r="G645" s="109"/>
    </row>
    <row r="646" spans="1:7" ht="21.75" customHeight="1" x14ac:dyDescent="0.6">
      <c r="A646" s="109"/>
      <c r="B646" s="109"/>
      <c r="C646" s="109"/>
      <c r="D646" s="109"/>
      <c r="E646" s="109"/>
      <c r="F646" s="109"/>
      <c r="G646" s="109"/>
    </row>
    <row r="647" spans="1:7" ht="21.75" customHeight="1" x14ac:dyDescent="0.6">
      <c r="A647" s="109"/>
      <c r="B647" s="109"/>
      <c r="C647" s="109"/>
      <c r="D647" s="109"/>
      <c r="E647" s="109"/>
      <c r="F647" s="109"/>
      <c r="G647" s="109"/>
    </row>
    <row r="648" spans="1:7" ht="21.75" customHeight="1" x14ac:dyDescent="0.6">
      <c r="A648" s="109"/>
      <c r="B648" s="109"/>
      <c r="C648" s="109"/>
      <c r="D648" s="109"/>
      <c r="E648" s="109"/>
      <c r="F648" s="109"/>
      <c r="G648" s="109"/>
    </row>
    <row r="649" spans="1:7" ht="21.75" customHeight="1" x14ac:dyDescent="0.6">
      <c r="A649" s="109"/>
      <c r="B649" s="109"/>
      <c r="C649" s="109"/>
      <c r="D649" s="109"/>
      <c r="E649" s="109"/>
      <c r="F649" s="109"/>
      <c r="G649" s="109"/>
    </row>
    <row r="650" spans="1:7" ht="21.75" customHeight="1" x14ac:dyDescent="0.6">
      <c r="A650" s="109"/>
      <c r="B650" s="109"/>
      <c r="C650" s="109"/>
      <c r="D650" s="109"/>
      <c r="E650" s="109"/>
      <c r="F650" s="109"/>
      <c r="G650" s="109"/>
    </row>
    <row r="651" spans="1:7" ht="21.75" customHeight="1" x14ac:dyDescent="0.6">
      <c r="A651" s="109"/>
      <c r="B651" s="109"/>
      <c r="C651" s="109"/>
      <c r="D651" s="109"/>
      <c r="E651" s="109"/>
      <c r="F651" s="109"/>
      <c r="G651" s="109"/>
    </row>
    <row r="652" spans="1:7" ht="21.75" customHeight="1" x14ac:dyDescent="0.6">
      <c r="A652" s="109"/>
      <c r="B652" s="109"/>
      <c r="C652" s="109"/>
      <c r="D652" s="109"/>
      <c r="E652" s="109"/>
      <c r="F652" s="109"/>
      <c r="G652" s="109"/>
    </row>
    <row r="653" spans="1:7" ht="21.75" customHeight="1" x14ac:dyDescent="0.6">
      <c r="A653" s="109"/>
      <c r="B653" s="109"/>
      <c r="C653" s="109"/>
      <c r="D653" s="109"/>
      <c r="E653" s="109"/>
      <c r="F653" s="109"/>
      <c r="G653" s="109"/>
    </row>
    <row r="654" spans="1:7" ht="21.75" customHeight="1" x14ac:dyDescent="0.6">
      <c r="A654" s="109"/>
      <c r="B654" s="109"/>
      <c r="C654" s="109"/>
      <c r="D654" s="109"/>
      <c r="E654" s="109"/>
      <c r="F654" s="109"/>
      <c r="G654" s="109"/>
    </row>
    <row r="655" spans="1:7" ht="21.75" customHeight="1" x14ac:dyDescent="0.6">
      <c r="A655" s="109"/>
      <c r="B655" s="109"/>
      <c r="C655" s="109"/>
      <c r="D655" s="109"/>
      <c r="E655" s="109"/>
      <c r="F655" s="109"/>
      <c r="G655" s="109"/>
    </row>
    <row r="656" spans="1:7" ht="21.75" customHeight="1" x14ac:dyDescent="0.6">
      <c r="A656" s="109"/>
      <c r="B656" s="109"/>
      <c r="C656" s="109"/>
      <c r="D656" s="109"/>
      <c r="E656" s="109"/>
      <c r="F656" s="109"/>
      <c r="G656" s="109"/>
    </row>
    <row r="657" spans="1:7" ht="21.75" customHeight="1" x14ac:dyDescent="0.6">
      <c r="A657" s="109"/>
      <c r="B657" s="109"/>
      <c r="C657" s="109"/>
      <c r="D657" s="109"/>
      <c r="E657" s="109"/>
      <c r="F657" s="109"/>
      <c r="G657" s="109"/>
    </row>
    <row r="658" spans="1:7" ht="21.75" customHeight="1" x14ac:dyDescent="0.6">
      <c r="A658" s="109"/>
      <c r="B658" s="109"/>
      <c r="C658" s="109"/>
      <c r="D658" s="109"/>
      <c r="E658" s="109"/>
      <c r="F658" s="109"/>
      <c r="G658" s="109"/>
    </row>
    <row r="659" spans="1:7" ht="21.75" customHeight="1" x14ac:dyDescent="0.6">
      <c r="A659" s="109"/>
      <c r="B659" s="109"/>
      <c r="C659" s="109"/>
      <c r="D659" s="109"/>
      <c r="E659" s="109"/>
      <c r="F659" s="109"/>
      <c r="G659" s="109"/>
    </row>
    <row r="660" spans="1:7" ht="21.75" customHeight="1" x14ac:dyDescent="0.6">
      <c r="A660" s="109"/>
      <c r="B660" s="109"/>
      <c r="C660" s="109"/>
      <c r="D660" s="109"/>
      <c r="E660" s="109"/>
      <c r="F660" s="109"/>
      <c r="G660" s="109"/>
    </row>
    <row r="661" spans="1:7" ht="21.75" customHeight="1" x14ac:dyDescent="0.6">
      <c r="A661" s="109"/>
      <c r="B661" s="109"/>
      <c r="C661" s="109"/>
      <c r="D661" s="109"/>
      <c r="E661" s="109"/>
      <c r="F661" s="109"/>
      <c r="G661" s="109"/>
    </row>
    <row r="662" spans="1:7" ht="21.75" customHeight="1" x14ac:dyDescent="0.6">
      <c r="A662" s="109"/>
      <c r="B662" s="109"/>
      <c r="C662" s="109"/>
      <c r="D662" s="109"/>
      <c r="E662" s="109"/>
      <c r="F662" s="109"/>
      <c r="G662" s="109"/>
    </row>
    <row r="663" spans="1:7" ht="21.75" customHeight="1" x14ac:dyDescent="0.6">
      <c r="A663" s="109"/>
      <c r="B663" s="109"/>
      <c r="C663" s="109"/>
      <c r="D663" s="109"/>
      <c r="E663" s="109"/>
      <c r="F663" s="109"/>
      <c r="G663" s="109"/>
    </row>
    <row r="664" spans="1:7" ht="21.75" customHeight="1" x14ac:dyDescent="0.6">
      <c r="A664" s="109"/>
      <c r="B664" s="109"/>
      <c r="C664" s="109"/>
      <c r="D664" s="109"/>
      <c r="E664" s="109"/>
      <c r="F664" s="109"/>
      <c r="G664" s="109"/>
    </row>
    <row r="665" spans="1:7" ht="21.75" customHeight="1" x14ac:dyDescent="0.6">
      <c r="A665" s="109"/>
      <c r="B665" s="109"/>
      <c r="C665" s="109"/>
      <c r="D665" s="109"/>
      <c r="E665" s="109"/>
      <c r="F665" s="109"/>
      <c r="G665" s="109"/>
    </row>
    <row r="666" spans="1:7" ht="21.75" customHeight="1" x14ac:dyDescent="0.6">
      <c r="A666" s="109"/>
      <c r="B666" s="109"/>
      <c r="C666" s="109"/>
      <c r="D666" s="109"/>
      <c r="E666" s="109"/>
      <c r="F666" s="109"/>
      <c r="G666" s="109"/>
    </row>
    <row r="667" spans="1:7" ht="21.75" customHeight="1" x14ac:dyDescent="0.6">
      <c r="A667" s="109"/>
      <c r="B667" s="109"/>
      <c r="C667" s="109"/>
      <c r="D667" s="109"/>
      <c r="E667" s="109"/>
      <c r="F667" s="109"/>
      <c r="G667" s="109"/>
    </row>
    <row r="668" spans="1:7" ht="21.75" customHeight="1" x14ac:dyDescent="0.6">
      <c r="A668" s="109"/>
      <c r="B668" s="109"/>
      <c r="C668" s="109"/>
      <c r="D668" s="109"/>
      <c r="E668" s="109"/>
      <c r="F668" s="109"/>
      <c r="G668" s="109"/>
    </row>
    <row r="669" spans="1:7" ht="21.75" customHeight="1" x14ac:dyDescent="0.6">
      <c r="A669" s="109"/>
      <c r="B669" s="109"/>
      <c r="C669" s="109"/>
      <c r="D669" s="109"/>
      <c r="E669" s="109"/>
      <c r="F669" s="109"/>
      <c r="G669" s="109"/>
    </row>
    <row r="670" spans="1:7" ht="21.75" customHeight="1" x14ac:dyDescent="0.6">
      <c r="A670" s="109"/>
      <c r="B670" s="109"/>
      <c r="C670" s="109"/>
      <c r="D670" s="109"/>
      <c r="E670" s="109"/>
      <c r="F670" s="109"/>
      <c r="G670" s="109"/>
    </row>
    <row r="671" spans="1:7" ht="21.75" customHeight="1" x14ac:dyDescent="0.6">
      <c r="A671" s="109"/>
      <c r="B671" s="109"/>
      <c r="C671" s="109"/>
      <c r="D671" s="109"/>
      <c r="E671" s="109"/>
      <c r="F671" s="109"/>
      <c r="G671" s="109"/>
    </row>
    <row r="672" spans="1:7" ht="21.75" customHeight="1" x14ac:dyDescent="0.6">
      <c r="A672" s="109"/>
      <c r="B672" s="109"/>
      <c r="C672" s="109"/>
      <c r="D672" s="109"/>
      <c r="E672" s="109"/>
      <c r="F672" s="109"/>
      <c r="G672" s="109"/>
    </row>
    <row r="673" spans="1:7" ht="21.75" customHeight="1" x14ac:dyDescent="0.6">
      <c r="A673" s="109"/>
      <c r="B673" s="109"/>
      <c r="C673" s="109"/>
      <c r="D673" s="109"/>
      <c r="E673" s="109"/>
      <c r="F673" s="109"/>
      <c r="G673" s="109"/>
    </row>
    <row r="674" spans="1:7" ht="21.75" customHeight="1" x14ac:dyDescent="0.6">
      <c r="A674" s="109"/>
      <c r="B674" s="109"/>
      <c r="C674" s="109"/>
      <c r="D674" s="109"/>
      <c r="E674" s="109"/>
      <c r="F674" s="109"/>
      <c r="G674" s="109"/>
    </row>
    <row r="675" spans="1:7" ht="21.75" customHeight="1" x14ac:dyDescent="0.6">
      <c r="A675" s="109"/>
      <c r="B675" s="109"/>
      <c r="C675" s="109"/>
      <c r="D675" s="109"/>
      <c r="E675" s="109"/>
      <c r="F675" s="109"/>
      <c r="G675" s="109"/>
    </row>
    <row r="676" spans="1:7" ht="21.75" customHeight="1" x14ac:dyDescent="0.6">
      <c r="A676" s="109"/>
      <c r="B676" s="109"/>
      <c r="C676" s="109"/>
      <c r="D676" s="109"/>
      <c r="E676" s="109"/>
      <c r="F676" s="109"/>
      <c r="G676" s="109"/>
    </row>
    <row r="677" spans="1:7" ht="21.75" customHeight="1" x14ac:dyDescent="0.6">
      <c r="A677" s="109"/>
      <c r="B677" s="109"/>
      <c r="C677" s="109"/>
      <c r="D677" s="109"/>
      <c r="E677" s="109"/>
      <c r="F677" s="109"/>
      <c r="G677" s="109"/>
    </row>
    <row r="678" spans="1:7" ht="21.75" customHeight="1" x14ac:dyDescent="0.6">
      <c r="A678" s="109"/>
      <c r="B678" s="109"/>
      <c r="C678" s="109"/>
      <c r="D678" s="109"/>
      <c r="E678" s="109"/>
      <c r="F678" s="109"/>
      <c r="G678" s="109"/>
    </row>
    <row r="679" spans="1:7" ht="21.75" customHeight="1" x14ac:dyDescent="0.6">
      <c r="A679" s="109"/>
      <c r="B679" s="109"/>
      <c r="C679" s="109"/>
      <c r="D679" s="109"/>
      <c r="E679" s="109"/>
      <c r="F679" s="109"/>
      <c r="G679" s="109"/>
    </row>
    <row r="680" spans="1:7" ht="21.75" customHeight="1" x14ac:dyDescent="0.6">
      <c r="A680" s="109"/>
      <c r="B680" s="109"/>
      <c r="C680" s="109"/>
      <c r="D680" s="109"/>
      <c r="E680" s="109"/>
      <c r="F680" s="109"/>
      <c r="G680" s="109"/>
    </row>
    <row r="681" spans="1:7" ht="21.75" customHeight="1" x14ac:dyDescent="0.6">
      <c r="A681" s="109"/>
      <c r="B681" s="109"/>
      <c r="C681" s="109"/>
      <c r="D681" s="109"/>
      <c r="E681" s="109"/>
      <c r="F681" s="109"/>
      <c r="G681" s="109"/>
    </row>
    <row r="682" spans="1:7" ht="21.75" customHeight="1" x14ac:dyDescent="0.6">
      <c r="A682" s="109"/>
      <c r="B682" s="109"/>
      <c r="C682" s="109"/>
      <c r="D682" s="109"/>
      <c r="E682" s="109"/>
      <c r="F682" s="109"/>
      <c r="G682" s="109"/>
    </row>
    <row r="683" spans="1:7" ht="21.75" customHeight="1" x14ac:dyDescent="0.6">
      <c r="A683" s="109"/>
      <c r="B683" s="109"/>
      <c r="C683" s="109"/>
      <c r="D683" s="109"/>
      <c r="E683" s="109"/>
      <c r="F683" s="109"/>
      <c r="G683" s="109"/>
    </row>
    <row r="684" spans="1:7" ht="21.75" customHeight="1" x14ac:dyDescent="0.6">
      <c r="A684" s="109"/>
      <c r="B684" s="109"/>
      <c r="C684" s="109"/>
      <c r="D684" s="109"/>
      <c r="E684" s="109"/>
      <c r="F684" s="109"/>
      <c r="G684" s="109"/>
    </row>
    <row r="685" spans="1:7" ht="21.75" customHeight="1" x14ac:dyDescent="0.6">
      <c r="A685" s="109"/>
      <c r="B685" s="109"/>
      <c r="C685" s="109"/>
      <c r="D685" s="109"/>
      <c r="E685" s="109"/>
      <c r="F685" s="109"/>
      <c r="G685" s="109"/>
    </row>
    <row r="686" spans="1:7" ht="21.75" customHeight="1" x14ac:dyDescent="0.6">
      <c r="A686" s="109"/>
      <c r="B686" s="109"/>
      <c r="C686" s="109"/>
      <c r="D686" s="109"/>
      <c r="E686" s="109"/>
      <c r="F686" s="109"/>
      <c r="G686" s="109"/>
    </row>
    <row r="687" spans="1:7" ht="21.75" customHeight="1" x14ac:dyDescent="0.6">
      <c r="A687" s="109"/>
      <c r="B687" s="109"/>
      <c r="C687" s="109"/>
      <c r="D687" s="109"/>
      <c r="E687" s="109"/>
      <c r="F687" s="109"/>
      <c r="G687" s="109"/>
    </row>
    <row r="688" spans="1:7" ht="21.75" customHeight="1" x14ac:dyDescent="0.6">
      <c r="A688" s="109"/>
      <c r="B688" s="109"/>
      <c r="C688" s="109"/>
      <c r="D688" s="109"/>
      <c r="E688" s="109"/>
      <c r="F688" s="109"/>
      <c r="G688" s="109"/>
    </row>
    <row r="689" spans="1:7" ht="21.75" customHeight="1" x14ac:dyDescent="0.6">
      <c r="A689" s="109"/>
      <c r="B689" s="109"/>
      <c r="C689" s="109"/>
      <c r="D689" s="109"/>
      <c r="E689" s="109"/>
      <c r="F689" s="109"/>
      <c r="G689" s="109"/>
    </row>
    <row r="690" spans="1:7" ht="21.75" customHeight="1" x14ac:dyDescent="0.6">
      <c r="A690" s="109"/>
      <c r="B690" s="109"/>
      <c r="C690" s="109"/>
      <c r="D690" s="109"/>
      <c r="E690" s="109"/>
      <c r="F690" s="109"/>
      <c r="G690" s="109"/>
    </row>
    <row r="691" spans="1:7" ht="21.75" customHeight="1" x14ac:dyDescent="0.6">
      <c r="A691" s="109"/>
      <c r="B691" s="109"/>
      <c r="C691" s="109"/>
      <c r="D691" s="109"/>
      <c r="E691" s="109"/>
      <c r="F691" s="109"/>
      <c r="G691" s="109"/>
    </row>
    <row r="692" spans="1:7" ht="21.75" customHeight="1" x14ac:dyDescent="0.6">
      <c r="A692" s="109"/>
      <c r="B692" s="109"/>
      <c r="C692" s="109"/>
      <c r="D692" s="109"/>
      <c r="E692" s="109"/>
      <c r="F692" s="109"/>
      <c r="G692" s="109"/>
    </row>
    <row r="693" spans="1:7" ht="21.75" customHeight="1" x14ac:dyDescent="0.6">
      <c r="A693" s="109"/>
      <c r="B693" s="109"/>
      <c r="C693" s="109"/>
      <c r="D693" s="109"/>
      <c r="E693" s="109"/>
      <c r="F693" s="109"/>
      <c r="G693" s="109"/>
    </row>
    <row r="694" spans="1:7" ht="21.75" customHeight="1" x14ac:dyDescent="0.6">
      <c r="A694" s="109"/>
      <c r="B694" s="109"/>
      <c r="C694" s="109"/>
      <c r="D694" s="109"/>
      <c r="E694" s="109"/>
      <c r="F694" s="109"/>
      <c r="G694" s="109"/>
    </row>
    <row r="695" spans="1:7" ht="21.75" customHeight="1" x14ac:dyDescent="0.6">
      <c r="A695" s="109"/>
      <c r="B695" s="109"/>
      <c r="C695" s="109"/>
      <c r="D695" s="109"/>
      <c r="E695" s="109"/>
      <c r="F695" s="109"/>
      <c r="G695" s="109"/>
    </row>
    <row r="696" spans="1:7" ht="21.75" customHeight="1" x14ac:dyDescent="0.6">
      <c r="A696" s="109"/>
      <c r="B696" s="109"/>
      <c r="C696" s="109"/>
      <c r="D696" s="109"/>
      <c r="E696" s="109"/>
      <c r="F696" s="109"/>
      <c r="G696" s="109"/>
    </row>
    <row r="697" spans="1:7" ht="21.75" customHeight="1" x14ac:dyDescent="0.6">
      <c r="A697" s="109"/>
      <c r="B697" s="109"/>
      <c r="C697" s="109"/>
      <c r="D697" s="109"/>
      <c r="E697" s="109"/>
      <c r="F697" s="109"/>
      <c r="G697" s="109"/>
    </row>
    <row r="698" spans="1:7" ht="21.75" customHeight="1" x14ac:dyDescent="0.6">
      <c r="A698" s="109"/>
      <c r="B698" s="109"/>
      <c r="C698" s="109"/>
      <c r="D698" s="109"/>
      <c r="E698" s="109"/>
      <c r="F698" s="109"/>
      <c r="G698" s="109"/>
    </row>
    <row r="699" spans="1:7" ht="21.75" customHeight="1" x14ac:dyDescent="0.6">
      <c r="A699" s="109"/>
      <c r="B699" s="109"/>
      <c r="C699" s="109"/>
      <c r="D699" s="109"/>
      <c r="E699" s="109"/>
      <c r="F699" s="109"/>
      <c r="G699" s="109"/>
    </row>
    <row r="700" spans="1:7" ht="21.75" customHeight="1" x14ac:dyDescent="0.6">
      <c r="A700" s="109"/>
      <c r="B700" s="109"/>
      <c r="C700" s="109"/>
      <c r="D700" s="109"/>
      <c r="E700" s="109"/>
      <c r="F700" s="109"/>
      <c r="G700" s="109"/>
    </row>
    <row r="701" spans="1:7" ht="21.75" customHeight="1" x14ac:dyDescent="0.6">
      <c r="A701" s="109"/>
      <c r="B701" s="109"/>
      <c r="C701" s="109"/>
      <c r="D701" s="109"/>
      <c r="E701" s="109"/>
      <c r="F701" s="109"/>
      <c r="G701" s="109"/>
    </row>
    <row r="702" spans="1:7" ht="21.75" customHeight="1" x14ac:dyDescent="0.6">
      <c r="A702" s="109"/>
      <c r="B702" s="109"/>
      <c r="C702" s="109"/>
      <c r="D702" s="109"/>
      <c r="E702" s="109"/>
      <c r="F702" s="109"/>
      <c r="G702" s="109"/>
    </row>
    <row r="703" spans="1:7" ht="21.75" customHeight="1" x14ac:dyDescent="0.6">
      <c r="A703" s="109"/>
      <c r="B703" s="109"/>
      <c r="C703" s="109"/>
      <c r="D703" s="109"/>
      <c r="E703" s="109"/>
      <c r="F703" s="109"/>
      <c r="G703" s="109"/>
    </row>
    <row r="704" spans="1:7" ht="21.75" customHeight="1" x14ac:dyDescent="0.6">
      <c r="A704" s="109"/>
      <c r="B704" s="109"/>
      <c r="C704" s="109"/>
      <c r="D704" s="109"/>
      <c r="E704" s="109"/>
      <c r="F704" s="109"/>
      <c r="G704" s="109"/>
    </row>
    <row r="705" spans="1:7" ht="21.75" customHeight="1" x14ac:dyDescent="0.6">
      <c r="A705" s="109"/>
      <c r="B705" s="109"/>
      <c r="C705" s="109"/>
      <c r="D705" s="109"/>
      <c r="E705" s="109"/>
      <c r="F705" s="109"/>
      <c r="G705" s="109"/>
    </row>
    <row r="706" spans="1:7" ht="21.75" customHeight="1" x14ac:dyDescent="0.6">
      <c r="A706" s="109"/>
      <c r="B706" s="109"/>
      <c r="C706" s="109"/>
      <c r="D706" s="109"/>
      <c r="E706" s="109"/>
      <c r="F706" s="109"/>
      <c r="G706" s="109"/>
    </row>
    <row r="707" spans="1:7" ht="21.75" customHeight="1" x14ac:dyDescent="0.6">
      <c r="A707" s="109"/>
      <c r="B707" s="109"/>
      <c r="C707" s="109"/>
      <c r="D707" s="109"/>
      <c r="E707" s="109"/>
      <c r="F707" s="109"/>
      <c r="G707" s="109"/>
    </row>
    <row r="708" spans="1:7" ht="21.75" customHeight="1" x14ac:dyDescent="0.6">
      <c r="A708" s="109"/>
      <c r="B708" s="109"/>
      <c r="C708" s="109"/>
      <c r="D708" s="109"/>
      <c r="E708" s="109"/>
      <c r="F708" s="109"/>
      <c r="G708" s="109"/>
    </row>
    <row r="709" spans="1:7" ht="21.75" customHeight="1" x14ac:dyDescent="0.6">
      <c r="A709" s="109"/>
      <c r="B709" s="109"/>
      <c r="C709" s="109"/>
      <c r="D709" s="109"/>
      <c r="E709" s="109"/>
      <c r="F709" s="109"/>
      <c r="G709" s="109"/>
    </row>
    <row r="710" spans="1:7" ht="21.75" customHeight="1" x14ac:dyDescent="0.6">
      <c r="A710" s="109"/>
      <c r="B710" s="109"/>
      <c r="C710" s="109"/>
      <c r="D710" s="109"/>
      <c r="E710" s="109"/>
      <c r="F710" s="109"/>
      <c r="G710" s="109"/>
    </row>
    <row r="711" spans="1:7" ht="21.75" customHeight="1" x14ac:dyDescent="0.6">
      <c r="A711" s="109"/>
      <c r="B711" s="109"/>
      <c r="C711" s="109"/>
      <c r="D711" s="109"/>
      <c r="E711" s="109"/>
      <c r="F711" s="109"/>
      <c r="G711" s="109"/>
    </row>
    <row r="712" spans="1:7" ht="21.75" customHeight="1" x14ac:dyDescent="0.6">
      <c r="A712" s="109"/>
      <c r="B712" s="109"/>
      <c r="C712" s="109"/>
      <c r="D712" s="109"/>
      <c r="E712" s="109"/>
      <c r="F712" s="109"/>
      <c r="G712" s="109"/>
    </row>
    <row r="713" spans="1:7" ht="21.75" customHeight="1" x14ac:dyDescent="0.6">
      <c r="A713" s="109"/>
      <c r="B713" s="109"/>
      <c r="C713" s="109"/>
      <c r="D713" s="109"/>
      <c r="E713" s="109"/>
      <c r="F713" s="109"/>
      <c r="G713" s="109"/>
    </row>
    <row r="714" spans="1:7" ht="21.75" customHeight="1" x14ac:dyDescent="0.6">
      <c r="A714" s="109"/>
      <c r="B714" s="109"/>
      <c r="C714" s="109"/>
      <c r="D714" s="109"/>
      <c r="E714" s="109"/>
      <c r="F714" s="109"/>
      <c r="G714" s="109"/>
    </row>
    <row r="715" spans="1:7" ht="21.75" customHeight="1" x14ac:dyDescent="0.6">
      <c r="A715" s="109"/>
      <c r="B715" s="109"/>
      <c r="C715" s="109"/>
      <c r="D715" s="109"/>
      <c r="E715" s="109"/>
      <c r="F715" s="109"/>
      <c r="G715" s="109"/>
    </row>
    <row r="716" spans="1:7" ht="21.75" customHeight="1" x14ac:dyDescent="0.6">
      <c r="A716" s="109"/>
      <c r="B716" s="109"/>
      <c r="C716" s="109"/>
      <c r="D716" s="109"/>
      <c r="E716" s="109"/>
      <c r="F716" s="109"/>
      <c r="G716" s="109"/>
    </row>
    <row r="717" spans="1:7" ht="21.75" customHeight="1" x14ac:dyDescent="0.6">
      <c r="A717" s="109"/>
      <c r="B717" s="109"/>
      <c r="C717" s="109"/>
      <c r="D717" s="109"/>
      <c r="E717" s="109"/>
      <c r="F717" s="109"/>
      <c r="G717" s="109"/>
    </row>
    <row r="718" spans="1:7" ht="21.75" customHeight="1" x14ac:dyDescent="0.6">
      <c r="A718" s="109"/>
      <c r="B718" s="109"/>
      <c r="C718" s="109"/>
      <c r="D718" s="109"/>
      <c r="E718" s="109"/>
      <c r="F718" s="109"/>
      <c r="G718" s="109"/>
    </row>
    <row r="719" spans="1:7" ht="21.75" customHeight="1" x14ac:dyDescent="0.6">
      <c r="A719" s="109"/>
      <c r="B719" s="109"/>
      <c r="C719" s="109"/>
      <c r="D719" s="109"/>
      <c r="E719" s="109"/>
      <c r="F719" s="109"/>
      <c r="G719" s="109"/>
    </row>
    <row r="720" spans="1:7" ht="21.75" customHeight="1" x14ac:dyDescent="0.6">
      <c r="A720" s="109"/>
      <c r="B720" s="109"/>
      <c r="C720" s="109"/>
      <c r="D720" s="109"/>
      <c r="E720" s="109"/>
      <c r="F720" s="109"/>
      <c r="G720" s="109"/>
    </row>
    <row r="721" spans="1:7" ht="21.75" customHeight="1" x14ac:dyDescent="0.6">
      <c r="A721" s="109"/>
      <c r="B721" s="109"/>
      <c r="C721" s="109"/>
      <c r="D721" s="109"/>
      <c r="E721" s="109"/>
      <c r="F721" s="109"/>
      <c r="G721" s="109"/>
    </row>
    <row r="722" spans="1:7" ht="21.75" customHeight="1" x14ac:dyDescent="0.6">
      <c r="A722" s="109"/>
      <c r="B722" s="109"/>
      <c r="C722" s="109"/>
      <c r="D722" s="109"/>
      <c r="E722" s="109"/>
      <c r="F722" s="109"/>
      <c r="G722" s="109"/>
    </row>
    <row r="723" spans="1:7" ht="21.75" customHeight="1" x14ac:dyDescent="0.6">
      <c r="A723" s="109"/>
      <c r="B723" s="109"/>
      <c r="C723" s="109"/>
      <c r="D723" s="109"/>
      <c r="E723" s="109"/>
      <c r="F723" s="109"/>
      <c r="G723" s="109"/>
    </row>
    <row r="724" spans="1:7" ht="21.75" customHeight="1" x14ac:dyDescent="0.6">
      <c r="A724" s="109"/>
      <c r="B724" s="109"/>
      <c r="C724" s="109"/>
      <c r="D724" s="109"/>
      <c r="E724" s="109"/>
      <c r="F724" s="109"/>
      <c r="G724" s="109"/>
    </row>
    <row r="725" spans="1:7" ht="21.75" customHeight="1" x14ac:dyDescent="0.6">
      <c r="A725" s="109"/>
      <c r="B725" s="109"/>
      <c r="C725" s="109"/>
      <c r="D725" s="109"/>
      <c r="E725" s="109"/>
      <c r="F725" s="109"/>
      <c r="G725" s="109"/>
    </row>
    <row r="726" spans="1:7" ht="21.75" customHeight="1" x14ac:dyDescent="0.6">
      <c r="A726" s="109"/>
      <c r="B726" s="109"/>
      <c r="C726" s="109"/>
      <c r="D726" s="109"/>
      <c r="E726" s="109"/>
      <c r="F726" s="109"/>
      <c r="G726" s="109"/>
    </row>
    <row r="727" spans="1:7" ht="21.75" customHeight="1" x14ac:dyDescent="0.6">
      <c r="A727" s="109"/>
      <c r="B727" s="109"/>
      <c r="C727" s="109"/>
      <c r="D727" s="109"/>
      <c r="E727" s="109"/>
      <c r="F727" s="109"/>
      <c r="G727" s="109"/>
    </row>
    <row r="728" spans="1:7" ht="21.75" customHeight="1" x14ac:dyDescent="0.6">
      <c r="A728" s="109"/>
      <c r="B728" s="109"/>
      <c r="C728" s="109"/>
      <c r="D728" s="109"/>
      <c r="E728" s="109"/>
      <c r="F728" s="109"/>
      <c r="G728" s="109"/>
    </row>
    <row r="729" spans="1:7" ht="21.75" customHeight="1" x14ac:dyDescent="0.6">
      <c r="A729" s="109"/>
      <c r="B729" s="109"/>
      <c r="C729" s="109"/>
      <c r="D729" s="109"/>
      <c r="E729" s="109"/>
      <c r="F729" s="109"/>
      <c r="G729" s="109"/>
    </row>
    <row r="730" spans="1:7" ht="21.75" customHeight="1" x14ac:dyDescent="0.6">
      <c r="A730" s="109"/>
      <c r="B730" s="109"/>
      <c r="C730" s="109"/>
      <c r="D730" s="109"/>
      <c r="E730" s="109"/>
      <c r="F730" s="109"/>
      <c r="G730" s="109"/>
    </row>
    <row r="731" spans="1:7" ht="21.75" customHeight="1" x14ac:dyDescent="0.6">
      <c r="A731" s="109"/>
      <c r="B731" s="109"/>
      <c r="C731" s="109"/>
      <c r="D731" s="109"/>
      <c r="E731" s="109"/>
      <c r="F731" s="109"/>
      <c r="G731" s="109"/>
    </row>
    <row r="732" spans="1:7" ht="21.75" customHeight="1" x14ac:dyDescent="0.6">
      <c r="A732" s="109"/>
      <c r="B732" s="109"/>
      <c r="C732" s="109"/>
      <c r="D732" s="109"/>
      <c r="E732" s="109"/>
      <c r="F732" s="109"/>
      <c r="G732" s="109"/>
    </row>
    <row r="733" spans="1:7" ht="21.75" customHeight="1" x14ac:dyDescent="0.6">
      <c r="A733" s="109"/>
      <c r="B733" s="109"/>
      <c r="C733" s="109"/>
      <c r="D733" s="109"/>
      <c r="E733" s="109"/>
      <c r="F733" s="109"/>
      <c r="G733" s="109"/>
    </row>
    <row r="734" spans="1:7" ht="21.75" customHeight="1" x14ac:dyDescent="0.6">
      <c r="A734" s="109"/>
      <c r="B734" s="109"/>
      <c r="C734" s="109"/>
      <c r="D734" s="109"/>
      <c r="E734" s="109"/>
      <c r="F734" s="109"/>
      <c r="G734" s="109"/>
    </row>
    <row r="735" spans="1:7" ht="21.75" customHeight="1" x14ac:dyDescent="0.6">
      <c r="A735" s="109"/>
      <c r="B735" s="109"/>
      <c r="C735" s="109"/>
      <c r="D735" s="109"/>
      <c r="E735" s="109"/>
      <c r="F735" s="109"/>
      <c r="G735" s="109"/>
    </row>
    <row r="736" spans="1:7" ht="21.75" customHeight="1" x14ac:dyDescent="0.6">
      <c r="A736" s="109"/>
      <c r="B736" s="109"/>
      <c r="C736" s="109"/>
      <c r="D736" s="109"/>
      <c r="E736" s="109"/>
      <c r="F736" s="109"/>
      <c r="G736" s="109"/>
    </row>
    <row r="737" spans="1:7" ht="21.75" customHeight="1" x14ac:dyDescent="0.6">
      <c r="A737" s="109"/>
      <c r="B737" s="109"/>
      <c r="C737" s="109"/>
      <c r="D737" s="109"/>
      <c r="E737" s="109"/>
      <c r="F737" s="109"/>
      <c r="G737" s="109"/>
    </row>
    <row r="738" spans="1:7" ht="21.75" customHeight="1" x14ac:dyDescent="0.6">
      <c r="A738" s="109"/>
      <c r="B738" s="109"/>
      <c r="C738" s="109"/>
      <c r="D738" s="109"/>
      <c r="E738" s="109"/>
      <c r="F738" s="109"/>
      <c r="G738" s="109"/>
    </row>
    <row r="739" spans="1:7" ht="21.75" customHeight="1" x14ac:dyDescent="0.6">
      <c r="A739" s="109"/>
      <c r="B739" s="109"/>
      <c r="C739" s="109"/>
      <c r="D739" s="109"/>
      <c r="E739" s="109"/>
      <c r="F739" s="109"/>
      <c r="G739" s="109"/>
    </row>
    <row r="740" spans="1:7" ht="21.75" customHeight="1" x14ac:dyDescent="0.6">
      <c r="A740" s="109"/>
      <c r="B740" s="109"/>
      <c r="C740" s="109"/>
      <c r="D740" s="109"/>
      <c r="E740" s="109"/>
      <c r="F740" s="109"/>
      <c r="G740" s="109"/>
    </row>
    <row r="741" spans="1:7" ht="21.75" customHeight="1" x14ac:dyDescent="0.6">
      <c r="A741" s="109"/>
      <c r="B741" s="109"/>
      <c r="C741" s="109"/>
      <c r="D741" s="109"/>
      <c r="E741" s="109"/>
      <c r="F741" s="109"/>
      <c r="G741" s="109"/>
    </row>
    <row r="742" spans="1:7" ht="21.75" customHeight="1" x14ac:dyDescent="0.6">
      <c r="A742" s="109"/>
      <c r="B742" s="109"/>
      <c r="C742" s="109"/>
      <c r="D742" s="109"/>
      <c r="E742" s="109"/>
      <c r="F742" s="109"/>
      <c r="G742" s="109"/>
    </row>
    <row r="743" spans="1:7" ht="21.75" customHeight="1" x14ac:dyDescent="0.6">
      <c r="A743" s="109"/>
      <c r="B743" s="109"/>
      <c r="C743" s="109"/>
      <c r="D743" s="109"/>
      <c r="E743" s="109"/>
      <c r="F743" s="109"/>
      <c r="G743" s="109"/>
    </row>
    <row r="744" spans="1:7" ht="21.75" customHeight="1" x14ac:dyDescent="0.6">
      <c r="A744" s="109"/>
      <c r="B744" s="109"/>
      <c r="C744" s="109"/>
      <c r="D744" s="109"/>
      <c r="E744" s="109"/>
      <c r="F744" s="109"/>
      <c r="G744" s="109"/>
    </row>
    <row r="745" spans="1:7" ht="21.75" customHeight="1" x14ac:dyDescent="0.6">
      <c r="A745" s="109"/>
      <c r="B745" s="109"/>
      <c r="C745" s="109"/>
      <c r="D745" s="109"/>
      <c r="E745" s="109"/>
      <c r="F745" s="109"/>
      <c r="G745" s="109"/>
    </row>
    <row r="746" spans="1:7" ht="21.75" customHeight="1" x14ac:dyDescent="0.6">
      <c r="A746" s="109"/>
      <c r="B746" s="109"/>
      <c r="C746" s="109"/>
      <c r="D746" s="109"/>
      <c r="E746" s="109"/>
      <c r="F746" s="109"/>
      <c r="G746" s="109"/>
    </row>
    <row r="747" spans="1:7" ht="21.75" customHeight="1" x14ac:dyDescent="0.6">
      <c r="A747" s="109"/>
      <c r="B747" s="109"/>
      <c r="C747" s="109"/>
      <c r="D747" s="109"/>
      <c r="E747" s="109"/>
      <c r="F747" s="109"/>
      <c r="G747" s="109"/>
    </row>
    <row r="748" spans="1:7" ht="21.75" customHeight="1" x14ac:dyDescent="0.6">
      <c r="A748" s="109"/>
      <c r="B748" s="109"/>
      <c r="C748" s="109"/>
      <c r="D748" s="109"/>
      <c r="E748" s="109"/>
      <c r="F748" s="109"/>
      <c r="G748" s="109"/>
    </row>
    <row r="749" spans="1:7" ht="21.75" customHeight="1" x14ac:dyDescent="0.6">
      <c r="A749" s="109"/>
      <c r="B749" s="109"/>
      <c r="C749" s="109"/>
      <c r="D749" s="109"/>
      <c r="E749" s="109"/>
      <c r="F749" s="109"/>
      <c r="G749" s="109"/>
    </row>
    <row r="750" spans="1:7" ht="21.75" customHeight="1" x14ac:dyDescent="0.6">
      <c r="A750" s="109"/>
      <c r="B750" s="109"/>
      <c r="C750" s="109"/>
      <c r="D750" s="109"/>
      <c r="E750" s="109"/>
      <c r="F750" s="109"/>
      <c r="G750" s="109"/>
    </row>
    <row r="751" spans="1:7" ht="21.75" customHeight="1" x14ac:dyDescent="0.6">
      <c r="A751" s="109"/>
      <c r="B751" s="109"/>
      <c r="C751" s="109"/>
      <c r="D751" s="109"/>
      <c r="E751" s="109"/>
      <c r="F751" s="109"/>
      <c r="G751" s="109"/>
    </row>
    <row r="752" spans="1:7" ht="21.75" customHeight="1" x14ac:dyDescent="0.6">
      <c r="A752" s="109"/>
      <c r="B752" s="109"/>
      <c r="C752" s="109"/>
      <c r="D752" s="109"/>
      <c r="E752" s="109"/>
      <c r="F752" s="109"/>
      <c r="G752" s="109"/>
    </row>
    <row r="753" spans="1:7" ht="21.75" customHeight="1" x14ac:dyDescent="0.6">
      <c r="A753" s="109"/>
      <c r="B753" s="109"/>
      <c r="C753" s="109"/>
      <c r="D753" s="109"/>
      <c r="E753" s="109"/>
      <c r="F753" s="109"/>
      <c r="G753" s="109"/>
    </row>
    <row r="754" spans="1:7" ht="21.75" customHeight="1" x14ac:dyDescent="0.6">
      <c r="A754" s="109"/>
      <c r="B754" s="109"/>
      <c r="C754" s="109"/>
      <c r="D754" s="109"/>
      <c r="E754" s="109"/>
      <c r="F754" s="109"/>
      <c r="G754" s="109"/>
    </row>
    <row r="755" spans="1:7" ht="21.75" customHeight="1" x14ac:dyDescent="0.6">
      <c r="A755" s="109"/>
      <c r="B755" s="109"/>
      <c r="C755" s="109"/>
      <c r="D755" s="109"/>
      <c r="E755" s="109"/>
      <c r="F755" s="109"/>
      <c r="G755" s="109"/>
    </row>
    <row r="756" spans="1:7" ht="21.75" customHeight="1" x14ac:dyDescent="0.6">
      <c r="A756" s="109"/>
      <c r="B756" s="109"/>
      <c r="C756" s="109"/>
      <c r="D756" s="109"/>
      <c r="E756" s="109"/>
      <c r="F756" s="109"/>
      <c r="G756" s="109"/>
    </row>
    <row r="757" spans="1:7" ht="21.75" customHeight="1" x14ac:dyDescent="0.6">
      <c r="A757" s="109"/>
      <c r="B757" s="109"/>
      <c r="C757" s="109"/>
      <c r="D757" s="109"/>
      <c r="E757" s="109"/>
      <c r="F757" s="109"/>
      <c r="G757" s="109"/>
    </row>
    <row r="758" spans="1:7" ht="21.75" customHeight="1" x14ac:dyDescent="0.6">
      <c r="A758" s="109"/>
      <c r="B758" s="109"/>
      <c r="C758" s="109"/>
      <c r="D758" s="109"/>
      <c r="E758" s="109"/>
      <c r="F758" s="109"/>
      <c r="G758" s="109"/>
    </row>
    <row r="759" spans="1:7" ht="21.75" customHeight="1" x14ac:dyDescent="0.6">
      <c r="A759" s="109"/>
      <c r="B759" s="109"/>
      <c r="C759" s="109"/>
      <c r="D759" s="109"/>
      <c r="E759" s="109"/>
      <c r="F759" s="109"/>
      <c r="G759" s="109"/>
    </row>
    <row r="760" spans="1:7" ht="21.75" customHeight="1" x14ac:dyDescent="0.6">
      <c r="A760" s="109"/>
      <c r="B760" s="109"/>
      <c r="C760" s="109"/>
      <c r="D760" s="109"/>
      <c r="E760" s="109"/>
      <c r="F760" s="109"/>
      <c r="G760" s="109"/>
    </row>
    <row r="761" spans="1:7" ht="21.75" customHeight="1" x14ac:dyDescent="0.6">
      <c r="A761" s="109"/>
      <c r="B761" s="109"/>
      <c r="C761" s="109"/>
      <c r="D761" s="109"/>
      <c r="E761" s="109"/>
      <c r="F761" s="109"/>
      <c r="G761" s="109"/>
    </row>
    <row r="762" spans="1:7" ht="21.75" customHeight="1" x14ac:dyDescent="0.6">
      <c r="A762" s="109"/>
      <c r="B762" s="109"/>
      <c r="C762" s="109"/>
      <c r="D762" s="109"/>
      <c r="E762" s="109"/>
      <c r="F762" s="109"/>
      <c r="G762" s="109"/>
    </row>
    <row r="763" spans="1:7" ht="21.75" customHeight="1" x14ac:dyDescent="0.6">
      <c r="A763" s="109"/>
      <c r="B763" s="109"/>
      <c r="C763" s="109"/>
      <c r="D763" s="109"/>
      <c r="E763" s="109"/>
      <c r="F763" s="109"/>
      <c r="G763" s="109"/>
    </row>
    <row r="764" spans="1:7" ht="21.75" customHeight="1" x14ac:dyDescent="0.6">
      <c r="A764" s="109"/>
      <c r="B764" s="109"/>
      <c r="C764" s="109"/>
      <c r="D764" s="109"/>
      <c r="E764" s="109"/>
      <c r="F764" s="109"/>
      <c r="G764" s="109"/>
    </row>
    <row r="765" spans="1:7" ht="21.75" customHeight="1" x14ac:dyDescent="0.6">
      <c r="A765" s="109"/>
      <c r="B765" s="109"/>
      <c r="C765" s="109"/>
      <c r="D765" s="109"/>
      <c r="E765" s="109"/>
      <c r="F765" s="109"/>
      <c r="G765" s="109"/>
    </row>
    <row r="766" spans="1:7" ht="21.75" customHeight="1" x14ac:dyDescent="0.6">
      <c r="A766" s="109"/>
      <c r="B766" s="109"/>
      <c r="C766" s="109"/>
      <c r="D766" s="109"/>
      <c r="E766" s="109"/>
      <c r="F766" s="109"/>
      <c r="G766" s="109"/>
    </row>
    <row r="767" spans="1:7" ht="21.75" customHeight="1" x14ac:dyDescent="0.6">
      <c r="A767" s="109"/>
      <c r="B767" s="109"/>
      <c r="C767" s="109"/>
      <c r="D767" s="109"/>
      <c r="E767" s="109"/>
      <c r="F767" s="109"/>
      <c r="G767" s="109"/>
    </row>
    <row r="768" spans="1:7" ht="21.75" customHeight="1" x14ac:dyDescent="0.6">
      <c r="A768" s="109"/>
      <c r="B768" s="109"/>
      <c r="C768" s="109"/>
      <c r="D768" s="109"/>
      <c r="E768" s="109"/>
      <c r="F768" s="109"/>
      <c r="G768" s="109"/>
    </row>
    <row r="769" spans="1:7" ht="21.75" customHeight="1" x14ac:dyDescent="0.6">
      <c r="A769" s="109"/>
      <c r="B769" s="109"/>
      <c r="C769" s="109"/>
      <c r="D769" s="109"/>
      <c r="E769" s="109"/>
      <c r="F769" s="109"/>
      <c r="G769" s="109"/>
    </row>
    <row r="770" spans="1:7" ht="21.75" customHeight="1" x14ac:dyDescent="0.6">
      <c r="A770" s="109"/>
      <c r="B770" s="109"/>
      <c r="C770" s="109"/>
      <c r="D770" s="109"/>
      <c r="E770" s="109"/>
      <c r="F770" s="109"/>
      <c r="G770" s="109"/>
    </row>
    <row r="771" spans="1:7" ht="21.75" customHeight="1" x14ac:dyDescent="0.6">
      <c r="A771" s="109"/>
      <c r="B771" s="109"/>
      <c r="C771" s="109"/>
      <c r="D771" s="109"/>
      <c r="E771" s="109"/>
      <c r="F771" s="109"/>
      <c r="G771" s="109"/>
    </row>
    <row r="772" spans="1:7" ht="21.75" customHeight="1" x14ac:dyDescent="0.6">
      <c r="A772" s="109"/>
      <c r="B772" s="109"/>
      <c r="C772" s="109"/>
      <c r="D772" s="109"/>
      <c r="E772" s="109"/>
      <c r="F772" s="109"/>
      <c r="G772" s="109"/>
    </row>
    <row r="773" spans="1:7" ht="21.75" customHeight="1" x14ac:dyDescent="0.6">
      <c r="A773" s="109"/>
      <c r="B773" s="109"/>
      <c r="C773" s="109"/>
      <c r="D773" s="109"/>
      <c r="E773" s="109"/>
      <c r="F773" s="109"/>
      <c r="G773" s="109"/>
    </row>
    <row r="774" spans="1:7" ht="21.75" customHeight="1" x14ac:dyDescent="0.6">
      <c r="A774" s="109"/>
      <c r="B774" s="109"/>
      <c r="C774" s="109"/>
      <c r="D774" s="109"/>
      <c r="E774" s="109"/>
      <c r="F774" s="109"/>
      <c r="G774" s="109"/>
    </row>
    <row r="775" spans="1:7" ht="21.75" customHeight="1" x14ac:dyDescent="0.6">
      <c r="A775" s="109"/>
      <c r="B775" s="109"/>
      <c r="C775" s="109"/>
      <c r="D775" s="109"/>
      <c r="E775" s="109"/>
      <c r="F775" s="109"/>
      <c r="G775" s="109"/>
    </row>
    <row r="776" spans="1:7" ht="21.75" customHeight="1" x14ac:dyDescent="0.6">
      <c r="A776" s="109"/>
      <c r="B776" s="109"/>
      <c r="C776" s="109"/>
      <c r="D776" s="109"/>
      <c r="E776" s="109"/>
      <c r="F776" s="109"/>
      <c r="G776" s="109"/>
    </row>
    <row r="777" spans="1:7" ht="21.75" customHeight="1" x14ac:dyDescent="0.6">
      <c r="A777" s="109"/>
      <c r="B777" s="109"/>
      <c r="C777" s="109"/>
      <c r="D777" s="109"/>
      <c r="E777" s="109"/>
      <c r="F777" s="109"/>
      <c r="G777" s="109"/>
    </row>
    <row r="778" spans="1:7" ht="21.75" customHeight="1" x14ac:dyDescent="0.6">
      <c r="A778" s="109"/>
      <c r="B778" s="109"/>
      <c r="C778" s="109"/>
      <c r="D778" s="109"/>
      <c r="E778" s="109"/>
      <c r="F778" s="109"/>
      <c r="G778" s="109"/>
    </row>
    <row r="779" spans="1:7" ht="21.75" customHeight="1" x14ac:dyDescent="0.6">
      <c r="A779" s="109"/>
      <c r="B779" s="109"/>
      <c r="C779" s="109"/>
      <c r="D779" s="109"/>
      <c r="E779" s="109"/>
      <c r="F779" s="109"/>
      <c r="G779" s="109"/>
    </row>
    <row r="780" spans="1:7" ht="21.75" customHeight="1" x14ac:dyDescent="0.6">
      <c r="A780" s="109"/>
      <c r="B780" s="109"/>
      <c r="C780" s="109"/>
      <c r="D780" s="109"/>
      <c r="E780" s="109"/>
      <c r="F780" s="109"/>
      <c r="G780" s="109"/>
    </row>
    <row r="781" spans="1:7" ht="21.75" customHeight="1" x14ac:dyDescent="0.6">
      <c r="A781" s="109"/>
      <c r="B781" s="109"/>
      <c r="C781" s="109"/>
      <c r="D781" s="109"/>
      <c r="E781" s="109"/>
      <c r="F781" s="109"/>
      <c r="G781" s="109"/>
    </row>
    <row r="782" spans="1:7" ht="21.75" customHeight="1" x14ac:dyDescent="0.6">
      <c r="A782" s="109"/>
      <c r="B782" s="109"/>
      <c r="C782" s="109"/>
      <c r="D782" s="109"/>
      <c r="E782" s="109"/>
      <c r="F782" s="109"/>
      <c r="G782" s="109"/>
    </row>
    <row r="783" spans="1:7" ht="21.75" customHeight="1" x14ac:dyDescent="0.6">
      <c r="A783" s="109"/>
      <c r="B783" s="109"/>
      <c r="C783" s="109"/>
      <c r="D783" s="109"/>
      <c r="E783" s="109"/>
      <c r="F783" s="109"/>
      <c r="G783" s="109"/>
    </row>
    <row r="784" spans="1:7" ht="21.75" customHeight="1" x14ac:dyDescent="0.6">
      <c r="A784" s="109"/>
      <c r="B784" s="109"/>
      <c r="C784" s="109"/>
      <c r="D784" s="109"/>
      <c r="E784" s="109"/>
      <c r="F784" s="109"/>
      <c r="G784" s="109"/>
    </row>
    <row r="785" spans="1:7" ht="21.75" customHeight="1" x14ac:dyDescent="0.6">
      <c r="A785" s="109"/>
      <c r="B785" s="109"/>
      <c r="C785" s="109"/>
      <c r="D785" s="109"/>
      <c r="E785" s="109"/>
      <c r="F785" s="109"/>
      <c r="G785" s="109"/>
    </row>
    <row r="786" spans="1:7" ht="21.75" customHeight="1" x14ac:dyDescent="0.6">
      <c r="A786" s="109"/>
      <c r="B786" s="109"/>
      <c r="C786" s="109"/>
      <c r="D786" s="109"/>
      <c r="E786" s="109"/>
      <c r="F786" s="109"/>
      <c r="G786" s="109"/>
    </row>
    <row r="787" spans="1:7" ht="21.75" customHeight="1" x14ac:dyDescent="0.6">
      <c r="A787" s="109"/>
      <c r="B787" s="109"/>
      <c r="C787" s="109"/>
      <c r="D787" s="109"/>
      <c r="E787" s="109"/>
      <c r="F787" s="109"/>
      <c r="G787" s="109"/>
    </row>
    <row r="788" spans="1:7" ht="21.75" customHeight="1" x14ac:dyDescent="0.6">
      <c r="A788" s="109"/>
      <c r="B788" s="109"/>
      <c r="C788" s="109"/>
      <c r="D788" s="109"/>
      <c r="E788" s="109"/>
      <c r="F788" s="109"/>
      <c r="G788" s="109"/>
    </row>
    <row r="789" spans="1:7" ht="21.75" customHeight="1" x14ac:dyDescent="0.6">
      <c r="A789" s="109"/>
      <c r="B789" s="109"/>
      <c r="C789" s="109"/>
      <c r="D789" s="109"/>
      <c r="E789" s="109"/>
      <c r="F789" s="109"/>
      <c r="G789" s="109"/>
    </row>
    <row r="790" spans="1:7" ht="21.75" customHeight="1" x14ac:dyDescent="0.6">
      <c r="A790" s="109"/>
      <c r="B790" s="109"/>
      <c r="C790" s="109"/>
      <c r="D790" s="109"/>
      <c r="E790" s="109"/>
      <c r="F790" s="109"/>
      <c r="G790" s="109"/>
    </row>
    <row r="791" spans="1:7" ht="21.75" customHeight="1" x14ac:dyDescent="0.6">
      <c r="A791" s="109"/>
      <c r="B791" s="109"/>
      <c r="C791" s="109"/>
      <c r="D791" s="109"/>
      <c r="E791" s="109"/>
      <c r="F791" s="109"/>
      <c r="G791" s="109"/>
    </row>
    <row r="792" spans="1:7" ht="21.75" customHeight="1" x14ac:dyDescent="0.6">
      <c r="A792" s="109"/>
      <c r="B792" s="109"/>
      <c r="C792" s="109"/>
      <c r="D792" s="109"/>
      <c r="E792" s="109"/>
      <c r="F792" s="109"/>
      <c r="G792" s="109"/>
    </row>
    <row r="793" spans="1:7" ht="21.75" customHeight="1" x14ac:dyDescent="0.6">
      <c r="A793" s="109"/>
      <c r="B793" s="109"/>
      <c r="C793" s="109"/>
      <c r="D793" s="109"/>
      <c r="E793" s="109"/>
      <c r="F793" s="109"/>
      <c r="G793" s="109"/>
    </row>
    <row r="794" spans="1:7" ht="21.75" customHeight="1" x14ac:dyDescent="0.6">
      <c r="A794" s="109"/>
      <c r="B794" s="109"/>
      <c r="C794" s="109"/>
      <c r="D794" s="109"/>
      <c r="E794" s="109"/>
      <c r="F794" s="109"/>
      <c r="G794" s="109"/>
    </row>
    <row r="795" spans="1:7" ht="21.75" customHeight="1" x14ac:dyDescent="0.6">
      <c r="A795" s="109"/>
      <c r="B795" s="109"/>
      <c r="C795" s="109"/>
      <c r="D795" s="109"/>
      <c r="E795" s="109"/>
      <c r="F795" s="109"/>
      <c r="G795" s="109"/>
    </row>
    <row r="796" spans="1:7" ht="21.75" customHeight="1" x14ac:dyDescent="0.6">
      <c r="A796" s="109"/>
      <c r="B796" s="109"/>
      <c r="C796" s="109"/>
      <c r="D796" s="109"/>
      <c r="E796" s="109"/>
      <c r="F796" s="109"/>
      <c r="G796" s="109"/>
    </row>
    <row r="797" spans="1:7" ht="21.75" customHeight="1" x14ac:dyDescent="0.6">
      <c r="A797" s="109"/>
      <c r="B797" s="109"/>
      <c r="C797" s="109"/>
      <c r="D797" s="109"/>
      <c r="E797" s="109"/>
      <c r="F797" s="109"/>
      <c r="G797" s="109"/>
    </row>
    <row r="798" spans="1:7" ht="21.75" customHeight="1" x14ac:dyDescent="0.6">
      <c r="A798" s="109"/>
      <c r="B798" s="109"/>
      <c r="C798" s="109"/>
      <c r="D798" s="109"/>
      <c r="E798" s="109"/>
      <c r="F798" s="109"/>
      <c r="G798" s="109"/>
    </row>
    <row r="799" spans="1:7" ht="21.75" customHeight="1" x14ac:dyDescent="0.6">
      <c r="A799" s="109"/>
      <c r="B799" s="109"/>
      <c r="C799" s="109"/>
      <c r="D799" s="109"/>
      <c r="E799" s="109"/>
      <c r="F799" s="109"/>
      <c r="G799" s="109"/>
    </row>
    <row r="800" spans="1:7" ht="21.75" customHeight="1" x14ac:dyDescent="0.6">
      <c r="A800" s="109"/>
      <c r="B800" s="109"/>
      <c r="C800" s="109"/>
      <c r="D800" s="109"/>
      <c r="E800" s="109"/>
      <c r="F800" s="109"/>
      <c r="G800" s="109"/>
    </row>
    <row r="801" spans="1:7" ht="21.75" customHeight="1" x14ac:dyDescent="0.6">
      <c r="A801" s="109"/>
      <c r="B801" s="109"/>
      <c r="C801" s="109"/>
      <c r="D801" s="109"/>
      <c r="E801" s="109"/>
      <c r="F801" s="109"/>
      <c r="G801" s="109"/>
    </row>
    <row r="802" spans="1:7" ht="21.75" customHeight="1" x14ac:dyDescent="0.6">
      <c r="A802" s="109"/>
      <c r="B802" s="109"/>
      <c r="C802" s="109"/>
      <c r="D802" s="109"/>
      <c r="E802" s="109"/>
      <c r="F802" s="109"/>
      <c r="G802" s="109"/>
    </row>
    <row r="803" spans="1:7" ht="21.75" customHeight="1" x14ac:dyDescent="0.6">
      <c r="A803" s="109"/>
      <c r="B803" s="109"/>
      <c r="C803" s="109"/>
      <c r="D803" s="109"/>
      <c r="E803" s="109"/>
      <c r="F803" s="109"/>
      <c r="G803" s="109"/>
    </row>
    <row r="804" spans="1:7" ht="21.75" customHeight="1" x14ac:dyDescent="0.6">
      <c r="A804" s="109"/>
      <c r="B804" s="109"/>
      <c r="C804" s="109"/>
      <c r="D804" s="109"/>
      <c r="E804" s="109"/>
      <c r="F804" s="109"/>
      <c r="G804" s="109"/>
    </row>
    <row r="805" spans="1:7" ht="21.75" customHeight="1" x14ac:dyDescent="0.6">
      <c r="A805" s="109"/>
      <c r="B805" s="109"/>
      <c r="C805" s="109"/>
      <c r="D805" s="109"/>
      <c r="E805" s="109"/>
      <c r="F805" s="109"/>
      <c r="G805" s="109"/>
    </row>
    <row r="806" spans="1:7" ht="21.75" customHeight="1" x14ac:dyDescent="0.6">
      <c r="A806" s="109"/>
      <c r="B806" s="109"/>
      <c r="C806" s="109"/>
      <c r="D806" s="109"/>
      <c r="E806" s="109"/>
      <c r="F806" s="109"/>
      <c r="G806" s="109"/>
    </row>
    <row r="807" spans="1:7" ht="21.75" customHeight="1" x14ac:dyDescent="0.6">
      <c r="A807" s="109"/>
      <c r="B807" s="109"/>
      <c r="C807" s="109"/>
      <c r="D807" s="109"/>
      <c r="E807" s="109"/>
      <c r="F807" s="109"/>
      <c r="G807" s="109"/>
    </row>
    <row r="808" spans="1:7" ht="21.75" customHeight="1" x14ac:dyDescent="0.6">
      <c r="A808" s="109"/>
      <c r="B808" s="109"/>
      <c r="C808" s="109"/>
      <c r="D808" s="109"/>
      <c r="E808" s="109"/>
      <c r="F808" s="109"/>
      <c r="G808" s="109"/>
    </row>
    <row r="809" spans="1:7" ht="21.75" customHeight="1" x14ac:dyDescent="0.6">
      <c r="A809" s="109"/>
      <c r="B809" s="109"/>
      <c r="C809" s="109"/>
      <c r="D809" s="109"/>
      <c r="E809" s="109"/>
      <c r="F809" s="109"/>
      <c r="G809" s="109"/>
    </row>
    <row r="810" spans="1:7" ht="21.75" customHeight="1" x14ac:dyDescent="0.6">
      <c r="A810" s="109"/>
      <c r="B810" s="109"/>
      <c r="C810" s="109"/>
      <c r="D810" s="109"/>
      <c r="E810" s="109"/>
      <c r="F810" s="109"/>
      <c r="G810" s="109"/>
    </row>
    <row r="811" spans="1:7" ht="21.75" customHeight="1" x14ac:dyDescent="0.6">
      <c r="A811" s="109"/>
      <c r="B811" s="109"/>
      <c r="C811" s="109"/>
      <c r="D811" s="109"/>
      <c r="E811" s="109"/>
      <c r="F811" s="109"/>
      <c r="G811" s="109"/>
    </row>
    <row r="812" spans="1:7" ht="21.75" customHeight="1" x14ac:dyDescent="0.6">
      <c r="A812" s="109"/>
      <c r="B812" s="109"/>
      <c r="C812" s="109"/>
      <c r="D812" s="109"/>
      <c r="E812" s="109"/>
      <c r="F812" s="109"/>
      <c r="G812" s="109"/>
    </row>
    <row r="813" spans="1:7" ht="21.75" customHeight="1" x14ac:dyDescent="0.6">
      <c r="A813" s="109"/>
      <c r="B813" s="109"/>
      <c r="C813" s="109"/>
      <c r="D813" s="109"/>
      <c r="E813" s="109"/>
      <c r="F813" s="109"/>
      <c r="G813" s="109"/>
    </row>
    <row r="814" spans="1:7" ht="21.75" customHeight="1" x14ac:dyDescent="0.6">
      <c r="A814" s="109"/>
      <c r="B814" s="109"/>
      <c r="C814" s="109"/>
      <c r="D814" s="109"/>
      <c r="E814" s="109"/>
      <c r="F814" s="109"/>
      <c r="G814" s="109"/>
    </row>
    <row r="815" spans="1:7" ht="21.75" customHeight="1" x14ac:dyDescent="0.6">
      <c r="A815" s="109"/>
      <c r="B815" s="109"/>
      <c r="C815" s="109"/>
      <c r="D815" s="109"/>
      <c r="E815" s="109"/>
      <c r="F815" s="109"/>
      <c r="G815" s="109"/>
    </row>
    <row r="816" spans="1:7" ht="21.75" customHeight="1" x14ac:dyDescent="0.6">
      <c r="A816" s="109"/>
      <c r="B816" s="109"/>
      <c r="C816" s="109"/>
      <c r="D816" s="109"/>
      <c r="E816" s="109"/>
      <c r="F816" s="109"/>
      <c r="G816" s="109"/>
    </row>
    <row r="817" spans="1:7" ht="21.75" customHeight="1" x14ac:dyDescent="0.6">
      <c r="A817" s="109"/>
      <c r="B817" s="109"/>
      <c r="C817" s="109"/>
      <c r="D817" s="109"/>
      <c r="E817" s="109"/>
      <c r="F817" s="109"/>
      <c r="G817" s="109"/>
    </row>
    <row r="818" spans="1:7" ht="21.75" customHeight="1" x14ac:dyDescent="0.6">
      <c r="A818" s="109"/>
      <c r="B818" s="109"/>
      <c r="C818" s="109"/>
      <c r="D818" s="109"/>
      <c r="E818" s="109"/>
      <c r="F818" s="109"/>
      <c r="G818" s="109"/>
    </row>
    <row r="819" spans="1:7" ht="21.75" customHeight="1" x14ac:dyDescent="0.6">
      <c r="A819" s="109"/>
      <c r="B819" s="109"/>
      <c r="C819" s="109"/>
      <c r="D819" s="109"/>
      <c r="E819" s="109"/>
      <c r="F819" s="109"/>
      <c r="G819" s="109"/>
    </row>
    <row r="820" spans="1:7" ht="21.75" customHeight="1" x14ac:dyDescent="0.6">
      <c r="A820" s="109"/>
      <c r="B820" s="109"/>
      <c r="C820" s="109"/>
      <c r="D820" s="109"/>
      <c r="E820" s="109"/>
      <c r="F820" s="109"/>
      <c r="G820" s="109"/>
    </row>
    <row r="821" spans="1:7" ht="21.75" customHeight="1" x14ac:dyDescent="0.6">
      <c r="A821" s="109"/>
      <c r="B821" s="109"/>
      <c r="C821" s="109"/>
      <c r="D821" s="109"/>
      <c r="E821" s="109"/>
      <c r="F821" s="109"/>
      <c r="G821" s="109"/>
    </row>
    <row r="822" spans="1:7" ht="21.75" customHeight="1" x14ac:dyDescent="0.6">
      <c r="A822" s="109"/>
      <c r="B822" s="109"/>
      <c r="C822" s="109"/>
      <c r="D822" s="109"/>
      <c r="E822" s="109"/>
      <c r="F822" s="109"/>
      <c r="G822" s="109"/>
    </row>
    <row r="823" spans="1:7" ht="21.75" customHeight="1" x14ac:dyDescent="0.6">
      <c r="A823" s="109"/>
      <c r="B823" s="109"/>
      <c r="C823" s="109"/>
      <c r="D823" s="109"/>
      <c r="E823" s="109"/>
      <c r="F823" s="109"/>
      <c r="G823" s="109"/>
    </row>
    <row r="824" spans="1:7" ht="21.75" customHeight="1" x14ac:dyDescent="0.6">
      <c r="A824" s="109"/>
      <c r="B824" s="109"/>
      <c r="C824" s="109"/>
      <c r="D824" s="109"/>
      <c r="E824" s="109"/>
      <c r="F824" s="109"/>
      <c r="G824" s="109"/>
    </row>
    <row r="825" spans="1:7" ht="21.75" customHeight="1" x14ac:dyDescent="0.6">
      <c r="A825" s="109"/>
      <c r="B825" s="109"/>
      <c r="C825" s="109"/>
      <c r="D825" s="109"/>
      <c r="E825" s="109"/>
      <c r="F825" s="109"/>
      <c r="G825" s="109"/>
    </row>
    <row r="826" spans="1:7" ht="21.75" customHeight="1" x14ac:dyDescent="0.6">
      <c r="A826" s="109"/>
      <c r="B826" s="109"/>
      <c r="C826" s="109"/>
      <c r="D826" s="109"/>
      <c r="E826" s="109"/>
      <c r="F826" s="109"/>
      <c r="G826" s="109"/>
    </row>
    <row r="827" spans="1:7" ht="21.75" customHeight="1" x14ac:dyDescent="0.6">
      <c r="A827" s="109"/>
      <c r="B827" s="109"/>
      <c r="C827" s="109"/>
      <c r="D827" s="109"/>
      <c r="E827" s="109"/>
      <c r="F827" s="109"/>
      <c r="G827" s="109"/>
    </row>
    <row r="828" spans="1:7" ht="21.75" customHeight="1" x14ac:dyDescent="0.6">
      <c r="A828" s="109"/>
      <c r="B828" s="109"/>
      <c r="C828" s="109"/>
      <c r="D828" s="109"/>
      <c r="E828" s="109"/>
      <c r="F828" s="109"/>
      <c r="G828" s="109"/>
    </row>
    <row r="829" spans="1:7" ht="21.75" customHeight="1" x14ac:dyDescent="0.6">
      <c r="A829" s="109"/>
      <c r="B829" s="109"/>
      <c r="C829" s="109"/>
      <c r="D829" s="109"/>
      <c r="E829" s="109"/>
      <c r="F829" s="109"/>
      <c r="G829" s="109"/>
    </row>
    <row r="830" spans="1:7" ht="21.75" customHeight="1" x14ac:dyDescent="0.6">
      <c r="A830" s="109"/>
      <c r="B830" s="109"/>
      <c r="C830" s="109"/>
      <c r="D830" s="109"/>
      <c r="E830" s="109"/>
      <c r="F830" s="109"/>
      <c r="G830" s="109"/>
    </row>
    <row r="831" spans="1:7" ht="21.75" customHeight="1" x14ac:dyDescent="0.6">
      <c r="A831" s="109"/>
      <c r="B831" s="109"/>
      <c r="C831" s="109"/>
      <c r="D831" s="109"/>
      <c r="E831" s="109"/>
      <c r="F831" s="109"/>
      <c r="G831" s="109"/>
    </row>
    <row r="832" spans="1:7" ht="21.75" customHeight="1" x14ac:dyDescent="0.6">
      <c r="A832" s="109"/>
      <c r="B832" s="109"/>
      <c r="C832" s="109"/>
      <c r="D832" s="109"/>
      <c r="E832" s="109"/>
      <c r="F832" s="109"/>
      <c r="G832" s="109"/>
    </row>
    <row r="833" spans="1:7" ht="21.75" customHeight="1" x14ac:dyDescent="0.6">
      <c r="A833" s="109"/>
      <c r="B833" s="109"/>
      <c r="C833" s="109"/>
      <c r="D833" s="109"/>
      <c r="E833" s="109"/>
      <c r="F833" s="109"/>
      <c r="G833" s="109"/>
    </row>
    <row r="834" spans="1:7" ht="21.75" customHeight="1" x14ac:dyDescent="0.6">
      <c r="A834" s="109"/>
      <c r="B834" s="109"/>
      <c r="C834" s="109"/>
      <c r="D834" s="109"/>
      <c r="E834" s="109"/>
      <c r="F834" s="109"/>
      <c r="G834" s="109"/>
    </row>
    <row r="835" spans="1:7" ht="21.75" customHeight="1" x14ac:dyDescent="0.6">
      <c r="A835" s="109"/>
      <c r="B835" s="109"/>
      <c r="C835" s="109"/>
      <c r="D835" s="109"/>
      <c r="E835" s="109"/>
      <c r="F835" s="109"/>
      <c r="G835" s="109"/>
    </row>
    <row r="836" spans="1:7" ht="21.75" customHeight="1" x14ac:dyDescent="0.6">
      <c r="A836" s="109"/>
      <c r="B836" s="109"/>
      <c r="C836" s="109"/>
      <c r="D836" s="109"/>
      <c r="E836" s="109"/>
      <c r="F836" s="109"/>
      <c r="G836" s="109"/>
    </row>
    <row r="837" spans="1:7" ht="21.75" customHeight="1" x14ac:dyDescent="0.6">
      <c r="A837" s="109"/>
      <c r="B837" s="109"/>
      <c r="C837" s="109"/>
      <c r="D837" s="109"/>
      <c r="E837" s="109"/>
      <c r="F837" s="109"/>
      <c r="G837" s="109"/>
    </row>
    <row r="838" spans="1:7" ht="21.75" customHeight="1" x14ac:dyDescent="0.6">
      <c r="A838" s="109"/>
      <c r="B838" s="109"/>
      <c r="C838" s="109"/>
      <c r="D838" s="109"/>
      <c r="E838" s="109"/>
      <c r="F838" s="109"/>
      <c r="G838" s="109"/>
    </row>
    <row r="839" spans="1:7" ht="21.75" customHeight="1" x14ac:dyDescent="0.6">
      <c r="A839" s="109"/>
      <c r="B839" s="109"/>
      <c r="C839" s="109"/>
      <c r="D839" s="109"/>
      <c r="E839" s="109"/>
      <c r="F839" s="109"/>
      <c r="G839" s="109"/>
    </row>
    <row r="840" spans="1:7" ht="21.75" customHeight="1" x14ac:dyDescent="0.6">
      <c r="A840" s="109"/>
      <c r="B840" s="109"/>
      <c r="C840" s="109"/>
      <c r="D840" s="109"/>
      <c r="E840" s="109"/>
      <c r="F840" s="109"/>
      <c r="G840" s="109"/>
    </row>
    <row r="841" spans="1:7" ht="21.75" customHeight="1" x14ac:dyDescent="0.6">
      <c r="A841" s="109"/>
      <c r="B841" s="109"/>
      <c r="C841" s="109"/>
      <c r="D841" s="109"/>
      <c r="E841" s="109"/>
      <c r="F841" s="109"/>
      <c r="G841" s="109"/>
    </row>
    <row r="842" spans="1:7" ht="21.75" customHeight="1" x14ac:dyDescent="0.6">
      <c r="A842" s="109"/>
      <c r="B842" s="109"/>
      <c r="C842" s="109"/>
      <c r="D842" s="109"/>
      <c r="E842" s="109"/>
      <c r="F842" s="109"/>
      <c r="G842" s="109"/>
    </row>
    <row r="843" spans="1:7" ht="21.75" customHeight="1" x14ac:dyDescent="0.6">
      <c r="A843" s="109"/>
      <c r="B843" s="109"/>
      <c r="C843" s="109"/>
      <c r="D843" s="109"/>
      <c r="E843" s="109"/>
      <c r="F843" s="109"/>
      <c r="G843" s="109"/>
    </row>
    <row r="844" spans="1:7" ht="21.75" customHeight="1" x14ac:dyDescent="0.6">
      <c r="A844" s="109"/>
      <c r="B844" s="109"/>
      <c r="C844" s="109"/>
      <c r="D844" s="109"/>
      <c r="E844" s="109"/>
      <c r="F844" s="109"/>
      <c r="G844" s="109"/>
    </row>
    <row r="845" spans="1:7" ht="21.75" customHeight="1" x14ac:dyDescent="0.6">
      <c r="A845" s="109"/>
      <c r="B845" s="109"/>
      <c r="C845" s="109"/>
      <c r="D845" s="109"/>
      <c r="E845" s="109"/>
      <c r="F845" s="109"/>
      <c r="G845" s="109"/>
    </row>
    <row r="846" spans="1:7" ht="21.75" customHeight="1" x14ac:dyDescent="0.6">
      <c r="A846" s="109"/>
      <c r="B846" s="109"/>
      <c r="C846" s="109"/>
      <c r="D846" s="109"/>
      <c r="E846" s="109"/>
      <c r="F846" s="109"/>
      <c r="G846" s="109"/>
    </row>
    <row r="847" spans="1:7" ht="21.75" customHeight="1" x14ac:dyDescent="0.6">
      <c r="A847" s="109"/>
      <c r="B847" s="109"/>
      <c r="C847" s="109"/>
      <c r="D847" s="109"/>
      <c r="E847" s="109"/>
      <c r="F847" s="109"/>
      <c r="G847" s="109"/>
    </row>
    <row r="848" spans="1:7" ht="21.75" customHeight="1" x14ac:dyDescent="0.6">
      <c r="A848" s="109"/>
      <c r="B848" s="109"/>
      <c r="C848" s="109"/>
      <c r="D848" s="109"/>
      <c r="E848" s="109"/>
      <c r="F848" s="109"/>
      <c r="G848" s="109"/>
    </row>
    <row r="849" spans="1:7" ht="21.75" customHeight="1" x14ac:dyDescent="0.6">
      <c r="A849" s="109"/>
      <c r="B849" s="109"/>
      <c r="C849" s="109"/>
      <c r="D849" s="109"/>
      <c r="E849" s="109"/>
      <c r="F849" s="109"/>
      <c r="G849" s="109"/>
    </row>
    <row r="850" spans="1:7" ht="21.75" customHeight="1" x14ac:dyDescent="0.6">
      <c r="A850" s="109"/>
      <c r="B850" s="109"/>
      <c r="C850" s="109"/>
      <c r="D850" s="109"/>
      <c r="E850" s="109"/>
      <c r="F850" s="109"/>
      <c r="G850" s="109"/>
    </row>
    <row r="851" spans="1:7" ht="21.75" customHeight="1" x14ac:dyDescent="0.6">
      <c r="A851" s="109"/>
      <c r="B851" s="109"/>
      <c r="C851" s="109"/>
      <c r="D851" s="109"/>
      <c r="E851" s="109"/>
      <c r="F851" s="109"/>
      <c r="G851" s="109"/>
    </row>
    <row r="852" spans="1:7" ht="21.75" customHeight="1" x14ac:dyDescent="0.6">
      <c r="A852" s="109"/>
      <c r="B852" s="109"/>
      <c r="C852" s="109"/>
      <c r="D852" s="109"/>
      <c r="E852" s="109"/>
      <c r="F852" s="109"/>
      <c r="G852" s="109"/>
    </row>
    <row r="853" spans="1:7" ht="21.75" customHeight="1" x14ac:dyDescent="0.6">
      <c r="A853" s="109"/>
      <c r="B853" s="109"/>
      <c r="C853" s="109"/>
      <c r="D853" s="109"/>
      <c r="E853" s="109"/>
      <c r="F853" s="109"/>
      <c r="G853" s="109"/>
    </row>
    <row r="854" spans="1:7" ht="21.75" customHeight="1" x14ac:dyDescent="0.6">
      <c r="A854" s="109"/>
      <c r="B854" s="109"/>
      <c r="C854" s="109"/>
      <c r="D854" s="109"/>
      <c r="E854" s="109"/>
      <c r="F854" s="109"/>
      <c r="G854" s="109"/>
    </row>
    <row r="855" spans="1:7" ht="21.75" customHeight="1" x14ac:dyDescent="0.6">
      <c r="A855" s="109"/>
      <c r="B855" s="109"/>
      <c r="C855" s="109"/>
      <c r="D855" s="109"/>
      <c r="E855" s="109"/>
      <c r="F855" s="109"/>
      <c r="G855" s="109"/>
    </row>
    <row r="856" spans="1:7" ht="21.75" customHeight="1" x14ac:dyDescent="0.6">
      <c r="A856" s="109"/>
      <c r="B856" s="109"/>
      <c r="C856" s="109"/>
      <c r="D856" s="109"/>
      <c r="E856" s="109"/>
      <c r="F856" s="109"/>
      <c r="G856" s="109"/>
    </row>
    <row r="857" spans="1:7" ht="21.75" customHeight="1" x14ac:dyDescent="0.6">
      <c r="A857" s="109"/>
      <c r="B857" s="109"/>
      <c r="C857" s="109"/>
      <c r="D857" s="109"/>
      <c r="E857" s="109"/>
      <c r="F857" s="109"/>
      <c r="G857" s="109"/>
    </row>
    <row r="858" spans="1:7" ht="21.75" customHeight="1" x14ac:dyDescent="0.6">
      <c r="A858" s="109"/>
      <c r="B858" s="109"/>
      <c r="C858" s="109"/>
      <c r="D858" s="109"/>
      <c r="E858" s="109"/>
      <c r="F858" s="109"/>
      <c r="G858" s="109"/>
    </row>
    <row r="859" spans="1:7" ht="21.75" customHeight="1" x14ac:dyDescent="0.6">
      <c r="A859" s="109"/>
      <c r="B859" s="109"/>
      <c r="C859" s="109"/>
      <c r="D859" s="109"/>
      <c r="E859" s="109"/>
      <c r="F859" s="109"/>
      <c r="G859" s="109"/>
    </row>
    <row r="860" spans="1:7" ht="21.75" customHeight="1" x14ac:dyDescent="0.6">
      <c r="A860" s="109"/>
      <c r="B860" s="109"/>
      <c r="C860" s="109"/>
      <c r="D860" s="109"/>
      <c r="E860" s="109"/>
      <c r="F860" s="109"/>
      <c r="G860" s="109"/>
    </row>
    <row r="861" spans="1:7" ht="21.75" customHeight="1" x14ac:dyDescent="0.6">
      <c r="A861" s="109"/>
      <c r="B861" s="109"/>
      <c r="C861" s="109"/>
      <c r="D861" s="109"/>
      <c r="E861" s="109"/>
      <c r="F861" s="109"/>
      <c r="G861" s="109"/>
    </row>
    <row r="862" spans="1:7" ht="21.75" customHeight="1" x14ac:dyDescent="0.6">
      <c r="A862" s="109"/>
      <c r="B862" s="109"/>
      <c r="C862" s="109"/>
      <c r="D862" s="109"/>
      <c r="E862" s="109"/>
      <c r="F862" s="109"/>
      <c r="G862" s="109"/>
    </row>
    <row r="863" spans="1:7" ht="21.75" customHeight="1" x14ac:dyDescent="0.6">
      <c r="A863" s="109"/>
      <c r="B863" s="109"/>
      <c r="C863" s="109"/>
      <c r="D863" s="109"/>
      <c r="E863" s="109"/>
      <c r="F863" s="109"/>
      <c r="G863" s="109"/>
    </row>
    <row r="864" spans="1:7" ht="21.75" customHeight="1" x14ac:dyDescent="0.6">
      <c r="A864" s="109"/>
      <c r="B864" s="109"/>
      <c r="C864" s="109"/>
      <c r="D864" s="109"/>
      <c r="E864" s="109"/>
      <c r="F864" s="109"/>
      <c r="G864" s="109"/>
    </row>
    <row r="865" spans="1:7" ht="21.75" customHeight="1" x14ac:dyDescent="0.6">
      <c r="A865" s="109"/>
      <c r="B865" s="109"/>
      <c r="C865" s="109"/>
      <c r="D865" s="109"/>
      <c r="E865" s="109"/>
      <c r="F865" s="109"/>
      <c r="G865" s="109"/>
    </row>
    <row r="866" spans="1:7" ht="21.75" customHeight="1" x14ac:dyDescent="0.6">
      <c r="A866" s="109"/>
      <c r="B866" s="109"/>
      <c r="C866" s="109"/>
      <c r="D866" s="109"/>
      <c r="E866" s="109"/>
      <c r="F866" s="109"/>
      <c r="G866" s="109"/>
    </row>
    <row r="867" spans="1:7" ht="21.75" customHeight="1" x14ac:dyDescent="0.6">
      <c r="A867" s="109"/>
      <c r="B867" s="109"/>
      <c r="C867" s="109"/>
      <c r="D867" s="109"/>
      <c r="E867" s="109"/>
      <c r="F867" s="109"/>
      <c r="G867" s="109"/>
    </row>
    <row r="868" spans="1:7" ht="21.75" customHeight="1" x14ac:dyDescent="0.6">
      <c r="A868" s="109"/>
      <c r="B868" s="109"/>
      <c r="C868" s="109"/>
      <c r="D868" s="109"/>
      <c r="E868" s="109"/>
      <c r="F868" s="109"/>
      <c r="G868" s="109"/>
    </row>
    <row r="869" spans="1:7" ht="21.75" customHeight="1" x14ac:dyDescent="0.6">
      <c r="A869" s="109"/>
      <c r="B869" s="109"/>
      <c r="C869" s="109"/>
      <c r="D869" s="109"/>
      <c r="E869" s="109"/>
      <c r="F869" s="109"/>
      <c r="G869" s="109"/>
    </row>
    <row r="870" spans="1:7" ht="21.75" customHeight="1" x14ac:dyDescent="0.6">
      <c r="A870" s="109"/>
      <c r="B870" s="109"/>
      <c r="C870" s="109"/>
      <c r="D870" s="109"/>
      <c r="E870" s="109"/>
      <c r="F870" s="109"/>
      <c r="G870" s="109"/>
    </row>
    <row r="871" spans="1:7" ht="21.75" customHeight="1" x14ac:dyDescent="0.6">
      <c r="A871" s="109"/>
      <c r="B871" s="109"/>
      <c r="C871" s="109"/>
      <c r="D871" s="109"/>
      <c r="E871" s="109"/>
      <c r="F871" s="109"/>
      <c r="G871" s="109"/>
    </row>
    <row r="872" spans="1:7" ht="21.75" customHeight="1" x14ac:dyDescent="0.6">
      <c r="A872" s="109"/>
      <c r="B872" s="109"/>
      <c r="C872" s="109"/>
      <c r="D872" s="109"/>
      <c r="E872" s="109"/>
      <c r="F872" s="109"/>
      <c r="G872" s="109"/>
    </row>
    <row r="873" spans="1:7" ht="21.75" customHeight="1" x14ac:dyDescent="0.6">
      <c r="A873" s="109"/>
      <c r="B873" s="109"/>
      <c r="C873" s="109"/>
      <c r="D873" s="109"/>
      <c r="E873" s="109"/>
      <c r="F873" s="109"/>
      <c r="G873" s="109"/>
    </row>
    <row r="874" spans="1:7" ht="21.75" customHeight="1" x14ac:dyDescent="0.6">
      <c r="A874" s="109"/>
      <c r="B874" s="109"/>
      <c r="C874" s="109"/>
      <c r="D874" s="109"/>
      <c r="E874" s="109"/>
      <c r="F874" s="109"/>
      <c r="G874" s="109"/>
    </row>
    <row r="875" spans="1:7" ht="21.75" customHeight="1" x14ac:dyDescent="0.6">
      <c r="A875" s="109"/>
      <c r="B875" s="109"/>
      <c r="C875" s="109"/>
      <c r="D875" s="109"/>
      <c r="E875" s="109"/>
      <c r="F875" s="109"/>
      <c r="G875" s="109"/>
    </row>
    <row r="876" spans="1:7" ht="21.75" customHeight="1" x14ac:dyDescent="0.6">
      <c r="A876" s="109"/>
      <c r="B876" s="109"/>
      <c r="C876" s="109"/>
      <c r="D876" s="109"/>
      <c r="E876" s="109"/>
      <c r="F876" s="109"/>
      <c r="G876" s="109"/>
    </row>
    <row r="877" spans="1:7" ht="21.75" customHeight="1" x14ac:dyDescent="0.6">
      <c r="A877" s="109"/>
      <c r="B877" s="109"/>
      <c r="C877" s="109"/>
      <c r="D877" s="109"/>
      <c r="E877" s="109"/>
      <c r="F877" s="109"/>
      <c r="G877" s="109"/>
    </row>
    <row r="878" spans="1:7" ht="21.75" customHeight="1" x14ac:dyDescent="0.6">
      <c r="A878" s="109"/>
      <c r="B878" s="109"/>
      <c r="C878" s="109"/>
      <c r="D878" s="109"/>
      <c r="E878" s="109"/>
      <c r="F878" s="109"/>
      <c r="G878" s="109"/>
    </row>
    <row r="879" spans="1:7" ht="21.75" customHeight="1" x14ac:dyDescent="0.6">
      <c r="A879" s="109"/>
      <c r="B879" s="109"/>
      <c r="C879" s="109"/>
      <c r="D879" s="109"/>
      <c r="E879" s="109"/>
      <c r="F879" s="109"/>
      <c r="G879" s="109"/>
    </row>
    <row r="880" spans="1:7" ht="21.75" customHeight="1" x14ac:dyDescent="0.6">
      <c r="A880" s="109"/>
      <c r="B880" s="109"/>
      <c r="C880" s="109"/>
      <c r="D880" s="109"/>
      <c r="E880" s="109"/>
      <c r="F880" s="109"/>
      <c r="G880" s="109"/>
    </row>
    <row r="881" spans="1:7" ht="21.75" customHeight="1" x14ac:dyDescent="0.6">
      <c r="A881" s="109"/>
      <c r="B881" s="109"/>
      <c r="C881" s="109"/>
      <c r="D881" s="109"/>
      <c r="E881" s="109"/>
      <c r="F881" s="109"/>
      <c r="G881" s="109"/>
    </row>
    <row r="882" spans="1:7" ht="21.75" customHeight="1" x14ac:dyDescent="0.6">
      <c r="A882" s="109"/>
      <c r="B882" s="109"/>
      <c r="C882" s="109"/>
      <c r="D882" s="109"/>
      <c r="E882" s="109"/>
      <c r="F882" s="109"/>
      <c r="G882" s="109"/>
    </row>
    <row r="883" spans="1:7" ht="21.75" customHeight="1" x14ac:dyDescent="0.6">
      <c r="A883" s="109"/>
      <c r="B883" s="109"/>
      <c r="C883" s="109"/>
      <c r="D883" s="109"/>
      <c r="E883" s="109"/>
      <c r="F883" s="109"/>
      <c r="G883" s="109"/>
    </row>
    <row r="884" spans="1:7" ht="21.75" customHeight="1" x14ac:dyDescent="0.6">
      <c r="A884" s="109"/>
      <c r="B884" s="109"/>
      <c r="C884" s="109"/>
      <c r="D884" s="109"/>
      <c r="E884" s="109"/>
      <c r="F884" s="109"/>
      <c r="G884" s="109"/>
    </row>
    <row r="885" spans="1:7" ht="21.75" customHeight="1" x14ac:dyDescent="0.6">
      <c r="A885" s="109"/>
      <c r="B885" s="109"/>
      <c r="C885" s="109"/>
      <c r="D885" s="109"/>
      <c r="E885" s="109"/>
      <c r="F885" s="109"/>
      <c r="G885" s="109"/>
    </row>
    <row r="886" spans="1:7" ht="21.75" customHeight="1" x14ac:dyDescent="0.6">
      <c r="A886" s="109"/>
      <c r="B886" s="109"/>
      <c r="C886" s="109"/>
      <c r="D886" s="109"/>
      <c r="E886" s="109"/>
      <c r="F886" s="109"/>
      <c r="G886" s="109"/>
    </row>
    <row r="887" spans="1:7" ht="21.75" customHeight="1" x14ac:dyDescent="0.6">
      <c r="A887" s="109"/>
      <c r="B887" s="109"/>
      <c r="C887" s="109"/>
      <c r="D887" s="109"/>
      <c r="E887" s="109"/>
      <c r="F887" s="109"/>
      <c r="G887" s="109"/>
    </row>
    <row r="888" spans="1:7" ht="21.75" customHeight="1" x14ac:dyDescent="0.6">
      <c r="A888" s="109"/>
      <c r="B888" s="109"/>
      <c r="C888" s="109"/>
      <c r="D888" s="109"/>
      <c r="E888" s="109"/>
      <c r="F888" s="109"/>
      <c r="G888" s="109"/>
    </row>
    <row r="889" spans="1:7" ht="21.75" customHeight="1" x14ac:dyDescent="0.6">
      <c r="A889" s="109"/>
      <c r="B889" s="109"/>
      <c r="C889" s="109"/>
      <c r="D889" s="109"/>
      <c r="E889" s="109"/>
      <c r="F889" s="109"/>
      <c r="G889" s="109"/>
    </row>
    <row r="890" spans="1:7" ht="21.75" customHeight="1" x14ac:dyDescent="0.6">
      <c r="A890" s="109"/>
      <c r="B890" s="109"/>
      <c r="C890" s="109"/>
      <c r="D890" s="109"/>
      <c r="E890" s="109"/>
      <c r="F890" s="109"/>
      <c r="G890" s="109"/>
    </row>
    <row r="891" spans="1:7" ht="21.75" customHeight="1" x14ac:dyDescent="0.6">
      <c r="A891" s="109"/>
      <c r="B891" s="109"/>
      <c r="C891" s="109"/>
      <c r="D891" s="109"/>
      <c r="E891" s="109"/>
      <c r="F891" s="109"/>
      <c r="G891" s="109"/>
    </row>
    <row r="892" spans="1:7" ht="21.75" customHeight="1" x14ac:dyDescent="0.6">
      <c r="A892" s="109"/>
      <c r="B892" s="109"/>
      <c r="C892" s="109"/>
      <c r="D892" s="109"/>
      <c r="E892" s="109"/>
      <c r="F892" s="109"/>
      <c r="G892" s="109"/>
    </row>
    <row r="893" spans="1:7" ht="21.75" customHeight="1" x14ac:dyDescent="0.6">
      <c r="A893" s="109"/>
      <c r="B893" s="109"/>
      <c r="C893" s="109"/>
      <c r="D893" s="109"/>
      <c r="E893" s="109"/>
      <c r="F893" s="109"/>
      <c r="G893" s="109"/>
    </row>
    <row r="894" spans="1:7" ht="21.75" customHeight="1" x14ac:dyDescent="0.6">
      <c r="A894" s="109"/>
      <c r="B894" s="109"/>
      <c r="C894" s="109"/>
      <c r="D894" s="109"/>
      <c r="E894" s="109"/>
      <c r="F894" s="109"/>
      <c r="G894" s="109"/>
    </row>
    <row r="895" spans="1:7" ht="21.75" customHeight="1" x14ac:dyDescent="0.6">
      <c r="A895" s="109"/>
      <c r="B895" s="109"/>
      <c r="C895" s="109"/>
      <c r="D895" s="109"/>
      <c r="E895" s="109"/>
      <c r="F895" s="109"/>
      <c r="G895" s="109"/>
    </row>
    <row r="896" spans="1:7" ht="21.75" customHeight="1" x14ac:dyDescent="0.6">
      <c r="A896" s="109"/>
      <c r="B896" s="109"/>
      <c r="C896" s="109"/>
      <c r="D896" s="109"/>
      <c r="E896" s="109"/>
      <c r="F896" s="109"/>
      <c r="G896" s="109"/>
    </row>
    <row r="897" spans="1:7" ht="21.75" customHeight="1" x14ac:dyDescent="0.6">
      <c r="A897" s="109"/>
      <c r="B897" s="109"/>
      <c r="C897" s="109"/>
      <c r="D897" s="109"/>
      <c r="E897" s="109"/>
      <c r="F897" s="109"/>
      <c r="G897" s="109"/>
    </row>
    <row r="898" spans="1:7" ht="21.75" customHeight="1" x14ac:dyDescent="0.6">
      <c r="A898" s="109"/>
      <c r="B898" s="109"/>
      <c r="C898" s="109"/>
      <c r="D898" s="109"/>
      <c r="E898" s="109"/>
      <c r="F898" s="109"/>
      <c r="G898" s="109"/>
    </row>
    <row r="899" spans="1:7" ht="21.75" customHeight="1" x14ac:dyDescent="0.6">
      <c r="A899" s="109"/>
      <c r="B899" s="109"/>
      <c r="C899" s="109"/>
      <c r="D899" s="109"/>
      <c r="E899" s="109"/>
      <c r="F899" s="109"/>
      <c r="G899" s="109"/>
    </row>
    <row r="900" spans="1:7" ht="21.75" customHeight="1" x14ac:dyDescent="0.6">
      <c r="A900" s="109"/>
      <c r="B900" s="109"/>
      <c r="C900" s="109"/>
      <c r="D900" s="109"/>
      <c r="E900" s="109"/>
      <c r="F900" s="109"/>
      <c r="G900" s="109"/>
    </row>
    <row r="901" spans="1:7" ht="21.75" customHeight="1" x14ac:dyDescent="0.6">
      <c r="A901" s="109"/>
      <c r="B901" s="109"/>
      <c r="C901" s="109"/>
      <c r="D901" s="109"/>
      <c r="E901" s="109"/>
      <c r="F901" s="109"/>
      <c r="G901" s="109"/>
    </row>
    <row r="902" spans="1:7" ht="21.75" customHeight="1" x14ac:dyDescent="0.6">
      <c r="A902" s="109"/>
      <c r="B902" s="109"/>
      <c r="C902" s="109"/>
      <c r="D902" s="109"/>
      <c r="E902" s="109"/>
      <c r="F902" s="109"/>
      <c r="G902" s="109"/>
    </row>
    <row r="903" spans="1:7" ht="21.75" customHeight="1" x14ac:dyDescent="0.6">
      <c r="A903" s="109"/>
      <c r="B903" s="109"/>
      <c r="C903" s="109"/>
      <c r="D903" s="109"/>
      <c r="E903" s="109"/>
      <c r="F903" s="109"/>
      <c r="G903" s="109"/>
    </row>
    <row r="904" spans="1:7" ht="21.75" customHeight="1" x14ac:dyDescent="0.6">
      <c r="A904" s="109"/>
      <c r="B904" s="109"/>
      <c r="C904" s="109"/>
      <c r="D904" s="109"/>
      <c r="E904" s="109"/>
      <c r="F904" s="109"/>
      <c r="G904" s="109"/>
    </row>
    <row r="905" spans="1:7" ht="21.75" customHeight="1" x14ac:dyDescent="0.6">
      <c r="A905" s="109"/>
      <c r="B905" s="109"/>
      <c r="C905" s="109"/>
      <c r="D905" s="109"/>
      <c r="E905" s="109"/>
      <c r="F905" s="109"/>
      <c r="G905" s="109"/>
    </row>
    <row r="906" spans="1:7" ht="21.75" customHeight="1" x14ac:dyDescent="0.6">
      <c r="A906" s="109"/>
      <c r="B906" s="109"/>
      <c r="C906" s="109"/>
      <c r="D906" s="109"/>
      <c r="E906" s="109"/>
      <c r="F906" s="109"/>
      <c r="G906" s="109"/>
    </row>
    <row r="907" spans="1:7" ht="21.75" customHeight="1" x14ac:dyDescent="0.6">
      <c r="A907" s="109"/>
      <c r="B907" s="109"/>
      <c r="C907" s="109"/>
      <c r="D907" s="109"/>
      <c r="E907" s="109"/>
      <c r="F907" s="109"/>
      <c r="G907" s="109"/>
    </row>
    <row r="908" spans="1:7" ht="21.75" customHeight="1" x14ac:dyDescent="0.6">
      <c r="A908" s="109"/>
      <c r="B908" s="109"/>
      <c r="C908" s="109"/>
      <c r="D908" s="109"/>
      <c r="E908" s="109"/>
      <c r="F908" s="109"/>
      <c r="G908" s="109"/>
    </row>
    <row r="909" spans="1:7" ht="21.75" customHeight="1" x14ac:dyDescent="0.6">
      <c r="A909" s="109"/>
      <c r="B909" s="109"/>
      <c r="C909" s="109"/>
      <c r="D909" s="109"/>
      <c r="E909" s="109"/>
      <c r="F909" s="109"/>
      <c r="G909" s="109"/>
    </row>
    <row r="910" spans="1:7" ht="21.75" customHeight="1" x14ac:dyDescent="0.6">
      <c r="A910" s="109"/>
      <c r="B910" s="109"/>
      <c r="C910" s="109"/>
      <c r="D910" s="109"/>
      <c r="E910" s="109"/>
      <c r="F910" s="109"/>
      <c r="G910" s="109"/>
    </row>
    <row r="911" spans="1:7" ht="21.75" customHeight="1" x14ac:dyDescent="0.6">
      <c r="A911" s="109"/>
      <c r="B911" s="109"/>
      <c r="C911" s="109"/>
      <c r="D911" s="109"/>
      <c r="E911" s="109"/>
      <c r="F911" s="109"/>
      <c r="G911" s="109"/>
    </row>
    <row r="912" spans="1:7" ht="21.75" customHeight="1" x14ac:dyDescent="0.6">
      <c r="A912" s="109"/>
      <c r="B912" s="109"/>
      <c r="C912" s="109"/>
      <c r="D912" s="109"/>
      <c r="E912" s="109"/>
      <c r="F912" s="109"/>
      <c r="G912" s="109"/>
    </row>
    <row r="913" spans="1:7" ht="21.75" customHeight="1" x14ac:dyDescent="0.6">
      <c r="A913" s="109"/>
      <c r="B913" s="109"/>
      <c r="C913" s="109"/>
      <c r="D913" s="109"/>
      <c r="E913" s="109"/>
      <c r="F913" s="109"/>
      <c r="G913" s="109"/>
    </row>
    <row r="914" spans="1:7" ht="21.75" customHeight="1" x14ac:dyDescent="0.6">
      <c r="A914" s="109"/>
      <c r="B914" s="109"/>
      <c r="C914" s="109"/>
      <c r="D914" s="109"/>
      <c r="E914" s="109"/>
      <c r="F914" s="109"/>
      <c r="G914" s="109"/>
    </row>
    <row r="915" spans="1:7" ht="21.75" customHeight="1" x14ac:dyDescent="0.6">
      <c r="A915" s="109"/>
      <c r="B915" s="109"/>
      <c r="C915" s="109"/>
      <c r="D915" s="109"/>
      <c r="E915" s="109"/>
      <c r="F915" s="109"/>
      <c r="G915" s="109"/>
    </row>
    <row r="916" spans="1:7" ht="21.75" customHeight="1" x14ac:dyDescent="0.6">
      <c r="A916" s="109"/>
      <c r="B916" s="109"/>
      <c r="C916" s="109"/>
      <c r="D916" s="109"/>
      <c r="E916" s="109"/>
      <c r="F916" s="109"/>
      <c r="G916" s="109"/>
    </row>
    <row r="917" spans="1:7" ht="21.75" customHeight="1" x14ac:dyDescent="0.6">
      <c r="A917" s="109"/>
      <c r="B917" s="109"/>
      <c r="C917" s="109"/>
      <c r="D917" s="109"/>
      <c r="E917" s="109"/>
      <c r="F917" s="109"/>
      <c r="G917" s="109"/>
    </row>
    <row r="918" spans="1:7" ht="21.75" customHeight="1" x14ac:dyDescent="0.6">
      <c r="A918" s="109"/>
      <c r="B918" s="109"/>
      <c r="C918" s="109"/>
      <c r="D918" s="109"/>
      <c r="E918" s="109"/>
      <c r="F918" s="109"/>
      <c r="G918" s="109"/>
    </row>
    <row r="919" spans="1:7" ht="21.75" customHeight="1" x14ac:dyDescent="0.6">
      <c r="A919" s="109"/>
      <c r="B919" s="109"/>
      <c r="C919" s="109"/>
      <c r="D919" s="109"/>
      <c r="E919" s="109"/>
      <c r="F919" s="109"/>
      <c r="G919" s="109"/>
    </row>
    <row r="920" spans="1:7" ht="21.75" customHeight="1" x14ac:dyDescent="0.6">
      <c r="A920" s="109"/>
      <c r="B920" s="109"/>
      <c r="C920" s="109"/>
      <c r="D920" s="109"/>
      <c r="E920" s="109"/>
      <c r="F920" s="109"/>
      <c r="G920" s="109"/>
    </row>
    <row r="921" spans="1:7" ht="21.75" customHeight="1" x14ac:dyDescent="0.6">
      <c r="A921" s="109"/>
      <c r="B921" s="109"/>
      <c r="C921" s="109"/>
      <c r="D921" s="109"/>
      <c r="E921" s="109"/>
      <c r="F921" s="109"/>
      <c r="G921" s="109"/>
    </row>
    <row r="922" spans="1:7" ht="21.75" customHeight="1" x14ac:dyDescent="0.6">
      <c r="A922" s="109"/>
      <c r="B922" s="109"/>
      <c r="C922" s="109"/>
      <c r="D922" s="109"/>
      <c r="E922" s="109"/>
      <c r="F922" s="109"/>
      <c r="G922" s="109"/>
    </row>
    <row r="923" spans="1:7" ht="21.75" customHeight="1" x14ac:dyDescent="0.6">
      <c r="A923" s="109"/>
      <c r="B923" s="109"/>
      <c r="C923" s="109"/>
      <c r="D923" s="109"/>
      <c r="E923" s="109"/>
      <c r="F923" s="109"/>
      <c r="G923" s="109"/>
    </row>
    <row r="924" spans="1:7" ht="21.75" customHeight="1" x14ac:dyDescent="0.6">
      <c r="A924" s="109"/>
      <c r="B924" s="109"/>
      <c r="C924" s="109"/>
      <c r="D924" s="109"/>
      <c r="E924" s="109"/>
      <c r="F924" s="109"/>
      <c r="G924" s="109"/>
    </row>
    <row r="925" spans="1:7" ht="21.75" customHeight="1" x14ac:dyDescent="0.6">
      <c r="A925" s="109"/>
      <c r="B925" s="109"/>
      <c r="C925" s="109"/>
      <c r="D925" s="109"/>
      <c r="E925" s="109"/>
      <c r="F925" s="109"/>
      <c r="G925" s="109"/>
    </row>
    <row r="926" spans="1:7" ht="21.75" customHeight="1" x14ac:dyDescent="0.6">
      <c r="A926" s="109"/>
      <c r="B926" s="109"/>
      <c r="C926" s="109"/>
      <c r="D926" s="109"/>
      <c r="E926" s="109"/>
      <c r="F926" s="109"/>
      <c r="G926" s="109"/>
    </row>
    <row r="927" spans="1:7" ht="21.75" customHeight="1" x14ac:dyDescent="0.6">
      <c r="A927" s="109"/>
      <c r="B927" s="109"/>
      <c r="C927" s="109"/>
      <c r="D927" s="109"/>
      <c r="E927" s="109"/>
      <c r="F927" s="109"/>
      <c r="G927" s="109"/>
    </row>
    <row r="928" spans="1:7" ht="21.75" customHeight="1" x14ac:dyDescent="0.6">
      <c r="A928" s="109"/>
      <c r="B928" s="109"/>
      <c r="C928" s="109"/>
      <c r="D928" s="109"/>
      <c r="E928" s="109"/>
      <c r="F928" s="109"/>
      <c r="G928" s="109"/>
    </row>
    <row r="929" spans="1:7" ht="21.75" customHeight="1" x14ac:dyDescent="0.6">
      <c r="A929" s="109"/>
      <c r="B929" s="109"/>
      <c r="C929" s="109"/>
      <c r="D929" s="109"/>
      <c r="E929" s="109"/>
      <c r="F929" s="109"/>
      <c r="G929" s="109"/>
    </row>
    <row r="930" spans="1:7" ht="21.75" customHeight="1" x14ac:dyDescent="0.6">
      <c r="A930" s="109"/>
      <c r="B930" s="109"/>
      <c r="C930" s="109"/>
      <c r="D930" s="109"/>
      <c r="E930" s="109"/>
      <c r="F930" s="109"/>
      <c r="G930" s="109"/>
    </row>
    <row r="931" spans="1:7" ht="21.75" customHeight="1" x14ac:dyDescent="0.6">
      <c r="A931" s="109"/>
      <c r="B931" s="109"/>
      <c r="C931" s="109"/>
      <c r="D931" s="109"/>
      <c r="E931" s="109"/>
      <c r="F931" s="109"/>
      <c r="G931" s="109"/>
    </row>
    <row r="932" spans="1:7" ht="21.75" customHeight="1" x14ac:dyDescent="0.6">
      <c r="A932" s="109"/>
      <c r="B932" s="109"/>
      <c r="C932" s="109"/>
      <c r="D932" s="109"/>
      <c r="E932" s="109"/>
      <c r="F932" s="109"/>
      <c r="G932" s="109"/>
    </row>
    <row r="933" spans="1:7" ht="21.75" customHeight="1" x14ac:dyDescent="0.6">
      <c r="A933" s="109"/>
      <c r="B933" s="109"/>
      <c r="C933" s="109"/>
      <c r="D933" s="109"/>
      <c r="E933" s="109"/>
      <c r="F933" s="109"/>
      <c r="G933" s="109"/>
    </row>
    <row r="934" spans="1:7" ht="21.75" customHeight="1" x14ac:dyDescent="0.6">
      <c r="A934" s="109"/>
      <c r="B934" s="109"/>
      <c r="C934" s="109"/>
      <c r="D934" s="109"/>
      <c r="E934" s="109"/>
      <c r="F934" s="109"/>
      <c r="G934" s="109"/>
    </row>
    <row r="935" spans="1:7" ht="21.75" customHeight="1" x14ac:dyDescent="0.6">
      <c r="A935" s="109"/>
      <c r="B935" s="109"/>
      <c r="C935" s="109"/>
      <c r="D935" s="109"/>
      <c r="E935" s="109"/>
      <c r="F935" s="109"/>
      <c r="G935" s="109"/>
    </row>
    <row r="936" spans="1:7" ht="21.75" customHeight="1" x14ac:dyDescent="0.6">
      <c r="A936" s="109"/>
      <c r="B936" s="109"/>
      <c r="C936" s="109"/>
      <c r="D936" s="109"/>
      <c r="E936" s="109"/>
      <c r="F936" s="109"/>
      <c r="G936" s="109"/>
    </row>
    <row r="937" spans="1:7" ht="21.75" customHeight="1" x14ac:dyDescent="0.6">
      <c r="A937" s="109"/>
      <c r="B937" s="109"/>
      <c r="C937" s="109"/>
      <c r="D937" s="109"/>
      <c r="E937" s="109"/>
      <c r="F937" s="109"/>
      <c r="G937" s="109"/>
    </row>
    <row r="938" spans="1:7" ht="21.75" customHeight="1" x14ac:dyDescent="0.6">
      <c r="A938" s="109"/>
      <c r="B938" s="109"/>
      <c r="C938" s="109"/>
      <c r="D938" s="109"/>
      <c r="E938" s="109"/>
      <c r="F938" s="109"/>
      <c r="G938" s="109"/>
    </row>
    <row r="939" spans="1:7" ht="21.75" customHeight="1" x14ac:dyDescent="0.6">
      <c r="A939" s="109"/>
      <c r="B939" s="109"/>
      <c r="C939" s="109"/>
      <c r="D939" s="109"/>
      <c r="E939" s="109"/>
      <c r="F939" s="109"/>
      <c r="G939" s="109"/>
    </row>
    <row r="940" spans="1:7" ht="21.75" customHeight="1" x14ac:dyDescent="0.6">
      <c r="A940" s="109"/>
      <c r="B940" s="109"/>
      <c r="C940" s="109"/>
      <c r="D940" s="109"/>
      <c r="E940" s="109"/>
      <c r="F940" s="109"/>
      <c r="G940" s="109"/>
    </row>
    <row r="941" spans="1:7" ht="21.75" customHeight="1" x14ac:dyDescent="0.6">
      <c r="A941" s="109"/>
      <c r="B941" s="109"/>
      <c r="C941" s="109"/>
      <c r="D941" s="109"/>
      <c r="E941" s="109"/>
      <c r="F941" s="109"/>
      <c r="G941" s="109"/>
    </row>
    <row r="942" spans="1:7" ht="21.75" customHeight="1" x14ac:dyDescent="0.6">
      <c r="A942" s="109"/>
      <c r="B942" s="109"/>
      <c r="C942" s="109"/>
      <c r="D942" s="109"/>
      <c r="E942" s="109"/>
      <c r="F942" s="109"/>
      <c r="G942" s="109"/>
    </row>
    <row r="943" spans="1:7" ht="21.75" customHeight="1" x14ac:dyDescent="0.6">
      <c r="A943" s="109"/>
      <c r="B943" s="109"/>
      <c r="C943" s="109"/>
      <c r="D943" s="109"/>
      <c r="E943" s="109"/>
      <c r="F943" s="109"/>
      <c r="G943" s="109"/>
    </row>
    <row r="944" spans="1:7" ht="21.75" customHeight="1" x14ac:dyDescent="0.6">
      <c r="A944" s="109"/>
      <c r="B944" s="109"/>
      <c r="C944" s="109"/>
      <c r="D944" s="109"/>
      <c r="E944" s="109"/>
      <c r="F944" s="109"/>
      <c r="G944" s="109"/>
    </row>
    <row r="945" spans="1:7" ht="21.75" customHeight="1" x14ac:dyDescent="0.6">
      <c r="A945" s="109"/>
      <c r="B945" s="109"/>
      <c r="C945" s="109"/>
      <c r="D945" s="109"/>
      <c r="E945" s="109"/>
      <c r="F945" s="109"/>
      <c r="G945" s="109"/>
    </row>
    <row r="946" spans="1:7" ht="21.75" customHeight="1" x14ac:dyDescent="0.6">
      <c r="A946" s="109"/>
      <c r="B946" s="109"/>
      <c r="C946" s="109"/>
      <c r="D946" s="109"/>
      <c r="E946" s="109"/>
      <c r="F946" s="109"/>
      <c r="G946" s="109"/>
    </row>
    <row r="947" spans="1:7" ht="21.75" customHeight="1" x14ac:dyDescent="0.6">
      <c r="A947" s="109"/>
      <c r="B947" s="109"/>
      <c r="C947" s="109"/>
      <c r="D947" s="109"/>
      <c r="E947" s="109"/>
      <c r="F947" s="109"/>
      <c r="G947" s="109"/>
    </row>
    <row r="948" spans="1:7" ht="21.75" customHeight="1" x14ac:dyDescent="0.6">
      <c r="A948" s="109"/>
      <c r="B948" s="109"/>
      <c r="C948" s="109"/>
      <c r="D948" s="109"/>
      <c r="E948" s="109"/>
      <c r="F948" s="109"/>
      <c r="G948" s="109"/>
    </row>
    <row r="949" spans="1:7" ht="21.75" customHeight="1" x14ac:dyDescent="0.6">
      <c r="A949" s="109"/>
      <c r="B949" s="109"/>
      <c r="C949" s="109"/>
      <c r="D949" s="109"/>
      <c r="E949" s="109"/>
      <c r="F949" s="109"/>
      <c r="G949" s="109"/>
    </row>
    <row r="950" spans="1:7" ht="21.75" customHeight="1" x14ac:dyDescent="0.6">
      <c r="A950" s="109"/>
      <c r="B950" s="109"/>
      <c r="C950" s="109"/>
      <c r="D950" s="109"/>
      <c r="E950" s="109"/>
      <c r="F950" s="109"/>
      <c r="G950" s="109"/>
    </row>
    <row r="951" spans="1:7" ht="21.75" customHeight="1" x14ac:dyDescent="0.6">
      <c r="A951" s="109"/>
      <c r="B951" s="109"/>
      <c r="C951" s="109"/>
      <c r="D951" s="109"/>
      <c r="E951" s="109"/>
      <c r="F951" s="109"/>
      <c r="G951" s="109"/>
    </row>
    <row r="952" spans="1:7" ht="21.75" customHeight="1" x14ac:dyDescent="0.6">
      <c r="A952" s="109"/>
      <c r="B952" s="109"/>
      <c r="C952" s="109"/>
      <c r="D952" s="109"/>
      <c r="E952" s="109"/>
      <c r="F952" s="109"/>
      <c r="G952" s="109"/>
    </row>
    <row r="953" spans="1:7" ht="21.75" customHeight="1" x14ac:dyDescent="0.6">
      <c r="A953" s="109"/>
      <c r="B953" s="109"/>
      <c r="C953" s="109"/>
      <c r="D953" s="109"/>
      <c r="E953" s="109"/>
      <c r="F953" s="109"/>
      <c r="G953" s="109"/>
    </row>
    <row r="954" spans="1:7" ht="21.75" customHeight="1" x14ac:dyDescent="0.6">
      <c r="A954" s="109"/>
      <c r="B954" s="109"/>
      <c r="C954" s="109"/>
      <c r="D954" s="109"/>
      <c r="E954" s="109"/>
      <c r="F954" s="109"/>
      <c r="G954" s="109"/>
    </row>
    <row r="955" spans="1:7" ht="21.75" customHeight="1" x14ac:dyDescent="0.6">
      <c r="A955" s="109"/>
      <c r="B955" s="109"/>
      <c r="C955" s="109"/>
      <c r="D955" s="109"/>
      <c r="E955" s="109"/>
      <c r="F955" s="109"/>
      <c r="G955" s="109"/>
    </row>
    <row r="956" spans="1:7" ht="21.75" customHeight="1" x14ac:dyDescent="0.6">
      <c r="A956" s="109"/>
      <c r="B956" s="109"/>
      <c r="C956" s="109"/>
      <c r="D956" s="109"/>
      <c r="E956" s="109"/>
      <c r="F956" s="109"/>
      <c r="G956" s="109"/>
    </row>
  </sheetData>
  <mergeCells count="4">
    <mergeCell ref="A1:A2"/>
    <mergeCell ref="B1:C1"/>
    <mergeCell ref="D1:E1"/>
    <mergeCell ref="F1:G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82E5-588B-4AAF-BDF2-AC28C6EBCDDC}">
  <sheetPr>
    <tabColor rgb="FF002060"/>
  </sheetPr>
  <dimension ref="A1:M1005"/>
  <sheetViews>
    <sheetView zoomScale="82" zoomScaleNormal="82" workbookViewId="0">
      <selection activeCell="B3" sqref="B3"/>
    </sheetView>
  </sheetViews>
  <sheetFormatPr defaultColWidth="14.42578125" defaultRowHeight="15" customHeight="1" x14ac:dyDescent="0.25"/>
  <cols>
    <col min="1" max="1" width="56.5703125" bestFit="1" customWidth="1"/>
    <col min="2" max="2" width="46.140625" customWidth="1"/>
    <col min="3" max="3" width="23.85546875" style="18" bestFit="1" customWidth="1"/>
    <col min="4" max="4" width="19.85546875" style="18" bestFit="1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00" t="s">
        <v>16</v>
      </c>
      <c r="B2" s="215">
        <f>'SEM IMPREVISTOS'!B2</f>
        <v>7713624.6351084877</v>
      </c>
      <c r="C2" s="40">
        <f t="shared" ref="C2:C15" si="0">B2/B$16</f>
        <v>0.12886233520649823</v>
      </c>
      <c r="D2" s="85">
        <f>B2/'GER_EXECUTIVO MEGA'!G$2</f>
        <v>494.37279952755347</v>
      </c>
      <c r="E2" s="6"/>
      <c r="F2" s="21" t="s">
        <v>22</v>
      </c>
      <c r="G2" s="63">
        <f>[1]Obra!$E$10</f>
        <v>15602.85</v>
      </c>
      <c r="H2" s="22" t="s">
        <v>32</v>
      </c>
      <c r="I2" s="6"/>
      <c r="J2" s="6"/>
      <c r="K2" s="6"/>
      <c r="L2" s="6"/>
      <c r="M2" s="6"/>
    </row>
    <row r="3" spans="1:13" ht="22.5" customHeight="1" x14ac:dyDescent="0.25">
      <c r="A3" s="101" t="s">
        <v>2</v>
      </c>
      <c r="B3" s="214">
        <f>[1]Obra!$C34</f>
        <v>1415598.7796026384</v>
      </c>
      <c r="C3" s="7">
        <f t="shared" si="0"/>
        <v>2.3648721980169235E-2</v>
      </c>
      <c r="D3" s="86">
        <f>B3/'GER_EXECUTIVO MEGA'!G$2</f>
        <v>90.726936399608945</v>
      </c>
      <c r="E3" s="6"/>
      <c r="F3" s="102"/>
      <c r="G3" s="103"/>
      <c r="H3" s="104"/>
      <c r="I3" s="6"/>
      <c r="J3" s="6"/>
      <c r="K3" s="6"/>
      <c r="L3" s="6"/>
      <c r="M3" s="6"/>
    </row>
    <row r="4" spans="1:13" ht="19.5" customHeight="1" x14ac:dyDescent="0.25">
      <c r="A4" s="100" t="s">
        <v>139</v>
      </c>
      <c r="B4" s="215">
        <f>[1]Obra!$C35</f>
        <v>18749746.800203342</v>
      </c>
      <c r="C4" s="40">
        <f t="shared" si="0"/>
        <v>0.31322967755103742</v>
      </c>
      <c r="D4" s="85">
        <f>B4/'GER_EXECUTIVO MEGA'!G$2</f>
        <v>1201.6873071396151</v>
      </c>
      <c r="E4" s="6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01" t="s">
        <v>37</v>
      </c>
      <c r="B5" s="214">
        <f>[1]Obra!$C36</f>
        <v>3110673.7711449144</v>
      </c>
      <c r="C5" s="7">
        <f t="shared" si="0"/>
        <v>5.1966320008738694E-2</v>
      </c>
      <c r="D5" s="86">
        <f>B5/'GER_EXECUTIVO MEGA'!G$2</f>
        <v>199.36574222945899</v>
      </c>
      <c r="E5" s="6"/>
      <c r="F5" s="8"/>
      <c r="G5" s="6"/>
      <c r="H5" s="74"/>
      <c r="I5" s="75"/>
      <c r="J5" s="6"/>
      <c r="K5" s="6"/>
      <c r="L5" s="6"/>
      <c r="M5" s="6"/>
    </row>
    <row r="6" spans="1:13" ht="19.5" customHeight="1" x14ac:dyDescent="0.25">
      <c r="A6" s="100" t="s">
        <v>107</v>
      </c>
      <c r="B6" s="215">
        <f>[1]Obra!$C37</f>
        <v>6469375.6182627501</v>
      </c>
      <c r="C6" s="40">
        <f t="shared" si="0"/>
        <v>0.10807614953195038</v>
      </c>
      <c r="D6" s="85">
        <f>B6/'GER_EXECUTIVO MEGA'!G$2</f>
        <v>414.62781596072193</v>
      </c>
      <c r="E6" s="6"/>
      <c r="F6" s="6"/>
      <c r="G6" s="6"/>
      <c r="H6" s="74"/>
      <c r="I6" s="75"/>
      <c r="J6" s="6"/>
      <c r="K6" s="6"/>
      <c r="L6" s="6"/>
      <c r="M6" s="6"/>
    </row>
    <row r="7" spans="1:13" ht="19.5" customHeight="1" x14ac:dyDescent="0.25">
      <c r="A7" s="101" t="s">
        <v>20</v>
      </c>
      <c r="B7" s="214">
        <f>[1]Obra!$C38</f>
        <v>2701000.7036312595</v>
      </c>
      <c r="C7" s="7">
        <f t="shared" si="0"/>
        <v>4.5122400237125833E-2</v>
      </c>
      <c r="D7" s="86">
        <f>B7/'GER_EXECUTIVO MEGA'!G$2</f>
        <v>173.10944498160654</v>
      </c>
      <c r="E7" s="6"/>
      <c r="F7" s="10"/>
      <c r="G7" s="6"/>
      <c r="H7" s="74"/>
      <c r="I7" s="75"/>
      <c r="J7" s="6"/>
      <c r="K7" s="6"/>
      <c r="L7" s="6"/>
      <c r="M7" s="6"/>
    </row>
    <row r="8" spans="1:13" ht="19.5" customHeight="1" x14ac:dyDescent="0.25">
      <c r="A8" s="100" t="s">
        <v>7</v>
      </c>
      <c r="B8" s="215">
        <f>[1]Obra!$C39</f>
        <v>820493.65955901972</v>
      </c>
      <c r="C8" s="40">
        <f t="shared" si="0"/>
        <v>1.3707009868184206E-2</v>
      </c>
      <c r="D8" s="85">
        <f>B8/'GER_EXECUTIVO MEGA'!G$2</f>
        <v>52.586140324300992</v>
      </c>
      <c r="E8" s="17"/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101" t="s">
        <v>108</v>
      </c>
      <c r="B9" s="214">
        <f>[1]Obra!$C40</f>
        <v>2542675.6698656175</v>
      </c>
      <c r="C9" s="7">
        <f t="shared" si="0"/>
        <v>4.2477452558465377E-2</v>
      </c>
      <c r="D9" s="86">
        <f>B9/'GER_EXECUTIVO MEGA'!G$2</f>
        <v>162.9622581685793</v>
      </c>
      <c r="E9" s="6"/>
      <c r="F9" s="10"/>
      <c r="G9" s="19"/>
      <c r="H9" s="6"/>
      <c r="I9" s="6"/>
      <c r="J9" s="6"/>
      <c r="K9" s="6"/>
      <c r="L9" s="6"/>
      <c r="M9" s="6"/>
    </row>
    <row r="10" spans="1:13" ht="19.5" customHeight="1" x14ac:dyDescent="0.25">
      <c r="A10" s="100" t="s">
        <v>96</v>
      </c>
      <c r="B10" s="215">
        <f>[1]Obra!$C41</f>
        <v>585077.05261241295</v>
      </c>
      <c r="C10" s="40">
        <f t="shared" si="0"/>
        <v>9.7741851388793138E-3</v>
      </c>
      <c r="D10" s="85">
        <f>B10/'GER_EXECUTIVO MEGA'!G$2</f>
        <v>37.498088657675552</v>
      </c>
      <c r="E10" s="6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01" t="s">
        <v>18</v>
      </c>
      <c r="B11" s="214">
        <f>[1]Obra!$C42</f>
        <v>1688185.9781622028</v>
      </c>
      <c r="C11" s="7">
        <f t="shared" si="0"/>
        <v>2.8202511490992229E-2</v>
      </c>
      <c r="D11" s="86">
        <f>B11/'GER_EXECUTIVO MEGA'!G$2</f>
        <v>108.19728307086223</v>
      </c>
      <c r="E11" s="6"/>
      <c r="F11" s="9"/>
      <c r="G11" s="6"/>
      <c r="H11" s="6"/>
      <c r="I11" s="6"/>
      <c r="J11" s="6"/>
      <c r="K11" s="6"/>
      <c r="L11" s="6"/>
      <c r="M11" s="6"/>
    </row>
    <row r="12" spans="1:13" ht="19.5" customHeight="1" x14ac:dyDescent="0.25">
      <c r="A12" s="100" t="s">
        <v>56</v>
      </c>
      <c r="B12" s="215">
        <f>[1]Obra!$C43</f>
        <v>2558866.3451860095</v>
      </c>
      <c r="C12" s="40">
        <f t="shared" si="0"/>
        <v>4.2747930878198469E-2</v>
      </c>
      <c r="D12" s="85">
        <f>B12/'GER_EXECUTIVO MEGA'!G$2</f>
        <v>163.99993239606928</v>
      </c>
      <c r="E12" s="6"/>
      <c r="F12" s="6"/>
      <c r="G12" s="20"/>
      <c r="H12" s="6"/>
      <c r="I12" s="6"/>
      <c r="J12" s="6"/>
      <c r="K12" s="6"/>
      <c r="L12" s="6"/>
      <c r="M12" s="6"/>
    </row>
    <row r="13" spans="1:13" ht="19.5" customHeight="1" x14ac:dyDescent="0.25">
      <c r="A13" s="101" t="s">
        <v>109</v>
      </c>
      <c r="B13" s="214">
        <f>[1]Obra!$C44</f>
        <v>3898012.1533050649</v>
      </c>
      <c r="C13" s="7">
        <f t="shared" si="0"/>
        <v>6.5119444165322227E-2</v>
      </c>
      <c r="D13" s="86">
        <f>B13/'GER_EXECUTIVO MEGA'!G$2</f>
        <v>249.82693247099502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100" t="s">
        <v>10</v>
      </c>
      <c r="B14" s="215">
        <f>[1]Obra!$C45</f>
        <v>5085026.2833178537</v>
      </c>
      <c r="C14" s="40">
        <f t="shared" si="0"/>
        <v>8.494947478677034E-2</v>
      </c>
      <c r="D14" s="85">
        <f>B14/'GER_EXECUTIVO MEGA'!G$2</f>
        <v>325.9036831936379</v>
      </c>
      <c r="E14" s="6"/>
      <c r="F14" s="66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01" t="s">
        <v>12</v>
      </c>
      <c r="B15" s="214">
        <f>[1]Obra!$C47</f>
        <v>2521062.4708991088</v>
      </c>
      <c r="C15" s="7">
        <f t="shared" si="0"/>
        <v>4.2116386597667844E-2</v>
      </c>
      <c r="D15" s="86">
        <f>B15/'GER_EXECUTIVO MEGA'!G$2</f>
        <v>161.57704976328739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41" t="s">
        <v>13</v>
      </c>
      <c r="B16" s="79">
        <f>SUM(B2:B15)</f>
        <v>59859419.920860693</v>
      </c>
      <c r="C16" s="43">
        <f>SUM(C2:C15)</f>
        <v>0.99999999999999967</v>
      </c>
      <c r="D16" s="87">
        <f>SUM(D2:D15)</f>
        <v>3836.4414142839728</v>
      </c>
      <c r="E16" s="9"/>
      <c r="F16" s="6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41" t="s">
        <v>29</v>
      </c>
      <c r="B17" s="80">
        <v>2934.53</v>
      </c>
      <c r="C17" s="44">
        <v>45809</v>
      </c>
      <c r="D17" s="81" t="str">
        <f>ROUNDUP(+D16/B17,2)&amp;" CUB"</f>
        <v>1,31 CUB</v>
      </c>
      <c r="E17" s="9"/>
      <c r="F17" s="6"/>
      <c r="G17" s="6"/>
      <c r="H17" s="6"/>
      <c r="I17" s="6"/>
      <c r="J17" s="6"/>
      <c r="K17" s="6"/>
      <c r="L17" s="6"/>
      <c r="M17" s="6"/>
    </row>
    <row r="18" spans="1:13" ht="19.5" x14ac:dyDescent="0.25">
      <c r="B18" s="72"/>
      <c r="C18" s="10"/>
      <c r="D18" s="10"/>
      <c r="E18" s="6"/>
      <c r="F18" s="9"/>
      <c r="G18" s="6"/>
      <c r="H18" s="6"/>
      <c r="I18" s="6"/>
      <c r="J18" s="6"/>
      <c r="K18" s="6"/>
      <c r="L18" s="6"/>
      <c r="M18" s="6"/>
    </row>
    <row r="19" spans="1:13" ht="22.5" hidden="1" customHeight="1" x14ac:dyDescent="0.25">
      <c r="A19" s="6"/>
      <c r="B19" s="9"/>
      <c r="C19" s="10"/>
      <c r="D19" s="10"/>
      <c r="E19" s="6"/>
      <c r="F19" s="66"/>
      <c r="G19" s="66"/>
      <c r="H19" s="6"/>
      <c r="I19" s="6"/>
      <c r="J19" s="6"/>
      <c r="K19" s="6"/>
      <c r="L19" s="6"/>
      <c r="M19" s="6"/>
    </row>
    <row r="20" spans="1:13" ht="15" hidden="1" customHeight="1" x14ac:dyDescent="0.25">
      <c r="A20" s="69" t="s">
        <v>39</v>
      </c>
      <c r="B20" t="s">
        <v>41</v>
      </c>
      <c r="C20" t="s">
        <v>143</v>
      </c>
      <c r="D20" t="s">
        <v>144</v>
      </c>
    </row>
    <row r="21" spans="1:13" hidden="1" x14ac:dyDescent="0.25">
      <c r="A21" s="70" t="s">
        <v>91</v>
      </c>
      <c r="B21" s="71">
        <v>0.31758610894272798</v>
      </c>
      <c r="C21" s="229">
        <v>18362171.804884642</v>
      </c>
      <c r="D21" s="229">
        <v>1176.8472942369274</v>
      </c>
    </row>
    <row r="22" spans="1:13" hidden="1" x14ac:dyDescent="0.25">
      <c r="A22" s="70" t="s">
        <v>16</v>
      </c>
      <c r="B22" s="71">
        <v>0.13135230605801737</v>
      </c>
      <c r="C22" s="229">
        <v>7594518.5979153067</v>
      </c>
      <c r="D22" s="229">
        <v>486.73919174479704</v>
      </c>
    </row>
    <row r="23" spans="1:13" hidden="1" x14ac:dyDescent="0.25">
      <c r="A23" s="70" t="s">
        <v>6</v>
      </c>
      <c r="B23" s="71">
        <v>9.0635558712702638E-2</v>
      </c>
      <c r="C23" s="229">
        <v>5240360.5001958096</v>
      </c>
      <c r="D23" s="229">
        <v>335.85918599459774</v>
      </c>
    </row>
    <row r="24" spans="1:13" hidden="1" x14ac:dyDescent="0.25">
      <c r="A24" s="70" t="s">
        <v>10</v>
      </c>
      <c r="B24" s="71">
        <v>8.0775088631113531E-2</v>
      </c>
      <c r="C24" s="229">
        <v>4670248.5191717418</v>
      </c>
      <c r="D24" s="229">
        <v>299.32022157309348</v>
      </c>
    </row>
    <row r="25" spans="1:13" hidden="1" x14ac:dyDescent="0.25">
      <c r="A25" s="70" t="s">
        <v>37</v>
      </c>
      <c r="B25" s="71">
        <v>5.380119463348642E-2</v>
      </c>
      <c r="C25" s="229">
        <v>3110673.771144914</v>
      </c>
      <c r="D25" s="229">
        <v>199.36574222945896</v>
      </c>
    </row>
    <row r="26" spans="1:13" hidden="1" x14ac:dyDescent="0.25">
      <c r="A26" s="70" t="s">
        <v>20</v>
      </c>
      <c r="B26" s="71">
        <v>4.4464550253614808E-2</v>
      </c>
      <c r="C26" s="229">
        <v>2570848.3085166668</v>
      </c>
      <c r="D26" s="229">
        <v>164.76786667286211</v>
      </c>
    </row>
    <row r="27" spans="1:13" hidden="1" x14ac:dyDescent="0.25">
      <c r="A27" s="70" t="s">
        <v>9</v>
      </c>
      <c r="B27" s="71">
        <v>4.2755873946540457E-2</v>
      </c>
      <c r="C27" s="229">
        <v>2472056.1793083544</v>
      </c>
      <c r="D27" s="229">
        <v>158.4361946252354</v>
      </c>
    </row>
    <row r="28" spans="1:13" hidden="1" x14ac:dyDescent="0.25">
      <c r="A28" s="70" t="s">
        <v>12</v>
      </c>
      <c r="B28" s="71">
        <v>4.1834176678706717E-2</v>
      </c>
      <c r="C28" s="229">
        <v>2418765.5500664189</v>
      </c>
      <c r="D28" s="229">
        <v>155.02075262316941</v>
      </c>
    </row>
    <row r="29" spans="1:13" hidden="1" x14ac:dyDescent="0.25">
      <c r="A29" s="70" t="s">
        <v>56</v>
      </c>
      <c r="B29" s="71">
        <v>3.9504046458099351E-2</v>
      </c>
      <c r="C29" s="229">
        <v>2284042.2412259113</v>
      </c>
      <c r="D29" s="229">
        <v>146.3862205447025</v>
      </c>
    </row>
    <row r="30" spans="1:13" hidden="1" x14ac:dyDescent="0.25">
      <c r="A30" s="70" t="s">
        <v>11</v>
      </c>
      <c r="B30" s="71">
        <v>3.9035094143513416E-2</v>
      </c>
      <c r="C30" s="229">
        <v>2256928.3885533498</v>
      </c>
      <c r="D30" s="229">
        <v>144.64847053925084</v>
      </c>
    </row>
    <row r="31" spans="1:13" hidden="1" x14ac:dyDescent="0.25">
      <c r="A31" s="70" t="s">
        <v>55</v>
      </c>
      <c r="B31" s="71">
        <v>3.1098468522838013E-2</v>
      </c>
      <c r="C31" s="229">
        <v>1798049.1142581005</v>
      </c>
      <c r="D31" s="229">
        <v>115.23850541779871</v>
      </c>
    </row>
    <row r="32" spans="1:13" hidden="1" x14ac:dyDescent="0.25">
      <c r="A32" s="70" t="s">
        <v>18</v>
      </c>
      <c r="B32" s="71">
        <v>2.7974544688104674E-2</v>
      </c>
      <c r="C32" s="229">
        <v>1617430.3008291668</v>
      </c>
      <c r="D32" s="229">
        <v>103.66249120059263</v>
      </c>
    </row>
    <row r="33" spans="1:13" hidden="1" x14ac:dyDescent="0.25">
      <c r="A33" s="70" t="s">
        <v>2</v>
      </c>
      <c r="B33" s="71">
        <v>2.3419184168522872E-2</v>
      </c>
      <c r="C33" s="229">
        <v>1354048.7796026384</v>
      </c>
      <c r="D33" s="229">
        <v>86.782144262275054</v>
      </c>
    </row>
    <row r="34" spans="1:13" hidden="1" x14ac:dyDescent="0.25">
      <c r="A34" s="70" t="s">
        <v>7</v>
      </c>
      <c r="B34" s="71">
        <v>1.3878300194650134E-2</v>
      </c>
      <c r="C34" s="229">
        <v>802414.60617499996</v>
      </c>
      <c r="D34" s="229">
        <v>51.427438331779129</v>
      </c>
    </row>
    <row r="35" spans="1:13" hidden="1" x14ac:dyDescent="0.25">
      <c r="A35" s="70" t="s">
        <v>38</v>
      </c>
      <c r="B35" s="71">
        <v>4.8531962430088697E-3</v>
      </c>
      <c r="C35" s="229">
        <v>280601.76660000003</v>
      </c>
      <c r="D35" s="229">
        <v>17.984007190993953</v>
      </c>
    </row>
    <row r="36" spans="1:13" hidden="1" x14ac:dyDescent="0.25">
      <c r="A36" s="70" t="s">
        <v>40</v>
      </c>
      <c r="B36" s="71">
        <v>0.98296769227564729</v>
      </c>
      <c r="C36" s="229">
        <v>56833158.428448029</v>
      </c>
      <c r="D36" s="229">
        <v>3642.4857271875344</v>
      </c>
    </row>
    <row r="37" spans="1:13" hidden="1" x14ac:dyDescent="0.25">
      <c r="C37"/>
      <c r="D37"/>
    </row>
    <row r="38" spans="1:13" hidden="1" x14ac:dyDescent="0.25">
      <c r="C38"/>
      <c r="D38"/>
    </row>
    <row r="39" spans="1:13" hidden="1" x14ac:dyDescent="0.25">
      <c r="C39"/>
      <c r="D39"/>
    </row>
    <row r="40" spans="1:13" ht="19.5" hidden="1" x14ac:dyDescent="0.25">
      <c r="C40" s="10"/>
      <c r="D40" s="10"/>
      <c r="E40" s="6"/>
      <c r="F40" s="6"/>
      <c r="G40" s="6"/>
      <c r="H40" s="6"/>
      <c r="I40" s="6"/>
      <c r="J40" s="6"/>
      <c r="K40" s="6"/>
      <c r="L40" s="6"/>
      <c r="M40" s="6"/>
    </row>
    <row r="41" spans="1:13" ht="19.5" x14ac:dyDescent="0.25">
      <c r="C41" s="10"/>
      <c r="D41" s="10"/>
      <c r="E41" s="6"/>
      <c r="F41" s="6"/>
      <c r="G41" s="6"/>
      <c r="H41" s="6"/>
      <c r="I41" s="6"/>
      <c r="J41" s="6"/>
      <c r="K41" s="6"/>
      <c r="L41" s="6"/>
      <c r="M41" s="6"/>
    </row>
    <row r="42" spans="1:13" ht="19.5" x14ac:dyDescent="0.25"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</row>
    <row r="43" spans="1:13" ht="19.5" x14ac:dyDescent="0.25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5" x14ac:dyDescent="0.25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x14ac:dyDescent="0.25"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x14ac:dyDescent="0.25"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5" x14ac:dyDescent="0.25"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3:13" ht="19.5" x14ac:dyDescent="0.25"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3:13" ht="19.5" x14ac:dyDescent="0.25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3:13" ht="19.5" x14ac:dyDescent="0.25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3:13" ht="19.5" x14ac:dyDescent="0.25"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3:13" ht="19.5" customHeight="1" x14ac:dyDescent="0.25"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3:13" ht="19.5" customHeight="1" x14ac:dyDescent="0.25"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3:13" ht="19.5" x14ac:dyDescent="0.25"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3:13" ht="19.5" x14ac:dyDescent="0.25"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3:13" ht="19.5" x14ac:dyDescent="0.25"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3:13" ht="19.5" customHeight="1" x14ac:dyDescent="0.25"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3:13" ht="19.5" customHeight="1" x14ac:dyDescent="0.25"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3:13" ht="19.5" customHeight="1" x14ac:dyDescent="0.25"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3:13" ht="19.5" customHeight="1" x14ac:dyDescent="0.25"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3:13" ht="19.5" customHeight="1" x14ac:dyDescent="0.25"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3:13" ht="19.5" customHeight="1" x14ac:dyDescent="0.25"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3:13" ht="19.5" customHeight="1" x14ac:dyDescent="0.25"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3:13" ht="19.5" customHeight="1" x14ac:dyDescent="0.25"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3:13" ht="19.5" customHeight="1" x14ac:dyDescent="0.25"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3:13" ht="19.5" customHeight="1" x14ac:dyDescent="0.25"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3:13" ht="19.5" customHeight="1" x14ac:dyDescent="0.25"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3:13" ht="19.5" customHeight="1" x14ac:dyDescent="0.25"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3:13" ht="19.5" customHeight="1" x14ac:dyDescent="0.25"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3:13" ht="19.5" customHeight="1" x14ac:dyDescent="0.25"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3:13" ht="19.5" customHeight="1" x14ac:dyDescent="0.25"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3:13" ht="19.5" customHeight="1" x14ac:dyDescent="0.25"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3:13" ht="19.5" customHeight="1" x14ac:dyDescent="0.25"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3:13" ht="19.5" customHeight="1" x14ac:dyDescent="0.25"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3:13" ht="19.5" customHeight="1" x14ac:dyDescent="0.25"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3:13" ht="19.5" customHeight="1" x14ac:dyDescent="0.25"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3:13" ht="19.5" customHeight="1" x14ac:dyDescent="0.25"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3:13" ht="19.5" customHeight="1" x14ac:dyDescent="0.25"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3:13" ht="19.5" customHeight="1" x14ac:dyDescent="0.25"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3:13" ht="19.5" customHeight="1" x14ac:dyDescent="0.25"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3:13" ht="19.5" customHeight="1" x14ac:dyDescent="0.25"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3:13" ht="19.5" customHeight="1" x14ac:dyDescent="0.25"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3:13" ht="19.5" customHeight="1" x14ac:dyDescent="0.25"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3:13" ht="19.5" customHeight="1" x14ac:dyDescent="0.25"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3:13" ht="19.5" customHeight="1" x14ac:dyDescent="0.25"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3:13" ht="19.5" customHeight="1" x14ac:dyDescent="0.25"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3:13" ht="19.5" customHeight="1" x14ac:dyDescent="0.25"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3:13" ht="19.5" customHeight="1" x14ac:dyDescent="0.25"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3:13" ht="19.5" customHeight="1" x14ac:dyDescent="0.25"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3:13" ht="19.5" customHeight="1" x14ac:dyDescent="0.25"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3:13" ht="19.5" customHeight="1" x14ac:dyDescent="0.25"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3:13" ht="19.5" customHeight="1" x14ac:dyDescent="0.25"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3:13" ht="19.5" customHeight="1" x14ac:dyDescent="0.25"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3:13" ht="19.5" customHeight="1" x14ac:dyDescent="0.25"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3:13" ht="19.5" customHeight="1" x14ac:dyDescent="0.25"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9.5" customHeight="1" x14ac:dyDescent="0.25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9.5" customHeight="1" x14ac:dyDescent="0.25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9.5" customHeight="1" x14ac:dyDescent="0.25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9.5" customHeight="1" x14ac:dyDescent="0.25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9.5" customHeight="1" x14ac:dyDescent="0.25">
      <c r="A998" s="6"/>
      <c r="B998" s="6"/>
      <c r="C998" s="10"/>
      <c r="D998" s="10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19.5" customHeight="1" x14ac:dyDescent="0.25">
      <c r="A999" s="6"/>
      <c r="B999" s="6"/>
      <c r="C999" s="10"/>
      <c r="D999" s="10"/>
      <c r="E999" s="6"/>
      <c r="F999" s="6"/>
      <c r="G999" s="6"/>
      <c r="H999" s="6"/>
      <c r="I999" s="6"/>
      <c r="J999" s="6"/>
      <c r="K999" s="6"/>
      <c r="L999" s="6"/>
      <c r="M999" s="6"/>
    </row>
    <row r="1000" spans="1:13" ht="19.5" customHeight="1" x14ac:dyDescent="0.25">
      <c r="A1000" s="6"/>
      <c r="B1000" s="6"/>
      <c r="C1000" s="10"/>
      <c r="D1000" s="10"/>
      <c r="E1000" s="6"/>
      <c r="F1000" s="6"/>
      <c r="G1000" s="6"/>
      <c r="H1000" s="6"/>
      <c r="I1000" s="6"/>
      <c r="J1000" s="6"/>
      <c r="K1000" s="6"/>
      <c r="L1000" s="6"/>
      <c r="M1000" s="6"/>
    </row>
    <row r="1001" spans="1:13" ht="19.5" customHeight="1" x14ac:dyDescent="0.25">
      <c r="A1001" s="6"/>
      <c r="B1001" s="6"/>
      <c r="C1001" s="10"/>
      <c r="D1001" s="10"/>
      <c r="E1001" s="6"/>
      <c r="F1001" s="6"/>
      <c r="G1001" s="6"/>
      <c r="H1001" s="6"/>
      <c r="I1001" s="6"/>
      <c r="J1001" s="6"/>
      <c r="K1001" s="6"/>
      <c r="L1001" s="6"/>
      <c r="M1001" s="6"/>
    </row>
    <row r="1002" spans="1:13" ht="19.5" customHeight="1" x14ac:dyDescent="0.25">
      <c r="A1002" s="6"/>
      <c r="B1002" s="6"/>
      <c r="C1002" s="10"/>
      <c r="D1002" s="10"/>
      <c r="E1002" s="6"/>
      <c r="F1002" s="6"/>
      <c r="G1002" s="6"/>
      <c r="H1002" s="6"/>
      <c r="I1002" s="6"/>
      <c r="J1002" s="6"/>
      <c r="K1002" s="6"/>
      <c r="L1002" s="6"/>
      <c r="M1002" s="6"/>
    </row>
    <row r="1003" spans="1:13" ht="19.5" customHeight="1" x14ac:dyDescent="0.25">
      <c r="A1003" s="6"/>
      <c r="B1003" s="6"/>
      <c r="C1003" s="10"/>
      <c r="D1003" s="10"/>
      <c r="E1003" s="6"/>
      <c r="F1003" s="6"/>
      <c r="G1003" s="6"/>
      <c r="H1003" s="6"/>
      <c r="I1003" s="6"/>
      <c r="J1003" s="6"/>
      <c r="K1003" s="6"/>
      <c r="L1003" s="6"/>
      <c r="M1003" s="6"/>
    </row>
    <row r="1004" spans="1:13" ht="19.5" customHeight="1" x14ac:dyDescent="0.25">
      <c r="A1004" s="6"/>
      <c r="B1004" s="6"/>
      <c r="C1004" s="10"/>
      <c r="D1004" s="10"/>
      <c r="E1004" s="6"/>
      <c r="F1004" s="6"/>
      <c r="G1004" s="6"/>
      <c r="H1004" s="6"/>
      <c r="I1004" s="6"/>
      <c r="J1004" s="6"/>
      <c r="K1004" s="6"/>
      <c r="L1004" s="6"/>
      <c r="M1004" s="6"/>
    </row>
    <row r="1005" spans="1:13" ht="19.5" customHeight="1" x14ac:dyDescent="0.25">
      <c r="A1005" s="6"/>
      <c r="B1005" s="6"/>
      <c r="C1005" s="10"/>
      <c r="D1005" s="10"/>
      <c r="E1005" s="6"/>
      <c r="F1005" s="6"/>
      <c r="G1005" s="6"/>
      <c r="H1005" s="6"/>
      <c r="I1005" s="6"/>
      <c r="J1005" s="6"/>
      <c r="K1005" s="6"/>
      <c r="L1005" s="6"/>
      <c r="M1005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571B-97F3-40CD-8D4D-07C1A23169F5}">
  <sheetPr>
    <tabColor rgb="FFFFFF00"/>
  </sheetPr>
  <dimension ref="A1:J956"/>
  <sheetViews>
    <sheetView zoomScale="85" zoomScaleNormal="85" workbookViewId="0">
      <selection activeCell="C2" sqref="B1:C1048576"/>
    </sheetView>
  </sheetViews>
  <sheetFormatPr defaultColWidth="14.42578125" defaultRowHeight="15" customHeight="1" x14ac:dyDescent="0.25"/>
  <cols>
    <col min="1" max="1" width="66.28515625" style="107" customWidth="1"/>
    <col min="2" max="2" width="22.42578125" style="107" bestFit="1" customWidth="1"/>
    <col min="3" max="3" width="16.5703125" style="107" bestFit="1" customWidth="1"/>
    <col min="4" max="4" width="22.85546875" style="107" bestFit="1" customWidth="1"/>
    <col min="5" max="5" width="16.140625" style="107" bestFit="1" customWidth="1"/>
    <col min="6" max="6" width="22.85546875" style="107" bestFit="1" customWidth="1"/>
    <col min="7" max="7" width="16.140625" style="107" bestFit="1" customWidth="1"/>
    <col min="8" max="8" width="26.7109375" style="107" customWidth="1"/>
    <col min="9" max="9" width="15.85546875" style="107" customWidth="1"/>
    <col min="10" max="10" width="62.42578125" style="231" customWidth="1"/>
    <col min="11" max="16384" width="14.42578125" style="107"/>
  </cols>
  <sheetData>
    <row r="1" spans="1:10" ht="16.5" customHeight="1" x14ac:dyDescent="0.25">
      <c r="A1" s="244" t="s">
        <v>0</v>
      </c>
      <c r="B1" s="246" t="s">
        <v>110</v>
      </c>
      <c r="C1" s="247"/>
      <c r="D1" s="246" t="s">
        <v>217</v>
      </c>
      <c r="E1" s="247"/>
      <c r="F1" s="246" t="s">
        <v>216</v>
      </c>
      <c r="G1" s="247"/>
      <c r="H1" s="248" t="s">
        <v>89</v>
      </c>
      <c r="I1" s="249"/>
      <c r="J1" s="238"/>
    </row>
    <row r="2" spans="1:10" ht="22.5" thickBot="1" x14ac:dyDescent="0.3">
      <c r="A2" s="245"/>
      <c r="B2" s="127" t="s">
        <v>88</v>
      </c>
      <c r="C2" s="126" t="s">
        <v>1</v>
      </c>
      <c r="D2" s="127" t="s">
        <v>88</v>
      </c>
      <c r="E2" s="126" t="s">
        <v>1</v>
      </c>
      <c r="F2" s="127" t="s">
        <v>88</v>
      </c>
      <c r="G2" s="126" t="s">
        <v>1</v>
      </c>
      <c r="H2" s="127" t="s">
        <v>88</v>
      </c>
      <c r="I2" s="126" t="s">
        <v>1</v>
      </c>
      <c r="J2" s="126" t="s">
        <v>90</v>
      </c>
    </row>
    <row r="3" spans="1:10" ht="19.5" x14ac:dyDescent="0.25">
      <c r="A3" s="147" t="s">
        <v>16</v>
      </c>
      <c r="B3" s="147">
        <f>[3]GER_EXECUTIVO!$B$2</f>
        <v>7834981.5618648324</v>
      </c>
      <c r="C3" s="147">
        <f>B3/'SEM IMPREVISTOS'!$G$2</f>
        <v>502.1506687473655</v>
      </c>
      <c r="D3" s="147">
        <f>[2]Versões!$D3</f>
        <v>7594518.5979153067</v>
      </c>
      <c r="E3" s="147">
        <f>D3/'SEM IMPREVISTOS'!$G$2</f>
        <v>486.73919174479704</v>
      </c>
      <c r="F3" s="147">
        <f>'GER_EXECUTIVO MEGA'!B2</f>
        <v>7713624.6351084877</v>
      </c>
      <c r="G3" s="147">
        <f>F3/'SEM IMPREVISTOS'!$G$2</f>
        <v>494.37279952755347</v>
      </c>
      <c r="H3" s="147">
        <f>F3-B3</f>
        <v>-121356.92675634474</v>
      </c>
      <c r="I3" s="147">
        <f t="shared" ref="H3:I5" si="0">G3-C3</f>
        <v>-7.7778692198120325</v>
      </c>
      <c r="J3" s="147" t="s">
        <v>135</v>
      </c>
    </row>
    <row r="4" spans="1:10" ht="19.5" customHeight="1" x14ac:dyDescent="0.25">
      <c r="A4" s="148" t="s">
        <v>2</v>
      </c>
      <c r="B4" s="148">
        <f>[3]ANÁLISE_CUSTOS!$B3</f>
        <v>1346662.2828556453</v>
      </c>
      <c r="C4" s="148">
        <f>B4/'SEM IMPREVISTOS'!$G$2</f>
        <v>86.30873736885539</v>
      </c>
      <c r="D4" s="148">
        <f>[2]Versões!$D4</f>
        <v>1354048.7796026384</v>
      </c>
      <c r="E4" s="148">
        <f>D4/'SEM IMPREVISTOS'!$G$2</f>
        <v>86.782144262275054</v>
      </c>
      <c r="F4" s="148">
        <f>'GER_EXECUTIVO MEGA'!B3</f>
        <v>1415598.7796026384</v>
      </c>
      <c r="G4" s="148">
        <f>F4/'SEM IMPREVISTOS'!$G$2</f>
        <v>90.726936399608945</v>
      </c>
      <c r="H4" s="148">
        <f t="shared" si="0"/>
        <v>68936.496746993158</v>
      </c>
      <c r="I4" s="148">
        <f t="shared" si="0"/>
        <v>4.4181990307535557</v>
      </c>
      <c r="J4" s="148" t="s">
        <v>111</v>
      </c>
    </row>
    <row r="5" spans="1:10" ht="19.5" customHeight="1" x14ac:dyDescent="0.25">
      <c r="A5" s="149" t="s">
        <v>3</v>
      </c>
      <c r="B5" s="149">
        <f>[3]ANÁLISE_CUSTOS!$B4</f>
        <v>0</v>
      </c>
      <c r="C5" s="149">
        <f>B5/'SEM IMPREVISTOS'!$G$2</f>
        <v>0</v>
      </c>
      <c r="D5" s="149">
        <f>[2]Versões!$D5</f>
        <v>0</v>
      </c>
      <c r="E5" s="149">
        <f>D5/'SEM IMPREVISTOS'!$G$2</f>
        <v>0</v>
      </c>
      <c r="F5" s="149"/>
      <c r="G5" s="149">
        <f>F5/'SEM IMPREVISTOS'!$G$2</f>
        <v>0</v>
      </c>
      <c r="H5" s="149">
        <f t="shared" si="0"/>
        <v>0</v>
      </c>
      <c r="I5" s="149">
        <f t="shared" si="0"/>
        <v>0</v>
      </c>
      <c r="J5" s="149"/>
    </row>
    <row r="6" spans="1:10" ht="19.5" customHeight="1" x14ac:dyDescent="0.25">
      <c r="A6" s="148" t="s">
        <v>105</v>
      </c>
      <c r="B6" s="148">
        <f>[3]ANÁLISE_CUSTOS!$B5</f>
        <v>0</v>
      </c>
      <c r="C6" s="148">
        <f>B6/'SEM IMPREVISTOS'!$G$2</f>
        <v>0</v>
      </c>
      <c r="D6" s="148">
        <f>[2]Versões!$D6</f>
        <v>0</v>
      </c>
      <c r="E6" s="148">
        <f>D6/'SEM IMPREVISTOS'!$G$2</f>
        <v>0</v>
      </c>
      <c r="F6" s="148"/>
      <c r="G6" s="148">
        <f>F6/'SEM IMPREVISTOS'!$G$2</f>
        <v>0</v>
      </c>
      <c r="H6" s="148">
        <f t="shared" ref="H6:H9" si="1">F6-B6</f>
        <v>0</v>
      </c>
      <c r="I6" s="148">
        <f t="shared" ref="I6:I10" si="2">G6-C6</f>
        <v>0</v>
      </c>
      <c r="J6" s="148"/>
    </row>
    <row r="7" spans="1:10" ht="19.5" customHeight="1" x14ac:dyDescent="0.25">
      <c r="A7" s="149" t="s">
        <v>106</v>
      </c>
      <c r="B7" s="149">
        <f>[3]ANÁLISE_CUSTOS!$B6</f>
        <v>17779417.467750378</v>
      </c>
      <c r="C7" s="149">
        <f>B7/'SEM IMPREVISTOS'!$G$2</f>
        <v>1139.4980704006241</v>
      </c>
      <c r="D7" s="149">
        <f>[2]Versões!$D7</f>
        <v>18771638.048205078</v>
      </c>
      <c r="E7" s="149">
        <f>D7/'SEM IMPREVISTOS'!$G$2</f>
        <v>1203.0903359453612</v>
      </c>
      <c r="F7" s="149">
        <f>'GER_EXECUTIVO MEGA'!B4</f>
        <v>18749746.800203342</v>
      </c>
      <c r="G7" s="149">
        <f>F7/'SEM IMPREVISTOS'!$G$2</f>
        <v>1201.6873071396151</v>
      </c>
      <c r="H7" s="149">
        <f t="shared" si="1"/>
        <v>970329.33245296404</v>
      </c>
      <c r="I7" s="149">
        <f t="shared" si="2"/>
        <v>62.189236738990985</v>
      </c>
      <c r="J7" s="149" t="s">
        <v>112</v>
      </c>
    </row>
    <row r="8" spans="1:10" ht="38.25" customHeight="1" x14ac:dyDescent="0.25">
      <c r="A8" s="148" t="s">
        <v>37</v>
      </c>
      <c r="B8" s="148">
        <f>[3]ANÁLISE_CUSTOS!$B7</f>
        <v>3443813.4084999999</v>
      </c>
      <c r="C8" s="148">
        <f>B8/'SEM IMPREVISTOS'!$G$2</f>
        <v>220.71694648734044</v>
      </c>
      <c r="D8" s="148">
        <f>[2]Versões!$D8</f>
        <v>3180040.0703387442</v>
      </c>
      <c r="E8" s="148">
        <f>D8/'SEM IMPREVISTOS'!$G$2</f>
        <v>203.81148766659578</v>
      </c>
      <c r="F8" s="148">
        <f>'GER_EXECUTIVO MEGA'!B5</f>
        <v>3110673.7711449144</v>
      </c>
      <c r="G8" s="148">
        <f>F8/'SEM IMPREVISTOS'!$G$2</f>
        <v>199.36574222945899</v>
      </c>
      <c r="H8" s="148">
        <f t="shared" si="1"/>
        <v>-333139.63735508546</v>
      </c>
      <c r="I8" s="148">
        <f t="shared" si="2"/>
        <v>-21.351204257881449</v>
      </c>
      <c r="J8" s="148" t="s">
        <v>136</v>
      </c>
    </row>
    <row r="9" spans="1:10" ht="39" customHeight="1" x14ac:dyDescent="0.25">
      <c r="A9" s="149" t="s">
        <v>107</v>
      </c>
      <c r="B9" s="149">
        <f>[3]ANÁLISE_CUSTOS!$B8</f>
        <v>5989391.9512</v>
      </c>
      <c r="C9" s="149">
        <f>B9/'SEM IMPREVISTOS'!$G$2</f>
        <v>383.86525225840148</v>
      </c>
      <c r="D9" s="149">
        <f>[2]Versões!$D9</f>
        <v>5644076.6621364187</v>
      </c>
      <c r="E9" s="149">
        <f>D9/'SEM IMPREVISTOS'!$G$2</f>
        <v>361.73370006994998</v>
      </c>
      <c r="F9" s="149">
        <f>'GER_EXECUTIVO MEGA'!B6</f>
        <v>6469375.6182627501</v>
      </c>
      <c r="G9" s="149">
        <f>F9/'SEM IMPREVISTOS'!$G$2</f>
        <v>414.62781596072193</v>
      </c>
      <c r="H9" s="149">
        <f t="shared" si="1"/>
        <v>479983.66706275009</v>
      </c>
      <c r="I9" s="149">
        <f t="shared" si="2"/>
        <v>30.762563702320449</v>
      </c>
      <c r="J9" s="149" t="s">
        <v>214</v>
      </c>
    </row>
    <row r="10" spans="1:10" ht="39" customHeight="1" x14ac:dyDescent="0.25">
      <c r="A10" s="148" t="s">
        <v>20</v>
      </c>
      <c r="B10" s="148">
        <f>[3]ANÁLISE_CUSTOS!$B9</f>
        <v>2674089.7999999998</v>
      </c>
      <c r="C10" s="148">
        <f>B10/'SEM IMPREVISTOS'!$G$2</f>
        <v>171.38470215377316</v>
      </c>
      <c r="D10" s="148">
        <f>[2]Versões!$D10</f>
        <v>2594727.6316552144</v>
      </c>
      <c r="E10" s="148">
        <f>D10/'SEM IMPREVISTOS'!$G$2</f>
        <v>166.29831291432106</v>
      </c>
      <c r="F10" s="148">
        <f>'GER_EXECUTIVO MEGA'!B7</f>
        <v>2701000.7036312595</v>
      </c>
      <c r="G10" s="148">
        <f>F10/'SEM IMPREVISTOS'!$G$2</f>
        <v>173.10944498160654</v>
      </c>
      <c r="H10" s="148">
        <f>F10-B10</f>
        <v>26910.903631259687</v>
      </c>
      <c r="I10" s="148">
        <f t="shared" si="2"/>
        <v>1.7247428278333814</v>
      </c>
      <c r="J10" s="148" t="s">
        <v>215</v>
      </c>
    </row>
    <row r="11" spans="1:10" ht="19.5" customHeight="1" x14ac:dyDescent="0.25">
      <c r="A11" s="149" t="s">
        <v>7</v>
      </c>
      <c r="B11" s="149">
        <f>[3]ANÁLISE_CUSTOS!$B10</f>
        <v>584238.34439999994</v>
      </c>
      <c r="C11" s="149">
        <f>B11/'SEM IMPREVISTOS'!$G$2</f>
        <v>37.444335131081814</v>
      </c>
      <c r="D11" s="149">
        <f>[2]Versões!$D11</f>
        <v>820308.0066870529</v>
      </c>
      <c r="E11" s="149">
        <f>D11/'SEM IMPREVISTOS'!$G$2</f>
        <v>52.574241672966984</v>
      </c>
      <c r="F11" s="149">
        <f>'GER_EXECUTIVO MEGA'!B8</f>
        <v>820493.65955901972</v>
      </c>
      <c r="G11" s="149">
        <f>F11/'SEM IMPREVISTOS'!$G$2</f>
        <v>52.586140324300992</v>
      </c>
      <c r="H11" s="149">
        <f t="shared" ref="H11:H19" si="3">F11-B11</f>
        <v>236255.31515901978</v>
      </c>
      <c r="I11" s="149">
        <f t="shared" ref="I11:I19" si="4">G11-C11</f>
        <v>15.141805193219177</v>
      </c>
      <c r="J11" s="149" t="s">
        <v>113</v>
      </c>
    </row>
    <row r="12" spans="1:10" ht="19.5" customHeight="1" x14ac:dyDescent="0.25">
      <c r="A12" s="148" t="s">
        <v>108</v>
      </c>
      <c r="B12" s="148">
        <f>[3]ANÁLISE_CUSTOS!$B11</f>
        <v>1770784.6070999999</v>
      </c>
      <c r="C12" s="148">
        <f>B12/'SEM IMPREVISTOS'!$G$2</f>
        <v>113.49109983752967</v>
      </c>
      <c r="D12" s="148">
        <f>[2]Versões!$D12</f>
        <v>2224244.0715656173</v>
      </c>
      <c r="E12" s="148">
        <f>D12/'SEM IMPREVISTOS'!$G$2</f>
        <v>142.55370471199925</v>
      </c>
      <c r="F12" s="148">
        <f>'GER_EXECUTIVO MEGA'!B9</f>
        <v>2542675.6698656175</v>
      </c>
      <c r="G12" s="148">
        <f>F12/'SEM IMPREVISTOS'!$G$2</f>
        <v>162.9622581685793</v>
      </c>
      <c r="H12" s="148">
        <f t="shared" si="3"/>
        <v>771891.06276561762</v>
      </c>
      <c r="I12" s="148">
        <f t="shared" si="4"/>
        <v>49.471158331049622</v>
      </c>
      <c r="J12" s="148" t="s">
        <v>137</v>
      </c>
    </row>
    <row r="13" spans="1:10" ht="19.5" x14ac:dyDescent="0.25">
      <c r="A13" s="149" t="s">
        <v>96</v>
      </c>
      <c r="B13" s="149">
        <f>[3]ANÁLISE_CUSTOS!$B12</f>
        <v>1322855.6975999998</v>
      </c>
      <c r="C13" s="149">
        <f>B13/'SEM IMPREVISTOS'!$G$2</f>
        <v>84.782952960516823</v>
      </c>
      <c r="D13" s="149">
        <f>[2]Versões!$D13</f>
        <v>501609.28036217537</v>
      </c>
      <c r="E13" s="149">
        <f>D13/'SEM IMPREVISTOS'!$G$2</f>
        <v>32.148567752825628</v>
      </c>
      <c r="F13" s="149">
        <f>'GER_EXECUTIVO MEGA'!B10</f>
        <v>585077.05261241295</v>
      </c>
      <c r="G13" s="149">
        <f>F13/'SEM IMPREVISTOS'!$G$2</f>
        <v>37.498088657675552</v>
      </c>
      <c r="H13" s="149">
        <f t="shared" si="3"/>
        <v>-737778.64498758689</v>
      </c>
      <c r="I13" s="149">
        <f t="shared" si="4"/>
        <v>-47.284864302841271</v>
      </c>
      <c r="J13" s="149" t="s">
        <v>138</v>
      </c>
    </row>
    <row r="14" spans="1:10" ht="51" customHeight="1" x14ac:dyDescent="0.25">
      <c r="A14" s="148" t="s">
        <v>18</v>
      </c>
      <c r="B14" s="148">
        <f>[3]ANÁLISE_CUSTOS!$B13</f>
        <v>1139432.2263999998</v>
      </c>
      <c r="C14" s="148">
        <f>B14/'SEM IMPREVISTOS'!$G$2</f>
        <v>73.027185828230088</v>
      </c>
      <c r="D14" s="148">
        <f>[2]Versões!$D14</f>
        <v>1653498.0991348654</v>
      </c>
      <c r="E14" s="148">
        <f>D14/'SEM IMPREVISTOS'!$G$2</f>
        <v>105.97410723905347</v>
      </c>
      <c r="F14" s="148">
        <f>'GER_EXECUTIVO MEGA'!B11</f>
        <v>1688185.9781622028</v>
      </c>
      <c r="G14" s="148">
        <f>F14/'SEM IMPREVISTOS'!$G$2</f>
        <v>108.19728307086223</v>
      </c>
      <c r="H14" s="148">
        <f t="shared" si="3"/>
        <v>548753.75176220294</v>
      </c>
      <c r="I14" s="148">
        <f t="shared" si="4"/>
        <v>35.170097242632139</v>
      </c>
      <c r="J14" s="148" t="s">
        <v>148</v>
      </c>
    </row>
    <row r="15" spans="1:10" ht="52.5" customHeight="1" x14ac:dyDescent="0.25">
      <c r="A15" s="149" t="s">
        <v>56</v>
      </c>
      <c r="B15" s="149">
        <f>[3]ANÁLISE_CUSTOS!$B14</f>
        <v>2973237.5630880003</v>
      </c>
      <c r="C15" s="149">
        <f>B15/'SEM IMPREVISTOS'!$G$2</f>
        <v>190.55733812015114</v>
      </c>
      <c r="D15" s="149">
        <f>[2]Versões!$D15</f>
        <v>2334975.1159445313</v>
      </c>
      <c r="E15" s="149">
        <f>D15/'SEM IMPREVISTOS'!$G$2</f>
        <v>149.65055204302618</v>
      </c>
      <c r="F15" s="149">
        <f>'GER_EXECUTIVO MEGA'!B12</f>
        <v>2558866.3451860095</v>
      </c>
      <c r="G15" s="149">
        <f>F15/'SEM IMPREVISTOS'!$G$2</f>
        <v>163.99993239606928</v>
      </c>
      <c r="H15" s="149">
        <f t="shared" si="3"/>
        <v>-414371.21790199075</v>
      </c>
      <c r="I15" s="149">
        <f t="shared" si="4"/>
        <v>-26.55740572408186</v>
      </c>
      <c r="J15" s="149" t="s">
        <v>149</v>
      </c>
    </row>
    <row r="16" spans="1:10" ht="32.25" customHeight="1" x14ac:dyDescent="0.25">
      <c r="A16" s="148" t="s">
        <v>109</v>
      </c>
      <c r="B16" s="148">
        <f>[3]ANÁLISE_CUSTOS!$B15</f>
        <v>2806557.2601000001</v>
      </c>
      <c r="C16" s="148">
        <f>B16/'SEM IMPREVISTOS'!$G$2</f>
        <v>179.87465495726741</v>
      </c>
      <c r="D16" s="148">
        <f>[2]Versões!$D16</f>
        <v>3897130.1511801351</v>
      </c>
      <c r="E16" s="148">
        <f>D16/'SEM IMPREVISTOS'!$G$2</f>
        <v>249.7704042005233</v>
      </c>
      <c r="F16" s="148">
        <f>'GER_EXECUTIVO MEGA'!B13</f>
        <v>3898012.1533050649</v>
      </c>
      <c r="G16" s="148">
        <f>F16/'SEM IMPREVISTOS'!$G$2</f>
        <v>249.82693247099502</v>
      </c>
      <c r="H16" s="148">
        <f t="shared" si="3"/>
        <v>1091454.8932050648</v>
      </c>
      <c r="I16" s="148">
        <f t="shared" si="4"/>
        <v>69.952277513727608</v>
      </c>
      <c r="J16" s="148" t="s">
        <v>145</v>
      </c>
    </row>
    <row r="17" spans="1:10" ht="33.75" customHeight="1" x14ac:dyDescent="0.25">
      <c r="A17" s="149" t="s">
        <v>10</v>
      </c>
      <c r="B17" s="149">
        <f>[3]ANÁLISE_CUSTOS!$B16</f>
        <v>3656203.8515660008</v>
      </c>
      <c r="C17" s="149">
        <f>B17/'SEM IMPREVISTOS'!$G$2</f>
        <v>234.3292316189671</v>
      </c>
      <c r="D17" s="149">
        <f>[2]Versões!$D17</f>
        <v>4762410.9568786398</v>
      </c>
      <c r="E17" s="149">
        <f>D17/'SEM IMPREVISTOS'!$G$2</f>
        <v>305.22699102270673</v>
      </c>
      <c r="F17" s="149">
        <f>'GER_EXECUTIVO MEGA'!B14</f>
        <v>5085026.2833178537</v>
      </c>
      <c r="G17" s="149">
        <f>F17/'SEM IMPREVISTOS'!$G$2</f>
        <v>325.9036831936379</v>
      </c>
      <c r="H17" s="149">
        <f t="shared" si="3"/>
        <v>1428822.4317518529</v>
      </c>
      <c r="I17" s="149">
        <f t="shared" si="4"/>
        <v>91.574451574670803</v>
      </c>
      <c r="J17" s="149" t="s">
        <v>146</v>
      </c>
    </row>
    <row r="18" spans="1:10" ht="19.5" customHeight="1" x14ac:dyDescent="0.25">
      <c r="A18" s="148" t="s">
        <v>11</v>
      </c>
      <c r="B18" s="148">
        <f>[3]ANÁLISE_CUSTOS!$B17</f>
        <v>0</v>
      </c>
      <c r="C18" s="148">
        <f>B18/'SEM IMPREVISTOS'!$G$2</f>
        <v>0</v>
      </c>
      <c r="D18" s="148">
        <f>[2]Versões!$D18</f>
        <v>0</v>
      </c>
      <c r="E18" s="148">
        <f>D18/'SEM IMPREVISTOS'!$G$2</f>
        <v>0</v>
      </c>
      <c r="F18" s="148"/>
      <c r="G18" s="148">
        <f>F18/'SEM IMPREVISTOS'!$G$2</f>
        <v>0</v>
      </c>
      <c r="H18" s="148">
        <f t="shared" si="3"/>
        <v>0</v>
      </c>
      <c r="I18" s="148">
        <f t="shared" si="4"/>
        <v>0</v>
      </c>
      <c r="J18" s="148"/>
    </row>
    <row r="19" spans="1:10" ht="52.5" customHeight="1" x14ac:dyDescent="0.25">
      <c r="A19" s="149" t="s">
        <v>12</v>
      </c>
      <c r="B19" s="149">
        <f>[3]ANÁLISE_CUSTOS!$B18</f>
        <v>2711159.5100000002</v>
      </c>
      <c r="C19" s="149">
        <f>B19/'SEM IMPREVISTOS'!$G$2</f>
        <v>173.76053156955302</v>
      </c>
      <c r="D19" s="149">
        <f>[2]Versões!$D19</f>
        <v>2494269.7018522541</v>
      </c>
      <c r="E19" s="149">
        <f>D19/'SEM IMPREVISTOS'!$G$2</f>
        <v>159.85987828199683</v>
      </c>
      <c r="F19" s="149">
        <f>'GER_EXECUTIVO MEGA'!B15</f>
        <v>2521062.4708991088</v>
      </c>
      <c r="G19" s="149">
        <f>F19/'SEM IMPREVISTOS'!$G$2</f>
        <v>161.57704976328739</v>
      </c>
      <c r="H19" s="149">
        <f t="shared" si="3"/>
        <v>-190097.03910089144</v>
      </c>
      <c r="I19" s="149">
        <f t="shared" si="4"/>
        <v>-12.183481806265632</v>
      </c>
      <c r="J19" s="149" t="s">
        <v>147</v>
      </c>
    </row>
    <row r="20" spans="1:10" ht="19.5" customHeight="1" thickBot="1" x14ac:dyDescent="0.65">
      <c r="A20" s="146" t="s">
        <v>13</v>
      </c>
      <c r="B20" s="116">
        <f t="shared" ref="B20:I20" si="5">SUM(B3:B19)</f>
        <v>56032825.53242486</v>
      </c>
      <c r="C20" s="135">
        <f t="shared" si="5"/>
        <v>3591.1917074396579</v>
      </c>
      <c r="D20" s="116">
        <f t="shared" ref="D20:E20" si="6">SUM(D3:D19)</f>
        <v>57827495.173458673</v>
      </c>
      <c r="E20" s="135">
        <f t="shared" si="6"/>
        <v>3706.2136195283988</v>
      </c>
      <c r="F20" s="116">
        <f>SUM(F3:F19)</f>
        <v>59859419.920860693</v>
      </c>
      <c r="G20" s="135">
        <f t="shared" si="5"/>
        <v>3836.4414142839728</v>
      </c>
      <c r="H20" s="116">
        <f>SUM(H3:H19)</f>
        <v>3826594.3884358257</v>
      </c>
      <c r="I20" s="135">
        <f t="shared" si="5"/>
        <v>245.24970684431545</v>
      </c>
      <c r="J20" s="230"/>
    </row>
    <row r="21" spans="1:10" ht="21.75" customHeight="1" x14ac:dyDescent="0.6">
      <c r="A21" s="109"/>
      <c r="B21" s="109"/>
      <c r="C21" s="109"/>
      <c r="D21" s="109"/>
      <c r="E21" s="109"/>
      <c r="F21" s="109"/>
      <c r="G21" s="109"/>
      <c r="H21" s="109"/>
      <c r="I21" s="109"/>
    </row>
    <row r="22" spans="1:10" ht="21.75" customHeight="1" x14ac:dyDescent="0.6">
      <c r="A22" s="109"/>
      <c r="B22" s="109"/>
      <c r="C22" s="109"/>
      <c r="D22" s="109"/>
      <c r="E22" s="109"/>
      <c r="F22" s="109"/>
      <c r="G22" s="109"/>
      <c r="H22" s="109"/>
      <c r="I22" s="109"/>
    </row>
    <row r="23" spans="1:10" ht="21.75" customHeight="1" x14ac:dyDescent="0.6">
      <c r="A23" s="109"/>
      <c r="B23" s="109"/>
      <c r="C23" s="109"/>
      <c r="D23" s="109"/>
      <c r="E23" s="109"/>
      <c r="F23" s="109"/>
      <c r="G23" s="109"/>
      <c r="H23" s="109"/>
      <c r="I23" s="109"/>
    </row>
    <row r="24" spans="1:10" ht="21.75" customHeight="1" x14ac:dyDescent="0.6">
      <c r="A24" s="109"/>
      <c r="B24" s="109"/>
      <c r="C24" s="109"/>
      <c r="D24" s="109"/>
      <c r="E24" s="109"/>
      <c r="F24" s="109"/>
      <c r="G24" s="109"/>
      <c r="H24" s="109"/>
      <c r="I24" s="109"/>
    </row>
    <row r="25" spans="1:10" ht="21.75" customHeight="1" x14ac:dyDescent="0.6">
      <c r="A25" s="109"/>
      <c r="B25" s="109"/>
      <c r="C25" s="109"/>
      <c r="D25" s="109"/>
      <c r="E25" s="109"/>
      <c r="F25" s="109"/>
      <c r="G25" s="109"/>
      <c r="H25" s="109"/>
      <c r="I25" s="109"/>
      <c r="J25" s="232"/>
    </row>
    <row r="26" spans="1:10" ht="21.75" customHeight="1" x14ac:dyDescent="0.6">
      <c r="A26" s="109"/>
      <c r="B26" s="109"/>
      <c r="C26" s="109"/>
      <c r="D26" s="109"/>
      <c r="E26" s="109"/>
      <c r="F26" s="109"/>
      <c r="G26" s="109"/>
      <c r="H26" s="109"/>
      <c r="I26" s="109"/>
      <c r="J26" s="232"/>
    </row>
    <row r="27" spans="1:10" ht="21.75" customHeight="1" x14ac:dyDescent="0.6">
      <c r="A27" s="109"/>
      <c r="B27" s="109"/>
      <c r="C27" s="109"/>
      <c r="D27" s="109"/>
      <c r="E27" s="109"/>
      <c r="F27" s="109"/>
      <c r="G27" s="109"/>
      <c r="H27" s="109"/>
      <c r="I27" s="109"/>
      <c r="J27" s="232"/>
    </row>
    <row r="28" spans="1:10" ht="21.75" customHeight="1" x14ac:dyDescent="0.6">
      <c r="A28" s="109"/>
      <c r="B28" s="109"/>
      <c r="C28" s="109"/>
      <c r="D28" s="109"/>
      <c r="E28" s="109"/>
      <c r="F28" s="109"/>
      <c r="G28" s="109"/>
      <c r="H28" s="109"/>
      <c r="I28" s="109"/>
      <c r="J28" s="232"/>
    </row>
    <row r="29" spans="1:10" ht="21.75" customHeight="1" x14ac:dyDescent="0.6">
      <c r="A29" s="109"/>
      <c r="B29" s="109"/>
      <c r="C29" s="109"/>
      <c r="D29" s="109"/>
      <c r="E29" s="109"/>
      <c r="F29" s="109"/>
      <c r="G29" s="109"/>
      <c r="H29" s="109"/>
      <c r="I29" s="109"/>
      <c r="J29" s="232"/>
    </row>
    <row r="30" spans="1:10" ht="21.75" customHeight="1" x14ac:dyDescent="0.6">
      <c r="A30" s="109"/>
      <c r="B30" s="109"/>
      <c r="C30" s="109"/>
      <c r="D30" s="109"/>
      <c r="E30" s="109"/>
      <c r="F30" s="109"/>
      <c r="G30" s="109"/>
      <c r="H30" s="109"/>
      <c r="I30" s="109"/>
    </row>
    <row r="31" spans="1:10" ht="21.75" customHeight="1" x14ac:dyDescent="0.6">
      <c r="A31" s="109"/>
      <c r="B31" s="109"/>
      <c r="C31" s="109"/>
      <c r="D31" s="109"/>
      <c r="E31" s="109"/>
      <c r="F31" s="109"/>
      <c r="G31" s="109"/>
      <c r="H31" s="109"/>
      <c r="I31" s="109"/>
    </row>
    <row r="32" spans="1:10" ht="21.75" customHeight="1" x14ac:dyDescent="0.6">
      <c r="A32" s="109"/>
      <c r="B32" s="109"/>
      <c r="C32" s="109"/>
      <c r="D32" s="109"/>
      <c r="E32" s="109"/>
      <c r="F32" s="109"/>
      <c r="G32" s="109"/>
      <c r="H32" s="109"/>
      <c r="I32" s="109"/>
    </row>
    <row r="33" spans="1:9" ht="21.75" customHeight="1" x14ac:dyDescent="0.6">
      <c r="A33" s="109"/>
      <c r="B33" s="109"/>
      <c r="C33" s="109"/>
      <c r="D33" s="109"/>
      <c r="E33" s="109"/>
      <c r="F33" s="109"/>
      <c r="G33" s="109"/>
      <c r="H33" s="109"/>
      <c r="I33" s="109"/>
    </row>
    <row r="34" spans="1:9" ht="21.75" customHeight="1" x14ac:dyDescent="0.6">
      <c r="A34" s="109"/>
      <c r="B34" s="109"/>
      <c r="C34" s="109"/>
      <c r="D34" s="109"/>
      <c r="E34" s="109"/>
      <c r="F34" s="109"/>
      <c r="G34" s="109"/>
      <c r="H34" s="109"/>
      <c r="I34" s="109"/>
    </row>
    <row r="35" spans="1:9" ht="21.75" customHeight="1" x14ac:dyDescent="0.6">
      <c r="A35" s="109"/>
      <c r="B35" s="109"/>
      <c r="C35" s="109"/>
      <c r="D35" s="109"/>
      <c r="E35" s="109"/>
      <c r="F35" s="109"/>
      <c r="G35" s="109"/>
      <c r="H35" s="109"/>
      <c r="I35" s="109"/>
    </row>
    <row r="36" spans="1:9" ht="21.75" customHeight="1" x14ac:dyDescent="0.6">
      <c r="A36" s="109"/>
      <c r="B36" s="109"/>
      <c r="C36" s="109"/>
      <c r="D36" s="109"/>
      <c r="E36" s="109"/>
      <c r="F36" s="109"/>
      <c r="G36" s="109"/>
      <c r="H36" s="109"/>
      <c r="I36" s="109"/>
    </row>
    <row r="37" spans="1:9" ht="21.75" customHeight="1" x14ac:dyDescent="0.6">
      <c r="A37" s="109"/>
      <c r="B37" s="109"/>
      <c r="C37" s="109"/>
      <c r="D37" s="109"/>
      <c r="E37" s="109"/>
      <c r="F37" s="109"/>
      <c r="G37" s="109"/>
      <c r="H37" s="109"/>
      <c r="I37" s="109"/>
    </row>
    <row r="38" spans="1:9" ht="21.75" customHeight="1" x14ac:dyDescent="0.6">
      <c r="A38" s="109"/>
      <c r="B38" s="109"/>
      <c r="C38" s="109"/>
      <c r="D38" s="109"/>
      <c r="E38" s="109"/>
      <c r="F38" s="109"/>
      <c r="G38" s="109"/>
      <c r="H38" s="109"/>
      <c r="I38" s="109"/>
    </row>
    <row r="39" spans="1:9" ht="21.75" customHeight="1" x14ac:dyDescent="0.6">
      <c r="A39" s="109"/>
      <c r="B39" s="109"/>
      <c r="C39" s="109"/>
      <c r="D39" s="109"/>
      <c r="E39" s="109"/>
      <c r="F39" s="109"/>
      <c r="G39" s="109"/>
      <c r="H39" s="109"/>
      <c r="I39" s="109"/>
    </row>
    <row r="40" spans="1:9" ht="21.75" customHeight="1" x14ac:dyDescent="0.6">
      <c r="A40" s="109"/>
      <c r="B40" s="109"/>
      <c r="C40" s="109"/>
      <c r="D40" s="109"/>
      <c r="E40" s="109"/>
      <c r="F40" s="109"/>
      <c r="G40" s="109"/>
      <c r="H40" s="109"/>
      <c r="I40" s="109"/>
    </row>
    <row r="41" spans="1:9" ht="21.75" customHeight="1" x14ac:dyDescent="0.6">
      <c r="A41" s="109"/>
      <c r="B41" s="109"/>
      <c r="C41" s="109"/>
      <c r="D41" s="109"/>
      <c r="E41" s="109"/>
      <c r="F41" s="109"/>
      <c r="G41" s="109"/>
      <c r="H41" s="109"/>
      <c r="I41" s="109"/>
    </row>
    <row r="42" spans="1:9" ht="21.75" customHeight="1" x14ac:dyDescent="0.6">
      <c r="A42" s="109"/>
      <c r="B42" s="109"/>
      <c r="C42" s="109"/>
      <c r="D42" s="109"/>
      <c r="E42" s="109"/>
      <c r="F42" s="109"/>
      <c r="G42" s="109"/>
      <c r="H42" s="109"/>
      <c r="I42" s="109"/>
    </row>
    <row r="43" spans="1:9" ht="21.75" customHeight="1" x14ac:dyDescent="0.6">
      <c r="A43" s="109"/>
      <c r="B43" s="109"/>
      <c r="C43" s="109"/>
      <c r="D43" s="109"/>
      <c r="E43" s="109"/>
      <c r="F43" s="109"/>
      <c r="G43" s="109"/>
      <c r="H43" s="109"/>
      <c r="I43" s="109"/>
    </row>
    <row r="44" spans="1:9" ht="21.75" customHeight="1" x14ac:dyDescent="0.6">
      <c r="A44" s="109"/>
      <c r="B44" s="109"/>
      <c r="C44" s="109"/>
      <c r="D44" s="109"/>
      <c r="E44" s="109"/>
      <c r="F44" s="109"/>
      <c r="G44" s="109"/>
      <c r="H44" s="109"/>
      <c r="I44" s="109"/>
    </row>
    <row r="45" spans="1:9" ht="21.75" customHeight="1" x14ac:dyDescent="0.6">
      <c r="A45" s="109"/>
      <c r="B45" s="109"/>
      <c r="C45" s="109"/>
      <c r="D45" s="109"/>
      <c r="E45" s="109"/>
      <c r="F45" s="109"/>
      <c r="G45" s="109"/>
      <c r="H45" s="109"/>
      <c r="I45" s="109"/>
    </row>
    <row r="46" spans="1:9" ht="21.75" customHeight="1" x14ac:dyDescent="0.6">
      <c r="A46" s="109"/>
      <c r="B46" s="109"/>
      <c r="C46" s="109"/>
      <c r="D46" s="109"/>
      <c r="E46" s="109"/>
      <c r="F46" s="109"/>
      <c r="G46" s="109"/>
      <c r="H46" s="109"/>
      <c r="I46" s="109"/>
    </row>
    <row r="47" spans="1:9" ht="21.75" customHeight="1" x14ac:dyDescent="0.6">
      <c r="A47" s="109"/>
      <c r="B47" s="109"/>
      <c r="C47" s="109"/>
      <c r="D47" s="109"/>
      <c r="E47" s="109"/>
      <c r="F47" s="109"/>
      <c r="G47" s="109"/>
      <c r="H47" s="109"/>
      <c r="I47" s="109"/>
    </row>
    <row r="48" spans="1:9" ht="21.75" customHeight="1" x14ac:dyDescent="0.6">
      <c r="A48" s="109"/>
      <c r="B48" s="109"/>
      <c r="C48" s="109"/>
      <c r="D48" s="109"/>
      <c r="E48" s="109"/>
      <c r="F48" s="109"/>
      <c r="G48" s="109"/>
      <c r="H48" s="109"/>
      <c r="I48" s="109"/>
    </row>
    <row r="49" spans="1:9" ht="21.75" customHeight="1" x14ac:dyDescent="0.6">
      <c r="A49" s="109"/>
      <c r="B49" s="109"/>
      <c r="C49" s="109"/>
      <c r="D49" s="109"/>
      <c r="E49" s="109"/>
      <c r="F49" s="109"/>
      <c r="G49" s="109"/>
      <c r="H49" s="109"/>
      <c r="I49" s="109"/>
    </row>
    <row r="50" spans="1:9" ht="21.75" customHeight="1" x14ac:dyDescent="0.6">
      <c r="A50" s="109"/>
      <c r="B50" s="109"/>
      <c r="C50" s="109"/>
      <c r="D50" s="109"/>
      <c r="E50" s="109"/>
      <c r="F50" s="109"/>
      <c r="G50" s="109"/>
      <c r="H50" s="109"/>
      <c r="I50" s="109"/>
    </row>
    <row r="51" spans="1:9" ht="21.75" customHeight="1" x14ac:dyDescent="0.6">
      <c r="A51" s="109"/>
      <c r="B51" s="109"/>
      <c r="C51" s="109"/>
      <c r="D51" s="109"/>
      <c r="E51" s="109"/>
      <c r="F51" s="109"/>
      <c r="G51" s="109"/>
      <c r="H51" s="109"/>
      <c r="I51" s="109"/>
    </row>
    <row r="52" spans="1:9" ht="21.75" customHeight="1" x14ac:dyDescent="0.6">
      <c r="A52" s="109"/>
      <c r="B52" s="109"/>
      <c r="C52" s="109"/>
      <c r="D52" s="109"/>
      <c r="E52" s="109"/>
      <c r="F52" s="109"/>
      <c r="G52" s="109"/>
      <c r="H52" s="109"/>
      <c r="I52" s="109"/>
    </row>
    <row r="53" spans="1:9" ht="21.75" customHeight="1" x14ac:dyDescent="0.6">
      <c r="A53" s="109"/>
      <c r="B53" s="109"/>
      <c r="C53" s="109"/>
      <c r="D53" s="109"/>
      <c r="E53" s="109"/>
      <c r="F53" s="109"/>
      <c r="G53" s="109"/>
      <c r="H53" s="109"/>
      <c r="I53" s="109"/>
    </row>
    <row r="54" spans="1:9" ht="21.75" customHeight="1" x14ac:dyDescent="0.6">
      <c r="A54" s="109"/>
      <c r="B54" s="109"/>
      <c r="C54" s="109"/>
      <c r="D54" s="109"/>
      <c r="E54" s="109"/>
      <c r="F54" s="109"/>
      <c r="G54" s="109"/>
      <c r="H54" s="109"/>
      <c r="I54" s="109"/>
    </row>
    <row r="55" spans="1:9" ht="21.75" customHeight="1" x14ac:dyDescent="0.6">
      <c r="A55" s="109"/>
      <c r="B55" s="109"/>
      <c r="C55" s="109"/>
      <c r="D55" s="109"/>
      <c r="E55" s="109"/>
      <c r="F55" s="109"/>
      <c r="G55" s="109"/>
      <c r="H55" s="109"/>
      <c r="I55" s="109"/>
    </row>
    <row r="56" spans="1:9" ht="21.75" customHeight="1" x14ac:dyDescent="0.6">
      <c r="A56" s="109"/>
      <c r="B56" s="109"/>
      <c r="C56" s="109"/>
      <c r="D56" s="109"/>
      <c r="E56" s="109"/>
      <c r="F56" s="109"/>
      <c r="G56" s="109"/>
      <c r="H56" s="109"/>
      <c r="I56" s="109"/>
    </row>
    <row r="57" spans="1:9" ht="21.75" customHeight="1" x14ac:dyDescent="0.6">
      <c r="A57" s="109"/>
      <c r="B57" s="109"/>
      <c r="C57" s="109"/>
      <c r="D57" s="109"/>
      <c r="E57" s="109"/>
      <c r="F57" s="109"/>
      <c r="G57" s="109"/>
      <c r="H57" s="109"/>
      <c r="I57" s="109"/>
    </row>
    <row r="58" spans="1:9" ht="21.75" customHeight="1" x14ac:dyDescent="0.6">
      <c r="A58" s="109"/>
      <c r="B58" s="109"/>
      <c r="C58" s="109"/>
      <c r="D58" s="109"/>
      <c r="E58" s="109"/>
      <c r="F58" s="109"/>
      <c r="G58" s="109"/>
      <c r="H58" s="109"/>
      <c r="I58" s="109"/>
    </row>
    <row r="59" spans="1:9" ht="21.75" customHeight="1" x14ac:dyDescent="0.6">
      <c r="A59" s="109"/>
      <c r="B59" s="109"/>
      <c r="C59" s="109"/>
      <c r="D59" s="109"/>
      <c r="E59" s="109"/>
      <c r="F59" s="109"/>
      <c r="G59" s="109"/>
      <c r="H59" s="109"/>
      <c r="I59" s="109"/>
    </row>
    <row r="60" spans="1:9" ht="21.75" customHeight="1" x14ac:dyDescent="0.6">
      <c r="A60" s="109"/>
      <c r="B60" s="109"/>
      <c r="C60" s="109"/>
      <c r="D60" s="109"/>
      <c r="E60" s="109"/>
      <c r="F60" s="109"/>
      <c r="G60" s="109"/>
      <c r="H60" s="109"/>
      <c r="I60" s="109"/>
    </row>
    <row r="61" spans="1:9" ht="21.75" customHeight="1" x14ac:dyDescent="0.6">
      <c r="A61" s="109"/>
      <c r="B61" s="109"/>
      <c r="C61" s="109"/>
      <c r="D61" s="109"/>
      <c r="E61" s="109"/>
      <c r="F61" s="109"/>
      <c r="G61" s="109"/>
      <c r="H61" s="109"/>
      <c r="I61" s="109"/>
    </row>
    <row r="62" spans="1:9" ht="21.75" customHeight="1" x14ac:dyDescent="0.6">
      <c r="A62" s="109"/>
      <c r="B62" s="109"/>
      <c r="C62" s="109"/>
      <c r="D62" s="109"/>
      <c r="E62" s="109"/>
      <c r="F62" s="109"/>
      <c r="G62" s="109"/>
      <c r="H62" s="109"/>
      <c r="I62" s="109"/>
    </row>
    <row r="63" spans="1:9" ht="21.75" customHeight="1" x14ac:dyDescent="0.6">
      <c r="A63" s="109"/>
      <c r="B63" s="109"/>
      <c r="C63" s="109"/>
      <c r="D63" s="109"/>
      <c r="E63" s="109"/>
      <c r="F63" s="109"/>
      <c r="G63" s="109"/>
      <c r="H63" s="109"/>
      <c r="I63" s="109"/>
    </row>
    <row r="64" spans="1:9" ht="21.75" customHeight="1" x14ac:dyDescent="0.6">
      <c r="A64" s="109"/>
      <c r="B64" s="109"/>
      <c r="C64" s="109"/>
      <c r="D64" s="109"/>
      <c r="E64" s="109"/>
      <c r="F64" s="109"/>
      <c r="G64" s="109"/>
      <c r="H64" s="109"/>
      <c r="I64" s="109"/>
    </row>
    <row r="65" spans="1:9" ht="21.75" customHeight="1" x14ac:dyDescent="0.6">
      <c r="A65" s="109"/>
      <c r="B65" s="109"/>
      <c r="C65" s="109"/>
      <c r="D65" s="109"/>
      <c r="E65" s="109"/>
      <c r="F65" s="109"/>
      <c r="G65" s="109"/>
      <c r="H65" s="109"/>
      <c r="I65" s="109"/>
    </row>
    <row r="66" spans="1:9" ht="21.75" customHeight="1" x14ac:dyDescent="0.6">
      <c r="A66" s="109"/>
      <c r="B66" s="109"/>
      <c r="C66" s="109"/>
      <c r="D66" s="109"/>
      <c r="E66" s="109"/>
      <c r="F66" s="109"/>
      <c r="G66" s="109"/>
      <c r="H66" s="109"/>
      <c r="I66" s="109"/>
    </row>
    <row r="67" spans="1:9" ht="21.75" customHeight="1" x14ac:dyDescent="0.6">
      <c r="A67" s="109"/>
      <c r="B67" s="109"/>
      <c r="C67" s="109"/>
      <c r="D67" s="109"/>
      <c r="E67" s="109"/>
      <c r="F67" s="109"/>
      <c r="G67" s="109"/>
      <c r="H67" s="109"/>
      <c r="I67" s="109"/>
    </row>
    <row r="68" spans="1:9" ht="21.75" customHeight="1" x14ac:dyDescent="0.6">
      <c r="A68" s="109"/>
      <c r="B68" s="109"/>
      <c r="C68" s="109"/>
      <c r="D68" s="109"/>
      <c r="E68" s="109"/>
      <c r="F68" s="109"/>
      <c r="G68" s="109"/>
      <c r="H68" s="109"/>
      <c r="I68" s="109"/>
    </row>
    <row r="69" spans="1:9" ht="21.75" customHeight="1" x14ac:dyDescent="0.6">
      <c r="A69" s="109"/>
      <c r="B69" s="109"/>
      <c r="C69" s="109"/>
      <c r="D69" s="109"/>
      <c r="E69" s="109"/>
      <c r="F69" s="109"/>
      <c r="G69" s="109"/>
      <c r="H69" s="109"/>
      <c r="I69" s="109"/>
    </row>
    <row r="70" spans="1:9" ht="21.75" customHeight="1" x14ac:dyDescent="0.6">
      <c r="A70" s="109"/>
      <c r="B70" s="109"/>
      <c r="C70" s="109"/>
      <c r="D70" s="109"/>
      <c r="E70" s="109"/>
      <c r="F70" s="109"/>
      <c r="G70" s="109"/>
      <c r="H70" s="109"/>
      <c r="I70" s="109"/>
    </row>
    <row r="71" spans="1:9" ht="21.75" customHeight="1" x14ac:dyDescent="0.6">
      <c r="A71" s="109"/>
      <c r="B71" s="109"/>
      <c r="C71" s="109"/>
      <c r="D71" s="109"/>
      <c r="E71" s="109"/>
      <c r="F71" s="109"/>
      <c r="G71" s="109"/>
      <c r="H71" s="109"/>
      <c r="I71" s="109"/>
    </row>
    <row r="72" spans="1:9" ht="21.75" customHeight="1" x14ac:dyDescent="0.6">
      <c r="A72" s="109"/>
      <c r="B72" s="109"/>
      <c r="C72" s="109"/>
      <c r="D72" s="109"/>
      <c r="E72" s="109"/>
      <c r="F72" s="109"/>
      <c r="G72" s="109"/>
      <c r="H72" s="109"/>
      <c r="I72" s="109"/>
    </row>
    <row r="73" spans="1:9" ht="21.75" customHeight="1" x14ac:dyDescent="0.6">
      <c r="A73" s="109"/>
      <c r="B73" s="109"/>
      <c r="C73" s="109"/>
      <c r="D73" s="109"/>
      <c r="E73" s="109"/>
      <c r="F73" s="109"/>
      <c r="G73" s="109"/>
      <c r="H73" s="109"/>
      <c r="I73" s="109"/>
    </row>
    <row r="74" spans="1:9" ht="21.75" customHeight="1" x14ac:dyDescent="0.6">
      <c r="A74" s="109"/>
      <c r="B74" s="109"/>
      <c r="C74" s="109"/>
      <c r="D74" s="109"/>
      <c r="E74" s="109"/>
      <c r="F74" s="109"/>
      <c r="G74" s="109"/>
      <c r="H74" s="109"/>
      <c r="I74" s="109"/>
    </row>
    <row r="75" spans="1:9" ht="21.75" customHeight="1" x14ac:dyDescent="0.6">
      <c r="A75" s="109"/>
      <c r="B75" s="109"/>
      <c r="C75" s="109"/>
      <c r="D75" s="109"/>
      <c r="E75" s="109"/>
      <c r="F75" s="109"/>
      <c r="G75" s="109"/>
      <c r="H75" s="109"/>
      <c r="I75" s="109"/>
    </row>
    <row r="76" spans="1:9" ht="21.75" customHeight="1" x14ac:dyDescent="0.6">
      <c r="A76" s="109"/>
      <c r="B76" s="109"/>
      <c r="C76" s="109"/>
      <c r="D76" s="109"/>
      <c r="E76" s="109"/>
      <c r="F76" s="109"/>
      <c r="G76" s="109"/>
      <c r="H76" s="109"/>
      <c r="I76" s="109"/>
    </row>
    <row r="77" spans="1:9" ht="21.75" customHeight="1" x14ac:dyDescent="0.6">
      <c r="A77" s="109"/>
      <c r="B77" s="109"/>
      <c r="C77" s="109"/>
      <c r="D77" s="109"/>
      <c r="E77" s="109"/>
      <c r="F77" s="109"/>
      <c r="G77" s="109"/>
      <c r="H77" s="109"/>
      <c r="I77" s="109"/>
    </row>
    <row r="78" spans="1:9" ht="21.75" customHeight="1" x14ac:dyDescent="0.6">
      <c r="A78" s="109"/>
      <c r="B78" s="109"/>
      <c r="C78" s="109"/>
      <c r="D78" s="109"/>
      <c r="E78" s="109"/>
      <c r="F78" s="109"/>
      <c r="G78" s="109"/>
      <c r="H78" s="109"/>
      <c r="I78" s="109"/>
    </row>
    <row r="79" spans="1:9" ht="21.75" customHeight="1" x14ac:dyDescent="0.6">
      <c r="A79" s="109"/>
      <c r="B79" s="109"/>
      <c r="C79" s="109"/>
      <c r="D79" s="109"/>
      <c r="E79" s="109"/>
      <c r="F79" s="109"/>
      <c r="G79" s="109"/>
      <c r="H79" s="109"/>
      <c r="I79" s="109"/>
    </row>
    <row r="80" spans="1:9" ht="21.75" customHeight="1" x14ac:dyDescent="0.6">
      <c r="A80" s="109"/>
      <c r="B80" s="109"/>
      <c r="C80" s="109"/>
      <c r="D80" s="109"/>
      <c r="E80" s="109"/>
      <c r="F80" s="109"/>
      <c r="G80" s="109"/>
      <c r="H80" s="109"/>
      <c r="I80" s="109"/>
    </row>
    <row r="81" spans="1:9" ht="21.75" customHeight="1" x14ac:dyDescent="0.6">
      <c r="A81" s="109"/>
      <c r="B81" s="109"/>
      <c r="C81" s="109"/>
      <c r="D81" s="109"/>
      <c r="E81" s="109"/>
      <c r="F81" s="109"/>
      <c r="G81" s="109"/>
      <c r="H81" s="109"/>
      <c r="I81" s="109"/>
    </row>
    <row r="82" spans="1:9" ht="21.75" customHeight="1" x14ac:dyDescent="0.6">
      <c r="A82" s="109"/>
      <c r="B82" s="109"/>
      <c r="C82" s="109"/>
      <c r="D82" s="109"/>
      <c r="E82" s="109"/>
      <c r="F82" s="109"/>
      <c r="G82" s="109"/>
      <c r="H82" s="109"/>
      <c r="I82" s="109"/>
    </row>
    <row r="83" spans="1:9" ht="21.75" customHeight="1" x14ac:dyDescent="0.6">
      <c r="A83" s="109"/>
      <c r="B83" s="109"/>
      <c r="C83" s="109"/>
      <c r="D83" s="109"/>
      <c r="E83" s="109"/>
      <c r="F83" s="109"/>
      <c r="G83" s="109"/>
      <c r="H83" s="109"/>
      <c r="I83" s="109"/>
    </row>
    <row r="84" spans="1:9" ht="21.75" customHeight="1" x14ac:dyDescent="0.6">
      <c r="A84" s="109"/>
      <c r="B84" s="109"/>
      <c r="C84" s="109"/>
      <c r="D84" s="109"/>
      <c r="E84" s="109"/>
      <c r="F84" s="109"/>
      <c r="G84" s="109"/>
      <c r="H84" s="109"/>
      <c r="I84" s="109"/>
    </row>
    <row r="85" spans="1:9" ht="21.75" customHeight="1" x14ac:dyDescent="0.6">
      <c r="A85" s="109"/>
      <c r="B85" s="109"/>
      <c r="C85" s="109"/>
      <c r="D85" s="109"/>
      <c r="E85" s="109"/>
      <c r="F85" s="109"/>
      <c r="G85" s="109"/>
      <c r="H85" s="109"/>
      <c r="I85" s="109"/>
    </row>
    <row r="86" spans="1:9" ht="21.75" customHeight="1" x14ac:dyDescent="0.6">
      <c r="A86" s="109"/>
      <c r="B86" s="109"/>
      <c r="C86" s="109"/>
      <c r="D86" s="109"/>
      <c r="E86" s="109"/>
      <c r="F86" s="109"/>
      <c r="G86" s="109"/>
      <c r="H86" s="109"/>
      <c r="I86" s="109"/>
    </row>
    <row r="87" spans="1:9" ht="21.75" customHeight="1" x14ac:dyDescent="0.6">
      <c r="A87" s="109"/>
      <c r="B87" s="109"/>
      <c r="C87" s="109"/>
      <c r="D87" s="109"/>
      <c r="E87" s="109"/>
      <c r="F87" s="109"/>
      <c r="G87" s="109"/>
      <c r="H87" s="109"/>
      <c r="I87" s="109"/>
    </row>
    <row r="88" spans="1:9" ht="21.75" customHeight="1" x14ac:dyDescent="0.6">
      <c r="A88" s="109"/>
      <c r="B88" s="109"/>
      <c r="C88" s="109"/>
      <c r="D88" s="109"/>
      <c r="E88" s="109"/>
      <c r="F88" s="109"/>
      <c r="G88" s="109"/>
      <c r="H88" s="109"/>
      <c r="I88" s="109"/>
    </row>
    <row r="89" spans="1:9" ht="21.75" customHeight="1" x14ac:dyDescent="0.6">
      <c r="A89" s="109"/>
      <c r="B89" s="109"/>
      <c r="C89" s="109"/>
      <c r="D89" s="109"/>
      <c r="E89" s="109"/>
      <c r="F89" s="109"/>
      <c r="G89" s="109"/>
      <c r="H89" s="109"/>
      <c r="I89" s="109"/>
    </row>
    <row r="90" spans="1:9" ht="21.75" customHeight="1" x14ac:dyDescent="0.6">
      <c r="A90" s="109"/>
      <c r="B90" s="109"/>
      <c r="C90" s="109"/>
      <c r="D90" s="109"/>
      <c r="E90" s="109"/>
      <c r="F90" s="109"/>
      <c r="G90" s="109"/>
      <c r="H90" s="109"/>
      <c r="I90" s="109"/>
    </row>
    <row r="91" spans="1:9" ht="21.75" customHeight="1" x14ac:dyDescent="0.6">
      <c r="A91" s="109"/>
      <c r="B91" s="109"/>
      <c r="C91" s="109"/>
      <c r="D91" s="109"/>
      <c r="E91" s="109"/>
      <c r="F91" s="109"/>
      <c r="G91" s="109"/>
      <c r="H91" s="109"/>
      <c r="I91" s="109"/>
    </row>
    <row r="92" spans="1:9" ht="21.75" customHeight="1" x14ac:dyDescent="0.6">
      <c r="A92" s="109"/>
      <c r="B92" s="109"/>
      <c r="C92" s="109"/>
      <c r="D92" s="109"/>
      <c r="E92" s="109"/>
      <c r="F92" s="109"/>
      <c r="G92" s="109"/>
      <c r="H92" s="109"/>
      <c r="I92" s="109"/>
    </row>
    <row r="93" spans="1:9" ht="21.75" customHeight="1" x14ac:dyDescent="0.6">
      <c r="A93" s="109"/>
      <c r="B93" s="109"/>
      <c r="C93" s="109"/>
      <c r="D93" s="109"/>
      <c r="E93" s="109"/>
      <c r="F93" s="109"/>
      <c r="G93" s="109"/>
      <c r="H93" s="109"/>
      <c r="I93" s="109"/>
    </row>
    <row r="94" spans="1:9" ht="21.75" customHeight="1" x14ac:dyDescent="0.6">
      <c r="A94" s="109"/>
      <c r="B94" s="109"/>
      <c r="C94" s="109"/>
      <c r="D94" s="109"/>
      <c r="E94" s="109"/>
      <c r="F94" s="109"/>
      <c r="G94" s="109"/>
      <c r="H94" s="109"/>
      <c r="I94" s="109"/>
    </row>
    <row r="95" spans="1:9" ht="21.75" customHeight="1" x14ac:dyDescent="0.6">
      <c r="A95" s="109"/>
      <c r="B95" s="109"/>
      <c r="C95" s="109"/>
      <c r="D95" s="109"/>
      <c r="E95" s="109"/>
      <c r="F95" s="109"/>
      <c r="G95" s="109"/>
      <c r="H95" s="109"/>
      <c r="I95" s="109"/>
    </row>
    <row r="96" spans="1:9" ht="21.75" customHeight="1" x14ac:dyDescent="0.6">
      <c r="A96" s="109"/>
      <c r="B96" s="109"/>
      <c r="C96" s="109"/>
      <c r="D96" s="109"/>
      <c r="E96" s="109"/>
      <c r="F96" s="109"/>
      <c r="G96" s="109"/>
      <c r="H96" s="109"/>
      <c r="I96" s="109"/>
    </row>
    <row r="97" spans="1:9" ht="21.75" customHeight="1" x14ac:dyDescent="0.6">
      <c r="A97" s="109"/>
      <c r="B97" s="109"/>
      <c r="C97" s="109"/>
      <c r="D97" s="109"/>
      <c r="E97" s="109"/>
      <c r="F97" s="109"/>
      <c r="G97" s="109"/>
      <c r="H97" s="109"/>
      <c r="I97" s="109"/>
    </row>
    <row r="98" spans="1:9" ht="21.75" customHeight="1" x14ac:dyDescent="0.6">
      <c r="A98" s="109"/>
      <c r="B98" s="109"/>
      <c r="C98" s="109"/>
      <c r="D98" s="109"/>
      <c r="E98" s="109"/>
      <c r="F98" s="109"/>
      <c r="G98" s="109"/>
      <c r="H98" s="109"/>
      <c r="I98" s="109"/>
    </row>
    <row r="99" spans="1:9" ht="21.75" customHeight="1" x14ac:dyDescent="0.6">
      <c r="A99" s="109"/>
      <c r="B99" s="109"/>
      <c r="C99" s="109"/>
      <c r="D99" s="109"/>
      <c r="E99" s="109"/>
      <c r="F99" s="109"/>
      <c r="G99" s="109"/>
      <c r="H99" s="109"/>
      <c r="I99" s="109"/>
    </row>
    <row r="100" spans="1:9" ht="21.75" customHeight="1" x14ac:dyDescent="0.6">
      <c r="A100" s="109"/>
      <c r="B100" s="109"/>
      <c r="C100" s="109"/>
      <c r="D100" s="109"/>
      <c r="E100" s="109"/>
      <c r="F100" s="109"/>
      <c r="G100" s="109"/>
      <c r="H100" s="109"/>
      <c r="I100" s="109"/>
    </row>
    <row r="101" spans="1:9" ht="21.75" customHeight="1" x14ac:dyDescent="0.6">
      <c r="A101" s="109"/>
      <c r="B101" s="109"/>
      <c r="C101" s="109"/>
      <c r="D101" s="109"/>
      <c r="E101" s="109"/>
      <c r="F101" s="109"/>
      <c r="G101" s="109"/>
      <c r="H101" s="109"/>
      <c r="I101" s="109"/>
    </row>
    <row r="102" spans="1:9" ht="21.75" customHeight="1" x14ac:dyDescent="0.6">
      <c r="A102" s="109"/>
      <c r="B102" s="109"/>
      <c r="C102" s="109"/>
      <c r="D102" s="109"/>
      <c r="E102" s="109"/>
      <c r="F102" s="109"/>
      <c r="G102" s="109"/>
      <c r="H102" s="109"/>
      <c r="I102" s="109"/>
    </row>
    <row r="103" spans="1:9" ht="21.75" customHeight="1" x14ac:dyDescent="0.6">
      <c r="A103" s="109"/>
      <c r="B103" s="109"/>
      <c r="C103" s="109"/>
      <c r="D103" s="109"/>
      <c r="E103" s="109"/>
      <c r="F103" s="109"/>
      <c r="G103" s="109"/>
      <c r="H103" s="109"/>
      <c r="I103" s="109"/>
    </row>
    <row r="104" spans="1:9" ht="21.75" customHeight="1" x14ac:dyDescent="0.6">
      <c r="A104" s="109"/>
      <c r="B104" s="109"/>
      <c r="C104" s="109"/>
      <c r="D104" s="109"/>
      <c r="E104" s="109"/>
      <c r="F104" s="109"/>
      <c r="G104" s="109"/>
      <c r="H104" s="109"/>
      <c r="I104" s="109"/>
    </row>
    <row r="105" spans="1:9" ht="21.75" customHeight="1" x14ac:dyDescent="0.6">
      <c r="A105" s="109"/>
      <c r="B105" s="109"/>
      <c r="C105" s="109"/>
      <c r="D105" s="109"/>
      <c r="E105" s="109"/>
      <c r="F105" s="109"/>
      <c r="G105" s="109"/>
      <c r="H105" s="109"/>
      <c r="I105" s="109"/>
    </row>
    <row r="106" spans="1:9" ht="21.75" customHeight="1" x14ac:dyDescent="0.6">
      <c r="A106" s="109"/>
      <c r="B106" s="109"/>
      <c r="C106" s="109"/>
      <c r="D106" s="109"/>
      <c r="E106" s="109"/>
      <c r="F106" s="109"/>
      <c r="G106" s="109"/>
      <c r="H106" s="109"/>
      <c r="I106" s="109"/>
    </row>
    <row r="107" spans="1:9" ht="21.75" customHeight="1" x14ac:dyDescent="0.6">
      <c r="A107" s="109"/>
      <c r="B107" s="109"/>
      <c r="C107" s="109"/>
      <c r="D107" s="109"/>
      <c r="E107" s="109"/>
      <c r="F107" s="109"/>
      <c r="G107" s="109"/>
      <c r="H107" s="109"/>
      <c r="I107" s="109"/>
    </row>
    <row r="108" spans="1:9" ht="21.75" customHeight="1" x14ac:dyDescent="0.6">
      <c r="A108" s="109"/>
      <c r="B108" s="109"/>
      <c r="C108" s="109"/>
      <c r="D108" s="109"/>
      <c r="E108" s="109"/>
      <c r="F108" s="109"/>
      <c r="G108" s="109"/>
      <c r="H108" s="109"/>
      <c r="I108" s="109"/>
    </row>
    <row r="109" spans="1:9" ht="21.75" customHeight="1" x14ac:dyDescent="0.6">
      <c r="A109" s="109"/>
      <c r="B109" s="109"/>
      <c r="C109" s="109"/>
      <c r="D109" s="109"/>
      <c r="E109" s="109"/>
      <c r="F109" s="109"/>
      <c r="G109" s="109"/>
      <c r="H109" s="109"/>
      <c r="I109" s="109"/>
    </row>
    <row r="110" spans="1:9" ht="21.75" customHeight="1" x14ac:dyDescent="0.6">
      <c r="A110" s="109"/>
      <c r="B110" s="109"/>
      <c r="C110" s="109"/>
      <c r="D110" s="109"/>
      <c r="E110" s="109"/>
      <c r="F110" s="109"/>
      <c r="G110" s="109"/>
      <c r="H110" s="109"/>
      <c r="I110" s="109"/>
    </row>
    <row r="111" spans="1:9" ht="21.75" customHeight="1" x14ac:dyDescent="0.6">
      <c r="A111" s="109"/>
      <c r="B111" s="109"/>
      <c r="C111" s="109"/>
      <c r="D111" s="109"/>
      <c r="E111" s="109"/>
      <c r="F111" s="109"/>
      <c r="G111" s="109"/>
      <c r="H111" s="109"/>
      <c r="I111" s="109"/>
    </row>
    <row r="112" spans="1:9" ht="21.75" customHeight="1" x14ac:dyDescent="0.6">
      <c r="A112" s="109"/>
      <c r="B112" s="109"/>
      <c r="C112" s="109"/>
      <c r="D112" s="109"/>
      <c r="E112" s="109"/>
      <c r="F112" s="109"/>
      <c r="G112" s="109"/>
      <c r="H112" s="109"/>
      <c r="I112" s="109"/>
    </row>
    <row r="113" spans="1:9" ht="21.75" customHeight="1" x14ac:dyDescent="0.6">
      <c r="A113" s="109"/>
      <c r="B113" s="109"/>
      <c r="C113" s="109"/>
      <c r="D113" s="109"/>
      <c r="E113" s="109"/>
      <c r="F113" s="109"/>
      <c r="G113" s="109"/>
      <c r="H113" s="109"/>
      <c r="I113" s="109"/>
    </row>
    <row r="114" spans="1:9" ht="21.75" customHeight="1" x14ac:dyDescent="0.6">
      <c r="A114" s="109"/>
      <c r="B114" s="109"/>
      <c r="C114" s="109"/>
      <c r="D114" s="109"/>
      <c r="E114" s="109"/>
      <c r="F114" s="109"/>
      <c r="G114" s="109"/>
      <c r="H114" s="109"/>
      <c r="I114" s="109"/>
    </row>
    <row r="115" spans="1:9" ht="21.75" customHeight="1" x14ac:dyDescent="0.6">
      <c r="A115" s="109"/>
      <c r="B115" s="109"/>
      <c r="C115" s="109"/>
      <c r="D115" s="109"/>
      <c r="E115" s="109"/>
      <c r="F115" s="109"/>
      <c r="G115" s="109"/>
      <c r="H115" s="109"/>
      <c r="I115" s="109"/>
    </row>
    <row r="116" spans="1:9" ht="21.75" customHeight="1" x14ac:dyDescent="0.6">
      <c r="A116" s="109"/>
      <c r="B116" s="109"/>
      <c r="C116" s="109"/>
      <c r="D116" s="109"/>
      <c r="E116" s="109"/>
      <c r="F116" s="109"/>
      <c r="G116" s="109"/>
      <c r="H116" s="109"/>
      <c r="I116" s="109"/>
    </row>
    <row r="117" spans="1:9" ht="21.75" customHeight="1" x14ac:dyDescent="0.6">
      <c r="A117" s="109"/>
      <c r="B117" s="109"/>
      <c r="C117" s="109"/>
      <c r="D117" s="109"/>
      <c r="E117" s="109"/>
      <c r="F117" s="109"/>
      <c r="G117" s="109"/>
      <c r="H117" s="109"/>
      <c r="I117" s="109"/>
    </row>
    <row r="118" spans="1:9" ht="21.75" customHeight="1" x14ac:dyDescent="0.6">
      <c r="A118" s="109"/>
      <c r="B118" s="109"/>
      <c r="C118" s="109"/>
      <c r="D118" s="109"/>
      <c r="E118" s="109"/>
      <c r="F118" s="109"/>
      <c r="G118" s="109"/>
      <c r="H118" s="109"/>
      <c r="I118" s="109"/>
    </row>
    <row r="119" spans="1:9" ht="21.75" customHeight="1" x14ac:dyDescent="0.6">
      <c r="A119" s="109"/>
      <c r="B119" s="109"/>
      <c r="C119" s="109"/>
      <c r="D119" s="109"/>
      <c r="E119" s="109"/>
      <c r="F119" s="109"/>
      <c r="G119" s="109"/>
      <c r="H119" s="109"/>
      <c r="I119" s="109"/>
    </row>
    <row r="120" spans="1:9" ht="21.75" customHeight="1" x14ac:dyDescent="0.6">
      <c r="A120" s="109"/>
      <c r="B120" s="109"/>
      <c r="C120" s="109"/>
      <c r="D120" s="109"/>
      <c r="E120" s="109"/>
      <c r="F120" s="109"/>
      <c r="G120" s="109"/>
      <c r="H120" s="109"/>
      <c r="I120" s="109"/>
    </row>
    <row r="121" spans="1:9" ht="21.75" customHeight="1" x14ac:dyDescent="0.6">
      <c r="A121" s="109"/>
      <c r="B121" s="109"/>
      <c r="C121" s="109"/>
      <c r="D121" s="109"/>
      <c r="E121" s="109"/>
      <c r="F121" s="109"/>
      <c r="G121" s="109"/>
      <c r="H121" s="109"/>
      <c r="I121" s="109"/>
    </row>
    <row r="122" spans="1:9" ht="21.75" customHeight="1" x14ac:dyDescent="0.6">
      <c r="A122" s="109"/>
      <c r="B122" s="109"/>
      <c r="C122" s="109"/>
      <c r="D122" s="109"/>
      <c r="E122" s="109"/>
      <c r="F122" s="109"/>
      <c r="G122" s="109"/>
      <c r="H122" s="109"/>
      <c r="I122" s="109"/>
    </row>
    <row r="123" spans="1:9" ht="21.75" customHeight="1" x14ac:dyDescent="0.6">
      <c r="A123" s="109"/>
      <c r="B123" s="109"/>
      <c r="C123" s="109"/>
      <c r="D123" s="109"/>
      <c r="E123" s="109"/>
      <c r="F123" s="109"/>
      <c r="G123" s="109"/>
      <c r="H123" s="109"/>
      <c r="I123" s="109"/>
    </row>
    <row r="124" spans="1:9" ht="21.75" customHeight="1" x14ac:dyDescent="0.6">
      <c r="A124" s="109"/>
      <c r="B124" s="109"/>
      <c r="C124" s="109"/>
      <c r="D124" s="109"/>
      <c r="E124" s="109"/>
      <c r="F124" s="109"/>
      <c r="G124" s="109"/>
      <c r="H124" s="109"/>
      <c r="I124" s="109"/>
    </row>
    <row r="125" spans="1:9" ht="21.75" customHeight="1" x14ac:dyDescent="0.6">
      <c r="A125" s="109"/>
      <c r="B125" s="109"/>
      <c r="C125" s="109"/>
      <c r="D125" s="109"/>
      <c r="E125" s="109"/>
      <c r="F125" s="109"/>
      <c r="G125" s="109"/>
      <c r="H125" s="109"/>
      <c r="I125" s="109"/>
    </row>
    <row r="126" spans="1:9" ht="21.75" customHeight="1" x14ac:dyDescent="0.6">
      <c r="A126" s="109"/>
      <c r="B126" s="109"/>
      <c r="C126" s="109"/>
      <c r="D126" s="109"/>
      <c r="E126" s="109"/>
      <c r="F126" s="109"/>
      <c r="G126" s="109"/>
      <c r="H126" s="109"/>
      <c r="I126" s="109"/>
    </row>
    <row r="127" spans="1:9" ht="21.75" customHeight="1" x14ac:dyDescent="0.6">
      <c r="A127" s="109"/>
      <c r="B127" s="109"/>
      <c r="C127" s="109"/>
      <c r="D127" s="109"/>
      <c r="E127" s="109"/>
      <c r="F127" s="109"/>
      <c r="G127" s="109"/>
      <c r="H127" s="109"/>
      <c r="I127" s="109"/>
    </row>
    <row r="128" spans="1:9" ht="21.75" customHeight="1" x14ac:dyDescent="0.6">
      <c r="A128" s="109"/>
      <c r="B128" s="109"/>
      <c r="C128" s="109"/>
      <c r="D128" s="109"/>
      <c r="E128" s="109"/>
      <c r="F128" s="109"/>
      <c r="G128" s="109"/>
      <c r="H128" s="109"/>
      <c r="I128" s="109"/>
    </row>
    <row r="129" spans="1:9" ht="21.75" customHeight="1" x14ac:dyDescent="0.6">
      <c r="A129" s="109"/>
      <c r="B129" s="109"/>
      <c r="C129" s="109"/>
      <c r="D129" s="109"/>
      <c r="E129" s="109"/>
      <c r="F129" s="109"/>
      <c r="G129" s="109"/>
      <c r="H129" s="109"/>
      <c r="I129" s="109"/>
    </row>
    <row r="130" spans="1:9" ht="21.75" customHeight="1" x14ac:dyDescent="0.6">
      <c r="A130" s="109"/>
      <c r="B130" s="109"/>
      <c r="C130" s="109"/>
      <c r="D130" s="109"/>
      <c r="E130" s="109"/>
      <c r="F130" s="109"/>
      <c r="G130" s="109"/>
      <c r="H130" s="109"/>
      <c r="I130" s="109"/>
    </row>
    <row r="131" spans="1:9" ht="21.75" customHeight="1" x14ac:dyDescent="0.6">
      <c r="A131" s="109"/>
      <c r="B131" s="109"/>
      <c r="C131" s="109"/>
      <c r="D131" s="109"/>
      <c r="E131" s="109"/>
      <c r="F131" s="109"/>
      <c r="G131" s="109"/>
      <c r="H131" s="109"/>
      <c r="I131" s="109"/>
    </row>
    <row r="132" spans="1:9" ht="21.75" customHeight="1" x14ac:dyDescent="0.6">
      <c r="A132" s="109"/>
      <c r="B132" s="109"/>
      <c r="C132" s="109"/>
      <c r="D132" s="109"/>
      <c r="E132" s="109"/>
      <c r="F132" s="109"/>
      <c r="G132" s="109"/>
      <c r="H132" s="109"/>
      <c r="I132" s="109"/>
    </row>
    <row r="133" spans="1:9" ht="21.75" customHeight="1" x14ac:dyDescent="0.6">
      <c r="A133" s="109"/>
      <c r="B133" s="109"/>
      <c r="C133" s="109"/>
      <c r="D133" s="109"/>
      <c r="E133" s="109"/>
      <c r="F133" s="109"/>
      <c r="G133" s="109"/>
      <c r="H133" s="109"/>
      <c r="I133" s="109"/>
    </row>
    <row r="134" spans="1:9" ht="21.75" customHeight="1" x14ac:dyDescent="0.6">
      <c r="A134" s="109"/>
      <c r="B134" s="109"/>
      <c r="C134" s="109"/>
      <c r="D134" s="109"/>
      <c r="E134" s="109"/>
      <c r="F134" s="109"/>
      <c r="G134" s="109"/>
      <c r="H134" s="109"/>
      <c r="I134" s="109"/>
    </row>
    <row r="135" spans="1:9" ht="21.75" customHeight="1" x14ac:dyDescent="0.6">
      <c r="A135" s="109"/>
      <c r="B135" s="109"/>
      <c r="C135" s="109"/>
      <c r="D135" s="109"/>
      <c r="E135" s="109"/>
      <c r="F135" s="109"/>
      <c r="G135" s="109"/>
      <c r="H135" s="109"/>
      <c r="I135" s="109"/>
    </row>
    <row r="136" spans="1:9" ht="21.75" customHeight="1" x14ac:dyDescent="0.6">
      <c r="A136" s="109"/>
      <c r="B136" s="109"/>
      <c r="C136" s="109"/>
      <c r="D136" s="109"/>
      <c r="E136" s="109"/>
      <c r="F136" s="109"/>
      <c r="G136" s="109"/>
      <c r="H136" s="109"/>
      <c r="I136" s="109"/>
    </row>
    <row r="137" spans="1:9" ht="21.75" customHeight="1" x14ac:dyDescent="0.6">
      <c r="A137" s="109"/>
      <c r="B137" s="109"/>
      <c r="C137" s="109"/>
      <c r="D137" s="109"/>
      <c r="E137" s="109"/>
      <c r="F137" s="109"/>
      <c r="G137" s="109"/>
      <c r="H137" s="109"/>
      <c r="I137" s="109"/>
    </row>
    <row r="138" spans="1:9" ht="21.75" customHeight="1" x14ac:dyDescent="0.6">
      <c r="A138" s="109"/>
      <c r="B138" s="109"/>
      <c r="C138" s="109"/>
      <c r="D138" s="109"/>
      <c r="E138" s="109"/>
      <c r="F138" s="109"/>
      <c r="G138" s="109"/>
      <c r="H138" s="109"/>
      <c r="I138" s="109"/>
    </row>
    <row r="139" spans="1:9" ht="21.75" customHeight="1" x14ac:dyDescent="0.6">
      <c r="A139" s="109"/>
      <c r="B139" s="109"/>
      <c r="C139" s="109"/>
      <c r="D139" s="109"/>
      <c r="E139" s="109"/>
      <c r="F139" s="109"/>
      <c r="G139" s="109"/>
      <c r="H139" s="109"/>
      <c r="I139" s="109"/>
    </row>
    <row r="140" spans="1:9" ht="21.75" customHeight="1" x14ac:dyDescent="0.6">
      <c r="A140" s="109"/>
      <c r="B140" s="109"/>
      <c r="C140" s="109"/>
      <c r="D140" s="109"/>
      <c r="E140" s="109"/>
      <c r="F140" s="109"/>
      <c r="G140" s="109"/>
      <c r="H140" s="109"/>
      <c r="I140" s="109"/>
    </row>
    <row r="141" spans="1:9" ht="21.75" customHeight="1" x14ac:dyDescent="0.6">
      <c r="A141" s="109"/>
      <c r="B141" s="109"/>
      <c r="C141" s="109"/>
      <c r="D141" s="109"/>
      <c r="E141" s="109"/>
      <c r="F141" s="109"/>
      <c r="G141" s="109"/>
      <c r="H141" s="109"/>
      <c r="I141" s="109"/>
    </row>
    <row r="142" spans="1:9" ht="21.75" customHeight="1" x14ac:dyDescent="0.6">
      <c r="A142" s="109"/>
      <c r="B142" s="109"/>
      <c r="C142" s="109"/>
      <c r="D142" s="109"/>
      <c r="E142" s="109"/>
      <c r="F142" s="109"/>
      <c r="G142" s="109"/>
      <c r="H142" s="109"/>
      <c r="I142" s="109"/>
    </row>
    <row r="143" spans="1:9" ht="21.75" customHeight="1" x14ac:dyDescent="0.6">
      <c r="A143" s="109"/>
      <c r="B143" s="109"/>
      <c r="C143" s="109"/>
      <c r="D143" s="109"/>
      <c r="E143" s="109"/>
      <c r="F143" s="109"/>
      <c r="G143" s="109"/>
      <c r="H143" s="109"/>
      <c r="I143" s="109"/>
    </row>
    <row r="144" spans="1:9" ht="21.75" customHeight="1" x14ac:dyDescent="0.6">
      <c r="A144" s="109"/>
      <c r="B144" s="109"/>
      <c r="C144" s="109"/>
      <c r="D144" s="109"/>
      <c r="E144" s="109"/>
      <c r="F144" s="109"/>
      <c r="G144" s="109"/>
      <c r="H144" s="109"/>
      <c r="I144" s="109"/>
    </row>
    <row r="145" spans="1:9" ht="21.75" customHeight="1" x14ac:dyDescent="0.6">
      <c r="A145" s="109"/>
      <c r="B145" s="109"/>
      <c r="C145" s="109"/>
      <c r="D145" s="109"/>
      <c r="E145" s="109"/>
      <c r="F145" s="109"/>
      <c r="G145" s="109"/>
      <c r="H145" s="109"/>
      <c r="I145" s="109"/>
    </row>
    <row r="146" spans="1:9" ht="21.75" customHeight="1" x14ac:dyDescent="0.6">
      <c r="A146" s="109"/>
      <c r="B146" s="109"/>
      <c r="C146" s="109"/>
      <c r="D146" s="109"/>
      <c r="E146" s="109"/>
      <c r="F146" s="109"/>
      <c r="G146" s="109"/>
      <c r="H146" s="109"/>
      <c r="I146" s="109"/>
    </row>
    <row r="147" spans="1:9" ht="21.75" customHeight="1" x14ac:dyDescent="0.6">
      <c r="A147" s="109"/>
      <c r="B147" s="109"/>
      <c r="C147" s="109"/>
      <c r="D147" s="109"/>
      <c r="E147" s="109"/>
      <c r="F147" s="109"/>
      <c r="G147" s="109"/>
      <c r="H147" s="109"/>
      <c r="I147" s="109"/>
    </row>
    <row r="148" spans="1:9" ht="21.75" customHeight="1" x14ac:dyDescent="0.6">
      <c r="A148" s="109"/>
      <c r="B148" s="109"/>
      <c r="C148" s="109"/>
      <c r="D148" s="109"/>
      <c r="E148" s="109"/>
      <c r="F148" s="109"/>
      <c r="G148" s="109"/>
      <c r="H148" s="109"/>
      <c r="I148" s="109"/>
    </row>
    <row r="149" spans="1:9" ht="21.75" customHeight="1" x14ac:dyDescent="0.6">
      <c r="A149" s="109"/>
      <c r="B149" s="109"/>
      <c r="C149" s="109"/>
      <c r="D149" s="109"/>
      <c r="E149" s="109"/>
      <c r="F149" s="109"/>
      <c r="G149" s="109"/>
      <c r="H149" s="109"/>
      <c r="I149" s="109"/>
    </row>
    <row r="150" spans="1:9" ht="21.75" customHeight="1" x14ac:dyDescent="0.6">
      <c r="A150" s="109"/>
      <c r="B150" s="109"/>
      <c r="C150" s="109"/>
      <c r="D150" s="109"/>
      <c r="E150" s="109"/>
      <c r="F150" s="109"/>
      <c r="G150" s="109"/>
      <c r="H150" s="109"/>
      <c r="I150" s="109"/>
    </row>
    <row r="151" spans="1:9" ht="21.75" customHeight="1" x14ac:dyDescent="0.6">
      <c r="A151" s="109"/>
      <c r="B151" s="109"/>
      <c r="C151" s="109"/>
      <c r="D151" s="109"/>
      <c r="E151" s="109"/>
      <c r="F151" s="109"/>
      <c r="G151" s="109"/>
      <c r="H151" s="109"/>
      <c r="I151" s="109"/>
    </row>
    <row r="152" spans="1:9" ht="21.75" customHeight="1" x14ac:dyDescent="0.6">
      <c r="A152" s="109"/>
      <c r="B152" s="109"/>
      <c r="C152" s="109"/>
      <c r="D152" s="109"/>
      <c r="E152" s="109"/>
      <c r="F152" s="109"/>
      <c r="G152" s="109"/>
      <c r="H152" s="109"/>
      <c r="I152" s="109"/>
    </row>
    <row r="153" spans="1:9" ht="21.75" customHeight="1" x14ac:dyDescent="0.6">
      <c r="A153" s="109"/>
      <c r="B153" s="109"/>
      <c r="C153" s="109"/>
      <c r="D153" s="109"/>
      <c r="E153" s="109"/>
      <c r="F153" s="109"/>
      <c r="G153" s="109"/>
      <c r="H153" s="109"/>
      <c r="I153" s="109"/>
    </row>
    <row r="154" spans="1:9" ht="21.75" customHeight="1" x14ac:dyDescent="0.6">
      <c r="A154" s="109"/>
      <c r="B154" s="109"/>
      <c r="C154" s="109"/>
      <c r="D154" s="109"/>
      <c r="E154" s="109"/>
      <c r="F154" s="109"/>
      <c r="G154" s="109"/>
      <c r="H154" s="109"/>
      <c r="I154" s="109"/>
    </row>
    <row r="155" spans="1:9" ht="21.75" customHeight="1" x14ac:dyDescent="0.6">
      <c r="A155" s="109"/>
      <c r="B155" s="109"/>
      <c r="C155" s="109"/>
      <c r="D155" s="109"/>
      <c r="E155" s="109"/>
      <c r="F155" s="109"/>
      <c r="G155" s="109"/>
      <c r="H155" s="109"/>
      <c r="I155" s="109"/>
    </row>
    <row r="156" spans="1:9" ht="21.75" customHeight="1" x14ac:dyDescent="0.6">
      <c r="A156" s="109"/>
      <c r="B156" s="109"/>
      <c r="C156" s="109"/>
      <c r="D156" s="109"/>
      <c r="E156" s="109"/>
      <c r="F156" s="109"/>
      <c r="G156" s="109"/>
      <c r="H156" s="109"/>
      <c r="I156" s="109"/>
    </row>
    <row r="157" spans="1:9" ht="21.75" customHeight="1" x14ac:dyDescent="0.6">
      <c r="A157" s="109"/>
      <c r="B157" s="109"/>
      <c r="C157" s="109"/>
      <c r="D157" s="109"/>
      <c r="E157" s="109"/>
      <c r="F157" s="109"/>
      <c r="G157" s="109"/>
      <c r="H157" s="109"/>
      <c r="I157" s="109"/>
    </row>
    <row r="158" spans="1:9" ht="21.75" customHeight="1" x14ac:dyDescent="0.6">
      <c r="A158" s="109"/>
      <c r="B158" s="109"/>
      <c r="C158" s="109"/>
      <c r="D158" s="109"/>
      <c r="E158" s="109"/>
      <c r="F158" s="109"/>
      <c r="G158" s="109"/>
      <c r="H158" s="109"/>
      <c r="I158" s="109"/>
    </row>
    <row r="159" spans="1:9" ht="21.75" customHeight="1" x14ac:dyDescent="0.6">
      <c r="A159" s="109"/>
      <c r="B159" s="109"/>
      <c r="C159" s="109"/>
      <c r="D159" s="109"/>
      <c r="E159" s="109"/>
      <c r="F159" s="109"/>
      <c r="G159" s="109"/>
      <c r="H159" s="109"/>
      <c r="I159" s="109"/>
    </row>
    <row r="160" spans="1:9" ht="21.75" customHeight="1" x14ac:dyDescent="0.6">
      <c r="A160" s="109"/>
      <c r="B160" s="109"/>
      <c r="C160" s="109"/>
      <c r="D160" s="109"/>
      <c r="E160" s="109"/>
      <c r="F160" s="109"/>
      <c r="G160" s="109"/>
      <c r="H160" s="109"/>
      <c r="I160" s="109"/>
    </row>
    <row r="161" spans="1:9" ht="21.75" customHeight="1" x14ac:dyDescent="0.6">
      <c r="A161" s="109"/>
      <c r="B161" s="109"/>
      <c r="C161" s="109"/>
      <c r="D161" s="109"/>
      <c r="E161" s="109"/>
      <c r="F161" s="109"/>
      <c r="G161" s="109"/>
      <c r="H161" s="109"/>
      <c r="I161" s="109"/>
    </row>
    <row r="162" spans="1:9" ht="21.75" customHeight="1" x14ac:dyDescent="0.6">
      <c r="A162" s="109"/>
      <c r="B162" s="109"/>
      <c r="C162" s="109"/>
      <c r="D162" s="109"/>
      <c r="E162" s="109"/>
      <c r="F162" s="109"/>
      <c r="G162" s="109"/>
      <c r="H162" s="109"/>
      <c r="I162" s="109"/>
    </row>
    <row r="163" spans="1:9" ht="21.75" customHeight="1" x14ac:dyDescent="0.6">
      <c r="A163" s="109"/>
      <c r="B163" s="109"/>
      <c r="C163" s="109"/>
      <c r="D163" s="109"/>
      <c r="E163" s="109"/>
      <c r="F163" s="109"/>
      <c r="G163" s="109"/>
      <c r="H163" s="109"/>
      <c r="I163" s="109"/>
    </row>
    <row r="164" spans="1:9" ht="21.75" customHeight="1" x14ac:dyDescent="0.6">
      <c r="A164" s="109"/>
      <c r="B164" s="109"/>
      <c r="C164" s="109"/>
      <c r="D164" s="109"/>
      <c r="E164" s="109"/>
      <c r="F164" s="109"/>
      <c r="G164" s="109"/>
      <c r="H164" s="109"/>
      <c r="I164" s="109"/>
    </row>
    <row r="165" spans="1:9" ht="21.75" customHeight="1" x14ac:dyDescent="0.6">
      <c r="A165" s="109"/>
      <c r="B165" s="109"/>
      <c r="C165" s="109"/>
      <c r="D165" s="109"/>
      <c r="E165" s="109"/>
      <c r="F165" s="109"/>
      <c r="G165" s="109"/>
      <c r="H165" s="109"/>
      <c r="I165" s="109"/>
    </row>
    <row r="166" spans="1:9" ht="21.75" customHeight="1" x14ac:dyDescent="0.6">
      <c r="A166" s="109"/>
      <c r="B166" s="109"/>
      <c r="C166" s="109"/>
      <c r="D166" s="109"/>
      <c r="E166" s="109"/>
      <c r="F166" s="109"/>
      <c r="G166" s="109"/>
      <c r="H166" s="109"/>
      <c r="I166" s="109"/>
    </row>
    <row r="167" spans="1:9" ht="21.75" customHeight="1" x14ac:dyDescent="0.6">
      <c r="A167" s="109"/>
      <c r="B167" s="109"/>
      <c r="C167" s="109"/>
      <c r="D167" s="109"/>
      <c r="E167" s="109"/>
      <c r="F167" s="109"/>
      <c r="G167" s="109"/>
      <c r="H167" s="109"/>
      <c r="I167" s="109"/>
    </row>
    <row r="168" spans="1:9" ht="21.75" customHeight="1" x14ac:dyDescent="0.6">
      <c r="A168" s="109"/>
      <c r="B168" s="109"/>
      <c r="C168" s="109"/>
      <c r="D168" s="109"/>
      <c r="E168" s="109"/>
      <c r="F168" s="109"/>
      <c r="G168" s="109"/>
      <c r="H168" s="109"/>
      <c r="I168" s="109"/>
    </row>
    <row r="169" spans="1:9" ht="21.75" customHeight="1" x14ac:dyDescent="0.6">
      <c r="A169" s="109"/>
      <c r="B169" s="109"/>
      <c r="C169" s="109"/>
      <c r="D169" s="109"/>
      <c r="E169" s="109"/>
      <c r="F169" s="109"/>
      <c r="G169" s="109"/>
      <c r="H169" s="109"/>
      <c r="I169" s="109"/>
    </row>
    <row r="170" spans="1:9" ht="21.75" customHeight="1" x14ac:dyDescent="0.6">
      <c r="A170" s="109"/>
      <c r="B170" s="109"/>
      <c r="C170" s="109"/>
      <c r="D170" s="109"/>
      <c r="E170" s="109"/>
      <c r="F170" s="109"/>
      <c r="G170" s="109"/>
      <c r="H170" s="109"/>
      <c r="I170" s="109"/>
    </row>
    <row r="171" spans="1:9" ht="21.75" customHeight="1" x14ac:dyDescent="0.6">
      <c r="A171" s="109"/>
      <c r="B171" s="109"/>
      <c r="C171" s="109"/>
      <c r="D171" s="109"/>
      <c r="E171" s="109"/>
      <c r="F171" s="109"/>
      <c r="G171" s="109"/>
      <c r="H171" s="109"/>
      <c r="I171" s="109"/>
    </row>
    <row r="172" spans="1:9" ht="21.75" customHeight="1" x14ac:dyDescent="0.6">
      <c r="A172" s="109"/>
      <c r="B172" s="109"/>
      <c r="C172" s="109"/>
      <c r="D172" s="109"/>
      <c r="E172" s="109"/>
      <c r="F172" s="109"/>
      <c r="G172" s="109"/>
      <c r="H172" s="109"/>
      <c r="I172" s="109"/>
    </row>
    <row r="173" spans="1:9" ht="21.75" customHeight="1" x14ac:dyDescent="0.6">
      <c r="A173" s="109"/>
      <c r="B173" s="109"/>
      <c r="C173" s="109"/>
      <c r="D173" s="109"/>
      <c r="E173" s="109"/>
      <c r="F173" s="109"/>
      <c r="G173" s="109"/>
      <c r="H173" s="109"/>
      <c r="I173" s="109"/>
    </row>
    <row r="174" spans="1:9" ht="21.75" customHeight="1" x14ac:dyDescent="0.6">
      <c r="A174" s="109"/>
      <c r="B174" s="109"/>
      <c r="C174" s="109"/>
      <c r="D174" s="109"/>
      <c r="E174" s="109"/>
      <c r="F174" s="109"/>
      <c r="G174" s="109"/>
      <c r="H174" s="109"/>
      <c r="I174" s="109"/>
    </row>
    <row r="175" spans="1:9" ht="21.75" customHeight="1" x14ac:dyDescent="0.6">
      <c r="A175" s="109"/>
      <c r="B175" s="109"/>
      <c r="C175" s="109"/>
      <c r="D175" s="109"/>
      <c r="E175" s="109"/>
      <c r="F175" s="109"/>
      <c r="G175" s="109"/>
      <c r="H175" s="109"/>
      <c r="I175" s="109"/>
    </row>
    <row r="176" spans="1:9" ht="21.75" customHeight="1" x14ac:dyDescent="0.6">
      <c r="A176" s="109"/>
      <c r="B176" s="109"/>
      <c r="C176" s="109"/>
      <c r="D176" s="109"/>
      <c r="E176" s="109"/>
      <c r="F176" s="109"/>
      <c r="G176" s="109"/>
      <c r="H176" s="109"/>
      <c r="I176" s="109"/>
    </row>
    <row r="177" spans="1:9" ht="21.75" customHeight="1" x14ac:dyDescent="0.6">
      <c r="A177" s="109"/>
      <c r="B177" s="109"/>
      <c r="C177" s="109"/>
      <c r="D177" s="109"/>
      <c r="E177" s="109"/>
      <c r="F177" s="109"/>
      <c r="G177" s="109"/>
      <c r="H177" s="109"/>
      <c r="I177" s="109"/>
    </row>
    <row r="178" spans="1:9" ht="21.75" customHeight="1" x14ac:dyDescent="0.6">
      <c r="A178" s="109"/>
      <c r="B178" s="109"/>
      <c r="C178" s="109"/>
      <c r="D178" s="109"/>
      <c r="E178" s="109"/>
      <c r="F178" s="109"/>
      <c r="G178" s="109"/>
      <c r="H178" s="109"/>
      <c r="I178" s="109"/>
    </row>
    <row r="179" spans="1:9" ht="21.75" customHeight="1" x14ac:dyDescent="0.6">
      <c r="A179" s="109"/>
      <c r="B179" s="109"/>
      <c r="C179" s="109"/>
      <c r="D179" s="109"/>
      <c r="E179" s="109"/>
      <c r="F179" s="109"/>
      <c r="G179" s="109"/>
      <c r="H179" s="109"/>
      <c r="I179" s="109"/>
    </row>
    <row r="180" spans="1:9" ht="21.75" customHeight="1" x14ac:dyDescent="0.6">
      <c r="A180" s="109"/>
      <c r="B180" s="109"/>
      <c r="C180" s="109"/>
      <c r="D180" s="109"/>
      <c r="E180" s="109"/>
      <c r="F180" s="109"/>
      <c r="G180" s="109"/>
      <c r="H180" s="109"/>
      <c r="I180" s="109"/>
    </row>
    <row r="181" spans="1:9" ht="21.75" customHeight="1" x14ac:dyDescent="0.6">
      <c r="A181" s="109"/>
      <c r="B181" s="109"/>
      <c r="C181" s="109"/>
      <c r="D181" s="109"/>
      <c r="E181" s="109"/>
      <c r="F181" s="109"/>
      <c r="G181" s="109"/>
      <c r="H181" s="109"/>
      <c r="I181" s="109"/>
    </row>
    <row r="182" spans="1:9" ht="21.75" customHeight="1" x14ac:dyDescent="0.6">
      <c r="A182" s="109"/>
      <c r="B182" s="109"/>
      <c r="C182" s="109"/>
      <c r="D182" s="109"/>
      <c r="E182" s="109"/>
      <c r="F182" s="109"/>
      <c r="G182" s="109"/>
      <c r="H182" s="109"/>
      <c r="I182" s="109"/>
    </row>
    <row r="183" spans="1:9" ht="21.75" customHeight="1" x14ac:dyDescent="0.6">
      <c r="A183" s="109"/>
      <c r="B183" s="109"/>
      <c r="C183" s="109"/>
      <c r="D183" s="109"/>
      <c r="E183" s="109"/>
      <c r="F183" s="109"/>
      <c r="G183" s="109"/>
      <c r="H183" s="109"/>
      <c r="I183" s="109"/>
    </row>
    <row r="184" spans="1:9" ht="21.75" customHeight="1" x14ac:dyDescent="0.6">
      <c r="A184" s="109"/>
      <c r="B184" s="109"/>
      <c r="C184" s="109"/>
      <c r="D184" s="109"/>
      <c r="E184" s="109"/>
      <c r="F184" s="109"/>
      <c r="G184" s="109"/>
      <c r="H184" s="109"/>
      <c r="I184" s="109"/>
    </row>
    <row r="185" spans="1:9" ht="21.75" customHeight="1" x14ac:dyDescent="0.6">
      <c r="A185" s="109"/>
      <c r="B185" s="109"/>
      <c r="C185" s="109"/>
      <c r="D185" s="109"/>
      <c r="E185" s="109"/>
      <c r="F185" s="109"/>
      <c r="G185" s="109"/>
      <c r="H185" s="109"/>
      <c r="I185" s="109"/>
    </row>
    <row r="186" spans="1:9" ht="21.75" customHeight="1" x14ac:dyDescent="0.6">
      <c r="A186" s="109"/>
      <c r="B186" s="109"/>
      <c r="C186" s="109"/>
      <c r="D186" s="109"/>
      <c r="E186" s="109"/>
      <c r="F186" s="109"/>
      <c r="G186" s="109"/>
      <c r="H186" s="109"/>
      <c r="I186" s="109"/>
    </row>
    <row r="187" spans="1:9" ht="21.75" customHeight="1" x14ac:dyDescent="0.6">
      <c r="A187" s="109"/>
      <c r="B187" s="109"/>
      <c r="C187" s="109"/>
      <c r="D187" s="109"/>
      <c r="E187" s="109"/>
      <c r="F187" s="109"/>
      <c r="G187" s="109"/>
      <c r="H187" s="109"/>
      <c r="I187" s="109"/>
    </row>
    <row r="188" spans="1:9" ht="21.75" customHeight="1" x14ac:dyDescent="0.6">
      <c r="A188" s="109"/>
      <c r="B188" s="109"/>
      <c r="C188" s="109"/>
      <c r="D188" s="109"/>
      <c r="E188" s="109"/>
      <c r="F188" s="109"/>
      <c r="G188" s="109"/>
      <c r="H188" s="109"/>
      <c r="I188" s="109"/>
    </row>
    <row r="189" spans="1:9" ht="21.75" customHeight="1" x14ac:dyDescent="0.6">
      <c r="A189" s="109"/>
      <c r="B189" s="109"/>
      <c r="C189" s="109"/>
      <c r="D189" s="109"/>
      <c r="E189" s="109"/>
      <c r="F189" s="109"/>
      <c r="G189" s="109"/>
      <c r="H189" s="109"/>
      <c r="I189" s="109"/>
    </row>
    <row r="190" spans="1:9" ht="21.75" customHeight="1" x14ac:dyDescent="0.6">
      <c r="A190" s="109"/>
      <c r="B190" s="109"/>
      <c r="C190" s="109"/>
      <c r="D190" s="109"/>
      <c r="E190" s="109"/>
      <c r="F190" s="109"/>
      <c r="G190" s="109"/>
      <c r="H190" s="109"/>
      <c r="I190" s="109"/>
    </row>
    <row r="191" spans="1:9" ht="21.75" customHeight="1" x14ac:dyDescent="0.6">
      <c r="A191" s="109"/>
      <c r="B191" s="109"/>
      <c r="C191" s="109"/>
      <c r="D191" s="109"/>
      <c r="E191" s="109"/>
      <c r="F191" s="109"/>
      <c r="G191" s="109"/>
      <c r="H191" s="109"/>
      <c r="I191" s="109"/>
    </row>
    <row r="192" spans="1:9" ht="21.75" customHeight="1" x14ac:dyDescent="0.6">
      <c r="A192" s="109"/>
      <c r="B192" s="109"/>
      <c r="C192" s="109"/>
      <c r="D192" s="109"/>
      <c r="E192" s="109"/>
      <c r="F192" s="109"/>
      <c r="G192" s="109"/>
      <c r="H192" s="109"/>
      <c r="I192" s="109"/>
    </row>
    <row r="193" spans="1:9" ht="21.75" customHeight="1" x14ac:dyDescent="0.6">
      <c r="A193" s="109"/>
      <c r="B193" s="109"/>
      <c r="C193" s="109"/>
      <c r="D193" s="109"/>
      <c r="E193" s="109"/>
      <c r="F193" s="109"/>
      <c r="G193" s="109"/>
      <c r="H193" s="109"/>
      <c r="I193" s="109"/>
    </row>
    <row r="194" spans="1:9" ht="21.75" customHeight="1" x14ac:dyDescent="0.6">
      <c r="A194" s="109"/>
      <c r="B194" s="109"/>
      <c r="C194" s="109"/>
      <c r="D194" s="109"/>
      <c r="E194" s="109"/>
      <c r="F194" s="109"/>
      <c r="G194" s="109"/>
      <c r="H194" s="109"/>
      <c r="I194" s="109"/>
    </row>
    <row r="195" spans="1:9" ht="21.75" customHeight="1" x14ac:dyDescent="0.6">
      <c r="A195" s="109"/>
      <c r="B195" s="109"/>
      <c r="C195" s="109"/>
      <c r="D195" s="109"/>
      <c r="E195" s="109"/>
      <c r="F195" s="109"/>
      <c r="G195" s="109"/>
      <c r="H195" s="109"/>
      <c r="I195" s="109"/>
    </row>
    <row r="196" spans="1:9" ht="21.75" customHeight="1" x14ac:dyDescent="0.6">
      <c r="A196" s="109"/>
      <c r="B196" s="109"/>
      <c r="C196" s="109"/>
      <c r="D196" s="109"/>
      <c r="E196" s="109"/>
      <c r="F196" s="109"/>
      <c r="G196" s="109"/>
      <c r="H196" s="109"/>
      <c r="I196" s="109"/>
    </row>
    <row r="197" spans="1:9" ht="21.75" customHeight="1" x14ac:dyDescent="0.6">
      <c r="A197" s="109"/>
      <c r="B197" s="109"/>
      <c r="C197" s="109"/>
      <c r="D197" s="109"/>
      <c r="E197" s="109"/>
      <c r="F197" s="109"/>
      <c r="G197" s="109"/>
      <c r="H197" s="109"/>
      <c r="I197" s="109"/>
    </row>
    <row r="198" spans="1:9" ht="21.75" customHeight="1" x14ac:dyDescent="0.6">
      <c r="A198" s="109"/>
      <c r="B198" s="109"/>
      <c r="C198" s="109"/>
      <c r="D198" s="109"/>
      <c r="E198" s="109"/>
      <c r="F198" s="109"/>
      <c r="G198" s="109"/>
      <c r="H198" s="109"/>
      <c r="I198" s="109"/>
    </row>
    <row r="199" spans="1:9" ht="21.75" customHeight="1" x14ac:dyDescent="0.6">
      <c r="A199" s="109"/>
      <c r="B199" s="109"/>
      <c r="C199" s="109"/>
      <c r="D199" s="109"/>
      <c r="E199" s="109"/>
      <c r="F199" s="109"/>
      <c r="G199" s="109"/>
      <c r="H199" s="109"/>
      <c r="I199" s="109"/>
    </row>
    <row r="200" spans="1:9" ht="21.75" customHeight="1" x14ac:dyDescent="0.6">
      <c r="A200" s="109"/>
      <c r="B200" s="109"/>
      <c r="C200" s="109"/>
      <c r="D200" s="109"/>
      <c r="E200" s="109"/>
      <c r="F200" s="109"/>
      <c r="G200" s="109"/>
      <c r="H200" s="109"/>
      <c r="I200" s="109"/>
    </row>
    <row r="201" spans="1:9" ht="21.75" customHeight="1" x14ac:dyDescent="0.6">
      <c r="A201" s="109"/>
      <c r="B201" s="109"/>
      <c r="C201" s="109"/>
      <c r="D201" s="109"/>
      <c r="E201" s="109"/>
      <c r="F201" s="109"/>
      <c r="G201" s="109"/>
      <c r="H201" s="109"/>
      <c r="I201" s="109"/>
    </row>
    <row r="202" spans="1:9" ht="21.75" customHeight="1" x14ac:dyDescent="0.6">
      <c r="A202" s="109"/>
      <c r="B202" s="109"/>
      <c r="C202" s="109"/>
      <c r="D202" s="109"/>
      <c r="E202" s="109"/>
      <c r="F202" s="109"/>
      <c r="G202" s="109"/>
      <c r="H202" s="109"/>
      <c r="I202" s="109"/>
    </row>
    <row r="203" spans="1:9" ht="21.75" customHeight="1" x14ac:dyDescent="0.6">
      <c r="A203" s="109"/>
      <c r="B203" s="109"/>
      <c r="C203" s="109"/>
      <c r="D203" s="109"/>
      <c r="E203" s="109"/>
      <c r="F203" s="109"/>
      <c r="G203" s="109"/>
      <c r="H203" s="109"/>
      <c r="I203" s="109"/>
    </row>
    <row r="204" spans="1:9" ht="21.75" customHeight="1" x14ac:dyDescent="0.6">
      <c r="A204" s="109"/>
      <c r="B204" s="109"/>
      <c r="C204" s="109"/>
      <c r="D204" s="109"/>
      <c r="E204" s="109"/>
      <c r="F204" s="109"/>
      <c r="G204" s="109"/>
      <c r="H204" s="109"/>
      <c r="I204" s="109"/>
    </row>
    <row r="205" spans="1:9" ht="21.75" customHeight="1" x14ac:dyDescent="0.6">
      <c r="A205" s="109"/>
      <c r="B205" s="109"/>
      <c r="C205" s="109"/>
      <c r="D205" s="109"/>
      <c r="E205" s="109"/>
      <c r="F205" s="109"/>
      <c r="G205" s="109"/>
      <c r="H205" s="109"/>
      <c r="I205" s="109"/>
    </row>
    <row r="206" spans="1:9" ht="21.75" customHeight="1" x14ac:dyDescent="0.6">
      <c r="A206" s="109"/>
      <c r="B206" s="109"/>
      <c r="C206" s="109"/>
      <c r="D206" s="109"/>
      <c r="E206" s="109"/>
      <c r="F206" s="109"/>
      <c r="G206" s="109"/>
      <c r="H206" s="109"/>
      <c r="I206" s="109"/>
    </row>
    <row r="207" spans="1:9" ht="21.75" customHeight="1" x14ac:dyDescent="0.6">
      <c r="A207" s="109"/>
      <c r="B207" s="109"/>
      <c r="C207" s="109"/>
      <c r="D207" s="109"/>
      <c r="E207" s="109"/>
      <c r="F207" s="109"/>
      <c r="G207" s="109"/>
      <c r="H207" s="109"/>
      <c r="I207" s="109"/>
    </row>
    <row r="208" spans="1:9" ht="21.75" customHeight="1" x14ac:dyDescent="0.6">
      <c r="A208" s="109"/>
      <c r="B208" s="109"/>
      <c r="C208" s="109"/>
      <c r="D208" s="109"/>
      <c r="E208" s="109"/>
      <c r="F208" s="109"/>
      <c r="G208" s="109"/>
      <c r="H208" s="109"/>
      <c r="I208" s="109"/>
    </row>
    <row r="209" spans="1:9" ht="21.75" customHeight="1" x14ac:dyDescent="0.6">
      <c r="A209" s="109"/>
      <c r="B209" s="109"/>
      <c r="C209" s="109"/>
      <c r="D209" s="109"/>
      <c r="E209" s="109"/>
      <c r="F209" s="109"/>
      <c r="G209" s="109"/>
      <c r="H209" s="109"/>
      <c r="I209" s="109"/>
    </row>
    <row r="210" spans="1:9" ht="21.75" customHeight="1" x14ac:dyDescent="0.6">
      <c r="A210" s="109"/>
      <c r="B210" s="109"/>
      <c r="C210" s="109"/>
      <c r="D210" s="109"/>
      <c r="E210" s="109"/>
      <c r="F210" s="109"/>
      <c r="G210" s="109"/>
      <c r="H210" s="109"/>
      <c r="I210" s="109"/>
    </row>
    <row r="211" spans="1:9" ht="21.75" customHeight="1" x14ac:dyDescent="0.6">
      <c r="A211" s="109"/>
      <c r="B211" s="109"/>
      <c r="C211" s="109"/>
      <c r="D211" s="109"/>
      <c r="E211" s="109"/>
      <c r="F211" s="109"/>
      <c r="G211" s="109"/>
      <c r="H211" s="109"/>
      <c r="I211" s="109"/>
    </row>
    <row r="212" spans="1:9" ht="21.75" customHeight="1" x14ac:dyDescent="0.6">
      <c r="A212" s="109"/>
      <c r="B212" s="109"/>
      <c r="C212" s="109"/>
      <c r="D212" s="109"/>
      <c r="E212" s="109"/>
      <c r="F212" s="109"/>
      <c r="G212" s="109"/>
      <c r="H212" s="109"/>
      <c r="I212" s="109"/>
    </row>
    <row r="213" spans="1:9" ht="21.75" customHeight="1" x14ac:dyDescent="0.6">
      <c r="A213" s="109"/>
      <c r="B213" s="109"/>
      <c r="C213" s="109"/>
      <c r="D213" s="109"/>
      <c r="E213" s="109"/>
      <c r="F213" s="109"/>
      <c r="G213" s="109"/>
      <c r="H213" s="109"/>
      <c r="I213" s="109"/>
    </row>
    <row r="214" spans="1:9" ht="21.75" customHeight="1" x14ac:dyDescent="0.6">
      <c r="A214" s="109"/>
      <c r="B214" s="109"/>
      <c r="C214" s="109"/>
      <c r="D214" s="109"/>
      <c r="E214" s="109"/>
      <c r="F214" s="109"/>
      <c r="G214" s="109"/>
      <c r="H214" s="109"/>
      <c r="I214" s="109"/>
    </row>
    <row r="215" spans="1:9" ht="21.75" customHeight="1" x14ac:dyDescent="0.6">
      <c r="A215" s="109"/>
      <c r="B215" s="109"/>
      <c r="C215" s="109"/>
      <c r="D215" s="109"/>
      <c r="E215" s="109"/>
      <c r="F215" s="109"/>
      <c r="G215" s="109"/>
      <c r="H215" s="109"/>
      <c r="I215" s="109"/>
    </row>
    <row r="216" spans="1:9" ht="21.75" customHeight="1" x14ac:dyDescent="0.6">
      <c r="A216" s="109"/>
      <c r="B216" s="109"/>
      <c r="C216" s="109"/>
      <c r="D216" s="109"/>
      <c r="E216" s="109"/>
      <c r="F216" s="109"/>
      <c r="G216" s="109"/>
      <c r="H216" s="109"/>
      <c r="I216" s="109"/>
    </row>
    <row r="217" spans="1:9" ht="21.75" customHeight="1" x14ac:dyDescent="0.6">
      <c r="A217" s="109"/>
      <c r="B217" s="109"/>
      <c r="C217" s="109"/>
      <c r="D217" s="109"/>
      <c r="E217" s="109"/>
      <c r="F217" s="109"/>
      <c r="G217" s="109"/>
      <c r="H217" s="109"/>
      <c r="I217" s="109"/>
    </row>
    <row r="218" spans="1:9" ht="21.75" customHeight="1" x14ac:dyDescent="0.6">
      <c r="A218" s="109"/>
      <c r="B218" s="109"/>
      <c r="C218" s="109"/>
      <c r="D218" s="109"/>
      <c r="E218" s="109"/>
      <c r="F218" s="109"/>
      <c r="G218" s="109"/>
      <c r="H218" s="109"/>
      <c r="I218" s="109"/>
    </row>
    <row r="219" spans="1:9" ht="21.75" customHeight="1" x14ac:dyDescent="0.6">
      <c r="A219" s="109"/>
      <c r="B219" s="109"/>
      <c r="C219" s="109"/>
      <c r="D219" s="109"/>
      <c r="E219" s="109"/>
      <c r="F219" s="109"/>
      <c r="G219" s="109"/>
      <c r="H219" s="109"/>
      <c r="I219" s="109"/>
    </row>
    <row r="220" spans="1:9" ht="21.75" customHeight="1" x14ac:dyDescent="0.6">
      <c r="A220" s="109"/>
      <c r="B220" s="109"/>
      <c r="C220" s="109"/>
      <c r="D220" s="109"/>
      <c r="E220" s="109"/>
      <c r="F220" s="109"/>
      <c r="G220" s="109"/>
      <c r="H220" s="109"/>
      <c r="I220" s="109"/>
    </row>
    <row r="221" spans="1:9" ht="21.75" customHeight="1" x14ac:dyDescent="0.6">
      <c r="A221" s="109"/>
      <c r="B221" s="109"/>
      <c r="C221" s="109"/>
      <c r="D221" s="109"/>
      <c r="E221" s="109"/>
      <c r="F221" s="109"/>
      <c r="G221" s="109"/>
      <c r="H221" s="109"/>
      <c r="I221" s="109"/>
    </row>
    <row r="222" spans="1:9" ht="21.75" customHeight="1" x14ac:dyDescent="0.6">
      <c r="A222" s="109"/>
      <c r="B222" s="109"/>
      <c r="C222" s="109"/>
      <c r="D222" s="109"/>
      <c r="E222" s="109"/>
      <c r="F222" s="109"/>
      <c r="G222" s="109"/>
      <c r="H222" s="109"/>
      <c r="I222" s="109"/>
    </row>
    <row r="223" spans="1:9" ht="21.75" customHeight="1" x14ac:dyDescent="0.6">
      <c r="A223" s="109"/>
      <c r="B223" s="109"/>
      <c r="C223" s="109"/>
      <c r="D223" s="109"/>
      <c r="E223" s="109"/>
      <c r="F223" s="109"/>
      <c r="G223" s="109"/>
      <c r="H223" s="109"/>
      <c r="I223" s="109"/>
    </row>
    <row r="224" spans="1:9" ht="21.75" customHeight="1" x14ac:dyDescent="0.6">
      <c r="A224" s="109"/>
      <c r="B224" s="109"/>
      <c r="C224" s="109"/>
      <c r="D224" s="109"/>
      <c r="E224" s="109"/>
      <c r="F224" s="109"/>
      <c r="G224" s="109"/>
      <c r="H224" s="109"/>
      <c r="I224" s="109"/>
    </row>
    <row r="225" spans="1:9" ht="21.75" customHeight="1" x14ac:dyDescent="0.6">
      <c r="A225" s="109"/>
      <c r="B225" s="109"/>
      <c r="C225" s="109"/>
      <c r="D225" s="109"/>
      <c r="E225" s="109"/>
      <c r="F225" s="109"/>
      <c r="G225" s="109"/>
      <c r="H225" s="109"/>
      <c r="I225" s="109"/>
    </row>
    <row r="226" spans="1:9" ht="21.75" customHeight="1" x14ac:dyDescent="0.6">
      <c r="A226" s="109"/>
      <c r="B226" s="109"/>
      <c r="C226" s="109"/>
      <c r="D226" s="109"/>
      <c r="E226" s="109"/>
      <c r="F226" s="109"/>
      <c r="G226" s="109"/>
      <c r="H226" s="109"/>
      <c r="I226" s="109"/>
    </row>
    <row r="227" spans="1:9" ht="21.75" customHeight="1" x14ac:dyDescent="0.6">
      <c r="A227" s="109"/>
      <c r="B227" s="109"/>
      <c r="C227" s="109"/>
      <c r="D227" s="109"/>
      <c r="E227" s="109"/>
      <c r="F227" s="109"/>
      <c r="G227" s="109"/>
      <c r="H227" s="109"/>
      <c r="I227" s="109"/>
    </row>
    <row r="228" spans="1:9" ht="21.75" customHeight="1" x14ac:dyDescent="0.6">
      <c r="A228" s="109"/>
      <c r="B228" s="109"/>
      <c r="C228" s="109"/>
      <c r="D228" s="109"/>
      <c r="E228" s="109"/>
      <c r="F228" s="109"/>
      <c r="G228" s="109"/>
      <c r="H228" s="109"/>
      <c r="I228" s="109"/>
    </row>
    <row r="229" spans="1:9" ht="21.75" customHeight="1" x14ac:dyDescent="0.6">
      <c r="A229" s="109"/>
      <c r="B229" s="109"/>
      <c r="C229" s="109"/>
      <c r="D229" s="109"/>
      <c r="E229" s="109"/>
      <c r="F229" s="109"/>
      <c r="G229" s="109"/>
      <c r="H229" s="109"/>
      <c r="I229" s="109"/>
    </row>
    <row r="230" spans="1:9" ht="21.75" customHeight="1" x14ac:dyDescent="0.6">
      <c r="A230" s="109"/>
      <c r="B230" s="109"/>
      <c r="C230" s="109"/>
      <c r="D230" s="109"/>
      <c r="E230" s="109"/>
      <c r="F230" s="109"/>
      <c r="G230" s="109"/>
      <c r="H230" s="109"/>
      <c r="I230" s="109"/>
    </row>
    <row r="231" spans="1:9" ht="21.75" customHeight="1" x14ac:dyDescent="0.6">
      <c r="A231" s="109"/>
      <c r="B231" s="109"/>
      <c r="C231" s="109"/>
      <c r="D231" s="109"/>
      <c r="E231" s="109"/>
      <c r="F231" s="109"/>
      <c r="G231" s="109"/>
      <c r="H231" s="109"/>
      <c r="I231" s="109"/>
    </row>
    <row r="232" spans="1:9" ht="21.75" customHeight="1" x14ac:dyDescent="0.6">
      <c r="A232" s="109"/>
      <c r="B232" s="109"/>
      <c r="C232" s="109"/>
      <c r="D232" s="109"/>
      <c r="E232" s="109"/>
      <c r="F232" s="109"/>
      <c r="G232" s="109"/>
      <c r="H232" s="109"/>
      <c r="I232" s="109"/>
    </row>
    <row r="233" spans="1:9" ht="21.75" customHeight="1" x14ac:dyDescent="0.6">
      <c r="A233" s="109"/>
      <c r="B233" s="109"/>
      <c r="C233" s="109"/>
      <c r="D233" s="109"/>
      <c r="E233" s="109"/>
      <c r="F233" s="109"/>
      <c r="G233" s="109"/>
      <c r="H233" s="109"/>
      <c r="I233" s="109"/>
    </row>
    <row r="234" spans="1:9" ht="21.75" customHeight="1" x14ac:dyDescent="0.6">
      <c r="A234" s="109"/>
      <c r="B234" s="109"/>
      <c r="C234" s="109"/>
      <c r="D234" s="109"/>
      <c r="E234" s="109"/>
      <c r="F234" s="109"/>
      <c r="G234" s="109"/>
      <c r="H234" s="109"/>
      <c r="I234" s="109"/>
    </row>
    <row r="235" spans="1:9" ht="21.75" customHeight="1" x14ac:dyDescent="0.6">
      <c r="A235" s="109"/>
      <c r="B235" s="109"/>
      <c r="C235" s="109"/>
      <c r="D235" s="109"/>
      <c r="E235" s="109"/>
      <c r="F235" s="109"/>
      <c r="G235" s="109"/>
      <c r="H235" s="109"/>
      <c r="I235" s="109"/>
    </row>
    <row r="236" spans="1:9" ht="21.75" customHeight="1" x14ac:dyDescent="0.6">
      <c r="A236" s="109"/>
      <c r="B236" s="109"/>
      <c r="C236" s="109"/>
      <c r="D236" s="109"/>
      <c r="E236" s="109"/>
      <c r="F236" s="109"/>
      <c r="G236" s="109"/>
      <c r="H236" s="109"/>
      <c r="I236" s="109"/>
    </row>
    <row r="237" spans="1:9" ht="21.75" customHeight="1" x14ac:dyDescent="0.6">
      <c r="A237" s="109"/>
      <c r="B237" s="109"/>
      <c r="C237" s="109"/>
      <c r="D237" s="109"/>
      <c r="E237" s="109"/>
      <c r="F237" s="109"/>
      <c r="G237" s="109"/>
      <c r="H237" s="109"/>
      <c r="I237" s="109"/>
    </row>
    <row r="238" spans="1:9" ht="21.75" customHeight="1" x14ac:dyDescent="0.6">
      <c r="A238" s="109"/>
      <c r="B238" s="109"/>
      <c r="C238" s="109"/>
      <c r="D238" s="109"/>
      <c r="E238" s="109"/>
      <c r="F238" s="109"/>
      <c r="G238" s="109"/>
      <c r="H238" s="109"/>
      <c r="I238" s="109"/>
    </row>
    <row r="239" spans="1:9" ht="21.75" customHeight="1" x14ac:dyDescent="0.6">
      <c r="A239" s="109"/>
      <c r="B239" s="109"/>
      <c r="C239" s="109"/>
      <c r="D239" s="109"/>
      <c r="E239" s="109"/>
      <c r="F239" s="109"/>
      <c r="G239" s="109"/>
      <c r="H239" s="109"/>
      <c r="I239" s="109"/>
    </row>
    <row r="240" spans="1:9" ht="21.75" customHeight="1" x14ac:dyDescent="0.6">
      <c r="A240" s="109"/>
      <c r="B240" s="109"/>
      <c r="C240" s="109"/>
      <c r="D240" s="109"/>
      <c r="E240" s="109"/>
      <c r="F240" s="109"/>
      <c r="G240" s="109"/>
      <c r="H240" s="109"/>
      <c r="I240" s="109"/>
    </row>
    <row r="241" spans="1:9" ht="21.75" customHeight="1" x14ac:dyDescent="0.6">
      <c r="A241" s="109"/>
      <c r="B241" s="109"/>
      <c r="C241" s="109"/>
      <c r="D241" s="109"/>
      <c r="E241" s="109"/>
      <c r="F241" s="109"/>
      <c r="G241" s="109"/>
      <c r="H241" s="109"/>
      <c r="I241" s="109"/>
    </row>
    <row r="242" spans="1:9" ht="21.75" customHeight="1" x14ac:dyDescent="0.6">
      <c r="A242" s="109"/>
      <c r="B242" s="109"/>
      <c r="C242" s="109"/>
      <c r="D242" s="109"/>
      <c r="E242" s="109"/>
      <c r="F242" s="109"/>
      <c r="G242" s="109"/>
      <c r="H242" s="109"/>
      <c r="I242" s="109"/>
    </row>
    <row r="243" spans="1:9" ht="21.75" customHeight="1" x14ac:dyDescent="0.6">
      <c r="A243" s="109"/>
      <c r="B243" s="109"/>
      <c r="C243" s="109"/>
      <c r="D243" s="109"/>
      <c r="E243" s="109"/>
      <c r="F243" s="109"/>
      <c r="G243" s="109"/>
      <c r="H243" s="109"/>
      <c r="I243" s="109"/>
    </row>
    <row r="244" spans="1:9" ht="21.75" customHeight="1" x14ac:dyDescent="0.6">
      <c r="A244" s="109"/>
      <c r="B244" s="109"/>
      <c r="C244" s="109"/>
      <c r="D244" s="109"/>
      <c r="E244" s="109"/>
      <c r="F244" s="109"/>
      <c r="G244" s="109"/>
      <c r="H244" s="109"/>
      <c r="I244" s="109"/>
    </row>
    <row r="245" spans="1:9" ht="21.75" customHeight="1" x14ac:dyDescent="0.6">
      <c r="A245" s="109"/>
      <c r="B245" s="109"/>
      <c r="C245" s="109"/>
      <c r="D245" s="109"/>
      <c r="E245" s="109"/>
      <c r="F245" s="109"/>
      <c r="G245" s="109"/>
      <c r="H245" s="109"/>
      <c r="I245" s="109"/>
    </row>
    <row r="246" spans="1:9" ht="21.75" customHeight="1" x14ac:dyDescent="0.6">
      <c r="A246" s="109"/>
      <c r="B246" s="109"/>
      <c r="C246" s="109"/>
      <c r="D246" s="109"/>
      <c r="E246" s="109"/>
      <c r="F246" s="109"/>
      <c r="G246" s="109"/>
      <c r="H246" s="109"/>
      <c r="I246" s="109"/>
    </row>
    <row r="247" spans="1:9" ht="21.75" customHeight="1" x14ac:dyDescent="0.6">
      <c r="A247" s="109"/>
      <c r="B247" s="109"/>
      <c r="C247" s="109"/>
      <c r="D247" s="109"/>
      <c r="E247" s="109"/>
      <c r="F247" s="109"/>
      <c r="G247" s="109"/>
      <c r="H247" s="109"/>
      <c r="I247" s="109"/>
    </row>
    <row r="248" spans="1:9" ht="21.75" customHeight="1" x14ac:dyDescent="0.6">
      <c r="A248" s="109"/>
      <c r="B248" s="109"/>
      <c r="C248" s="109"/>
      <c r="D248" s="109"/>
      <c r="E248" s="109"/>
      <c r="F248" s="109"/>
      <c r="G248" s="109"/>
      <c r="H248" s="109"/>
      <c r="I248" s="109"/>
    </row>
    <row r="249" spans="1:9" ht="21.75" customHeight="1" x14ac:dyDescent="0.6">
      <c r="A249" s="109"/>
      <c r="B249" s="109"/>
      <c r="C249" s="109"/>
      <c r="D249" s="109"/>
      <c r="E249" s="109"/>
      <c r="F249" s="109"/>
      <c r="G249" s="109"/>
      <c r="H249" s="109"/>
      <c r="I249" s="109"/>
    </row>
    <row r="250" spans="1:9" ht="21.75" customHeight="1" x14ac:dyDescent="0.6">
      <c r="A250" s="109"/>
      <c r="B250" s="109"/>
      <c r="C250" s="109"/>
      <c r="D250" s="109"/>
      <c r="E250" s="109"/>
      <c r="F250" s="109"/>
      <c r="G250" s="109"/>
      <c r="H250" s="109"/>
      <c r="I250" s="109"/>
    </row>
    <row r="251" spans="1:9" ht="21.75" customHeight="1" x14ac:dyDescent="0.6">
      <c r="A251" s="109"/>
      <c r="B251" s="109"/>
      <c r="C251" s="109"/>
      <c r="D251" s="109"/>
      <c r="E251" s="109"/>
      <c r="F251" s="109"/>
      <c r="G251" s="109"/>
      <c r="H251" s="109"/>
      <c r="I251" s="109"/>
    </row>
    <row r="252" spans="1:9" ht="21.75" customHeight="1" x14ac:dyDescent="0.6">
      <c r="A252" s="109"/>
      <c r="B252" s="109"/>
      <c r="C252" s="109"/>
      <c r="D252" s="109"/>
      <c r="E252" s="109"/>
      <c r="F252" s="109"/>
      <c r="G252" s="109"/>
      <c r="H252" s="109"/>
      <c r="I252" s="109"/>
    </row>
    <row r="253" spans="1:9" ht="21.75" customHeight="1" x14ac:dyDescent="0.6">
      <c r="A253" s="109"/>
      <c r="B253" s="109"/>
      <c r="C253" s="109"/>
      <c r="D253" s="109"/>
      <c r="E253" s="109"/>
      <c r="F253" s="109"/>
      <c r="G253" s="109"/>
      <c r="H253" s="109"/>
      <c r="I253" s="109"/>
    </row>
    <row r="254" spans="1:9" ht="21.75" customHeight="1" x14ac:dyDescent="0.6">
      <c r="A254" s="109"/>
      <c r="B254" s="109"/>
      <c r="C254" s="109"/>
      <c r="D254" s="109"/>
      <c r="E254" s="109"/>
      <c r="F254" s="109"/>
      <c r="G254" s="109"/>
      <c r="H254" s="109"/>
      <c r="I254" s="109"/>
    </row>
    <row r="255" spans="1:9" ht="21.75" customHeight="1" x14ac:dyDescent="0.6">
      <c r="A255" s="109"/>
      <c r="B255" s="109"/>
      <c r="C255" s="109"/>
      <c r="D255" s="109"/>
      <c r="E255" s="109"/>
      <c r="F255" s="109"/>
      <c r="G255" s="109"/>
      <c r="H255" s="109"/>
      <c r="I255" s="109"/>
    </row>
    <row r="256" spans="1:9" ht="21.75" customHeight="1" x14ac:dyDescent="0.6">
      <c r="A256" s="109"/>
      <c r="B256" s="109"/>
      <c r="C256" s="109"/>
      <c r="D256" s="109"/>
      <c r="E256" s="109"/>
      <c r="F256" s="109"/>
      <c r="G256" s="109"/>
      <c r="H256" s="109"/>
      <c r="I256" s="109"/>
    </row>
    <row r="257" spans="1:9" ht="21.75" customHeight="1" x14ac:dyDescent="0.6">
      <c r="A257" s="109"/>
      <c r="B257" s="109"/>
      <c r="C257" s="109"/>
      <c r="D257" s="109"/>
      <c r="E257" s="109"/>
      <c r="F257" s="109"/>
      <c r="G257" s="109"/>
      <c r="H257" s="109"/>
      <c r="I257" s="109"/>
    </row>
    <row r="258" spans="1:9" ht="21.75" customHeight="1" x14ac:dyDescent="0.6">
      <c r="A258" s="109"/>
      <c r="B258" s="109"/>
      <c r="C258" s="109"/>
      <c r="D258" s="109"/>
      <c r="E258" s="109"/>
      <c r="F258" s="109"/>
      <c r="G258" s="109"/>
      <c r="H258" s="109"/>
      <c r="I258" s="109"/>
    </row>
    <row r="259" spans="1:9" ht="21.75" customHeight="1" x14ac:dyDescent="0.6">
      <c r="A259" s="109"/>
      <c r="B259" s="109"/>
      <c r="C259" s="109"/>
      <c r="D259" s="109"/>
      <c r="E259" s="109"/>
      <c r="F259" s="109"/>
      <c r="G259" s="109"/>
      <c r="H259" s="109"/>
      <c r="I259" s="109"/>
    </row>
    <row r="260" spans="1:9" ht="21.75" customHeight="1" x14ac:dyDescent="0.6">
      <c r="A260" s="109"/>
      <c r="B260" s="109"/>
      <c r="C260" s="109"/>
      <c r="D260" s="109"/>
      <c r="E260" s="109"/>
      <c r="F260" s="109"/>
      <c r="G260" s="109"/>
      <c r="H260" s="109"/>
      <c r="I260" s="109"/>
    </row>
    <row r="261" spans="1:9" ht="21.75" customHeight="1" x14ac:dyDescent="0.6">
      <c r="A261" s="109"/>
      <c r="B261" s="109"/>
      <c r="C261" s="109"/>
      <c r="D261" s="109"/>
      <c r="E261" s="109"/>
      <c r="F261" s="109"/>
      <c r="G261" s="109"/>
      <c r="H261" s="109"/>
      <c r="I261" s="109"/>
    </row>
    <row r="262" spans="1:9" ht="21.75" customHeight="1" x14ac:dyDescent="0.6">
      <c r="A262" s="109"/>
      <c r="B262" s="109"/>
      <c r="C262" s="109"/>
      <c r="D262" s="109"/>
      <c r="E262" s="109"/>
      <c r="F262" s="109"/>
      <c r="G262" s="109"/>
      <c r="H262" s="109"/>
      <c r="I262" s="109"/>
    </row>
    <row r="263" spans="1:9" ht="21.75" customHeight="1" x14ac:dyDescent="0.6">
      <c r="A263" s="109"/>
      <c r="B263" s="109"/>
      <c r="C263" s="109"/>
      <c r="D263" s="109"/>
      <c r="E263" s="109"/>
      <c r="F263" s="109"/>
      <c r="G263" s="109"/>
      <c r="H263" s="109"/>
      <c r="I263" s="109"/>
    </row>
    <row r="264" spans="1:9" ht="21.75" customHeight="1" x14ac:dyDescent="0.6">
      <c r="A264" s="109"/>
      <c r="B264" s="109"/>
      <c r="C264" s="109"/>
      <c r="D264" s="109"/>
      <c r="E264" s="109"/>
      <c r="F264" s="109"/>
      <c r="G264" s="109"/>
      <c r="H264" s="109"/>
      <c r="I264" s="109"/>
    </row>
    <row r="265" spans="1:9" ht="21.75" customHeight="1" x14ac:dyDescent="0.6">
      <c r="A265" s="109"/>
      <c r="B265" s="109"/>
      <c r="C265" s="109"/>
      <c r="D265" s="109"/>
      <c r="E265" s="109"/>
      <c r="F265" s="109"/>
      <c r="G265" s="109"/>
      <c r="H265" s="109"/>
      <c r="I265" s="109"/>
    </row>
    <row r="266" spans="1:9" ht="21.75" customHeight="1" x14ac:dyDescent="0.6">
      <c r="A266" s="109"/>
      <c r="B266" s="109"/>
      <c r="C266" s="109"/>
      <c r="D266" s="109"/>
      <c r="E266" s="109"/>
      <c r="F266" s="109"/>
      <c r="G266" s="109"/>
      <c r="H266" s="109"/>
      <c r="I266" s="109"/>
    </row>
    <row r="267" spans="1:9" ht="21.75" customHeight="1" x14ac:dyDescent="0.6">
      <c r="A267" s="109"/>
      <c r="B267" s="109"/>
      <c r="C267" s="109"/>
      <c r="D267" s="109"/>
      <c r="E267" s="109"/>
      <c r="F267" s="109"/>
      <c r="G267" s="109"/>
      <c r="H267" s="109"/>
      <c r="I267" s="109"/>
    </row>
    <row r="268" spans="1:9" ht="21.75" customHeight="1" x14ac:dyDescent="0.6">
      <c r="A268" s="109"/>
      <c r="B268" s="109"/>
      <c r="C268" s="109"/>
      <c r="D268" s="109"/>
      <c r="E268" s="109"/>
      <c r="F268" s="109"/>
      <c r="G268" s="109"/>
      <c r="H268" s="109"/>
      <c r="I268" s="109"/>
    </row>
    <row r="269" spans="1:9" ht="21.75" customHeight="1" x14ac:dyDescent="0.6">
      <c r="A269" s="109"/>
      <c r="B269" s="109"/>
      <c r="C269" s="109"/>
      <c r="D269" s="109"/>
      <c r="E269" s="109"/>
      <c r="F269" s="109"/>
      <c r="G269" s="109"/>
      <c r="H269" s="109"/>
      <c r="I269" s="109"/>
    </row>
    <row r="270" spans="1:9" ht="21.75" customHeight="1" x14ac:dyDescent="0.6">
      <c r="A270" s="109"/>
      <c r="B270" s="109"/>
      <c r="C270" s="109"/>
      <c r="D270" s="109"/>
      <c r="E270" s="109"/>
      <c r="F270" s="109"/>
      <c r="G270" s="109"/>
      <c r="H270" s="109"/>
      <c r="I270" s="109"/>
    </row>
    <row r="271" spans="1:9" ht="21.75" customHeight="1" x14ac:dyDescent="0.6">
      <c r="A271" s="109"/>
      <c r="B271" s="109"/>
      <c r="C271" s="109"/>
      <c r="D271" s="109"/>
      <c r="E271" s="109"/>
      <c r="F271" s="109"/>
      <c r="G271" s="109"/>
      <c r="H271" s="109"/>
      <c r="I271" s="109"/>
    </row>
    <row r="272" spans="1:9" ht="21.75" customHeight="1" x14ac:dyDescent="0.6">
      <c r="A272" s="109"/>
      <c r="B272" s="109"/>
      <c r="C272" s="109"/>
      <c r="D272" s="109"/>
      <c r="E272" s="109"/>
      <c r="F272" s="109"/>
      <c r="G272" s="109"/>
      <c r="H272" s="109"/>
      <c r="I272" s="109"/>
    </row>
    <row r="273" spans="1:9" ht="21.75" customHeight="1" x14ac:dyDescent="0.6">
      <c r="A273" s="109"/>
      <c r="B273" s="109"/>
      <c r="C273" s="109"/>
      <c r="D273" s="109"/>
      <c r="E273" s="109"/>
      <c r="F273" s="109"/>
      <c r="G273" s="109"/>
      <c r="H273" s="109"/>
      <c r="I273" s="109"/>
    </row>
    <row r="274" spans="1:9" ht="21.75" customHeight="1" x14ac:dyDescent="0.6">
      <c r="A274" s="109"/>
      <c r="B274" s="109"/>
      <c r="C274" s="109"/>
      <c r="D274" s="109"/>
      <c r="E274" s="109"/>
      <c r="F274" s="109"/>
      <c r="G274" s="109"/>
      <c r="H274" s="109"/>
      <c r="I274" s="109"/>
    </row>
    <row r="275" spans="1:9" ht="21.75" customHeight="1" x14ac:dyDescent="0.6">
      <c r="A275" s="109"/>
      <c r="B275" s="109"/>
      <c r="C275" s="109"/>
      <c r="D275" s="109"/>
      <c r="E275" s="109"/>
      <c r="F275" s="109"/>
      <c r="G275" s="109"/>
      <c r="H275" s="109"/>
      <c r="I275" s="109"/>
    </row>
    <row r="276" spans="1:9" ht="21.75" customHeight="1" x14ac:dyDescent="0.6">
      <c r="A276" s="109"/>
      <c r="B276" s="109"/>
      <c r="C276" s="109"/>
      <c r="D276" s="109"/>
      <c r="E276" s="109"/>
      <c r="F276" s="109"/>
      <c r="G276" s="109"/>
      <c r="H276" s="109"/>
      <c r="I276" s="109"/>
    </row>
    <row r="277" spans="1:9" ht="21.75" customHeight="1" x14ac:dyDescent="0.6">
      <c r="A277" s="109"/>
      <c r="B277" s="109"/>
      <c r="C277" s="109"/>
      <c r="D277" s="109"/>
      <c r="E277" s="109"/>
      <c r="F277" s="109"/>
      <c r="G277" s="109"/>
      <c r="H277" s="109"/>
      <c r="I277" s="109"/>
    </row>
    <row r="278" spans="1:9" ht="21.75" customHeight="1" x14ac:dyDescent="0.6">
      <c r="A278" s="109"/>
      <c r="B278" s="109"/>
      <c r="C278" s="109"/>
      <c r="D278" s="109"/>
      <c r="E278" s="109"/>
      <c r="F278" s="109"/>
      <c r="G278" s="109"/>
      <c r="H278" s="109"/>
      <c r="I278" s="109"/>
    </row>
    <row r="279" spans="1:9" ht="21.75" customHeight="1" x14ac:dyDescent="0.6">
      <c r="A279" s="109"/>
      <c r="B279" s="109"/>
      <c r="C279" s="109"/>
      <c r="D279" s="109"/>
      <c r="E279" s="109"/>
      <c r="F279" s="109"/>
      <c r="G279" s="109"/>
      <c r="H279" s="109"/>
      <c r="I279" s="109"/>
    </row>
    <row r="280" spans="1:9" ht="21.75" customHeight="1" x14ac:dyDescent="0.6">
      <c r="A280" s="109"/>
      <c r="B280" s="109"/>
      <c r="C280" s="109"/>
      <c r="D280" s="109"/>
      <c r="E280" s="109"/>
      <c r="F280" s="109"/>
      <c r="G280" s="109"/>
      <c r="H280" s="109"/>
      <c r="I280" s="109"/>
    </row>
    <row r="281" spans="1:9" ht="21.75" customHeight="1" x14ac:dyDescent="0.6">
      <c r="A281" s="109"/>
      <c r="B281" s="109"/>
      <c r="C281" s="109"/>
      <c r="D281" s="109"/>
      <c r="E281" s="109"/>
      <c r="F281" s="109"/>
      <c r="G281" s="109"/>
      <c r="H281" s="109"/>
      <c r="I281" s="109"/>
    </row>
    <row r="282" spans="1:9" ht="21.75" customHeight="1" x14ac:dyDescent="0.6">
      <c r="A282" s="109"/>
      <c r="B282" s="109"/>
      <c r="C282" s="109"/>
      <c r="D282" s="109"/>
      <c r="E282" s="109"/>
      <c r="F282" s="109"/>
      <c r="G282" s="109"/>
      <c r="H282" s="109"/>
      <c r="I282" s="109"/>
    </row>
    <row r="283" spans="1:9" ht="21.75" customHeight="1" x14ac:dyDescent="0.6">
      <c r="A283" s="109"/>
      <c r="B283" s="109"/>
      <c r="C283" s="109"/>
      <c r="D283" s="109"/>
      <c r="E283" s="109"/>
      <c r="F283" s="109"/>
      <c r="G283" s="109"/>
      <c r="H283" s="109"/>
      <c r="I283" s="109"/>
    </row>
    <row r="284" spans="1:9" ht="21.75" customHeight="1" x14ac:dyDescent="0.6">
      <c r="A284" s="109"/>
      <c r="B284" s="109"/>
      <c r="C284" s="109"/>
      <c r="D284" s="109"/>
      <c r="E284" s="109"/>
      <c r="F284" s="109"/>
      <c r="G284" s="109"/>
      <c r="H284" s="109"/>
      <c r="I284" s="109"/>
    </row>
    <row r="285" spans="1:9" ht="21.75" customHeight="1" x14ac:dyDescent="0.6">
      <c r="A285" s="109"/>
      <c r="B285" s="109"/>
      <c r="C285" s="109"/>
      <c r="D285" s="109"/>
      <c r="E285" s="109"/>
      <c r="F285" s="109"/>
      <c r="G285" s="109"/>
      <c r="H285" s="109"/>
      <c r="I285" s="109"/>
    </row>
    <row r="286" spans="1:9" ht="21.75" customHeight="1" x14ac:dyDescent="0.6">
      <c r="A286" s="109"/>
      <c r="B286" s="109"/>
      <c r="C286" s="109"/>
      <c r="D286" s="109"/>
      <c r="E286" s="109"/>
      <c r="F286" s="109"/>
      <c r="G286" s="109"/>
      <c r="H286" s="109"/>
      <c r="I286" s="109"/>
    </row>
    <row r="287" spans="1:9" ht="21.75" customHeight="1" x14ac:dyDescent="0.6">
      <c r="A287" s="109"/>
      <c r="B287" s="109"/>
      <c r="C287" s="109"/>
      <c r="D287" s="109"/>
      <c r="E287" s="109"/>
      <c r="F287" s="109"/>
      <c r="G287" s="109"/>
      <c r="H287" s="109"/>
      <c r="I287" s="109"/>
    </row>
    <row r="288" spans="1:9" ht="21.75" customHeight="1" x14ac:dyDescent="0.6">
      <c r="A288" s="109"/>
      <c r="B288" s="109"/>
      <c r="C288" s="109"/>
      <c r="D288" s="109"/>
      <c r="E288" s="109"/>
      <c r="F288" s="109"/>
      <c r="G288" s="109"/>
      <c r="H288" s="109"/>
      <c r="I288" s="109"/>
    </row>
    <row r="289" spans="1:9" ht="21.75" customHeight="1" x14ac:dyDescent="0.6">
      <c r="A289" s="109"/>
      <c r="B289" s="109"/>
      <c r="C289" s="109"/>
      <c r="D289" s="109"/>
      <c r="E289" s="109"/>
      <c r="F289" s="109"/>
      <c r="G289" s="109"/>
      <c r="H289" s="109"/>
      <c r="I289" s="109"/>
    </row>
    <row r="290" spans="1:9" ht="21.75" customHeight="1" x14ac:dyDescent="0.6">
      <c r="A290" s="109"/>
      <c r="B290" s="109"/>
      <c r="C290" s="109"/>
      <c r="D290" s="109"/>
      <c r="E290" s="109"/>
      <c r="F290" s="109"/>
      <c r="G290" s="109"/>
      <c r="H290" s="109"/>
      <c r="I290" s="109"/>
    </row>
    <row r="291" spans="1:9" ht="21.75" customHeight="1" x14ac:dyDescent="0.6">
      <c r="A291" s="109"/>
      <c r="B291" s="109"/>
      <c r="C291" s="109"/>
      <c r="D291" s="109"/>
      <c r="E291" s="109"/>
      <c r="F291" s="109"/>
      <c r="G291" s="109"/>
      <c r="H291" s="109"/>
      <c r="I291" s="109"/>
    </row>
    <row r="292" spans="1:9" ht="21.75" customHeight="1" x14ac:dyDescent="0.6">
      <c r="A292" s="109"/>
      <c r="B292" s="109"/>
      <c r="C292" s="109"/>
      <c r="D292" s="109"/>
      <c r="E292" s="109"/>
      <c r="F292" s="109"/>
      <c r="G292" s="109"/>
      <c r="H292" s="109"/>
      <c r="I292" s="109"/>
    </row>
    <row r="293" spans="1:9" ht="21.75" customHeight="1" x14ac:dyDescent="0.6">
      <c r="A293" s="109"/>
      <c r="B293" s="109"/>
      <c r="C293" s="109"/>
      <c r="D293" s="109"/>
      <c r="E293" s="109"/>
      <c r="F293" s="109"/>
      <c r="G293" s="109"/>
      <c r="H293" s="109"/>
      <c r="I293" s="109"/>
    </row>
    <row r="294" spans="1:9" ht="21.75" customHeight="1" x14ac:dyDescent="0.6">
      <c r="A294" s="109"/>
      <c r="B294" s="109"/>
      <c r="C294" s="109"/>
      <c r="D294" s="109"/>
      <c r="E294" s="109"/>
      <c r="F294" s="109"/>
      <c r="G294" s="109"/>
      <c r="H294" s="109"/>
      <c r="I294" s="109"/>
    </row>
    <row r="295" spans="1:9" ht="21.75" customHeight="1" x14ac:dyDescent="0.6">
      <c r="A295" s="109"/>
      <c r="B295" s="109"/>
      <c r="C295" s="109"/>
      <c r="D295" s="109"/>
      <c r="E295" s="109"/>
      <c r="F295" s="109"/>
      <c r="G295" s="109"/>
      <c r="H295" s="109"/>
      <c r="I295" s="109"/>
    </row>
    <row r="296" spans="1:9" ht="21.75" customHeight="1" x14ac:dyDescent="0.6">
      <c r="A296" s="109"/>
      <c r="B296" s="109"/>
      <c r="C296" s="109"/>
      <c r="D296" s="109"/>
      <c r="E296" s="109"/>
      <c r="F296" s="109"/>
      <c r="G296" s="109"/>
      <c r="H296" s="109"/>
      <c r="I296" s="109"/>
    </row>
    <row r="297" spans="1:9" ht="21.75" customHeight="1" x14ac:dyDescent="0.6">
      <c r="A297" s="109"/>
      <c r="B297" s="109"/>
      <c r="C297" s="109"/>
      <c r="D297" s="109"/>
      <c r="E297" s="109"/>
      <c r="F297" s="109"/>
      <c r="G297" s="109"/>
      <c r="H297" s="109"/>
      <c r="I297" s="109"/>
    </row>
    <row r="298" spans="1:9" ht="21.75" customHeight="1" x14ac:dyDescent="0.6">
      <c r="A298" s="109"/>
      <c r="B298" s="109"/>
      <c r="C298" s="109"/>
      <c r="D298" s="109"/>
      <c r="E298" s="109"/>
      <c r="F298" s="109"/>
      <c r="G298" s="109"/>
      <c r="H298" s="109"/>
      <c r="I298" s="109"/>
    </row>
    <row r="299" spans="1:9" ht="21.75" customHeight="1" x14ac:dyDescent="0.6">
      <c r="A299" s="109"/>
      <c r="B299" s="109"/>
      <c r="C299" s="109"/>
      <c r="D299" s="109"/>
      <c r="E299" s="109"/>
      <c r="F299" s="109"/>
      <c r="G299" s="109"/>
      <c r="H299" s="109"/>
      <c r="I299" s="109"/>
    </row>
    <row r="300" spans="1:9" ht="21.75" customHeight="1" x14ac:dyDescent="0.6">
      <c r="A300" s="109"/>
      <c r="B300" s="109"/>
      <c r="C300" s="109"/>
      <c r="D300" s="109"/>
      <c r="E300" s="109"/>
      <c r="F300" s="109"/>
      <c r="G300" s="109"/>
      <c r="H300" s="109"/>
      <c r="I300" s="109"/>
    </row>
    <row r="301" spans="1:9" ht="21.75" customHeight="1" x14ac:dyDescent="0.6">
      <c r="A301" s="109"/>
      <c r="B301" s="109"/>
      <c r="C301" s="109"/>
      <c r="D301" s="109"/>
      <c r="E301" s="109"/>
      <c r="F301" s="109"/>
      <c r="G301" s="109"/>
      <c r="H301" s="109"/>
      <c r="I301" s="109"/>
    </row>
    <row r="302" spans="1:9" ht="21.75" customHeight="1" x14ac:dyDescent="0.6">
      <c r="A302" s="109"/>
      <c r="B302" s="109"/>
      <c r="C302" s="109"/>
      <c r="D302" s="109"/>
      <c r="E302" s="109"/>
      <c r="F302" s="109"/>
      <c r="G302" s="109"/>
      <c r="H302" s="109"/>
      <c r="I302" s="109"/>
    </row>
    <row r="303" spans="1:9" ht="21.75" customHeight="1" x14ac:dyDescent="0.6">
      <c r="A303" s="109"/>
      <c r="B303" s="109"/>
      <c r="C303" s="109"/>
      <c r="D303" s="109"/>
      <c r="E303" s="109"/>
      <c r="F303" s="109"/>
      <c r="G303" s="109"/>
      <c r="H303" s="109"/>
      <c r="I303" s="109"/>
    </row>
    <row r="304" spans="1:9" ht="21.75" customHeight="1" x14ac:dyDescent="0.6">
      <c r="A304" s="109"/>
      <c r="B304" s="109"/>
      <c r="C304" s="109"/>
      <c r="D304" s="109"/>
      <c r="E304" s="109"/>
      <c r="F304" s="109"/>
      <c r="G304" s="109"/>
      <c r="H304" s="109"/>
      <c r="I304" s="109"/>
    </row>
    <row r="305" spans="1:9" ht="21.75" customHeight="1" x14ac:dyDescent="0.6">
      <c r="A305" s="109"/>
      <c r="B305" s="109"/>
      <c r="C305" s="109"/>
      <c r="D305" s="109"/>
      <c r="E305" s="109"/>
      <c r="F305" s="109"/>
      <c r="G305" s="109"/>
      <c r="H305" s="109"/>
      <c r="I305" s="109"/>
    </row>
    <row r="306" spans="1:9" ht="21.75" customHeight="1" x14ac:dyDescent="0.6">
      <c r="A306" s="109"/>
      <c r="B306" s="109"/>
      <c r="C306" s="109"/>
      <c r="D306" s="109"/>
      <c r="E306" s="109"/>
      <c r="F306" s="109"/>
      <c r="G306" s="109"/>
      <c r="H306" s="109"/>
      <c r="I306" s="109"/>
    </row>
    <row r="307" spans="1:9" ht="21.75" customHeight="1" x14ac:dyDescent="0.6">
      <c r="A307" s="109"/>
      <c r="B307" s="109"/>
      <c r="C307" s="109"/>
      <c r="D307" s="109"/>
      <c r="E307" s="109"/>
      <c r="F307" s="109"/>
      <c r="G307" s="109"/>
      <c r="H307" s="109"/>
      <c r="I307" s="109"/>
    </row>
    <row r="308" spans="1:9" ht="21.75" customHeight="1" x14ac:dyDescent="0.6">
      <c r="A308" s="109"/>
      <c r="B308" s="109"/>
      <c r="C308" s="109"/>
      <c r="D308" s="109"/>
      <c r="E308" s="109"/>
      <c r="F308" s="109"/>
      <c r="G308" s="109"/>
      <c r="H308" s="109"/>
      <c r="I308" s="109"/>
    </row>
    <row r="309" spans="1:9" ht="21.75" customHeight="1" x14ac:dyDescent="0.6">
      <c r="A309" s="109"/>
      <c r="B309" s="109"/>
      <c r="C309" s="109"/>
      <c r="D309" s="109"/>
      <c r="E309" s="109"/>
      <c r="F309" s="109"/>
      <c r="G309" s="109"/>
      <c r="H309" s="109"/>
      <c r="I309" s="109"/>
    </row>
    <row r="310" spans="1:9" ht="21.75" customHeight="1" x14ac:dyDescent="0.6">
      <c r="A310" s="109"/>
      <c r="B310" s="109"/>
      <c r="C310" s="109"/>
      <c r="D310" s="109"/>
      <c r="E310" s="109"/>
      <c r="F310" s="109"/>
      <c r="G310" s="109"/>
      <c r="H310" s="109"/>
      <c r="I310" s="109"/>
    </row>
    <row r="311" spans="1:9" ht="21.75" customHeight="1" x14ac:dyDescent="0.6">
      <c r="A311" s="109"/>
      <c r="B311" s="109"/>
      <c r="C311" s="109"/>
      <c r="D311" s="109"/>
      <c r="E311" s="109"/>
      <c r="F311" s="109"/>
      <c r="G311" s="109"/>
      <c r="H311" s="109"/>
      <c r="I311" s="109"/>
    </row>
    <row r="312" spans="1:9" ht="21.75" customHeight="1" x14ac:dyDescent="0.6">
      <c r="A312" s="109"/>
      <c r="B312" s="109"/>
      <c r="C312" s="109"/>
      <c r="D312" s="109"/>
      <c r="E312" s="109"/>
      <c r="F312" s="109"/>
      <c r="G312" s="109"/>
      <c r="H312" s="109"/>
      <c r="I312" s="109"/>
    </row>
    <row r="313" spans="1:9" ht="21.75" customHeight="1" x14ac:dyDescent="0.6">
      <c r="A313" s="109"/>
      <c r="B313" s="109"/>
      <c r="C313" s="109"/>
      <c r="D313" s="109"/>
      <c r="E313" s="109"/>
      <c r="F313" s="109"/>
      <c r="G313" s="109"/>
      <c r="H313" s="109"/>
      <c r="I313" s="109"/>
    </row>
    <row r="314" spans="1:9" ht="21.75" customHeight="1" x14ac:dyDescent="0.6">
      <c r="A314" s="109"/>
      <c r="B314" s="109"/>
      <c r="C314" s="109"/>
      <c r="D314" s="109"/>
      <c r="E314" s="109"/>
      <c r="F314" s="109"/>
      <c r="G314" s="109"/>
      <c r="H314" s="109"/>
      <c r="I314" s="109"/>
    </row>
    <row r="315" spans="1:9" ht="21.75" customHeight="1" x14ac:dyDescent="0.6">
      <c r="A315" s="109"/>
      <c r="B315" s="109"/>
      <c r="C315" s="109"/>
      <c r="D315" s="109"/>
      <c r="E315" s="109"/>
      <c r="F315" s="109"/>
      <c r="G315" s="109"/>
      <c r="H315" s="109"/>
      <c r="I315" s="109"/>
    </row>
    <row r="316" spans="1:9" ht="21.75" customHeight="1" x14ac:dyDescent="0.6">
      <c r="A316" s="109"/>
      <c r="B316" s="109"/>
      <c r="C316" s="109"/>
      <c r="D316" s="109"/>
      <c r="E316" s="109"/>
      <c r="F316" s="109"/>
      <c r="G316" s="109"/>
      <c r="H316" s="109"/>
      <c r="I316" s="109"/>
    </row>
    <row r="317" spans="1:9" ht="21.75" customHeight="1" x14ac:dyDescent="0.6">
      <c r="A317" s="109"/>
      <c r="B317" s="109"/>
      <c r="C317" s="109"/>
      <c r="D317" s="109"/>
      <c r="E317" s="109"/>
      <c r="F317" s="109"/>
      <c r="G317" s="109"/>
      <c r="H317" s="109"/>
      <c r="I317" s="109"/>
    </row>
    <row r="318" spans="1:9" ht="21.75" customHeight="1" x14ac:dyDescent="0.6">
      <c r="A318" s="109"/>
      <c r="B318" s="109"/>
      <c r="C318" s="109"/>
      <c r="D318" s="109"/>
      <c r="E318" s="109"/>
      <c r="F318" s="109"/>
      <c r="G318" s="109"/>
      <c r="H318" s="109"/>
      <c r="I318" s="109"/>
    </row>
    <row r="319" spans="1:9" ht="21.75" customHeight="1" x14ac:dyDescent="0.6">
      <c r="A319" s="109"/>
      <c r="B319" s="109"/>
      <c r="C319" s="109"/>
      <c r="D319" s="109"/>
      <c r="E319" s="109"/>
      <c r="F319" s="109"/>
      <c r="G319" s="109"/>
      <c r="H319" s="109"/>
      <c r="I319" s="109"/>
    </row>
    <row r="320" spans="1:9" ht="21.75" customHeight="1" x14ac:dyDescent="0.6">
      <c r="A320" s="109"/>
      <c r="B320" s="109"/>
      <c r="C320" s="109"/>
      <c r="D320" s="109"/>
      <c r="E320" s="109"/>
      <c r="F320" s="109"/>
      <c r="G320" s="109"/>
      <c r="H320" s="109"/>
      <c r="I320" s="109"/>
    </row>
    <row r="321" spans="1:9" ht="21.75" customHeight="1" x14ac:dyDescent="0.6">
      <c r="A321" s="109"/>
      <c r="B321" s="109"/>
      <c r="C321" s="109"/>
      <c r="D321" s="109"/>
      <c r="E321" s="109"/>
      <c r="F321" s="109"/>
      <c r="G321" s="109"/>
      <c r="H321" s="109"/>
      <c r="I321" s="109"/>
    </row>
    <row r="322" spans="1:9" ht="21.75" customHeight="1" x14ac:dyDescent="0.6">
      <c r="A322" s="109"/>
      <c r="B322" s="109"/>
      <c r="C322" s="109"/>
      <c r="D322" s="109"/>
      <c r="E322" s="109"/>
      <c r="F322" s="109"/>
      <c r="G322" s="109"/>
      <c r="H322" s="109"/>
      <c r="I322" s="109"/>
    </row>
    <row r="323" spans="1:9" ht="21.75" customHeight="1" x14ac:dyDescent="0.6">
      <c r="A323" s="109"/>
      <c r="B323" s="109"/>
      <c r="C323" s="109"/>
      <c r="D323" s="109"/>
      <c r="E323" s="109"/>
      <c r="F323" s="109"/>
      <c r="G323" s="109"/>
      <c r="H323" s="109"/>
      <c r="I323" s="109"/>
    </row>
    <row r="324" spans="1:9" ht="21.75" customHeight="1" x14ac:dyDescent="0.6">
      <c r="A324" s="109"/>
      <c r="B324" s="109"/>
      <c r="C324" s="109"/>
      <c r="D324" s="109"/>
      <c r="E324" s="109"/>
      <c r="F324" s="109"/>
      <c r="G324" s="109"/>
      <c r="H324" s="109"/>
      <c r="I324" s="109"/>
    </row>
    <row r="325" spans="1:9" ht="21.75" customHeight="1" x14ac:dyDescent="0.6">
      <c r="A325" s="109"/>
      <c r="B325" s="109"/>
      <c r="C325" s="109"/>
      <c r="D325" s="109"/>
      <c r="E325" s="109"/>
      <c r="F325" s="109"/>
      <c r="G325" s="109"/>
      <c r="H325" s="109"/>
      <c r="I325" s="109"/>
    </row>
    <row r="326" spans="1:9" ht="21.75" customHeight="1" x14ac:dyDescent="0.6">
      <c r="A326" s="109"/>
      <c r="B326" s="109"/>
      <c r="C326" s="109"/>
      <c r="D326" s="109"/>
      <c r="E326" s="109"/>
      <c r="F326" s="109"/>
      <c r="G326" s="109"/>
      <c r="H326" s="109"/>
      <c r="I326" s="109"/>
    </row>
    <row r="327" spans="1:9" ht="21.75" customHeight="1" x14ac:dyDescent="0.6">
      <c r="A327" s="109"/>
      <c r="B327" s="109"/>
      <c r="C327" s="109"/>
      <c r="D327" s="109"/>
      <c r="E327" s="109"/>
      <c r="F327" s="109"/>
      <c r="G327" s="109"/>
      <c r="H327" s="109"/>
      <c r="I327" s="109"/>
    </row>
    <row r="328" spans="1:9" ht="21.75" customHeight="1" x14ac:dyDescent="0.6">
      <c r="A328" s="109"/>
      <c r="B328" s="109"/>
      <c r="C328" s="109"/>
      <c r="D328" s="109"/>
      <c r="E328" s="109"/>
      <c r="F328" s="109"/>
      <c r="G328" s="109"/>
      <c r="H328" s="109"/>
      <c r="I328" s="109"/>
    </row>
    <row r="329" spans="1:9" ht="21.75" customHeight="1" x14ac:dyDescent="0.6">
      <c r="A329" s="109"/>
      <c r="B329" s="109"/>
      <c r="C329" s="109"/>
      <c r="D329" s="109"/>
      <c r="E329" s="109"/>
      <c r="F329" s="109"/>
      <c r="G329" s="109"/>
      <c r="H329" s="109"/>
      <c r="I329" s="109"/>
    </row>
    <row r="330" spans="1:9" ht="21.75" customHeight="1" x14ac:dyDescent="0.6">
      <c r="A330" s="109"/>
      <c r="B330" s="109"/>
      <c r="C330" s="109"/>
      <c r="D330" s="109"/>
      <c r="E330" s="109"/>
      <c r="F330" s="109"/>
      <c r="G330" s="109"/>
      <c r="H330" s="109"/>
      <c r="I330" s="109"/>
    </row>
    <row r="331" spans="1:9" ht="21.75" customHeight="1" x14ac:dyDescent="0.6">
      <c r="A331" s="109"/>
      <c r="B331" s="109"/>
      <c r="C331" s="109"/>
      <c r="D331" s="109"/>
      <c r="E331" s="109"/>
      <c r="F331" s="109"/>
      <c r="G331" s="109"/>
      <c r="H331" s="109"/>
      <c r="I331" s="109"/>
    </row>
    <row r="332" spans="1:9" ht="21.75" customHeight="1" x14ac:dyDescent="0.6">
      <c r="A332" s="109"/>
      <c r="B332" s="109"/>
      <c r="C332" s="109"/>
      <c r="D332" s="109"/>
      <c r="E332" s="109"/>
      <c r="F332" s="109"/>
      <c r="G332" s="109"/>
      <c r="H332" s="109"/>
      <c r="I332" s="109"/>
    </row>
    <row r="333" spans="1:9" ht="21.75" customHeight="1" x14ac:dyDescent="0.6">
      <c r="A333" s="109"/>
      <c r="B333" s="109"/>
      <c r="C333" s="109"/>
      <c r="D333" s="109"/>
      <c r="E333" s="109"/>
      <c r="F333" s="109"/>
      <c r="G333" s="109"/>
      <c r="H333" s="109"/>
      <c r="I333" s="109"/>
    </row>
    <row r="334" spans="1:9" ht="21.75" customHeight="1" x14ac:dyDescent="0.6">
      <c r="A334" s="109"/>
      <c r="B334" s="109"/>
      <c r="C334" s="109"/>
      <c r="D334" s="109"/>
      <c r="E334" s="109"/>
      <c r="F334" s="109"/>
      <c r="G334" s="109"/>
      <c r="H334" s="109"/>
      <c r="I334" s="109"/>
    </row>
    <row r="335" spans="1:9" ht="21.75" customHeight="1" x14ac:dyDescent="0.6">
      <c r="A335" s="109"/>
      <c r="B335" s="109"/>
      <c r="C335" s="109"/>
      <c r="D335" s="109"/>
      <c r="E335" s="109"/>
      <c r="F335" s="109"/>
      <c r="G335" s="109"/>
      <c r="H335" s="109"/>
      <c r="I335" s="109"/>
    </row>
    <row r="336" spans="1:9" ht="21.75" customHeight="1" x14ac:dyDescent="0.6">
      <c r="A336" s="109"/>
      <c r="B336" s="109"/>
      <c r="C336" s="109"/>
      <c r="D336" s="109"/>
      <c r="E336" s="109"/>
      <c r="F336" s="109"/>
      <c r="G336" s="109"/>
      <c r="H336" s="109"/>
      <c r="I336" s="109"/>
    </row>
    <row r="337" spans="1:9" ht="21.75" customHeight="1" x14ac:dyDescent="0.6">
      <c r="A337" s="109"/>
      <c r="B337" s="109"/>
      <c r="C337" s="109"/>
      <c r="D337" s="109"/>
      <c r="E337" s="109"/>
      <c r="F337" s="109"/>
      <c r="G337" s="109"/>
      <c r="H337" s="109"/>
      <c r="I337" s="109"/>
    </row>
    <row r="338" spans="1:9" ht="21.75" customHeight="1" x14ac:dyDescent="0.6">
      <c r="A338" s="109"/>
      <c r="B338" s="109"/>
      <c r="C338" s="109"/>
      <c r="D338" s="109"/>
      <c r="E338" s="109"/>
      <c r="F338" s="109"/>
      <c r="G338" s="109"/>
      <c r="H338" s="109"/>
      <c r="I338" s="109"/>
    </row>
    <row r="339" spans="1:9" ht="21.75" customHeight="1" x14ac:dyDescent="0.6">
      <c r="A339" s="109"/>
      <c r="B339" s="109"/>
      <c r="C339" s="109"/>
      <c r="D339" s="109"/>
      <c r="E339" s="109"/>
      <c r="F339" s="109"/>
      <c r="G339" s="109"/>
      <c r="H339" s="109"/>
      <c r="I339" s="109"/>
    </row>
    <row r="340" spans="1:9" ht="21.75" customHeight="1" x14ac:dyDescent="0.6">
      <c r="A340" s="109"/>
      <c r="B340" s="109"/>
      <c r="C340" s="109"/>
      <c r="D340" s="109"/>
      <c r="E340" s="109"/>
      <c r="F340" s="109"/>
      <c r="G340" s="109"/>
      <c r="H340" s="109"/>
      <c r="I340" s="109"/>
    </row>
    <row r="341" spans="1:9" ht="21.75" customHeight="1" x14ac:dyDescent="0.6">
      <c r="A341" s="109"/>
      <c r="B341" s="109"/>
      <c r="C341" s="109"/>
      <c r="D341" s="109"/>
      <c r="E341" s="109"/>
      <c r="F341" s="109"/>
      <c r="G341" s="109"/>
      <c r="H341" s="109"/>
      <c r="I341" s="109"/>
    </row>
    <row r="342" spans="1:9" ht="21.75" customHeight="1" x14ac:dyDescent="0.6">
      <c r="A342" s="109"/>
      <c r="B342" s="109"/>
      <c r="C342" s="109"/>
      <c r="D342" s="109"/>
      <c r="E342" s="109"/>
      <c r="F342" s="109"/>
      <c r="G342" s="109"/>
      <c r="H342" s="109"/>
      <c r="I342" s="109"/>
    </row>
    <row r="343" spans="1:9" ht="21.75" customHeight="1" x14ac:dyDescent="0.6">
      <c r="A343" s="109"/>
      <c r="B343" s="109"/>
      <c r="C343" s="109"/>
      <c r="D343" s="109"/>
      <c r="E343" s="109"/>
      <c r="F343" s="109"/>
      <c r="G343" s="109"/>
      <c r="H343" s="109"/>
      <c r="I343" s="109"/>
    </row>
    <row r="344" spans="1:9" ht="21.75" customHeight="1" x14ac:dyDescent="0.6">
      <c r="A344" s="109"/>
      <c r="B344" s="109"/>
      <c r="C344" s="109"/>
      <c r="D344" s="109"/>
      <c r="E344" s="109"/>
      <c r="F344" s="109"/>
      <c r="G344" s="109"/>
      <c r="H344" s="109"/>
      <c r="I344" s="109"/>
    </row>
    <row r="345" spans="1:9" ht="21.75" customHeight="1" x14ac:dyDescent="0.6">
      <c r="A345" s="109"/>
      <c r="B345" s="109"/>
      <c r="C345" s="109"/>
      <c r="D345" s="109"/>
      <c r="E345" s="109"/>
      <c r="F345" s="109"/>
      <c r="G345" s="109"/>
      <c r="H345" s="109"/>
      <c r="I345" s="109"/>
    </row>
    <row r="346" spans="1:9" ht="21.75" customHeight="1" x14ac:dyDescent="0.6">
      <c r="A346" s="109"/>
      <c r="B346" s="109"/>
      <c r="C346" s="109"/>
      <c r="D346" s="109"/>
      <c r="E346" s="109"/>
      <c r="F346" s="109"/>
      <c r="G346" s="109"/>
      <c r="H346" s="109"/>
      <c r="I346" s="109"/>
    </row>
    <row r="347" spans="1:9" ht="21.75" customHeight="1" x14ac:dyDescent="0.6">
      <c r="A347" s="109"/>
      <c r="B347" s="109"/>
      <c r="C347" s="109"/>
      <c r="D347" s="109"/>
      <c r="E347" s="109"/>
      <c r="F347" s="109"/>
      <c r="G347" s="109"/>
      <c r="H347" s="109"/>
      <c r="I347" s="109"/>
    </row>
    <row r="348" spans="1:9" ht="21.75" customHeight="1" x14ac:dyDescent="0.6">
      <c r="A348" s="109"/>
      <c r="B348" s="109"/>
      <c r="C348" s="109"/>
      <c r="D348" s="109"/>
      <c r="E348" s="109"/>
      <c r="F348" s="109"/>
      <c r="G348" s="109"/>
      <c r="H348" s="109"/>
      <c r="I348" s="109"/>
    </row>
    <row r="349" spans="1:9" ht="21.75" customHeight="1" x14ac:dyDescent="0.6">
      <c r="A349" s="109"/>
      <c r="B349" s="109"/>
      <c r="C349" s="109"/>
      <c r="D349" s="109"/>
      <c r="E349" s="109"/>
      <c r="F349" s="109"/>
      <c r="G349" s="109"/>
      <c r="H349" s="109"/>
      <c r="I349" s="109"/>
    </row>
    <row r="350" spans="1:9" ht="21.75" customHeight="1" x14ac:dyDescent="0.6">
      <c r="A350" s="109"/>
      <c r="B350" s="109"/>
      <c r="C350" s="109"/>
      <c r="D350" s="109"/>
      <c r="E350" s="109"/>
      <c r="F350" s="109"/>
      <c r="G350" s="109"/>
      <c r="H350" s="109"/>
      <c r="I350" s="109"/>
    </row>
    <row r="351" spans="1:9" ht="21.75" customHeight="1" x14ac:dyDescent="0.6">
      <c r="A351" s="109"/>
      <c r="B351" s="109"/>
      <c r="C351" s="109"/>
      <c r="D351" s="109"/>
      <c r="E351" s="109"/>
      <c r="F351" s="109"/>
      <c r="G351" s="109"/>
      <c r="H351" s="109"/>
      <c r="I351" s="109"/>
    </row>
    <row r="352" spans="1:9" ht="21.75" customHeight="1" x14ac:dyDescent="0.6">
      <c r="A352" s="109"/>
      <c r="B352" s="109"/>
      <c r="C352" s="109"/>
      <c r="D352" s="109"/>
      <c r="E352" s="109"/>
      <c r="F352" s="109"/>
      <c r="G352" s="109"/>
      <c r="H352" s="109"/>
      <c r="I352" s="109"/>
    </row>
    <row r="353" spans="1:9" ht="21.75" customHeight="1" x14ac:dyDescent="0.6">
      <c r="A353" s="109"/>
      <c r="B353" s="109"/>
      <c r="C353" s="109"/>
      <c r="D353" s="109"/>
      <c r="E353" s="109"/>
      <c r="F353" s="109"/>
      <c r="G353" s="109"/>
      <c r="H353" s="109"/>
      <c r="I353" s="109"/>
    </row>
    <row r="354" spans="1:9" ht="21.75" customHeight="1" x14ac:dyDescent="0.6">
      <c r="A354" s="109"/>
      <c r="B354" s="109"/>
      <c r="C354" s="109"/>
      <c r="D354" s="109"/>
      <c r="E354" s="109"/>
      <c r="F354" s="109"/>
      <c r="G354" s="109"/>
      <c r="H354" s="109"/>
      <c r="I354" s="109"/>
    </row>
    <row r="355" spans="1:9" ht="21.75" customHeight="1" x14ac:dyDescent="0.6">
      <c r="A355" s="109"/>
      <c r="B355" s="109"/>
      <c r="C355" s="109"/>
      <c r="D355" s="109"/>
      <c r="E355" s="109"/>
      <c r="F355" s="109"/>
      <c r="G355" s="109"/>
      <c r="H355" s="109"/>
      <c r="I355" s="109"/>
    </row>
    <row r="356" spans="1:9" ht="21.75" customHeight="1" x14ac:dyDescent="0.6">
      <c r="A356" s="109"/>
      <c r="B356" s="109"/>
      <c r="C356" s="109"/>
      <c r="D356" s="109"/>
      <c r="E356" s="109"/>
      <c r="F356" s="109"/>
      <c r="G356" s="109"/>
      <c r="H356" s="109"/>
      <c r="I356" s="109"/>
    </row>
    <row r="357" spans="1:9" ht="21.75" customHeight="1" x14ac:dyDescent="0.6">
      <c r="A357" s="109"/>
      <c r="B357" s="109"/>
      <c r="C357" s="109"/>
      <c r="D357" s="109"/>
      <c r="E357" s="109"/>
      <c r="F357" s="109"/>
      <c r="G357" s="109"/>
      <c r="H357" s="109"/>
      <c r="I357" s="109"/>
    </row>
    <row r="358" spans="1:9" ht="21.75" customHeight="1" x14ac:dyDescent="0.6">
      <c r="A358" s="109"/>
      <c r="B358" s="109"/>
      <c r="C358" s="109"/>
      <c r="D358" s="109"/>
      <c r="E358" s="109"/>
      <c r="F358" s="109"/>
      <c r="G358" s="109"/>
      <c r="H358" s="109"/>
      <c r="I358" s="109"/>
    </row>
    <row r="359" spans="1:9" ht="21.75" customHeight="1" x14ac:dyDescent="0.6">
      <c r="A359" s="109"/>
      <c r="B359" s="109"/>
      <c r="C359" s="109"/>
      <c r="D359" s="109"/>
      <c r="E359" s="109"/>
      <c r="F359" s="109"/>
      <c r="G359" s="109"/>
      <c r="H359" s="109"/>
      <c r="I359" s="109"/>
    </row>
    <row r="360" spans="1:9" ht="21.75" customHeight="1" x14ac:dyDescent="0.6">
      <c r="A360" s="109"/>
      <c r="B360" s="109"/>
      <c r="C360" s="109"/>
      <c r="D360" s="109"/>
      <c r="E360" s="109"/>
      <c r="F360" s="109"/>
      <c r="G360" s="109"/>
      <c r="H360" s="109"/>
      <c r="I360" s="109"/>
    </row>
    <row r="361" spans="1:9" ht="21.75" customHeight="1" x14ac:dyDescent="0.6">
      <c r="A361" s="109"/>
      <c r="B361" s="109"/>
      <c r="C361" s="109"/>
      <c r="D361" s="109"/>
      <c r="E361" s="109"/>
      <c r="F361" s="109"/>
      <c r="G361" s="109"/>
      <c r="H361" s="109"/>
      <c r="I361" s="109"/>
    </row>
    <row r="362" spans="1:9" ht="21.75" customHeight="1" x14ac:dyDescent="0.6">
      <c r="A362" s="109"/>
      <c r="B362" s="109"/>
      <c r="C362" s="109"/>
      <c r="D362" s="109"/>
      <c r="E362" s="109"/>
      <c r="F362" s="109"/>
      <c r="G362" s="109"/>
      <c r="H362" s="109"/>
      <c r="I362" s="109"/>
    </row>
    <row r="363" spans="1:9" ht="21.75" customHeight="1" x14ac:dyDescent="0.6">
      <c r="A363" s="109"/>
      <c r="B363" s="109"/>
      <c r="C363" s="109"/>
      <c r="D363" s="109"/>
      <c r="E363" s="109"/>
      <c r="F363" s="109"/>
      <c r="G363" s="109"/>
      <c r="H363" s="109"/>
      <c r="I363" s="109"/>
    </row>
    <row r="364" spans="1:9" ht="21.75" customHeight="1" x14ac:dyDescent="0.6">
      <c r="A364" s="109"/>
      <c r="B364" s="109"/>
      <c r="C364" s="109"/>
      <c r="D364" s="109"/>
      <c r="E364" s="109"/>
      <c r="F364" s="109"/>
      <c r="G364" s="109"/>
      <c r="H364" s="109"/>
      <c r="I364" s="109"/>
    </row>
    <row r="365" spans="1:9" ht="21.75" customHeight="1" x14ac:dyDescent="0.6">
      <c r="A365" s="109"/>
      <c r="B365" s="109"/>
      <c r="C365" s="109"/>
      <c r="D365" s="109"/>
      <c r="E365" s="109"/>
      <c r="F365" s="109"/>
      <c r="G365" s="109"/>
      <c r="H365" s="109"/>
      <c r="I365" s="109"/>
    </row>
    <row r="366" spans="1:9" ht="21.75" customHeight="1" x14ac:dyDescent="0.6">
      <c r="A366" s="109"/>
      <c r="B366" s="109"/>
      <c r="C366" s="109"/>
      <c r="D366" s="109"/>
      <c r="E366" s="109"/>
      <c r="F366" s="109"/>
      <c r="G366" s="109"/>
      <c r="H366" s="109"/>
      <c r="I366" s="109"/>
    </row>
    <row r="367" spans="1:9" ht="21.75" customHeight="1" x14ac:dyDescent="0.6">
      <c r="A367" s="109"/>
      <c r="B367" s="109"/>
      <c r="C367" s="109"/>
      <c r="D367" s="109"/>
      <c r="E367" s="109"/>
      <c r="F367" s="109"/>
      <c r="G367" s="109"/>
      <c r="H367" s="109"/>
      <c r="I367" s="109"/>
    </row>
    <row r="368" spans="1:9" ht="21.75" customHeight="1" x14ac:dyDescent="0.6">
      <c r="A368" s="109"/>
      <c r="B368" s="109"/>
      <c r="C368" s="109"/>
      <c r="D368" s="109"/>
      <c r="E368" s="109"/>
      <c r="F368" s="109"/>
      <c r="G368" s="109"/>
      <c r="H368" s="109"/>
      <c r="I368" s="109"/>
    </row>
    <row r="369" spans="1:9" ht="21.75" customHeight="1" x14ac:dyDescent="0.6">
      <c r="A369" s="109"/>
      <c r="B369" s="109"/>
      <c r="C369" s="109"/>
      <c r="D369" s="109"/>
      <c r="E369" s="109"/>
      <c r="F369" s="109"/>
      <c r="G369" s="109"/>
      <c r="H369" s="109"/>
      <c r="I369" s="109"/>
    </row>
    <row r="370" spans="1:9" ht="21.75" customHeight="1" x14ac:dyDescent="0.6">
      <c r="A370" s="109"/>
      <c r="B370" s="109"/>
      <c r="C370" s="109"/>
      <c r="D370" s="109"/>
      <c r="E370" s="109"/>
      <c r="F370" s="109"/>
      <c r="G370" s="109"/>
      <c r="H370" s="109"/>
      <c r="I370" s="109"/>
    </row>
    <row r="371" spans="1:9" ht="21.75" customHeight="1" x14ac:dyDescent="0.6">
      <c r="A371" s="109"/>
      <c r="B371" s="109"/>
      <c r="C371" s="109"/>
      <c r="D371" s="109"/>
      <c r="E371" s="109"/>
      <c r="F371" s="109"/>
      <c r="G371" s="109"/>
      <c r="H371" s="109"/>
      <c r="I371" s="109"/>
    </row>
    <row r="372" spans="1:9" ht="21.75" customHeight="1" x14ac:dyDescent="0.6">
      <c r="A372" s="109"/>
      <c r="B372" s="109"/>
      <c r="C372" s="109"/>
      <c r="D372" s="109"/>
      <c r="E372" s="109"/>
      <c r="F372" s="109"/>
      <c r="G372" s="109"/>
      <c r="H372" s="109"/>
      <c r="I372" s="109"/>
    </row>
    <row r="373" spans="1:9" ht="21.75" customHeight="1" x14ac:dyDescent="0.6">
      <c r="A373" s="109"/>
      <c r="B373" s="109"/>
      <c r="C373" s="109"/>
      <c r="D373" s="109"/>
      <c r="E373" s="109"/>
      <c r="F373" s="109"/>
      <c r="G373" s="109"/>
      <c r="H373" s="109"/>
      <c r="I373" s="109"/>
    </row>
    <row r="374" spans="1:9" ht="21.75" customHeight="1" x14ac:dyDescent="0.6">
      <c r="A374" s="109"/>
      <c r="B374" s="109"/>
      <c r="C374" s="109"/>
      <c r="D374" s="109"/>
      <c r="E374" s="109"/>
      <c r="F374" s="109"/>
      <c r="G374" s="109"/>
      <c r="H374" s="109"/>
      <c r="I374" s="109"/>
    </row>
    <row r="375" spans="1:9" ht="21.75" customHeight="1" x14ac:dyDescent="0.6">
      <c r="A375" s="109"/>
      <c r="B375" s="109"/>
      <c r="C375" s="109"/>
      <c r="D375" s="109"/>
      <c r="E375" s="109"/>
      <c r="F375" s="109"/>
      <c r="G375" s="109"/>
      <c r="H375" s="109"/>
      <c r="I375" s="109"/>
    </row>
    <row r="376" spans="1:9" ht="21.75" customHeight="1" x14ac:dyDescent="0.6">
      <c r="A376" s="109"/>
      <c r="B376" s="109"/>
      <c r="C376" s="109"/>
      <c r="D376" s="109"/>
      <c r="E376" s="109"/>
      <c r="F376" s="109"/>
      <c r="G376" s="109"/>
      <c r="H376" s="109"/>
      <c r="I376" s="109"/>
    </row>
    <row r="377" spans="1:9" ht="21.75" customHeight="1" x14ac:dyDescent="0.6">
      <c r="A377" s="109"/>
      <c r="B377" s="109"/>
      <c r="C377" s="109"/>
      <c r="D377" s="109"/>
      <c r="E377" s="109"/>
      <c r="F377" s="109"/>
      <c r="G377" s="109"/>
      <c r="H377" s="109"/>
      <c r="I377" s="109"/>
    </row>
    <row r="378" spans="1:9" ht="21.75" customHeight="1" x14ac:dyDescent="0.6">
      <c r="A378" s="109"/>
      <c r="B378" s="109"/>
      <c r="C378" s="109"/>
      <c r="D378" s="109"/>
      <c r="E378" s="109"/>
      <c r="F378" s="109"/>
      <c r="G378" s="109"/>
      <c r="H378" s="109"/>
      <c r="I378" s="109"/>
    </row>
    <row r="379" spans="1:9" ht="21.75" customHeight="1" x14ac:dyDescent="0.6">
      <c r="A379" s="109"/>
      <c r="B379" s="109"/>
      <c r="C379" s="109"/>
      <c r="D379" s="109"/>
      <c r="E379" s="109"/>
      <c r="F379" s="109"/>
      <c r="G379" s="109"/>
      <c r="H379" s="109"/>
      <c r="I379" s="109"/>
    </row>
    <row r="380" spans="1:9" ht="21.75" customHeight="1" x14ac:dyDescent="0.6">
      <c r="A380" s="109"/>
      <c r="B380" s="109"/>
      <c r="C380" s="109"/>
      <c r="D380" s="109"/>
      <c r="E380" s="109"/>
      <c r="F380" s="109"/>
      <c r="G380" s="109"/>
      <c r="H380" s="109"/>
      <c r="I380" s="109"/>
    </row>
    <row r="381" spans="1:9" ht="21.75" customHeight="1" x14ac:dyDescent="0.6">
      <c r="A381" s="109"/>
      <c r="B381" s="109"/>
      <c r="C381" s="109"/>
      <c r="D381" s="109"/>
      <c r="E381" s="109"/>
      <c r="F381" s="109"/>
      <c r="G381" s="109"/>
      <c r="H381" s="109"/>
      <c r="I381" s="109"/>
    </row>
    <row r="382" spans="1:9" ht="21.75" customHeight="1" x14ac:dyDescent="0.6">
      <c r="A382" s="109"/>
      <c r="B382" s="109"/>
      <c r="C382" s="109"/>
      <c r="D382" s="109"/>
      <c r="E382" s="109"/>
      <c r="F382" s="109"/>
      <c r="G382" s="109"/>
      <c r="H382" s="109"/>
      <c r="I382" s="109"/>
    </row>
    <row r="383" spans="1:9" ht="21.75" customHeight="1" x14ac:dyDescent="0.6">
      <c r="A383" s="109"/>
      <c r="B383" s="109"/>
      <c r="C383" s="109"/>
      <c r="D383" s="109"/>
      <c r="E383" s="109"/>
      <c r="F383" s="109"/>
      <c r="G383" s="109"/>
      <c r="H383" s="109"/>
      <c r="I383" s="109"/>
    </row>
    <row r="384" spans="1:9" ht="21.75" customHeight="1" x14ac:dyDescent="0.6">
      <c r="A384" s="109"/>
      <c r="B384" s="109"/>
      <c r="C384" s="109"/>
      <c r="D384" s="109"/>
      <c r="E384" s="109"/>
      <c r="F384" s="109"/>
      <c r="G384" s="109"/>
      <c r="H384" s="109"/>
      <c r="I384" s="109"/>
    </row>
    <row r="385" spans="1:9" ht="21.75" customHeight="1" x14ac:dyDescent="0.6">
      <c r="A385" s="109"/>
      <c r="B385" s="109"/>
      <c r="C385" s="109"/>
      <c r="D385" s="109"/>
      <c r="E385" s="109"/>
      <c r="F385" s="109"/>
      <c r="G385" s="109"/>
      <c r="H385" s="109"/>
      <c r="I385" s="109"/>
    </row>
    <row r="386" spans="1:9" ht="21.75" customHeight="1" x14ac:dyDescent="0.6">
      <c r="A386" s="109"/>
      <c r="B386" s="109"/>
      <c r="C386" s="109"/>
      <c r="D386" s="109"/>
      <c r="E386" s="109"/>
      <c r="F386" s="109"/>
      <c r="G386" s="109"/>
      <c r="H386" s="109"/>
      <c r="I386" s="109"/>
    </row>
    <row r="387" spans="1:9" ht="21.75" customHeight="1" x14ac:dyDescent="0.6">
      <c r="A387" s="109"/>
      <c r="B387" s="109"/>
      <c r="C387" s="109"/>
      <c r="D387" s="109"/>
      <c r="E387" s="109"/>
      <c r="F387" s="109"/>
      <c r="G387" s="109"/>
      <c r="H387" s="109"/>
      <c r="I387" s="109"/>
    </row>
    <row r="388" spans="1:9" ht="21.75" customHeight="1" x14ac:dyDescent="0.6">
      <c r="A388" s="109"/>
      <c r="B388" s="109"/>
      <c r="C388" s="109"/>
      <c r="D388" s="109"/>
      <c r="E388" s="109"/>
      <c r="F388" s="109"/>
      <c r="G388" s="109"/>
      <c r="H388" s="109"/>
      <c r="I388" s="109"/>
    </row>
    <row r="389" spans="1:9" ht="21.75" customHeight="1" x14ac:dyDescent="0.6">
      <c r="A389" s="109"/>
      <c r="B389" s="109"/>
      <c r="C389" s="109"/>
      <c r="D389" s="109"/>
      <c r="E389" s="109"/>
      <c r="F389" s="109"/>
      <c r="G389" s="109"/>
      <c r="H389" s="109"/>
      <c r="I389" s="109"/>
    </row>
    <row r="390" spans="1:9" ht="21.75" customHeight="1" x14ac:dyDescent="0.6">
      <c r="A390" s="109"/>
      <c r="B390" s="109"/>
      <c r="C390" s="109"/>
      <c r="D390" s="109"/>
      <c r="E390" s="109"/>
      <c r="F390" s="109"/>
      <c r="G390" s="109"/>
      <c r="H390" s="109"/>
      <c r="I390" s="109"/>
    </row>
    <row r="391" spans="1:9" ht="21.75" customHeight="1" x14ac:dyDescent="0.6">
      <c r="A391" s="109"/>
      <c r="B391" s="109"/>
      <c r="C391" s="109"/>
      <c r="D391" s="109"/>
      <c r="E391" s="109"/>
      <c r="F391" s="109"/>
      <c r="G391" s="109"/>
      <c r="H391" s="109"/>
      <c r="I391" s="109"/>
    </row>
    <row r="392" spans="1:9" ht="21.75" customHeight="1" x14ac:dyDescent="0.6">
      <c r="A392" s="109"/>
      <c r="B392" s="109"/>
      <c r="C392" s="109"/>
      <c r="D392" s="109"/>
      <c r="E392" s="109"/>
      <c r="F392" s="109"/>
      <c r="G392" s="109"/>
      <c r="H392" s="109"/>
      <c r="I392" s="109"/>
    </row>
    <row r="393" spans="1:9" ht="21.75" customHeight="1" x14ac:dyDescent="0.6">
      <c r="A393" s="109"/>
      <c r="B393" s="109"/>
      <c r="C393" s="109"/>
      <c r="D393" s="109"/>
      <c r="E393" s="109"/>
      <c r="F393" s="109"/>
      <c r="G393" s="109"/>
      <c r="H393" s="109"/>
      <c r="I393" s="109"/>
    </row>
    <row r="394" spans="1:9" ht="21.75" customHeight="1" x14ac:dyDescent="0.6">
      <c r="A394" s="109"/>
      <c r="B394" s="109"/>
      <c r="C394" s="109"/>
      <c r="D394" s="109"/>
      <c r="E394" s="109"/>
      <c r="F394" s="109"/>
      <c r="G394" s="109"/>
      <c r="H394" s="109"/>
      <c r="I394" s="109"/>
    </row>
    <row r="395" spans="1:9" ht="21.75" customHeight="1" x14ac:dyDescent="0.6">
      <c r="A395" s="109"/>
      <c r="B395" s="109"/>
      <c r="C395" s="109"/>
      <c r="D395" s="109"/>
      <c r="E395" s="109"/>
      <c r="F395" s="109"/>
      <c r="G395" s="109"/>
      <c r="H395" s="109"/>
      <c r="I395" s="109"/>
    </row>
    <row r="396" spans="1:9" ht="21.75" customHeight="1" x14ac:dyDescent="0.6">
      <c r="A396" s="109"/>
      <c r="B396" s="109"/>
      <c r="C396" s="109"/>
      <c r="D396" s="109"/>
      <c r="E396" s="109"/>
      <c r="F396" s="109"/>
      <c r="G396" s="109"/>
      <c r="H396" s="109"/>
      <c r="I396" s="109"/>
    </row>
    <row r="397" spans="1:9" ht="21.75" customHeight="1" x14ac:dyDescent="0.6">
      <c r="A397" s="109"/>
      <c r="B397" s="109"/>
      <c r="C397" s="109"/>
      <c r="D397" s="109"/>
      <c r="E397" s="109"/>
      <c r="F397" s="109"/>
      <c r="G397" s="109"/>
      <c r="H397" s="109"/>
      <c r="I397" s="109"/>
    </row>
    <row r="398" spans="1:9" ht="21.75" customHeight="1" x14ac:dyDescent="0.6">
      <c r="A398" s="109"/>
      <c r="B398" s="109"/>
      <c r="C398" s="109"/>
      <c r="D398" s="109"/>
      <c r="E398" s="109"/>
      <c r="F398" s="109"/>
      <c r="G398" s="109"/>
      <c r="H398" s="109"/>
      <c r="I398" s="109"/>
    </row>
    <row r="399" spans="1:9" ht="21.75" customHeight="1" x14ac:dyDescent="0.6">
      <c r="A399" s="109"/>
      <c r="B399" s="109"/>
      <c r="C399" s="109"/>
      <c r="D399" s="109"/>
      <c r="E399" s="109"/>
      <c r="F399" s="109"/>
      <c r="G399" s="109"/>
      <c r="H399" s="109"/>
      <c r="I399" s="109"/>
    </row>
    <row r="400" spans="1:9" ht="21.75" customHeight="1" x14ac:dyDescent="0.6">
      <c r="A400" s="109"/>
      <c r="B400" s="109"/>
      <c r="C400" s="109"/>
      <c r="D400" s="109"/>
      <c r="E400" s="109"/>
      <c r="F400" s="109"/>
      <c r="G400" s="109"/>
      <c r="H400" s="109"/>
      <c r="I400" s="109"/>
    </row>
    <row r="401" spans="1:9" ht="21.75" customHeight="1" x14ac:dyDescent="0.6">
      <c r="A401" s="109"/>
      <c r="B401" s="109"/>
      <c r="C401" s="109"/>
      <c r="D401" s="109"/>
      <c r="E401" s="109"/>
      <c r="F401" s="109"/>
      <c r="G401" s="109"/>
      <c r="H401" s="109"/>
      <c r="I401" s="109"/>
    </row>
    <row r="402" spans="1:9" ht="21.75" customHeight="1" x14ac:dyDescent="0.6">
      <c r="A402" s="109"/>
      <c r="B402" s="109"/>
      <c r="C402" s="109"/>
      <c r="D402" s="109"/>
      <c r="E402" s="109"/>
      <c r="F402" s="109"/>
      <c r="G402" s="109"/>
      <c r="H402" s="109"/>
      <c r="I402" s="109"/>
    </row>
    <row r="403" spans="1:9" ht="21.75" customHeight="1" x14ac:dyDescent="0.6">
      <c r="A403" s="109"/>
      <c r="B403" s="109"/>
      <c r="C403" s="109"/>
      <c r="D403" s="109"/>
      <c r="E403" s="109"/>
      <c r="F403" s="109"/>
      <c r="G403" s="109"/>
      <c r="H403" s="109"/>
      <c r="I403" s="109"/>
    </row>
    <row r="404" spans="1:9" ht="21.75" customHeight="1" x14ac:dyDescent="0.6">
      <c r="A404" s="109"/>
      <c r="B404" s="109"/>
      <c r="C404" s="109"/>
      <c r="D404" s="109"/>
      <c r="E404" s="109"/>
      <c r="F404" s="109"/>
      <c r="G404" s="109"/>
      <c r="H404" s="109"/>
      <c r="I404" s="109"/>
    </row>
    <row r="405" spans="1:9" ht="21.75" customHeight="1" x14ac:dyDescent="0.6">
      <c r="A405" s="109"/>
      <c r="B405" s="109"/>
      <c r="C405" s="109"/>
      <c r="D405" s="109"/>
      <c r="E405" s="109"/>
      <c r="F405" s="109"/>
      <c r="G405" s="109"/>
      <c r="H405" s="109"/>
      <c r="I405" s="109"/>
    </row>
    <row r="406" spans="1:9" ht="21.75" customHeight="1" x14ac:dyDescent="0.6">
      <c r="A406" s="109"/>
      <c r="B406" s="109"/>
      <c r="C406" s="109"/>
      <c r="D406" s="109"/>
      <c r="E406" s="109"/>
      <c r="F406" s="109"/>
      <c r="G406" s="109"/>
      <c r="H406" s="109"/>
      <c r="I406" s="109"/>
    </row>
    <row r="407" spans="1:9" ht="21.75" customHeight="1" x14ac:dyDescent="0.6">
      <c r="A407" s="109"/>
      <c r="B407" s="109"/>
      <c r="C407" s="109"/>
      <c r="D407" s="109"/>
      <c r="E407" s="109"/>
      <c r="F407" s="109"/>
      <c r="G407" s="109"/>
      <c r="H407" s="109"/>
      <c r="I407" s="109"/>
    </row>
    <row r="408" spans="1:9" ht="21.75" customHeight="1" x14ac:dyDescent="0.6">
      <c r="A408" s="109"/>
      <c r="B408" s="109"/>
      <c r="C408" s="109"/>
      <c r="D408" s="109"/>
      <c r="E408" s="109"/>
      <c r="F408" s="109"/>
      <c r="G408" s="109"/>
      <c r="H408" s="109"/>
      <c r="I408" s="109"/>
    </row>
    <row r="409" spans="1:9" ht="21.75" customHeight="1" x14ac:dyDescent="0.6">
      <c r="A409" s="109"/>
      <c r="B409" s="109"/>
      <c r="C409" s="109"/>
      <c r="D409" s="109"/>
      <c r="E409" s="109"/>
      <c r="F409" s="109"/>
      <c r="G409" s="109"/>
      <c r="H409" s="109"/>
      <c r="I409" s="109"/>
    </row>
    <row r="410" spans="1:9" ht="21.75" customHeight="1" x14ac:dyDescent="0.6">
      <c r="A410" s="109"/>
      <c r="B410" s="109"/>
      <c r="C410" s="109"/>
      <c r="D410" s="109"/>
      <c r="E410" s="109"/>
      <c r="F410" s="109"/>
      <c r="G410" s="109"/>
      <c r="H410" s="109"/>
      <c r="I410" s="109"/>
    </row>
    <row r="411" spans="1:9" ht="21.75" customHeight="1" x14ac:dyDescent="0.6">
      <c r="A411" s="109"/>
      <c r="B411" s="109"/>
      <c r="C411" s="109"/>
      <c r="D411" s="109"/>
      <c r="E411" s="109"/>
      <c r="F411" s="109"/>
      <c r="G411" s="109"/>
      <c r="H411" s="109"/>
      <c r="I411" s="109"/>
    </row>
    <row r="412" spans="1:9" ht="21.75" customHeight="1" x14ac:dyDescent="0.6">
      <c r="A412" s="109"/>
      <c r="B412" s="109"/>
      <c r="C412" s="109"/>
      <c r="D412" s="109"/>
      <c r="E412" s="109"/>
      <c r="F412" s="109"/>
      <c r="G412" s="109"/>
      <c r="H412" s="109"/>
      <c r="I412" s="109"/>
    </row>
    <row r="413" spans="1:9" ht="21.75" customHeight="1" x14ac:dyDescent="0.6">
      <c r="A413" s="109"/>
      <c r="B413" s="109"/>
      <c r="C413" s="109"/>
      <c r="D413" s="109"/>
      <c r="E413" s="109"/>
      <c r="F413" s="109"/>
      <c r="G413" s="109"/>
      <c r="H413" s="109"/>
      <c r="I413" s="109"/>
    </row>
    <row r="414" spans="1:9" ht="21.75" customHeight="1" x14ac:dyDescent="0.6">
      <c r="A414" s="109"/>
      <c r="B414" s="109"/>
      <c r="C414" s="109"/>
      <c r="D414" s="109"/>
      <c r="E414" s="109"/>
      <c r="F414" s="109"/>
      <c r="G414" s="109"/>
      <c r="H414" s="109"/>
      <c r="I414" s="109"/>
    </row>
    <row r="415" spans="1:9" ht="21.75" customHeight="1" x14ac:dyDescent="0.6">
      <c r="A415" s="109"/>
      <c r="B415" s="109"/>
      <c r="C415" s="109"/>
      <c r="D415" s="109"/>
      <c r="E415" s="109"/>
      <c r="F415" s="109"/>
      <c r="G415" s="109"/>
      <c r="H415" s="109"/>
      <c r="I415" s="109"/>
    </row>
    <row r="416" spans="1:9" ht="21.75" customHeight="1" x14ac:dyDescent="0.6">
      <c r="A416" s="109"/>
      <c r="B416" s="109"/>
      <c r="C416" s="109"/>
      <c r="D416" s="109"/>
      <c r="E416" s="109"/>
      <c r="F416" s="109"/>
      <c r="G416" s="109"/>
      <c r="H416" s="109"/>
      <c r="I416" s="109"/>
    </row>
    <row r="417" spans="1:9" ht="21.75" customHeight="1" x14ac:dyDescent="0.6">
      <c r="A417" s="109"/>
      <c r="B417" s="109"/>
      <c r="C417" s="109"/>
      <c r="D417" s="109"/>
      <c r="E417" s="109"/>
      <c r="F417" s="109"/>
      <c r="G417" s="109"/>
      <c r="H417" s="109"/>
      <c r="I417" s="109"/>
    </row>
    <row r="418" spans="1:9" ht="21.75" customHeight="1" x14ac:dyDescent="0.6">
      <c r="A418" s="109"/>
      <c r="B418" s="109"/>
      <c r="C418" s="109"/>
      <c r="D418" s="109"/>
      <c r="E418" s="109"/>
      <c r="F418" s="109"/>
      <c r="G418" s="109"/>
      <c r="H418" s="109"/>
      <c r="I418" s="109"/>
    </row>
    <row r="419" spans="1:9" ht="21.75" customHeight="1" x14ac:dyDescent="0.6">
      <c r="A419" s="109"/>
      <c r="B419" s="109"/>
      <c r="C419" s="109"/>
      <c r="D419" s="109"/>
      <c r="E419" s="109"/>
      <c r="F419" s="109"/>
      <c r="G419" s="109"/>
      <c r="H419" s="109"/>
      <c r="I419" s="109"/>
    </row>
    <row r="420" spans="1:9" ht="21.75" customHeight="1" x14ac:dyDescent="0.6">
      <c r="A420" s="109"/>
      <c r="B420" s="109"/>
      <c r="C420" s="109"/>
      <c r="D420" s="109"/>
      <c r="E420" s="109"/>
      <c r="F420" s="109"/>
      <c r="G420" s="109"/>
      <c r="H420" s="109"/>
      <c r="I420" s="109"/>
    </row>
    <row r="421" spans="1:9" ht="21.75" customHeight="1" x14ac:dyDescent="0.6">
      <c r="A421" s="109"/>
      <c r="B421" s="109"/>
      <c r="C421" s="109"/>
      <c r="D421" s="109"/>
      <c r="E421" s="109"/>
      <c r="F421" s="109"/>
      <c r="G421" s="109"/>
      <c r="H421" s="109"/>
      <c r="I421" s="109"/>
    </row>
    <row r="422" spans="1:9" ht="21.75" customHeight="1" x14ac:dyDescent="0.6">
      <c r="A422" s="109"/>
      <c r="B422" s="109"/>
      <c r="C422" s="109"/>
      <c r="D422" s="109"/>
      <c r="E422" s="109"/>
      <c r="F422" s="109"/>
      <c r="G422" s="109"/>
      <c r="H422" s="109"/>
      <c r="I422" s="109"/>
    </row>
    <row r="423" spans="1:9" ht="21.75" customHeight="1" x14ac:dyDescent="0.6">
      <c r="A423" s="109"/>
      <c r="B423" s="109"/>
      <c r="C423" s="109"/>
      <c r="D423" s="109"/>
      <c r="E423" s="109"/>
      <c r="F423" s="109"/>
      <c r="G423" s="109"/>
      <c r="H423" s="109"/>
      <c r="I423" s="109"/>
    </row>
    <row r="424" spans="1:9" ht="21.75" customHeight="1" x14ac:dyDescent="0.6">
      <c r="A424" s="109"/>
      <c r="B424" s="109"/>
      <c r="C424" s="109"/>
      <c r="D424" s="109"/>
      <c r="E424" s="109"/>
      <c r="F424" s="109"/>
      <c r="G424" s="109"/>
      <c r="H424" s="109"/>
      <c r="I424" s="109"/>
    </row>
    <row r="425" spans="1:9" ht="21.75" customHeight="1" x14ac:dyDescent="0.6">
      <c r="A425" s="109"/>
      <c r="B425" s="109"/>
      <c r="C425" s="109"/>
      <c r="D425" s="109"/>
      <c r="E425" s="109"/>
      <c r="F425" s="109"/>
      <c r="G425" s="109"/>
      <c r="H425" s="109"/>
      <c r="I425" s="109"/>
    </row>
    <row r="426" spans="1:9" ht="21.75" customHeight="1" x14ac:dyDescent="0.6">
      <c r="A426" s="109"/>
      <c r="B426" s="109"/>
      <c r="C426" s="109"/>
      <c r="D426" s="109"/>
      <c r="E426" s="109"/>
      <c r="F426" s="109"/>
      <c r="G426" s="109"/>
      <c r="H426" s="109"/>
      <c r="I426" s="109"/>
    </row>
    <row r="427" spans="1:9" ht="21.75" customHeight="1" x14ac:dyDescent="0.6">
      <c r="A427" s="109"/>
      <c r="B427" s="109"/>
      <c r="C427" s="109"/>
      <c r="D427" s="109"/>
      <c r="E427" s="109"/>
      <c r="F427" s="109"/>
      <c r="G427" s="109"/>
      <c r="H427" s="109"/>
      <c r="I427" s="109"/>
    </row>
    <row r="428" spans="1:9" ht="21.75" customHeight="1" x14ac:dyDescent="0.6">
      <c r="A428" s="109"/>
      <c r="B428" s="109"/>
      <c r="C428" s="109"/>
      <c r="D428" s="109"/>
      <c r="E428" s="109"/>
      <c r="F428" s="109"/>
      <c r="G428" s="109"/>
      <c r="H428" s="109"/>
      <c r="I428" s="109"/>
    </row>
    <row r="429" spans="1:9" ht="21.75" customHeight="1" x14ac:dyDescent="0.6">
      <c r="A429" s="109"/>
      <c r="B429" s="109"/>
      <c r="C429" s="109"/>
      <c r="D429" s="109"/>
      <c r="E429" s="109"/>
      <c r="F429" s="109"/>
      <c r="G429" s="109"/>
      <c r="H429" s="109"/>
      <c r="I429" s="109"/>
    </row>
    <row r="430" spans="1:9" ht="21.75" customHeight="1" x14ac:dyDescent="0.6">
      <c r="A430" s="109"/>
      <c r="B430" s="109"/>
      <c r="C430" s="109"/>
      <c r="D430" s="109"/>
      <c r="E430" s="109"/>
      <c r="F430" s="109"/>
      <c r="G430" s="109"/>
      <c r="H430" s="109"/>
      <c r="I430" s="109"/>
    </row>
    <row r="431" spans="1:9" ht="21.75" customHeight="1" x14ac:dyDescent="0.6">
      <c r="A431" s="109"/>
      <c r="B431" s="109"/>
      <c r="C431" s="109"/>
      <c r="D431" s="109"/>
      <c r="E431" s="109"/>
      <c r="F431" s="109"/>
      <c r="G431" s="109"/>
      <c r="H431" s="109"/>
      <c r="I431" s="109"/>
    </row>
    <row r="432" spans="1:9" ht="21.75" customHeight="1" x14ac:dyDescent="0.6">
      <c r="A432" s="109"/>
      <c r="B432" s="109"/>
      <c r="C432" s="109"/>
      <c r="D432" s="109"/>
      <c r="E432" s="109"/>
      <c r="F432" s="109"/>
      <c r="G432" s="109"/>
      <c r="H432" s="109"/>
      <c r="I432" s="109"/>
    </row>
    <row r="433" spans="1:9" ht="21.75" customHeight="1" x14ac:dyDescent="0.6">
      <c r="A433" s="109"/>
      <c r="B433" s="109"/>
      <c r="C433" s="109"/>
      <c r="D433" s="109"/>
      <c r="E433" s="109"/>
      <c r="F433" s="109"/>
      <c r="G433" s="109"/>
      <c r="H433" s="109"/>
      <c r="I433" s="109"/>
    </row>
    <row r="434" spans="1:9" ht="21.75" customHeight="1" x14ac:dyDescent="0.6">
      <c r="A434" s="109"/>
      <c r="B434" s="109"/>
      <c r="C434" s="109"/>
      <c r="D434" s="109"/>
      <c r="E434" s="109"/>
      <c r="F434" s="109"/>
      <c r="G434" s="109"/>
      <c r="H434" s="109"/>
      <c r="I434" s="109"/>
    </row>
    <row r="435" spans="1:9" ht="21.75" customHeight="1" x14ac:dyDescent="0.6">
      <c r="A435" s="109"/>
      <c r="B435" s="109"/>
      <c r="C435" s="109"/>
      <c r="D435" s="109"/>
      <c r="E435" s="109"/>
      <c r="F435" s="109"/>
      <c r="G435" s="109"/>
      <c r="H435" s="109"/>
      <c r="I435" s="109"/>
    </row>
    <row r="436" spans="1:9" ht="21.75" customHeight="1" x14ac:dyDescent="0.6">
      <c r="A436" s="109"/>
      <c r="B436" s="109"/>
      <c r="C436" s="109"/>
      <c r="D436" s="109"/>
      <c r="E436" s="109"/>
      <c r="F436" s="109"/>
      <c r="G436" s="109"/>
      <c r="H436" s="109"/>
      <c r="I436" s="109"/>
    </row>
    <row r="437" spans="1:9" ht="21.75" customHeight="1" x14ac:dyDescent="0.6">
      <c r="A437" s="109"/>
      <c r="B437" s="109"/>
      <c r="C437" s="109"/>
      <c r="D437" s="109"/>
      <c r="E437" s="109"/>
      <c r="F437" s="109"/>
      <c r="G437" s="109"/>
      <c r="H437" s="109"/>
      <c r="I437" s="109"/>
    </row>
    <row r="438" spans="1:9" ht="21.75" customHeight="1" x14ac:dyDescent="0.6">
      <c r="A438" s="109"/>
      <c r="B438" s="109"/>
      <c r="C438" s="109"/>
      <c r="D438" s="109"/>
      <c r="E438" s="109"/>
      <c r="F438" s="109"/>
      <c r="G438" s="109"/>
      <c r="H438" s="109"/>
      <c r="I438" s="109"/>
    </row>
    <row r="439" spans="1:9" ht="21.75" customHeight="1" x14ac:dyDescent="0.6">
      <c r="A439" s="109"/>
      <c r="B439" s="109"/>
      <c r="C439" s="109"/>
      <c r="D439" s="109"/>
      <c r="E439" s="109"/>
      <c r="F439" s="109"/>
      <c r="G439" s="109"/>
      <c r="H439" s="109"/>
      <c r="I439" s="109"/>
    </row>
    <row r="440" spans="1:9" ht="21.75" customHeight="1" x14ac:dyDescent="0.6">
      <c r="A440" s="109"/>
      <c r="B440" s="109"/>
      <c r="C440" s="109"/>
      <c r="D440" s="109"/>
      <c r="E440" s="109"/>
      <c r="F440" s="109"/>
      <c r="G440" s="109"/>
      <c r="H440" s="109"/>
      <c r="I440" s="109"/>
    </row>
    <row r="441" spans="1:9" ht="21.75" customHeight="1" x14ac:dyDescent="0.6">
      <c r="A441" s="109"/>
      <c r="B441" s="109"/>
      <c r="C441" s="109"/>
      <c r="D441" s="109"/>
      <c r="E441" s="109"/>
      <c r="F441" s="109"/>
      <c r="G441" s="109"/>
      <c r="H441" s="109"/>
      <c r="I441" s="109"/>
    </row>
    <row r="442" spans="1:9" ht="21.75" customHeight="1" x14ac:dyDescent="0.6">
      <c r="A442" s="109"/>
      <c r="B442" s="109"/>
      <c r="C442" s="109"/>
      <c r="D442" s="109"/>
      <c r="E442" s="109"/>
      <c r="F442" s="109"/>
      <c r="G442" s="109"/>
      <c r="H442" s="109"/>
      <c r="I442" s="109"/>
    </row>
    <row r="443" spans="1:9" ht="21.75" customHeight="1" x14ac:dyDescent="0.6">
      <c r="A443" s="109"/>
      <c r="B443" s="109"/>
      <c r="C443" s="109"/>
      <c r="D443" s="109"/>
      <c r="E443" s="109"/>
      <c r="F443" s="109"/>
      <c r="G443" s="109"/>
      <c r="H443" s="109"/>
      <c r="I443" s="109"/>
    </row>
    <row r="444" spans="1:9" ht="21.75" customHeight="1" x14ac:dyDescent="0.6">
      <c r="A444" s="109"/>
      <c r="B444" s="109"/>
      <c r="C444" s="109"/>
      <c r="D444" s="109"/>
      <c r="E444" s="109"/>
      <c r="F444" s="109"/>
      <c r="G444" s="109"/>
      <c r="H444" s="109"/>
      <c r="I444" s="109"/>
    </row>
    <row r="445" spans="1:9" ht="21.75" customHeight="1" x14ac:dyDescent="0.6">
      <c r="A445" s="109"/>
      <c r="B445" s="109"/>
      <c r="C445" s="109"/>
      <c r="D445" s="109"/>
      <c r="E445" s="109"/>
      <c r="F445" s="109"/>
      <c r="G445" s="109"/>
      <c r="H445" s="109"/>
      <c r="I445" s="109"/>
    </row>
    <row r="446" spans="1:9" ht="21.75" customHeight="1" x14ac:dyDescent="0.6">
      <c r="A446" s="109"/>
      <c r="B446" s="109"/>
      <c r="C446" s="109"/>
      <c r="D446" s="109"/>
      <c r="E446" s="109"/>
      <c r="F446" s="109"/>
      <c r="G446" s="109"/>
      <c r="H446" s="109"/>
      <c r="I446" s="109"/>
    </row>
    <row r="447" spans="1:9" ht="21.75" customHeight="1" x14ac:dyDescent="0.6">
      <c r="A447" s="109"/>
      <c r="B447" s="109"/>
      <c r="C447" s="109"/>
      <c r="D447" s="109"/>
      <c r="E447" s="109"/>
      <c r="F447" s="109"/>
      <c r="G447" s="109"/>
      <c r="H447" s="109"/>
      <c r="I447" s="109"/>
    </row>
    <row r="448" spans="1:9" ht="21.75" customHeight="1" x14ac:dyDescent="0.6">
      <c r="A448" s="109"/>
      <c r="B448" s="109"/>
      <c r="C448" s="109"/>
      <c r="D448" s="109"/>
      <c r="E448" s="109"/>
      <c r="F448" s="109"/>
      <c r="G448" s="109"/>
      <c r="H448" s="109"/>
      <c r="I448" s="109"/>
    </row>
    <row r="449" spans="1:9" ht="21.75" customHeight="1" x14ac:dyDescent="0.6">
      <c r="A449" s="109"/>
      <c r="B449" s="109"/>
      <c r="C449" s="109"/>
      <c r="D449" s="109"/>
      <c r="E449" s="109"/>
      <c r="F449" s="109"/>
      <c r="G449" s="109"/>
      <c r="H449" s="109"/>
      <c r="I449" s="109"/>
    </row>
    <row r="450" spans="1:9" ht="21.75" customHeight="1" x14ac:dyDescent="0.6">
      <c r="A450" s="109"/>
      <c r="B450" s="109"/>
      <c r="C450" s="109"/>
      <c r="D450" s="109"/>
      <c r="E450" s="109"/>
      <c r="F450" s="109"/>
      <c r="G450" s="109"/>
      <c r="H450" s="109"/>
      <c r="I450" s="109"/>
    </row>
    <row r="451" spans="1:9" ht="21.75" customHeight="1" x14ac:dyDescent="0.6">
      <c r="A451" s="109"/>
      <c r="B451" s="109"/>
      <c r="C451" s="109"/>
      <c r="D451" s="109"/>
      <c r="E451" s="109"/>
      <c r="F451" s="109"/>
      <c r="G451" s="109"/>
      <c r="H451" s="109"/>
      <c r="I451" s="109"/>
    </row>
    <row r="452" spans="1:9" ht="21.75" customHeight="1" x14ac:dyDescent="0.6">
      <c r="A452" s="109"/>
      <c r="B452" s="109"/>
      <c r="C452" s="109"/>
      <c r="D452" s="109"/>
      <c r="E452" s="109"/>
      <c r="F452" s="109"/>
      <c r="G452" s="109"/>
      <c r="H452" s="109"/>
      <c r="I452" s="109"/>
    </row>
    <row r="453" spans="1:9" ht="21.75" customHeight="1" x14ac:dyDescent="0.6">
      <c r="A453" s="109"/>
      <c r="B453" s="109"/>
      <c r="C453" s="109"/>
      <c r="D453" s="109"/>
      <c r="E453" s="109"/>
      <c r="F453" s="109"/>
      <c r="G453" s="109"/>
      <c r="H453" s="109"/>
      <c r="I453" s="109"/>
    </row>
    <row r="454" spans="1:9" ht="21.75" customHeight="1" x14ac:dyDescent="0.6">
      <c r="A454" s="109"/>
      <c r="B454" s="109"/>
      <c r="C454" s="109"/>
      <c r="D454" s="109"/>
      <c r="E454" s="109"/>
      <c r="F454" s="109"/>
      <c r="G454" s="109"/>
      <c r="H454" s="109"/>
      <c r="I454" s="109"/>
    </row>
    <row r="455" spans="1:9" ht="21.75" customHeight="1" x14ac:dyDescent="0.6">
      <c r="A455" s="109"/>
      <c r="B455" s="109"/>
      <c r="C455" s="109"/>
      <c r="D455" s="109"/>
      <c r="E455" s="109"/>
      <c r="F455" s="109"/>
      <c r="G455" s="109"/>
      <c r="H455" s="109"/>
      <c r="I455" s="109"/>
    </row>
    <row r="456" spans="1:9" ht="21.75" customHeight="1" x14ac:dyDescent="0.6">
      <c r="A456" s="109"/>
      <c r="B456" s="109"/>
      <c r="C456" s="109"/>
      <c r="D456" s="109"/>
      <c r="E456" s="109"/>
      <c r="F456" s="109"/>
      <c r="G456" s="109"/>
      <c r="H456" s="109"/>
      <c r="I456" s="109"/>
    </row>
    <row r="457" spans="1:9" ht="21.75" customHeight="1" x14ac:dyDescent="0.6">
      <c r="A457" s="109"/>
      <c r="B457" s="109"/>
      <c r="C457" s="109"/>
      <c r="D457" s="109"/>
      <c r="E457" s="109"/>
      <c r="F457" s="109"/>
      <c r="G457" s="109"/>
      <c r="H457" s="109"/>
      <c r="I457" s="109"/>
    </row>
    <row r="458" spans="1:9" ht="21.75" customHeight="1" x14ac:dyDescent="0.6">
      <c r="A458" s="109"/>
      <c r="B458" s="109"/>
      <c r="C458" s="109"/>
      <c r="D458" s="109"/>
      <c r="E458" s="109"/>
      <c r="F458" s="109"/>
      <c r="G458" s="109"/>
      <c r="H458" s="109"/>
      <c r="I458" s="109"/>
    </row>
    <row r="459" spans="1:9" ht="21.75" customHeight="1" x14ac:dyDescent="0.6">
      <c r="A459" s="109"/>
      <c r="B459" s="109"/>
      <c r="C459" s="109"/>
      <c r="D459" s="109"/>
      <c r="E459" s="109"/>
      <c r="F459" s="109"/>
      <c r="G459" s="109"/>
      <c r="H459" s="109"/>
      <c r="I459" s="109"/>
    </row>
    <row r="460" spans="1:9" ht="21.75" customHeight="1" x14ac:dyDescent="0.6">
      <c r="A460" s="109"/>
      <c r="B460" s="109"/>
      <c r="C460" s="109"/>
      <c r="D460" s="109"/>
      <c r="E460" s="109"/>
      <c r="F460" s="109"/>
      <c r="G460" s="109"/>
      <c r="H460" s="109"/>
      <c r="I460" s="109"/>
    </row>
    <row r="461" spans="1:9" ht="21.75" customHeight="1" x14ac:dyDescent="0.6">
      <c r="A461" s="109"/>
      <c r="B461" s="109"/>
      <c r="C461" s="109"/>
      <c r="D461" s="109"/>
      <c r="E461" s="109"/>
      <c r="F461" s="109"/>
      <c r="G461" s="109"/>
      <c r="H461" s="109"/>
      <c r="I461" s="109"/>
    </row>
    <row r="462" spans="1:9" ht="21.75" customHeight="1" x14ac:dyDescent="0.6">
      <c r="A462" s="109"/>
      <c r="B462" s="109"/>
      <c r="C462" s="109"/>
      <c r="D462" s="109"/>
      <c r="E462" s="109"/>
      <c r="F462" s="109"/>
      <c r="G462" s="109"/>
      <c r="H462" s="109"/>
      <c r="I462" s="109"/>
    </row>
    <row r="463" spans="1:9" ht="21.75" customHeight="1" x14ac:dyDescent="0.6">
      <c r="A463" s="109"/>
      <c r="B463" s="109"/>
      <c r="C463" s="109"/>
      <c r="D463" s="109"/>
      <c r="E463" s="109"/>
      <c r="F463" s="109"/>
      <c r="G463" s="109"/>
      <c r="H463" s="109"/>
      <c r="I463" s="109"/>
    </row>
    <row r="464" spans="1:9" ht="21.75" customHeight="1" x14ac:dyDescent="0.6">
      <c r="A464" s="109"/>
      <c r="B464" s="109"/>
      <c r="C464" s="109"/>
      <c r="D464" s="109"/>
      <c r="E464" s="109"/>
      <c r="F464" s="109"/>
      <c r="G464" s="109"/>
      <c r="H464" s="109"/>
      <c r="I464" s="109"/>
    </row>
    <row r="465" spans="1:9" ht="21.75" customHeight="1" x14ac:dyDescent="0.6">
      <c r="A465" s="109"/>
      <c r="B465" s="109"/>
      <c r="C465" s="109"/>
      <c r="D465" s="109"/>
      <c r="E465" s="109"/>
      <c r="F465" s="109"/>
      <c r="G465" s="109"/>
      <c r="H465" s="109"/>
      <c r="I465" s="109"/>
    </row>
    <row r="466" spans="1:9" ht="21.75" customHeight="1" x14ac:dyDescent="0.6">
      <c r="A466" s="109"/>
      <c r="B466" s="109"/>
      <c r="C466" s="109"/>
      <c r="D466" s="109"/>
      <c r="E466" s="109"/>
      <c r="F466" s="109"/>
      <c r="G466" s="109"/>
      <c r="H466" s="109"/>
      <c r="I466" s="109"/>
    </row>
    <row r="467" spans="1:9" ht="21.75" customHeight="1" x14ac:dyDescent="0.6">
      <c r="A467" s="109"/>
      <c r="B467" s="109"/>
      <c r="C467" s="109"/>
      <c r="D467" s="109"/>
      <c r="E467" s="109"/>
      <c r="F467" s="109"/>
      <c r="G467" s="109"/>
      <c r="H467" s="109"/>
      <c r="I467" s="109"/>
    </row>
    <row r="468" spans="1:9" ht="21.75" customHeight="1" x14ac:dyDescent="0.6">
      <c r="A468" s="109"/>
      <c r="B468" s="109"/>
      <c r="C468" s="109"/>
      <c r="D468" s="109"/>
      <c r="E468" s="109"/>
      <c r="F468" s="109"/>
      <c r="G468" s="109"/>
      <c r="H468" s="109"/>
      <c r="I468" s="109"/>
    </row>
    <row r="469" spans="1:9" ht="21.75" customHeight="1" x14ac:dyDescent="0.6">
      <c r="A469" s="109"/>
      <c r="B469" s="109"/>
      <c r="C469" s="109"/>
      <c r="D469" s="109"/>
      <c r="E469" s="109"/>
      <c r="F469" s="109"/>
      <c r="G469" s="109"/>
      <c r="H469" s="109"/>
      <c r="I469" s="109"/>
    </row>
    <row r="470" spans="1:9" ht="21.75" customHeight="1" x14ac:dyDescent="0.6">
      <c r="A470" s="109"/>
      <c r="B470" s="109"/>
      <c r="C470" s="109"/>
      <c r="D470" s="109"/>
      <c r="E470" s="109"/>
      <c r="F470" s="109"/>
      <c r="G470" s="109"/>
      <c r="H470" s="109"/>
      <c r="I470" s="109"/>
    </row>
    <row r="471" spans="1:9" ht="21.75" customHeight="1" x14ac:dyDescent="0.6">
      <c r="A471" s="109"/>
      <c r="B471" s="109"/>
      <c r="C471" s="109"/>
      <c r="D471" s="109"/>
      <c r="E471" s="109"/>
      <c r="F471" s="109"/>
      <c r="G471" s="109"/>
      <c r="H471" s="109"/>
      <c r="I471" s="109"/>
    </row>
    <row r="472" spans="1:9" ht="21.75" customHeight="1" x14ac:dyDescent="0.6">
      <c r="A472" s="109"/>
      <c r="B472" s="109"/>
      <c r="C472" s="109"/>
      <c r="D472" s="109"/>
      <c r="E472" s="109"/>
      <c r="F472" s="109"/>
      <c r="G472" s="109"/>
      <c r="H472" s="109"/>
      <c r="I472" s="109"/>
    </row>
    <row r="473" spans="1:9" ht="21.75" customHeight="1" x14ac:dyDescent="0.6">
      <c r="A473" s="109"/>
      <c r="B473" s="109"/>
      <c r="C473" s="109"/>
      <c r="D473" s="109"/>
      <c r="E473" s="109"/>
      <c r="F473" s="109"/>
      <c r="G473" s="109"/>
      <c r="H473" s="109"/>
      <c r="I473" s="109"/>
    </row>
    <row r="474" spans="1:9" ht="21.75" customHeight="1" x14ac:dyDescent="0.6">
      <c r="A474" s="109"/>
      <c r="B474" s="109"/>
      <c r="C474" s="109"/>
      <c r="D474" s="109"/>
      <c r="E474" s="109"/>
      <c r="F474" s="109"/>
      <c r="G474" s="109"/>
      <c r="H474" s="109"/>
      <c r="I474" s="109"/>
    </row>
    <row r="475" spans="1:9" ht="21.75" customHeight="1" x14ac:dyDescent="0.6">
      <c r="A475" s="109"/>
      <c r="B475" s="109"/>
      <c r="C475" s="109"/>
      <c r="D475" s="109"/>
      <c r="E475" s="109"/>
      <c r="F475" s="109"/>
      <c r="G475" s="109"/>
      <c r="H475" s="109"/>
      <c r="I475" s="109"/>
    </row>
    <row r="476" spans="1:9" ht="21.75" customHeight="1" x14ac:dyDescent="0.6">
      <c r="A476" s="109"/>
      <c r="B476" s="109"/>
      <c r="C476" s="109"/>
      <c r="D476" s="109"/>
      <c r="E476" s="109"/>
      <c r="F476" s="109"/>
      <c r="G476" s="109"/>
      <c r="H476" s="109"/>
      <c r="I476" s="109"/>
    </row>
    <row r="477" spans="1:9" ht="21.75" customHeight="1" x14ac:dyDescent="0.6">
      <c r="A477" s="109"/>
      <c r="B477" s="109"/>
      <c r="C477" s="109"/>
      <c r="D477" s="109"/>
      <c r="E477" s="109"/>
      <c r="F477" s="109"/>
      <c r="G477" s="109"/>
      <c r="H477" s="109"/>
      <c r="I477" s="109"/>
    </row>
    <row r="478" spans="1:9" ht="21.75" customHeight="1" x14ac:dyDescent="0.6">
      <c r="A478" s="109"/>
      <c r="B478" s="109"/>
      <c r="C478" s="109"/>
      <c r="D478" s="109"/>
      <c r="E478" s="109"/>
      <c r="F478" s="109"/>
      <c r="G478" s="109"/>
      <c r="H478" s="109"/>
      <c r="I478" s="109"/>
    </row>
    <row r="479" spans="1:9" ht="21.75" customHeight="1" x14ac:dyDescent="0.6">
      <c r="A479" s="109"/>
      <c r="B479" s="109"/>
      <c r="C479" s="109"/>
      <c r="D479" s="109"/>
      <c r="E479" s="109"/>
      <c r="F479" s="109"/>
      <c r="G479" s="109"/>
      <c r="H479" s="109"/>
      <c r="I479" s="109"/>
    </row>
    <row r="480" spans="1:9" ht="21.75" customHeight="1" x14ac:dyDescent="0.6">
      <c r="A480" s="109"/>
      <c r="B480" s="109"/>
      <c r="C480" s="109"/>
      <c r="D480" s="109"/>
      <c r="E480" s="109"/>
      <c r="F480" s="109"/>
      <c r="G480" s="109"/>
      <c r="H480" s="109"/>
      <c r="I480" s="109"/>
    </row>
    <row r="481" spans="1:9" ht="21.75" customHeight="1" x14ac:dyDescent="0.6">
      <c r="A481" s="109"/>
      <c r="B481" s="109"/>
      <c r="C481" s="109"/>
      <c r="D481" s="109"/>
      <c r="E481" s="109"/>
      <c r="F481" s="109"/>
      <c r="G481" s="109"/>
      <c r="H481" s="109"/>
      <c r="I481" s="109"/>
    </row>
    <row r="482" spans="1:9" ht="21.75" customHeight="1" x14ac:dyDescent="0.6">
      <c r="A482" s="109"/>
      <c r="B482" s="109"/>
      <c r="C482" s="109"/>
      <c r="D482" s="109"/>
      <c r="E482" s="109"/>
      <c r="F482" s="109"/>
      <c r="G482" s="109"/>
      <c r="H482" s="109"/>
      <c r="I482" s="109"/>
    </row>
    <row r="483" spans="1:9" ht="21.75" customHeight="1" x14ac:dyDescent="0.6">
      <c r="A483" s="109"/>
      <c r="B483" s="109"/>
      <c r="C483" s="109"/>
      <c r="D483" s="109"/>
      <c r="E483" s="109"/>
      <c r="F483" s="109"/>
      <c r="G483" s="109"/>
      <c r="H483" s="109"/>
      <c r="I483" s="109"/>
    </row>
    <row r="484" spans="1:9" ht="21.75" customHeight="1" x14ac:dyDescent="0.6">
      <c r="A484" s="109"/>
      <c r="B484" s="109"/>
      <c r="C484" s="109"/>
      <c r="D484" s="109"/>
      <c r="E484" s="109"/>
      <c r="F484" s="109"/>
      <c r="G484" s="109"/>
      <c r="H484" s="109"/>
      <c r="I484" s="109"/>
    </row>
    <row r="485" spans="1:9" ht="21.75" customHeight="1" x14ac:dyDescent="0.6">
      <c r="A485" s="109"/>
      <c r="B485" s="109"/>
      <c r="C485" s="109"/>
      <c r="D485" s="109"/>
      <c r="E485" s="109"/>
      <c r="F485" s="109"/>
      <c r="G485" s="109"/>
      <c r="H485" s="109"/>
      <c r="I485" s="109"/>
    </row>
    <row r="486" spans="1:9" ht="21.75" customHeight="1" x14ac:dyDescent="0.6">
      <c r="A486" s="109"/>
      <c r="B486" s="109"/>
      <c r="C486" s="109"/>
      <c r="D486" s="109"/>
      <c r="E486" s="109"/>
      <c r="F486" s="109"/>
      <c r="G486" s="109"/>
      <c r="H486" s="109"/>
      <c r="I486" s="109"/>
    </row>
    <row r="487" spans="1:9" ht="21.75" customHeight="1" x14ac:dyDescent="0.6">
      <c r="A487" s="109"/>
      <c r="B487" s="109"/>
      <c r="C487" s="109"/>
      <c r="D487" s="109"/>
      <c r="E487" s="109"/>
      <c r="F487" s="109"/>
      <c r="G487" s="109"/>
      <c r="H487" s="109"/>
      <c r="I487" s="109"/>
    </row>
    <row r="488" spans="1:9" ht="21.75" customHeight="1" x14ac:dyDescent="0.6">
      <c r="A488" s="109"/>
      <c r="B488" s="109"/>
      <c r="C488" s="109"/>
      <c r="D488" s="109"/>
      <c r="E488" s="109"/>
      <c r="F488" s="109"/>
      <c r="G488" s="109"/>
      <c r="H488" s="109"/>
      <c r="I488" s="109"/>
    </row>
    <row r="489" spans="1:9" ht="21.75" customHeight="1" x14ac:dyDescent="0.6">
      <c r="A489" s="109"/>
      <c r="B489" s="109"/>
      <c r="C489" s="109"/>
      <c r="D489" s="109"/>
      <c r="E489" s="109"/>
      <c r="F489" s="109"/>
      <c r="G489" s="109"/>
      <c r="H489" s="109"/>
      <c r="I489" s="109"/>
    </row>
    <row r="490" spans="1:9" ht="21.75" customHeight="1" x14ac:dyDescent="0.6">
      <c r="A490" s="109"/>
      <c r="B490" s="109"/>
      <c r="C490" s="109"/>
      <c r="D490" s="109"/>
      <c r="E490" s="109"/>
      <c r="F490" s="109"/>
      <c r="G490" s="109"/>
      <c r="H490" s="109"/>
      <c r="I490" s="109"/>
    </row>
    <row r="491" spans="1:9" ht="21.75" customHeight="1" x14ac:dyDescent="0.6">
      <c r="A491" s="109"/>
      <c r="B491" s="109"/>
      <c r="C491" s="109"/>
      <c r="D491" s="109"/>
      <c r="E491" s="109"/>
      <c r="F491" s="109"/>
      <c r="G491" s="109"/>
      <c r="H491" s="109"/>
      <c r="I491" s="109"/>
    </row>
    <row r="492" spans="1:9" ht="21.75" customHeight="1" x14ac:dyDescent="0.6">
      <c r="A492" s="109"/>
      <c r="B492" s="109"/>
      <c r="C492" s="109"/>
      <c r="D492" s="109"/>
      <c r="E492" s="109"/>
      <c r="F492" s="109"/>
      <c r="G492" s="109"/>
      <c r="H492" s="109"/>
      <c r="I492" s="109"/>
    </row>
    <row r="493" spans="1:9" ht="21.75" customHeight="1" x14ac:dyDescent="0.6">
      <c r="A493" s="109"/>
      <c r="B493" s="109"/>
      <c r="C493" s="109"/>
      <c r="D493" s="109"/>
      <c r="E493" s="109"/>
      <c r="F493" s="109"/>
      <c r="G493" s="109"/>
      <c r="H493" s="109"/>
      <c r="I493" s="109"/>
    </row>
    <row r="494" spans="1:9" ht="21.75" customHeight="1" x14ac:dyDescent="0.6">
      <c r="A494" s="109"/>
      <c r="B494" s="109"/>
      <c r="C494" s="109"/>
      <c r="D494" s="109"/>
      <c r="E494" s="109"/>
      <c r="F494" s="109"/>
      <c r="G494" s="109"/>
      <c r="H494" s="109"/>
      <c r="I494" s="109"/>
    </row>
    <row r="495" spans="1:9" ht="21.75" customHeight="1" x14ac:dyDescent="0.6">
      <c r="A495" s="109"/>
      <c r="B495" s="109"/>
      <c r="C495" s="109"/>
      <c r="D495" s="109"/>
      <c r="E495" s="109"/>
      <c r="F495" s="109"/>
      <c r="G495" s="109"/>
      <c r="H495" s="109"/>
      <c r="I495" s="109"/>
    </row>
    <row r="496" spans="1:9" ht="21.75" customHeight="1" x14ac:dyDescent="0.6">
      <c r="A496" s="109"/>
      <c r="B496" s="109"/>
      <c r="C496" s="109"/>
      <c r="D496" s="109"/>
      <c r="E496" s="109"/>
      <c r="F496" s="109"/>
      <c r="G496" s="109"/>
      <c r="H496" s="109"/>
      <c r="I496" s="109"/>
    </row>
    <row r="497" spans="1:9" ht="21.75" customHeight="1" x14ac:dyDescent="0.6">
      <c r="A497" s="109"/>
      <c r="B497" s="109"/>
      <c r="C497" s="109"/>
      <c r="D497" s="109"/>
      <c r="E497" s="109"/>
      <c r="F497" s="109"/>
      <c r="G497" s="109"/>
      <c r="H497" s="109"/>
      <c r="I497" s="109"/>
    </row>
    <row r="498" spans="1:9" ht="21.75" customHeight="1" x14ac:dyDescent="0.6">
      <c r="A498" s="109"/>
      <c r="B498" s="109"/>
      <c r="C498" s="109"/>
      <c r="D498" s="109"/>
      <c r="E498" s="109"/>
      <c r="F498" s="109"/>
      <c r="G498" s="109"/>
      <c r="H498" s="109"/>
      <c r="I498" s="109"/>
    </row>
    <row r="499" spans="1:9" ht="21.75" customHeight="1" x14ac:dyDescent="0.6">
      <c r="A499" s="109"/>
      <c r="B499" s="109"/>
      <c r="C499" s="109"/>
      <c r="D499" s="109"/>
      <c r="E499" s="109"/>
      <c r="F499" s="109"/>
      <c r="G499" s="109"/>
      <c r="H499" s="109"/>
      <c r="I499" s="109"/>
    </row>
    <row r="500" spans="1:9" ht="21.75" customHeight="1" x14ac:dyDescent="0.6">
      <c r="A500" s="109"/>
      <c r="B500" s="109"/>
      <c r="C500" s="109"/>
      <c r="D500" s="109"/>
      <c r="E500" s="109"/>
      <c r="F500" s="109"/>
      <c r="G500" s="109"/>
      <c r="H500" s="109"/>
      <c r="I500" s="109"/>
    </row>
    <row r="501" spans="1:9" ht="21.75" customHeight="1" x14ac:dyDescent="0.6">
      <c r="A501" s="109"/>
      <c r="B501" s="109"/>
      <c r="C501" s="109"/>
      <c r="D501" s="109"/>
      <c r="E501" s="109"/>
      <c r="F501" s="109"/>
      <c r="G501" s="109"/>
      <c r="H501" s="109"/>
      <c r="I501" s="109"/>
    </row>
    <row r="502" spans="1:9" ht="21.75" customHeight="1" x14ac:dyDescent="0.6">
      <c r="A502" s="109"/>
      <c r="B502" s="109"/>
      <c r="C502" s="109"/>
      <c r="D502" s="109"/>
      <c r="E502" s="109"/>
      <c r="F502" s="109"/>
      <c r="G502" s="109"/>
      <c r="H502" s="109"/>
      <c r="I502" s="109"/>
    </row>
    <row r="503" spans="1:9" ht="21.75" customHeight="1" x14ac:dyDescent="0.6">
      <c r="A503" s="109"/>
      <c r="B503" s="109"/>
      <c r="C503" s="109"/>
      <c r="D503" s="109"/>
      <c r="E503" s="109"/>
      <c r="F503" s="109"/>
      <c r="G503" s="109"/>
      <c r="H503" s="109"/>
      <c r="I503" s="109"/>
    </row>
    <row r="504" spans="1:9" ht="21.75" customHeight="1" x14ac:dyDescent="0.6">
      <c r="A504" s="109"/>
      <c r="B504" s="109"/>
      <c r="C504" s="109"/>
      <c r="D504" s="109"/>
      <c r="E504" s="109"/>
      <c r="F504" s="109"/>
      <c r="G504" s="109"/>
      <c r="H504" s="109"/>
      <c r="I504" s="109"/>
    </row>
    <row r="505" spans="1:9" ht="21.75" customHeight="1" x14ac:dyDescent="0.6">
      <c r="A505" s="109"/>
      <c r="B505" s="109"/>
      <c r="C505" s="109"/>
      <c r="D505" s="109"/>
      <c r="E505" s="109"/>
      <c r="F505" s="109"/>
      <c r="G505" s="109"/>
      <c r="H505" s="109"/>
      <c r="I505" s="109"/>
    </row>
    <row r="506" spans="1:9" ht="21.75" customHeight="1" x14ac:dyDescent="0.6">
      <c r="A506" s="109"/>
      <c r="B506" s="109"/>
      <c r="C506" s="109"/>
      <c r="D506" s="109"/>
      <c r="E506" s="109"/>
      <c r="F506" s="109"/>
      <c r="G506" s="109"/>
      <c r="H506" s="109"/>
      <c r="I506" s="109"/>
    </row>
    <row r="507" spans="1:9" ht="21.75" customHeight="1" x14ac:dyDescent="0.6">
      <c r="A507" s="109"/>
      <c r="B507" s="109"/>
      <c r="C507" s="109"/>
      <c r="D507" s="109"/>
      <c r="E507" s="109"/>
      <c r="F507" s="109"/>
      <c r="G507" s="109"/>
      <c r="H507" s="109"/>
      <c r="I507" s="109"/>
    </row>
    <row r="508" spans="1:9" ht="21.75" customHeight="1" x14ac:dyDescent="0.6">
      <c r="A508" s="109"/>
      <c r="B508" s="109"/>
      <c r="C508" s="109"/>
      <c r="D508" s="109"/>
      <c r="E508" s="109"/>
      <c r="F508" s="109"/>
      <c r="G508" s="109"/>
      <c r="H508" s="109"/>
      <c r="I508" s="109"/>
    </row>
    <row r="509" spans="1:9" ht="21.75" customHeight="1" x14ac:dyDescent="0.6">
      <c r="A509" s="109"/>
      <c r="B509" s="109"/>
      <c r="C509" s="109"/>
      <c r="D509" s="109"/>
      <c r="E509" s="109"/>
      <c r="F509" s="109"/>
      <c r="G509" s="109"/>
      <c r="H509" s="109"/>
      <c r="I509" s="109"/>
    </row>
    <row r="510" spans="1:9" ht="21.75" customHeight="1" x14ac:dyDescent="0.6">
      <c r="A510" s="109"/>
      <c r="B510" s="109"/>
      <c r="C510" s="109"/>
      <c r="D510" s="109"/>
      <c r="E510" s="109"/>
      <c r="F510" s="109"/>
      <c r="G510" s="109"/>
      <c r="H510" s="109"/>
      <c r="I510" s="109"/>
    </row>
    <row r="511" spans="1:9" ht="21.75" customHeight="1" x14ac:dyDescent="0.6">
      <c r="A511" s="109"/>
      <c r="B511" s="109"/>
      <c r="C511" s="109"/>
      <c r="D511" s="109"/>
      <c r="E511" s="109"/>
      <c r="F511" s="109"/>
      <c r="G511" s="109"/>
      <c r="H511" s="109"/>
      <c r="I511" s="109"/>
    </row>
    <row r="512" spans="1:9" ht="21.75" customHeight="1" x14ac:dyDescent="0.6">
      <c r="A512" s="109"/>
      <c r="B512" s="109"/>
      <c r="C512" s="109"/>
      <c r="D512" s="109"/>
      <c r="E512" s="109"/>
      <c r="F512" s="109"/>
      <c r="G512" s="109"/>
      <c r="H512" s="109"/>
      <c r="I512" s="109"/>
    </row>
    <row r="513" spans="1:9" ht="21.75" customHeight="1" x14ac:dyDescent="0.6">
      <c r="A513" s="109"/>
      <c r="B513" s="109"/>
      <c r="C513" s="109"/>
      <c r="D513" s="109"/>
      <c r="E513" s="109"/>
      <c r="F513" s="109"/>
      <c r="G513" s="109"/>
      <c r="H513" s="109"/>
      <c r="I513" s="109"/>
    </row>
    <row r="514" spans="1:9" ht="21.75" customHeight="1" x14ac:dyDescent="0.6">
      <c r="A514" s="109"/>
      <c r="B514" s="109"/>
      <c r="C514" s="109"/>
      <c r="D514" s="109"/>
      <c r="E514" s="109"/>
      <c r="F514" s="109"/>
      <c r="G514" s="109"/>
      <c r="H514" s="109"/>
      <c r="I514" s="109"/>
    </row>
    <row r="515" spans="1:9" ht="21.75" customHeight="1" x14ac:dyDescent="0.6">
      <c r="A515" s="109"/>
      <c r="B515" s="109"/>
      <c r="C515" s="109"/>
      <c r="D515" s="109"/>
      <c r="E515" s="109"/>
      <c r="F515" s="109"/>
      <c r="G515" s="109"/>
      <c r="H515" s="109"/>
      <c r="I515" s="109"/>
    </row>
    <row r="516" spans="1:9" ht="21.75" customHeight="1" x14ac:dyDescent="0.6">
      <c r="A516" s="109"/>
      <c r="B516" s="109"/>
      <c r="C516" s="109"/>
      <c r="D516" s="109"/>
      <c r="E516" s="109"/>
      <c r="F516" s="109"/>
      <c r="G516" s="109"/>
      <c r="H516" s="109"/>
      <c r="I516" s="109"/>
    </row>
    <row r="517" spans="1:9" ht="21.75" customHeight="1" x14ac:dyDescent="0.6">
      <c r="A517" s="109"/>
      <c r="B517" s="109"/>
      <c r="C517" s="109"/>
      <c r="D517" s="109"/>
      <c r="E517" s="109"/>
      <c r="F517" s="109"/>
      <c r="G517" s="109"/>
      <c r="H517" s="109"/>
      <c r="I517" s="109"/>
    </row>
    <row r="518" spans="1:9" ht="21.75" customHeight="1" x14ac:dyDescent="0.6">
      <c r="A518" s="109"/>
      <c r="B518" s="109"/>
      <c r="C518" s="109"/>
      <c r="D518" s="109"/>
      <c r="E518" s="109"/>
      <c r="F518" s="109"/>
      <c r="G518" s="109"/>
      <c r="H518" s="109"/>
      <c r="I518" s="109"/>
    </row>
    <row r="519" spans="1:9" ht="21.75" customHeight="1" x14ac:dyDescent="0.6">
      <c r="A519" s="109"/>
      <c r="B519" s="109"/>
      <c r="C519" s="109"/>
      <c r="D519" s="109"/>
      <c r="E519" s="109"/>
      <c r="F519" s="109"/>
      <c r="G519" s="109"/>
      <c r="H519" s="109"/>
      <c r="I519" s="109"/>
    </row>
    <row r="520" spans="1:9" ht="21.75" customHeight="1" x14ac:dyDescent="0.6">
      <c r="A520" s="109"/>
      <c r="B520" s="109"/>
      <c r="C520" s="109"/>
      <c r="D520" s="109"/>
      <c r="E520" s="109"/>
      <c r="F520" s="109"/>
      <c r="G520" s="109"/>
      <c r="H520" s="109"/>
      <c r="I520" s="109"/>
    </row>
    <row r="521" spans="1:9" ht="21.75" customHeight="1" x14ac:dyDescent="0.6">
      <c r="A521" s="109"/>
      <c r="B521" s="109"/>
      <c r="C521" s="109"/>
      <c r="D521" s="109"/>
      <c r="E521" s="109"/>
      <c r="F521" s="109"/>
      <c r="G521" s="109"/>
      <c r="H521" s="109"/>
      <c r="I521" s="109"/>
    </row>
    <row r="522" spans="1:9" ht="21.75" customHeight="1" x14ac:dyDescent="0.6">
      <c r="A522" s="109"/>
      <c r="B522" s="109"/>
      <c r="C522" s="109"/>
      <c r="D522" s="109"/>
      <c r="E522" s="109"/>
      <c r="F522" s="109"/>
      <c r="G522" s="109"/>
      <c r="H522" s="109"/>
      <c r="I522" s="109"/>
    </row>
    <row r="523" spans="1:9" ht="21.75" customHeight="1" x14ac:dyDescent="0.6">
      <c r="A523" s="109"/>
      <c r="B523" s="109"/>
      <c r="C523" s="109"/>
      <c r="D523" s="109"/>
      <c r="E523" s="109"/>
      <c r="F523" s="109"/>
      <c r="G523" s="109"/>
      <c r="H523" s="109"/>
      <c r="I523" s="109"/>
    </row>
    <row r="524" spans="1:9" ht="21.75" customHeight="1" x14ac:dyDescent="0.6">
      <c r="A524" s="109"/>
      <c r="B524" s="109"/>
      <c r="C524" s="109"/>
      <c r="D524" s="109"/>
      <c r="E524" s="109"/>
      <c r="F524" s="109"/>
      <c r="G524" s="109"/>
      <c r="H524" s="109"/>
      <c r="I524" s="109"/>
    </row>
    <row r="525" spans="1:9" ht="21.75" customHeight="1" x14ac:dyDescent="0.6">
      <c r="A525" s="109"/>
      <c r="B525" s="109"/>
      <c r="C525" s="109"/>
      <c r="D525" s="109"/>
      <c r="E525" s="109"/>
      <c r="F525" s="109"/>
      <c r="G525" s="109"/>
      <c r="H525" s="109"/>
      <c r="I525" s="109"/>
    </row>
    <row r="526" spans="1:9" ht="21.75" customHeight="1" x14ac:dyDescent="0.6">
      <c r="A526" s="109"/>
      <c r="B526" s="109"/>
      <c r="C526" s="109"/>
      <c r="D526" s="109"/>
      <c r="E526" s="109"/>
      <c r="F526" s="109"/>
      <c r="G526" s="109"/>
      <c r="H526" s="109"/>
      <c r="I526" s="109"/>
    </row>
    <row r="527" spans="1:9" ht="21.75" customHeight="1" x14ac:dyDescent="0.6">
      <c r="A527" s="109"/>
      <c r="B527" s="109"/>
      <c r="C527" s="109"/>
      <c r="D527" s="109"/>
      <c r="E527" s="109"/>
      <c r="F527" s="109"/>
      <c r="G527" s="109"/>
      <c r="H527" s="109"/>
      <c r="I527" s="109"/>
    </row>
    <row r="528" spans="1:9" ht="21.75" customHeight="1" x14ac:dyDescent="0.6">
      <c r="A528" s="109"/>
      <c r="B528" s="109"/>
      <c r="C528" s="109"/>
      <c r="D528" s="109"/>
      <c r="E528" s="109"/>
      <c r="F528" s="109"/>
      <c r="G528" s="109"/>
      <c r="H528" s="109"/>
      <c r="I528" s="109"/>
    </row>
    <row r="529" spans="1:9" ht="21.75" customHeight="1" x14ac:dyDescent="0.6">
      <c r="A529" s="109"/>
      <c r="B529" s="109"/>
      <c r="C529" s="109"/>
      <c r="D529" s="109"/>
      <c r="E529" s="109"/>
      <c r="F529" s="109"/>
      <c r="G529" s="109"/>
      <c r="H529" s="109"/>
      <c r="I529" s="109"/>
    </row>
    <row r="530" spans="1:9" ht="21.75" customHeight="1" x14ac:dyDescent="0.6">
      <c r="A530" s="109"/>
      <c r="B530" s="109"/>
      <c r="C530" s="109"/>
      <c r="D530" s="109"/>
      <c r="E530" s="109"/>
      <c r="F530" s="109"/>
      <c r="G530" s="109"/>
      <c r="H530" s="109"/>
      <c r="I530" s="109"/>
    </row>
    <row r="531" spans="1:9" ht="21.75" customHeight="1" x14ac:dyDescent="0.6">
      <c r="A531" s="109"/>
      <c r="B531" s="109"/>
      <c r="C531" s="109"/>
      <c r="D531" s="109"/>
      <c r="E531" s="109"/>
      <c r="F531" s="109"/>
      <c r="G531" s="109"/>
      <c r="H531" s="109"/>
      <c r="I531" s="109"/>
    </row>
    <row r="532" spans="1:9" ht="21.75" customHeight="1" x14ac:dyDescent="0.6">
      <c r="A532" s="109"/>
      <c r="B532" s="109"/>
      <c r="C532" s="109"/>
      <c r="D532" s="109"/>
      <c r="E532" s="109"/>
      <c r="F532" s="109"/>
      <c r="G532" s="109"/>
      <c r="H532" s="109"/>
      <c r="I532" s="109"/>
    </row>
    <row r="533" spans="1:9" ht="21.75" customHeight="1" x14ac:dyDescent="0.6">
      <c r="A533" s="109"/>
      <c r="B533" s="109"/>
      <c r="C533" s="109"/>
      <c r="D533" s="109"/>
      <c r="E533" s="109"/>
      <c r="F533" s="109"/>
      <c r="G533" s="109"/>
      <c r="H533" s="109"/>
      <c r="I533" s="109"/>
    </row>
    <row r="534" spans="1:9" ht="21.75" customHeight="1" x14ac:dyDescent="0.6">
      <c r="A534" s="109"/>
      <c r="B534" s="109"/>
      <c r="C534" s="109"/>
      <c r="D534" s="109"/>
      <c r="E534" s="109"/>
      <c r="F534" s="109"/>
      <c r="G534" s="109"/>
      <c r="H534" s="109"/>
      <c r="I534" s="109"/>
    </row>
    <row r="535" spans="1:9" ht="21.75" customHeight="1" x14ac:dyDescent="0.6">
      <c r="A535" s="109"/>
      <c r="B535" s="109"/>
      <c r="C535" s="109"/>
      <c r="D535" s="109"/>
      <c r="E535" s="109"/>
      <c r="F535" s="109"/>
      <c r="G535" s="109"/>
      <c r="H535" s="109"/>
      <c r="I535" s="109"/>
    </row>
    <row r="536" spans="1:9" ht="21.75" customHeight="1" x14ac:dyDescent="0.6">
      <c r="A536" s="109"/>
      <c r="B536" s="109"/>
      <c r="C536" s="109"/>
      <c r="D536" s="109"/>
      <c r="E536" s="109"/>
      <c r="F536" s="109"/>
      <c r="G536" s="109"/>
      <c r="H536" s="109"/>
      <c r="I536" s="109"/>
    </row>
    <row r="537" spans="1:9" ht="21.75" customHeight="1" x14ac:dyDescent="0.6">
      <c r="A537" s="109"/>
      <c r="B537" s="109"/>
      <c r="C537" s="109"/>
      <c r="D537" s="109"/>
      <c r="E537" s="109"/>
      <c r="F537" s="109"/>
      <c r="G537" s="109"/>
      <c r="H537" s="109"/>
      <c r="I537" s="109"/>
    </row>
    <row r="538" spans="1:9" ht="21.75" customHeight="1" x14ac:dyDescent="0.6">
      <c r="A538" s="109"/>
      <c r="B538" s="109"/>
      <c r="C538" s="109"/>
      <c r="D538" s="109"/>
      <c r="E538" s="109"/>
      <c r="F538" s="109"/>
      <c r="G538" s="109"/>
      <c r="H538" s="109"/>
      <c r="I538" s="109"/>
    </row>
    <row r="539" spans="1:9" ht="21.75" customHeight="1" x14ac:dyDescent="0.6">
      <c r="A539" s="109"/>
      <c r="B539" s="109"/>
      <c r="C539" s="109"/>
      <c r="D539" s="109"/>
      <c r="E539" s="109"/>
      <c r="F539" s="109"/>
      <c r="G539" s="109"/>
      <c r="H539" s="109"/>
      <c r="I539" s="109"/>
    </row>
    <row r="540" spans="1:9" ht="21.75" customHeight="1" x14ac:dyDescent="0.6">
      <c r="A540" s="109"/>
      <c r="B540" s="109"/>
      <c r="C540" s="109"/>
      <c r="D540" s="109"/>
      <c r="E540" s="109"/>
      <c r="F540" s="109"/>
      <c r="G540" s="109"/>
      <c r="H540" s="109"/>
      <c r="I540" s="109"/>
    </row>
    <row r="541" spans="1:9" ht="21.75" customHeight="1" x14ac:dyDescent="0.6">
      <c r="A541" s="109"/>
      <c r="B541" s="109"/>
      <c r="C541" s="109"/>
      <c r="D541" s="109"/>
      <c r="E541" s="109"/>
      <c r="F541" s="109"/>
      <c r="G541" s="109"/>
      <c r="H541" s="109"/>
      <c r="I541" s="109"/>
    </row>
    <row r="542" spans="1:9" ht="21.75" customHeight="1" x14ac:dyDescent="0.6">
      <c r="A542" s="109"/>
      <c r="B542" s="109"/>
      <c r="C542" s="109"/>
      <c r="D542" s="109"/>
      <c r="E542" s="109"/>
      <c r="F542" s="109"/>
      <c r="G542" s="109"/>
      <c r="H542" s="109"/>
      <c r="I542" s="109"/>
    </row>
    <row r="543" spans="1:9" ht="21.75" customHeight="1" x14ac:dyDescent="0.6">
      <c r="A543" s="109"/>
      <c r="B543" s="109"/>
      <c r="C543" s="109"/>
      <c r="D543" s="109"/>
      <c r="E543" s="109"/>
      <c r="F543" s="109"/>
      <c r="G543" s="109"/>
      <c r="H543" s="109"/>
      <c r="I543" s="109"/>
    </row>
    <row r="544" spans="1:9" ht="21.75" customHeight="1" x14ac:dyDescent="0.6">
      <c r="A544" s="109"/>
      <c r="B544" s="109"/>
      <c r="C544" s="109"/>
      <c r="D544" s="109"/>
      <c r="E544" s="109"/>
      <c r="F544" s="109"/>
      <c r="G544" s="109"/>
      <c r="H544" s="109"/>
      <c r="I544" s="109"/>
    </row>
    <row r="545" spans="1:9" ht="21.75" customHeight="1" x14ac:dyDescent="0.6">
      <c r="A545" s="109"/>
      <c r="B545" s="109"/>
      <c r="C545" s="109"/>
      <c r="D545" s="109"/>
      <c r="E545" s="109"/>
      <c r="F545" s="109"/>
      <c r="G545" s="109"/>
      <c r="H545" s="109"/>
      <c r="I545" s="109"/>
    </row>
    <row r="546" spans="1:9" ht="21.75" customHeight="1" x14ac:dyDescent="0.6">
      <c r="A546" s="109"/>
      <c r="B546" s="109"/>
      <c r="C546" s="109"/>
      <c r="D546" s="109"/>
      <c r="E546" s="109"/>
      <c r="F546" s="109"/>
      <c r="G546" s="109"/>
      <c r="H546" s="109"/>
      <c r="I546" s="109"/>
    </row>
    <row r="547" spans="1:9" ht="21.75" customHeight="1" x14ac:dyDescent="0.6">
      <c r="A547" s="109"/>
      <c r="B547" s="109"/>
      <c r="C547" s="109"/>
      <c r="D547" s="109"/>
      <c r="E547" s="109"/>
      <c r="F547" s="109"/>
      <c r="G547" s="109"/>
      <c r="H547" s="109"/>
      <c r="I547" s="109"/>
    </row>
    <row r="548" spans="1:9" ht="21.75" customHeight="1" x14ac:dyDescent="0.6">
      <c r="A548" s="109"/>
      <c r="B548" s="109"/>
      <c r="C548" s="109"/>
      <c r="D548" s="109"/>
      <c r="E548" s="109"/>
      <c r="F548" s="109"/>
      <c r="G548" s="109"/>
      <c r="H548" s="109"/>
      <c r="I548" s="109"/>
    </row>
    <row r="549" spans="1:9" ht="21.75" customHeight="1" x14ac:dyDescent="0.6">
      <c r="A549" s="109"/>
      <c r="B549" s="109"/>
      <c r="C549" s="109"/>
      <c r="D549" s="109"/>
      <c r="E549" s="109"/>
      <c r="F549" s="109"/>
      <c r="G549" s="109"/>
      <c r="H549" s="109"/>
      <c r="I549" s="109"/>
    </row>
    <row r="550" spans="1:9" ht="21.75" customHeight="1" x14ac:dyDescent="0.6">
      <c r="A550" s="109"/>
      <c r="B550" s="109"/>
      <c r="C550" s="109"/>
      <c r="D550" s="109"/>
      <c r="E550" s="109"/>
      <c r="F550" s="109"/>
      <c r="G550" s="109"/>
      <c r="H550" s="109"/>
      <c r="I550" s="109"/>
    </row>
    <row r="551" spans="1:9" ht="21.75" customHeight="1" x14ac:dyDescent="0.6">
      <c r="A551" s="109"/>
      <c r="B551" s="109"/>
      <c r="C551" s="109"/>
      <c r="D551" s="109"/>
      <c r="E551" s="109"/>
      <c r="F551" s="109"/>
      <c r="G551" s="109"/>
      <c r="H551" s="109"/>
      <c r="I551" s="109"/>
    </row>
    <row r="552" spans="1:9" ht="21.75" customHeight="1" x14ac:dyDescent="0.6">
      <c r="A552" s="109"/>
      <c r="B552" s="109"/>
      <c r="C552" s="109"/>
      <c r="D552" s="109"/>
      <c r="E552" s="109"/>
      <c r="F552" s="109"/>
      <c r="G552" s="109"/>
      <c r="H552" s="109"/>
      <c r="I552" s="109"/>
    </row>
    <row r="553" spans="1:9" ht="21.75" customHeight="1" x14ac:dyDescent="0.6">
      <c r="A553" s="109"/>
      <c r="B553" s="109"/>
      <c r="C553" s="109"/>
      <c r="D553" s="109"/>
      <c r="E553" s="109"/>
      <c r="F553" s="109"/>
      <c r="G553" s="109"/>
      <c r="H553" s="109"/>
      <c r="I553" s="109"/>
    </row>
    <row r="554" spans="1:9" ht="21.75" customHeight="1" x14ac:dyDescent="0.6">
      <c r="A554" s="109"/>
      <c r="B554" s="109"/>
      <c r="C554" s="109"/>
      <c r="D554" s="109"/>
      <c r="E554" s="109"/>
      <c r="F554" s="109"/>
      <c r="G554" s="109"/>
      <c r="H554" s="109"/>
      <c r="I554" s="109"/>
    </row>
    <row r="555" spans="1:9" ht="21.75" customHeight="1" x14ac:dyDescent="0.6">
      <c r="A555" s="109"/>
      <c r="B555" s="109"/>
      <c r="C555" s="109"/>
      <c r="D555" s="109"/>
      <c r="E555" s="109"/>
      <c r="F555" s="109"/>
      <c r="G555" s="109"/>
      <c r="H555" s="109"/>
      <c r="I555" s="109"/>
    </row>
    <row r="556" spans="1:9" ht="21.75" customHeight="1" x14ac:dyDescent="0.6">
      <c r="A556" s="109"/>
      <c r="B556" s="109"/>
      <c r="C556" s="109"/>
      <c r="D556" s="109"/>
      <c r="E556" s="109"/>
      <c r="F556" s="109"/>
      <c r="G556" s="109"/>
      <c r="H556" s="109"/>
      <c r="I556" s="109"/>
    </row>
    <row r="557" spans="1:9" ht="21.75" customHeight="1" x14ac:dyDescent="0.6">
      <c r="A557" s="109"/>
      <c r="B557" s="109"/>
      <c r="C557" s="109"/>
      <c r="D557" s="109"/>
      <c r="E557" s="109"/>
      <c r="F557" s="109"/>
      <c r="G557" s="109"/>
      <c r="H557" s="109"/>
      <c r="I557" s="109"/>
    </row>
    <row r="558" spans="1:9" ht="21.75" customHeight="1" x14ac:dyDescent="0.6">
      <c r="A558" s="109"/>
      <c r="B558" s="109"/>
      <c r="C558" s="109"/>
      <c r="D558" s="109"/>
      <c r="E558" s="109"/>
      <c r="F558" s="109"/>
      <c r="G558" s="109"/>
      <c r="H558" s="109"/>
      <c r="I558" s="109"/>
    </row>
    <row r="559" spans="1:9" ht="21.75" customHeight="1" x14ac:dyDescent="0.6">
      <c r="A559" s="109"/>
      <c r="B559" s="109"/>
      <c r="C559" s="109"/>
      <c r="D559" s="109"/>
      <c r="E559" s="109"/>
      <c r="F559" s="109"/>
      <c r="G559" s="109"/>
      <c r="H559" s="109"/>
      <c r="I559" s="109"/>
    </row>
    <row r="560" spans="1:9" ht="21.75" customHeight="1" x14ac:dyDescent="0.6">
      <c r="A560" s="109"/>
      <c r="B560" s="109"/>
      <c r="C560" s="109"/>
      <c r="D560" s="109"/>
      <c r="E560" s="109"/>
      <c r="F560" s="109"/>
      <c r="G560" s="109"/>
      <c r="H560" s="109"/>
      <c r="I560" s="109"/>
    </row>
    <row r="561" spans="1:9" ht="21.75" customHeight="1" x14ac:dyDescent="0.6">
      <c r="A561" s="109"/>
      <c r="B561" s="109"/>
      <c r="C561" s="109"/>
      <c r="D561" s="109"/>
      <c r="E561" s="109"/>
      <c r="F561" s="109"/>
      <c r="G561" s="109"/>
      <c r="H561" s="109"/>
      <c r="I561" s="109"/>
    </row>
    <row r="562" spans="1:9" ht="21.75" customHeight="1" x14ac:dyDescent="0.6">
      <c r="A562" s="109"/>
      <c r="B562" s="109"/>
      <c r="C562" s="109"/>
      <c r="D562" s="109"/>
      <c r="E562" s="109"/>
      <c r="F562" s="109"/>
      <c r="G562" s="109"/>
      <c r="H562" s="109"/>
      <c r="I562" s="109"/>
    </row>
    <row r="563" spans="1:9" ht="21.75" customHeight="1" x14ac:dyDescent="0.6">
      <c r="A563" s="109"/>
      <c r="B563" s="109"/>
      <c r="C563" s="109"/>
      <c r="D563" s="109"/>
      <c r="E563" s="109"/>
      <c r="F563" s="109"/>
      <c r="G563" s="109"/>
      <c r="H563" s="109"/>
      <c r="I563" s="109"/>
    </row>
    <row r="564" spans="1:9" ht="21.75" customHeight="1" x14ac:dyDescent="0.6">
      <c r="A564" s="109"/>
      <c r="B564" s="109"/>
      <c r="C564" s="109"/>
      <c r="D564" s="109"/>
      <c r="E564" s="109"/>
      <c r="F564" s="109"/>
      <c r="G564" s="109"/>
      <c r="H564" s="109"/>
      <c r="I564" s="109"/>
    </row>
    <row r="565" spans="1:9" ht="21.75" customHeight="1" x14ac:dyDescent="0.6">
      <c r="A565" s="109"/>
      <c r="B565" s="109"/>
      <c r="C565" s="109"/>
      <c r="D565" s="109"/>
      <c r="E565" s="109"/>
      <c r="F565" s="109"/>
      <c r="G565" s="109"/>
      <c r="H565" s="109"/>
      <c r="I565" s="109"/>
    </row>
    <row r="566" spans="1:9" ht="21.75" customHeight="1" x14ac:dyDescent="0.6">
      <c r="A566" s="109"/>
      <c r="B566" s="109"/>
      <c r="C566" s="109"/>
      <c r="D566" s="109"/>
      <c r="E566" s="109"/>
      <c r="F566" s="109"/>
      <c r="G566" s="109"/>
      <c r="H566" s="109"/>
      <c r="I566" s="109"/>
    </row>
    <row r="567" spans="1:9" ht="21.75" customHeight="1" x14ac:dyDescent="0.6">
      <c r="A567" s="109"/>
      <c r="B567" s="109"/>
      <c r="C567" s="109"/>
      <c r="D567" s="109"/>
      <c r="E567" s="109"/>
      <c r="F567" s="109"/>
      <c r="G567" s="109"/>
      <c r="H567" s="109"/>
      <c r="I567" s="109"/>
    </row>
    <row r="568" spans="1:9" ht="21.75" customHeight="1" x14ac:dyDescent="0.6">
      <c r="A568" s="109"/>
      <c r="B568" s="109"/>
      <c r="C568" s="109"/>
      <c r="D568" s="109"/>
      <c r="E568" s="109"/>
      <c r="F568" s="109"/>
      <c r="G568" s="109"/>
      <c r="H568" s="109"/>
      <c r="I568" s="109"/>
    </row>
    <row r="569" spans="1:9" ht="21.75" customHeight="1" x14ac:dyDescent="0.6">
      <c r="A569" s="109"/>
      <c r="B569" s="109"/>
      <c r="C569" s="109"/>
      <c r="D569" s="109"/>
      <c r="E569" s="109"/>
      <c r="F569" s="109"/>
      <c r="G569" s="109"/>
      <c r="H569" s="109"/>
      <c r="I569" s="109"/>
    </row>
    <row r="570" spans="1:9" ht="21.75" customHeight="1" x14ac:dyDescent="0.6">
      <c r="A570" s="109"/>
      <c r="B570" s="109"/>
      <c r="C570" s="109"/>
      <c r="D570" s="109"/>
      <c r="E570" s="109"/>
      <c r="F570" s="109"/>
      <c r="G570" s="109"/>
      <c r="H570" s="109"/>
      <c r="I570" s="109"/>
    </row>
    <row r="571" spans="1:9" ht="21.75" customHeight="1" x14ac:dyDescent="0.6">
      <c r="A571" s="109"/>
      <c r="B571" s="109"/>
      <c r="C571" s="109"/>
      <c r="D571" s="109"/>
      <c r="E571" s="109"/>
      <c r="F571" s="109"/>
      <c r="G571" s="109"/>
      <c r="H571" s="109"/>
      <c r="I571" s="109"/>
    </row>
    <row r="572" spans="1:9" ht="21.75" customHeight="1" x14ac:dyDescent="0.6">
      <c r="A572" s="109"/>
      <c r="B572" s="109"/>
      <c r="C572" s="109"/>
      <c r="D572" s="109"/>
      <c r="E572" s="109"/>
      <c r="F572" s="109"/>
      <c r="G572" s="109"/>
      <c r="H572" s="109"/>
      <c r="I572" s="109"/>
    </row>
    <row r="573" spans="1:9" ht="21.75" customHeight="1" x14ac:dyDescent="0.6">
      <c r="A573" s="109"/>
      <c r="B573" s="109"/>
      <c r="C573" s="109"/>
      <c r="D573" s="109"/>
      <c r="E573" s="109"/>
      <c r="F573" s="109"/>
      <c r="G573" s="109"/>
      <c r="H573" s="109"/>
      <c r="I573" s="109"/>
    </row>
    <row r="574" spans="1:9" ht="21.75" customHeight="1" x14ac:dyDescent="0.6">
      <c r="A574" s="109"/>
      <c r="B574" s="109"/>
      <c r="C574" s="109"/>
      <c r="D574" s="109"/>
      <c r="E574" s="109"/>
      <c r="F574" s="109"/>
      <c r="G574" s="109"/>
      <c r="H574" s="109"/>
      <c r="I574" s="109"/>
    </row>
    <row r="575" spans="1:9" ht="21.75" customHeight="1" x14ac:dyDescent="0.6">
      <c r="A575" s="109"/>
      <c r="B575" s="109"/>
      <c r="C575" s="109"/>
      <c r="D575" s="109"/>
      <c r="E575" s="109"/>
      <c r="F575" s="109"/>
      <c r="G575" s="109"/>
      <c r="H575" s="109"/>
      <c r="I575" s="109"/>
    </row>
    <row r="576" spans="1:9" ht="21.75" customHeight="1" x14ac:dyDescent="0.6">
      <c r="A576" s="109"/>
      <c r="B576" s="109"/>
      <c r="C576" s="109"/>
      <c r="D576" s="109"/>
      <c r="E576" s="109"/>
      <c r="F576" s="109"/>
      <c r="G576" s="109"/>
      <c r="H576" s="109"/>
      <c r="I576" s="109"/>
    </row>
    <row r="577" spans="1:9" ht="21.75" customHeight="1" x14ac:dyDescent="0.6">
      <c r="A577" s="109"/>
      <c r="B577" s="109"/>
      <c r="C577" s="109"/>
      <c r="D577" s="109"/>
      <c r="E577" s="109"/>
      <c r="F577" s="109"/>
      <c r="G577" s="109"/>
      <c r="H577" s="109"/>
      <c r="I577" s="109"/>
    </row>
    <row r="578" spans="1:9" ht="21.75" customHeight="1" x14ac:dyDescent="0.6">
      <c r="A578" s="109"/>
      <c r="B578" s="109"/>
      <c r="C578" s="109"/>
      <c r="D578" s="109"/>
      <c r="E578" s="109"/>
      <c r="F578" s="109"/>
      <c r="G578" s="109"/>
      <c r="H578" s="109"/>
      <c r="I578" s="109"/>
    </row>
    <row r="579" spans="1:9" ht="21.75" customHeight="1" x14ac:dyDescent="0.6">
      <c r="A579" s="109"/>
      <c r="B579" s="109"/>
      <c r="C579" s="109"/>
      <c r="D579" s="109"/>
      <c r="E579" s="109"/>
      <c r="F579" s="109"/>
      <c r="G579" s="109"/>
      <c r="H579" s="109"/>
      <c r="I579" s="109"/>
    </row>
    <row r="580" spans="1:9" ht="21.75" customHeight="1" x14ac:dyDescent="0.6">
      <c r="A580" s="109"/>
      <c r="B580" s="109"/>
      <c r="C580" s="109"/>
      <c r="D580" s="109"/>
      <c r="E580" s="109"/>
      <c r="F580" s="109"/>
      <c r="G580" s="109"/>
      <c r="H580" s="109"/>
      <c r="I580" s="109"/>
    </row>
    <row r="581" spans="1:9" ht="21.75" customHeight="1" x14ac:dyDescent="0.6">
      <c r="A581" s="109"/>
      <c r="B581" s="109"/>
      <c r="C581" s="109"/>
      <c r="D581" s="109"/>
      <c r="E581" s="109"/>
      <c r="F581" s="109"/>
      <c r="G581" s="109"/>
      <c r="H581" s="109"/>
      <c r="I581" s="109"/>
    </row>
    <row r="582" spans="1:9" ht="21.75" customHeight="1" x14ac:dyDescent="0.6">
      <c r="A582" s="109"/>
      <c r="B582" s="109"/>
      <c r="C582" s="109"/>
      <c r="D582" s="109"/>
      <c r="E582" s="109"/>
      <c r="F582" s="109"/>
      <c r="G582" s="109"/>
      <c r="H582" s="109"/>
      <c r="I582" s="109"/>
    </row>
    <row r="583" spans="1:9" ht="21.75" customHeight="1" x14ac:dyDescent="0.6">
      <c r="A583" s="109"/>
      <c r="B583" s="109"/>
      <c r="C583" s="109"/>
      <c r="D583" s="109"/>
      <c r="E583" s="109"/>
      <c r="F583" s="109"/>
      <c r="G583" s="109"/>
      <c r="H583" s="109"/>
      <c r="I583" s="109"/>
    </row>
    <row r="584" spans="1:9" ht="21.75" customHeight="1" x14ac:dyDescent="0.6">
      <c r="A584" s="109"/>
      <c r="B584" s="109"/>
      <c r="C584" s="109"/>
      <c r="D584" s="109"/>
      <c r="E584" s="109"/>
      <c r="F584" s="109"/>
      <c r="G584" s="109"/>
      <c r="H584" s="109"/>
      <c r="I584" s="109"/>
    </row>
    <row r="585" spans="1:9" ht="21.75" customHeight="1" x14ac:dyDescent="0.6">
      <c r="A585" s="109"/>
      <c r="B585" s="109"/>
      <c r="C585" s="109"/>
      <c r="D585" s="109"/>
      <c r="E585" s="109"/>
      <c r="F585" s="109"/>
      <c r="G585" s="109"/>
      <c r="H585" s="109"/>
      <c r="I585" s="109"/>
    </row>
    <row r="586" spans="1:9" ht="21.75" customHeight="1" x14ac:dyDescent="0.6">
      <c r="A586" s="109"/>
      <c r="B586" s="109"/>
      <c r="C586" s="109"/>
      <c r="D586" s="109"/>
      <c r="E586" s="109"/>
      <c r="F586" s="109"/>
      <c r="G586" s="109"/>
      <c r="H586" s="109"/>
      <c r="I586" s="109"/>
    </row>
    <row r="587" spans="1:9" ht="21.75" customHeight="1" x14ac:dyDescent="0.6">
      <c r="A587" s="109"/>
      <c r="B587" s="109"/>
      <c r="C587" s="109"/>
      <c r="D587" s="109"/>
      <c r="E587" s="109"/>
      <c r="F587" s="109"/>
      <c r="G587" s="109"/>
      <c r="H587" s="109"/>
      <c r="I587" s="109"/>
    </row>
    <row r="588" spans="1:9" ht="21.75" customHeight="1" x14ac:dyDescent="0.6">
      <c r="A588" s="109"/>
      <c r="B588" s="109"/>
      <c r="C588" s="109"/>
      <c r="D588" s="109"/>
      <c r="E588" s="109"/>
      <c r="F588" s="109"/>
      <c r="G588" s="109"/>
      <c r="H588" s="109"/>
      <c r="I588" s="109"/>
    </row>
    <row r="589" spans="1:9" ht="21.75" customHeight="1" x14ac:dyDescent="0.6">
      <c r="A589" s="109"/>
      <c r="B589" s="109"/>
      <c r="C589" s="109"/>
      <c r="D589" s="109"/>
      <c r="E589" s="109"/>
      <c r="F589" s="109"/>
      <c r="G589" s="109"/>
      <c r="H589" s="109"/>
      <c r="I589" s="109"/>
    </row>
    <row r="590" spans="1:9" ht="21.75" customHeight="1" x14ac:dyDescent="0.6">
      <c r="A590" s="109"/>
      <c r="B590" s="109"/>
      <c r="C590" s="109"/>
      <c r="D590" s="109"/>
      <c r="E590" s="109"/>
      <c r="F590" s="109"/>
      <c r="G590" s="109"/>
      <c r="H590" s="109"/>
      <c r="I590" s="109"/>
    </row>
    <row r="591" spans="1:9" ht="21.75" customHeight="1" x14ac:dyDescent="0.6">
      <c r="A591" s="109"/>
      <c r="B591" s="109"/>
      <c r="C591" s="109"/>
      <c r="D591" s="109"/>
      <c r="E591" s="109"/>
      <c r="F591" s="109"/>
      <c r="G591" s="109"/>
      <c r="H591" s="109"/>
      <c r="I591" s="109"/>
    </row>
    <row r="592" spans="1:9" ht="21.75" customHeight="1" x14ac:dyDescent="0.6">
      <c r="A592" s="109"/>
      <c r="B592" s="109"/>
      <c r="C592" s="109"/>
      <c r="D592" s="109"/>
      <c r="E592" s="109"/>
      <c r="F592" s="109"/>
      <c r="G592" s="109"/>
      <c r="H592" s="109"/>
      <c r="I592" s="109"/>
    </row>
    <row r="593" spans="1:9" ht="21.75" customHeight="1" x14ac:dyDescent="0.6">
      <c r="A593" s="109"/>
      <c r="B593" s="109"/>
      <c r="C593" s="109"/>
      <c r="D593" s="109"/>
      <c r="E593" s="109"/>
      <c r="F593" s="109"/>
      <c r="G593" s="109"/>
      <c r="H593" s="109"/>
      <c r="I593" s="109"/>
    </row>
    <row r="594" spans="1:9" ht="21.75" customHeight="1" x14ac:dyDescent="0.6">
      <c r="A594" s="109"/>
      <c r="B594" s="109"/>
      <c r="C594" s="109"/>
      <c r="D594" s="109"/>
      <c r="E594" s="109"/>
      <c r="F594" s="109"/>
      <c r="G594" s="109"/>
      <c r="H594" s="109"/>
      <c r="I594" s="109"/>
    </row>
    <row r="595" spans="1:9" ht="21.75" customHeight="1" x14ac:dyDescent="0.6">
      <c r="A595" s="109"/>
      <c r="B595" s="109"/>
      <c r="C595" s="109"/>
      <c r="D595" s="109"/>
      <c r="E595" s="109"/>
      <c r="F595" s="109"/>
      <c r="G595" s="109"/>
      <c r="H595" s="109"/>
      <c r="I595" s="109"/>
    </row>
    <row r="596" spans="1:9" ht="21.75" customHeight="1" x14ac:dyDescent="0.6">
      <c r="A596" s="109"/>
      <c r="B596" s="109"/>
      <c r="C596" s="109"/>
      <c r="D596" s="109"/>
      <c r="E596" s="109"/>
      <c r="F596" s="109"/>
      <c r="G596" s="109"/>
      <c r="H596" s="109"/>
      <c r="I596" s="109"/>
    </row>
    <row r="597" spans="1:9" ht="21.75" customHeight="1" x14ac:dyDescent="0.6">
      <c r="A597" s="109"/>
      <c r="B597" s="109"/>
      <c r="C597" s="109"/>
      <c r="D597" s="109"/>
      <c r="E597" s="109"/>
      <c r="F597" s="109"/>
      <c r="G597" s="109"/>
      <c r="H597" s="109"/>
      <c r="I597" s="109"/>
    </row>
    <row r="598" spans="1:9" ht="21.75" customHeight="1" x14ac:dyDescent="0.6">
      <c r="A598" s="109"/>
      <c r="B598" s="109"/>
      <c r="C598" s="109"/>
      <c r="D598" s="109"/>
      <c r="E598" s="109"/>
      <c r="F598" s="109"/>
      <c r="G598" s="109"/>
      <c r="H598" s="109"/>
      <c r="I598" s="109"/>
    </row>
    <row r="599" spans="1:9" ht="21.75" customHeight="1" x14ac:dyDescent="0.6">
      <c r="A599" s="109"/>
      <c r="B599" s="109"/>
      <c r="C599" s="109"/>
      <c r="D599" s="109"/>
      <c r="E599" s="109"/>
      <c r="F599" s="109"/>
      <c r="G599" s="109"/>
      <c r="H599" s="109"/>
      <c r="I599" s="109"/>
    </row>
    <row r="600" spans="1:9" ht="21.75" customHeight="1" x14ac:dyDescent="0.6">
      <c r="A600" s="109"/>
      <c r="B600" s="109"/>
      <c r="C600" s="109"/>
      <c r="D600" s="109"/>
      <c r="E600" s="109"/>
      <c r="F600" s="109"/>
      <c r="G600" s="109"/>
      <c r="H600" s="109"/>
      <c r="I600" s="109"/>
    </row>
    <row r="601" spans="1:9" ht="21.75" customHeight="1" x14ac:dyDescent="0.6">
      <c r="A601" s="109"/>
      <c r="B601" s="109"/>
      <c r="C601" s="109"/>
      <c r="D601" s="109"/>
      <c r="E601" s="109"/>
      <c r="F601" s="109"/>
      <c r="G601" s="109"/>
      <c r="H601" s="109"/>
      <c r="I601" s="109"/>
    </row>
    <row r="602" spans="1:9" ht="21.75" customHeight="1" x14ac:dyDescent="0.6">
      <c r="A602" s="109"/>
      <c r="B602" s="109"/>
      <c r="C602" s="109"/>
      <c r="D602" s="109"/>
      <c r="E602" s="109"/>
      <c r="F602" s="109"/>
      <c r="G602" s="109"/>
      <c r="H602" s="109"/>
      <c r="I602" s="109"/>
    </row>
    <row r="603" spans="1:9" ht="21.75" customHeight="1" x14ac:dyDescent="0.6">
      <c r="A603" s="109"/>
      <c r="B603" s="109"/>
      <c r="C603" s="109"/>
      <c r="D603" s="109"/>
      <c r="E603" s="109"/>
      <c r="F603" s="109"/>
      <c r="G603" s="109"/>
      <c r="H603" s="109"/>
      <c r="I603" s="109"/>
    </row>
    <row r="604" spans="1:9" ht="21.75" customHeight="1" x14ac:dyDescent="0.6">
      <c r="A604" s="109"/>
      <c r="B604" s="109"/>
      <c r="C604" s="109"/>
      <c r="D604" s="109"/>
      <c r="E604" s="109"/>
      <c r="F604" s="109"/>
      <c r="G604" s="109"/>
      <c r="H604" s="109"/>
      <c r="I604" s="109"/>
    </row>
    <row r="605" spans="1:9" ht="21.75" customHeight="1" x14ac:dyDescent="0.6">
      <c r="A605" s="109"/>
      <c r="B605" s="109"/>
      <c r="C605" s="109"/>
      <c r="D605" s="109"/>
      <c r="E605" s="109"/>
      <c r="F605" s="109"/>
      <c r="G605" s="109"/>
      <c r="H605" s="109"/>
      <c r="I605" s="109"/>
    </row>
    <row r="606" spans="1:9" ht="21.75" customHeight="1" x14ac:dyDescent="0.6">
      <c r="A606" s="109"/>
      <c r="B606" s="109"/>
      <c r="C606" s="109"/>
      <c r="D606" s="109"/>
      <c r="E606" s="109"/>
      <c r="F606" s="109"/>
      <c r="G606" s="109"/>
      <c r="H606" s="109"/>
      <c r="I606" s="109"/>
    </row>
    <row r="607" spans="1:9" ht="21.75" customHeight="1" x14ac:dyDescent="0.6">
      <c r="A607" s="109"/>
      <c r="B607" s="109"/>
      <c r="C607" s="109"/>
      <c r="D607" s="109"/>
      <c r="E607" s="109"/>
      <c r="F607" s="109"/>
      <c r="G607" s="109"/>
      <c r="H607" s="109"/>
      <c r="I607" s="109"/>
    </row>
    <row r="608" spans="1:9" ht="21.75" customHeight="1" x14ac:dyDescent="0.6">
      <c r="A608" s="109"/>
      <c r="B608" s="109"/>
      <c r="C608" s="109"/>
      <c r="D608" s="109"/>
      <c r="E608" s="109"/>
      <c r="F608" s="109"/>
      <c r="G608" s="109"/>
      <c r="H608" s="109"/>
      <c r="I608" s="109"/>
    </row>
    <row r="609" spans="1:9" ht="21.75" customHeight="1" x14ac:dyDescent="0.6">
      <c r="A609" s="109"/>
      <c r="B609" s="109"/>
      <c r="C609" s="109"/>
      <c r="D609" s="109"/>
      <c r="E609" s="109"/>
      <c r="F609" s="109"/>
      <c r="G609" s="109"/>
      <c r="H609" s="109"/>
      <c r="I609" s="109"/>
    </row>
    <row r="610" spans="1:9" ht="21.75" customHeight="1" x14ac:dyDescent="0.6">
      <c r="A610" s="109"/>
      <c r="B610" s="109"/>
      <c r="C610" s="109"/>
      <c r="D610" s="109"/>
      <c r="E610" s="109"/>
      <c r="F610" s="109"/>
      <c r="G610" s="109"/>
      <c r="H610" s="109"/>
      <c r="I610" s="109"/>
    </row>
    <row r="611" spans="1:9" ht="21.75" customHeight="1" x14ac:dyDescent="0.6">
      <c r="A611" s="109"/>
      <c r="B611" s="109"/>
      <c r="C611" s="109"/>
      <c r="D611" s="109"/>
      <c r="E611" s="109"/>
      <c r="F611" s="109"/>
      <c r="G611" s="109"/>
      <c r="H611" s="109"/>
      <c r="I611" s="109"/>
    </row>
    <row r="612" spans="1:9" ht="21.75" customHeight="1" x14ac:dyDescent="0.6">
      <c r="A612" s="109"/>
      <c r="B612" s="109"/>
      <c r="C612" s="109"/>
      <c r="D612" s="109"/>
      <c r="E612" s="109"/>
      <c r="F612" s="109"/>
      <c r="G612" s="109"/>
      <c r="H612" s="109"/>
      <c r="I612" s="109"/>
    </row>
    <row r="613" spans="1:9" ht="21.75" customHeight="1" x14ac:dyDescent="0.6">
      <c r="A613" s="109"/>
      <c r="B613" s="109"/>
      <c r="C613" s="109"/>
      <c r="D613" s="109"/>
      <c r="E613" s="109"/>
      <c r="F613" s="109"/>
      <c r="G613" s="109"/>
      <c r="H613" s="109"/>
      <c r="I613" s="109"/>
    </row>
    <row r="614" spans="1:9" ht="21.75" customHeight="1" x14ac:dyDescent="0.6">
      <c r="A614" s="109"/>
      <c r="B614" s="109"/>
      <c r="C614" s="109"/>
      <c r="D614" s="109"/>
      <c r="E614" s="109"/>
      <c r="F614" s="109"/>
      <c r="G614" s="109"/>
      <c r="H614" s="109"/>
      <c r="I614" s="109"/>
    </row>
    <row r="615" spans="1:9" ht="21.75" customHeight="1" x14ac:dyDescent="0.6">
      <c r="A615" s="109"/>
      <c r="B615" s="109"/>
      <c r="C615" s="109"/>
      <c r="D615" s="109"/>
      <c r="E615" s="109"/>
      <c r="F615" s="109"/>
      <c r="G615" s="109"/>
      <c r="H615" s="109"/>
      <c r="I615" s="109"/>
    </row>
    <row r="616" spans="1:9" ht="21.75" customHeight="1" x14ac:dyDescent="0.6">
      <c r="A616" s="109"/>
      <c r="B616" s="109"/>
      <c r="C616" s="109"/>
      <c r="D616" s="109"/>
      <c r="E616" s="109"/>
      <c r="F616" s="109"/>
      <c r="G616" s="109"/>
      <c r="H616" s="109"/>
      <c r="I616" s="109"/>
    </row>
    <row r="617" spans="1:9" ht="21.75" customHeight="1" x14ac:dyDescent="0.6">
      <c r="A617" s="109"/>
      <c r="B617" s="109"/>
      <c r="C617" s="109"/>
      <c r="D617" s="109"/>
      <c r="E617" s="109"/>
      <c r="F617" s="109"/>
      <c r="G617" s="109"/>
      <c r="H617" s="109"/>
      <c r="I617" s="109"/>
    </row>
    <row r="618" spans="1:9" ht="21.75" customHeight="1" x14ac:dyDescent="0.6">
      <c r="A618" s="109"/>
      <c r="B618" s="109"/>
      <c r="C618" s="109"/>
      <c r="D618" s="109"/>
      <c r="E618" s="109"/>
      <c r="F618" s="109"/>
      <c r="G618" s="109"/>
      <c r="H618" s="109"/>
      <c r="I618" s="109"/>
    </row>
    <row r="619" spans="1:9" ht="21.75" customHeight="1" x14ac:dyDescent="0.6">
      <c r="A619" s="109"/>
      <c r="B619" s="109"/>
      <c r="C619" s="109"/>
      <c r="D619" s="109"/>
      <c r="E619" s="109"/>
      <c r="F619" s="109"/>
      <c r="G619" s="109"/>
      <c r="H619" s="109"/>
      <c r="I619" s="109"/>
    </row>
    <row r="620" spans="1:9" ht="21.75" customHeight="1" x14ac:dyDescent="0.6">
      <c r="A620" s="109"/>
      <c r="B620" s="109"/>
      <c r="C620" s="109"/>
      <c r="D620" s="109"/>
      <c r="E620" s="109"/>
      <c r="F620" s="109"/>
      <c r="G620" s="109"/>
      <c r="H620" s="109"/>
      <c r="I620" s="109"/>
    </row>
    <row r="621" spans="1:9" ht="21.75" customHeight="1" x14ac:dyDescent="0.6">
      <c r="A621" s="109"/>
      <c r="B621" s="109"/>
      <c r="C621" s="109"/>
      <c r="D621" s="109"/>
      <c r="E621" s="109"/>
      <c r="F621" s="109"/>
      <c r="G621" s="109"/>
      <c r="H621" s="109"/>
      <c r="I621" s="109"/>
    </row>
    <row r="622" spans="1:9" ht="21.75" customHeight="1" x14ac:dyDescent="0.6">
      <c r="A622" s="109"/>
      <c r="B622" s="109"/>
      <c r="C622" s="109"/>
      <c r="D622" s="109"/>
      <c r="E622" s="109"/>
      <c r="F622" s="109"/>
      <c r="G622" s="109"/>
      <c r="H622" s="109"/>
      <c r="I622" s="109"/>
    </row>
    <row r="623" spans="1:9" ht="21.75" customHeight="1" x14ac:dyDescent="0.6">
      <c r="A623" s="109"/>
      <c r="B623" s="109"/>
      <c r="C623" s="109"/>
      <c r="D623" s="109"/>
      <c r="E623" s="109"/>
      <c r="F623" s="109"/>
      <c r="G623" s="109"/>
      <c r="H623" s="109"/>
      <c r="I623" s="109"/>
    </row>
    <row r="624" spans="1:9" ht="21.75" customHeight="1" x14ac:dyDescent="0.6">
      <c r="A624" s="109"/>
      <c r="B624" s="109"/>
      <c r="C624" s="109"/>
      <c r="D624" s="109"/>
      <c r="E624" s="109"/>
      <c r="F624" s="109"/>
      <c r="G624" s="109"/>
      <c r="H624" s="109"/>
      <c r="I624" s="109"/>
    </row>
    <row r="625" spans="1:9" ht="21.75" customHeight="1" x14ac:dyDescent="0.6">
      <c r="A625" s="109"/>
      <c r="B625" s="109"/>
      <c r="C625" s="109"/>
      <c r="D625" s="109"/>
      <c r="E625" s="109"/>
      <c r="F625" s="109"/>
      <c r="G625" s="109"/>
      <c r="H625" s="109"/>
      <c r="I625" s="109"/>
    </row>
    <row r="626" spans="1:9" ht="21.75" customHeight="1" x14ac:dyDescent="0.6">
      <c r="A626" s="109"/>
      <c r="B626" s="109"/>
      <c r="C626" s="109"/>
      <c r="D626" s="109"/>
      <c r="E626" s="109"/>
      <c r="F626" s="109"/>
      <c r="G626" s="109"/>
      <c r="H626" s="109"/>
      <c r="I626" s="109"/>
    </row>
    <row r="627" spans="1:9" ht="21.75" customHeight="1" x14ac:dyDescent="0.6">
      <c r="A627" s="109"/>
      <c r="B627" s="109"/>
      <c r="C627" s="109"/>
      <c r="D627" s="109"/>
      <c r="E627" s="109"/>
      <c r="F627" s="109"/>
      <c r="G627" s="109"/>
      <c r="H627" s="109"/>
      <c r="I627" s="109"/>
    </row>
    <row r="628" spans="1:9" ht="21.75" customHeight="1" x14ac:dyDescent="0.6">
      <c r="A628" s="109"/>
      <c r="B628" s="109"/>
      <c r="C628" s="109"/>
      <c r="D628" s="109"/>
      <c r="E628" s="109"/>
      <c r="F628" s="109"/>
      <c r="G628" s="109"/>
      <c r="H628" s="109"/>
      <c r="I628" s="109"/>
    </row>
    <row r="629" spans="1:9" ht="21.75" customHeight="1" x14ac:dyDescent="0.6">
      <c r="A629" s="109"/>
      <c r="B629" s="109"/>
      <c r="C629" s="109"/>
      <c r="D629" s="109"/>
      <c r="E629" s="109"/>
      <c r="F629" s="109"/>
      <c r="G629" s="109"/>
      <c r="H629" s="109"/>
      <c r="I629" s="109"/>
    </row>
    <row r="630" spans="1:9" ht="21.75" customHeight="1" x14ac:dyDescent="0.6">
      <c r="A630" s="109"/>
      <c r="B630" s="109"/>
      <c r="C630" s="109"/>
      <c r="D630" s="109"/>
      <c r="E630" s="109"/>
      <c r="F630" s="109"/>
      <c r="G630" s="109"/>
      <c r="H630" s="109"/>
      <c r="I630" s="109"/>
    </row>
    <row r="631" spans="1:9" ht="21.75" customHeight="1" x14ac:dyDescent="0.6">
      <c r="A631" s="109"/>
      <c r="B631" s="109"/>
      <c r="C631" s="109"/>
      <c r="D631" s="109"/>
      <c r="E631" s="109"/>
      <c r="F631" s="109"/>
      <c r="G631" s="109"/>
      <c r="H631" s="109"/>
      <c r="I631" s="109"/>
    </row>
    <row r="632" spans="1:9" ht="21.75" customHeight="1" x14ac:dyDescent="0.6">
      <c r="A632" s="109"/>
      <c r="B632" s="109"/>
      <c r="C632" s="109"/>
      <c r="D632" s="109"/>
      <c r="E632" s="109"/>
      <c r="F632" s="109"/>
      <c r="G632" s="109"/>
      <c r="H632" s="109"/>
      <c r="I632" s="109"/>
    </row>
    <row r="633" spans="1:9" ht="21.75" customHeight="1" x14ac:dyDescent="0.6">
      <c r="A633" s="109"/>
      <c r="B633" s="109"/>
      <c r="C633" s="109"/>
      <c r="D633" s="109"/>
      <c r="E633" s="109"/>
      <c r="F633" s="109"/>
      <c r="G633" s="109"/>
      <c r="H633" s="109"/>
      <c r="I633" s="109"/>
    </row>
    <row r="634" spans="1:9" ht="21.75" customHeight="1" x14ac:dyDescent="0.6">
      <c r="A634" s="109"/>
      <c r="B634" s="109"/>
      <c r="C634" s="109"/>
      <c r="D634" s="109"/>
      <c r="E634" s="109"/>
      <c r="F634" s="109"/>
      <c r="G634" s="109"/>
      <c r="H634" s="109"/>
      <c r="I634" s="109"/>
    </row>
    <row r="635" spans="1:9" ht="21.75" customHeight="1" x14ac:dyDescent="0.6">
      <c r="A635" s="109"/>
      <c r="B635" s="109"/>
      <c r="C635" s="109"/>
      <c r="D635" s="109"/>
      <c r="E635" s="109"/>
      <c r="F635" s="109"/>
      <c r="G635" s="109"/>
      <c r="H635" s="109"/>
      <c r="I635" s="109"/>
    </row>
    <row r="636" spans="1:9" ht="21.75" customHeight="1" x14ac:dyDescent="0.6">
      <c r="A636" s="109"/>
      <c r="B636" s="109"/>
      <c r="C636" s="109"/>
      <c r="D636" s="109"/>
      <c r="E636" s="109"/>
      <c r="F636" s="109"/>
      <c r="G636" s="109"/>
      <c r="H636" s="109"/>
      <c r="I636" s="109"/>
    </row>
    <row r="637" spans="1:9" ht="21.75" customHeight="1" x14ac:dyDescent="0.6">
      <c r="A637" s="109"/>
      <c r="B637" s="109"/>
      <c r="C637" s="109"/>
      <c r="D637" s="109"/>
      <c r="E637" s="109"/>
      <c r="F637" s="109"/>
      <c r="G637" s="109"/>
      <c r="H637" s="109"/>
      <c r="I637" s="109"/>
    </row>
    <row r="638" spans="1:9" ht="21.75" customHeight="1" x14ac:dyDescent="0.6">
      <c r="A638" s="109"/>
      <c r="B638" s="109"/>
      <c r="C638" s="109"/>
      <c r="D638" s="109"/>
      <c r="E638" s="109"/>
      <c r="F638" s="109"/>
      <c r="G638" s="109"/>
      <c r="H638" s="109"/>
      <c r="I638" s="109"/>
    </row>
    <row r="639" spans="1:9" ht="21.75" customHeight="1" x14ac:dyDescent="0.6">
      <c r="A639" s="109"/>
      <c r="B639" s="109"/>
      <c r="C639" s="109"/>
      <c r="D639" s="109"/>
      <c r="E639" s="109"/>
      <c r="F639" s="109"/>
      <c r="G639" s="109"/>
      <c r="H639" s="109"/>
      <c r="I639" s="109"/>
    </row>
    <row r="640" spans="1:9" ht="21.75" customHeight="1" x14ac:dyDescent="0.6">
      <c r="A640" s="109"/>
      <c r="B640" s="109"/>
      <c r="C640" s="109"/>
      <c r="D640" s="109"/>
      <c r="E640" s="109"/>
      <c r="F640" s="109"/>
      <c r="G640" s="109"/>
      <c r="H640" s="109"/>
      <c r="I640" s="109"/>
    </row>
    <row r="641" spans="1:9" ht="21.75" customHeight="1" x14ac:dyDescent="0.6">
      <c r="A641" s="109"/>
      <c r="B641" s="109"/>
      <c r="C641" s="109"/>
      <c r="D641" s="109"/>
      <c r="E641" s="109"/>
      <c r="F641" s="109"/>
      <c r="G641" s="109"/>
      <c r="H641" s="109"/>
      <c r="I641" s="109"/>
    </row>
    <row r="642" spans="1:9" ht="21.75" customHeight="1" x14ac:dyDescent="0.6">
      <c r="A642" s="109"/>
      <c r="B642" s="109"/>
      <c r="C642" s="109"/>
      <c r="D642" s="109"/>
      <c r="E642" s="109"/>
      <c r="F642" s="109"/>
      <c r="G642" s="109"/>
      <c r="H642" s="109"/>
      <c r="I642" s="109"/>
    </row>
    <row r="643" spans="1:9" ht="21.75" customHeight="1" x14ac:dyDescent="0.6">
      <c r="A643" s="109"/>
      <c r="B643" s="109"/>
      <c r="C643" s="109"/>
      <c r="D643" s="109"/>
      <c r="E643" s="109"/>
      <c r="F643" s="109"/>
      <c r="G643" s="109"/>
      <c r="H643" s="109"/>
      <c r="I643" s="109"/>
    </row>
    <row r="644" spans="1:9" ht="21.75" customHeight="1" x14ac:dyDescent="0.6">
      <c r="A644" s="109"/>
      <c r="B644" s="109"/>
      <c r="C644" s="109"/>
      <c r="D644" s="109"/>
      <c r="E644" s="109"/>
      <c r="F644" s="109"/>
      <c r="G644" s="109"/>
      <c r="H644" s="109"/>
      <c r="I644" s="109"/>
    </row>
    <row r="645" spans="1:9" ht="21.75" customHeight="1" x14ac:dyDescent="0.6">
      <c r="A645" s="109"/>
      <c r="B645" s="109"/>
      <c r="C645" s="109"/>
      <c r="D645" s="109"/>
      <c r="E645" s="109"/>
      <c r="F645" s="109"/>
      <c r="G645" s="109"/>
      <c r="H645" s="109"/>
      <c r="I645" s="109"/>
    </row>
    <row r="646" spans="1:9" ht="21.75" customHeight="1" x14ac:dyDescent="0.6">
      <c r="A646" s="109"/>
      <c r="B646" s="109"/>
      <c r="C646" s="109"/>
      <c r="D646" s="109"/>
      <c r="E646" s="109"/>
      <c r="F646" s="109"/>
      <c r="G646" s="109"/>
      <c r="H646" s="109"/>
      <c r="I646" s="109"/>
    </row>
    <row r="647" spans="1:9" ht="21.75" customHeight="1" x14ac:dyDescent="0.6">
      <c r="A647" s="109"/>
      <c r="B647" s="109"/>
      <c r="C647" s="109"/>
      <c r="D647" s="109"/>
      <c r="E647" s="109"/>
      <c r="F647" s="109"/>
      <c r="G647" s="109"/>
      <c r="H647" s="109"/>
      <c r="I647" s="109"/>
    </row>
    <row r="648" spans="1:9" ht="21.75" customHeight="1" x14ac:dyDescent="0.6">
      <c r="A648" s="109"/>
      <c r="B648" s="109"/>
      <c r="C648" s="109"/>
      <c r="D648" s="109"/>
      <c r="E648" s="109"/>
      <c r="F648" s="109"/>
      <c r="G648" s="109"/>
      <c r="H648" s="109"/>
      <c r="I648" s="109"/>
    </row>
    <row r="649" spans="1:9" ht="21.75" customHeight="1" x14ac:dyDescent="0.6">
      <c r="A649" s="109"/>
      <c r="B649" s="109"/>
      <c r="C649" s="109"/>
      <c r="D649" s="109"/>
      <c r="E649" s="109"/>
      <c r="F649" s="109"/>
      <c r="G649" s="109"/>
      <c r="H649" s="109"/>
      <c r="I649" s="109"/>
    </row>
    <row r="650" spans="1:9" ht="21.75" customHeight="1" x14ac:dyDescent="0.6">
      <c r="A650" s="109"/>
      <c r="B650" s="109"/>
      <c r="C650" s="109"/>
      <c r="D650" s="109"/>
      <c r="E650" s="109"/>
      <c r="F650" s="109"/>
      <c r="G650" s="109"/>
      <c r="H650" s="109"/>
      <c r="I650" s="109"/>
    </row>
    <row r="651" spans="1:9" ht="21.75" customHeight="1" x14ac:dyDescent="0.6">
      <c r="A651" s="109"/>
      <c r="B651" s="109"/>
      <c r="C651" s="109"/>
      <c r="D651" s="109"/>
      <c r="E651" s="109"/>
      <c r="F651" s="109"/>
      <c r="G651" s="109"/>
      <c r="H651" s="109"/>
      <c r="I651" s="109"/>
    </row>
    <row r="652" spans="1:9" ht="21.75" customHeight="1" x14ac:dyDescent="0.6">
      <c r="A652" s="109"/>
      <c r="B652" s="109"/>
      <c r="C652" s="109"/>
      <c r="D652" s="109"/>
      <c r="E652" s="109"/>
      <c r="F652" s="109"/>
      <c r="G652" s="109"/>
      <c r="H652" s="109"/>
      <c r="I652" s="109"/>
    </row>
    <row r="653" spans="1:9" ht="21.75" customHeight="1" x14ac:dyDescent="0.6">
      <c r="A653" s="109"/>
      <c r="B653" s="109"/>
      <c r="C653" s="109"/>
      <c r="D653" s="109"/>
      <c r="E653" s="109"/>
      <c r="F653" s="109"/>
      <c r="G653" s="109"/>
      <c r="H653" s="109"/>
      <c r="I653" s="109"/>
    </row>
    <row r="654" spans="1:9" ht="21.75" customHeight="1" x14ac:dyDescent="0.6">
      <c r="A654" s="109"/>
      <c r="B654" s="109"/>
      <c r="C654" s="109"/>
      <c r="D654" s="109"/>
      <c r="E654" s="109"/>
      <c r="F654" s="109"/>
      <c r="G654" s="109"/>
      <c r="H654" s="109"/>
      <c r="I654" s="109"/>
    </row>
    <row r="655" spans="1:9" ht="21.75" customHeight="1" x14ac:dyDescent="0.6">
      <c r="A655" s="109"/>
      <c r="B655" s="109"/>
      <c r="C655" s="109"/>
      <c r="D655" s="109"/>
      <c r="E655" s="109"/>
      <c r="F655" s="109"/>
      <c r="G655" s="109"/>
      <c r="H655" s="109"/>
      <c r="I655" s="109"/>
    </row>
    <row r="656" spans="1:9" ht="21.75" customHeight="1" x14ac:dyDescent="0.6">
      <c r="A656" s="109"/>
      <c r="B656" s="109"/>
      <c r="C656" s="109"/>
      <c r="D656" s="109"/>
      <c r="E656" s="109"/>
      <c r="F656" s="109"/>
      <c r="G656" s="109"/>
      <c r="H656" s="109"/>
      <c r="I656" s="109"/>
    </row>
    <row r="657" spans="1:9" ht="21.75" customHeight="1" x14ac:dyDescent="0.6">
      <c r="A657" s="109"/>
      <c r="B657" s="109"/>
      <c r="C657" s="109"/>
      <c r="D657" s="109"/>
      <c r="E657" s="109"/>
      <c r="F657" s="109"/>
      <c r="G657" s="109"/>
      <c r="H657" s="109"/>
      <c r="I657" s="109"/>
    </row>
    <row r="658" spans="1:9" ht="21.75" customHeight="1" x14ac:dyDescent="0.6">
      <c r="A658" s="109"/>
      <c r="B658" s="109"/>
      <c r="C658" s="109"/>
      <c r="D658" s="109"/>
      <c r="E658" s="109"/>
      <c r="F658" s="109"/>
      <c r="G658" s="109"/>
      <c r="H658" s="109"/>
      <c r="I658" s="109"/>
    </row>
    <row r="659" spans="1:9" ht="21.75" customHeight="1" x14ac:dyDescent="0.6">
      <c r="A659" s="109"/>
      <c r="B659" s="109"/>
      <c r="C659" s="109"/>
      <c r="D659" s="109"/>
      <c r="E659" s="109"/>
      <c r="F659" s="109"/>
      <c r="G659" s="109"/>
      <c r="H659" s="109"/>
      <c r="I659" s="109"/>
    </row>
    <row r="660" spans="1:9" ht="21.75" customHeight="1" x14ac:dyDescent="0.6">
      <c r="A660" s="109"/>
      <c r="B660" s="109"/>
      <c r="C660" s="109"/>
      <c r="D660" s="109"/>
      <c r="E660" s="109"/>
      <c r="F660" s="109"/>
      <c r="G660" s="109"/>
      <c r="H660" s="109"/>
      <c r="I660" s="109"/>
    </row>
    <row r="661" spans="1:9" ht="21.75" customHeight="1" x14ac:dyDescent="0.6">
      <c r="A661" s="109"/>
      <c r="B661" s="109"/>
      <c r="C661" s="109"/>
      <c r="D661" s="109"/>
      <c r="E661" s="109"/>
      <c r="F661" s="109"/>
      <c r="G661" s="109"/>
      <c r="H661" s="109"/>
      <c r="I661" s="109"/>
    </row>
    <row r="662" spans="1:9" ht="21.75" customHeight="1" x14ac:dyDescent="0.6">
      <c r="A662" s="109"/>
      <c r="B662" s="109"/>
      <c r="C662" s="109"/>
      <c r="D662" s="109"/>
      <c r="E662" s="109"/>
      <c r="F662" s="109"/>
      <c r="G662" s="109"/>
      <c r="H662" s="109"/>
      <c r="I662" s="109"/>
    </row>
    <row r="663" spans="1:9" ht="21.75" customHeight="1" x14ac:dyDescent="0.6">
      <c r="A663" s="109"/>
      <c r="B663" s="109"/>
      <c r="C663" s="109"/>
      <c r="D663" s="109"/>
      <c r="E663" s="109"/>
      <c r="F663" s="109"/>
      <c r="G663" s="109"/>
      <c r="H663" s="109"/>
      <c r="I663" s="109"/>
    </row>
    <row r="664" spans="1:9" ht="21.75" customHeight="1" x14ac:dyDescent="0.6">
      <c r="A664" s="109"/>
      <c r="B664" s="109"/>
      <c r="C664" s="109"/>
      <c r="D664" s="109"/>
      <c r="E664" s="109"/>
      <c r="F664" s="109"/>
      <c r="G664" s="109"/>
      <c r="H664" s="109"/>
      <c r="I664" s="109"/>
    </row>
    <row r="665" spans="1:9" ht="21.75" customHeight="1" x14ac:dyDescent="0.6">
      <c r="A665" s="109"/>
      <c r="B665" s="109"/>
      <c r="C665" s="109"/>
      <c r="D665" s="109"/>
      <c r="E665" s="109"/>
      <c r="F665" s="109"/>
      <c r="G665" s="109"/>
      <c r="H665" s="109"/>
      <c r="I665" s="109"/>
    </row>
    <row r="666" spans="1:9" ht="21.75" customHeight="1" x14ac:dyDescent="0.6">
      <c r="A666" s="109"/>
      <c r="B666" s="109"/>
      <c r="C666" s="109"/>
      <c r="D666" s="109"/>
      <c r="E666" s="109"/>
      <c r="F666" s="109"/>
      <c r="G666" s="109"/>
      <c r="H666" s="109"/>
      <c r="I666" s="109"/>
    </row>
    <row r="667" spans="1:9" ht="21.75" customHeight="1" x14ac:dyDescent="0.6">
      <c r="A667" s="109"/>
      <c r="B667" s="109"/>
      <c r="C667" s="109"/>
      <c r="D667" s="109"/>
      <c r="E667" s="109"/>
      <c r="F667" s="109"/>
      <c r="G667" s="109"/>
      <c r="H667" s="109"/>
      <c r="I667" s="109"/>
    </row>
    <row r="668" spans="1:9" ht="21.75" customHeight="1" x14ac:dyDescent="0.6">
      <c r="A668" s="109"/>
      <c r="B668" s="109"/>
      <c r="C668" s="109"/>
      <c r="D668" s="109"/>
      <c r="E668" s="109"/>
      <c r="F668" s="109"/>
      <c r="G668" s="109"/>
      <c r="H668" s="109"/>
      <c r="I668" s="109"/>
    </row>
    <row r="669" spans="1:9" ht="21.75" customHeight="1" x14ac:dyDescent="0.6">
      <c r="A669" s="109"/>
      <c r="B669" s="109"/>
      <c r="C669" s="109"/>
      <c r="D669" s="109"/>
      <c r="E669" s="109"/>
      <c r="F669" s="109"/>
      <c r="G669" s="109"/>
      <c r="H669" s="109"/>
      <c r="I669" s="109"/>
    </row>
    <row r="670" spans="1:9" ht="21.75" customHeight="1" x14ac:dyDescent="0.6">
      <c r="A670" s="109"/>
      <c r="B670" s="109"/>
      <c r="C670" s="109"/>
      <c r="D670" s="109"/>
      <c r="E670" s="109"/>
      <c r="F670" s="109"/>
      <c r="G670" s="109"/>
      <c r="H670" s="109"/>
      <c r="I670" s="109"/>
    </row>
    <row r="671" spans="1:9" ht="21.75" customHeight="1" x14ac:dyDescent="0.6">
      <c r="A671" s="109"/>
      <c r="B671" s="109"/>
      <c r="C671" s="109"/>
      <c r="D671" s="109"/>
      <c r="E671" s="109"/>
      <c r="F671" s="109"/>
      <c r="G671" s="109"/>
      <c r="H671" s="109"/>
      <c r="I671" s="109"/>
    </row>
    <row r="672" spans="1:9" ht="21.75" customHeight="1" x14ac:dyDescent="0.6">
      <c r="A672" s="109"/>
      <c r="B672" s="109"/>
      <c r="C672" s="109"/>
      <c r="D672" s="109"/>
      <c r="E672" s="109"/>
      <c r="F672" s="109"/>
      <c r="G672" s="109"/>
      <c r="H672" s="109"/>
      <c r="I672" s="109"/>
    </row>
    <row r="673" spans="1:9" ht="21.75" customHeight="1" x14ac:dyDescent="0.6">
      <c r="A673" s="109"/>
      <c r="B673" s="109"/>
      <c r="C673" s="109"/>
      <c r="D673" s="109"/>
      <c r="E673" s="109"/>
      <c r="F673" s="109"/>
      <c r="G673" s="109"/>
      <c r="H673" s="109"/>
      <c r="I673" s="109"/>
    </row>
    <row r="674" spans="1:9" ht="21.75" customHeight="1" x14ac:dyDescent="0.6">
      <c r="A674" s="109"/>
      <c r="B674" s="109"/>
      <c r="C674" s="109"/>
      <c r="D674" s="109"/>
      <c r="E674" s="109"/>
      <c r="F674" s="109"/>
      <c r="G674" s="109"/>
      <c r="H674" s="109"/>
      <c r="I674" s="109"/>
    </row>
    <row r="675" spans="1:9" ht="21.75" customHeight="1" x14ac:dyDescent="0.6">
      <c r="A675" s="109"/>
      <c r="B675" s="109"/>
      <c r="C675" s="109"/>
      <c r="D675" s="109"/>
      <c r="E675" s="109"/>
      <c r="F675" s="109"/>
      <c r="G675" s="109"/>
      <c r="H675" s="109"/>
      <c r="I675" s="109"/>
    </row>
    <row r="676" spans="1:9" ht="21.75" customHeight="1" x14ac:dyDescent="0.6">
      <c r="A676" s="109"/>
      <c r="B676" s="109"/>
      <c r="C676" s="109"/>
      <c r="D676" s="109"/>
      <c r="E676" s="109"/>
      <c r="F676" s="109"/>
      <c r="G676" s="109"/>
      <c r="H676" s="109"/>
      <c r="I676" s="109"/>
    </row>
    <row r="677" spans="1:9" ht="21.75" customHeight="1" x14ac:dyDescent="0.6">
      <c r="A677" s="109"/>
      <c r="B677" s="109"/>
      <c r="C677" s="109"/>
      <c r="D677" s="109"/>
      <c r="E677" s="109"/>
      <c r="F677" s="109"/>
      <c r="G677" s="109"/>
      <c r="H677" s="109"/>
      <c r="I677" s="109"/>
    </row>
    <row r="678" spans="1:9" ht="21.75" customHeight="1" x14ac:dyDescent="0.6">
      <c r="A678" s="109"/>
      <c r="B678" s="109"/>
      <c r="C678" s="109"/>
      <c r="D678" s="109"/>
      <c r="E678" s="109"/>
      <c r="F678" s="109"/>
      <c r="G678" s="109"/>
      <c r="H678" s="109"/>
      <c r="I678" s="109"/>
    </row>
    <row r="679" spans="1:9" ht="21.75" customHeight="1" x14ac:dyDescent="0.6">
      <c r="A679" s="109"/>
      <c r="B679" s="109"/>
      <c r="C679" s="109"/>
      <c r="D679" s="109"/>
      <c r="E679" s="109"/>
      <c r="F679" s="109"/>
      <c r="G679" s="109"/>
      <c r="H679" s="109"/>
      <c r="I679" s="109"/>
    </row>
    <row r="680" spans="1:9" ht="21.75" customHeight="1" x14ac:dyDescent="0.6">
      <c r="A680" s="109"/>
      <c r="B680" s="109"/>
      <c r="C680" s="109"/>
      <c r="D680" s="109"/>
      <c r="E680" s="109"/>
      <c r="F680" s="109"/>
      <c r="G680" s="109"/>
      <c r="H680" s="109"/>
      <c r="I680" s="109"/>
    </row>
    <row r="681" spans="1:9" ht="21.75" customHeight="1" x14ac:dyDescent="0.6">
      <c r="A681" s="109"/>
      <c r="B681" s="109"/>
      <c r="C681" s="109"/>
      <c r="D681" s="109"/>
      <c r="E681" s="109"/>
      <c r="F681" s="109"/>
      <c r="G681" s="109"/>
      <c r="H681" s="109"/>
      <c r="I681" s="109"/>
    </row>
    <row r="682" spans="1:9" ht="21.75" customHeight="1" x14ac:dyDescent="0.6">
      <c r="A682" s="109"/>
      <c r="B682" s="109"/>
      <c r="C682" s="109"/>
      <c r="D682" s="109"/>
      <c r="E682" s="109"/>
      <c r="F682" s="109"/>
      <c r="G682" s="109"/>
      <c r="H682" s="109"/>
      <c r="I682" s="109"/>
    </row>
    <row r="683" spans="1:9" ht="21.75" customHeight="1" x14ac:dyDescent="0.6">
      <c r="A683" s="109"/>
      <c r="B683" s="109"/>
      <c r="C683" s="109"/>
      <c r="D683" s="109"/>
      <c r="E683" s="109"/>
      <c r="F683" s="109"/>
      <c r="G683" s="109"/>
      <c r="H683" s="109"/>
      <c r="I683" s="109"/>
    </row>
    <row r="684" spans="1:9" ht="21.75" customHeight="1" x14ac:dyDescent="0.6">
      <c r="A684" s="109"/>
      <c r="B684" s="109"/>
      <c r="C684" s="109"/>
      <c r="D684" s="109"/>
      <c r="E684" s="109"/>
      <c r="F684" s="109"/>
      <c r="G684" s="109"/>
      <c r="H684" s="109"/>
      <c r="I684" s="109"/>
    </row>
    <row r="685" spans="1:9" ht="21.75" customHeight="1" x14ac:dyDescent="0.6">
      <c r="A685" s="109"/>
      <c r="B685" s="109"/>
      <c r="C685" s="109"/>
      <c r="D685" s="109"/>
      <c r="E685" s="109"/>
      <c r="F685" s="109"/>
      <c r="G685" s="109"/>
      <c r="H685" s="109"/>
      <c r="I685" s="109"/>
    </row>
    <row r="686" spans="1:9" ht="21.75" customHeight="1" x14ac:dyDescent="0.6">
      <c r="A686" s="109"/>
      <c r="B686" s="109"/>
      <c r="C686" s="109"/>
      <c r="D686" s="109"/>
      <c r="E686" s="109"/>
      <c r="F686" s="109"/>
      <c r="G686" s="109"/>
      <c r="H686" s="109"/>
      <c r="I686" s="109"/>
    </row>
    <row r="687" spans="1:9" ht="21.75" customHeight="1" x14ac:dyDescent="0.6">
      <c r="A687" s="109"/>
      <c r="B687" s="109"/>
      <c r="C687" s="109"/>
      <c r="D687" s="109"/>
      <c r="E687" s="109"/>
      <c r="F687" s="109"/>
      <c r="G687" s="109"/>
      <c r="H687" s="109"/>
      <c r="I687" s="109"/>
    </row>
    <row r="688" spans="1:9" ht="21.75" customHeight="1" x14ac:dyDescent="0.6">
      <c r="A688" s="109"/>
      <c r="B688" s="109"/>
      <c r="C688" s="109"/>
      <c r="D688" s="109"/>
      <c r="E688" s="109"/>
      <c r="F688" s="109"/>
      <c r="G688" s="109"/>
      <c r="H688" s="109"/>
      <c r="I688" s="109"/>
    </row>
    <row r="689" spans="1:9" ht="21.75" customHeight="1" x14ac:dyDescent="0.6">
      <c r="A689" s="109"/>
      <c r="B689" s="109"/>
      <c r="C689" s="109"/>
      <c r="D689" s="109"/>
      <c r="E689" s="109"/>
      <c r="F689" s="109"/>
      <c r="G689" s="109"/>
      <c r="H689" s="109"/>
      <c r="I689" s="109"/>
    </row>
    <row r="690" spans="1:9" ht="21.75" customHeight="1" x14ac:dyDescent="0.6">
      <c r="A690" s="109"/>
      <c r="B690" s="109"/>
      <c r="C690" s="109"/>
      <c r="D690" s="109"/>
      <c r="E690" s="109"/>
      <c r="F690" s="109"/>
      <c r="G690" s="109"/>
      <c r="H690" s="109"/>
      <c r="I690" s="109"/>
    </row>
    <row r="691" spans="1:9" ht="21.75" customHeight="1" x14ac:dyDescent="0.6">
      <c r="A691" s="109"/>
      <c r="B691" s="109"/>
      <c r="C691" s="109"/>
      <c r="D691" s="109"/>
      <c r="E691" s="109"/>
      <c r="F691" s="109"/>
      <c r="G691" s="109"/>
      <c r="H691" s="109"/>
      <c r="I691" s="109"/>
    </row>
    <row r="692" spans="1:9" ht="21.75" customHeight="1" x14ac:dyDescent="0.6">
      <c r="A692" s="109"/>
      <c r="B692" s="109"/>
      <c r="C692" s="109"/>
      <c r="D692" s="109"/>
      <c r="E692" s="109"/>
      <c r="F692" s="109"/>
      <c r="G692" s="109"/>
      <c r="H692" s="109"/>
      <c r="I692" s="109"/>
    </row>
    <row r="693" spans="1:9" ht="21.75" customHeight="1" x14ac:dyDescent="0.6">
      <c r="A693" s="109"/>
      <c r="B693" s="109"/>
      <c r="C693" s="109"/>
      <c r="D693" s="109"/>
      <c r="E693" s="109"/>
      <c r="F693" s="109"/>
      <c r="G693" s="109"/>
      <c r="H693" s="109"/>
      <c r="I693" s="109"/>
    </row>
    <row r="694" spans="1:9" ht="21.75" customHeight="1" x14ac:dyDescent="0.6">
      <c r="A694" s="109"/>
      <c r="B694" s="109"/>
      <c r="C694" s="109"/>
      <c r="D694" s="109"/>
      <c r="E694" s="109"/>
      <c r="F694" s="109"/>
      <c r="G694" s="109"/>
      <c r="H694" s="109"/>
      <c r="I694" s="109"/>
    </row>
    <row r="695" spans="1:9" ht="21.75" customHeight="1" x14ac:dyDescent="0.6">
      <c r="A695" s="109"/>
      <c r="B695" s="109"/>
      <c r="C695" s="109"/>
      <c r="D695" s="109"/>
      <c r="E695" s="109"/>
      <c r="F695" s="109"/>
      <c r="G695" s="109"/>
      <c r="H695" s="109"/>
      <c r="I695" s="109"/>
    </row>
    <row r="696" spans="1:9" ht="21.75" customHeight="1" x14ac:dyDescent="0.6">
      <c r="A696" s="109"/>
      <c r="B696" s="109"/>
      <c r="C696" s="109"/>
      <c r="D696" s="109"/>
      <c r="E696" s="109"/>
      <c r="F696" s="109"/>
      <c r="G696" s="109"/>
      <c r="H696" s="109"/>
      <c r="I696" s="109"/>
    </row>
    <row r="697" spans="1:9" ht="21.75" customHeight="1" x14ac:dyDescent="0.6">
      <c r="A697" s="109"/>
      <c r="B697" s="109"/>
      <c r="C697" s="109"/>
      <c r="D697" s="109"/>
      <c r="E697" s="109"/>
      <c r="F697" s="109"/>
      <c r="G697" s="109"/>
      <c r="H697" s="109"/>
      <c r="I697" s="109"/>
    </row>
    <row r="698" spans="1:9" ht="21.75" customHeight="1" x14ac:dyDescent="0.6">
      <c r="A698" s="109"/>
      <c r="B698" s="109"/>
      <c r="C698" s="109"/>
      <c r="D698" s="109"/>
      <c r="E698" s="109"/>
      <c r="F698" s="109"/>
      <c r="G698" s="109"/>
      <c r="H698" s="109"/>
      <c r="I698" s="109"/>
    </row>
    <row r="699" spans="1:9" ht="21.75" customHeight="1" x14ac:dyDescent="0.6">
      <c r="A699" s="109"/>
      <c r="B699" s="109"/>
      <c r="C699" s="109"/>
      <c r="D699" s="109"/>
      <c r="E699" s="109"/>
      <c r="F699" s="109"/>
      <c r="G699" s="109"/>
      <c r="H699" s="109"/>
      <c r="I699" s="109"/>
    </row>
    <row r="700" spans="1:9" ht="21.75" customHeight="1" x14ac:dyDescent="0.6">
      <c r="A700" s="109"/>
      <c r="B700" s="109"/>
      <c r="C700" s="109"/>
      <c r="D700" s="109"/>
      <c r="E700" s="109"/>
      <c r="F700" s="109"/>
      <c r="G700" s="109"/>
      <c r="H700" s="109"/>
      <c r="I700" s="109"/>
    </row>
    <row r="701" spans="1:9" ht="21.75" customHeight="1" x14ac:dyDescent="0.6">
      <c r="A701" s="109"/>
      <c r="B701" s="109"/>
      <c r="C701" s="109"/>
      <c r="D701" s="109"/>
      <c r="E701" s="109"/>
      <c r="F701" s="109"/>
      <c r="G701" s="109"/>
      <c r="H701" s="109"/>
      <c r="I701" s="109"/>
    </row>
    <row r="702" spans="1:9" ht="21.75" customHeight="1" x14ac:dyDescent="0.6">
      <c r="A702" s="109"/>
      <c r="B702" s="109"/>
      <c r="C702" s="109"/>
      <c r="D702" s="109"/>
      <c r="E702" s="109"/>
      <c r="F702" s="109"/>
      <c r="G702" s="109"/>
      <c r="H702" s="109"/>
      <c r="I702" s="109"/>
    </row>
    <row r="703" spans="1:9" ht="21.75" customHeight="1" x14ac:dyDescent="0.6">
      <c r="A703" s="109"/>
      <c r="B703" s="109"/>
      <c r="C703" s="109"/>
      <c r="D703" s="109"/>
      <c r="E703" s="109"/>
      <c r="F703" s="109"/>
      <c r="G703" s="109"/>
      <c r="H703" s="109"/>
      <c r="I703" s="109"/>
    </row>
    <row r="704" spans="1:9" ht="21.75" customHeight="1" x14ac:dyDescent="0.6">
      <c r="A704" s="109"/>
      <c r="B704" s="109"/>
      <c r="C704" s="109"/>
      <c r="D704" s="109"/>
      <c r="E704" s="109"/>
      <c r="F704" s="109"/>
      <c r="G704" s="109"/>
      <c r="H704" s="109"/>
      <c r="I704" s="109"/>
    </row>
    <row r="705" spans="1:9" ht="21.75" customHeight="1" x14ac:dyDescent="0.6">
      <c r="A705" s="109"/>
      <c r="B705" s="109"/>
      <c r="C705" s="109"/>
      <c r="D705" s="109"/>
      <c r="E705" s="109"/>
      <c r="F705" s="109"/>
      <c r="G705" s="109"/>
      <c r="H705" s="109"/>
      <c r="I705" s="109"/>
    </row>
    <row r="706" spans="1:9" ht="21.75" customHeight="1" x14ac:dyDescent="0.6">
      <c r="A706" s="109"/>
      <c r="B706" s="109"/>
      <c r="C706" s="109"/>
      <c r="D706" s="109"/>
      <c r="E706" s="109"/>
      <c r="F706" s="109"/>
      <c r="G706" s="109"/>
      <c r="H706" s="109"/>
      <c r="I706" s="109"/>
    </row>
    <row r="707" spans="1:9" ht="21.75" customHeight="1" x14ac:dyDescent="0.6">
      <c r="A707" s="109"/>
      <c r="B707" s="109"/>
      <c r="C707" s="109"/>
      <c r="D707" s="109"/>
      <c r="E707" s="109"/>
      <c r="F707" s="109"/>
      <c r="G707" s="109"/>
      <c r="H707" s="109"/>
      <c r="I707" s="109"/>
    </row>
    <row r="708" spans="1:9" ht="21.75" customHeight="1" x14ac:dyDescent="0.6">
      <c r="A708" s="109"/>
      <c r="B708" s="109"/>
      <c r="C708" s="109"/>
      <c r="D708" s="109"/>
      <c r="E708" s="109"/>
      <c r="F708" s="109"/>
      <c r="G708" s="109"/>
      <c r="H708" s="109"/>
      <c r="I708" s="109"/>
    </row>
    <row r="709" spans="1:9" ht="21.75" customHeight="1" x14ac:dyDescent="0.6">
      <c r="A709" s="109"/>
      <c r="B709" s="109"/>
      <c r="C709" s="109"/>
      <c r="D709" s="109"/>
      <c r="E709" s="109"/>
      <c r="F709" s="109"/>
      <c r="G709" s="109"/>
      <c r="H709" s="109"/>
      <c r="I709" s="109"/>
    </row>
    <row r="710" spans="1:9" ht="21.75" customHeight="1" x14ac:dyDescent="0.6">
      <c r="A710" s="109"/>
      <c r="B710" s="109"/>
      <c r="C710" s="109"/>
      <c r="D710" s="109"/>
      <c r="E710" s="109"/>
      <c r="F710" s="109"/>
      <c r="G710" s="109"/>
      <c r="H710" s="109"/>
      <c r="I710" s="109"/>
    </row>
    <row r="711" spans="1:9" ht="21.75" customHeight="1" x14ac:dyDescent="0.6">
      <c r="A711" s="109"/>
      <c r="B711" s="109"/>
      <c r="C711" s="109"/>
      <c r="D711" s="109"/>
      <c r="E711" s="109"/>
      <c r="F711" s="109"/>
      <c r="G711" s="109"/>
      <c r="H711" s="109"/>
      <c r="I711" s="109"/>
    </row>
    <row r="712" spans="1:9" ht="21.75" customHeight="1" x14ac:dyDescent="0.6">
      <c r="A712" s="109"/>
      <c r="B712" s="109"/>
      <c r="C712" s="109"/>
      <c r="D712" s="109"/>
      <c r="E712" s="109"/>
      <c r="F712" s="109"/>
      <c r="G712" s="109"/>
      <c r="H712" s="109"/>
      <c r="I712" s="109"/>
    </row>
    <row r="713" spans="1:9" ht="21.75" customHeight="1" x14ac:dyDescent="0.6">
      <c r="A713" s="109"/>
      <c r="B713" s="109"/>
      <c r="C713" s="109"/>
      <c r="D713" s="109"/>
      <c r="E713" s="109"/>
      <c r="F713" s="109"/>
      <c r="G713" s="109"/>
      <c r="H713" s="109"/>
      <c r="I713" s="109"/>
    </row>
    <row r="714" spans="1:9" ht="21.75" customHeight="1" x14ac:dyDescent="0.6">
      <c r="A714" s="109"/>
      <c r="B714" s="109"/>
      <c r="C714" s="109"/>
      <c r="D714" s="109"/>
      <c r="E714" s="109"/>
      <c r="F714" s="109"/>
      <c r="G714" s="109"/>
      <c r="H714" s="109"/>
      <c r="I714" s="109"/>
    </row>
    <row r="715" spans="1:9" ht="21.75" customHeight="1" x14ac:dyDescent="0.6">
      <c r="A715" s="109"/>
      <c r="B715" s="109"/>
      <c r="C715" s="109"/>
      <c r="D715" s="109"/>
      <c r="E715" s="109"/>
      <c r="F715" s="109"/>
      <c r="G715" s="109"/>
      <c r="H715" s="109"/>
      <c r="I715" s="109"/>
    </row>
    <row r="716" spans="1:9" ht="21.75" customHeight="1" x14ac:dyDescent="0.6">
      <c r="A716" s="109"/>
      <c r="B716" s="109"/>
      <c r="C716" s="109"/>
      <c r="D716" s="109"/>
      <c r="E716" s="109"/>
      <c r="F716" s="109"/>
      <c r="G716" s="109"/>
      <c r="H716" s="109"/>
      <c r="I716" s="109"/>
    </row>
    <row r="717" spans="1:9" ht="21.75" customHeight="1" x14ac:dyDescent="0.6">
      <c r="A717" s="109"/>
      <c r="B717" s="109"/>
      <c r="C717" s="109"/>
      <c r="D717" s="109"/>
      <c r="E717" s="109"/>
      <c r="F717" s="109"/>
      <c r="G717" s="109"/>
      <c r="H717" s="109"/>
      <c r="I717" s="109"/>
    </row>
    <row r="718" spans="1:9" ht="21.75" customHeight="1" x14ac:dyDescent="0.6">
      <c r="A718" s="109"/>
      <c r="B718" s="109"/>
      <c r="C718" s="109"/>
      <c r="D718" s="109"/>
      <c r="E718" s="109"/>
      <c r="F718" s="109"/>
      <c r="G718" s="109"/>
      <c r="H718" s="109"/>
      <c r="I718" s="109"/>
    </row>
    <row r="719" spans="1:9" ht="21.75" customHeight="1" x14ac:dyDescent="0.6">
      <c r="A719" s="109"/>
      <c r="B719" s="109"/>
      <c r="C719" s="109"/>
      <c r="D719" s="109"/>
      <c r="E719" s="109"/>
      <c r="F719" s="109"/>
      <c r="G719" s="109"/>
      <c r="H719" s="109"/>
      <c r="I719" s="109"/>
    </row>
    <row r="720" spans="1:9" ht="21.75" customHeight="1" x14ac:dyDescent="0.6">
      <c r="A720" s="109"/>
      <c r="B720" s="109"/>
      <c r="C720" s="109"/>
      <c r="D720" s="109"/>
      <c r="E720" s="109"/>
      <c r="F720" s="109"/>
      <c r="G720" s="109"/>
      <c r="H720" s="109"/>
      <c r="I720" s="109"/>
    </row>
    <row r="721" spans="1:9" ht="21.75" customHeight="1" x14ac:dyDescent="0.6">
      <c r="A721" s="109"/>
      <c r="B721" s="109"/>
      <c r="C721" s="109"/>
      <c r="D721" s="109"/>
      <c r="E721" s="109"/>
      <c r="F721" s="109"/>
      <c r="G721" s="109"/>
      <c r="H721" s="109"/>
      <c r="I721" s="109"/>
    </row>
    <row r="722" spans="1:9" ht="21.75" customHeight="1" x14ac:dyDescent="0.6">
      <c r="A722" s="109"/>
      <c r="B722" s="109"/>
      <c r="C722" s="109"/>
      <c r="D722" s="109"/>
      <c r="E722" s="109"/>
      <c r="F722" s="109"/>
      <c r="G722" s="109"/>
      <c r="H722" s="109"/>
      <c r="I722" s="109"/>
    </row>
    <row r="723" spans="1:9" ht="21.75" customHeight="1" x14ac:dyDescent="0.6">
      <c r="A723" s="109"/>
      <c r="B723" s="109"/>
      <c r="C723" s="109"/>
      <c r="D723" s="109"/>
      <c r="E723" s="109"/>
      <c r="F723" s="109"/>
      <c r="G723" s="109"/>
      <c r="H723" s="109"/>
      <c r="I723" s="109"/>
    </row>
    <row r="724" spans="1:9" ht="21.75" customHeight="1" x14ac:dyDescent="0.6">
      <c r="A724" s="109"/>
      <c r="B724" s="109"/>
      <c r="C724" s="109"/>
      <c r="D724" s="109"/>
      <c r="E724" s="109"/>
      <c r="F724" s="109"/>
      <c r="G724" s="109"/>
      <c r="H724" s="109"/>
      <c r="I724" s="109"/>
    </row>
    <row r="725" spans="1:9" ht="21.75" customHeight="1" x14ac:dyDescent="0.6">
      <c r="A725" s="109"/>
      <c r="B725" s="109"/>
      <c r="C725" s="109"/>
      <c r="D725" s="109"/>
      <c r="E725" s="109"/>
      <c r="F725" s="109"/>
      <c r="G725" s="109"/>
      <c r="H725" s="109"/>
      <c r="I725" s="109"/>
    </row>
    <row r="726" spans="1:9" ht="21.75" customHeight="1" x14ac:dyDescent="0.6">
      <c r="A726" s="109"/>
      <c r="B726" s="109"/>
      <c r="C726" s="109"/>
      <c r="D726" s="109"/>
      <c r="E726" s="109"/>
      <c r="F726" s="109"/>
      <c r="G726" s="109"/>
      <c r="H726" s="109"/>
      <c r="I726" s="109"/>
    </row>
    <row r="727" spans="1:9" ht="21.75" customHeight="1" x14ac:dyDescent="0.6">
      <c r="A727" s="109"/>
      <c r="B727" s="109"/>
      <c r="C727" s="109"/>
      <c r="D727" s="109"/>
      <c r="E727" s="109"/>
      <c r="F727" s="109"/>
      <c r="G727" s="109"/>
      <c r="H727" s="109"/>
      <c r="I727" s="109"/>
    </row>
    <row r="728" spans="1:9" ht="21.75" customHeight="1" x14ac:dyDescent="0.6">
      <c r="A728" s="109"/>
      <c r="B728" s="109"/>
      <c r="C728" s="109"/>
      <c r="D728" s="109"/>
      <c r="E728" s="109"/>
      <c r="F728" s="109"/>
      <c r="G728" s="109"/>
      <c r="H728" s="109"/>
      <c r="I728" s="109"/>
    </row>
    <row r="729" spans="1:9" ht="21.75" customHeight="1" x14ac:dyDescent="0.6">
      <c r="A729" s="109"/>
      <c r="B729" s="109"/>
      <c r="C729" s="109"/>
      <c r="D729" s="109"/>
      <c r="E729" s="109"/>
      <c r="F729" s="109"/>
      <c r="G729" s="109"/>
      <c r="H729" s="109"/>
      <c r="I729" s="109"/>
    </row>
    <row r="730" spans="1:9" ht="21.75" customHeight="1" x14ac:dyDescent="0.6">
      <c r="A730" s="109"/>
      <c r="B730" s="109"/>
      <c r="C730" s="109"/>
      <c r="D730" s="109"/>
      <c r="E730" s="109"/>
      <c r="F730" s="109"/>
      <c r="G730" s="109"/>
      <c r="H730" s="109"/>
      <c r="I730" s="109"/>
    </row>
    <row r="731" spans="1:9" ht="21.75" customHeight="1" x14ac:dyDescent="0.6">
      <c r="A731" s="109"/>
      <c r="B731" s="109"/>
      <c r="C731" s="109"/>
      <c r="D731" s="109"/>
      <c r="E731" s="109"/>
      <c r="F731" s="109"/>
      <c r="G731" s="109"/>
      <c r="H731" s="109"/>
      <c r="I731" s="109"/>
    </row>
    <row r="732" spans="1:9" ht="21.75" customHeight="1" x14ac:dyDescent="0.6">
      <c r="A732" s="109"/>
      <c r="B732" s="109"/>
      <c r="C732" s="109"/>
      <c r="D732" s="109"/>
      <c r="E732" s="109"/>
      <c r="F732" s="109"/>
      <c r="G732" s="109"/>
      <c r="H732" s="109"/>
      <c r="I732" s="109"/>
    </row>
    <row r="733" spans="1:9" ht="21.75" customHeight="1" x14ac:dyDescent="0.6">
      <c r="A733" s="109"/>
      <c r="B733" s="109"/>
      <c r="C733" s="109"/>
      <c r="D733" s="109"/>
      <c r="E733" s="109"/>
      <c r="F733" s="109"/>
      <c r="G733" s="109"/>
      <c r="H733" s="109"/>
      <c r="I733" s="109"/>
    </row>
    <row r="734" spans="1:9" ht="21.75" customHeight="1" x14ac:dyDescent="0.6">
      <c r="A734" s="109"/>
      <c r="B734" s="109"/>
      <c r="C734" s="109"/>
      <c r="D734" s="109"/>
      <c r="E734" s="109"/>
      <c r="F734" s="109"/>
      <c r="G734" s="109"/>
      <c r="H734" s="109"/>
      <c r="I734" s="109"/>
    </row>
    <row r="735" spans="1:9" ht="21.75" customHeight="1" x14ac:dyDescent="0.6">
      <c r="A735" s="109"/>
      <c r="B735" s="109"/>
      <c r="C735" s="109"/>
      <c r="D735" s="109"/>
      <c r="E735" s="109"/>
      <c r="F735" s="109"/>
      <c r="G735" s="109"/>
      <c r="H735" s="109"/>
      <c r="I735" s="109"/>
    </row>
    <row r="736" spans="1:9" ht="21.75" customHeight="1" x14ac:dyDescent="0.6">
      <c r="A736" s="109"/>
      <c r="B736" s="109"/>
      <c r="C736" s="109"/>
      <c r="D736" s="109"/>
      <c r="E736" s="109"/>
      <c r="F736" s="109"/>
      <c r="G736" s="109"/>
      <c r="H736" s="109"/>
      <c r="I736" s="109"/>
    </row>
    <row r="737" spans="1:9" ht="21.75" customHeight="1" x14ac:dyDescent="0.6">
      <c r="A737" s="109"/>
      <c r="B737" s="109"/>
      <c r="C737" s="109"/>
      <c r="D737" s="109"/>
      <c r="E737" s="109"/>
      <c r="F737" s="109"/>
      <c r="G737" s="109"/>
      <c r="H737" s="109"/>
      <c r="I737" s="109"/>
    </row>
    <row r="738" spans="1:9" ht="21.75" customHeight="1" x14ac:dyDescent="0.6">
      <c r="A738" s="109"/>
      <c r="B738" s="109"/>
      <c r="C738" s="109"/>
      <c r="D738" s="109"/>
      <c r="E738" s="109"/>
      <c r="F738" s="109"/>
      <c r="G738" s="109"/>
      <c r="H738" s="109"/>
      <c r="I738" s="109"/>
    </row>
    <row r="739" spans="1:9" ht="21.75" customHeight="1" x14ac:dyDescent="0.6">
      <c r="A739" s="109"/>
      <c r="B739" s="109"/>
      <c r="C739" s="109"/>
      <c r="D739" s="109"/>
      <c r="E739" s="109"/>
      <c r="F739" s="109"/>
      <c r="G739" s="109"/>
      <c r="H739" s="109"/>
      <c r="I739" s="109"/>
    </row>
    <row r="740" spans="1:9" ht="21.75" customHeight="1" x14ac:dyDescent="0.6">
      <c r="A740" s="109"/>
      <c r="B740" s="109"/>
      <c r="C740" s="109"/>
      <c r="D740" s="109"/>
      <c r="E740" s="109"/>
      <c r="F740" s="109"/>
      <c r="G740" s="109"/>
      <c r="H740" s="109"/>
      <c r="I740" s="109"/>
    </row>
    <row r="741" spans="1:9" ht="21.75" customHeight="1" x14ac:dyDescent="0.6">
      <c r="A741" s="109"/>
      <c r="B741" s="109"/>
      <c r="C741" s="109"/>
      <c r="D741" s="109"/>
      <c r="E741" s="109"/>
      <c r="F741" s="109"/>
      <c r="G741" s="109"/>
      <c r="H741" s="109"/>
      <c r="I741" s="109"/>
    </row>
    <row r="742" spans="1:9" ht="21.75" customHeight="1" x14ac:dyDescent="0.6">
      <c r="A742" s="109"/>
      <c r="B742" s="109"/>
      <c r="C742" s="109"/>
      <c r="D742" s="109"/>
      <c r="E742" s="109"/>
      <c r="F742" s="109"/>
      <c r="G742" s="109"/>
      <c r="H742" s="109"/>
      <c r="I742" s="109"/>
    </row>
    <row r="743" spans="1:9" ht="21.75" customHeight="1" x14ac:dyDescent="0.6">
      <c r="A743" s="109"/>
      <c r="B743" s="109"/>
      <c r="C743" s="109"/>
      <c r="D743" s="109"/>
      <c r="E743" s="109"/>
      <c r="F743" s="109"/>
      <c r="G743" s="109"/>
      <c r="H743" s="109"/>
      <c r="I743" s="109"/>
    </row>
    <row r="744" spans="1:9" ht="21.75" customHeight="1" x14ac:dyDescent="0.6">
      <c r="A744" s="109"/>
      <c r="B744" s="109"/>
      <c r="C744" s="109"/>
      <c r="D744" s="109"/>
      <c r="E744" s="109"/>
      <c r="F744" s="109"/>
      <c r="G744" s="109"/>
      <c r="H744" s="109"/>
      <c r="I744" s="109"/>
    </row>
    <row r="745" spans="1:9" ht="21.75" customHeight="1" x14ac:dyDescent="0.6">
      <c r="A745" s="109"/>
      <c r="B745" s="109"/>
      <c r="C745" s="109"/>
      <c r="D745" s="109"/>
      <c r="E745" s="109"/>
      <c r="F745" s="109"/>
      <c r="G745" s="109"/>
      <c r="H745" s="109"/>
      <c r="I745" s="109"/>
    </row>
    <row r="746" spans="1:9" ht="21.75" customHeight="1" x14ac:dyDescent="0.6">
      <c r="A746" s="109"/>
      <c r="B746" s="109"/>
      <c r="C746" s="109"/>
      <c r="D746" s="109"/>
      <c r="E746" s="109"/>
      <c r="F746" s="109"/>
      <c r="G746" s="109"/>
      <c r="H746" s="109"/>
      <c r="I746" s="109"/>
    </row>
    <row r="747" spans="1:9" ht="21.75" customHeight="1" x14ac:dyDescent="0.6">
      <c r="A747" s="109"/>
      <c r="B747" s="109"/>
      <c r="C747" s="109"/>
      <c r="D747" s="109"/>
      <c r="E747" s="109"/>
      <c r="F747" s="109"/>
      <c r="G747" s="109"/>
      <c r="H747" s="109"/>
      <c r="I747" s="109"/>
    </row>
    <row r="748" spans="1:9" ht="21.75" customHeight="1" x14ac:dyDescent="0.6">
      <c r="A748" s="109"/>
      <c r="B748" s="109"/>
      <c r="C748" s="109"/>
      <c r="D748" s="109"/>
      <c r="E748" s="109"/>
      <c r="F748" s="109"/>
      <c r="G748" s="109"/>
      <c r="H748" s="109"/>
      <c r="I748" s="109"/>
    </row>
    <row r="749" spans="1:9" ht="21.75" customHeight="1" x14ac:dyDescent="0.6">
      <c r="A749" s="109"/>
      <c r="B749" s="109"/>
      <c r="C749" s="109"/>
      <c r="D749" s="109"/>
      <c r="E749" s="109"/>
      <c r="F749" s="109"/>
      <c r="G749" s="109"/>
      <c r="H749" s="109"/>
      <c r="I749" s="109"/>
    </row>
    <row r="750" spans="1:9" ht="21.75" customHeight="1" x14ac:dyDescent="0.6">
      <c r="A750" s="109"/>
      <c r="B750" s="109"/>
      <c r="C750" s="109"/>
      <c r="D750" s="109"/>
      <c r="E750" s="109"/>
      <c r="F750" s="109"/>
      <c r="G750" s="109"/>
      <c r="H750" s="109"/>
      <c r="I750" s="109"/>
    </row>
    <row r="751" spans="1:9" ht="21.75" customHeight="1" x14ac:dyDescent="0.6">
      <c r="A751" s="109"/>
      <c r="B751" s="109"/>
      <c r="C751" s="109"/>
      <c r="D751" s="109"/>
      <c r="E751" s="109"/>
      <c r="F751" s="109"/>
      <c r="G751" s="109"/>
      <c r="H751" s="109"/>
      <c r="I751" s="109"/>
    </row>
    <row r="752" spans="1:9" ht="21.75" customHeight="1" x14ac:dyDescent="0.6">
      <c r="A752" s="109"/>
      <c r="B752" s="109"/>
      <c r="C752" s="109"/>
      <c r="D752" s="109"/>
      <c r="E752" s="109"/>
      <c r="F752" s="109"/>
      <c r="G752" s="109"/>
      <c r="H752" s="109"/>
      <c r="I752" s="109"/>
    </row>
    <row r="753" spans="1:9" ht="21.75" customHeight="1" x14ac:dyDescent="0.6">
      <c r="A753" s="109"/>
      <c r="B753" s="109"/>
      <c r="C753" s="109"/>
      <c r="D753" s="109"/>
      <c r="E753" s="109"/>
      <c r="F753" s="109"/>
      <c r="G753" s="109"/>
      <c r="H753" s="109"/>
      <c r="I753" s="109"/>
    </row>
    <row r="754" spans="1:9" ht="21.75" customHeight="1" x14ac:dyDescent="0.6">
      <c r="A754" s="109"/>
      <c r="B754" s="109"/>
      <c r="C754" s="109"/>
      <c r="D754" s="109"/>
      <c r="E754" s="109"/>
      <c r="F754" s="109"/>
      <c r="G754" s="109"/>
      <c r="H754" s="109"/>
      <c r="I754" s="109"/>
    </row>
    <row r="755" spans="1:9" ht="21.75" customHeight="1" x14ac:dyDescent="0.6">
      <c r="A755" s="109"/>
      <c r="B755" s="109"/>
      <c r="C755" s="109"/>
      <c r="D755" s="109"/>
      <c r="E755" s="109"/>
      <c r="F755" s="109"/>
      <c r="G755" s="109"/>
      <c r="H755" s="109"/>
      <c r="I755" s="109"/>
    </row>
    <row r="756" spans="1:9" ht="21.75" customHeight="1" x14ac:dyDescent="0.6">
      <c r="A756" s="109"/>
      <c r="B756" s="109"/>
      <c r="C756" s="109"/>
      <c r="D756" s="109"/>
      <c r="E756" s="109"/>
      <c r="F756" s="109"/>
      <c r="G756" s="109"/>
      <c r="H756" s="109"/>
      <c r="I756" s="109"/>
    </row>
    <row r="757" spans="1:9" ht="21.75" customHeight="1" x14ac:dyDescent="0.6">
      <c r="A757" s="109"/>
      <c r="B757" s="109"/>
      <c r="C757" s="109"/>
      <c r="D757" s="109"/>
      <c r="E757" s="109"/>
      <c r="F757" s="109"/>
      <c r="G757" s="109"/>
      <c r="H757" s="109"/>
      <c r="I757" s="109"/>
    </row>
    <row r="758" spans="1:9" ht="21.75" customHeight="1" x14ac:dyDescent="0.6">
      <c r="A758" s="109"/>
      <c r="B758" s="109"/>
      <c r="C758" s="109"/>
      <c r="D758" s="109"/>
      <c r="E758" s="109"/>
      <c r="F758" s="109"/>
      <c r="G758" s="109"/>
      <c r="H758" s="109"/>
      <c r="I758" s="109"/>
    </row>
    <row r="759" spans="1:9" ht="21.75" customHeight="1" x14ac:dyDescent="0.6">
      <c r="A759" s="109"/>
      <c r="B759" s="109"/>
      <c r="C759" s="109"/>
      <c r="D759" s="109"/>
      <c r="E759" s="109"/>
      <c r="F759" s="109"/>
      <c r="G759" s="109"/>
      <c r="H759" s="109"/>
      <c r="I759" s="109"/>
    </row>
    <row r="760" spans="1:9" ht="21.75" customHeight="1" x14ac:dyDescent="0.6">
      <c r="A760" s="109"/>
      <c r="B760" s="109"/>
      <c r="C760" s="109"/>
      <c r="D760" s="109"/>
      <c r="E760" s="109"/>
      <c r="F760" s="109"/>
      <c r="G760" s="109"/>
      <c r="H760" s="109"/>
      <c r="I760" s="109"/>
    </row>
    <row r="761" spans="1:9" ht="21.75" customHeight="1" x14ac:dyDescent="0.6">
      <c r="A761" s="109"/>
      <c r="B761" s="109"/>
      <c r="C761" s="109"/>
      <c r="D761" s="109"/>
      <c r="E761" s="109"/>
      <c r="F761" s="109"/>
      <c r="G761" s="109"/>
      <c r="H761" s="109"/>
      <c r="I761" s="109"/>
    </row>
    <row r="762" spans="1:9" ht="21.75" customHeight="1" x14ac:dyDescent="0.6">
      <c r="A762" s="109"/>
      <c r="B762" s="109"/>
      <c r="C762" s="109"/>
      <c r="D762" s="109"/>
      <c r="E762" s="109"/>
      <c r="F762" s="109"/>
      <c r="G762" s="109"/>
      <c r="H762" s="109"/>
      <c r="I762" s="109"/>
    </row>
    <row r="763" spans="1:9" ht="21.75" customHeight="1" x14ac:dyDescent="0.6">
      <c r="A763" s="109"/>
      <c r="B763" s="109"/>
      <c r="C763" s="109"/>
      <c r="D763" s="109"/>
      <c r="E763" s="109"/>
      <c r="F763" s="109"/>
      <c r="G763" s="109"/>
      <c r="H763" s="109"/>
      <c r="I763" s="109"/>
    </row>
    <row r="764" spans="1:9" ht="21.75" customHeight="1" x14ac:dyDescent="0.6">
      <c r="A764" s="109"/>
      <c r="B764" s="109"/>
      <c r="C764" s="109"/>
      <c r="D764" s="109"/>
      <c r="E764" s="109"/>
      <c r="F764" s="109"/>
      <c r="G764" s="109"/>
      <c r="H764" s="109"/>
      <c r="I764" s="109"/>
    </row>
    <row r="765" spans="1:9" ht="21.75" customHeight="1" x14ac:dyDescent="0.6">
      <c r="A765" s="109"/>
      <c r="B765" s="109"/>
      <c r="C765" s="109"/>
      <c r="D765" s="109"/>
      <c r="E765" s="109"/>
      <c r="F765" s="109"/>
      <c r="G765" s="109"/>
      <c r="H765" s="109"/>
      <c r="I765" s="109"/>
    </row>
    <row r="766" spans="1:9" ht="21.75" customHeight="1" x14ac:dyDescent="0.6">
      <c r="A766" s="109"/>
      <c r="B766" s="109"/>
      <c r="C766" s="109"/>
      <c r="D766" s="109"/>
      <c r="E766" s="109"/>
      <c r="F766" s="109"/>
      <c r="G766" s="109"/>
      <c r="H766" s="109"/>
      <c r="I766" s="109"/>
    </row>
    <row r="767" spans="1:9" ht="21.75" customHeight="1" x14ac:dyDescent="0.6">
      <c r="A767" s="109"/>
      <c r="B767" s="109"/>
      <c r="C767" s="109"/>
      <c r="D767" s="109"/>
      <c r="E767" s="109"/>
      <c r="F767" s="109"/>
      <c r="G767" s="109"/>
      <c r="H767" s="109"/>
      <c r="I767" s="109"/>
    </row>
    <row r="768" spans="1:9" ht="21.75" customHeight="1" x14ac:dyDescent="0.6">
      <c r="A768" s="109"/>
      <c r="B768" s="109"/>
      <c r="C768" s="109"/>
      <c r="D768" s="109"/>
      <c r="E768" s="109"/>
      <c r="F768" s="109"/>
      <c r="G768" s="109"/>
      <c r="H768" s="109"/>
      <c r="I768" s="109"/>
    </row>
    <row r="769" spans="1:9" ht="21.75" customHeight="1" x14ac:dyDescent="0.6">
      <c r="A769" s="109"/>
      <c r="B769" s="109"/>
      <c r="C769" s="109"/>
      <c r="D769" s="109"/>
      <c r="E769" s="109"/>
      <c r="F769" s="109"/>
      <c r="G769" s="109"/>
      <c r="H769" s="109"/>
      <c r="I769" s="109"/>
    </row>
    <row r="770" spans="1:9" ht="21.75" customHeight="1" x14ac:dyDescent="0.6">
      <c r="A770" s="109"/>
      <c r="B770" s="109"/>
      <c r="C770" s="109"/>
      <c r="D770" s="109"/>
      <c r="E770" s="109"/>
      <c r="F770" s="109"/>
      <c r="G770" s="109"/>
      <c r="H770" s="109"/>
      <c r="I770" s="109"/>
    </row>
    <row r="771" spans="1:9" ht="21.75" customHeight="1" x14ac:dyDescent="0.6">
      <c r="A771" s="109"/>
      <c r="B771" s="109"/>
      <c r="C771" s="109"/>
      <c r="D771" s="109"/>
      <c r="E771" s="109"/>
      <c r="F771" s="109"/>
      <c r="G771" s="109"/>
      <c r="H771" s="109"/>
      <c r="I771" s="109"/>
    </row>
    <row r="772" spans="1:9" ht="21.75" customHeight="1" x14ac:dyDescent="0.6">
      <c r="A772" s="109"/>
      <c r="B772" s="109"/>
      <c r="C772" s="109"/>
      <c r="D772" s="109"/>
      <c r="E772" s="109"/>
      <c r="F772" s="109"/>
      <c r="G772" s="109"/>
      <c r="H772" s="109"/>
      <c r="I772" s="109"/>
    </row>
    <row r="773" spans="1:9" ht="21.75" customHeight="1" x14ac:dyDescent="0.6">
      <c r="A773" s="109"/>
      <c r="B773" s="109"/>
      <c r="C773" s="109"/>
      <c r="D773" s="109"/>
      <c r="E773" s="109"/>
      <c r="F773" s="109"/>
      <c r="G773" s="109"/>
      <c r="H773" s="109"/>
      <c r="I773" s="109"/>
    </row>
    <row r="774" spans="1:9" ht="21.75" customHeight="1" x14ac:dyDescent="0.6">
      <c r="A774" s="109"/>
      <c r="B774" s="109"/>
      <c r="C774" s="109"/>
      <c r="D774" s="109"/>
      <c r="E774" s="109"/>
      <c r="F774" s="109"/>
      <c r="G774" s="109"/>
      <c r="H774" s="109"/>
      <c r="I774" s="109"/>
    </row>
    <row r="775" spans="1:9" ht="21.75" customHeight="1" x14ac:dyDescent="0.6">
      <c r="A775" s="109"/>
      <c r="B775" s="109"/>
      <c r="C775" s="109"/>
      <c r="D775" s="109"/>
      <c r="E775" s="109"/>
      <c r="F775" s="109"/>
      <c r="G775" s="109"/>
      <c r="H775" s="109"/>
      <c r="I775" s="109"/>
    </row>
    <row r="776" spans="1:9" ht="21.75" customHeight="1" x14ac:dyDescent="0.6">
      <c r="A776" s="109"/>
      <c r="B776" s="109"/>
      <c r="C776" s="109"/>
      <c r="D776" s="109"/>
      <c r="E776" s="109"/>
      <c r="F776" s="109"/>
      <c r="G776" s="109"/>
      <c r="H776" s="109"/>
      <c r="I776" s="109"/>
    </row>
    <row r="777" spans="1:9" ht="21.75" customHeight="1" x14ac:dyDescent="0.6">
      <c r="A777" s="109"/>
      <c r="B777" s="109"/>
      <c r="C777" s="109"/>
      <c r="D777" s="109"/>
      <c r="E777" s="109"/>
      <c r="F777" s="109"/>
      <c r="G777" s="109"/>
      <c r="H777" s="109"/>
      <c r="I777" s="109"/>
    </row>
    <row r="778" spans="1:9" ht="21.75" customHeight="1" x14ac:dyDescent="0.6">
      <c r="A778" s="109"/>
      <c r="B778" s="109"/>
      <c r="C778" s="109"/>
      <c r="D778" s="109"/>
      <c r="E778" s="109"/>
      <c r="F778" s="109"/>
      <c r="G778" s="109"/>
      <c r="H778" s="109"/>
      <c r="I778" s="109"/>
    </row>
    <row r="779" spans="1:9" ht="21.75" customHeight="1" x14ac:dyDescent="0.6">
      <c r="A779" s="109"/>
      <c r="B779" s="109"/>
      <c r="C779" s="109"/>
      <c r="D779" s="109"/>
      <c r="E779" s="109"/>
      <c r="F779" s="109"/>
      <c r="G779" s="109"/>
      <c r="H779" s="109"/>
      <c r="I779" s="109"/>
    </row>
    <row r="780" spans="1:9" ht="21.75" customHeight="1" x14ac:dyDescent="0.6">
      <c r="A780" s="109"/>
      <c r="B780" s="109"/>
      <c r="C780" s="109"/>
      <c r="D780" s="109"/>
      <c r="E780" s="109"/>
      <c r="F780" s="109"/>
      <c r="G780" s="109"/>
      <c r="H780" s="109"/>
      <c r="I780" s="109"/>
    </row>
    <row r="781" spans="1:9" ht="21.75" customHeight="1" x14ac:dyDescent="0.6">
      <c r="A781" s="109"/>
      <c r="B781" s="109"/>
      <c r="C781" s="109"/>
      <c r="D781" s="109"/>
      <c r="E781" s="109"/>
      <c r="F781" s="109"/>
      <c r="G781" s="109"/>
      <c r="H781" s="109"/>
      <c r="I781" s="109"/>
    </row>
    <row r="782" spans="1:9" ht="21.75" customHeight="1" x14ac:dyDescent="0.6">
      <c r="A782" s="109"/>
      <c r="B782" s="109"/>
      <c r="C782" s="109"/>
      <c r="D782" s="109"/>
      <c r="E782" s="109"/>
      <c r="F782" s="109"/>
      <c r="G782" s="109"/>
      <c r="H782" s="109"/>
      <c r="I782" s="109"/>
    </row>
    <row r="783" spans="1:9" ht="21.75" customHeight="1" x14ac:dyDescent="0.6">
      <c r="A783" s="109"/>
      <c r="B783" s="109"/>
      <c r="C783" s="109"/>
      <c r="D783" s="109"/>
      <c r="E783" s="109"/>
      <c r="F783" s="109"/>
      <c r="G783" s="109"/>
      <c r="H783" s="109"/>
      <c r="I783" s="109"/>
    </row>
    <row r="784" spans="1:9" ht="21.75" customHeight="1" x14ac:dyDescent="0.6">
      <c r="A784" s="109"/>
      <c r="B784" s="109"/>
      <c r="C784" s="109"/>
      <c r="D784" s="109"/>
      <c r="E784" s="109"/>
      <c r="F784" s="109"/>
      <c r="G784" s="109"/>
      <c r="H784" s="109"/>
      <c r="I784" s="109"/>
    </row>
    <row r="785" spans="1:9" ht="21.75" customHeight="1" x14ac:dyDescent="0.6">
      <c r="A785" s="109"/>
      <c r="B785" s="109"/>
      <c r="C785" s="109"/>
      <c r="D785" s="109"/>
      <c r="E785" s="109"/>
      <c r="F785" s="109"/>
      <c r="G785" s="109"/>
      <c r="H785" s="109"/>
      <c r="I785" s="109"/>
    </row>
    <row r="786" spans="1:9" ht="21.75" customHeight="1" x14ac:dyDescent="0.6">
      <c r="A786" s="109"/>
      <c r="B786" s="109"/>
      <c r="C786" s="109"/>
      <c r="D786" s="109"/>
      <c r="E786" s="109"/>
      <c r="F786" s="109"/>
      <c r="G786" s="109"/>
      <c r="H786" s="109"/>
      <c r="I786" s="109"/>
    </row>
    <row r="787" spans="1:9" ht="21.75" customHeight="1" x14ac:dyDescent="0.6">
      <c r="A787" s="109"/>
      <c r="B787" s="109"/>
      <c r="C787" s="109"/>
      <c r="D787" s="109"/>
      <c r="E787" s="109"/>
      <c r="F787" s="109"/>
      <c r="G787" s="109"/>
      <c r="H787" s="109"/>
      <c r="I787" s="109"/>
    </row>
    <row r="788" spans="1:9" ht="21.75" customHeight="1" x14ac:dyDescent="0.6">
      <c r="A788" s="109"/>
      <c r="B788" s="109"/>
      <c r="C788" s="109"/>
      <c r="D788" s="109"/>
      <c r="E788" s="109"/>
      <c r="F788" s="109"/>
      <c r="G788" s="109"/>
      <c r="H788" s="109"/>
      <c r="I788" s="109"/>
    </row>
    <row r="789" spans="1:9" ht="21.75" customHeight="1" x14ac:dyDescent="0.6">
      <c r="A789" s="109"/>
      <c r="B789" s="109"/>
      <c r="C789" s="109"/>
      <c r="D789" s="109"/>
      <c r="E789" s="109"/>
      <c r="F789" s="109"/>
      <c r="G789" s="109"/>
      <c r="H789" s="109"/>
      <c r="I789" s="109"/>
    </row>
    <row r="790" spans="1:9" ht="21.75" customHeight="1" x14ac:dyDescent="0.6">
      <c r="A790" s="109"/>
      <c r="B790" s="109"/>
      <c r="C790" s="109"/>
      <c r="D790" s="109"/>
      <c r="E790" s="109"/>
      <c r="F790" s="109"/>
      <c r="G790" s="109"/>
      <c r="H790" s="109"/>
      <c r="I790" s="109"/>
    </row>
    <row r="791" spans="1:9" ht="21.75" customHeight="1" x14ac:dyDescent="0.6">
      <c r="A791" s="109"/>
      <c r="B791" s="109"/>
      <c r="C791" s="109"/>
      <c r="D791" s="109"/>
      <c r="E791" s="109"/>
      <c r="F791" s="109"/>
      <c r="G791" s="109"/>
      <c r="H791" s="109"/>
      <c r="I791" s="109"/>
    </row>
    <row r="792" spans="1:9" ht="21.75" customHeight="1" x14ac:dyDescent="0.6">
      <c r="A792" s="109"/>
      <c r="B792" s="109"/>
      <c r="C792" s="109"/>
      <c r="D792" s="109"/>
      <c r="E792" s="109"/>
      <c r="F792" s="109"/>
      <c r="G792" s="109"/>
      <c r="H792" s="109"/>
      <c r="I792" s="109"/>
    </row>
    <row r="793" spans="1:9" ht="21.75" customHeight="1" x14ac:dyDescent="0.6">
      <c r="A793" s="109"/>
      <c r="B793" s="109"/>
      <c r="C793" s="109"/>
      <c r="D793" s="109"/>
      <c r="E793" s="109"/>
      <c r="F793" s="109"/>
      <c r="G793" s="109"/>
      <c r="H793" s="109"/>
      <c r="I793" s="109"/>
    </row>
    <row r="794" spans="1:9" ht="21.75" customHeight="1" x14ac:dyDescent="0.6">
      <c r="A794" s="109"/>
      <c r="B794" s="109"/>
      <c r="C794" s="109"/>
      <c r="D794" s="109"/>
      <c r="E794" s="109"/>
      <c r="F794" s="109"/>
      <c r="G794" s="109"/>
      <c r="H794" s="109"/>
      <c r="I794" s="109"/>
    </row>
    <row r="795" spans="1:9" ht="21.75" customHeight="1" x14ac:dyDescent="0.6">
      <c r="A795" s="109"/>
      <c r="B795" s="109"/>
      <c r="C795" s="109"/>
      <c r="D795" s="109"/>
      <c r="E795" s="109"/>
      <c r="F795" s="109"/>
      <c r="G795" s="109"/>
      <c r="H795" s="109"/>
      <c r="I795" s="109"/>
    </row>
    <row r="796" spans="1:9" ht="21.75" customHeight="1" x14ac:dyDescent="0.6">
      <c r="A796" s="109"/>
      <c r="B796" s="109"/>
      <c r="C796" s="109"/>
      <c r="D796" s="109"/>
      <c r="E796" s="109"/>
      <c r="F796" s="109"/>
      <c r="G796" s="109"/>
      <c r="H796" s="109"/>
      <c r="I796" s="109"/>
    </row>
    <row r="797" spans="1:9" ht="21.75" customHeight="1" x14ac:dyDescent="0.6">
      <c r="A797" s="109"/>
      <c r="B797" s="109"/>
      <c r="C797" s="109"/>
      <c r="D797" s="109"/>
      <c r="E797" s="109"/>
      <c r="F797" s="109"/>
      <c r="G797" s="109"/>
      <c r="H797" s="109"/>
      <c r="I797" s="109"/>
    </row>
    <row r="798" spans="1:9" ht="21.75" customHeight="1" x14ac:dyDescent="0.6">
      <c r="A798" s="109"/>
      <c r="B798" s="109"/>
      <c r="C798" s="109"/>
      <c r="D798" s="109"/>
      <c r="E798" s="109"/>
      <c r="F798" s="109"/>
      <c r="G798" s="109"/>
      <c r="H798" s="109"/>
      <c r="I798" s="109"/>
    </row>
    <row r="799" spans="1:9" ht="21.75" customHeight="1" x14ac:dyDescent="0.6">
      <c r="A799" s="109"/>
      <c r="B799" s="109"/>
      <c r="C799" s="109"/>
      <c r="D799" s="109"/>
      <c r="E799" s="109"/>
      <c r="F799" s="109"/>
      <c r="G799" s="109"/>
      <c r="H799" s="109"/>
      <c r="I799" s="109"/>
    </row>
    <row r="800" spans="1:9" ht="21.75" customHeight="1" x14ac:dyDescent="0.6">
      <c r="A800" s="109"/>
      <c r="B800" s="109"/>
      <c r="C800" s="109"/>
      <c r="D800" s="109"/>
      <c r="E800" s="109"/>
      <c r="F800" s="109"/>
      <c r="G800" s="109"/>
      <c r="H800" s="109"/>
      <c r="I800" s="109"/>
    </row>
    <row r="801" spans="1:9" ht="21.75" customHeight="1" x14ac:dyDescent="0.6">
      <c r="A801" s="109"/>
      <c r="B801" s="109"/>
      <c r="C801" s="109"/>
      <c r="D801" s="109"/>
      <c r="E801" s="109"/>
      <c r="F801" s="109"/>
      <c r="G801" s="109"/>
      <c r="H801" s="109"/>
      <c r="I801" s="109"/>
    </row>
    <row r="802" spans="1:9" ht="21.75" customHeight="1" x14ac:dyDescent="0.6">
      <c r="A802" s="109"/>
      <c r="B802" s="109"/>
      <c r="C802" s="109"/>
      <c r="D802" s="109"/>
      <c r="E802" s="109"/>
      <c r="F802" s="109"/>
      <c r="G802" s="109"/>
      <c r="H802" s="109"/>
      <c r="I802" s="109"/>
    </row>
    <row r="803" spans="1:9" ht="21.75" customHeight="1" x14ac:dyDescent="0.6">
      <c r="A803" s="109"/>
      <c r="B803" s="109"/>
      <c r="C803" s="109"/>
      <c r="D803" s="109"/>
      <c r="E803" s="109"/>
      <c r="F803" s="109"/>
      <c r="G803" s="109"/>
      <c r="H803" s="109"/>
      <c r="I803" s="109"/>
    </row>
    <row r="804" spans="1:9" ht="21.75" customHeight="1" x14ac:dyDescent="0.6">
      <c r="A804" s="109"/>
      <c r="B804" s="109"/>
      <c r="C804" s="109"/>
      <c r="D804" s="109"/>
      <c r="E804" s="109"/>
      <c r="F804" s="109"/>
      <c r="G804" s="109"/>
      <c r="H804" s="109"/>
      <c r="I804" s="109"/>
    </row>
    <row r="805" spans="1:9" ht="21.75" customHeight="1" x14ac:dyDescent="0.6">
      <c r="A805" s="109"/>
      <c r="B805" s="109"/>
      <c r="C805" s="109"/>
      <c r="D805" s="109"/>
      <c r="E805" s="109"/>
      <c r="F805" s="109"/>
      <c r="G805" s="109"/>
      <c r="H805" s="109"/>
      <c r="I805" s="109"/>
    </row>
    <row r="806" spans="1:9" ht="21.75" customHeight="1" x14ac:dyDescent="0.6">
      <c r="A806" s="109"/>
      <c r="B806" s="109"/>
      <c r="C806" s="109"/>
      <c r="D806" s="109"/>
      <c r="E806" s="109"/>
      <c r="F806" s="109"/>
      <c r="G806" s="109"/>
      <c r="H806" s="109"/>
      <c r="I806" s="109"/>
    </row>
    <row r="807" spans="1:9" ht="21.75" customHeight="1" x14ac:dyDescent="0.6">
      <c r="A807" s="109"/>
      <c r="B807" s="109"/>
      <c r="C807" s="109"/>
      <c r="D807" s="109"/>
      <c r="E807" s="109"/>
      <c r="F807" s="109"/>
      <c r="G807" s="109"/>
      <c r="H807" s="109"/>
      <c r="I807" s="109"/>
    </row>
    <row r="808" spans="1:9" ht="21.75" customHeight="1" x14ac:dyDescent="0.6">
      <c r="A808" s="109"/>
      <c r="B808" s="109"/>
      <c r="C808" s="109"/>
      <c r="D808" s="109"/>
      <c r="E808" s="109"/>
      <c r="F808" s="109"/>
      <c r="G808" s="109"/>
      <c r="H808" s="109"/>
      <c r="I808" s="109"/>
    </row>
    <row r="809" spans="1:9" ht="21.75" customHeight="1" x14ac:dyDescent="0.6">
      <c r="A809" s="109"/>
      <c r="B809" s="109"/>
      <c r="C809" s="109"/>
      <c r="D809" s="109"/>
      <c r="E809" s="109"/>
      <c r="F809" s="109"/>
      <c r="G809" s="109"/>
      <c r="H809" s="109"/>
      <c r="I809" s="109"/>
    </row>
    <row r="810" spans="1:9" ht="21.75" customHeight="1" x14ac:dyDescent="0.6">
      <c r="A810" s="109"/>
      <c r="B810" s="109"/>
      <c r="C810" s="109"/>
      <c r="D810" s="109"/>
      <c r="E810" s="109"/>
      <c r="F810" s="109"/>
      <c r="G810" s="109"/>
      <c r="H810" s="109"/>
      <c r="I810" s="109"/>
    </row>
    <row r="811" spans="1:9" ht="21.75" customHeight="1" x14ac:dyDescent="0.6">
      <c r="A811" s="109"/>
      <c r="B811" s="109"/>
      <c r="C811" s="109"/>
      <c r="D811" s="109"/>
      <c r="E811" s="109"/>
      <c r="F811" s="109"/>
      <c r="G811" s="109"/>
      <c r="H811" s="109"/>
      <c r="I811" s="109"/>
    </row>
    <row r="812" spans="1:9" ht="21.75" customHeight="1" x14ac:dyDescent="0.6">
      <c r="A812" s="109"/>
      <c r="B812" s="109"/>
      <c r="C812" s="109"/>
      <c r="D812" s="109"/>
      <c r="E812" s="109"/>
      <c r="F812" s="109"/>
      <c r="G812" s="109"/>
      <c r="H812" s="109"/>
      <c r="I812" s="109"/>
    </row>
    <row r="813" spans="1:9" ht="21.75" customHeight="1" x14ac:dyDescent="0.6">
      <c r="A813" s="109"/>
      <c r="B813" s="109"/>
      <c r="C813" s="109"/>
      <c r="D813" s="109"/>
      <c r="E813" s="109"/>
      <c r="F813" s="109"/>
      <c r="G813" s="109"/>
      <c r="H813" s="109"/>
      <c r="I813" s="109"/>
    </row>
    <row r="814" spans="1:9" ht="21.75" customHeight="1" x14ac:dyDescent="0.6">
      <c r="A814" s="109"/>
      <c r="B814" s="109"/>
      <c r="C814" s="109"/>
      <c r="D814" s="109"/>
      <c r="E814" s="109"/>
      <c r="F814" s="109"/>
      <c r="G814" s="109"/>
      <c r="H814" s="109"/>
      <c r="I814" s="109"/>
    </row>
    <row r="815" spans="1:9" ht="21.75" customHeight="1" x14ac:dyDescent="0.6">
      <c r="A815" s="109"/>
      <c r="B815" s="109"/>
      <c r="C815" s="109"/>
      <c r="D815" s="109"/>
      <c r="E815" s="109"/>
      <c r="F815" s="109"/>
      <c r="G815" s="109"/>
      <c r="H815" s="109"/>
      <c r="I815" s="109"/>
    </row>
    <row r="816" spans="1:9" ht="21.75" customHeight="1" x14ac:dyDescent="0.6">
      <c r="A816" s="109"/>
      <c r="B816" s="109"/>
      <c r="C816" s="109"/>
      <c r="D816" s="109"/>
      <c r="E816" s="109"/>
      <c r="F816" s="109"/>
      <c r="G816" s="109"/>
      <c r="H816" s="109"/>
      <c r="I816" s="109"/>
    </row>
    <row r="817" spans="1:9" ht="21.75" customHeight="1" x14ac:dyDescent="0.6">
      <c r="A817" s="109"/>
      <c r="B817" s="109"/>
      <c r="C817" s="109"/>
      <c r="D817" s="109"/>
      <c r="E817" s="109"/>
      <c r="F817" s="109"/>
      <c r="G817" s="109"/>
      <c r="H817" s="109"/>
      <c r="I817" s="109"/>
    </row>
    <row r="818" spans="1:9" ht="21.75" customHeight="1" x14ac:dyDescent="0.6">
      <c r="A818" s="109"/>
      <c r="B818" s="109"/>
      <c r="C818" s="109"/>
      <c r="D818" s="109"/>
      <c r="E818" s="109"/>
      <c r="F818" s="109"/>
      <c r="G818" s="109"/>
      <c r="H818" s="109"/>
      <c r="I818" s="109"/>
    </row>
    <row r="819" spans="1:9" ht="21.75" customHeight="1" x14ac:dyDescent="0.6">
      <c r="A819" s="109"/>
      <c r="B819" s="109"/>
      <c r="C819" s="109"/>
      <c r="D819" s="109"/>
      <c r="E819" s="109"/>
      <c r="F819" s="109"/>
      <c r="G819" s="109"/>
      <c r="H819" s="109"/>
      <c r="I819" s="109"/>
    </row>
    <row r="820" spans="1:9" ht="21.75" customHeight="1" x14ac:dyDescent="0.6">
      <c r="A820" s="109"/>
      <c r="B820" s="109"/>
      <c r="C820" s="109"/>
      <c r="D820" s="109"/>
      <c r="E820" s="109"/>
      <c r="F820" s="109"/>
      <c r="G820" s="109"/>
      <c r="H820" s="109"/>
      <c r="I820" s="109"/>
    </row>
    <row r="821" spans="1:9" ht="21.75" customHeight="1" x14ac:dyDescent="0.6">
      <c r="A821" s="109"/>
      <c r="B821" s="109"/>
      <c r="C821" s="109"/>
      <c r="D821" s="109"/>
      <c r="E821" s="109"/>
      <c r="F821" s="109"/>
      <c r="G821" s="109"/>
      <c r="H821" s="109"/>
      <c r="I821" s="109"/>
    </row>
    <row r="822" spans="1:9" ht="21.75" customHeight="1" x14ac:dyDescent="0.6">
      <c r="A822" s="109"/>
      <c r="B822" s="109"/>
      <c r="C822" s="109"/>
      <c r="D822" s="109"/>
      <c r="E822" s="109"/>
      <c r="F822" s="109"/>
      <c r="G822" s="109"/>
      <c r="H822" s="109"/>
      <c r="I822" s="109"/>
    </row>
    <row r="823" spans="1:9" ht="21.75" customHeight="1" x14ac:dyDescent="0.6">
      <c r="A823" s="109"/>
      <c r="B823" s="109"/>
      <c r="C823" s="109"/>
      <c r="D823" s="109"/>
      <c r="E823" s="109"/>
      <c r="F823" s="109"/>
      <c r="G823" s="109"/>
      <c r="H823" s="109"/>
      <c r="I823" s="109"/>
    </row>
    <row r="824" spans="1:9" ht="21.75" customHeight="1" x14ac:dyDescent="0.6">
      <c r="A824" s="109"/>
      <c r="B824" s="109"/>
      <c r="C824" s="109"/>
      <c r="D824" s="109"/>
      <c r="E824" s="109"/>
      <c r="F824" s="109"/>
      <c r="G824" s="109"/>
      <c r="H824" s="109"/>
      <c r="I824" s="109"/>
    </row>
    <row r="825" spans="1:9" ht="21.75" customHeight="1" x14ac:dyDescent="0.6">
      <c r="A825" s="109"/>
      <c r="B825" s="109"/>
      <c r="C825" s="109"/>
      <c r="D825" s="109"/>
      <c r="E825" s="109"/>
      <c r="F825" s="109"/>
      <c r="G825" s="109"/>
      <c r="H825" s="109"/>
      <c r="I825" s="109"/>
    </row>
    <row r="826" spans="1:9" ht="21.75" customHeight="1" x14ac:dyDescent="0.6">
      <c r="A826" s="109"/>
      <c r="B826" s="109"/>
      <c r="C826" s="109"/>
      <c r="D826" s="109"/>
      <c r="E826" s="109"/>
      <c r="F826" s="109"/>
      <c r="G826" s="109"/>
      <c r="H826" s="109"/>
      <c r="I826" s="109"/>
    </row>
    <row r="827" spans="1:9" ht="21.75" customHeight="1" x14ac:dyDescent="0.6">
      <c r="A827" s="109"/>
      <c r="B827" s="109"/>
      <c r="C827" s="109"/>
      <c r="D827" s="109"/>
      <c r="E827" s="109"/>
      <c r="F827" s="109"/>
      <c r="G827" s="109"/>
      <c r="H827" s="109"/>
      <c r="I827" s="109"/>
    </row>
    <row r="828" spans="1:9" ht="21.75" customHeight="1" x14ac:dyDescent="0.6">
      <c r="A828" s="109"/>
      <c r="B828" s="109"/>
      <c r="C828" s="109"/>
      <c r="D828" s="109"/>
      <c r="E828" s="109"/>
      <c r="F828" s="109"/>
      <c r="G828" s="109"/>
      <c r="H828" s="109"/>
      <c r="I828" s="109"/>
    </row>
    <row r="829" spans="1:9" ht="21.75" customHeight="1" x14ac:dyDescent="0.6">
      <c r="A829" s="109"/>
      <c r="B829" s="109"/>
      <c r="C829" s="109"/>
      <c r="D829" s="109"/>
      <c r="E829" s="109"/>
      <c r="F829" s="109"/>
      <c r="G829" s="109"/>
      <c r="H829" s="109"/>
      <c r="I829" s="109"/>
    </row>
    <row r="830" spans="1:9" ht="21.75" customHeight="1" x14ac:dyDescent="0.6">
      <c r="A830" s="109"/>
      <c r="B830" s="109"/>
      <c r="C830" s="109"/>
      <c r="D830" s="109"/>
      <c r="E830" s="109"/>
      <c r="F830" s="109"/>
      <c r="G830" s="109"/>
      <c r="H830" s="109"/>
      <c r="I830" s="109"/>
    </row>
    <row r="831" spans="1:9" ht="21.75" customHeight="1" x14ac:dyDescent="0.6">
      <c r="A831" s="109"/>
      <c r="B831" s="109"/>
      <c r="C831" s="109"/>
      <c r="D831" s="109"/>
      <c r="E831" s="109"/>
      <c r="F831" s="109"/>
      <c r="G831" s="109"/>
      <c r="H831" s="109"/>
      <c r="I831" s="109"/>
    </row>
    <row r="832" spans="1:9" ht="21.75" customHeight="1" x14ac:dyDescent="0.6">
      <c r="A832" s="109"/>
      <c r="B832" s="109"/>
      <c r="C832" s="109"/>
      <c r="D832" s="109"/>
      <c r="E832" s="109"/>
      <c r="F832" s="109"/>
      <c r="G832" s="109"/>
      <c r="H832" s="109"/>
      <c r="I832" s="109"/>
    </row>
    <row r="833" spans="1:9" ht="21.75" customHeight="1" x14ac:dyDescent="0.6">
      <c r="A833" s="109"/>
      <c r="B833" s="109"/>
      <c r="C833" s="109"/>
      <c r="D833" s="109"/>
      <c r="E833" s="109"/>
      <c r="F833" s="109"/>
      <c r="G833" s="109"/>
      <c r="H833" s="109"/>
      <c r="I833" s="109"/>
    </row>
    <row r="834" spans="1:9" ht="21.75" customHeight="1" x14ac:dyDescent="0.6">
      <c r="A834" s="109"/>
      <c r="B834" s="109"/>
      <c r="C834" s="109"/>
      <c r="D834" s="109"/>
      <c r="E834" s="109"/>
      <c r="F834" s="109"/>
      <c r="G834" s="109"/>
      <c r="H834" s="109"/>
      <c r="I834" s="109"/>
    </row>
    <row r="835" spans="1:9" ht="21.75" customHeight="1" x14ac:dyDescent="0.6">
      <c r="A835" s="109"/>
      <c r="B835" s="109"/>
      <c r="C835" s="109"/>
      <c r="D835" s="109"/>
      <c r="E835" s="109"/>
      <c r="F835" s="109"/>
      <c r="G835" s="109"/>
      <c r="H835" s="109"/>
      <c r="I835" s="109"/>
    </row>
    <row r="836" spans="1:9" ht="21.75" customHeight="1" x14ac:dyDescent="0.6">
      <c r="A836" s="109"/>
      <c r="B836" s="109"/>
      <c r="C836" s="109"/>
      <c r="D836" s="109"/>
      <c r="E836" s="109"/>
      <c r="F836" s="109"/>
      <c r="G836" s="109"/>
      <c r="H836" s="109"/>
      <c r="I836" s="109"/>
    </row>
    <row r="837" spans="1:9" ht="21.75" customHeight="1" x14ac:dyDescent="0.6">
      <c r="A837" s="109"/>
      <c r="B837" s="109"/>
      <c r="C837" s="109"/>
      <c r="D837" s="109"/>
      <c r="E837" s="109"/>
      <c r="F837" s="109"/>
      <c r="G837" s="109"/>
      <c r="H837" s="109"/>
      <c r="I837" s="109"/>
    </row>
    <row r="838" spans="1:9" ht="21.75" customHeight="1" x14ac:dyDescent="0.6">
      <c r="A838" s="109"/>
      <c r="B838" s="109"/>
      <c r="C838" s="109"/>
      <c r="D838" s="109"/>
      <c r="E838" s="109"/>
      <c r="F838" s="109"/>
      <c r="G838" s="109"/>
      <c r="H838" s="109"/>
      <c r="I838" s="109"/>
    </row>
    <row r="839" spans="1:9" ht="21.75" customHeight="1" x14ac:dyDescent="0.6">
      <c r="A839" s="109"/>
      <c r="B839" s="109"/>
      <c r="C839" s="109"/>
      <c r="D839" s="109"/>
      <c r="E839" s="109"/>
      <c r="F839" s="109"/>
      <c r="G839" s="109"/>
      <c r="H839" s="109"/>
      <c r="I839" s="109"/>
    </row>
    <row r="840" spans="1:9" ht="21.75" customHeight="1" x14ac:dyDescent="0.6">
      <c r="A840" s="109"/>
      <c r="B840" s="109"/>
      <c r="C840" s="109"/>
      <c r="D840" s="109"/>
      <c r="E840" s="109"/>
      <c r="F840" s="109"/>
      <c r="G840" s="109"/>
      <c r="H840" s="109"/>
      <c r="I840" s="109"/>
    </row>
    <row r="841" spans="1:9" ht="21.75" customHeight="1" x14ac:dyDescent="0.6">
      <c r="A841" s="109"/>
      <c r="B841" s="109"/>
      <c r="C841" s="109"/>
      <c r="D841" s="109"/>
      <c r="E841" s="109"/>
      <c r="F841" s="109"/>
      <c r="G841" s="109"/>
      <c r="H841" s="109"/>
      <c r="I841" s="109"/>
    </row>
    <row r="842" spans="1:9" ht="21.75" customHeight="1" x14ac:dyDescent="0.6">
      <c r="A842" s="109"/>
      <c r="B842" s="109"/>
      <c r="C842" s="109"/>
      <c r="D842" s="109"/>
      <c r="E842" s="109"/>
      <c r="F842" s="109"/>
      <c r="G842" s="109"/>
      <c r="H842" s="109"/>
      <c r="I842" s="109"/>
    </row>
    <row r="843" spans="1:9" ht="21.75" customHeight="1" x14ac:dyDescent="0.6">
      <c r="A843" s="109"/>
      <c r="B843" s="109"/>
      <c r="C843" s="109"/>
      <c r="D843" s="109"/>
      <c r="E843" s="109"/>
      <c r="F843" s="109"/>
      <c r="G843" s="109"/>
      <c r="H843" s="109"/>
      <c r="I843" s="109"/>
    </row>
    <row r="844" spans="1:9" ht="21.75" customHeight="1" x14ac:dyDescent="0.6">
      <c r="A844" s="109"/>
      <c r="B844" s="109"/>
      <c r="C844" s="109"/>
      <c r="D844" s="109"/>
      <c r="E844" s="109"/>
      <c r="F844" s="109"/>
      <c r="G844" s="109"/>
      <c r="H844" s="109"/>
      <c r="I844" s="109"/>
    </row>
    <row r="845" spans="1:9" ht="21.75" customHeight="1" x14ac:dyDescent="0.6">
      <c r="A845" s="109"/>
      <c r="B845" s="109"/>
      <c r="C845" s="109"/>
      <c r="D845" s="109"/>
      <c r="E845" s="109"/>
      <c r="F845" s="109"/>
      <c r="G845" s="109"/>
      <c r="H845" s="109"/>
      <c r="I845" s="109"/>
    </row>
    <row r="846" spans="1:9" ht="21.75" customHeight="1" x14ac:dyDescent="0.6">
      <c r="A846" s="109"/>
      <c r="B846" s="109"/>
      <c r="C846" s="109"/>
      <c r="D846" s="109"/>
      <c r="E846" s="109"/>
      <c r="F846" s="109"/>
      <c r="G846" s="109"/>
      <c r="H846" s="109"/>
      <c r="I846" s="109"/>
    </row>
    <row r="847" spans="1:9" ht="21.75" customHeight="1" x14ac:dyDescent="0.6">
      <c r="A847" s="109"/>
      <c r="B847" s="109"/>
      <c r="C847" s="109"/>
      <c r="D847" s="109"/>
      <c r="E847" s="109"/>
      <c r="F847" s="109"/>
      <c r="G847" s="109"/>
      <c r="H847" s="109"/>
      <c r="I847" s="109"/>
    </row>
    <row r="848" spans="1:9" ht="21.75" customHeight="1" x14ac:dyDescent="0.6">
      <c r="A848" s="109"/>
      <c r="B848" s="109"/>
      <c r="C848" s="109"/>
      <c r="D848" s="109"/>
      <c r="E848" s="109"/>
      <c r="F848" s="109"/>
      <c r="G848" s="109"/>
      <c r="H848" s="109"/>
      <c r="I848" s="109"/>
    </row>
    <row r="849" spans="1:9" ht="21.75" customHeight="1" x14ac:dyDescent="0.6">
      <c r="A849" s="109"/>
      <c r="B849" s="109"/>
      <c r="C849" s="109"/>
      <c r="D849" s="109"/>
      <c r="E849" s="109"/>
      <c r="F849" s="109"/>
      <c r="G849" s="109"/>
      <c r="H849" s="109"/>
      <c r="I849" s="109"/>
    </row>
    <row r="850" spans="1:9" ht="21.75" customHeight="1" x14ac:dyDescent="0.6">
      <c r="A850" s="109"/>
      <c r="B850" s="109"/>
      <c r="C850" s="109"/>
      <c r="D850" s="109"/>
      <c r="E850" s="109"/>
      <c r="F850" s="109"/>
      <c r="G850" s="109"/>
      <c r="H850" s="109"/>
      <c r="I850" s="109"/>
    </row>
    <row r="851" spans="1:9" ht="21.75" customHeight="1" x14ac:dyDescent="0.6">
      <c r="A851" s="109"/>
      <c r="B851" s="109"/>
      <c r="C851" s="109"/>
      <c r="D851" s="109"/>
      <c r="E851" s="109"/>
      <c r="F851" s="109"/>
      <c r="G851" s="109"/>
      <c r="H851" s="109"/>
      <c r="I851" s="109"/>
    </row>
    <row r="852" spans="1:9" ht="21.75" customHeight="1" x14ac:dyDescent="0.6">
      <c r="A852" s="109"/>
      <c r="B852" s="109"/>
      <c r="C852" s="109"/>
      <c r="D852" s="109"/>
      <c r="E852" s="109"/>
      <c r="F852" s="109"/>
      <c r="G852" s="109"/>
      <c r="H852" s="109"/>
      <c r="I852" s="109"/>
    </row>
    <row r="853" spans="1:9" ht="21.75" customHeight="1" x14ac:dyDescent="0.6">
      <c r="A853" s="109"/>
      <c r="B853" s="109"/>
      <c r="C853" s="109"/>
      <c r="D853" s="109"/>
      <c r="E853" s="109"/>
      <c r="F853" s="109"/>
      <c r="G853" s="109"/>
      <c r="H853" s="109"/>
      <c r="I853" s="109"/>
    </row>
    <row r="854" spans="1:9" ht="21.75" customHeight="1" x14ac:dyDescent="0.6">
      <c r="A854" s="109"/>
      <c r="B854" s="109"/>
      <c r="C854" s="109"/>
      <c r="D854" s="109"/>
      <c r="E854" s="109"/>
      <c r="F854" s="109"/>
      <c r="G854" s="109"/>
      <c r="H854" s="109"/>
      <c r="I854" s="109"/>
    </row>
    <row r="855" spans="1:9" ht="21.75" customHeight="1" x14ac:dyDescent="0.6">
      <c r="A855" s="109"/>
      <c r="B855" s="109"/>
      <c r="C855" s="109"/>
      <c r="D855" s="109"/>
      <c r="E855" s="109"/>
      <c r="F855" s="109"/>
      <c r="G855" s="109"/>
      <c r="H855" s="109"/>
      <c r="I855" s="109"/>
    </row>
    <row r="856" spans="1:9" ht="21.75" customHeight="1" x14ac:dyDescent="0.6">
      <c r="A856" s="109"/>
      <c r="B856" s="109"/>
      <c r="C856" s="109"/>
      <c r="D856" s="109"/>
      <c r="E856" s="109"/>
      <c r="F856" s="109"/>
      <c r="G856" s="109"/>
      <c r="H856" s="109"/>
      <c r="I856" s="109"/>
    </row>
    <row r="857" spans="1:9" ht="21.75" customHeight="1" x14ac:dyDescent="0.6">
      <c r="A857" s="109"/>
      <c r="B857" s="109"/>
      <c r="C857" s="109"/>
      <c r="D857" s="109"/>
      <c r="E857" s="109"/>
      <c r="F857" s="109"/>
      <c r="G857" s="109"/>
      <c r="H857" s="109"/>
      <c r="I857" s="109"/>
    </row>
    <row r="858" spans="1:9" ht="21.75" customHeight="1" x14ac:dyDescent="0.6">
      <c r="A858" s="109"/>
      <c r="B858" s="109"/>
      <c r="C858" s="109"/>
      <c r="D858" s="109"/>
      <c r="E858" s="109"/>
      <c r="F858" s="109"/>
      <c r="G858" s="109"/>
      <c r="H858" s="109"/>
      <c r="I858" s="109"/>
    </row>
    <row r="859" spans="1:9" ht="21.75" customHeight="1" x14ac:dyDescent="0.6">
      <c r="A859" s="109"/>
      <c r="B859" s="109"/>
      <c r="C859" s="109"/>
      <c r="D859" s="109"/>
      <c r="E859" s="109"/>
      <c r="F859" s="109"/>
      <c r="G859" s="109"/>
      <c r="H859" s="109"/>
      <c r="I859" s="109"/>
    </row>
    <row r="860" spans="1:9" ht="21.75" customHeight="1" x14ac:dyDescent="0.6">
      <c r="A860" s="109"/>
      <c r="B860" s="109"/>
      <c r="C860" s="109"/>
      <c r="D860" s="109"/>
      <c r="E860" s="109"/>
      <c r="F860" s="109"/>
      <c r="G860" s="109"/>
      <c r="H860" s="109"/>
      <c r="I860" s="109"/>
    </row>
    <row r="861" spans="1:9" ht="21.75" customHeight="1" x14ac:dyDescent="0.6">
      <c r="A861" s="109"/>
      <c r="B861" s="109"/>
      <c r="C861" s="109"/>
      <c r="D861" s="109"/>
      <c r="E861" s="109"/>
      <c r="F861" s="109"/>
      <c r="G861" s="109"/>
      <c r="H861" s="109"/>
      <c r="I861" s="109"/>
    </row>
    <row r="862" spans="1:9" ht="21.75" customHeight="1" x14ac:dyDescent="0.6">
      <c r="A862" s="109"/>
      <c r="B862" s="109"/>
      <c r="C862" s="109"/>
      <c r="D862" s="109"/>
      <c r="E862" s="109"/>
      <c r="F862" s="109"/>
      <c r="G862" s="109"/>
      <c r="H862" s="109"/>
      <c r="I862" s="109"/>
    </row>
    <row r="863" spans="1:9" ht="21.75" customHeight="1" x14ac:dyDescent="0.6">
      <c r="A863" s="109"/>
      <c r="B863" s="109"/>
      <c r="C863" s="109"/>
      <c r="D863" s="109"/>
      <c r="E863" s="109"/>
      <c r="F863" s="109"/>
      <c r="G863" s="109"/>
      <c r="H863" s="109"/>
      <c r="I863" s="109"/>
    </row>
    <row r="864" spans="1:9" ht="21.75" customHeight="1" x14ac:dyDescent="0.6">
      <c r="A864" s="109"/>
      <c r="B864" s="109"/>
      <c r="C864" s="109"/>
      <c r="D864" s="109"/>
      <c r="E864" s="109"/>
      <c r="F864" s="109"/>
      <c r="G864" s="109"/>
      <c r="H864" s="109"/>
      <c r="I864" s="109"/>
    </row>
    <row r="865" spans="1:9" ht="21.75" customHeight="1" x14ac:dyDescent="0.6">
      <c r="A865" s="109"/>
      <c r="B865" s="109"/>
      <c r="C865" s="109"/>
      <c r="D865" s="109"/>
      <c r="E865" s="109"/>
      <c r="F865" s="109"/>
      <c r="G865" s="109"/>
      <c r="H865" s="109"/>
      <c r="I865" s="109"/>
    </row>
    <row r="866" spans="1:9" ht="21.75" customHeight="1" x14ac:dyDescent="0.6">
      <c r="A866" s="109"/>
      <c r="B866" s="109"/>
      <c r="C866" s="109"/>
      <c r="D866" s="109"/>
      <c r="E866" s="109"/>
      <c r="F866" s="109"/>
      <c r="G866" s="109"/>
      <c r="H866" s="109"/>
      <c r="I866" s="109"/>
    </row>
    <row r="867" spans="1:9" ht="21.75" customHeight="1" x14ac:dyDescent="0.6">
      <c r="A867" s="109"/>
      <c r="B867" s="109"/>
      <c r="C867" s="109"/>
      <c r="D867" s="109"/>
      <c r="E867" s="109"/>
      <c r="F867" s="109"/>
      <c r="G867" s="109"/>
      <c r="H867" s="109"/>
      <c r="I867" s="109"/>
    </row>
    <row r="868" spans="1:9" ht="21.75" customHeight="1" x14ac:dyDescent="0.6">
      <c r="A868" s="109"/>
      <c r="B868" s="109"/>
      <c r="C868" s="109"/>
      <c r="D868" s="109"/>
      <c r="E868" s="109"/>
      <c r="F868" s="109"/>
      <c r="G868" s="109"/>
      <c r="H868" s="109"/>
      <c r="I868" s="109"/>
    </row>
    <row r="869" spans="1:9" ht="21.75" customHeight="1" x14ac:dyDescent="0.6">
      <c r="A869" s="109"/>
      <c r="B869" s="109"/>
      <c r="C869" s="109"/>
      <c r="D869" s="109"/>
      <c r="E869" s="109"/>
      <c r="F869" s="109"/>
      <c r="G869" s="109"/>
      <c r="H869" s="109"/>
      <c r="I869" s="109"/>
    </row>
    <row r="870" spans="1:9" ht="21.75" customHeight="1" x14ac:dyDescent="0.6">
      <c r="A870" s="109"/>
      <c r="B870" s="109"/>
      <c r="C870" s="109"/>
      <c r="D870" s="109"/>
      <c r="E870" s="109"/>
      <c r="F870" s="109"/>
      <c r="G870" s="109"/>
      <c r="H870" s="109"/>
      <c r="I870" s="109"/>
    </row>
    <row r="871" spans="1:9" ht="21.75" customHeight="1" x14ac:dyDescent="0.6">
      <c r="A871" s="109"/>
      <c r="B871" s="109"/>
      <c r="C871" s="109"/>
      <c r="D871" s="109"/>
      <c r="E871" s="109"/>
      <c r="F871" s="109"/>
      <c r="G871" s="109"/>
      <c r="H871" s="109"/>
      <c r="I871" s="109"/>
    </row>
    <row r="872" spans="1:9" ht="21.75" customHeight="1" x14ac:dyDescent="0.6">
      <c r="A872" s="109"/>
      <c r="B872" s="109"/>
      <c r="C872" s="109"/>
      <c r="D872" s="109"/>
      <c r="E872" s="109"/>
      <c r="F872" s="109"/>
      <c r="G872" s="109"/>
      <c r="H872" s="109"/>
      <c r="I872" s="109"/>
    </row>
    <row r="873" spans="1:9" ht="21.75" customHeight="1" x14ac:dyDescent="0.6">
      <c r="A873" s="109"/>
      <c r="B873" s="109"/>
      <c r="C873" s="109"/>
      <c r="D873" s="109"/>
      <c r="E873" s="109"/>
      <c r="F873" s="109"/>
      <c r="G873" s="109"/>
      <c r="H873" s="109"/>
      <c r="I873" s="109"/>
    </row>
    <row r="874" spans="1:9" ht="21.75" customHeight="1" x14ac:dyDescent="0.6">
      <c r="A874" s="109"/>
      <c r="B874" s="109"/>
      <c r="C874" s="109"/>
      <c r="D874" s="109"/>
      <c r="E874" s="109"/>
      <c r="F874" s="109"/>
      <c r="G874" s="109"/>
      <c r="H874" s="109"/>
      <c r="I874" s="109"/>
    </row>
    <row r="875" spans="1:9" ht="21.75" customHeight="1" x14ac:dyDescent="0.6">
      <c r="A875" s="109"/>
      <c r="B875" s="109"/>
      <c r="C875" s="109"/>
      <c r="D875" s="109"/>
      <c r="E875" s="109"/>
      <c r="F875" s="109"/>
      <c r="G875" s="109"/>
      <c r="H875" s="109"/>
      <c r="I875" s="109"/>
    </row>
    <row r="876" spans="1:9" ht="21.75" customHeight="1" x14ac:dyDescent="0.6">
      <c r="A876" s="109"/>
      <c r="B876" s="109"/>
      <c r="C876" s="109"/>
      <c r="D876" s="109"/>
      <c r="E876" s="109"/>
      <c r="F876" s="109"/>
      <c r="G876" s="109"/>
      <c r="H876" s="109"/>
      <c r="I876" s="109"/>
    </row>
    <row r="877" spans="1:9" ht="21.75" customHeight="1" x14ac:dyDescent="0.6">
      <c r="A877" s="109"/>
      <c r="B877" s="109"/>
      <c r="C877" s="109"/>
      <c r="D877" s="109"/>
      <c r="E877" s="109"/>
      <c r="F877" s="109"/>
      <c r="G877" s="109"/>
      <c r="H877" s="109"/>
      <c r="I877" s="109"/>
    </row>
    <row r="878" spans="1:9" ht="21.75" customHeight="1" x14ac:dyDescent="0.6">
      <c r="A878" s="109"/>
      <c r="B878" s="109"/>
      <c r="C878" s="109"/>
      <c r="D878" s="109"/>
      <c r="E878" s="109"/>
      <c r="F878" s="109"/>
      <c r="G878" s="109"/>
      <c r="H878" s="109"/>
      <c r="I878" s="109"/>
    </row>
    <row r="879" spans="1:9" ht="21.75" customHeight="1" x14ac:dyDescent="0.6">
      <c r="A879" s="109"/>
      <c r="B879" s="109"/>
      <c r="C879" s="109"/>
      <c r="D879" s="109"/>
      <c r="E879" s="109"/>
      <c r="F879" s="109"/>
      <c r="G879" s="109"/>
      <c r="H879" s="109"/>
      <c r="I879" s="109"/>
    </row>
    <row r="880" spans="1:9" ht="21.75" customHeight="1" x14ac:dyDescent="0.6">
      <c r="A880" s="109"/>
      <c r="B880" s="109"/>
      <c r="C880" s="109"/>
      <c r="D880" s="109"/>
      <c r="E880" s="109"/>
      <c r="F880" s="109"/>
      <c r="G880" s="109"/>
      <c r="H880" s="109"/>
      <c r="I880" s="109"/>
    </row>
    <row r="881" spans="1:9" ht="21.75" customHeight="1" x14ac:dyDescent="0.6">
      <c r="A881" s="109"/>
      <c r="B881" s="109"/>
      <c r="C881" s="109"/>
      <c r="D881" s="109"/>
      <c r="E881" s="109"/>
      <c r="F881" s="109"/>
      <c r="G881" s="109"/>
      <c r="H881" s="109"/>
      <c r="I881" s="109"/>
    </row>
    <row r="882" spans="1:9" ht="21.75" customHeight="1" x14ac:dyDescent="0.6">
      <c r="A882" s="109"/>
      <c r="B882" s="109"/>
      <c r="C882" s="109"/>
      <c r="D882" s="109"/>
      <c r="E882" s="109"/>
      <c r="F882" s="109"/>
      <c r="G882" s="109"/>
      <c r="H882" s="109"/>
      <c r="I882" s="109"/>
    </row>
    <row r="883" spans="1:9" ht="21.75" customHeight="1" x14ac:dyDescent="0.6">
      <c r="A883" s="109"/>
      <c r="B883" s="109"/>
      <c r="C883" s="109"/>
      <c r="D883" s="109"/>
      <c r="E883" s="109"/>
      <c r="F883" s="109"/>
      <c r="G883" s="109"/>
      <c r="H883" s="109"/>
      <c r="I883" s="109"/>
    </row>
    <row r="884" spans="1:9" ht="21.75" customHeight="1" x14ac:dyDescent="0.6">
      <c r="A884" s="109"/>
      <c r="B884" s="109"/>
      <c r="C884" s="109"/>
      <c r="D884" s="109"/>
      <c r="E884" s="109"/>
      <c r="F884" s="109"/>
      <c r="G884" s="109"/>
      <c r="H884" s="109"/>
      <c r="I884" s="109"/>
    </row>
    <row r="885" spans="1:9" ht="21.75" customHeight="1" x14ac:dyDescent="0.6">
      <c r="A885" s="109"/>
      <c r="B885" s="109"/>
      <c r="C885" s="109"/>
      <c r="D885" s="109"/>
      <c r="E885" s="109"/>
      <c r="F885" s="109"/>
      <c r="G885" s="109"/>
      <c r="H885" s="109"/>
      <c r="I885" s="109"/>
    </row>
    <row r="886" spans="1:9" ht="21.75" customHeight="1" x14ac:dyDescent="0.6">
      <c r="A886" s="109"/>
      <c r="B886" s="109"/>
      <c r="C886" s="109"/>
      <c r="D886" s="109"/>
      <c r="E886" s="109"/>
      <c r="F886" s="109"/>
      <c r="G886" s="109"/>
      <c r="H886" s="109"/>
      <c r="I886" s="109"/>
    </row>
    <row r="887" spans="1:9" ht="21.75" customHeight="1" x14ac:dyDescent="0.6">
      <c r="A887" s="109"/>
      <c r="B887" s="109"/>
      <c r="C887" s="109"/>
      <c r="D887" s="109"/>
      <c r="E887" s="109"/>
      <c r="F887" s="109"/>
      <c r="G887" s="109"/>
      <c r="H887" s="109"/>
      <c r="I887" s="109"/>
    </row>
    <row r="888" spans="1:9" ht="21.75" customHeight="1" x14ac:dyDescent="0.6">
      <c r="A888" s="109"/>
      <c r="B888" s="109"/>
      <c r="C888" s="109"/>
      <c r="D888" s="109"/>
      <c r="E888" s="109"/>
      <c r="F888" s="109"/>
      <c r="G888" s="109"/>
      <c r="H888" s="109"/>
      <c r="I888" s="109"/>
    </row>
    <row r="889" spans="1:9" ht="21.75" customHeight="1" x14ac:dyDescent="0.6">
      <c r="A889" s="109"/>
      <c r="B889" s="109"/>
      <c r="C889" s="109"/>
      <c r="D889" s="109"/>
      <c r="E889" s="109"/>
      <c r="F889" s="109"/>
      <c r="G889" s="109"/>
      <c r="H889" s="109"/>
      <c r="I889" s="109"/>
    </row>
    <row r="890" spans="1:9" ht="21.75" customHeight="1" x14ac:dyDescent="0.6">
      <c r="A890" s="109"/>
      <c r="B890" s="109"/>
      <c r="C890" s="109"/>
      <c r="D890" s="109"/>
      <c r="E890" s="109"/>
      <c r="F890" s="109"/>
      <c r="G890" s="109"/>
      <c r="H890" s="109"/>
      <c r="I890" s="109"/>
    </row>
    <row r="891" spans="1:9" ht="21.75" customHeight="1" x14ac:dyDescent="0.6">
      <c r="A891" s="109"/>
      <c r="B891" s="109"/>
      <c r="C891" s="109"/>
      <c r="D891" s="109"/>
      <c r="E891" s="109"/>
      <c r="F891" s="109"/>
      <c r="G891" s="109"/>
      <c r="H891" s="109"/>
      <c r="I891" s="109"/>
    </row>
    <row r="892" spans="1:9" ht="21.75" customHeight="1" x14ac:dyDescent="0.6">
      <c r="A892" s="109"/>
      <c r="B892" s="109"/>
      <c r="C892" s="109"/>
      <c r="D892" s="109"/>
      <c r="E892" s="109"/>
      <c r="F892" s="109"/>
      <c r="G892" s="109"/>
      <c r="H892" s="109"/>
      <c r="I892" s="109"/>
    </row>
    <row r="893" spans="1:9" ht="21.75" customHeight="1" x14ac:dyDescent="0.6">
      <c r="A893" s="109"/>
      <c r="B893" s="109"/>
      <c r="C893" s="109"/>
      <c r="D893" s="109"/>
      <c r="E893" s="109"/>
      <c r="F893" s="109"/>
      <c r="G893" s="109"/>
      <c r="H893" s="109"/>
      <c r="I893" s="109"/>
    </row>
    <row r="894" spans="1:9" ht="21.75" customHeight="1" x14ac:dyDescent="0.6">
      <c r="A894" s="109"/>
      <c r="B894" s="109"/>
      <c r="C894" s="109"/>
      <c r="D894" s="109"/>
      <c r="E894" s="109"/>
      <c r="F894" s="109"/>
      <c r="G894" s="109"/>
      <c r="H894" s="109"/>
      <c r="I894" s="109"/>
    </row>
    <row r="895" spans="1:9" ht="21.75" customHeight="1" x14ac:dyDescent="0.6">
      <c r="A895" s="109"/>
      <c r="B895" s="109"/>
      <c r="C895" s="109"/>
      <c r="D895" s="109"/>
      <c r="E895" s="109"/>
      <c r="F895" s="109"/>
      <c r="G895" s="109"/>
      <c r="H895" s="109"/>
      <c r="I895" s="109"/>
    </row>
    <row r="896" spans="1:9" ht="21.75" customHeight="1" x14ac:dyDescent="0.6">
      <c r="A896" s="109"/>
      <c r="B896" s="109"/>
      <c r="C896" s="109"/>
      <c r="D896" s="109"/>
      <c r="E896" s="109"/>
      <c r="F896" s="109"/>
      <c r="G896" s="109"/>
      <c r="H896" s="109"/>
      <c r="I896" s="109"/>
    </row>
    <row r="897" spans="1:9" ht="21.75" customHeight="1" x14ac:dyDescent="0.6">
      <c r="A897" s="109"/>
      <c r="B897" s="109"/>
      <c r="C897" s="109"/>
      <c r="D897" s="109"/>
      <c r="E897" s="109"/>
      <c r="F897" s="109"/>
      <c r="G897" s="109"/>
      <c r="H897" s="109"/>
      <c r="I897" s="109"/>
    </row>
    <row r="898" spans="1:9" ht="21.75" customHeight="1" x14ac:dyDescent="0.6">
      <c r="A898" s="109"/>
      <c r="B898" s="109"/>
      <c r="C898" s="109"/>
      <c r="D898" s="109"/>
      <c r="E898" s="109"/>
      <c r="F898" s="109"/>
      <c r="G898" s="109"/>
      <c r="H898" s="109"/>
      <c r="I898" s="109"/>
    </row>
    <row r="899" spans="1:9" ht="21.75" customHeight="1" x14ac:dyDescent="0.6">
      <c r="A899" s="109"/>
      <c r="B899" s="109"/>
      <c r="C899" s="109"/>
      <c r="D899" s="109"/>
      <c r="E899" s="109"/>
      <c r="F899" s="109"/>
      <c r="G899" s="109"/>
      <c r="H899" s="109"/>
      <c r="I899" s="109"/>
    </row>
    <row r="900" spans="1:9" ht="21.75" customHeight="1" x14ac:dyDescent="0.6">
      <c r="A900" s="109"/>
      <c r="B900" s="109"/>
      <c r="C900" s="109"/>
      <c r="D900" s="109"/>
      <c r="E900" s="109"/>
      <c r="F900" s="109"/>
      <c r="G900" s="109"/>
      <c r="H900" s="109"/>
      <c r="I900" s="109"/>
    </row>
    <row r="901" spans="1:9" ht="21.75" customHeight="1" x14ac:dyDescent="0.6">
      <c r="A901" s="109"/>
      <c r="B901" s="109"/>
      <c r="C901" s="109"/>
      <c r="D901" s="109"/>
      <c r="E901" s="109"/>
      <c r="F901" s="109"/>
      <c r="G901" s="109"/>
      <c r="H901" s="109"/>
      <c r="I901" s="109"/>
    </row>
    <row r="902" spans="1:9" ht="21.75" customHeight="1" x14ac:dyDescent="0.6">
      <c r="A902" s="109"/>
      <c r="B902" s="109"/>
      <c r="C902" s="109"/>
      <c r="D902" s="109"/>
      <c r="E902" s="109"/>
      <c r="F902" s="109"/>
      <c r="G902" s="109"/>
      <c r="H902" s="109"/>
      <c r="I902" s="109"/>
    </row>
    <row r="903" spans="1:9" ht="21.75" customHeight="1" x14ac:dyDescent="0.6">
      <c r="A903" s="109"/>
      <c r="B903" s="109"/>
      <c r="C903" s="109"/>
      <c r="D903" s="109"/>
      <c r="E903" s="109"/>
      <c r="F903" s="109"/>
      <c r="G903" s="109"/>
      <c r="H903" s="109"/>
      <c r="I903" s="109"/>
    </row>
    <row r="904" spans="1:9" ht="21.75" customHeight="1" x14ac:dyDescent="0.6">
      <c r="A904" s="109"/>
      <c r="B904" s="109"/>
      <c r="C904" s="109"/>
      <c r="D904" s="109"/>
      <c r="E904" s="109"/>
      <c r="F904" s="109"/>
      <c r="G904" s="109"/>
      <c r="H904" s="109"/>
      <c r="I904" s="109"/>
    </row>
    <row r="905" spans="1:9" ht="21.75" customHeight="1" x14ac:dyDescent="0.6">
      <c r="A905" s="109"/>
      <c r="B905" s="109"/>
      <c r="C905" s="109"/>
      <c r="D905" s="109"/>
      <c r="E905" s="109"/>
      <c r="F905" s="109"/>
      <c r="G905" s="109"/>
      <c r="H905" s="109"/>
      <c r="I905" s="109"/>
    </row>
    <row r="906" spans="1:9" ht="21.75" customHeight="1" x14ac:dyDescent="0.6">
      <c r="A906" s="109"/>
      <c r="B906" s="109"/>
      <c r="C906" s="109"/>
      <c r="D906" s="109"/>
      <c r="E906" s="109"/>
      <c r="F906" s="109"/>
      <c r="G906" s="109"/>
      <c r="H906" s="109"/>
      <c r="I906" s="109"/>
    </row>
    <row r="907" spans="1:9" ht="21.75" customHeight="1" x14ac:dyDescent="0.6">
      <c r="A907" s="109"/>
      <c r="B907" s="109"/>
      <c r="C907" s="109"/>
      <c r="D907" s="109"/>
      <c r="E907" s="109"/>
      <c r="F907" s="109"/>
      <c r="G907" s="109"/>
      <c r="H907" s="109"/>
      <c r="I907" s="109"/>
    </row>
    <row r="908" spans="1:9" ht="21.75" customHeight="1" x14ac:dyDescent="0.6">
      <c r="A908" s="109"/>
      <c r="B908" s="109"/>
      <c r="C908" s="109"/>
      <c r="D908" s="109"/>
      <c r="E908" s="109"/>
      <c r="F908" s="109"/>
      <c r="G908" s="109"/>
      <c r="H908" s="109"/>
      <c r="I908" s="109"/>
    </row>
    <row r="909" spans="1:9" ht="21.75" customHeight="1" x14ac:dyDescent="0.6">
      <c r="A909" s="109"/>
      <c r="B909" s="109"/>
      <c r="C909" s="109"/>
      <c r="D909" s="109"/>
      <c r="E909" s="109"/>
      <c r="F909" s="109"/>
      <c r="G909" s="109"/>
      <c r="H909" s="109"/>
      <c r="I909" s="109"/>
    </row>
    <row r="910" spans="1:9" ht="21.75" customHeight="1" x14ac:dyDescent="0.6">
      <c r="A910" s="109"/>
      <c r="B910" s="109"/>
      <c r="C910" s="109"/>
      <c r="D910" s="109"/>
      <c r="E910" s="109"/>
      <c r="F910" s="109"/>
      <c r="G910" s="109"/>
      <c r="H910" s="109"/>
      <c r="I910" s="109"/>
    </row>
    <row r="911" spans="1:9" ht="21.75" customHeight="1" x14ac:dyDescent="0.6">
      <c r="A911" s="109"/>
      <c r="B911" s="109"/>
      <c r="C911" s="109"/>
      <c r="D911" s="109"/>
      <c r="E911" s="109"/>
      <c r="F911" s="109"/>
      <c r="G911" s="109"/>
      <c r="H911" s="109"/>
      <c r="I911" s="109"/>
    </row>
    <row r="912" spans="1:9" ht="21.75" customHeight="1" x14ac:dyDescent="0.6">
      <c r="A912" s="109"/>
      <c r="B912" s="109"/>
      <c r="C912" s="109"/>
      <c r="D912" s="109"/>
      <c r="E912" s="109"/>
      <c r="F912" s="109"/>
      <c r="G912" s="109"/>
      <c r="H912" s="109"/>
      <c r="I912" s="109"/>
    </row>
    <row r="913" spans="1:9" ht="21.75" customHeight="1" x14ac:dyDescent="0.6">
      <c r="A913" s="109"/>
      <c r="B913" s="109"/>
      <c r="C913" s="109"/>
      <c r="D913" s="109"/>
      <c r="E913" s="109"/>
      <c r="F913" s="109"/>
      <c r="G913" s="109"/>
      <c r="H913" s="109"/>
      <c r="I913" s="109"/>
    </row>
    <row r="914" spans="1:9" ht="21.75" customHeight="1" x14ac:dyDescent="0.6">
      <c r="A914" s="109"/>
      <c r="B914" s="109"/>
      <c r="C914" s="109"/>
      <c r="D914" s="109"/>
      <c r="E914" s="109"/>
      <c r="F914" s="109"/>
      <c r="G914" s="109"/>
      <c r="H914" s="109"/>
      <c r="I914" s="109"/>
    </row>
    <row r="915" spans="1:9" ht="21.75" customHeight="1" x14ac:dyDescent="0.6">
      <c r="A915" s="109"/>
      <c r="B915" s="109"/>
      <c r="C915" s="109"/>
      <c r="D915" s="109"/>
      <c r="E915" s="109"/>
      <c r="F915" s="109"/>
      <c r="G915" s="109"/>
      <c r="H915" s="109"/>
      <c r="I915" s="109"/>
    </row>
    <row r="916" spans="1:9" ht="21.75" customHeight="1" x14ac:dyDescent="0.6">
      <c r="A916" s="109"/>
      <c r="B916" s="109"/>
      <c r="C916" s="109"/>
      <c r="D916" s="109"/>
      <c r="E916" s="109"/>
      <c r="F916" s="109"/>
      <c r="G916" s="109"/>
      <c r="H916" s="109"/>
      <c r="I916" s="109"/>
    </row>
    <row r="917" spans="1:9" ht="21.75" customHeight="1" x14ac:dyDescent="0.6">
      <c r="A917" s="109"/>
      <c r="B917" s="109"/>
      <c r="C917" s="109"/>
      <c r="D917" s="109"/>
      <c r="E917" s="109"/>
      <c r="F917" s="109"/>
      <c r="G917" s="109"/>
      <c r="H917" s="109"/>
      <c r="I917" s="109"/>
    </row>
    <row r="918" spans="1:9" ht="21.75" customHeight="1" x14ac:dyDescent="0.6">
      <c r="A918" s="109"/>
      <c r="B918" s="109"/>
      <c r="C918" s="109"/>
      <c r="D918" s="109"/>
      <c r="E918" s="109"/>
      <c r="F918" s="109"/>
      <c r="G918" s="109"/>
      <c r="H918" s="109"/>
      <c r="I918" s="109"/>
    </row>
    <row r="919" spans="1:9" ht="21.75" customHeight="1" x14ac:dyDescent="0.6">
      <c r="A919" s="109"/>
      <c r="B919" s="109"/>
      <c r="C919" s="109"/>
      <c r="D919" s="109"/>
      <c r="E919" s="109"/>
      <c r="F919" s="109"/>
      <c r="G919" s="109"/>
      <c r="H919" s="109"/>
      <c r="I919" s="109"/>
    </row>
    <row r="920" spans="1:9" ht="21.75" customHeight="1" x14ac:dyDescent="0.6">
      <c r="A920" s="109"/>
      <c r="B920" s="109"/>
      <c r="C920" s="109"/>
      <c r="D920" s="109"/>
      <c r="E920" s="109"/>
      <c r="F920" s="109"/>
      <c r="G920" s="109"/>
      <c r="H920" s="109"/>
      <c r="I920" s="109"/>
    </row>
    <row r="921" spans="1:9" ht="21.75" customHeight="1" x14ac:dyDescent="0.6">
      <c r="A921" s="109"/>
      <c r="B921" s="109"/>
      <c r="C921" s="109"/>
      <c r="D921" s="109"/>
      <c r="E921" s="109"/>
      <c r="F921" s="109"/>
      <c r="G921" s="109"/>
      <c r="H921" s="109"/>
      <c r="I921" s="109"/>
    </row>
    <row r="922" spans="1:9" ht="21.75" customHeight="1" x14ac:dyDescent="0.6">
      <c r="A922" s="109"/>
      <c r="B922" s="109"/>
      <c r="C922" s="109"/>
      <c r="D922" s="109"/>
      <c r="E922" s="109"/>
      <c r="F922" s="109"/>
      <c r="G922" s="109"/>
      <c r="H922" s="109"/>
      <c r="I922" s="109"/>
    </row>
    <row r="923" spans="1:9" ht="21.75" customHeight="1" x14ac:dyDescent="0.6">
      <c r="A923" s="109"/>
      <c r="B923" s="109"/>
      <c r="C923" s="109"/>
      <c r="D923" s="109"/>
      <c r="E923" s="109"/>
      <c r="F923" s="109"/>
      <c r="G923" s="109"/>
      <c r="H923" s="109"/>
      <c r="I923" s="109"/>
    </row>
    <row r="924" spans="1:9" ht="21.75" customHeight="1" x14ac:dyDescent="0.6">
      <c r="A924" s="109"/>
      <c r="B924" s="109"/>
      <c r="C924" s="109"/>
      <c r="D924" s="109"/>
      <c r="E924" s="109"/>
      <c r="F924" s="109"/>
      <c r="G924" s="109"/>
      <c r="H924" s="109"/>
      <c r="I924" s="109"/>
    </row>
    <row r="925" spans="1:9" ht="21.75" customHeight="1" x14ac:dyDescent="0.6">
      <c r="A925" s="109"/>
      <c r="B925" s="109"/>
      <c r="C925" s="109"/>
      <c r="D925" s="109"/>
      <c r="E925" s="109"/>
      <c r="F925" s="109"/>
      <c r="G925" s="109"/>
      <c r="H925" s="109"/>
      <c r="I925" s="109"/>
    </row>
    <row r="926" spans="1:9" ht="21.75" customHeight="1" x14ac:dyDescent="0.6">
      <c r="A926" s="109"/>
      <c r="B926" s="109"/>
      <c r="C926" s="109"/>
      <c r="D926" s="109"/>
      <c r="E926" s="109"/>
      <c r="F926" s="109"/>
      <c r="G926" s="109"/>
      <c r="H926" s="109"/>
      <c r="I926" s="109"/>
    </row>
    <row r="927" spans="1:9" ht="21.75" customHeight="1" x14ac:dyDescent="0.6">
      <c r="A927" s="109"/>
      <c r="B927" s="109"/>
      <c r="C927" s="109"/>
      <c r="D927" s="109"/>
      <c r="E927" s="109"/>
      <c r="F927" s="109"/>
      <c r="G927" s="109"/>
      <c r="H927" s="109"/>
      <c r="I927" s="109"/>
    </row>
    <row r="928" spans="1:9" ht="21.75" customHeight="1" x14ac:dyDescent="0.6">
      <c r="A928" s="109"/>
      <c r="B928" s="109"/>
      <c r="C928" s="109"/>
      <c r="D928" s="109"/>
      <c r="E928" s="109"/>
      <c r="F928" s="109"/>
      <c r="G928" s="109"/>
      <c r="H928" s="109"/>
      <c r="I928" s="109"/>
    </row>
    <row r="929" spans="1:9" ht="21.75" customHeight="1" x14ac:dyDescent="0.6">
      <c r="A929" s="109"/>
      <c r="B929" s="109"/>
      <c r="C929" s="109"/>
      <c r="D929" s="109"/>
      <c r="E929" s="109"/>
      <c r="F929" s="109"/>
      <c r="G929" s="109"/>
      <c r="H929" s="109"/>
      <c r="I929" s="109"/>
    </row>
    <row r="930" spans="1:9" ht="21.75" customHeight="1" x14ac:dyDescent="0.6">
      <c r="A930" s="109"/>
      <c r="B930" s="109"/>
      <c r="C930" s="109"/>
      <c r="D930" s="109"/>
      <c r="E930" s="109"/>
      <c r="F930" s="109"/>
      <c r="G930" s="109"/>
      <c r="H930" s="109"/>
      <c r="I930" s="109"/>
    </row>
    <row r="931" spans="1:9" ht="21.75" customHeight="1" x14ac:dyDescent="0.6">
      <c r="A931" s="109"/>
      <c r="B931" s="109"/>
      <c r="C931" s="109"/>
      <c r="D931" s="109"/>
      <c r="E931" s="109"/>
      <c r="F931" s="109"/>
      <c r="G931" s="109"/>
      <c r="H931" s="109"/>
      <c r="I931" s="109"/>
    </row>
    <row r="932" spans="1:9" ht="21.75" customHeight="1" x14ac:dyDescent="0.6">
      <c r="A932" s="109"/>
      <c r="B932" s="109"/>
      <c r="C932" s="109"/>
      <c r="D932" s="109"/>
      <c r="E932" s="109"/>
      <c r="F932" s="109"/>
      <c r="G932" s="109"/>
      <c r="H932" s="109"/>
      <c r="I932" s="109"/>
    </row>
    <row r="933" spans="1:9" ht="21.75" customHeight="1" x14ac:dyDescent="0.6">
      <c r="A933" s="109"/>
      <c r="B933" s="109"/>
      <c r="C933" s="109"/>
      <c r="D933" s="109"/>
      <c r="E933" s="109"/>
      <c r="F933" s="109"/>
      <c r="G933" s="109"/>
      <c r="H933" s="109"/>
      <c r="I933" s="109"/>
    </row>
    <row r="934" spans="1:9" ht="21.75" customHeight="1" x14ac:dyDescent="0.6">
      <c r="A934" s="109"/>
      <c r="B934" s="109"/>
      <c r="C934" s="109"/>
      <c r="D934" s="109"/>
      <c r="E934" s="109"/>
      <c r="F934" s="109"/>
      <c r="G934" s="109"/>
      <c r="H934" s="109"/>
      <c r="I934" s="109"/>
    </row>
    <row r="935" spans="1:9" ht="21.75" customHeight="1" x14ac:dyDescent="0.6">
      <c r="A935" s="109"/>
      <c r="B935" s="109"/>
      <c r="C935" s="109"/>
      <c r="D935" s="109"/>
      <c r="E935" s="109"/>
      <c r="F935" s="109"/>
      <c r="G935" s="109"/>
      <c r="H935" s="109"/>
      <c r="I935" s="109"/>
    </row>
    <row r="936" spans="1:9" ht="21.75" customHeight="1" x14ac:dyDescent="0.6">
      <c r="A936" s="109"/>
      <c r="B936" s="109"/>
      <c r="C936" s="109"/>
      <c r="D936" s="109"/>
      <c r="E936" s="109"/>
      <c r="F936" s="109"/>
      <c r="G936" s="109"/>
      <c r="H936" s="109"/>
      <c r="I936" s="109"/>
    </row>
    <row r="937" spans="1:9" ht="21.75" customHeight="1" x14ac:dyDescent="0.6">
      <c r="A937" s="109"/>
      <c r="B937" s="109"/>
      <c r="C937" s="109"/>
      <c r="D937" s="109"/>
      <c r="E937" s="109"/>
      <c r="F937" s="109"/>
      <c r="G937" s="109"/>
      <c r="H937" s="109"/>
      <c r="I937" s="109"/>
    </row>
    <row r="938" spans="1:9" ht="21.75" customHeight="1" x14ac:dyDescent="0.6">
      <c r="A938" s="109"/>
      <c r="B938" s="109"/>
      <c r="C938" s="109"/>
      <c r="D938" s="109"/>
      <c r="E938" s="109"/>
      <c r="F938" s="109"/>
      <c r="G938" s="109"/>
      <c r="H938" s="109"/>
      <c r="I938" s="109"/>
    </row>
    <row r="939" spans="1:9" ht="21.75" customHeight="1" x14ac:dyDescent="0.6">
      <c r="A939" s="109"/>
      <c r="B939" s="109"/>
      <c r="C939" s="109"/>
      <c r="D939" s="109"/>
      <c r="E939" s="109"/>
      <c r="F939" s="109"/>
      <c r="G939" s="109"/>
      <c r="H939" s="109"/>
      <c r="I939" s="109"/>
    </row>
    <row r="940" spans="1:9" ht="21.75" customHeight="1" x14ac:dyDescent="0.6">
      <c r="A940" s="109"/>
      <c r="B940" s="109"/>
      <c r="C940" s="109"/>
      <c r="D940" s="109"/>
      <c r="E940" s="109"/>
      <c r="F940" s="109"/>
      <c r="G940" s="109"/>
      <c r="H940" s="109"/>
      <c r="I940" s="109"/>
    </row>
    <row r="941" spans="1:9" ht="21.75" customHeight="1" x14ac:dyDescent="0.6">
      <c r="A941" s="109"/>
      <c r="B941" s="109"/>
      <c r="C941" s="109"/>
      <c r="D941" s="109"/>
      <c r="E941" s="109"/>
      <c r="F941" s="109"/>
      <c r="G941" s="109"/>
      <c r="H941" s="109"/>
      <c r="I941" s="109"/>
    </row>
    <row r="942" spans="1:9" ht="21.75" customHeight="1" x14ac:dyDescent="0.6">
      <c r="A942" s="109"/>
      <c r="B942" s="109"/>
      <c r="C942" s="109"/>
      <c r="D942" s="109"/>
      <c r="E942" s="109"/>
      <c r="F942" s="109"/>
      <c r="G942" s="109"/>
      <c r="H942" s="109"/>
      <c r="I942" s="109"/>
    </row>
    <row r="943" spans="1:9" ht="21.75" customHeight="1" x14ac:dyDescent="0.6">
      <c r="A943" s="109"/>
      <c r="B943" s="109"/>
      <c r="C943" s="109"/>
      <c r="D943" s="109"/>
      <c r="E943" s="109"/>
      <c r="F943" s="109"/>
      <c r="G943" s="109"/>
      <c r="H943" s="109"/>
      <c r="I943" s="109"/>
    </row>
    <row r="944" spans="1:9" ht="21.75" customHeight="1" x14ac:dyDescent="0.6">
      <c r="A944" s="109"/>
      <c r="B944" s="109"/>
      <c r="C944" s="109"/>
      <c r="D944" s="109"/>
      <c r="E944" s="109"/>
      <c r="F944" s="109"/>
      <c r="G944" s="109"/>
      <c r="H944" s="109"/>
      <c r="I944" s="109"/>
    </row>
    <row r="945" spans="1:9" ht="21.75" customHeight="1" x14ac:dyDescent="0.6">
      <c r="A945" s="109"/>
      <c r="B945" s="109"/>
      <c r="C945" s="109"/>
      <c r="D945" s="109"/>
      <c r="E945" s="109"/>
      <c r="F945" s="109"/>
      <c r="G945" s="109"/>
      <c r="H945" s="109"/>
      <c r="I945" s="109"/>
    </row>
    <row r="946" spans="1:9" ht="21.75" customHeight="1" x14ac:dyDescent="0.6">
      <c r="A946" s="109"/>
      <c r="B946" s="109"/>
      <c r="C946" s="109"/>
      <c r="D946" s="109"/>
      <c r="E946" s="109"/>
      <c r="F946" s="109"/>
      <c r="G946" s="109"/>
      <c r="H946" s="109"/>
      <c r="I946" s="109"/>
    </row>
    <row r="947" spans="1:9" ht="21.75" customHeight="1" x14ac:dyDescent="0.6">
      <c r="A947" s="109"/>
      <c r="B947" s="109"/>
      <c r="C947" s="109"/>
      <c r="D947" s="109"/>
      <c r="E947" s="109"/>
      <c r="F947" s="109"/>
      <c r="G947" s="109"/>
      <c r="H947" s="109"/>
      <c r="I947" s="109"/>
    </row>
    <row r="948" spans="1:9" ht="21.75" customHeight="1" x14ac:dyDescent="0.6">
      <c r="A948" s="109"/>
      <c r="B948" s="109"/>
      <c r="C948" s="109"/>
      <c r="D948" s="109"/>
      <c r="E948" s="109"/>
      <c r="F948" s="109"/>
      <c r="G948" s="109"/>
      <c r="H948" s="109"/>
      <c r="I948" s="109"/>
    </row>
    <row r="949" spans="1:9" ht="21.75" customHeight="1" x14ac:dyDescent="0.6">
      <c r="A949" s="109"/>
      <c r="B949" s="109"/>
      <c r="C949" s="109"/>
      <c r="D949" s="109"/>
      <c r="E949" s="109"/>
      <c r="F949" s="109"/>
      <c r="G949" s="109"/>
      <c r="H949" s="109"/>
      <c r="I949" s="109"/>
    </row>
    <row r="950" spans="1:9" ht="21.75" customHeight="1" x14ac:dyDescent="0.6">
      <c r="A950" s="109"/>
      <c r="B950" s="109"/>
      <c r="C950" s="109"/>
      <c r="D950" s="109"/>
      <c r="E950" s="109"/>
      <c r="F950" s="109"/>
      <c r="G950" s="109"/>
      <c r="H950" s="109"/>
      <c r="I950" s="109"/>
    </row>
    <row r="951" spans="1:9" ht="21.75" customHeight="1" x14ac:dyDescent="0.6">
      <c r="A951" s="109"/>
      <c r="B951" s="109"/>
      <c r="C951" s="109"/>
      <c r="D951" s="109"/>
      <c r="E951" s="109"/>
      <c r="F951" s="109"/>
      <c r="G951" s="109"/>
      <c r="H951" s="109"/>
      <c r="I951" s="109"/>
    </row>
    <row r="952" spans="1:9" ht="21.75" customHeight="1" x14ac:dyDescent="0.6">
      <c r="A952" s="109"/>
      <c r="B952" s="109"/>
      <c r="C952" s="109"/>
      <c r="D952" s="109"/>
      <c r="E952" s="109"/>
      <c r="F952" s="109"/>
      <c r="G952" s="109"/>
      <c r="H952" s="109"/>
      <c r="I952" s="109"/>
    </row>
    <row r="953" spans="1:9" ht="21.75" customHeight="1" x14ac:dyDescent="0.6">
      <c r="A953" s="109"/>
      <c r="B953" s="109"/>
      <c r="C953" s="109"/>
      <c r="D953" s="109"/>
      <c r="E953" s="109"/>
      <c r="F953" s="109"/>
      <c r="G953" s="109"/>
      <c r="H953" s="109"/>
      <c r="I953" s="109"/>
    </row>
    <row r="954" spans="1:9" ht="21.75" customHeight="1" x14ac:dyDescent="0.6">
      <c r="A954" s="109"/>
      <c r="B954" s="109"/>
      <c r="C954" s="109"/>
      <c r="D954" s="109"/>
      <c r="E954" s="109"/>
      <c r="F954" s="109"/>
      <c r="G954" s="109"/>
      <c r="H954" s="109"/>
      <c r="I954" s="109"/>
    </row>
    <row r="955" spans="1:9" ht="21.75" customHeight="1" x14ac:dyDescent="0.6">
      <c r="A955" s="109"/>
      <c r="B955" s="109"/>
      <c r="C955" s="109"/>
      <c r="D955" s="109"/>
      <c r="E955" s="109"/>
      <c r="F955" s="109"/>
      <c r="G955" s="109"/>
      <c r="H955" s="109"/>
      <c r="I955" s="109"/>
    </row>
    <row r="956" spans="1:9" ht="21.75" customHeight="1" x14ac:dyDescent="0.6">
      <c r="A956" s="109"/>
      <c r="B956" s="109"/>
      <c r="C956" s="109"/>
      <c r="D956" s="109"/>
      <c r="E956" s="109"/>
      <c r="F956" s="109"/>
      <c r="G956" s="109"/>
      <c r="H956" s="109"/>
      <c r="I956" s="109"/>
    </row>
  </sheetData>
  <mergeCells count="5">
    <mergeCell ref="A1:A2"/>
    <mergeCell ref="F1:G1"/>
    <mergeCell ref="B1:C1"/>
    <mergeCell ref="H1:I1"/>
    <mergeCell ref="D1:E1"/>
  </mergeCells>
  <pageMargins left="0.511811024" right="0.511811024" top="0.78740157499999996" bottom="0.78740157499999996" header="0" footer="0"/>
  <pageSetup paperSize="9" orientation="portrait" r:id="rId1"/>
  <ignoredErrors>
    <ignoredError sqref="F3:F17 F1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EEB2-F28C-4F65-84B7-AE9110E64746}">
  <sheetPr>
    <tabColor rgb="FFFFC000"/>
  </sheetPr>
  <dimension ref="A1:M1007"/>
  <sheetViews>
    <sheetView zoomScale="82" zoomScaleNormal="82" workbookViewId="0">
      <selection activeCell="B3" sqref="B3"/>
    </sheetView>
  </sheetViews>
  <sheetFormatPr defaultColWidth="14.42578125" defaultRowHeight="15" customHeight="1" x14ac:dyDescent="0.25"/>
  <cols>
    <col min="1" max="1" width="56.5703125" bestFit="1" customWidth="1"/>
    <col min="2" max="2" width="31.28515625" customWidth="1"/>
    <col min="3" max="3" width="20.28515625" style="18" bestFit="1" customWidth="1"/>
    <col min="4" max="4" width="21.7109375" style="18" customWidth="1"/>
    <col min="5" max="5" width="26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00" t="s">
        <v>16</v>
      </c>
      <c r="B2" s="85">
        <f>'GER_EXECUTIVO MEGA'!B2</f>
        <v>7713624.6351084877</v>
      </c>
      <c r="C2" s="40">
        <f t="shared" ref="C2:C17" si="0">B2/B$18</f>
        <v>0.12886233520649826</v>
      </c>
      <c r="D2" s="85">
        <f>B2/'GER_EXECUTIVO CART'!G$2</f>
        <v>494.37279952755347</v>
      </c>
      <c r="E2" s="140">
        <f>D2-Amalfi!C3</f>
        <v>0</v>
      </c>
      <c r="F2" s="21" t="s">
        <v>22</v>
      </c>
      <c r="G2" s="63">
        <f>[1]Obra!$E$10</f>
        <v>15602.85</v>
      </c>
      <c r="H2" s="22" t="s">
        <v>32</v>
      </c>
      <c r="I2" s="6"/>
      <c r="J2" s="6"/>
      <c r="K2" s="6"/>
      <c r="L2" s="6"/>
      <c r="M2" s="6"/>
    </row>
    <row r="3" spans="1:13" ht="22.5" customHeight="1" x14ac:dyDescent="0.25">
      <c r="A3" s="101" t="s">
        <v>2</v>
      </c>
      <c r="B3" s="86">
        <f>'SEM IMPREVISTOS'!B46</f>
        <v>1415598.7796026384</v>
      </c>
      <c r="C3" s="7">
        <f t="shared" si="0"/>
        <v>2.3648721980169242E-2</v>
      </c>
      <c r="D3" s="86">
        <f>B3/'GER_EXECUTIVO CART'!G$2</f>
        <v>90.726936399608945</v>
      </c>
      <c r="E3" s="140">
        <f>D3-Amalfi!C4</f>
        <v>0</v>
      </c>
      <c r="F3" s="102"/>
      <c r="G3" s="103"/>
      <c r="H3" s="104"/>
      <c r="I3" s="6"/>
      <c r="J3" s="6"/>
      <c r="K3" s="6"/>
      <c r="L3" s="6"/>
      <c r="M3" s="6"/>
    </row>
    <row r="4" spans="1:13" ht="19.5" customHeight="1" x14ac:dyDescent="0.25">
      <c r="A4" s="100" t="s">
        <v>3</v>
      </c>
      <c r="B4" s="85">
        <f>'SEM IMPREVISTOS'!B48</f>
        <v>2368306.5077723023</v>
      </c>
      <c r="C4" s="40">
        <f t="shared" si="0"/>
        <v>3.9564474746053471E-2</v>
      </c>
      <c r="D4" s="85">
        <f>B4/'GER_EXECUTIVO CART'!G$2</f>
        <v>151.78678945015187</v>
      </c>
      <c r="E4" s="140">
        <f>D4-Amalfi!C5</f>
        <v>0</v>
      </c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01" t="s">
        <v>4</v>
      </c>
      <c r="B5" s="86">
        <f>'SEM IMPREVISTOS'!B49+'SEM IMPREVISTOS'!B50</f>
        <v>16381440.29243104</v>
      </c>
      <c r="C5" s="7">
        <f t="shared" si="0"/>
        <v>0.27366520280498408</v>
      </c>
      <c r="D5" s="86">
        <f>B5/'GER_EXECUTIVO CART'!G$2</f>
        <v>1049.9005176894632</v>
      </c>
      <c r="E5" s="140">
        <f>D5-Amalfi!C6</f>
        <v>0</v>
      </c>
      <c r="F5" s="8"/>
      <c r="G5" s="6"/>
      <c r="H5" s="74"/>
      <c r="I5" s="75"/>
      <c r="J5" s="6"/>
      <c r="K5" s="6"/>
      <c r="L5" s="6"/>
      <c r="M5" s="6"/>
    </row>
    <row r="6" spans="1:13" ht="19.5" customHeight="1" x14ac:dyDescent="0.25">
      <c r="A6" s="100" t="s">
        <v>37</v>
      </c>
      <c r="B6" s="85">
        <f>'SEM IMPREVISTOS'!B52</f>
        <v>3110673.7711449144</v>
      </c>
      <c r="C6" s="40">
        <f t="shared" si="0"/>
        <v>5.1966320008738708E-2</v>
      </c>
      <c r="D6" s="85">
        <f>B6/'GER_EXECUTIVO CART'!G$2</f>
        <v>199.36574222945899</v>
      </c>
      <c r="E6" s="140">
        <f>D6-Amalfi!C7</f>
        <v>0</v>
      </c>
      <c r="F6" s="6"/>
      <c r="G6" s="6"/>
      <c r="H6" s="74"/>
      <c r="I6" s="75"/>
      <c r="J6" s="6"/>
      <c r="K6" s="6"/>
      <c r="L6" s="6"/>
      <c r="M6" s="6"/>
    </row>
    <row r="7" spans="1:13" ht="19.5" customHeight="1" x14ac:dyDescent="0.25">
      <c r="A7" s="101" t="s">
        <v>6</v>
      </c>
      <c r="B7" s="86">
        <f>'SEM IMPREVISTOS'!B56+'SEM IMPREVISTOS'!B58+'SEM IMPREVISTOS'!B60+'SEM IMPREVISTOS'!B62+'SEM IMPREVISTOS'!B64</f>
        <v>6182451.6657516612</v>
      </c>
      <c r="C7" s="7">
        <f t="shared" si="0"/>
        <v>0.10328285295656717</v>
      </c>
      <c r="D7" s="86">
        <f>B7/'GER_EXECUTIVO CART'!G$2</f>
        <v>396.23861446797611</v>
      </c>
      <c r="E7" s="140">
        <f>D7-Amalfi!C8</f>
        <v>-18.389201492745826</v>
      </c>
      <c r="F7" s="10"/>
      <c r="G7" s="6"/>
      <c r="H7" s="74"/>
      <c r="I7" s="75"/>
      <c r="J7" s="6"/>
      <c r="K7" s="6"/>
      <c r="L7" s="6"/>
      <c r="M7" s="6"/>
    </row>
    <row r="8" spans="1:13" ht="19.5" customHeight="1" x14ac:dyDescent="0.25">
      <c r="A8" s="100" t="s">
        <v>20</v>
      </c>
      <c r="B8" s="85">
        <f>'SEM IMPREVISTOS'!B66+'SEM IMPREVISTOS'!B67</f>
        <v>2701000.7036312595</v>
      </c>
      <c r="C8" s="40">
        <f t="shared" si="0"/>
        <v>4.5122400237125847E-2</v>
      </c>
      <c r="D8" s="85">
        <f>B8/'GER_EXECUTIVO CART'!G$2</f>
        <v>173.10944498160654</v>
      </c>
      <c r="E8" s="140">
        <f>D8-Amalfi!C9</f>
        <v>0</v>
      </c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101" t="s">
        <v>7</v>
      </c>
      <c r="B9" s="86">
        <f>'SEM IMPREVISTOS'!B54</f>
        <v>820493.65955901972</v>
      </c>
      <c r="C9" s="7">
        <f t="shared" si="0"/>
        <v>1.3707009868184209E-2</v>
      </c>
      <c r="D9" s="86">
        <f>B9/'GER_EXECUTIVO CART'!G$2</f>
        <v>52.586140324300992</v>
      </c>
      <c r="E9" s="140">
        <f>D9-Amalfi!C10</f>
        <v>0</v>
      </c>
      <c r="F9" s="10"/>
      <c r="G9" s="19"/>
      <c r="H9" s="6"/>
      <c r="I9" s="6"/>
      <c r="J9" s="6"/>
      <c r="K9" s="6"/>
      <c r="L9" s="6"/>
      <c r="M9" s="6"/>
    </row>
    <row r="10" spans="1:13" ht="19.5" customHeight="1" x14ac:dyDescent="0.25">
      <c r="A10" s="100" t="s">
        <v>55</v>
      </c>
      <c r="B10" s="85">
        <f>'SEM IMPREVISTOS'!B70+'SEM IMPREVISTOS'!B72+'SEM IMPREVISTOS'!B74</f>
        <v>1892458.5031705135</v>
      </c>
      <c r="C10" s="40">
        <f t="shared" si="0"/>
        <v>3.1615049154711271E-2</v>
      </c>
      <c r="D10" s="85">
        <f>B10/'GER_EXECUTIVO CART'!G$2</f>
        <v>121.28928389175782</v>
      </c>
      <c r="E10" s="140">
        <f>D10-Amalfi!C11</f>
        <v>0</v>
      </c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01" t="s">
        <v>18</v>
      </c>
      <c r="B11" s="86">
        <f>'SEM IMPREVISTOS'!B76</f>
        <v>1688185.9781622028</v>
      </c>
      <c r="C11" s="7">
        <f t="shared" si="0"/>
        <v>2.8202511490992236E-2</v>
      </c>
      <c r="D11" s="86">
        <f>B11/'GER_EXECUTIVO CART'!G$2</f>
        <v>108.19728307086223</v>
      </c>
      <c r="E11" s="140">
        <f>D11-Amalfi!C12</f>
        <v>0</v>
      </c>
      <c r="F11" s="9"/>
      <c r="G11" s="6"/>
      <c r="H11" s="6"/>
      <c r="I11" s="6"/>
      <c r="J11" s="6"/>
      <c r="K11" s="6"/>
      <c r="L11" s="6"/>
      <c r="M11" s="6"/>
    </row>
    <row r="12" spans="1:13" ht="19.5" customHeight="1" x14ac:dyDescent="0.25">
      <c r="A12" s="100" t="s">
        <v>56</v>
      </c>
      <c r="B12" s="85">
        <f>'SEM IMPREVISTOS'!B78</f>
        <v>2558866.3451860095</v>
      </c>
      <c r="C12" s="40">
        <f t="shared" si="0"/>
        <v>4.2747930878198483E-2</v>
      </c>
      <c r="D12" s="85">
        <f>B12/'GER_EXECUTIVO CART'!G$2</f>
        <v>163.99993239606928</v>
      </c>
      <c r="E12" s="140">
        <f>D12-Amalfi!C13</f>
        <v>0</v>
      </c>
      <c r="F12" s="6"/>
      <c r="G12" s="20"/>
      <c r="H12" s="6"/>
      <c r="I12" s="6"/>
      <c r="J12" s="6"/>
      <c r="K12" s="6"/>
      <c r="L12" s="6"/>
      <c r="M12" s="6"/>
    </row>
    <row r="13" spans="1:13" ht="19.5" customHeight="1" x14ac:dyDescent="0.25">
      <c r="A13" s="101" t="s">
        <v>9</v>
      </c>
      <c r="B13" s="86">
        <f>'SEM IMPREVISTOS'!B88</f>
        <v>2557946.3857592316</v>
      </c>
      <c r="C13" s="7">
        <f t="shared" si="0"/>
        <v>4.2732562212281E-2</v>
      </c>
      <c r="D13" s="86">
        <f>B13/'GER_EXECUTIVO CART'!G$2</f>
        <v>163.94097140966116</v>
      </c>
      <c r="E13" s="140">
        <f>D13-Amalfi!C14</f>
        <v>0</v>
      </c>
      <c r="F13" s="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100" t="s">
        <v>10</v>
      </c>
      <c r="B14" s="85">
        <f>'SEM IMPREVISTOS'!B91</f>
        <v>5085026.2833178537</v>
      </c>
      <c r="C14" s="40">
        <f t="shared" si="0"/>
        <v>8.4949474786770368E-2</v>
      </c>
      <c r="D14" s="85">
        <f>B14/'GER_EXECUTIVO CART'!G$2</f>
        <v>325.9036831936379</v>
      </c>
      <c r="E14" s="140">
        <f>D14-Amalfi!C15</f>
        <v>0</v>
      </c>
      <c r="F14" s="66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01" t="s">
        <v>38</v>
      </c>
      <c r="B15" s="86">
        <f>'SEM IMPREVISTOS'!B93</f>
        <v>286923.9525110891</v>
      </c>
      <c r="C15" s="7">
        <f t="shared" si="0"/>
        <v>4.7932965753832452E-3</v>
      </c>
      <c r="D15" s="86">
        <f>B15/'GER_EXECUTIVO CART'!G$2</f>
        <v>18.389201492745819</v>
      </c>
      <c r="E15" s="140">
        <f>D15-Amalfi!C16</f>
        <v>18.389201492745819</v>
      </c>
      <c r="F15" s="66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100" t="s">
        <v>11</v>
      </c>
      <c r="B16" s="85">
        <f>'SEM IMPREVISTOS'!B90+'SEM IMPREVISTOS'!B71+'SEM IMPREVISTOS'!B73</f>
        <v>2575359.9868533504</v>
      </c>
      <c r="C16" s="40">
        <f t="shared" si="0"/>
        <v>4.3023470495674676E-2</v>
      </c>
      <c r="D16" s="85">
        <f>B16/'GER_EXECUTIVO CART'!G$2</f>
        <v>165.05702399583092</v>
      </c>
      <c r="E16" s="140">
        <f>D16-Amalfi!C17</f>
        <v>0</v>
      </c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101" t="s">
        <v>12</v>
      </c>
      <c r="B17" s="86">
        <f>'SEM IMPREVISTOS'!B95</f>
        <v>2521062.4708991088</v>
      </c>
      <c r="C17" s="7">
        <f t="shared" si="0"/>
        <v>4.2116386597667851E-2</v>
      </c>
      <c r="D17" s="86">
        <f>B17/'GER_EXECUTIVO CART'!G$2</f>
        <v>161.57704976328739</v>
      </c>
      <c r="E17" s="140">
        <f>D17-Amalfi!C18</f>
        <v>0</v>
      </c>
      <c r="F17" s="6"/>
      <c r="G17" s="6"/>
      <c r="H17" s="6"/>
      <c r="I17" s="6"/>
      <c r="J17" s="6"/>
      <c r="K17" s="6"/>
      <c r="L17" s="6"/>
      <c r="M17" s="6"/>
    </row>
    <row r="18" spans="1:13" ht="19.5" customHeight="1" x14ac:dyDescent="0.25">
      <c r="A18" s="41" t="s">
        <v>13</v>
      </c>
      <c r="B18" s="79">
        <f>SUM(B2:B17)</f>
        <v>59859419.920860678</v>
      </c>
      <c r="C18" s="43">
        <f>SUM(C2:C17)</f>
        <v>1.0000000000000002</v>
      </c>
      <c r="D18" s="87">
        <f>SUM(D2:D17)</f>
        <v>3836.4414142839732</v>
      </c>
      <c r="E18" s="9"/>
      <c r="F18" s="66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41" t="s">
        <v>29</v>
      </c>
      <c r="B19" s="80">
        <v>2934.53</v>
      </c>
      <c r="C19" s="44">
        <v>45809</v>
      </c>
      <c r="D19" s="81" t="str">
        <f>ROUNDDOWN(D18/B19,2)&amp;" CUB"</f>
        <v>1,3 CUB</v>
      </c>
      <c r="E19" s="9"/>
      <c r="F19" s="6"/>
      <c r="G19" s="6"/>
      <c r="H19" s="6"/>
      <c r="I19" s="6"/>
      <c r="J19" s="6"/>
      <c r="K19" s="6"/>
      <c r="L19" s="6"/>
      <c r="M19" s="6"/>
    </row>
    <row r="20" spans="1:13" ht="19.5" x14ac:dyDescent="0.25">
      <c r="B20" s="72"/>
      <c r="C20" s="10"/>
      <c r="D20" s="10"/>
      <c r="E20" s="6"/>
      <c r="F20" s="9"/>
      <c r="G20" s="6"/>
      <c r="H20" s="6"/>
      <c r="I20" s="6"/>
      <c r="J20" s="6"/>
      <c r="K20" s="6"/>
      <c r="L20" s="6"/>
      <c r="M20" s="6"/>
    </row>
    <row r="21" spans="1:13" ht="22.5" hidden="1" customHeight="1" x14ac:dyDescent="0.25">
      <c r="A21" s="6"/>
      <c r="B21" s="9"/>
      <c r="C21" s="10"/>
      <c r="D21" s="10"/>
      <c r="E21" s="6"/>
      <c r="F21" s="66"/>
      <c r="G21" s="66"/>
      <c r="H21" s="6"/>
      <c r="I21" s="6"/>
      <c r="J21" s="6"/>
      <c r="K21" s="6"/>
      <c r="L21" s="6"/>
      <c r="M21" s="6"/>
    </row>
    <row r="22" spans="1:13" ht="15" hidden="1" customHeight="1" x14ac:dyDescent="0.25">
      <c r="A22" s="69" t="s">
        <v>39</v>
      </c>
      <c r="B22" s="71" t="s">
        <v>41</v>
      </c>
      <c r="C22"/>
      <c r="D22"/>
    </row>
    <row r="23" spans="1:13" hidden="1" x14ac:dyDescent="0.25">
      <c r="A23" s="70" t="s">
        <v>91</v>
      </c>
      <c r="B23" s="71">
        <v>0.31758610894272798</v>
      </c>
      <c r="C23"/>
      <c r="D23"/>
    </row>
    <row r="24" spans="1:13" hidden="1" x14ac:dyDescent="0.25">
      <c r="A24" s="70" t="s">
        <v>16</v>
      </c>
      <c r="B24" s="71">
        <v>0.13135230605801737</v>
      </c>
      <c r="C24"/>
      <c r="D24"/>
    </row>
    <row r="25" spans="1:13" hidden="1" x14ac:dyDescent="0.25">
      <c r="A25" s="70" t="s">
        <v>6</v>
      </c>
      <c r="B25" s="71">
        <v>9.0635558712702638E-2</v>
      </c>
      <c r="C25"/>
      <c r="D25"/>
    </row>
    <row r="26" spans="1:13" hidden="1" x14ac:dyDescent="0.25">
      <c r="A26" s="70" t="s">
        <v>10</v>
      </c>
      <c r="B26" s="71">
        <v>8.0775088631113531E-2</v>
      </c>
      <c r="C26"/>
      <c r="D26"/>
    </row>
    <row r="27" spans="1:13" hidden="1" x14ac:dyDescent="0.25">
      <c r="A27" s="70" t="s">
        <v>37</v>
      </c>
      <c r="B27" s="71">
        <v>5.380119463348642E-2</v>
      </c>
      <c r="C27"/>
      <c r="D27"/>
    </row>
    <row r="28" spans="1:13" hidden="1" x14ac:dyDescent="0.25">
      <c r="A28" s="70" t="s">
        <v>20</v>
      </c>
      <c r="B28" s="71">
        <v>4.4464550253614808E-2</v>
      </c>
      <c r="C28"/>
      <c r="D28"/>
    </row>
    <row r="29" spans="1:13" hidden="1" x14ac:dyDescent="0.25">
      <c r="A29" s="70" t="s">
        <v>9</v>
      </c>
      <c r="B29" s="71">
        <v>4.2755873946540457E-2</v>
      </c>
      <c r="C29"/>
      <c r="D29"/>
    </row>
    <row r="30" spans="1:13" hidden="1" x14ac:dyDescent="0.25">
      <c r="A30" s="70" t="s">
        <v>12</v>
      </c>
      <c r="B30" s="71">
        <v>4.1834176678706717E-2</v>
      </c>
      <c r="C30"/>
      <c r="D30"/>
    </row>
    <row r="31" spans="1:13" hidden="1" x14ac:dyDescent="0.25">
      <c r="A31" s="70" t="s">
        <v>56</v>
      </c>
      <c r="B31" s="71">
        <v>3.9504046458099351E-2</v>
      </c>
      <c r="C31"/>
      <c r="D31"/>
    </row>
    <row r="32" spans="1:13" hidden="1" x14ac:dyDescent="0.25">
      <c r="A32" s="70" t="s">
        <v>11</v>
      </c>
      <c r="B32" s="71">
        <v>3.9035094143513416E-2</v>
      </c>
      <c r="C32"/>
      <c r="D32"/>
    </row>
    <row r="33" spans="1:13" hidden="1" x14ac:dyDescent="0.25">
      <c r="A33" s="70" t="s">
        <v>55</v>
      </c>
      <c r="B33" s="71">
        <v>3.1098468522838013E-2</v>
      </c>
      <c r="C33"/>
      <c r="D33"/>
    </row>
    <row r="34" spans="1:13" hidden="1" x14ac:dyDescent="0.25">
      <c r="A34" s="70" t="s">
        <v>18</v>
      </c>
      <c r="B34" s="71">
        <v>2.7974544688104674E-2</v>
      </c>
      <c r="C34"/>
      <c r="D34"/>
    </row>
    <row r="35" spans="1:13" hidden="1" x14ac:dyDescent="0.25">
      <c r="A35" s="70" t="s">
        <v>2</v>
      </c>
      <c r="B35" s="71">
        <v>2.3419184168522872E-2</v>
      </c>
      <c r="C35"/>
      <c r="D35"/>
    </row>
    <row r="36" spans="1:13" hidden="1" x14ac:dyDescent="0.25">
      <c r="A36" s="70" t="s">
        <v>7</v>
      </c>
      <c r="B36" s="71">
        <v>1.3878300194650134E-2</v>
      </c>
      <c r="C36"/>
      <c r="D36"/>
    </row>
    <row r="37" spans="1:13" hidden="1" x14ac:dyDescent="0.25">
      <c r="A37" s="70" t="s">
        <v>38</v>
      </c>
      <c r="B37" s="71">
        <v>4.8531962430088697E-3</v>
      </c>
      <c r="C37"/>
      <c r="D37"/>
    </row>
    <row r="38" spans="1:13" hidden="1" x14ac:dyDescent="0.25">
      <c r="A38" s="70" t="s">
        <v>40</v>
      </c>
      <c r="B38" s="71">
        <v>0.98296769227564729</v>
      </c>
      <c r="C38"/>
      <c r="D38"/>
    </row>
    <row r="39" spans="1:13" hidden="1" x14ac:dyDescent="0.25">
      <c r="C39"/>
      <c r="D39"/>
    </row>
    <row r="40" spans="1:13" x14ac:dyDescent="0.25">
      <c r="C40"/>
      <c r="D40"/>
    </row>
    <row r="41" spans="1:13" x14ac:dyDescent="0.25">
      <c r="C41"/>
      <c r="D41"/>
    </row>
    <row r="42" spans="1:13" ht="19.5" x14ac:dyDescent="0.25"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</row>
    <row r="43" spans="1:13" ht="19.5" x14ac:dyDescent="0.25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5" x14ac:dyDescent="0.25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x14ac:dyDescent="0.25"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x14ac:dyDescent="0.25"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5" x14ac:dyDescent="0.25"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3:13" ht="19.5" x14ac:dyDescent="0.25"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3:13" ht="19.5" x14ac:dyDescent="0.25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3:13" ht="19.5" x14ac:dyDescent="0.25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3:13" ht="19.5" x14ac:dyDescent="0.25"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3:13" ht="19.5" x14ac:dyDescent="0.25"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3:13" ht="19.5" x14ac:dyDescent="0.25"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3:13" ht="19.5" customHeight="1" x14ac:dyDescent="0.25"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3:13" ht="19.5" customHeight="1" x14ac:dyDescent="0.25"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3:13" ht="19.5" x14ac:dyDescent="0.25"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3:13" ht="19.5" x14ac:dyDescent="0.25"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3:13" ht="19.5" x14ac:dyDescent="0.25"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3:13" ht="19.5" customHeight="1" x14ac:dyDescent="0.25"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3:13" ht="19.5" customHeight="1" x14ac:dyDescent="0.25"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3:13" ht="19.5" customHeight="1" x14ac:dyDescent="0.25"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3:13" ht="19.5" customHeight="1" x14ac:dyDescent="0.25"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3:13" ht="19.5" customHeight="1" x14ac:dyDescent="0.25"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3:13" ht="19.5" customHeight="1" x14ac:dyDescent="0.25"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3:13" ht="19.5" customHeight="1" x14ac:dyDescent="0.25"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3:13" ht="19.5" customHeight="1" x14ac:dyDescent="0.25"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3:13" ht="19.5" customHeight="1" x14ac:dyDescent="0.25"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3:13" ht="19.5" customHeight="1" x14ac:dyDescent="0.25"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3:13" ht="19.5" customHeight="1" x14ac:dyDescent="0.25"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3:13" ht="19.5" customHeight="1" x14ac:dyDescent="0.25"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3:13" ht="19.5" customHeight="1" x14ac:dyDescent="0.25"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3:13" ht="19.5" customHeight="1" x14ac:dyDescent="0.25"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3:13" ht="19.5" customHeight="1" x14ac:dyDescent="0.25"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3:13" ht="19.5" customHeight="1" x14ac:dyDescent="0.25"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3:13" ht="19.5" customHeight="1" x14ac:dyDescent="0.25"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3:13" ht="19.5" customHeight="1" x14ac:dyDescent="0.25"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3:13" ht="19.5" customHeight="1" x14ac:dyDescent="0.25"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3:13" ht="19.5" customHeight="1" x14ac:dyDescent="0.25"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3:13" ht="19.5" customHeight="1" x14ac:dyDescent="0.25"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3:13" ht="19.5" customHeight="1" x14ac:dyDescent="0.25"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3:13" ht="19.5" customHeight="1" x14ac:dyDescent="0.25"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3:13" ht="19.5" customHeight="1" x14ac:dyDescent="0.25"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3:13" ht="19.5" customHeight="1" x14ac:dyDescent="0.25"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3:13" ht="19.5" customHeight="1" x14ac:dyDescent="0.25"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3:13" ht="19.5" customHeight="1" x14ac:dyDescent="0.25"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3:13" ht="19.5" customHeight="1" x14ac:dyDescent="0.25"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3:13" ht="19.5" customHeight="1" x14ac:dyDescent="0.25"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3:13" ht="19.5" customHeight="1" x14ac:dyDescent="0.25"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3:13" ht="19.5" customHeight="1" x14ac:dyDescent="0.25"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3:13" ht="19.5" customHeight="1" x14ac:dyDescent="0.25"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3:13" ht="19.5" customHeight="1" x14ac:dyDescent="0.25"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3:13" ht="19.5" customHeight="1" x14ac:dyDescent="0.25"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3:13" ht="19.5" customHeight="1" x14ac:dyDescent="0.25"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3:13" ht="19.5" customHeight="1" x14ac:dyDescent="0.25"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3:13" ht="19.5" customHeight="1" x14ac:dyDescent="0.25"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9.5" customHeight="1" x14ac:dyDescent="0.25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9.5" customHeight="1" x14ac:dyDescent="0.25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9.5" customHeight="1" x14ac:dyDescent="0.25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9.5" customHeight="1" x14ac:dyDescent="0.25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9.5" customHeight="1" x14ac:dyDescent="0.25">
      <c r="A998" s="6"/>
      <c r="B998" s="6"/>
      <c r="C998" s="10"/>
      <c r="D998" s="10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19.5" customHeight="1" x14ac:dyDescent="0.25">
      <c r="A999" s="6"/>
      <c r="B999" s="6"/>
      <c r="C999" s="10"/>
      <c r="D999" s="10"/>
      <c r="E999" s="6"/>
      <c r="F999" s="6"/>
      <c r="G999" s="6"/>
      <c r="H999" s="6"/>
      <c r="I999" s="6"/>
      <c r="J999" s="6"/>
      <c r="K999" s="6"/>
      <c r="L999" s="6"/>
      <c r="M999" s="6"/>
    </row>
    <row r="1000" spans="1:13" ht="19.5" customHeight="1" x14ac:dyDescent="0.25">
      <c r="A1000" s="6"/>
      <c r="B1000" s="6"/>
      <c r="C1000" s="10"/>
      <c r="D1000" s="10"/>
      <c r="E1000" s="6"/>
      <c r="F1000" s="6"/>
      <c r="G1000" s="6"/>
      <c r="H1000" s="6"/>
      <c r="I1000" s="6"/>
      <c r="J1000" s="6"/>
      <c r="K1000" s="6"/>
      <c r="L1000" s="6"/>
      <c r="M1000" s="6"/>
    </row>
    <row r="1001" spans="1:13" ht="19.5" customHeight="1" x14ac:dyDescent="0.25">
      <c r="A1001" s="6"/>
      <c r="B1001" s="6"/>
      <c r="C1001" s="10"/>
      <c r="D1001" s="10"/>
      <c r="E1001" s="6"/>
      <c r="F1001" s="6"/>
      <c r="G1001" s="6"/>
      <c r="H1001" s="6"/>
      <c r="I1001" s="6"/>
      <c r="J1001" s="6"/>
      <c r="K1001" s="6"/>
      <c r="L1001" s="6"/>
      <c r="M1001" s="6"/>
    </row>
    <row r="1002" spans="1:13" ht="19.5" customHeight="1" x14ac:dyDescent="0.25">
      <c r="A1002" s="6"/>
      <c r="B1002" s="6"/>
      <c r="C1002" s="10"/>
      <c r="D1002" s="10"/>
      <c r="E1002" s="6"/>
      <c r="F1002" s="6"/>
      <c r="G1002" s="6"/>
      <c r="H1002" s="6"/>
      <c r="I1002" s="6"/>
      <c r="J1002" s="6"/>
      <c r="K1002" s="6"/>
      <c r="L1002" s="6"/>
      <c r="M1002" s="6"/>
    </row>
    <row r="1003" spans="1:13" ht="19.5" customHeight="1" x14ac:dyDescent="0.25">
      <c r="A1003" s="6"/>
      <c r="B1003" s="6"/>
      <c r="C1003" s="10"/>
      <c r="D1003" s="10"/>
      <c r="E1003" s="6"/>
      <c r="F1003" s="6"/>
      <c r="G1003" s="6"/>
      <c r="H1003" s="6"/>
      <c r="I1003" s="6"/>
      <c r="J1003" s="6"/>
      <c r="K1003" s="6"/>
      <c r="L1003" s="6"/>
      <c r="M1003" s="6"/>
    </row>
    <row r="1004" spans="1:13" ht="19.5" customHeight="1" x14ac:dyDescent="0.25">
      <c r="A1004" s="6"/>
      <c r="B1004" s="6"/>
      <c r="C1004" s="10"/>
      <c r="D1004" s="10"/>
      <c r="E1004" s="6"/>
      <c r="F1004" s="6"/>
      <c r="G1004" s="6"/>
      <c r="H1004" s="6"/>
      <c r="I1004" s="6"/>
      <c r="J1004" s="6"/>
      <c r="K1004" s="6"/>
      <c r="L1004" s="6"/>
      <c r="M1004" s="6"/>
    </row>
    <row r="1005" spans="1:13" ht="19.5" customHeight="1" x14ac:dyDescent="0.25">
      <c r="A1005" s="6"/>
      <c r="B1005" s="6"/>
      <c r="C1005" s="10"/>
      <c r="D1005" s="10"/>
      <c r="E1005" s="6"/>
      <c r="F1005" s="6"/>
      <c r="G1005" s="6"/>
      <c r="H1005" s="6"/>
      <c r="I1005" s="6"/>
      <c r="J1005" s="6"/>
      <c r="K1005" s="6"/>
      <c r="L1005" s="6"/>
      <c r="M1005" s="6"/>
    </row>
    <row r="1006" spans="1:13" ht="19.5" customHeight="1" x14ac:dyDescent="0.25">
      <c r="A1006" s="6"/>
      <c r="B1006" s="6"/>
      <c r="C1006" s="10"/>
      <c r="D1006" s="10"/>
      <c r="E1006" s="6"/>
      <c r="F1006" s="6"/>
      <c r="G1006" s="6"/>
      <c r="H1006" s="6"/>
      <c r="I1006" s="6"/>
      <c r="J1006" s="6"/>
      <c r="K1006" s="6"/>
      <c r="L1006" s="6"/>
      <c r="M1006" s="6"/>
    </row>
    <row r="1007" spans="1:13" ht="19.5" customHeight="1" x14ac:dyDescent="0.25">
      <c r="A1007" s="6"/>
      <c r="B1007" s="6"/>
      <c r="C1007" s="10"/>
      <c r="D1007" s="10"/>
      <c r="E1007" s="6"/>
      <c r="F1007" s="6"/>
      <c r="G1007" s="6"/>
      <c r="H1007" s="6"/>
      <c r="I1007" s="6"/>
      <c r="J1007" s="6"/>
      <c r="K1007" s="6"/>
      <c r="L1007" s="6"/>
      <c r="M1007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0407-B827-4A01-B9FA-F6DF29670140}">
  <sheetPr>
    <tabColor rgb="FF00B0F0"/>
  </sheetPr>
  <dimension ref="A1:O955"/>
  <sheetViews>
    <sheetView topLeftCell="A3" zoomScaleNormal="100" workbookViewId="0">
      <selection sqref="A1:I19"/>
    </sheetView>
  </sheetViews>
  <sheetFormatPr defaultColWidth="14.42578125" defaultRowHeight="15" customHeight="1" x14ac:dyDescent="0.25"/>
  <cols>
    <col min="1" max="1" width="66.28515625" style="107" customWidth="1"/>
    <col min="2" max="2" width="24.5703125" style="107" hidden="1" customWidth="1"/>
    <col min="3" max="3" width="20.7109375" style="107" customWidth="1"/>
    <col min="4" max="4" width="22.28515625" style="107" hidden="1" customWidth="1"/>
    <col min="5" max="5" width="20.42578125" style="107" customWidth="1"/>
    <col min="6" max="6" width="22.28515625" style="107" hidden="1" customWidth="1"/>
    <col min="7" max="7" width="20" style="108" customWidth="1"/>
    <col min="8" max="8" width="22.28515625" style="107" hidden="1" customWidth="1"/>
    <col min="9" max="9" width="20" style="108" customWidth="1"/>
    <col min="10" max="10" width="15.85546875" style="107" customWidth="1"/>
    <col min="11" max="11" width="41.140625" style="107" customWidth="1"/>
    <col min="12" max="12" width="14.42578125" style="107"/>
    <col min="13" max="13" width="18.140625" style="107" customWidth="1"/>
    <col min="14" max="14" width="14.42578125" style="107"/>
    <col min="15" max="15" width="20.85546875" style="107" customWidth="1"/>
    <col min="16" max="16384" width="14.42578125" style="107"/>
  </cols>
  <sheetData>
    <row r="1" spans="1:15" ht="16.5" customHeight="1" thickBot="1" x14ac:dyDescent="0.65">
      <c r="A1" s="244" t="s">
        <v>0</v>
      </c>
      <c r="B1" s="246" t="s">
        <v>94</v>
      </c>
      <c r="C1" s="247"/>
      <c r="D1" s="246" t="s">
        <v>57</v>
      </c>
      <c r="E1" s="247"/>
      <c r="F1" s="246" t="s">
        <v>60</v>
      </c>
      <c r="G1" s="247"/>
      <c r="H1" s="246" t="s">
        <v>43</v>
      </c>
      <c r="I1" s="247"/>
      <c r="J1" s="109"/>
      <c r="K1" s="109"/>
    </row>
    <row r="2" spans="1:15" ht="44.25" thickBot="1" x14ac:dyDescent="0.65">
      <c r="A2" s="250"/>
      <c r="B2" s="127" t="s">
        <v>61</v>
      </c>
      <c r="C2" s="126" t="s">
        <v>114</v>
      </c>
      <c r="D2" s="127" t="s">
        <v>88</v>
      </c>
      <c r="E2" s="126" t="s">
        <v>114</v>
      </c>
      <c r="F2" s="127" t="s">
        <v>88</v>
      </c>
      <c r="G2" s="126" t="s">
        <v>114</v>
      </c>
      <c r="H2" s="127" t="s">
        <v>88</v>
      </c>
      <c r="I2" s="126" t="s">
        <v>114</v>
      </c>
      <c r="J2" s="109"/>
      <c r="K2" s="174" t="s">
        <v>0</v>
      </c>
      <c r="L2" s="175" t="s">
        <v>60</v>
      </c>
      <c r="M2" s="175" t="s">
        <v>43</v>
      </c>
      <c r="N2" s="175" t="s">
        <v>57</v>
      </c>
      <c r="O2" s="175" t="s">
        <v>94</v>
      </c>
    </row>
    <row r="3" spans="1:15" ht="21.75" x14ac:dyDescent="0.25">
      <c r="A3" s="123" t="s">
        <v>16</v>
      </c>
      <c r="B3" s="122">
        <f>'SEM IMPREVISTOS'!B2</f>
        <v>7713624.6351084877</v>
      </c>
      <c r="C3" s="133">
        <f>'GER_EXECUTIVO CART'!D2</f>
        <v>494.37279952755347</v>
      </c>
      <c r="D3" s="122">
        <v>5210393.6119999997</v>
      </c>
      <c r="E3" s="133">
        <v>387.84287163668489</v>
      </c>
      <c r="F3" s="82">
        <v>2346985.5392969996</v>
      </c>
      <c r="G3" s="133">
        <v>521.70769502407381</v>
      </c>
      <c r="H3" s="133">
        <v>3318913.5571070001</v>
      </c>
      <c r="I3" s="133">
        <v>396.69079747887412</v>
      </c>
      <c r="J3" s="107">
        <f>[4]Ravello!$G$9/N3</f>
        <v>360.62845529945167</v>
      </c>
      <c r="K3" s="176" t="s">
        <v>22</v>
      </c>
      <c r="L3" s="177">
        <f>[5]ORÇAMENTO_EXECUTIVO!G2</f>
        <v>4498.66</v>
      </c>
      <c r="M3" s="177">
        <f>'[6]ORÇAMENTO_EXECUTIVO-IMPREVISTOS'!$G$2</f>
        <v>8366.5</v>
      </c>
      <c r="N3" s="177">
        <v>13434.29</v>
      </c>
      <c r="O3" s="178">
        <f>[1]Obra!$E$10</f>
        <v>15602.85</v>
      </c>
    </row>
    <row r="4" spans="1:15" ht="19.5" customHeight="1" x14ac:dyDescent="0.6">
      <c r="A4" s="120" t="str">
        <f>[5]ORÇAMENTO_EXECUTIVO!A3</f>
        <v>MOVIMENTAÇÃO DE TERRA</v>
      </c>
      <c r="B4" s="119">
        <f>ANÁLISE_CUSTOS!B3</f>
        <v>1415598.7796026384</v>
      </c>
      <c r="C4" s="134">
        <f>'GER_EXECUTIVO CART'!D3</f>
        <v>90.726936399608945</v>
      </c>
      <c r="D4" s="119">
        <v>91928.48</v>
      </c>
      <c r="E4" s="134">
        <v>6.8428238485249304</v>
      </c>
      <c r="F4" s="83">
        <v>75751.399999999994</v>
      </c>
      <c r="G4" s="134">
        <v>16.838658622789897</v>
      </c>
      <c r="H4" s="134">
        <v>61666.639508000007</v>
      </c>
      <c r="I4" s="134">
        <v>7.370661508157534</v>
      </c>
      <c r="J4" s="109"/>
      <c r="K4" s="120" t="s">
        <v>31</v>
      </c>
      <c r="L4" s="118">
        <v>12</v>
      </c>
      <c r="M4" s="118">
        <v>17</v>
      </c>
      <c r="N4" s="118">
        <v>21</v>
      </c>
      <c r="O4" s="179">
        <f>[1]Obra!$E$14</f>
        <v>28</v>
      </c>
    </row>
    <row r="5" spans="1:15" ht="19.5" customHeight="1" x14ac:dyDescent="0.25">
      <c r="A5" s="123" t="str">
        <f>[5]ORÇAMENTO_EXECUTIVO!A4</f>
        <v>INFRAESTRUTURA</v>
      </c>
      <c r="B5" s="122">
        <f>ANÁLISE_CUSTOS!B4</f>
        <v>18362171.804884642</v>
      </c>
      <c r="C5" s="133">
        <f>'GER_EXECUTIVO CART'!D4</f>
        <v>151.78678945015187</v>
      </c>
      <c r="D5" s="122">
        <v>2274308.4019999998</v>
      </c>
      <c r="E5" s="133">
        <v>169.29129875862435</v>
      </c>
      <c r="F5" s="82">
        <v>1547469.931932</v>
      </c>
      <c r="G5" s="133">
        <v>343.9846380771163</v>
      </c>
      <c r="H5" s="133">
        <v>1477672.3622639999</v>
      </c>
      <c r="I5" s="133">
        <v>176.61774484718816</v>
      </c>
      <c r="J5" s="125"/>
      <c r="K5" s="123" t="s">
        <v>59</v>
      </c>
      <c r="L5" s="121">
        <v>27</v>
      </c>
      <c r="M5" s="121">
        <v>60</v>
      </c>
      <c r="N5" s="121">
        <f>15*5</f>
        <v>75</v>
      </c>
      <c r="O5" s="180">
        <f>[1]Obra!$E$11</f>
        <v>90</v>
      </c>
    </row>
    <row r="6" spans="1:15" ht="19.5" customHeight="1" thickBot="1" x14ac:dyDescent="0.3">
      <c r="A6" s="120" t="str">
        <f>[5]ORÇAMENTO_EXECUTIVO!A5</f>
        <v>SUPRAESTRUTURA</v>
      </c>
      <c r="B6" s="119" t="e">
        <f>ANÁLISE_CUSTOS!#REF!</f>
        <v>#REF!</v>
      </c>
      <c r="C6" s="134">
        <f>'GER_EXECUTIVO CART'!D5</f>
        <v>1049.9005176894632</v>
      </c>
      <c r="D6" s="119">
        <v>8582604.9794999994</v>
      </c>
      <c r="E6" s="134">
        <v>638.8580996465015</v>
      </c>
      <c r="F6" s="83">
        <v>2140197.9191279998</v>
      </c>
      <c r="G6" s="134">
        <v>475.74120274214988</v>
      </c>
      <c r="H6" s="134">
        <v>4867206.8282329999</v>
      </c>
      <c r="I6" s="134">
        <v>581.74945655088743</v>
      </c>
      <c r="K6" s="181" t="s">
        <v>58</v>
      </c>
      <c r="L6" s="182">
        <f>'[5]AREAS PRIVATIVAS'!H2</f>
        <v>2651.04</v>
      </c>
      <c r="M6" s="182">
        <f>'[6]AREAS PRIVATIVAS'!$H$2</f>
        <v>4969.8599999999997</v>
      </c>
      <c r="N6" s="182">
        <v>6651.9</v>
      </c>
      <c r="O6" s="183">
        <f>[1]Obra!$E$13</f>
        <v>7934.9399999999987</v>
      </c>
    </row>
    <row r="7" spans="1:15" ht="19.5" customHeight="1" thickBot="1" x14ac:dyDescent="0.3">
      <c r="A7" s="123" t="str">
        <f>[5]ORÇAMENTO_EXECUTIVO!A6</f>
        <v>PAREDES E PAINÉIS</v>
      </c>
      <c r="B7" s="122">
        <f>ANÁLISE_CUSTOS!B5</f>
        <v>3110673.7711449144</v>
      </c>
      <c r="C7" s="133">
        <f>'GER_EXECUTIVO CART'!D6</f>
        <v>199.36574222945899</v>
      </c>
      <c r="D7" s="122">
        <v>1579258.5401000001</v>
      </c>
      <c r="E7" s="133">
        <v>117.5542987459702</v>
      </c>
      <c r="F7" s="82">
        <v>518491.15329299989</v>
      </c>
      <c r="G7" s="133">
        <v>115.25457653901383</v>
      </c>
      <c r="H7" s="133">
        <v>957804.21051999996</v>
      </c>
      <c r="I7" s="133">
        <v>114.48087139425088</v>
      </c>
      <c r="J7" s="115"/>
      <c r="K7" s="115"/>
      <c r="L7" s="185">
        <f>L6/L3</f>
        <v>0.58929547909822033</v>
      </c>
      <c r="M7" s="185">
        <f t="shared" ref="M7:N7" si="0">M6/M3</f>
        <v>0.59401900436263666</v>
      </c>
      <c r="N7" s="185">
        <f t="shared" si="0"/>
        <v>0.49514339797637236</v>
      </c>
      <c r="O7" s="185">
        <f>O6/O3</f>
        <v>0.50855709053153741</v>
      </c>
    </row>
    <row r="8" spans="1:15" ht="19.5" customHeight="1" thickBot="1" x14ac:dyDescent="0.3">
      <c r="A8" s="120" t="str">
        <f>[5]ORÇAMENTO_EXECUTIVO!A7</f>
        <v>INSTALAÇÕES ELÉTRICAS, HIDRÁULICAS, GLP E PREVENTIVAS</v>
      </c>
      <c r="B8" s="119">
        <f>ANÁLISE_CUSTOS!B6</f>
        <v>6325299.1251793317</v>
      </c>
      <c r="C8" s="134">
        <f>'GER_EXECUTIVO CART'!D7+'GER_EXECUTIVO CART'!D15</f>
        <v>414.62781596072193</v>
      </c>
      <c r="D8" s="119">
        <v>4475688.7401999999</v>
      </c>
      <c r="E8" s="134">
        <v>333.15409598869758</v>
      </c>
      <c r="F8" s="83">
        <v>1360169.7608720001</v>
      </c>
      <c r="G8" s="134">
        <v>302.3499799655898</v>
      </c>
      <c r="H8" s="134">
        <v>2677326.3744000001</v>
      </c>
      <c r="I8" s="134">
        <v>295.4592888304548</v>
      </c>
      <c r="J8" s="115"/>
      <c r="K8" s="163" t="s">
        <v>53</v>
      </c>
      <c r="L8" s="164" t="s">
        <v>51</v>
      </c>
      <c r="M8" s="165" t="s">
        <v>52</v>
      </c>
    </row>
    <row r="9" spans="1:15" ht="19.5" customHeight="1" x14ac:dyDescent="0.25">
      <c r="A9" s="123" t="str">
        <f>[5]ORÇAMENTO_EXECUTIVO!A8</f>
        <v>EQUIPAMENTOS E SISTEMAS ESPECIAIS</v>
      </c>
      <c r="B9" s="122">
        <f>ANÁLISE_CUSTOS!B7</f>
        <v>2681510.4620166668</v>
      </c>
      <c r="C9" s="133">
        <f>'GER_EXECUTIVO CART'!D8</f>
        <v>173.10944498160654</v>
      </c>
      <c r="D9" s="122">
        <v>1588014.2849999999</v>
      </c>
      <c r="E9" s="133">
        <v>118.2060447556216</v>
      </c>
      <c r="F9" s="82">
        <v>762092.57000000007</v>
      </c>
      <c r="G9" s="133">
        <v>169.40434929512347</v>
      </c>
      <c r="H9" s="133">
        <v>1127279.77</v>
      </c>
      <c r="I9" s="133">
        <v>159.28357191179106</v>
      </c>
      <c r="J9" s="115"/>
      <c r="K9" s="166" t="s">
        <v>57</v>
      </c>
      <c r="L9" s="167">
        <v>6651.9</v>
      </c>
      <c r="M9" s="168">
        <v>5907.0750961324593</v>
      </c>
      <c r="O9" s="184"/>
    </row>
    <row r="10" spans="1:15" ht="19.5" customHeight="1" x14ac:dyDescent="0.25">
      <c r="A10" s="120" t="str">
        <f>[5]ORÇAMENTO_EXECUTIVO!A9</f>
        <v>IMPERMEABILIZAÇÃO</v>
      </c>
      <c r="B10" s="119">
        <f>ANÁLISE_CUSTOS!B8</f>
        <v>802414.60617499996</v>
      </c>
      <c r="C10" s="134">
        <f>'GER_EXECUTIVO CART'!D9</f>
        <v>52.586140324300992</v>
      </c>
      <c r="D10" s="119">
        <v>803986.97979999997</v>
      </c>
      <c r="E10" s="134">
        <v>59.845885402205845</v>
      </c>
      <c r="F10" s="83">
        <v>294041.79873100005</v>
      </c>
      <c r="G10" s="134">
        <v>65.362085316738771</v>
      </c>
      <c r="H10" s="134">
        <v>530681.64671</v>
      </c>
      <c r="I10" s="134">
        <v>64.527967096157283</v>
      </c>
      <c r="J10" s="124"/>
      <c r="K10" s="123" t="s">
        <v>60</v>
      </c>
      <c r="L10" s="121">
        <v>2651.04</v>
      </c>
      <c r="M10" s="169">
        <v>5321.4146346494208</v>
      </c>
      <c r="N10" s="184">
        <f>133674/N3</f>
        <v>9.9502095012092191</v>
      </c>
    </row>
    <row r="11" spans="1:15" ht="19.5" customHeight="1" x14ac:dyDescent="0.25">
      <c r="A11" s="123" t="s">
        <v>44</v>
      </c>
      <c r="B11" s="122">
        <f>ANÁLISE_CUSTOS!B9</f>
        <v>2181983.0477471007</v>
      </c>
      <c r="C11" s="133">
        <f>'GER_EXECUTIVO CART'!D10</f>
        <v>121.28928389175782</v>
      </c>
      <c r="D11" s="122">
        <v>2222306.6016000002</v>
      </c>
      <c r="E11" s="133">
        <v>165.42047265616569</v>
      </c>
      <c r="F11" s="96">
        <v>723689.27405300003</v>
      </c>
      <c r="G11" s="133">
        <v>160.86774151702951</v>
      </c>
      <c r="H11" s="133">
        <v>1640085.0441660001</v>
      </c>
      <c r="I11" s="133">
        <v>196.03000587653142</v>
      </c>
      <c r="J11" s="115"/>
      <c r="K11" s="120" t="s">
        <v>43</v>
      </c>
      <c r="L11" s="118">
        <v>4969.8599999999997</v>
      </c>
      <c r="M11" s="170">
        <v>5067.6946337834461</v>
      </c>
    </row>
    <row r="12" spans="1:15" ht="22.5" thickBot="1" x14ac:dyDescent="0.3">
      <c r="A12" s="120" t="str">
        <f>[5]ORÇAMENTO_EXECUTIVO!A11</f>
        <v>REVESTIMENTOS E ACABAMENTOS INTERNOS EM TETO</v>
      </c>
      <c r="B12" s="119">
        <f>ANÁLISE_CUSTOS!B10</f>
        <v>1650987.8791083335</v>
      </c>
      <c r="C12" s="134">
        <f>'GER_EXECUTIVO CART'!D11</f>
        <v>108.19728307086223</v>
      </c>
      <c r="D12" s="119">
        <v>761518.52410000004</v>
      </c>
      <c r="E12" s="134">
        <v>56.684687028492014</v>
      </c>
      <c r="F12" s="83">
        <v>186134.367902</v>
      </c>
      <c r="G12" s="134">
        <v>41.37551357559807</v>
      </c>
      <c r="H12" s="134">
        <v>482761.18027200003</v>
      </c>
      <c r="I12" s="134">
        <v>57.701688910775118</v>
      </c>
      <c r="J12" s="115"/>
      <c r="K12" s="171" t="s">
        <v>94</v>
      </c>
      <c r="L12" s="172">
        <f>[1]Obra!$E$13</f>
        <v>7934.9399999999987</v>
      </c>
      <c r="M12" s="173">
        <f>'GER_EXECUTIVO CART'!B18/Amalfi!L12</f>
        <v>7543.7772586636684</v>
      </c>
    </row>
    <row r="13" spans="1:15" ht="19.5" customHeight="1" x14ac:dyDescent="0.25">
      <c r="A13" s="123" t="s">
        <v>8</v>
      </c>
      <c r="B13" s="122">
        <f>ANÁLISE_CUSTOS!B11</f>
        <v>2201208.6940517118</v>
      </c>
      <c r="C13" s="133">
        <f>'GER_EXECUTIVO CART'!D12</f>
        <v>163.99993239606928</v>
      </c>
      <c r="D13" s="122">
        <v>1875621.1569999999</v>
      </c>
      <c r="E13" s="133">
        <v>139.61446098007411</v>
      </c>
      <c r="F13" s="96">
        <v>629165.16104199993</v>
      </c>
      <c r="G13" s="133">
        <v>139.85612627804724</v>
      </c>
      <c r="H13" s="133">
        <v>1116639.781709</v>
      </c>
      <c r="I13" s="133">
        <v>133.46558079352178</v>
      </c>
      <c r="J13" s="115"/>
      <c r="K13" s="115"/>
    </row>
    <row r="14" spans="1:15" ht="19.5" customHeight="1" x14ac:dyDescent="0.25">
      <c r="A14" s="120" t="str">
        <f>[5]ORÇAMENTO_EXECUTIVO!A13</f>
        <v>PINTURA INTERNA</v>
      </c>
      <c r="B14" s="119">
        <f>ANÁLISE_CUSTOS!B12</f>
        <v>2472056.1793083544</v>
      </c>
      <c r="C14" s="134">
        <f>'GER_EXECUTIVO CART'!D13</f>
        <v>163.94097140966116</v>
      </c>
      <c r="D14" s="119">
        <v>1833810.4454000001</v>
      </c>
      <c r="E14" s="134">
        <v>136.50222270026924</v>
      </c>
      <c r="F14" s="83">
        <v>632045.41450100008</v>
      </c>
      <c r="G14" s="134">
        <v>140.49637325359109</v>
      </c>
      <c r="H14" s="134">
        <v>1143520.2357999999</v>
      </c>
      <c r="I14" s="134">
        <v>136.67844807267076</v>
      </c>
      <c r="J14" s="124"/>
      <c r="K14" s="115"/>
    </row>
    <row r="15" spans="1:15" ht="19.5" customHeight="1" x14ac:dyDescent="0.25">
      <c r="A15" s="123" t="str">
        <f>[5]ORÇAMENTO_EXECUTIVO!A14</f>
        <v>ESQUADRIAS, VIDROS E FERRAGENS</v>
      </c>
      <c r="B15" s="122">
        <f>ANÁLISE_CUSTOS!B13</f>
        <v>4972980.9791717418</v>
      </c>
      <c r="C15" s="133">
        <f>'GER_EXECUTIVO CART'!D14</f>
        <v>325.9036831936379</v>
      </c>
      <c r="D15" s="122">
        <v>3007096.1461</v>
      </c>
      <c r="E15" s="133">
        <v>223.83737034856324</v>
      </c>
      <c r="F15" s="96">
        <v>1052268.906036</v>
      </c>
      <c r="G15" s="133">
        <v>233.90718703702882</v>
      </c>
      <c r="H15" s="133">
        <v>2795225.8368060002</v>
      </c>
      <c r="I15" s="133">
        <v>334.09739279340226</v>
      </c>
      <c r="J15" s="115"/>
      <c r="K15" s="115"/>
    </row>
    <row r="16" spans="1:15" ht="19.5" customHeight="1" x14ac:dyDescent="0.6">
      <c r="A16" s="120" t="s">
        <v>19</v>
      </c>
      <c r="B16" s="119">
        <v>0</v>
      </c>
      <c r="C16" s="134">
        <v>0</v>
      </c>
      <c r="D16" s="119">
        <v>0</v>
      </c>
      <c r="E16" s="134">
        <v>0</v>
      </c>
      <c r="F16" s="83">
        <v>66484.628326000005</v>
      </c>
      <c r="G16" s="134">
        <v>14.778762637318669</v>
      </c>
      <c r="H16" s="134">
        <v>123462.33310000002</v>
      </c>
      <c r="I16" s="134">
        <v>14.756748114504274</v>
      </c>
      <c r="J16" s="124"/>
      <c r="K16" s="109"/>
    </row>
    <row r="17" spans="1:14" ht="19.5" customHeight="1" x14ac:dyDescent="0.6">
      <c r="A17" s="123" t="s">
        <v>11</v>
      </c>
      <c r="B17" s="122">
        <f>ANÁLISE_CUSTOS!B14</f>
        <v>2575359.9868533504</v>
      </c>
      <c r="C17" s="133">
        <f>'GER_EXECUTIVO CART'!D16</f>
        <v>165.05702399583092</v>
      </c>
      <c r="D17" s="122">
        <v>2182960.0170999998</v>
      </c>
      <c r="E17" s="133">
        <v>162.49165509304919</v>
      </c>
      <c r="F17" s="82">
        <v>547328.17980000004</v>
      </c>
      <c r="G17" s="133">
        <v>121.66471344800453</v>
      </c>
      <c r="H17" s="133">
        <v>1248713.6719599999</v>
      </c>
      <c r="I17" s="133">
        <v>149.25161919082052</v>
      </c>
      <c r="J17" s="115"/>
      <c r="K17" s="109"/>
    </row>
    <row r="18" spans="1:14" ht="19.5" customHeight="1" x14ac:dyDescent="0.6">
      <c r="A18" s="120" t="s">
        <v>12</v>
      </c>
      <c r="B18" s="119">
        <f>ANÁLISE_CUSTOS!B15</f>
        <v>2465512.4706464191</v>
      </c>
      <c r="C18" s="134">
        <f>'GER_EXECUTIVO CART'!D17</f>
        <v>161.57704976328739</v>
      </c>
      <c r="D18" s="119">
        <v>2223087.1609999998</v>
      </c>
      <c r="E18" s="134">
        <v>165.47857467718799</v>
      </c>
      <c r="F18" s="83">
        <v>1085298.838128</v>
      </c>
      <c r="G18" s="134">
        <v>241.24935828179949</v>
      </c>
      <c r="H18" s="134">
        <v>1521821.8701000002</v>
      </c>
      <c r="I18" s="134">
        <v>181.89468357138591</v>
      </c>
      <c r="J18" s="115"/>
      <c r="K18" s="109"/>
    </row>
    <row r="19" spans="1:14" ht="19.5" customHeight="1" thickBot="1" x14ac:dyDescent="0.65">
      <c r="A19" s="117" t="s">
        <v>13</v>
      </c>
      <c r="B19" s="116" t="e">
        <f>SUM(B3:B18)</f>
        <v>#REF!</v>
      </c>
      <c r="C19" s="135">
        <f>SUM(C3:C18)</f>
        <v>3836.4414142839728</v>
      </c>
      <c r="D19" s="84">
        <f>SUM(D3:D18)</f>
        <v>38712584.070900001</v>
      </c>
      <c r="E19" s="135">
        <f>SUM(E3:E18)</f>
        <v>2881.6248622666326</v>
      </c>
      <c r="F19" s="135">
        <f>SUM(F4:F18)</f>
        <v>11620629.303744001</v>
      </c>
      <c r="G19" s="135">
        <f>SUM(G3:G18)</f>
        <v>3104.8389616110139</v>
      </c>
      <c r="H19" s="135">
        <f>SUM(H4:H18)</f>
        <v>21771867.785547998</v>
      </c>
      <c r="I19" s="135">
        <f>SUM(I3:I18)</f>
        <v>3000.0565269413737</v>
      </c>
      <c r="J19" s="115"/>
      <c r="K19" s="112"/>
    </row>
    <row r="20" spans="1:14" ht="21.75" customHeight="1" x14ac:dyDescent="0.6">
      <c r="A20" s="109"/>
      <c r="B20" s="109"/>
      <c r="C20" s="109"/>
      <c r="D20" s="110"/>
      <c r="E20" s="109"/>
      <c r="F20" s="109"/>
      <c r="G20" s="111"/>
      <c r="H20" s="109"/>
      <c r="I20" s="111"/>
      <c r="J20" s="109"/>
      <c r="L20" s="114"/>
      <c r="M20" s="112"/>
    </row>
    <row r="21" spans="1:14" ht="21.75" customHeight="1" x14ac:dyDescent="0.6">
      <c r="A21" s="109"/>
      <c r="B21" s="109"/>
      <c r="C21" s="109"/>
      <c r="D21" s="110"/>
      <c r="E21" s="109"/>
      <c r="F21" s="109"/>
      <c r="G21" s="111"/>
      <c r="H21" s="109"/>
      <c r="I21" s="111"/>
      <c r="J21" s="109"/>
      <c r="L21" s="114"/>
      <c r="M21" s="112"/>
    </row>
    <row r="22" spans="1:14" ht="21.75" customHeight="1" x14ac:dyDescent="0.6">
      <c r="A22" s="109"/>
      <c r="B22" s="109"/>
      <c r="C22" s="109"/>
      <c r="D22" s="110"/>
      <c r="E22" s="109"/>
      <c r="F22" s="109"/>
      <c r="G22" s="111"/>
      <c r="H22" s="109"/>
      <c r="I22" s="111"/>
      <c r="J22" s="109"/>
      <c r="L22" s="114"/>
      <c r="M22" s="112"/>
    </row>
    <row r="23" spans="1:14" ht="21.75" customHeight="1" x14ac:dyDescent="0.6">
      <c r="A23" s="109"/>
      <c r="B23" s="109"/>
      <c r="C23" s="109"/>
      <c r="D23" s="110"/>
      <c r="E23" s="109"/>
      <c r="F23" s="109"/>
      <c r="G23" s="111"/>
      <c r="H23" s="109"/>
      <c r="I23" s="111"/>
      <c r="J23" s="109"/>
      <c r="L23" s="114"/>
      <c r="M23" s="112"/>
    </row>
    <row r="24" spans="1:14" ht="21.75" customHeight="1" x14ac:dyDescent="0.6">
      <c r="A24" s="109"/>
      <c r="B24" s="109"/>
      <c r="C24" s="109"/>
      <c r="D24" s="110"/>
      <c r="E24" s="109"/>
      <c r="F24" s="109"/>
      <c r="G24" s="113"/>
      <c r="H24" s="109"/>
      <c r="I24" s="113"/>
      <c r="J24" s="109"/>
      <c r="L24" s="114"/>
      <c r="M24" s="112"/>
      <c r="N24" s="112"/>
    </row>
    <row r="25" spans="1:14" ht="21.75" customHeight="1" x14ac:dyDescent="0.6">
      <c r="A25" s="109"/>
      <c r="B25" s="109"/>
      <c r="C25" s="109"/>
      <c r="D25" s="110"/>
      <c r="E25" s="110"/>
      <c r="F25" s="110"/>
      <c r="G25" s="113"/>
      <c r="H25" s="110"/>
      <c r="I25" s="113"/>
      <c r="J25" s="109"/>
      <c r="K25" s="109"/>
      <c r="N25" s="112"/>
    </row>
    <row r="26" spans="1:14" ht="21.75" customHeight="1" x14ac:dyDescent="0.6">
      <c r="A26" s="109"/>
      <c r="B26" s="109"/>
      <c r="C26" s="109"/>
      <c r="D26" s="110"/>
      <c r="E26" s="110"/>
      <c r="F26" s="110"/>
      <c r="G26" s="113"/>
      <c r="H26" s="110"/>
      <c r="I26" s="113"/>
      <c r="J26" s="109"/>
      <c r="K26" s="109"/>
      <c r="N26" s="112"/>
    </row>
    <row r="27" spans="1:14" ht="21.75" customHeight="1" x14ac:dyDescent="0.6">
      <c r="A27" s="109"/>
      <c r="B27" s="109"/>
      <c r="C27" s="109"/>
      <c r="D27" s="110"/>
      <c r="E27" s="110"/>
      <c r="F27" s="110"/>
      <c r="G27" s="113"/>
      <c r="H27" s="110"/>
      <c r="I27" s="113"/>
      <c r="J27" s="109"/>
      <c r="K27" s="109"/>
      <c r="N27" s="112"/>
    </row>
    <row r="28" spans="1:14" ht="21.75" customHeight="1" x14ac:dyDescent="0.6">
      <c r="A28" s="109"/>
      <c r="B28" s="109"/>
      <c r="C28" s="109"/>
      <c r="D28" s="110"/>
      <c r="E28" s="110"/>
      <c r="F28" s="110"/>
      <c r="G28" s="113"/>
      <c r="H28" s="110"/>
      <c r="I28" s="113"/>
      <c r="J28" s="109"/>
      <c r="K28" s="109"/>
      <c r="N28" s="112"/>
    </row>
    <row r="29" spans="1:14" ht="21.75" customHeight="1" x14ac:dyDescent="0.6">
      <c r="A29" s="109"/>
      <c r="B29" s="109"/>
      <c r="C29" s="109"/>
      <c r="D29" s="110"/>
      <c r="E29" s="109"/>
      <c r="F29" s="109"/>
      <c r="G29" s="111"/>
      <c r="H29" s="109"/>
      <c r="I29" s="111"/>
      <c r="J29" s="109"/>
      <c r="K29" s="109"/>
    </row>
    <row r="30" spans="1:14" ht="21.75" customHeight="1" x14ac:dyDescent="0.6">
      <c r="A30" s="109"/>
      <c r="B30" s="109"/>
      <c r="C30" s="109"/>
      <c r="D30" s="110"/>
      <c r="E30" s="109"/>
      <c r="F30" s="109"/>
      <c r="G30" s="111"/>
      <c r="H30" s="109"/>
      <c r="I30" s="111"/>
      <c r="J30" s="109"/>
      <c r="K30" s="109"/>
    </row>
    <row r="31" spans="1:14" ht="21.75" customHeight="1" x14ac:dyDescent="0.6">
      <c r="A31" s="109"/>
      <c r="B31" s="109"/>
      <c r="C31" s="109"/>
      <c r="D31" s="110"/>
      <c r="E31" s="109"/>
      <c r="F31" s="109"/>
      <c r="G31" s="111"/>
      <c r="H31" s="109"/>
      <c r="I31" s="111"/>
      <c r="J31" s="109"/>
      <c r="K31" s="109"/>
    </row>
    <row r="32" spans="1:14" ht="21.75" customHeight="1" x14ac:dyDescent="0.6">
      <c r="A32" s="109"/>
      <c r="B32" s="109"/>
      <c r="C32" s="109"/>
      <c r="D32" s="110"/>
      <c r="E32" s="109"/>
      <c r="F32" s="109"/>
      <c r="G32" s="111"/>
      <c r="H32" s="109"/>
      <c r="I32" s="111"/>
      <c r="J32" s="109"/>
      <c r="K32" s="109"/>
    </row>
    <row r="33" spans="1:11" ht="21.75" customHeight="1" x14ac:dyDescent="0.6">
      <c r="A33" s="109"/>
      <c r="B33" s="109"/>
      <c r="C33" s="109"/>
      <c r="D33" s="110"/>
      <c r="E33" s="109"/>
      <c r="F33" s="109"/>
      <c r="G33" s="111"/>
      <c r="H33" s="109"/>
      <c r="I33" s="111"/>
      <c r="J33" s="109"/>
      <c r="K33" s="109"/>
    </row>
    <row r="34" spans="1:11" ht="21.75" customHeight="1" x14ac:dyDescent="0.6">
      <c r="A34" s="109"/>
      <c r="B34" s="109"/>
      <c r="C34" s="109"/>
      <c r="D34" s="110"/>
      <c r="E34" s="109"/>
      <c r="F34" s="109"/>
      <c r="G34" s="111"/>
      <c r="H34" s="109"/>
      <c r="I34" s="111"/>
      <c r="J34" s="109"/>
      <c r="K34" s="109"/>
    </row>
    <row r="35" spans="1:11" ht="21.75" customHeight="1" x14ac:dyDescent="0.6">
      <c r="A35" s="109"/>
      <c r="B35" s="109"/>
      <c r="C35" s="109"/>
      <c r="D35" s="110"/>
      <c r="E35" s="109"/>
      <c r="F35" s="109"/>
      <c r="G35" s="111"/>
      <c r="H35" s="109"/>
      <c r="I35" s="111"/>
      <c r="J35" s="109"/>
      <c r="K35" s="109"/>
    </row>
    <row r="36" spans="1:11" ht="21.75" customHeight="1" x14ac:dyDescent="0.6">
      <c r="A36" s="109"/>
      <c r="B36" s="109"/>
      <c r="C36" s="109"/>
      <c r="D36" s="110"/>
      <c r="E36" s="109"/>
      <c r="F36" s="109"/>
      <c r="G36" s="111"/>
      <c r="H36" s="109"/>
      <c r="I36" s="111"/>
      <c r="J36" s="109"/>
      <c r="K36" s="109"/>
    </row>
    <row r="37" spans="1:11" ht="21.75" customHeight="1" x14ac:dyDescent="0.6">
      <c r="A37" s="109"/>
      <c r="B37" s="109"/>
      <c r="C37" s="109"/>
      <c r="D37" s="110"/>
      <c r="E37" s="109"/>
      <c r="F37" s="109"/>
      <c r="G37" s="111"/>
      <c r="H37" s="109"/>
      <c r="I37" s="111"/>
      <c r="J37" s="109"/>
      <c r="K37" s="109"/>
    </row>
    <row r="38" spans="1:11" ht="21.75" customHeight="1" x14ac:dyDescent="0.6">
      <c r="A38" s="109"/>
      <c r="B38" s="109"/>
      <c r="C38" s="109"/>
      <c r="D38" s="110"/>
      <c r="E38" s="109"/>
      <c r="F38" s="109"/>
      <c r="G38" s="111"/>
      <c r="H38" s="109"/>
      <c r="I38" s="111"/>
      <c r="J38" s="109"/>
      <c r="K38" s="109"/>
    </row>
    <row r="39" spans="1:11" ht="21.75" customHeight="1" x14ac:dyDescent="0.6">
      <c r="A39" s="109"/>
      <c r="B39" s="109"/>
      <c r="C39" s="109"/>
      <c r="D39" s="110"/>
      <c r="E39" s="109"/>
      <c r="F39" s="109"/>
      <c r="G39" s="111"/>
      <c r="H39" s="109"/>
      <c r="I39" s="111"/>
      <c r="J39" s="109"/>
      <c r="K39" s="109"/>
    </row>
    <row r="40" spans="1:11" ht="21.75" customHeight="1" x14ac:dyDescent="0.6">
      <c r="A40" s="109"/>
      <c r="B40" s="109"/>
      <c r="C40" s="109"/>
      <c r="D40" s="110"/>
      <c r="E40" s="109"/>
      <c r="F40" s="109"/>
      <c r="G40" s="111"/>
      <c r="H40" s="109"/>
      <c r="I40" s="111"/>
      <c r="J40" s="109"/>
      <c r="K40" s="109"/>
    </row>
    <row r="41" spans="1:11" ht="21.75" customHeight="1" x14ac:dyDescent="0.6">
      <c r="A41" s="109"/>
      <c r="B41" s="109"/>
      <c r="C41" s="109"/>
      <c r="D41" s="110"/>
      <c r="E41" s="109"/>
      <c r="F41" s="109"/>
      <c r="G41" s="111"/>
      <c r="H41" s="109"/>
      <c r="I41" s="111"/>
      <c r="J41" s="109"/>
      <c r="K41" s="109"/>
    </row>
    <row r="42" spans="1:11" ht="21.75" customHeight="1" x14ac:dyDescent="0.6">
      <c r="A42" s="109"/>
      <c r="B42" s="109"/>
      <c r="C42" s="109"/>
      <c r="D42" s="110"/>
      <c r="E42" s="109"/>
      <c r="F42" s="109"/>
      <c r="G42" s="111"/>
      <c r="H42" s="109"/>
      <c r="I42" s="111"/>
      <c r="J42" s="109"/>
      <c r="K42" s="109"/>
    </row>
    <row r="43" spans="1:11" ht="21.75" customHeight="1" x14ac:dyDescent="0.6">
      <c r="A43" s="109"/>
      <c r="B43" s="109"/>
      <c r="C43" s="109"/>
      <c r="D43" s="110"/>
      <c r="E43" s="109"/>
      <c r="F43" s="109"/>
      <c r="G43" s="111"/>
      <c r="H43" s="109"/>
      <c r="I43" s="111"/>
      <c r="J43" s="109"/>
      <c r="K43" s="109"/>
    </row>
    <row r="44" spans="1:11" ht="21.75" customHeight="1" x14ac:dyDescent="0.6">
      <c r="A44" s="109"/>
      <c r="B44" s="109"/>
      <c r="C44" s="109"/>
      <c r="D44" s="110"/>
      <c r="E44" s="109"/>
      <c r="F44" s="109"/>
      <c r="G44" s="111"/>
      <c r="H44" s="109"/>
      <c r="I44" s="111"/>
      <c r="J44" s="109"/>
      <c r="K44" s="109"/>
    </row>
    <row r="45" spans="1:11" ht="21.75" customHeight="1" x14ac:dyDescent="0.6">
      <c r="A45" s="109"/>
      <c r="B45" s="109"/>
      <c r="C45" s="109"/>
      <c r="D45" s="110"/>
      <c r="E45" s="109"/>
      <c r="F45" s="109"/>
      <c r="G45" s="111"/>
      <c r="H45" s="109"/>
      <c r="I45" s="111"/>
      <c r="J45" s="109"/>
      <c r="K45" s="109"/>
    </row>
    <row r="46" spans="1:11" ht="21.75" customHeight="1" x14ac:dyDescent="0.6">
      <c r="A46" s="109"/>
      <c r="B46" s="109"/>
      <c r="C46" s="109"/>
      <c r="D46" s="110"/>
      <c r="E46" s="109"/>
      <c r="F46" s="109"/>
      <c r="G46" s="111"/>
      <c r="H46" s="109"/>
      <c r="I46" s="111"/>
      <c r="J46" s="109"/>
      <c r="K46" s="109"/>
    </row>
    <row r="47" spans="1:11" ht="21.75" customHeight="1" x14ac:dyDescent="0.6">
      <c r="A47" s="109"/>
      <c r="B47" s="109"/>
      <c r="C47" s="109"/>
      <c r="D47" s="110"/>
      <c r="E47" s="109"/>
      <c r="F47" s="109"/>
      <c r="G47" s="111"/>
      <c r="H47" s="109"/>
      <c r="I47" s="111"/>
      <c r="J47" s="109"/>
      <c r="K47" s="109"/>
    </row>
    <row r="48" spans="1:11" ht="21.75" customHeight="1" x14ac:dyDescent="0.6">
      <c r="A48" s="109"/>
      <c r="B48" s="109"/>
      <c r="C48" s="109"/>
      <c r="D48" s="110"/>
      <c r="E48" s="109"/>
      <c r="F48" s="109"/>
      <c r="G48" s="111"/>
      <c r="H48" s="109"/>
      <c r="I48" s="111"/>
      <c r="J48" s="109"/>
      <c r="K48" s="109"/>
    </row>
    <row r="49" spans="1:11" ht="21.75" customHeight="1" x14ac:dyDescent="0.6">
      <c r="A49" s="109"/>
      <c r="B49" s="109"/>
      <c r="C49" s="109"/>
      <c r="D49" s="110"/>
      <c r="E49" s="109"/>
      <c r="F49" s="109"/>
      <c r="G49" s="111"/>
      <c r="H49" s="109"/>
      <c r="I49" s="111"/>
      <c r="J49" s="109"/>
      <c r="K49" s="109"/>
    </row>
    <row r="50" spans="1:11" ht="21.75" customHeight="1" x14ac:dyDescent="0.6">
      <c r="A50" s="109"/>
      <c r="B50" s="109"/>
      <c r="C50" s="109"/>
      <c r="D50" s="110"/>
      <c r="E50" s="109"/>
      <c r="F50" s="109"/>
      <c r="G50" s="111"/>
      <c r="H50" s="109"/>
      <c r="I50" s="111"/>
      <c r="J50" s="109"/>
      <c r="K50" s="109"/>
    </row>
    <row r="51" spans="1:11" ht="21.75" customHeight="1" x14ac:dyDescent="0.6">
      <c r="A51" s="109"/>
      <c r="B51" s="109"/>
      <c r="C51" s="109"/>
      <c r="D51" s="110"/>
      <c r="E51" s="109"/>
      <c r="F51" s="109"/>
      <c r="G51" s="111"/>
      <c r="H51" s="109"/>
      <c r="I51" s="111"/>
      <c r="J51" s="109"/>
      <c r="K51" s="109"/>
    </row>
    <row r="52" spans="1:11" ht="21.75" customHeight="1" x14ac:dyDescent="0.6">
      <c r="A52" s="109"/>
      <c r="B52" s="109"/>
      <c r="C52" s="109"/>
      <c r="D52" s="110"/>
      <c r="E52" s="109"/>
      <c r="F52" s="109"/>
      <c r="G52" s="111"/>
      <c r="H52" s="109"/>
      <c r="I52" s="111"/>
      <c r="J52" s="109"/>
      <c r="K52" s="109"/>
    </row>
    <row r="53" spans="1:11" ht="21.75" customHeight="1" x14ac:dyDescent="0.6">
      <c r="A53" s="109"/>
      <c r="B53" s="109"/>
      <c r="C53" s="109"/>
      <c r="D53" s="110"/>
      <c r="E53" s="109"/>
      <c r="F53" s="109"/>
      <c r="G53" s="111"/>
      <c r="H53" s="109"/>
      <c r="I53" s="111"/>
      <c r="J53" s="109"/>
      <c r="K53" s="109"/>
    </row>
    <row r="54" spans="1:11" ht="21.75" customHeight="1" x14ac:dyDescent="0.6">
      <c r="A54" s="109"/>
      <c r="B54" s="109"/>
      <c r="C54" s="109"/>
      <c r="D54" s="110"/>
      <c r="E54" s="109"/>
      <c r="F54" s="109"/>
      <c r="G54" s="111"/>
      <c r="H54" s="109"/>
      <c r="I54" s="111"/>
      <c r="J54" s="109"/>
      <c r="K54" s="109"/>
    </row>
    <row r="55" spans="1:11" ht="21.75" customHeight="1" x14ac:dyDescent="0.6">
      <c r="A55" s="109"/>
      <c r="B55" s="109"/>
      <c r="C55" s="109"/>
      <c r="D55" s="110"/>
      <c r="E55" s="109"/>
      <c r="F55" s="109"/>
      <c r="G55" s="111"/>
      <c r="H55" s="109"/>
      <c r="I55" s="111"/>
      <c r="J55" s="109"/>
      <c r="K55" s="109"/>
    </row>
    <row r="56" spans="1:11" ht="21.75" customHeight="1" x14ac:dyDescent="0.6">
      <c r="A56" s="109"/>
      <c r="B56" s="109"/>
      <c r="C56" s="109"/>
      <c r="D56" s="110"/>
      <c r="E56" s="109"/>
      <c r="F56" s="109"/>
      <c r="G56" s="111"/>
      <c r="H56" s="109"/>
      <c r="I56" s="111"/>
      <c r="J56" s="109"/>
      <c r="K56" s="109"/>
    </row>
    <row r="57" spans="1:11" ht="21.75" customHeight="1" x14ac:dyDescent="0.6">
      <c r="A57" s="109"/>
      <c r="B57" s="109"/>
      <c r="C57" s="109"/>
      <c r="D57" s="110"/>
      <c r="E57" s="109"/>
      <c r="F57" s="109"/>
      <c r="G57" s="111"/>
      <c r="H57" s="109"/>
      <c r="I57" s="111"/>
      <c r="J57" s="109"/>
      <c r="K57" s="109"/>
    </row>
    <row r="58" spans="1:11" ht="21.75" customHeight="1" x14ac:dyDescent="0.6">
      <c r="A58" s="109"/>
      <c r="B58" s="109"/>
      <c r="C58" s="109"/>
      <c r="D58" s="110"/>
      <c r="E58" s="109"/>
      <c r="F58" s="109"/>
      <c r="G58" s="111"/>
      <c r="H58" s="109"/>
      <c r="I58" s="111"/>
      <c r="J58" s="109"/>
      <c r="K58" s="109"/>
    </row>
    <row r="59" spans="1:11" ht="21.75" customHeight="1" x14ac:dyDescent="0.6">
      <c r="A59" s="109"/>
      <c r="B59" s="109"/>
      <c r="C59" s="109"/>
      <c r="D59" s="110"/>
      <c r="E59" s="109"/>
      <c r="F59" s="109"/>
      <c r="G59" s="111"/>
      <c r="H59" s="109"/>
      <c r="I59" s="111"/>
      <c r="J59" s="109"/>
      <c r="K59" s="109"/>
    </row>
    <row r="60" spans="1:11" ht="21.75" customHeight="1" x14ac:dyDescent="0.6">
      <c r="A60" s="109"/>
      <c r="B60" s="109"/>
      <c r="C60" s="109"/>
      <c r="D60" s="110"/>
      <c r="E60" s="109"/>
      <c r="F60" s="109"/>
      <c r="G60" s="111"/>
      <c r="H60" s="109"/>
      <c r="I60" s="111"/>
      <c r="J60" s="109"/>
      <c r="K60" s="109"/>
    </row>
    <row r="61" spans="1:11" ht="21.75" customHeight="1" x14ac:dyDescent="0.6">
      <c r="A61" s="109"/>
      <c r="B61" s="109"/>
      <c r="C61" s="109"/>
      <c r="D61" s="110"/>
      <c r="E61" s="109"/>
      <c r="F61" s="109"/>
      <c r="G61" s="111"/>
      <c r="H61" s="109"/>
      <c r="I61" s="111"/>
      <c r="J61" s="109"/>
      <c r="K61" s="109"/>
    </row>
    <row r="62" spans="1:11" ht="21.75" customHeight="1" x14ac:dyDescent="0.6">
      <c r="A62" s="109"/>
      <c r="B62" s="109"/>
      <c r="C62" s="109"/>
      <c r="D62" s="110"/>
      <c r="E62" s="109"/>
      <c r="F62" s="109"/>
      <c r="G62" s="111"/>
      <c r="H62" s="109"/>
      <c r="I62" s="111"/>
      <c r="J62" s="109"/>
      <c r="K62" s="109"/>
    </row>
    <row r="63" spans="1:11" ht="21.75" customHeight="1" x14ac:dyDescent="0.6">
      <c r="A63" s="109"/>
      <c r="B63" s="109"/>
      <c r="C63" s="109"/>
      <c r="D63" s="110"/>
      <c r="E63" s="109"/>
      <c r="F63" s="109"/>
      <c r="G63" s="111"/>
      <c r="H63" s="109"/>
      <c r="I63" s="111"/>
      <c r="J63" s="109"/>
      <c r="K63" s="109"/>
    </row>
    <row r="64" spans="1:11" ht="21.75" customHeight="1" x14ac:dyDescent="0.6">
      <c r="A64" s="109"/>
      <c r="B64" s="109"/>
      <c r="C64" s="109"/>
      <c r="D64" s="110"/>
      <c r="E64" s="109"/>
      <c r="F64" s="109"/>
      <c r="G64" s="111"/>
      <c r="H64" s="109"/>
      <c r="I64" s="111"/>
      <c r="J64" s="109"/>
      <c r="K64" s="109"/>
    </row>
    <row r="65" spans="1:11" ht="21.75" customHeight="1" x14ac:dyDescent="0.6">
      <c r="A65" s="109"/>
      <c r="B65" s="109"/>
      <c r="C65" s="109"/>
      <c r="D65" s="110"/>
      <c r="E65" s="109"/>
      <c r="F65" s="109"/>
      <c r="G65" s="111"/>
      <c r="H65" s="109"/>
      <c r="I65" s="111"/>
      <c r="J65" s="109"/>
      <c r="K65" s="109"/>
    </row>
    <row r="66" spans="1:11" ht="21.75" customHeight="1" x14ac:dyDescent="0.6">
      <c r="A66" s="109"/>
      <c r="B66" s="109"/>
      <c r="C66" s="109"/>
      <c r="D66" s="110"/>
      <c r="E66" s="109"/>
      <c r="F66" s="109"/>
      <c r="G66" s="111"/>
      <c r="H66" s="109"/>
      <c r="I66" s="111"/>
      <c r="J66" s="109"/>
      <c r="K66" s="109"/>
    </row>
    <row r="67" spans="1:11" ht="21.75" customHeight="1" x14ac:dyDescent="0.6">
      <c r="A67" s="109"/>
      <c r="B67" s="109"/>
      <c r="C67" s="109"/>
      <c r="D67" s="110"/>
      <c r="E67" s="109"/>
      <c r="F67" s="109"/>
      <c r="G67" s="111"/>
      <c r="H67" s="109"/>
      <c r="I67" s="111"/>
      <c r="J67" s="109"/>
      <c r="K67" s="109"/>
    </row>
    <row r="68" spans="1:11" ht="21.75" customHeight="1" x14ac:dyDescent="0.6">
      <c r="A68" s="109"/>
      <c r="B68" s="109"/>
      <c r="C68" s="109"/>
      <c r="D68" s="110"/>
      <c r="E68" s="109"/>
      <c r="F68" s="109"/>
      <c r="G68" s="111"/>
      <c r="H68" s="109"/>
      <c r="I68" s="111"/>
      <c r="J68" s="109"/>
      <c r="K68" s="109"/>
    </row>
    <row r="69" spans="1:11" ht="21.75" customHeight="1" x14ac:dyDescent="0.6">
      <c r="A69" s="109"/>
      <c r="B69" s="109"/>
      <c r="C69" s="109"/>
      <c r="D69" s="110"/>
      <c r="E69" s="109"/>
      <c r="F69" s="109"/>
      <c r="G69" s="111"/>
      <c r="H69" s="109"/>
      <c r="I69" s="111"/>
      <c r="J69" s="109"/>
      <c r="K69" s="109"/>
    </row>
    <row r="70" spans="1:11" ht="21.75" customHeight="1" x14ac:dyDescent="0.6">
      <c r="A70" s="109"/>
      <c r="B70" s="109"/>
      <c r="C70" s="109"/>
      <c r="D70" s="110"/>
      <c r="E70" s="109"/>
      <c r="F70" s="109"/>
      <c r="G70" s="111"/>
      <c r="H70" s="109"/>
      <c r="I70" s="111"/>
      <c r="J70" s="109"/>
      <c r="K70" s="109"/>
    </row>
    <row r="71" spans="1:11" ht="21.75" customHeight="1" x14ac:dyDescent="0.6">
      <c r="A71" s="109"/>
      <c r="B71" s="109"/>
      <c r="C71" s="109"/>
      <c r="D71" s="110"/>
      <c r="E71" s="109"/>
      <c r="F71" s="109"/>
      <c r="G71" s="111"/>
      <c r="H71" s="109"/>
      <c r="I71" s="111"/>
      <c r="J71" s="109"/>
      <c r="K71" s="109"/>
    </row>
    <row r="72" spans="1:11" ht="21.75" customHeight="1" x14ac:dyDescent="0.6">
      <c r="A72" s="109"/>
      <c r="B72" s="109"/>
      <c r="C72" s="109"/>
      <c r="D72" s="110"/>
      <c r="E72" s="109"/>
      <c r="F72" s="109"/>
      <c r="G72" s="111"/>
      <c r="H72" s="109"/>
      <c r="I72" s="111"/>
      <c r="J72" s="109"/>
      <c r="K72" s="109"/>
    </row>
    <row r="73" spans="1:11" ht="21.75" customHeight="1" x14ac:dyDescent="0.6">
      <c r="A73" s="109"/>
      <c r="B73" s="109"/>
      <c r="C73" s="109"/>
      <c r="D73" s="110"/>
      <c r="E73" s="109"/>
      <c r="F73" s="109"/>
      <c r="G73" s="111"/>
      <c r="H73" s="109"/>
      <c r="I73" s="111"/>
      <c r="J73" s="109"/>
      <c r="K73" s="109"/>
    </row>
    <row r="74" spans="1:11" ht="21.75" customHeight="1" x14ac:dyDescent="0.6">
      <c r="A74" s="109"/>
      <c r="B74" s="109"/>
      <c r="C74" s="109"/>
      <c r="D74" s="110"/>
      <c r="E74" s="109"/>
      <c r="F74" s="109"/>
      <c r="G74" s="111"/>
      <c r="H74" s="109"/>
      <c r="I74" s="111"/>
      <c r="J74" s="109"/>
      <c r="K74" s="109"/>
    </row>
    <row r="75" spans="1:11" ht="21.75" customHeight="1" x14ac:dyDescent="0.6">
      <c r="A75" s="109"/>
      <c r="B75" s="109"/>
      <c r="C75" s="109"/>
      <c r="D75" s="110"/>
      <c r="E75" s="109"/>
      <c r="F75" s="109"/>
      <c r="G75" s="111"/>
      <c r="H75" s="109"/>
      <c r="I75" s="111"/>
      <c r="J75" s="109"/>
      <c r="K75" s="109"/>
    </row>
    <row r="76" spans="1:11" ht="21.75" customHeight="1" x14ac:dyDescent="0.6">
      <c r="A76" s="109"/>
      <c r="B76" s="109"/>
      <c r="C76" s="109"/>
      <c r="D76" s="110"/>
      <c r="E76" s="109"/>
      <c r="F76" s="109"/>
      <c r="G76" s="111"/>
      <c r="H76" s="109"/>
      <c r="I76" s="111"/>
      <c r="J76" s="109"/>
      <c r="K76" s="109"/>
    </row>
    <row r="77" spans="1:11" ht="21.75" customHeight="1" x14ac:dyDescent="0.6">
      <c r="A77" s="109"/>
      <c r="B77" s="109"/>
      <c r="C77" s="109"/>
      <c r="D77" s="110"/>
      <c r="E77" s="109"/>
      <c r="F77" s="109"/>
      <c r="G77" s="111"/>
      <c r="H77" s="109"/>
      <c r="I77" s="111"/>
      <c r="J77" s="109"/>
      <c r="K77" s="109"/>
    </row>
    <row r="78" spans="1:11" ht="21.75" customHeight="1" x14ac:dyDescent="0.6">
      <c r="A78" s="109"/>
      <c r="B78" s="109"/>
      <c r="C78" s="109"/>
      <c r="D78" s="110"/>
      <c r="E78" s="109"/>
      <c r="F78" s="109"/>
      <c r="G78" s="111"/>
      <c r="H78" s="109"/>
      <c r="I78" s="111"/>
      <c r="J78" s="109"/>
      <c r="K78" s="109"/>
    </row>
    <row r="79" spans="1:11" ht="21.75" customHeight="1" x14ac:dyDescent="0.6">
      <c r="A79" s="109"/>
      <c r="B79" s="109"/>
      <c r="C79" s="109"/>
      <c r="D79" s="110"/>
      <c r="E79" s="109"/>
      <c r="F79" s="109"/>
      <c r="G79" s="111"/>
      <c r="H79" s="109"/>
      <c r="I79" s="111"/>
      <c r="J79" s="109"/>
      <c r="K79" s="109"/>
    </row>
    <row r="80" spans="1:11" ht="21.75" customHeight="1" x14ac:dyDescent="0.6">
      <c r="A80" s="109"/>
      <c r="B80" s="109"/>
      <c r="C80" s="109"/>
      <c r="D80" s="110"/>
      <c r="E80" s="109"/>
      <c r="F80" s="109"/>
      <c r="G80" s="111"/>
      <c r="H80" s="109"/>
      <c r="I80" s="111"/>
      <c r="J80" s="109"/>
      <c r="K80" s="109"/>
    </row>
    <row r="81" spans="1:11" ht="21.75" customHeight="1" x14ac:dyDescent="0.6">
      <c r="A81" s="109"/>
      <c r="B81" s="109"/>
      <c r="C81" s="109"/>
      <c r="D81" s="110"/>
      <c r="E81" s="109"/>
      <c r="F81" s="109"/>
      <c r="G81" s="111"/>
      <c r="H81" s="109"/>
      <c r="I81" s="111"/>
      <c r="J81" s="109"/>
      <c r="K81" s="109"/>
    </row>
    <row r="82" spans="1:11" ht="21.75" customHeight="1" x14ac:dyDescent="0.6">
      <c r="A82" s="109"/>
      <c r="B82" s="109"/>
      <c r="C82" s="109"/>
      <c r="D82" s="110"/>
      <c r="E82" s="109"/>
      <c r="F82" s="109"/>
      <c r="G82" s="111"/>
      <c r="H82" s="109"/>
      <c r="I82" s="111"/>
      <c r="J82" s="109"/>
      <c r="K82" s="109"/>
    </row>
    <row r="83" spans="1:11" ht="21.75" customHeight="1" x14ac:dyDescent="0.6">
      <c r="A83" s="109"/>
      <c r="B83" s="109"/>
      <c r="C83" s="109"/>
      <c r="D83" s="110"/>
      <c r="E83" s="109"/>
      <c r="F83" s="109"/>
      <c r="G83" s="111"/>
      <c r="H83" s="109"/>
      <c r="I83" s="111"/>
      <c r="J83" s="109"/>
      <c r="K83" s="109"/>
    </row>
    <row r="84" spans="1:11" ht="21.75" customHeight="1" x14ac:dyDescent="0.6">
      <c r="A84" s="109"/>
      <c r="B84" s="109"/>
      <c r="C84" s="109"/>
      <c r="D84" s="110"/>
      <c r="E84" s="109"/>
      <c r="F84" s="109"/>
      <c r="G84" s="111"/>
      <c r="H84" s="109"/>
      <c r="I84" s="111"/>
      <c r="J84" s="109"/>
      <c r="K84" s="109"/>
    </row>
    <row r="85" spans="1:11" ht="21.75" customHeight="1" x14ac:dyDescent="0.6">
      <c r="A85" s="109"/>
      <c r="B85" s="109"/>
      <c r="C85" s="109"/>
      <c r="D85" s="110"/>
      <c r="E85" s="109"/>
      <c r="F85" s="109"/>
      <c r="G85" s="111"/>
      <c r="H85" s="109"/>
      <c r="I85" s="111"/>
      <c r="J85" s="109"/>
      <c r="K85" s="109"/>
    </row>
    <row r="86" spans="1:11" ht="21.75" customHeight="1" x14ac:dyDescent="0.6">
      <c r="A86" s="109"/>
      <c r="B86" s="109"/>
      <c r="C86" s="109"/>
      <c r="D86" s="110"/>
      <c r="E86" s="109"/>
      <c r="F86" s="109"/>
      <c r="G86" s="111"/>
      <c r="H86" s="109"/>
      <c r="I86" s="111"/>
      <c r="J86" s="109"/>
      <c r="K86" s="109"/>
    </row>
    <row r="87" spans="1:11" ht="21.75" customHeight="1" x14ac:dyDescent="0.6">
      <c r="A87" s="109"/>
      <c r="B87" s="109"/>
      <c r="C87" s="109"/>
      <c r="D87" s="110"/>
      <c r="E87" s="109"/>
      <c r="F87" s="109"/>
      <c r="G87" s="111"/>
      <c r="H87" s="109"/>
      <c r="I87" s="111"/>
      <c r="J87" s="109"/>
      <c r="K87" s="109"/>
    </row>
    <row r="88" spans="1:11" ht="21.75" customHeight="1" x14ac:dyDescent="0.6">
      <c r="A88" s="109"/>
      <c r="B88" s="109"/>
      <c r="C88" s="109"/>
      <c r="D88" s="110"/>
      <c r="E88" s="109"/>
      <c r="F88" s="109"/>
      <c r="G88" s="111"/>
      <c r="H88" s="109"/>
      <c r="I88" s="111"/>
      <c r="J88" s="109"/>
      <c r="K88" s="109"/>
    </row>
    <row r="89" spans="1:11" ht="21.75" customHeight="1" x14ac:dyDescent="0.6">
      <c r="A89" s="109"/>
      <c r="B89" s="109"/>
      <c r="C89" s="109"/>
      <c r="D89" s="110"/>
      <c r="E89" s="109"/>
      <c r="F89" s="109"/>
      <c r="G89" s="111"/>
      <c r="H89" s="109"/>
      <c r="I89" s="111"/>
      <c r="J89" s="109"/>
      <c r="K89" s="109"/>
    </row>
    <row r="90" spans="1:11" ht="21.75" customHeight="1" x14ac:dyDescent="0.6">
      <c r="A90" s="109"/>
      <c r="B90" s="109"/>
      <c r="C90" s="109"/>
      <c r="D90" s="110"/>
      <c r="E90" s="109"/>
      <c r="F90" s="109"/>
      <c r="G90" s="111"/>
      <c r="H90" s="109"/>
      <c r="I90" s="111"/>
      <c r="J90" s="109"/>
      <c r="K90" s="109"/>
    </row>
    <row r="91" spans="1:11" ht="21.75" customHeight="1" x14ac:dyDescent="0.6">
      <c r="A91" s="109"/>
      <c r="B91" s="109"/>
      <c r="C91" s="109"/>
      <c r="D91" s="110"/>
      <c r="E91" s="109"/>
      <c r="F91" s="109"/>
      <c r="G91" s="111"/>
      <c r="H91" s="109"/>
      <c r="I91" s="111"/>
      <c r="J91" s="109"/>
      <c r="K91" s="109"/>
    </row>
    <row r="92" spans="1:11" ht="21.75" customHeight="1" x14ac:dyDescent="0.6">
      <c r="A92" s="109"/>
      <c r="B92" s="109"/>
      <c r="C92" s="109"/>
      <c r="D92" s="110"/>
      <c r="E92" s="109"/>
      <c r="F92" s="109"/>
      <c r="G92" s="111"/>
      <c r="H92" s="109"/>
      <c r="I92" s="111"/>
      <c r="J92" s="109"/>
      <c r="K92" s="109"/>
    </row>
    <row r="93" spans="1:11" ht="21.75" customHeight="1" x14ac:dyDescent="0.6">
      <c r="A93" s="109"/>
      <c r="B93" s="109"/>
      <c r="C93" s="109"/>
      <c r="D93" s="110"/>
      <c r="E93" s="109"/>
      <c r="F93" s="109"/>
      <c r="G93" s="111"/>
      <c r="H93" s="109"/>
      <c r="I93" s="111"/>
      <c r="J93" s="109"/>
      <c r="K93" s="109"/>
    </row>
    <row r="94" spans="1:11" ht="21.75" customHeight="1" x14ac:dyDescent="0.6">
      <c r="A94" s="109"/>
      <c r="B94" s="109"/>
      <c r="C94" s="109"/>
      <c r="D94" s="110"/>
      <c r="E94" s="109"/>
      <c r="F94" s="109"/>
      <c r="G94" s="111"/>
      <c r="H94" s="109"/>
      <c r="I94" s="111"/>
      <c r="J94" s="109"/>
      <c r="K94" s="109"/>
    </row>
    <row r="95" spans="1:11" ht="21.75" customHeight="1" x14ac:dyDescent="0.6">
      <c r="A95" s="109"/>
      <c r="B95" s="109"/>
      <c r="C95" s="109"/>
      <c r="D95" s="110"/>
      <c r="E95" s="109"/>
      <c r="F95" s="109"/>
      <c r="G95" s="111"/>
      <c r="H95" s="109"/>
      <c r="I95" s="111"/>
      <c r="J95" s="109"/>
      <c r="K95" s="109"/>
    </row>
    <row r="96" spans="1:11" ht="21.75" customHeight="1" x14ac:dyDescent="0.6">
      <c r="A96" s="109"/>
      <c r="B96" s="109"/>
      <c r="C96" s="109"/>
      <c r="D96" s="110"/>
      <c r="E96" s="109"/>
      <c r="F96" s="109"/>
      <c r="G96" s="111"/>
      <c r="H96" s="109"/>
      <c r="I96" s="111"/>
      <c r="J96" s="109"/>
      <c r="K96" s="109"/>
    </row>
    <row r="97" spans="1:11" ht="21.75" customHeight="1" x14ac:dyDescent="0.6">
      <c r="A97" s="109"/>
      <c r="B97" s="109"/>
      <c r="C97" s="109"/>
      <c r="D97" s="110"/>
      <c r="E97" s="109"/>
      <c r="F97" s="109"/>
      <c r="G97" s="111"/>
      <c r="H97" s="109"/>
      <c r="I97" s="111"/>
      <c r="J97" s="109"/>
      <c r="K97" s="109"/>
    </row>
    <row r="98" spans="1:11" ht="21.75" customHeight="1" x14ac:dyDescent="0.6">
      <c r="A98" s="109"/>
      <c r="B98" s="109"/>
      <c r="C98" s="109"/>
      <c r="D98" s="110"/>
      <c r="E98" s="109"/>
      <c r="F98" s="109"/>
      <c r="G98" s="111"/>
      <c r="H98" s="109"/>
      <c r="I98" s="111"/>
      <c r="J98" s="109"/>
      <c r="K98" s="109"/>
    </row>
    <row r="99" spans="1:11" ht="21.75" customHeight="1" x14ac:dyDescent="0.6">
      <c r="A99" s="109"/>
      <c r="B99" s="109"/>
      <c r="C99" s="109"/>
      <c r="D99" s="110"/>
      <c r="E99" s="109"/>
      <c r="F99" s="109"/>
      <c r="G99" s="111"/>
      <c r="H99" s="109"/>
      <c r="I99" s="111"/>
      <c r="J99" s="109"/>
      <c r="K99" s="109"/>
    </row>
    <row r="100" spans="1:11" ht="21.75" customHeight="1" x14ac:dyDescent="0.6">
      <c r="A100" s="109"/>
      <c r="B100" s="109"/>
      <c r="C100" s="109"/>
      <c r="D100" s="110"/>
      <c r="E100" s="109"/>
      <c r="F100" s="109"/>
      <c r="G100" s="111"/>
      <c r="H100" s="109"/>
      <c r="I100" s="111"/>
      <c r="J100" s="109"/>
      <c r="K100" s="109"/>
    </row>
    <row r="101" spans="1:11" ht="21.75" customHeight="1" x14ac:dyDescent="0.6">
      <c r="A101" s="109"/>
      <c r="B101" s="109"/>
      <c r="C101" s="109"/>
      <c r="D101" s="110"/>
      <c r="E101" s="109"/>
      <c r="F101" s="109"/>
      <c r="G101" s="111"/>
      <c r="H101" s="109"/>
      <c r="I101" s="111"/>
      <c r="J101" s="109"/>
      <c r="K101" s="109"/>
    </row>
    <row r="102" spans="1:11" ht="21.75" customHeight="1" x14ac:dyDescent="0.6">
      <c r="A102" s="109"/>
      <c r="B102" s="109"/>
      <c r="C102" s="109"/>
      <c r="D102" s="110"/>
      <c r="E102" s="109"/>
      <c r="F102" s="109"/>
      <c r="G102" s="111"/>
      <c r="H102" s="109"/>
      <c r="I102" s="111"/>
      <c r="J102" s="109"/>
      <c r="K102" s="109"/>
    </row>
    <row r="103" spans="1:11" ht="21.75" customHeight="1" x14ac:dyDescent="0.6">
      <c r="A103" s="109"/>
      <c r="B103" s="109"/>
      <c r="C103" s="109"/>
      <c r="D103" s="110"/>
      <c r="E103" s="109"/>
      <c r="F103" s="109"/>
      <c r="G103" s="111"/>
      <c r="H103" s="109"/>
      <c r="I103" s="111"/>
      <c r="J103" s="109"/>
      <c r="K103" s="109"/>
    </row>
    <row r="104" spans="1:11" ht="21.75" customHeight="1" x14ac:dyDescent="0.6">
      <c r="A104" s="109"/>
      <c r="B104" s="109"/>
      <c r="C104" s="109"/>
      <c r="D104" s="110"/>
      <c r="E104" s="109"/>
      <c r="F104" s="109"/>
      <c r="G104" s="111"/>
      <c r="H104" s="109"/>
      <c r="I104" s="111"/>
      <c r="J104" s="109"/>
      <c r="K104" s="109"/>
    </row>
    <row r="105" spans="1:11" ht="21.75" customHeight="1" x14ac:dyDescent="0.6">
      <c r="A105" s="109"/>
      <c r="B105" s="109"/>
      <c r="C105" s="109"/>
      <c r="D105" s="110"/>
      <c r="E105" s="109"/>
      <c r="F105" s="109"/>
      <c r="G105" s="111"/>
      <c r="H105" s="109"/>
      <c r="I105" s="111"/>
      <c r="J105" s="109"/>
      <c r="K105" s="109"/>
    </row>
    <row r="106" spans="1:11" ht="21.75" customHeight="1" x14ac:dyDescent="0.6">
      <c r="A106" s="109"/>
      <c r="B106" s="109"/>
      <c r="C106" s="109"/>
      <c r="D106" s="110"/>
      <c r="E106" s="109"/>
      <c r="F106" s="109"/>
      <c r="G106" s="111"/>
      <c r="H106" s="109"/>
      <c r="I106" s="111"/>
      <c r="J106" s="109"/>
      <c r="K106" s="109"/>
    </row>
    <row r="107" spans="1:11" ht="21.75" customHeight="1" x14ac:dyDescent="0.6">
      <c r="A107" s="109"/>
      <c r="B107" s="109"/>
      <c r="C107" s="109"/>
      <c r="D107" s="110"/>
      <c r="E107" s="109"/>
      <c r="F107" s="109"/>
      <c r="G107" s="111"/>
      <c r="H107" s="109"/>
      <c r="I107" s="111"/>
      <c r="J107" s="109"/>
      <c r="K107" s="109"/>
    </row>
    <row r="108" spans="1:11" ht="21.75" customHeight="1" x14ac:dyDescent="0.6">
      <c r="A108" s="109"/>
      <c r="B108" s="109"/>
      <c r="C108" s="109"/>
      <c r="D108" s="110"/>
      <c r="E108" s="109"/>
      <c r="F108" s="109"/>
      <c r="G108" s="111"/>
      <c r="H108" s="109"/>
      <c r="I108" s="111"/>
      <c r="J108" s="109"/>
      <c r="K108" s="109"/>
    </row>
    <row r="109" spans="1:11" ht="21.75" customHeight="1" x14ac:dyDescent="0.6">
      <c r="A109" s="109"/>
      <c r="B109" s="109"/>
      <c r="C109" s="109"/>
      <c r="D109" s="110"/>
      <c r="E109" s="109"/>
      <c r="F109" s="109"/>
      <c r="G109" s="111"/>
      <c r="H109" s="109"/>
      <c r="I109" s="111"/>
      <c r="J109" s="109"/>
      <c r="K109" s="109"/>
    </row>
    <row r="110" spans="1:11" ht="21.75" customHeight="1" x14ac:dyDescent="0.6">
      <c r="A110" s="109"/>
      <c r="B110" s="109"/>
      <c r="C110" s="109"/>
      <c r="D110" s="110"/>
      <c r="E110" s="109"/>
      <c r="F110" s="109"/>
      <c r="G110" s="111"/>
      <c r="H110" s="109"/>
      <c r="I110" s="111"/>
      <c r="J110" s="109"/>
      <c r="K110" s="109"/>
    </row>
    <row r="111" spans="1:11" ht="21.75" customHeight="1" x14ac:dyDescent="0.6">
      <c r="A111" s="109"/>
      <c r="B111" s="109"/>
      <c r="C111" s="109"/>
      <c r="D111" s="110"/>
      <c r="E111" s="109"/>
      <c r="F111" s="109"/>
      <c r="G111" s="111"/>
      <c r="H111" s="109"/>
      <c r="I111" s="111"/>
      <c r="J111" s="109"/>
      <c r="K111" s="109"/>
    </row>
    <row r="112" spans="1:11" ht="21.75" customHeight="1" x14ac:dyDescent="0.6">
      <c r="A112" s="109"/>
      <c r="B112" s="109"/>
      <c r="C112" s="109"/>
      <c r="D112" s="110"/>
      <c r="E112" s="109"/>
      <c r="F112" s="109"/>
      <c r="G112" s="111"/>
      <c r="H112" s="109"/>
      <c r="I112" s="111"/>
      <c r="J112" s="109"/>
      <c r="K112" s="109"/>
    </row>
    <row r="113" spans="1:11" ht="21.75" customHeight="1" x14ac:dyDescent="0.6">
      <c r="A113" s="109"/>
      <c r="B113" s="109"/>
      <c r="C113" s="109"/>
      <c r="D113" s="110"/>
      <c r="E113" s="109"/>
      <c r="F113" s="109"/>
      <c r="G113" s="111"/>
      <c r="H113" s="109"/>
      <c r="I113" s="111"/>
      <c r="J113" s="109"/>
      <c r="K113" s="109"/>
    </row>
    <row r="114" spans="1:11" ht="21.75" customHeight="1" x14ac:dyDescent="0.6">
      <c r="A114" s="109"/>
      <c r="B114" s="109"/>
      <c r="C114" s="109"/>
      <c r="D114" s="110"/>
      <c r="E114" s="109"/>
      <c r="F114" s="109"/>
      <c r="G114" s="111"/>
      <c r="H114" s="109"/>
      <c r="I114" s="111"/>
      <c r="J114" s="109"/>
      <c r="K114" s="109"/>
    </row>
    <row r="115" spans="1:11" ht="21.75" customHeight="1" x14ac:dyDescent="0.6">
      <c r="A115" s="109"/>
      <c r="B115" s="109"/>
      <c r="C115" s="109"/>
      <c r="D115" s="110"/>
      <c r="E115" s="109"/>
      <c r="F115" s="109"/>
      <c r="G115" s="111"/>
      <c r="H115" s="109"/>
      <c r="I115" s="111"/>
      <c r="J115" s="109"/>
      <c r="K115" s="109"/>
    </row>
    <row r="116" spans="1:11" ht="21.75" customHeight="1" x14ac:dyDescent="0.6">
      <c r="A116" s="109"/>
      <c r="B116" s="109"/>
      <c r="C116" s="109"/>
      <c r="D116" s="110"/>
      <c r="E116" s="109"/>
      <c r="F116" s="109"/>
      <c r="G116" s="111"/>
      <c r="H116" s="109"/>
      <c r="I116" s="111"/>
      <c r="J116" s="109"/>
      <c r="K116" s="109"/>
    </row>
    <row r="117" spans="1:11" ht="21.75" customHeight="1" x14ac:dyDescent="0.6">
      <c r="A117" s="109"/>
      <c r="B117" s="109"/>
      <c r="C117" s="109"/>
      <c r="D117" s="110"/>
      <c r="E117" s="109"/>
      <c r="F117" s="109"/>
      <c r="G117" s="111"/>
      <c r="H117" s="109"/>
      <c r="I117" s="111"/>
      <c r="J117" s="109"/>
      <c r="K117" s="109"/>
    </row>
    <row r="118" spans="1:11" ht="21.75" customHeight="1" x14ac:dyDescent="0.6">
      <c r="A118" s="109"/>
      <c r="B118" s="109"/>
      <c r="C118" s="109"/>
      <c r="D118" s="110"/>
      <c r="E118" s="109"/>
      <c r="F118" s="109"/>
      <c r="G118" s="111"/>
      <c r="H118" s="109"/>
      <c r="I118" s="111"/>
      <c r="J118" s="109"/>
      <c r="K118" s="109"/>
    </row>
    <row r="119" spans="1:11" ht="21.75" customHeight="1" x14ac:dyDescent="0.6">
      <c r="A119" s="109"/>
      <c r="B119" s="109"/>
      <c r="C119" s="109"/>
      <c r="D119" s="110"/>
      <c r="E119" s="109"/>
      <c r="F119" s="109"/>
      <c r="G119" s="111"/>
      <c r="H119" s="109"/>
      <c r="I119" s="111"/>
      <c r="J119" s="109"/>
      <c r="K119" s="109"/>
    </row>
    <row r="120" spans="1:11" ht="21.75" customHeight="1" x14ac:dyDescent="0.6">
      <c r="A120" s="109"/>
      <c r="B120" s="109"/>
      <c r="C120" s="109"/>
      <c r="D120" s="110"/>
      <c r="E120" s="109"/>
      <c r="F120" s="109"/>
      <c r="G120" s="111"/>
      <c r="H120" s="109"/>
      <c r="I120" s="111"/>
      <c r="J120" s="109"/>
      <c r="K120" s="109"/>
    </row>
    <row r="121" spans="1:11" ht="21.75" customHeight="1" x14ac:dyDescent="0.6">
      <c r="A121" s="109"/>
      <c r="B121" s="109"/>
      <c r="C121" s="109"/>
      <c r="D121" s="110"/>
      <c r="E121" s="109"/>
      <c r="F121" s="109"/>
      <c r="G121" s="111"/>
      <c r="H121" s="109"/>
      <c r="I121" s="111"/>
      <c r="J121" s="109"/>
      <c r="K121" s="109"/>
    </row>
    <row r="122" spans="1:11" ht="21.75" customHeight="1" x14ac:dyDescent="0.6">
      <c r="A122" s="109"/>
      <c r="B122" s="109"/>
      <c r="C122" s="109"/>
      <c r="D122" s="110"/>
      <c r="E122" s="109"/>
      <c r="F122" s="109"/>
      <c r="G122" s="111"/>
      <c r="H122" s="109"/>
      <c r="I122" s="111"/>
      <c r="J122" s="109"/>
      <c r="K122" s="109"/>
    </row>
    <row r="123" spans="1:11" ht="21.75" customHeight="1" x14ac:dyDescent="0.6">
      <c r="A123" s="109"/>
      <c r="B123" s="109"/>
      <c r="C123" s="109"/>
      <c r="D123" s="110"/>
      <c r="E123" s="109"/>
      <c r="F123" s="109"/>
      <c r="G123" s="111"/>
      <c r="H123" s="109"/>
      <c r="I123" s="111"/>
      <c r="J123" s="109"/>
      <c r="K123" s="109"/>
    </row>
    <row r="124" spans="1:11" ht="21.75" customHeight="1" x14ac:dyDescent="0.6">
      <c r="A124" s="109"/>
      <c r="B124" s="109"/>
      <c r="C124" s="109"/>
      <c r="D124" s="110"/>
      <c r="E124" s="109"/>
      <c r="F124" s="109"/>
      <c r="G124" s="111"/>
      <c r="H124" s="109"/>
      <c r="I124" s="111"/>
      <c r="J124" s="109"/>
      <c r="K124" s="109"/>
    </row>
    <row r="125" spans="1:11" ht="21.75" customHeight="1" x14ac:dyDescent="0.6">
      <c r="A125" s="109"/>
      <c r="B125" s="109"/>
      <c r="C125" s="109"/>
      <c r="D125" s="110"/>
      <c r="E125" s="109"/>
      <c r="F125" s="109"/>
      <c r="G125" s="111"/>
      <c r="H125" s="109"/>
      <c r="I125" s="111"/>
      <c r="J125" s="109"/>
      <c r="K125" s="109"/>
    </row>
    <row r="126" spans="1:11" ht="21.75" customHeight="1" x14ac:dyDescent="0.6">
      <c r="A126" s="109"/>
      <c r="B126" s="109"/>
      <c r="C126" s="109"/>
      <c r="D126" s="110"/>
      <c r="E126" s="109"/>
      <c r="F126" s="109"/>
      <c r="G126" s="111"/>
      <c r="H126" s="109"/>
      <c r="I126" s="111"/>
      <c r="J126" s="109"/>
      <c r="K126" s="109"/>
    </row>
    <row r="127" spans="1:11" ht="21.75" customHeight="1" x14ac:dyDescent="0.6">
      <c r="A127" s="109"/>
      <c r="B127" s="109"/>
      <c r="C127" s="109"/>
      <c r="D127" s="110"/>
      <c r="E127" s="109"/>
      <c r="F127" s="109"/>
      <c r="G127" s="111"/>
      <c r="H127" s="109"/>
      <c r="I127" s="111"/>
      <c r="J127" s="109"/>
      <c r="K127" s="109"/>
    </row>
    <row r="128" spans="1:11" ht="21.75" customHeight="1" x14ac:dyDescent="0.6">
      <c r="A128" s="109"/>
      <c r="B128" s="109"/>
      <c r="C128" s="109"/>
      <c r="D128" s="110"/>
      <c r="E128" s="109"/>
      <c r="F128" s="109"/>
      <c r="G128" s="111"/>
      <c r="H128" s="109"/>
      <c r="I128" s="111"/>
      <c r="J128" s="109"/>
      <c r="K128" s="109"/>
    </row>
    <row r="129" spans="1:11" ht="21.75" customHeight="1" x14ac:dyDescent="0.6">
      <c r="A129" s="109"/>
      <c r="B129" s="109"/>
      <c r="C129" s="109"/>
      <c r="D129" s="110"/>
      <c r="E129" s="109"/>
      <c r="F129" s="109"/>
      <c r="G129" s="111"/>
      <c r="H129" s="109"/>
      <c r="I129" s="111"/>
      <c r="J129" s="109"/>
      <c r="K129" s="109"/>
    </row>
    <row r="130" spans="1:11" ht="21.75" customHeight="1" x14ac:dyDescent="0.6">
      <c r="A130" s="109"/>
      <c r="B130" s="109"/>
      <c r="C130" s="109"/>
      <c r="D130" s="110"/>
      <c r="E130" s="109"/>
      <c r="F130" s="109"/>
      <c r="G130" s="111"/>
      <c r="H130" s="109"/>
      <c r="I130" s="111"/>
      <c r="J130" s="109"/>
      <c r="K130" s="109"/>
    </row>
    <row r="131" spans="1:11" ht="21.75" customHeight="1" x14ac:dyDescent="0.6">
      <c r="A131" s="109"/>
      <c r="B131" s="109"/>
      <c r="C131" s="109"/>
      <c r="D131" s="110"/>
      <c r="E131" s="109"/>
      <c r="F131" s="109"/>
      <c r="G131" s="111"/>
      <c r="H131" s="109"/>
      <c r="I131" s="111"/>
      <c r="J131" s="109"/>
      <c r="K131" s="109"/>
    </row>
    <row r="132" spans="1:11" ht="21.75" customHeight="1" x14ac:dyDescent="0.6">
      <c r="A132" s="109"/>
      <c r="B132" s="109"/>
      <c r="C132" s="109"/>
      <c r="D132" s="110"/>
      <c r="E132" s="109"/>
      <c r="F132" s="109"/>
      <c r="G132" s="111"/>
      <c r="H132" s="109"/>
      <c r="I132" s="111"/>
      <c r="J132" s="109"/>
      <c r="K132" s="109"/>
    </row>
    <row r="133" spans="1:11" ht="21.75" customHeight="1" x14ac:dyDescent="0.6">
      <c r="A133" s="109"/>
      <c r="B133" s="109"/>
      <c r="C133" s="109"/>
      <c r="D133" s="110"/>
      <c r="E133" s="109"/>
      <c r="F133" s="109"/>
      <c r="G133" s="111"/>
      <c r="H133" s="109"/>
      <c r="I133" s="111"/>
      <c r="J133" s="109"/>
      <c r="K133" s="109"/>
    </row>
    <row r="134" spans="1:11" ht="21.75" customHeight="1" x14ac:dyDescent="0.6">
      <c r="A134" s="109"/>
      <c r="B134" s="109"/>
      <c r="C134" s="109"/>
      <c r="D134" s="110"/>
      <c r="E134" s="109"/>
      <c r="F134" s="109"/>
      <c r="G134" s="111"/>
      <c r="H134" s="109"/>
      <c r="I134" s="111"/>
      <c r="J134" s="109"/>
      <c r="K134" s="109"/>
    </row>
    <row r="135" spans="1:11" ht="21.75" customHeight="1" x14ac:dyDescent="0.6">
      <c r="A135" s="109"/>
      <c r="B135" s="109"/>
      <c r="C135" s="109"/>
      <c r="D135" s="110"/>
      <c r="E135" s="109"/>
      <c r="F135" s="109"/>
      <c r="G135" s="111"/>
      <c r="H135" s="109"/>
      <c r="I135" s="111"/>
      <c r="J135" s="109"/>
      <c r="K135" s="109"/>
    </row>
    <row r="136" spans="1:11" ht="21.75" customHeight="1" x14ac:dyDescent="0.6">
      <c r="A136" s="109"/>
      <c r="B136" s="109"/>
      <c r="C136" s="109"/>
      <c r="D136" s="110"/>
      <c r="E136" s="109"/>
      <c r="F136" s="109"/>
      <c r="G136" s="111"/>
      <c r="H136" s="109"/>
      <c r="I136" s="111"/>
      <c r="J136" s="109"/>
      <c r="K136" s="109"/>
    </row>
    <row r="137" spans="1:11" ht="21.75" customHeight="1" x14ac:dyDescent="0.6">
      <c r="A137" s="109"/>
      <c r="B137" s="109"/>
      <c r="C137" s="109"/>
      <c r="D137" s="110"/>
      <c r="E137" s="109"/>
      <c r="F137" s="109"/>
      <c r="G137" s="111"/>
      <c r="H137" s="109"/>
      <c r="I137" s="111"/>
      <c r="J137" s="109"/>
      <c r="K137" s="109"/>
    </row>
    <row r="138" spans="1:11" ht="21.75" customHeight="1" x14ac:dyDescent="0.6">
      <c r="A138" s="109"/>
      <c r="B138" s="109"/>
      <c r="C138" s="109"/>
      <c r="D138" s="110"/>
      <c r="E138" s="109"/>
      <c r="F138" s="109"/>
      <c r="G138" s="111"/>
      <c r="H138" s="109"/>
      <c r="I138" s="111"/>
      <c r="J138" s="109"/>
      <c r="K138" s="109"/>
    </row>
    <row r="139" spans="1:11" ht="21.75" customHeight="1" x14ac:dyDescent="0.6">
      <c r="A139" s="109"/>
      <c r="B139" s="109"/>
      <c r="C139" s="109"/>
      <c r="D139" s="110"/>
      <c r="E139" s="109"/>
      <c r="F139" s="109"/>
      <c r="G139" s="111"/>
      <c r="H139" s="109"/>
      <c r="I139" s="111"/>
      <c r="J139" s="109"/>
      <c r="K139" s="109"/>
    </row>
    <row r="140" spans="1:11" ht="21.75" customHeight="1" x14ac:dyDescent="0.6">
      <c r="A140" s="109"/>
      <c r="B140" s="109"/>
      <c r="C140" s="109"/>
      <c r="D140" s="110"/>
      <c r="E140" s="109"/>
      <c r="F140" s="109"/>
      <c r="G140" s="111"/>
      <c r="H140" s="109"/>
      <c r="I140" s="111"/>
      <c r="J140" s="109"/>
      <c r="K140" s="109"/>
    </row>
    <row r="141" spans="1:11" ht="21.75" customHeight="1" x14ac:dyDescent="0.6">
      <c r="A141" s="109"/>
      <c r="B141" s="109"/>
      <c r="C141" s="109"/>
      <c r="D141" s="110"/>
      <c r="E141" s="109"/>
      <c r="F141" s="109"/>
      <c r="G141" s="111"/>
      <c r="H141" s="109"/>
      <c r="I141" s="111"/>
      <c r="J141" s="109"/>
      <c r="K141" s="109"/>
    </row>
    <row r="142" spans="1:11" ht="21.75" customHeight="1" x14ac:dyDescent="0.6">
      <c r="A142" s="109"/>
      <c r="B142" s="109"/>
      <c r="C142" s="109"/>
      <c r="D142" s="110"/>
      <c r="E142" s="109"/>
      <c r="F142" s="109"/>
      <c r="G142" s="111"/>
      <c r="H142" s="109"/>
      <c r="I142" s="111"/>
      <c r="J142" s="109"/>
      <c r="K142" s="109"/>
    </row>
    <row r="143" spans="1:11" ht="21.75" customHeight="1" x14ac:dyDescent="0.6">
      <c r="A143" s="109"/>
      <c r="B143" s="109"/>
      <c r="C143" s="109"/>
      <c r="D143" s="110"/>
      <c r="E143" s="109"/>
      <c r="F143" s="109"/>
      <c r="G143" s="111"/>
      <c r="H143" s="109"/>
      <c r="I143" s="111"/>
      <c r="J143" s="109"/>
      <c r="K143" s="109"/>
    </row>
    <row r="144" spans="1:11" ht="21.75" customHeight="1" x14ac:dyDescent="0.6">
      <c r="A144" s="109"/>
      <c r="B144" s="109"/>
      <c r="C144" s="109"/>
      <c r="D144" s="110"/>
      <c r="E144" s="109"/>
      <c r="F144" s="109"/>
      <c r="G144" s="111"/>
      <c r="H144" s="109"/>
      <c r="I144" s="111"/>
      <c r="J144" s="109"/>
      <c r="K144" s="109"/>
    </row>
    <row r="145" spans="1:11" ht="21.75" customHeight="1" x14ac:dyDescent="0.6">
      <c r="A145" s="109"/>
      <c r="B145" s="109"/>
      <c r="C145" s="109"/>
      <c r="D145" s="110"/>
      <c r="E145" s="109"/>
      <c r="F145" s="109"/>
      <c r="G145" s="111"/>
      <c r="H145" s="109"/>
      <c r="I145" s="111"/>
      <c r="J145" s="109"/>
      <c r="K145" s="109"/>
    </row>
    <row r="146" spans="1:11" ht="21.75" customHeight="1" x14ac:dyDescent="0.6">
      <c r="A146" s="109"/>
      <c r="B146" s="109"/>
      <c r="C146" s="109"/>
      <c r="D146" s="110"/>
      <c r="E146" s="109"/>
      <c r="F146" s="109"/>
      <c r="G146" s="111"/>
      <c r="H146" s="109"/>
      <c r="I146" s="111"/>
      <c r="J146" s="109"/>
      <c r="K146" s="109"/>
    </row>
    <row r="147" spans="1:11" ht="21.75" customHeight="1" x14ac:dyDescent="0.6">
      <c r="A147" s="109"/>
      <c r="B147" s="109"/>
      <c r="C147" s="109"/>
      <c r="D147" s="110"/>
      <c r="E147" s="109"/>
      <c r="F147" s="109"/>
      <c r="G147" s="111"/>
      <c r="H147" s="109"/>
      <c r="I147" s="111"/>
      <c r="J147" s="109"/>
      <c r="K147" s="109"/>
    </row>
    <row r="148" spans="1:11" ht="21.75" customHeight="1" x14ac:dyDescent="0.6">
      <c r="A148" s="109"/>
      <c r="B148" s="109"/>
      <c r="C148" s="109"/>
      <c r="D148" s="110"/>
      <c r="E148" s="109"/>
      <c r="F148" s="109"/>
      <c r="G148" s="111"/>
      <c r="H148" s="109"/>
      <c r="I148" s="111"/>
      <c r="J148" s="109"/>
      <c r="K148" s="109"/>
    </row>
    <row r="149" spans="1:11" ht="21.75" customHeight="1" x14ac:dyDescent="0.6">
      <c r="A149" s="109"/>
      <c r="B149" s="109"/>
      <c r="C149" s="109"/>
      <c r="D149" s="110"/>
      <c r="E149" s="109"/>
      <c r="F149" s="109"/>
      <c r="G149" s="111"/>
      <c r="H149" s="109"/>
      <c r="I149" s="111"/>
      <c r="J149" s="109"/>
      <c r="K149" s="109"/>
    </row>
    <row r="150" spans="1:11" ht="21.75" customHeight="1" x14ac:dyDescent="0.6">
      <c r="A150" s="109"/>
      <c r="B150" s="109"/>
      <c r="C150" s="109"/>
      <c r="D150" s="110"/>
      <c r="E150" s="109"/>
      <c r="F150" s="109"/>
      <c r="G150" s="111"/>
      <c r="H150" s="109"/>
      <c r="I150" s="111"/>
      <c r="J150" s="109"/>
      <c r="K150" s="109"/>
    </row>
    <row r="151" spans="1:11" ht="21.75" customHeight="1" x14ac:dyDescent="0.6">
      <c r="A151" s="109"/>
      <c r="B151" s="109"/>
      <c r="C151" s="109"/>
      <c r="D151" s="110"/>
      <c r="E151" s="109"/>
      <c r="F151" s="109"/>
      <c r="G151" s="111"/>
      <c r="H151" s="109"/>
      <c r="I151" s="111"/>
      <c r="J151" s="109"/>
      <c r="K151" s="109"/>
    </row>
    <row r="152" spans="1:11" ht="21.75" customHeight="1" x14ac:dyDescent="0.6">
      <c r="A152" s="109"/>
      <c r="B152" s="109"/>
      <c r="C152" s="109"/>
      <c r="D152" s="110"/>
      <c r="E152" s="109"/>
      <c r="F152" s="109"/>
      <c r="G152" s="111"/>
      <c r="H152" s="109"/>
      <c r="I152" s="111"/>
      <c r="J152" s="109"/>
      <c r="K152" s="109"/>
    </row>
    <row r="153" spans="1:11" ht="21.75" customHeight="1" x14ac:dyDescent="0.6">
      <c r="A153" s="109"/>
      <c r="B153" s="109"/>
      <c r="C153" s="109"/>
      <c r="D153" s="110"/>
      <c r="E153" s="109"/>
      <c r="F153" s="109"/>
      <c r="G153" s="111"/>
      <c r="H153" s="109"/>
      <c r="I153" s="111"/>
      <c r="J153" s="109"/>
      <c r="K153" s="109"/>
    </row>
    <row r="154" spans="1:11" ht="21.75" customHeight="1" x14ac:dyDescent="0.6">
      <c r="A154" s="109"/>
      <c r="B154" s="109"/>
      <c r="C154" s="109"/>
      <c r="D154" s="110"/>
      <c r="E154" s="109"/>
      <c r="F154" s="109"/>
      <c r="G154" s="111"/>
      <c r="H154" s="109"/>
      <c r="I154" s="111"/>
      <c r="J154" s="109"/>
      <c r="K154" s="109"/>
    </row>
    <row r="155" spans="1:11" ht="21.75" customHeight="1" x14ac:dyDescent="0.6">
      <c r="A155" s="109"/>
      <c r="B155" s="109"/>
      <c r="C155" s="109"/>
      <c r="D155" s="110"/>
      <c r="E155" s="109"/>
      <c r="F155" s="109"/>
      <c r="G155" s="111"/>
      <c r="H155" s="109"/>
      <c r="I155" s="111"/>
      <c r="J155" s="109"/>
      <c r="K155" s="109"/>
    </row>
    <row r="156" spans="1:11" ht="21.75" customHeight="1" x14ac:dyDescent="0.6">
      <c r="A156" s="109"/>
      <c r="B156" s="109"/>
      <c r="C156" s="109"/>
      <c r="D156" s="110"/>
      <c r="E156" s="109"/>
      <c r="F156" s="109"/>
      <c r="G156" s="111"/>
      <c r="H156" s="109"/>
      <c r="I156" s="111"/>
      <c r="J156" s="109"/>
      <c r="K156" s="109"/>
    </row>
    <row r="157" spans="1:11" ht="21.75" customHeight="1" x14ac:dyDescent="0.6">
      <c r="A157" s="109"/>
      <c r="B157" s="109"/>
      <c r="C157" s="109"/>
      <c r="D157" s="110"/>
      <c r="E157" s="109"/>
      <c r="F157" s="109"/>
      <c r="G157" s="111"/>
      <c r="H157" s="109"/>
      <c r="I157" s="111"/>
      <c r="J157" s="109"/>
      <c r="K157" s="109"/>
    </row>
    <row r="158" spans="1:11" ht="21.75" customHeight="1" x14ac:dyDescent="0.6">
      <c r="A158" s="109"/>
      <c r="B158" s="109"/>
      <c r="C158" s="109"/>
      <c r="D158" s="110"/>
      <c r="E158" s="109"/>
      <c r="F158" s="109"/>
      <c r="G158" s="111"/>
      <c r="H158" s="109"/>
      <c r="I158" s="111"/>
      <c r="J158" s="109"/>
      <c r="K158" s="109"/>
    </row>
    <row r="159" spans="1:11" ht="21.75" customHeight="1" x14ac:dyDescent="0.6">
      <c r="A159" s="109"/>
      <c r="B159" s="109"/>
      <c r="C159" s="109"/>
      <c r="D159" s="110"/>
      <c r="E159" s="109"/>
      <c r="F159" s="109"/>
      <c r="G159" s="111"/>
      <c r="H159" s="109"/>
      <c r="I159" s="111"/>
      <c r="J159" s="109"/>
      <c r="K159" s="109"/>
    </row>
    <row r="160" spans="1:11" ht="21.75" customHeight="1" x14ac:dyDescent="0.6">
      <c r="A160" s="109"/>
      <c r="B160" s="109"/>
      <c r="C160" s="109"/>
      <c r="D160" s="110"/>
      <c r="E160" s="109"/>
      <c r="F160" s="109"/>
      <c r="G160" s="111"/>
      <c r="H160" s="109"/>
      <c r="I160" s="111"/>
      <c r="J160" s="109"/>
      <c r="K160" s="109"/>
    </row>
    <row r="161" spans="1:11" ht="21.75" customHeight="1" x14ac:dyDescent="0.6">
      <c r="A161" s="109"/>
      <c r="B161" s="109"/>
      <c r="C161" s="109"/>
      <c r="D161" s="110"/>
      <c r="E161" s="109"/>
      <c r="F161" s="109"/>
      <c r="G161" s="111"/>
      <c r="H161" s="109"/>
      <c r="I161" s="111"/>
      <c r="J161" s="109"/>
      <c r="K161" s="109"/>
    </row>
    <row r="162" spans="1:11" ht="21.75" customHeight="1" x14ac:dyDescent="0.6">
      <c r="A162" s="109"/>
      <c r="B162" s="109"/>
      <c r="C162" s="109"/>
      <c r="D162" s="110"/>
      <c r="E162" s="109"/>
      <c r="F162" s="109"/>
      <c r="G162" s="111"/>
      <c r="H162" s="109"/>
      <c r="I162" s="111"/>
      <c r="J162" s="109"/>
      <c r="K162" s="109"/>
    </row>
    <row r="163" spans="1:11" ht="21.75" customHeight="1" x14ac:dyDescent="0.6">
      <c r="A163" s="109"/>
      <c r="B163" s="109"/>
      <c r="C163" s="109"/>
      <c r="D163" s="110"/>
      <c r="E163" s="109"/>
      <c r="F163" s="109"/>
      <c r="G163" s="111"/>
      <c r="H163" s="109"/>
      <c r="I163" s="111"/>
      <c r="J163" s="109"/>
      <c r="K163" s="109"/>
    </row>
    <row r="164" spans="1:11" ht="21.75" customHeight="1" x14ac:dyDescent="0.6">
      <c r="A164" s="109"/>
      <c r="B164" s="109"/>
      <c r="C164" s="109"/>
      <c r="D164" s="110"/>
      <c r="E164" s="109"/>
      <c r="F164" s="109"/>
      <c r="G164" s="111"/>
      <c r="H164" s="109"/>
      <c r="I164" s="111"/>
      <c r="J164" s="109"/>
      <c r="K164" s="109"/>
    </row>
    <row r="165" spans="1:11" ht="21.75" customHeight="1" x14ac:dyDescent="0.6">
      <c r="A165" s="109"/>
      <c r="B165" s="109"/>
      <c r="C165" s="109"/>
      <c r="D165" s="110"/>
      <c r="E165" s="109"/>
      <c r="F165" s="109"/>
      <c r="G165" s="111"/>
      <c r="H165" s="109"/>
      <c r="I165" s="111"/>
      <c r="J165" s="109"/>
      <c r="K165" s="109"/>
    </row>
    <row r="166" spans="1:11" ht="21.75" customHeight="1" x14ac:dyDescent="0.6">
      <c r="A166" s="109"/>
      <c r="B166" s="109"/>
      <c r="C166" s="109"/>
      <c r="D166" s="110"/>
      <c r="E166" s="109"/>
      <c r="F166" s="109"/>
      <c r="G166" s="111"/>
      <c r="H166" s="109"/>
      <c r="I166" s="111"/>
      <c r="J166" s="109"/>
      <c r="K166" s="109"/>
    </row>
    <row r="167" spans="1:11" ht="21.75" customHeight="1" x14ac:dyDescent="0.6">
      <c r="A167" s="109"/>
      <c r="B167" s="109"/>
      <c r="C167" s="109"/>
      <c r="D167" s="110"/>
      <c r="E167" s="109"/>
      <c r="F167" s="109"/>
      <c r="G167" s="111"/>
      <c r="H167" s="109"/>
      <c r="I167" s="111"/>
      <c r="J167" s="109"/>
      <c r="K167" s="109"/>
    </row>
    <row r="168" spans="1:11" ht="21.75" customHeight="1" x14ac:dyDescent="0.6">
      <c r="A168" s="109"/>
      <c r="B168" s="109"/>
      <c r="C168" s="109"/>
      <c r="D168" s="110"/>
      <c r="E168" s="109"/>
      <c r="F168" s="109"/>
      <c r="G168" s="111"/>
      <c r="H168" s="109"/>
      <c r="I168" s="111"/>
      <c r="J168" s="109"/>
      <c r="K168" s="109"/>
    </row>
    <row r="169" spans="1:11" ht="21.75" customHeight="1" x14ac:dyDescent="0.6">
      <c r="A169" s="109"/>
      <c r="B169" s="109"/>
      <c r="C169" s="109"/>
      <c r="D169" s="110"/>
      <c r="E169" s="109"/>
      <c r="F169" s="109"/>
      <c r="G169" s="111"/>
      <c r="H169" s="109"/>
      <c r="I169" s="111"/>
      <c r="J169" s="109"/>
      <c r="K169" s="109"/>
    </row>
    <row r="170" spans="1:11" ht="21.75" customHeight="1" x14ac:dyDescent="0.6">
      <c r="A170" s="109"/>
      <c r="B170" s="109"/>
      <c r="C170" s="109"/>
      <c r="D170" s="110"/>
      <c r="E170" s="109"/>
      <c r="F170" s="109"/>
      <c r="G170" s="111"/>
      <c r="H170" s="109"/>
      <c r="I170" s="111"/>
      <c r="J170" s="109"/>
      <c r="K170" s="109"/>
    </row>
    <row r="171" spans="1:11" ht="21.75" customHeight="1" x14ac:dyDescent="0.6">
      <c r="A171" s="109"/>
      <c r="B171" s="109"/>
      <c r="C171" s="109"/>
      <c r="D171" s="110"/>
      <c r="E171" s="109"/>
      <c r="F171" s="109"/>
      <c r="G171" s="111"/>
      <c r="H171" s="109"/>
      <c r="I171" s="111"/>
      <c r="J171" s="109"/>
      <c r="K171" s="109"/>
    </row>
    <row r="172" spans="1:11" ht="21.75" customHeight="1" x14ac:dyDescent="0.6">
      <c r="A172" s="109"/>
      <c r="B172" s="109"/>
      <c r="C172" s="109"/>
      <c r="D172" s="110"/>
      <c r="E172" s="109"/>
      <c r="F172" s="109"/>
      <c r="G172" s="111"/>
      <c r="H172" s="109"/>
      <c r="I172" s="111"/>
      <c r="J172" s="109"/>
      <c r="K172" s="109"/>
    </row>
    <row r="173" spans="1:11" ht="21.75" customHeight="1" x14ac:dyDescent="0.6">
      <c r="A173" s="109"/>
      <c r="B173" s="109"/>
      <c r="C173" s="109"/>
      <c r="D173" s="110"/>
      <c r="E173" s="109"/>
      <c r="F173" s="109"/>
      <c r="G173" s="111"/>
      <c r="H173" s="109"/>
      <c r="I173" s="111"/>
      <c r="J173" s="109"/>
      <c r="K173" s="109"/>
    </row>
    <row r="174" spans="1:11" ht="21.75" customHeight="1" x14ac:dyDescent="0.6">
      <c r="A174" s="109"/>
      <c r="B174" s="109"/>
      <c r="C174" s="109"/>
      <c r="D174" s="110"/>
      <c r="E174" s="109"/>
      <c r="F174" s="109"/>
      <c r="G174" s="111"/>
      <c r="H174" s="109"/>
      <c r="I174" s="111"/>
      <c r="J174" s="109"/>
      <c r="K174" s="109"/>
    </row>
    <row r="175" spans="1:11" ht="21.75" customHeight="1" x14ac:dyDescent="0.6">
      <c r="A175" s="109"/>
      <c r="B175" s="109"/>
      <c r="C175" s="109"/>
      <c r="D175" s="110"/>
      <c r="E175" s="109"/>
      <c r="F175" s="109"/>
      <c r="G175" s="111"/>
      <c r="H175" s="109"/>
      <c r="I175" s="111"/>
      <c r="J175" s="109"/>
      <c r="K175" s="109"/>
    </row>
    <row r="176" spans="1:11" ht="21.75" customHeight="1" x14ac:dyDescent="0.6">
      <c r="A176" s="109"/>
      <c r="B176" s="109"/>
      <c r="C176" s="109"/>
      <c r="D176" s="110"/>
      <c r="E176" s="109"/>
      <c r="F176" s="109"/>
      <c r="G176" s="111"/>
      <c r="H176" s="109"/>
      <c r="I176" s="111"/>
      <c r="J176" s="109"/>
      <c r="K176" s="109"/>
    </row>
    <row r="177" spans="1:11" ht="21.75" customHeight="1" x14ac:dyDescent="0.6">
      <c r="A177" s="109"/>
      <c r="B177" s="109"/>
      <c r="C177" s="109"/>
      <c r="D177" s="110"/>
      <c r="E177" s="109"/>
      <c r="F177" s="109"/>
      <c r="G177" s="111"/>
      <c r="H177" s="109"/>
      <c r="I177" s="111"/>
      <c r="J177" s="109"/>
      <c r="K177" s="109"/>
    </row>
    <row r="178" spans="1:11" ht="21.75" customHeight="1" x14ac:dyDescent="0.6">
      <c r="A178" s="109"/>
      <c r="B178" s="109"/>
      <c r="C178" s="109"/>
      <c r="D178" s="110"/>
      <c r="E178" s="109"/>
      <c r="F178" s="109"/>
      <c r="G178" s="111"/>
      <c r="H178" s="109"/>
      <c r="I178" s="111"/>
      <c r="J178" s="109"/>
      <c r="K178" s="109"/>
    </row>
    <row r="179" spans="1:11" ht="21.75" customHeight="1" x14ac:dyDescent="0.6">
      <c r="A179" s="109"/>
      <c r="B179" s="109"/>
      <c r="C179" s="109"/>
      <c r="D179" s="110"/>
      <c r="E179" s="109"/>
      <c r="F179" s="109"/>
      <c r="G179" s="111"/>
      <c r="H179" s="109"/>
      <c r="I179" s="111"/>
      <c r="J179" s="109"/>
      <c r="K179" s="109"/>
    </row>
    <row r="180" spans="1:11" ht="21.75" customHeight="1" x14ac:dyDescent="0.6">
      <c r="A180" s="109"/>
      <c r="B180" s="109"/>
      <c r="C180" s="109"/>
      <c r="D180" s="110"/>
      <c r="E180" s="109"/>
      <c r="F180" s="109"/>
      <c r="G180" s="111"/>
      <c r="H180" s="109"/>
      <c r="I180" s="111"/>
      <c r="J180" s="109"/>
      <c r="K180" s="109"/>
    </row>
    <row r="181" spans="1:11" ht="21.75" customHeight="1" x14ac:dyDescent="0.6">
      <c r="A181" s="109"/>
      <c r="B181" s="109"/>
      <c r="C181" s="109"/>
      <c r="D181" s="110"/>
      <c r="E181" s="109"/>
      <c r="F181" s="109"/>
      <c r="G181" s="111"/>
      <c r="H181" s="109"/>
      <c r="I181" s="111"/>
      <c r="J181" s="109"/>
      <c r="K181" s="109"/>
    </row>
    <row r="182" spans="1:11" ht="21.75" customHeight="1" x14ac:dyDescent="0.6">
      <c r="A182" s="109"/>
      <c r="B182" s="109"/>
      <c r="C182" s="109"/>
      <c r="D182" s="110"/>
      <c r="E182" s="109"/>
      <c r="F182" s="109"/>
      <c r="G182" s="111"/>
      <c r="H182" s="109"/>
      <c r="I182" s="111"/>
      <c r="J182" s="109"/>
      <c r="K182" s="109"/>
    </row>
    <row r="183" spans="1:11" ht="21.75" customHeight="1" x14ac:dyDescent="0.6">
      <c r="A183" s="109"/>
      <c r="B183" s="109"/>
      <c r="C183" s="109"/>
      <c r="D183" s="110"/>
      <c r="E183" s="109"/>
      <c r="F183" s="109"/>
      <c r="G183" s="111"/>
      <c r="H183" s="109"/>
      <c r="I183" s="111"/>
      <c r="J183" s="109"/>
      <c r="K183" s="109"/>
    </row>
    <row r="184" spans="1:11" ht="21.75" customHeight="1" x14ac:dyDescent="0.6">
      <c r="A184" s="109"/>
      <c r="B184" s="109"/>
      <c r="C184" s="109"/>
      <c r="D184" s="110"/>
      <c r="E184" s="109"/>
      <c r="F184" s="109"/>
      <c r="G184" s="111"/>
      <c r="H184" s="109"/>
      <c r="I184" s="111"/>
      <c r="J184" s="109"/>
      <c r="K184" s="109"/>
    </row>
    <row r="185" spans="1:11" ht="21.75" customHeight="1" x14ac:dyDescent="0.6">
      <c r="A185" s="109"/>
      <c r="B185" s="109"/>
      <c r="C185" s="109"/>
      <c r="D185" s="110"/>
      <c r="E185" s="109"/>
      <c r="F185" s="109"/>
      <c r="G185" s="111"/>
      <c r="H185" s="109"/>
      <c r="I185" s="111"/>
      <c r="J185" s="109"/>
      <c r="K185" s="109"/>
    </row>
    <row r="186" spans="1:11" ht="21.75" customHeight="1" x14ac:dyDescent="0.6">
      <c r="A186" s="109"/>
      <c r="B186" s="109"/>
      <c r="C186" s="109"/>
      <c r="D186" s="110"/>
      <c r="E186" s="109"/>
      <c r="F186" s="109"/>
      <c r="G186" s="111"/>
      <c r="H186" s="109"/>
      <c r="I186" s="111"/>
      <c r="J186" s="109"/>
      <c r="K186" s="109"/>
    </row>
    <row r="187" spans="1:11" ht="21.75" customHeight="1" x14ac:dyDescent="0.6">
      <c r="A187" s="109"/>
      <c r="B187" s="109"/>
      <c r="C187" s="109"/>
      <c r="D187" s="110"/>
      <c r="E187" s="109"/>
      <c r="F187" s="109"/>
      <c r="G187" s="111"/>
      <c r="H187" s="109"/>
      <c r="I187" s="111"/>
      <c r="J187" s="109"/>
      <c r="K187" s="109"/>
    </row>
    <row r="188" spans="1:11" ht="21.75" customHeight="1" x14ac:dyDescent="0.6">
      <c r="A188" s="109"/>
      <c r="B188" s="109"/>
      <c r="C188" s="109"/>
      <c r="D188" s="110"/>
      <c r="E188" s="109"/>
      <c r="F188" s="109"/>
      <c r="G188" s="111"/>
      <c r="H188" s="109"/>
      <c r="I188" s="111"/>
      <c r="J188" s="109"/>
      <c r="K188" s="109"/>
    </row>
    <row r="189" spans="1:11" ht="21.75" customHeight="1" x14ac:dyDescent="0.6">
      <c r="A189" s="109"/>
      <c r="B189" s="109"/>
      <c r="C189" s="109"/>
      <c r="D189" s="110"/>
      <c r="E189" s="109"/>
      <c r="F189" s="109"/>
      <c r="G189" s="111"/>
      <c r="H189" s="109"/>
      <c r="I189" s="111"/>
      <c r="J189" s="109"/>
      <c r="K189" s="109"/>
    </row>
    <row r="190" spans="1:11" ht="21.75" customHeight="1" x14ac:dyDescent="0.6">
      <c r="A190" s="109"/>
      <c r="B190" s="109"/>
      <c r="C190" s="109"/>
      <c r="D190" s="110"/>
      <c r="E190" s="109"/>
      <c r="F190" s="109"/>
      <c r="G190" s="111"/>
      <c r="H190" s="109"/>
      <c r="I190" s="111"/>
      <c r="J190" s="109"/>
      <c r="K190" s="109"/>
    </row>
    <row r="191" spans="1:11" ht="21.75" customHeight="1" x14ac:dyDescent="0.6">
      <c r="A191" s="109"/>
      <c r="B191" s="109"/>
      <c r="C191" s="109"/>
      <c r="D191" s="110"/>
      <c r="E191" s="109"/>
      <c r="F191" s="109"/>
      <c r="G191" s="111"/>
      <c r="H191" s="109"/>
      <c r="I191" s="111"/>
      <c r="J191" s="109"/>
      <c r="K191" s="109"/>
    </row>
    <row r="192" spans="1:11" ht="21.75" customHeight="1" x14ac:dyDescent="0.6">
      <c r="A192" s="109"/>
      <c r="B192" s="109"/>
      <c r="C192" s="109"/>
      <c r="D192" s="110"/>
      <c r="E192" s="109"/>
      <c r="F192" s="109"/>
      <c r="G192" s="111"/>
      <c r="H192" s="109"/>
      <c r="I192" s="111"/>
      <c r="J192" s="109"/>
      <c r="K192" s="109"/>
    </row>
    <row r="193" spans="1:11" ht="21.75" customHeight="1" x14ac:dyDescent="0.6">
      <c r="A193" s="109"/>
      <c r="B193" s="109"/>
      <c r="C193" s="109"/>
      <c r="D193" s="110"/>
      <c r="E193" s="109"/>
      <c r="F193" s="109"/>
      <c r="G193" s="111"/>
      <c r="H193" s="109"/>
      <c r="I193" s="111"/>
      <c r="J193" s="109"/>
      <c r="K193" s="109"/>
    </row>
    <row r="194" spans="1:11" ht="21.75" customHeight="1" x14ac:dyDescent="0.6">
      <c r="A194" s="109"/>
      <c r="B194" s="109"/>
      <c r="C194" s="109"/>
      <c r="D194" s="110"/>
      <c r="E194" s="109"/>
      <c r="F194" s="109"/>
      <c r="G194" s="111"/>
      <c r="H194" s="109"/>
      <c r="I194" s="111"/>
      <c r="J194" s="109"/>
      <c r="K194" s="109"/>
    </row>
    <row r="195" spans="1:11" ht="21.75" customHeight="1" x14ac:dyDescent="0.6">
      <c r="A195" s="109"/>
      <c r="B195" s="109"/>
      <c r="C195" s="109"/>
      <c r="D195" s="110"/>
      <c r="E195" s="109"/>
      <c r="F195" s="109"/>
      <c r="G195" s="111"/>
      <c r="H195" s="109"/>
      <c r="I195" s="111"/>
      <c r="J195" s="109"/>
      <c r="K195" s="109"/>
    </row>
    <row r="196" spans="1:11" ht="21.75" customHeight="1" x14ac:dyDescent="0.6">
      <c r="A196" s="109"/>
      <c r="B196" s="109"/>
      <c r="C196" s="109"/>
      <c r="D196" s="110"/>
      <c r="E196" s="109"/>
      <c r="F196" s="109"/>
      <c r="G196" s="111"/>
      <c r="H196" s="109"/>
      <c r="I196" s="111"/>
      <c r="J196" s="109"/>
      <c r="K196" s="109"/>
    </row>
    <row r="197" spans="1:11" ht="21.75" customHeight="1" x14ac:dyDescent="0.6">
      <c r="A197" s="109"/>
      <c r="B197" s="109"/>
      <c r="C197" s="109"/>
      <c r="D197" s="110"/>
      <c r="E197" s="109"/>
      <c r="F197" s="109"/>
      <c r="G197" s="111"/>
      <c r="H197" s="109"/>
      <c r="I197" s="111"/>
      <c r="J197" s="109"/>
      <c r="K197" s="109"/>
    </row>
    <row r="198" spans="1:11" ht="21.75" customHeight="1" x14ac:dyDescent="0.6">
      <c r="A198" s="109"/>
      <c r="B198" s="109"/>
      <c r="C198" s="109"/>
      <c r="D198" s="110"/>
      <c r="E198" s="109"/>
      <c r="F198" s="109"/>
      <c r="G198" s="111"/>
      <c r="H198" s="109"/>
      <c r="I198" s="111"/>
      <c r="J198" s="109"/>
      <c r="K198" s="109"/>
    </row>
    <row r="199" spans="1:11" ht="21.75" customHeight="1" x14ac:dyDescent="0.6">
      <c r="A199" s="109"/>
      <c r="B199" s="109"/>
      <c r="C199" s="109"/>
      <c r="D199" s="110"/>
      <c r="E199" s="109"/>
      <c r="F199" s="109"/>
      <c r="G199" s="111"/>
      <c r="H199" s="109"/>
      <c r="I199" s="111"/>
      <c r="J199" s="109"/>
      <c r="K199" s="109"/>
    </row>
    <row r="200" spans="1:11" ht="21.75" customHeight="1" x14ac:dyDescent="0.6">
      <c r="A200" s="109"/>
      <c r="B200" s="109"/>
      <c r="C200" s="109"/>
      <c r="D200" s="110"/>
      <c r="E200" s="109"/>
      <c r="F200" s="109"/>
      <c r="G200" s="111"/>
      <c r="H200" s="109"/>
      <c r="I200" s="111"/>
      <c r="J200" s="109"/>
      <c r="K200" s="109"/>
    </row>
    <row r="201" spans="1:11" ht="21.75" customHeight="1" x14ac:dyDescent="0.6">
      <c r="A201" s="109"/>
      <c r="B201" s="109"/>
      <c r="C201" s="109"/>
      <c r="D201" s="110"/>
      <c r="E201" s="109"/>
      <c r="F201" s="109"/>
      <c r="G201" s="111"/>
      <c r="H201" s="109"/>
      <c r="I201" s="111"/>
      <c r="J201" s="109"/>
      <c r="K201" s="109"/>
    </row>
    <row r="202" spans="1:11" ht="21.75" customHeight="1" x14ac:dyDescent="0.6">
      <c r="A202" s="109"/>
      <c r="B202" s="109"/>
      <c r="C202" s="109"/>
      <c r="D202" s="110"/>
      <c r="E202" s="109"/>
      <c r="F202" s="109"/>
      <c r="G202" s="111"/>
      <c r="H202" s="109"/>
      <c r="I202" s="111"/>
      <c r="J202" s="109"/>
      <c r="K202" s="109"/>
    </row>
    <row r="203" spans="1:11" ht="21.75" customHeight="1" x14ac:dyDescent="0.6">
      <c r="A203" s="109"/>
      <c r="B203" s="109"/>
      <c r="C203" s="109"/>
      <c r="D203" s="110"/>
      <c r="E203" s="109"/>
      <c r="F203" s="109"/>
      <c r="G203" s="111"/>
      <c r="H203" s="109"/>
      <c r="I203" s="111"/>
      <c r="J203" s="109"/>
      <c r="K203" s="109"/>
    </row>
    <row r="204" spans="1:11" ht="21.75" customHeight="1" x14ac:dyDescent="0.6">
      <c r="A204" s="109"/>
      <c r="B204" s="109"/>
      <c r="C204" s="109"/>
      <c r="D204" s="110"/>
      <c r="E204" s="109"/>
      <c r="F204" s="109"/>
      <c r="G204" s="111"/>
      <c r="H204" s="109"/>
      <c r="I204" s="111"/>
      <c r="J204" s="109"/>
      <c r="K204" s="109"/>
    </row>
    <row r="205" spans="1:11" ht="21.75" customHeight="1" x14ac:dyDescent="0.6">
      <c r="A205" s="109"/>
      <c r="B205" s="109"/>
      <c r="C205" s="109"/>
      <c r="D205" s="110"/>
      <c r="E205" s="109"/>
      <c r="F205" s="109"/>
      <c r="G205" s="111"/>
      <c r="H205" s="109"/>
      <c r="I205" s="111"/>
      <c r="J205" s="109"/>
      <c r="K205" s="109"/>
    </row>
    <row r="206" spans="1:11" ht="21.75" customHeight="1" x14ac:dyDescent="0.6">
      <c r="A206" s="109"/>
      <c r="B206" s="109"/>
      <c r="C206" s="109"/>
      <c r="D206" s="110"/>
      <c r="E206" s="109"/>
      <c r="F206" s="109"/>
      <c r="G206" s="111"/>
      <c r="H206" s="109"/>
      <c r="I206" s="111"/>
      <c r="J206" s="109"/>
      <c r="K206" s="109"/>
    </row>
    <row r="207" spans="1:11" ht="21.75" customHeight="1" x14ac:dyDescent="0.6">
      <c r="A207" s="109"/>
      <c r="B207" s="109"/>
      <c r="C207" s="109"/>
      <c r="D207" s="110"/>
      <c r="E207" s="109"/>
      <c r="F207" s="109"/>
      <c r="G207" s="111"/>
      <c r="H207" s="109"/>
      <c r="I207" s="111"/>
      <c r="J207" s="109"/>
      <c r="K207" s="109"/>
    </row>
    <row r="208" spans="1:11" ht="21.75" customHeight="1" x14ac:dyDescent="0.6">
      <c r="A208" s="109"/>
      <c r="B208" s="109"/>
      <c r="C208" s="109"/>
      <c r="D208" s="110"/>
      <c r="E208" s="109"/>
      <c r="F208" s="109"/>
      <c r="G208" s="111"/>
      <c r="H208" s="109"/>
      <c r="I208" s="111"/>
      <c r="J208" s="109"/>
      <c r="K208" s="109"/>
    </row>
    <row r="209" spans="1:11" ht="21.75" customHeight="1" x14ac:dyDescent="0.6">
      <c r="A209" s="109"/>
      <c r="B209" s="109"/>
      <c r="C209" s="109"/>
      <c r="D209" s="110"/>
      <c r="E209" s="109"/>
      <c r="F209" s="109"/>
      <c r="G209" s="111"/>
      <c r="H209" s="109"/>
      <c r="I209" s="111"/>
      <c r="J209" s="109"/>
      <c r="K209" s="109"/>
    </row>
    <row r="210" spans="1:11" ht="21.75" customHeight="1" x14ac:dyDescent="0.6">
      <c r="A210" s="109"/>
      <c r="B210" s="109"/>
      <c r="C210" s="109"/>
      <c r="D210" s="110"/>
      <c r="E210" s="109"/>
      <c r="F210" s="109"/>
      <c r="G210" s="111"/>
      <c r="H210" s="109"/>
      <c r="I210" s="111"/>
      <c r="J210" s="109"/>
      <c r="K210" s="109"/>
    </row>
    <row r="211" spans="1:11" ht="21.75" customHeight="1" x14ac:dyDescent="0.6">
      <c r="A211" s="109"/>
      <c r="B211" s="109"/>
      <c r="C211" s="109"/>
      <c r="D211" s="110"/>
      <c r="E211" s="109"/>
      <c r="F211" s="109"/>
      <c r="G211" s="111"/>
      <c r="H211" s="109"/>
      <c r="I211" s="111"/>
      <c r="J211" s="109"/>
      <c r="K211" s="109"/>
    </row>
    <row r="212" spans="1:11" ht="21.75" customHeight="1" x14ac:dyDescent="0.6">
      <c r="A212" s="109"/>
      <c r="B212" s="109"/>
      <c r="C212" s="109"/>
      <c r="D212" s="110"/>
      <c r="E212" s="109"/>
      <c r="F212" s="109"/>
      <c r="G212" s="111"/>
      <c r="H212" s="109"/>
      <c r="I212" s="111"/>
      <c r="J212" s="109"/>
      <c r="K212" s="109"/>
    </row>
    <row r="213" spans="1:11" ht="21.75" customHeight="1" x14ac:dyDescent="0.6">
      <c r="A213" s="109"/>
      <c r="B213" s="109"/>
      <c r="C213" s="109"/>
      <c r="D213" s="110"/>
      <c r="E213" s="109"/>
      <c r="F213" s="109"/>
      <c r="G213" s="111"/>
      <c r="H213" s="109"/>
      <c r="I213" s="111"/>
      <c r="J213" s="109"/>
      <c r="K213" s="109"/>
    </row>
    <row r="214" spans="1:11" ht="21.75" customHeight="1" x14ac:dyDescent="0.6">
      <c r="A214" s="109"/>
      <c r="B214" s="109"/>
      <c r="C214" s="109"/>
      <c r="D214" s="110"/>
      <c r="E214" s="109"/>
      <c r="F214" s="109"/>
      <c r="G214" s="111"/>
      <c r="H214" s="109"/>
      <c r="I214" s="111"/>
      <c r="J214" s="109"/>
      <c r="K214" s="109"/>
    </row>
    <row r="215" spans="1:11" ht="21.75" customHeight="1" x14ac:dyDescent="0.6">
      <c r="A215" s="109"/>
      <c r="B215" s="109"/>
      <c r="C215" s="109"/>
      <c r="D215" s="110"/>
      <c r="E215" s="109"/>
      <c r="F215" s="109"/>
      <c r="G215" s="111"/>
      <c r="H215" s="109"/>
      <c r="I215" s="111"/>
      <c r="J215" s="109"/>
      <c r="K215" s="109"/>
    </row>
    <row r="216" spans="1:11" ht="21.75" customHeight="1" x14ac:dyDescent="0.6">
      <c r="A216" s="109"/>
      <c r="B216" s="109"/>
      <c r="C216" s="109"/>
      <c r="D216" s="110"/>
      <c r="E216" s="109"/>
      <c r="F216" s="109"/>
      <c r="G216" s="111"/>
      <c r="H216" s="109"/>
      <c r="I216" s="111"/>
      <c r="J216" s="109"/>
      <c r="K216" s="109"/>
    </row>
    <row r="217" spans="1:11" ht="21.75" customHeight="1" x14ac:dyDescent="0.6">
      <c r="A217" s="109"/>
      <c r="B217" s="109"/>
      <c r="C217" s="109"/>
      <c r="D217" s="110"/>
      <c r="E217" s="109"/>
      <c r="F217" s="109"/>
      <c r="G217" s="111"/>
      <c r="H217" s="109"/>
      <c r="I217" s="111"/>
      <c r="J217" s="109"/>
      <c r="K217" s="109"/>
    </row>
    <row r="218" spans="1:11" ht="21.75" customHeight="1" x14ac:dyDescent="0.6">
      <c r="A218" s="109"/>
      <c r="B218" s="109"/>
      <c r="C218" s="109"/>
      <c r="D218" s="110"/>
      <c r="E218" s="109"/>
      <c r="F218" s="109"/>
      <c r="G218" s="111"/>
      <c r="H218" s="109"/>
      <c r="I218" s="111"/>
      <c r="J218" s="109"/>
      <c r="K218" s="109"/>
    </row>
    <row r="219" spans="1:11" ht="21.75" customHeight="1" x14ac:dyDescent="0.6">
      <c r="A219" s="109"/>
      <c r="B219" s="109"/>
      <c r="C219" s="109"/>
      <c r="D219" s="110"/>
      <c r="E219" s="109"/>
      <c r="F219" s="109"/>
      <c r="G219" s="111"/>
      <c r="H219" s="109"/>
      <c r="I219" s="111"/>
      <c r="J219" s="109"/>
      <c r="K219" s="109"/>
    </row>
    <row r="220" spans="1:11" ht="21.75" customHeight="1" x14ac:dyDescent="0.6">
      <c r="A220" s="109"/>
      <c r="B220" s="109"/>
      <c r="C220" s="109"/>
      <c r="D220" s="110"/>
      <c r="E220" s="109"/>
      <c r="F220" s="109"/>
      <c r="G220" s="111"/>
      <c r="H220" s="109"/>
      <c r="I220" s="111"/>
      <c r="J220" s="109"/>
      <c r="K220" s="109"/>
    </row>
    <row r="221" spans="1:11" ht="21.75" customHeight="1" x14ac:dyDescent="0.6">
      <c r="A221" s="109"/>
      <c r="B221" s="109"/>
      <c r="C221" s="109"/>
      <c r="D221" s="110"/>
      <c r="E221" s="109"/>
      <c r="F221" s="109"/>
      <c r="G221" s="111"/>
      <c r="H221" s="109"/>
      <c r="I221" s="111"/>
      <c r="J221" s="109"/>
      <c r="K221" s="109"/>
    </row>
    <row r="222" spans="1:11" ht="21.75" customHeight="1" x14ac:dyDescent="0.6">
      <c r="A222" s="109"/>
      <c r="B222" s="109"/>
      <c r="C222" s="109"/>
      <c r="D222" s="110"/>
      <c r="E222" s="109"/>
      <c r="F222" s="109"/>
      <c r="G222" s="111"/>
      <c r="H222" s="109"/>
      <c r="I222" s="111"/>
      <c r="J222" s="109"/>
      <c r="K222" s="109"/>
    </row>
    <row r="223" spans="1:11" ht="21.75" customHeight="1" x14ac:dyDescent="0.6">
      <c r="A223" s="109"/>
      <c r="B223" s="109"/>
      <c r="C223" s="109"/>
      <c r="D223" s="110"/>
      <c r="E223" s="109"/>
      <c r="F223" s="109"/>
      <c r="G223" s="111"/>
      <c r="H223" s="109"/>
      <c r="I223" s="111"/>
      <c r="J223" s="109"/>
      <c r="K223" s="109"/>
    </row>
    <row r="224" spans="1:11" ht="21.75" customHeight="1" x14ac:dyDescent="0.6">
      <c r="A224" s="109"/>
      <c r="B224" s="109"/>
      <c r="C224" s="109"/>
      <c r="D224" s="110"/>
      <c r="E224" s="109"/>
      <c r="F224" s="109"/>
      <c r="G224" s="111"/>
      <c r="H224" s="109"/>
      <c r="I224" s="111"/>
      <c r="J224" s="109"/>
      <c r="K224" s="109"/>
    </row>
    <row r="225" spans="1:11" ht="21.75" customHeight="1" x14ac:dyDescent="0.6">
      <c r="A225" s="109"/>
      <c r="B225" s="109"/>
      <c r="C225" s="109"/>
      <c r="D225" s="110"/>
      <c r="E225" s="109"/>
      <c r="F225" s="109"/>
      <c r="G225" s="111"/>
      <c r="H225" s="109"/>
      <c r="I225" s="111"/>
      <c r="J225" s="109"/>
      <c r="K225" s="109"/>
    </row>
    <row r="226" spans="1:11" ht="21.75" customHeight="1" x14ac:dyDescent="0.6">
      <c r="A226" s="109"/>
      <c r="B226" s="109"/>
      <c r="C226" s="109"/>
      <c r="D226" s="110"/>
      <c r="E226" s="109"/>
      <c r="F226" s="109"/>
      <c r="G226" s="111"/>
      <c r="H226" s="109"/>
      <c r="I226" s="111"/>
      <c r="J226" s="109"/>
      <c r="K226" s="109"/>
    </row>
    <row r="227" spans="1:11" ht="21.75" customHeight="1" x14ac:dyDescent="0.6">
      <c r="A227" s="109"/>
      <c r="B227" s="109"/>
      <c r="C227" s="109"/>
      <c r="D227" s="110"/>
      <c r="E227" s="109"/>
      <c r="F227" s="109"/>
      <c r="G227" s="111"/>
      <c r="H227" s="109"/>
      <c r="I227" s="111"/>
      <c r="J227" s="109"/>
      <c r="K227" s="109"/>
    </row>
    <row r="228" spans="1:11" ht="21.75" customHeight="1" x14ac:dyDescent="0.6">
      <c r="A228" s="109"/>
      <c r="B228" s="109"/>
      <c r="C228" s="109"/>
      <c r="D228" s="110"/>
      <c r="E228" s="109"/>
      <c r="F228" s="109"/>
      <c r="G228" s="111"/>
      <c r="H228" s="109"/>
      <c r="I228" s="111"/>
      <c r="J228" s="109"/>
      <c r="K228" s="109"/>
    </row>
    <row r="229" spans="1:11" ht="21.75" customHeight="1" x14ac:dyDescent="0.6">
      <c r="A229" s="109"/>
      <c r="B229" s="109"/>
      <c r="C229" s="109"/>
      <c r="D229" s="110"/>
      <c r="E229" s="109"/>
      <c r="F229" s="109"/>
      <c r="G229" s="111"/>
      <c r="H229" s="109"/>
      <c r="I229" s="111"/>
      <c r="J229" s="109"/>
      <c r="K229" s="109"/>
    </row>
    <row r="230" spans="1:11" ht="21.75" customHeight="1" x14ac:dyDescent="0.6">
      <c r="A230" s="109"/>
      <c r="B230" s="109"/>
      <c r="C230" s="109"/>
      <c r="D230" s="110"/>
      <c r="E230" s="109"/>
      <c r="F230" s="109"/>
      <c r="G230" s="111"/>
      <c r="H230" s="109"/>
      <c r="I230" s="111"/>
      <c r="J230" s="109"/>
      <c r="K230" s="109"/>
    </row>
    <row r="231" spans="1:11" ht="21.75" customHeight="1" x14ac:dyDescent="0.6">
      <c r="A231" s="109"/>
      <c r="B231" s="109"/>
      <c r="C231" s="109"/>
      <c r="D231" s="110"/>
      <c r="E231" s="109"/>
      <c r="F231" s="109"/>
      <c r="G231" s="111"/>
      <c r="H231" s="109"/>
      <c r="I231" s="111"/>
      <c r="J231" s="109"/>
      <c r="K231" s="109"/>
    </row>
    <row r="232" spans="1:11" ht="21.75" customHeight="1" x14ac:dyDescent="0.6">
      <c r="A232" s="109"/>
      <c r="B232" s="109"/>
      <c r="C232" s="109"/>
      <c r="D232" s="110"/>
      <c r="E232" s="109"/>
      <c r="F232" s="109"/>
      <c r="G232" s="111"/>
      <c r="H232" s="109"/>
      <c r="I232" s="111"/>
      <c r="J232" s="109"/>
      <c r="K232" s="109"/>
    </row>
    <row r="233" spans="1:11" ht="21.75" customHeight="1" x14ac:dyDescent="0.6">
      <c r="A233" s="109"/>
      <c r="B233" s="109"/>
      <c r="C233" s="109"/>
      <c r="D233" s="110"/>
      <c r="E233" s="109"/>
      <c r="F233" s="109"/>
      <c r="G233" s="111"/>
      <c r="H233" s="109"/>
      <c r="I233" s="111"/>
      <c r="J233" s="109"/>
      <c r="K233" s="109"/>
    </row>
    <row r="234" spans="1:11" ht="21.75" customHeight="1" x14ac:dyDescent="0.6">
      <c r="A234" s="109"/>
      <c r="B234" s="109"/>
      <c r="C234" s="109"/>
      <c r="D234" s="110"/>
      <c r="E234" s="109"/>
      <c r="F234" s="109"/>
      <c r="G234" s="111"/>
      <c r="H234" s="109"/>
      <c r="I234" s="111"/>
      <c r="J234" s="109"/>
      <c r="K234" s="109"/>
    </row>
    <row r="235" spans="1:11" ht="21.75" customHeight="1" x14ac:dyDescent="0.6">
      <c r="A235" s="109"/>
      <c r="B235" s="109"/>
      <c r="C235" s="109"/>
      <c r="D235" s="110"/>
      <c r="E235" s="109"/>
      <c r="F235" s="109"/>
      <c r="G235" s="111"/>
      <c r="H235" s="109"/>
      <c r="I235" s="111"/>
      <c r="J235" s="109"/>
      <c r="K235" s="109"/>
    </row>
    <row r="236" spans="1:11" ht="21.75" customHeight="1" x14ac:dyDescent="0.6">
      <c r="A236" s="109"/>
      <c r="B236" s="109"/>
      <c r="C236" s="109"/>
      <c r="D236" s="110"/>
      <c r="E236" s="109"/>
      <c r="F236" s="109"/>
      <c r="G236" s="111"/>
      <c r="H236" s="109"/>
      <c r="I236" s="111"/>
      <c r="J236" s="109"/>
      <c r="K236" s="109"/>
    </row>
    <row r="237" spans="1:11" ht="21.75" customHeight="1" x14ac:dyDescent="0.6">
      <c r="A237" s="109"/>
      <c r="B237" s="109"/>
      <c r="C237" s="109"/>
      <c r="D237" s="110"/>
      <c r="E237" s="109"/>
      <c r="F237" s="109"/>
      <c r="G237" s="111"/>
      <c r="H237" s="109"/>
      <c r="I237" s="111"/>
      <c r="J237" s="109"/>
      <c r="K237" s="109"/>
    </row>
    <row r="238" spans="1:11" ht="21.75" customHeight="1" x14ac:dyDescent="0.6">
      <c r="A238" s="109"/>
      <c r="B238" s="109"/>
      <c r="C238" s="109"/>
      <c r="D238" s="110"/>
      <c r="E238" s="109"/>
      <c r="F238" s="109"/>
      <c r="G238" s="111"/>
      <c r="H238" s="109"/>
      <c r="I238" s="111"/>
      <c r="J238" s="109"/>
      <c r="K238" s="109"/>
    </row>
    <row r="239" spans="1:11" ht="21.75" customHeight="1" x14ac:dyDescent="0.6">
      <c r="A239" s="109"/>
      <c r="B239" s="109"/>
      <c r="C239" s="109"/>
      <c r="D239" s="110"/>
      <c r="E239" s="109"/>
      <c r="F239" s="109"/>
      <c r="G239" s="111"/>
      <c r="H239" s="109"/>
      <c r="I239" s="111"/>
      <c r="J239" s="109"/>
      <c r="K239" s="109"/>
    </row>
    <row r="240" spans="1:11" ht="21.75" customHeight="1" x14ac:dyDescent="0.6">
      <c r="A240" s="109"/>
      <c r="B240" s="109"/>
      <c r="C240" s="109"/>
      <c r="D240" s="110"/>
      <c r="E240" s="109"/>
      <c r="F240" s="109"/>
      <c r="G240" s="111"/>
      <c r="H240" s="109"/>
      <c r="I240" s="111"/>
      <c r="J240" s="109"/>
      <c r="K240" s="109"/>
    </row>
    <row r="241" spans="1:11" ht="21.75" customHeight="1" x14ac:dyDescent="0.6">
      <c r="A241" s="109"/>
      <c r="B241" s="109"/>
      <c r="C241" s="109"/>
      <c r="D241" s="110"/>
      <c r="E241" s="109"/>
      <c r="F241" s="109"/>
      <c r="G241" s="111"/>
      <c r="H241" s="109"/>
      <c r="I241" s="111"/>
      <c r="J241" s="109"/>
      <c r="K241" s="109"/>
    </row>
    <row r="242" spans="1:11" ht="21.75" customHeight="1" x14ac:dyDescent="0.6">
      <c r="A242" s="109"/>
      <c r="B242" s="109"/>
      <c r="C242" s="109"/>
      <c r="D242" s="110"/>
      <c r="E242" s="109"/>
      <c r="F242" s="109"/>
      <c r="G242" s="111"/>
      <c r="H242" s="109"/>
      <c r="I242" s="111"/>
      <c r="J242" s="109"/>
      <c r="K242" s="109"/>
    </row>
    <row r="243" spans="1:11" ht="21.75" customHeight="1" x14ac:dyDescent="0.6">
      <c r="A243" s="109"/>
      <c r="B243" s="109"/>
      <c r="C243" s="109"/>
      <c r="D243" s="110"/>
      <c r="E243" s="109"/>
      <c r="F243" s="109"/>
      <c r="G243" s="111"/>
      <c r="H243" s="109"/>
      <c r="I243" s="111"/>
      <c r="J243" s="109"/>
      <c r="K243" s="109"/>
    </row>
    <row r="244" spans="1:11" ht="21.75" customHeight="1" x14ac:dyDescent="0.6">
      <c r="A244" s="109"/>
      <c r="B244" s="109"/>
      <c r="C244" s="109"/>
      <c r="D244" s="110"/>
      <c r="E244" s="109"/>
      <c r="F244" s="109"/>
      <c r="G244" s="111"/>
      <c r="H244" s="109"/>
      <c r="I244" s="111"/>
      <c r="J244" s="109"/>
      <c r="K244" s="109"/>
    </row>
    <row r="245" spans="1:11" ht="21.75" customHeight="1" x14ac:dyDescent="0.6">
      <c r="A245" s="109"/>
      <c r="B245" s="109"/>
      <c r="C245" s="109"/>
      <c r="D245" s="110"/>
      <c r="E245" s="109"/>
      <c r="F245" s="109"/>
      <c r="G245" s="111"/>
      <c r="H245" s="109"/>
      <c r="I245" s="111"/>
      <c r="J245" s="109"/>
      <c r="K245" s="109"/>
    </row>
    <row r="246" spans="1:11" ht="21.75" customHeight="1" x14ac:dyDescent="0.6">
      <c r="A246" s="109"/>
      <c r="B246" s="109"/>
      <c r="C246" s="109"/>
      <c r="D246" s="110"/>
      <c r="E246" s="109"/>
      <c r="F246" s="109"/>
      <c r="G246" s="111"/>
      <c r="H246" s="109"/>
      <c r="I246" s="111"/>
      <c r="J246" s="109"/>
      <c r="K246" s="109"/>
    </row>
    <row r="247" spans="1:11" ht="21.75" customHeight="1" x14ac:dyDescent="0.6">
      <c r="A247" s="109"/>
      <c r="B247" s="109"/>
      <c r="C247" s="109"/>
      <c r="D247" s="110"/>
      <c r="E247" s="109"/>
      <c r="F247" s="109"/>
      <c r="G247" s="111"/>
      <c r="H247" s="109"/>
      <c r="I247" s="111"/>
      <c r="J247" s="109"/>
      <c r="K247" s="109"/>
    </row>
    <row r="248" spans="1:11" ht="21.75" customHeight="1" x14ac:dyDescent="0.6">
      <c r="A248" s="109"/>
      <c r="B248" s="109"/>
      <c r="C248" s="109"/>
      <c r="D248" s="110"/>
      <c r="E248" s="109"/>
      <c r="F248" s="109"/>
      <c r="G248" s="111"/>
      <c r="H248" s="109"/>
      <c r="I248" s="111"/>
      <c r="J248" s="109"/>
      <c r="K248" s="109"/>
    </row>
    <row r="249" spans="1:11" ht="21.75" customHeight="1" x14ac:dyDescent="0.6">
      <c r="A249" s="109"/>
      <c r="B249" s="109"/>
      <c r="C249" s="109"/>
      <c r="D249" s="110"/>
      <c r="E249" s="109"/>
      <c r="F249" s="109"/>
      <c r="G249" s="111"/>
      <c r="H249" s="109"/>
      <c r="I249" s="111"/>
      <c r="J249" s="109"/>
      <c r="K249" s="109"/>
    </row>
    <row r="250" spans="1:11" ht="21.75" customHeight="1" x14ac:dyDescent="0.6">
      <c r="A250" s="109"/>
      <c r="B250" s="109"/>
      <c r="C250" s="109"/>
      <c r="D250" s="110"/>
      <c r="E250" s="109"/>
      <c r="F250" s="109"/>
      <c r="G250" s="111"/>
      <c r="H250" s="109"/>
      <c r="I250" s="111"/>
      <c r="J250" s="109"/>
      <c r="K250" s="109"/>
    </row>
    <row r="251" spans="1:11" ht="21.75" customHeight="1" x14ac:dyDescent="0.6">
      <c r="A251" s="109"/>
      <c r="B251" s="109"/>
      <c r="C251" s="109"/>
      <c r="D251" s="110"/>
      <c r="E251" s="109"/>
      <c r="F251" s="109"/>
      <c r="G251" s="111"/>
      <c r="H251" s="109"/>
      <c r="I251" s="111"/>
      <c r="J251" s="109"/>
      <c r="K251" s="109"/>
    </row>
    <row r="252" spans="1:11" ht="21.75" customHeight="1" x14ac:dyDescent="0.6">
      <c r="A252" s="109"/>
      <c r="B252" s="109"/>
      <c r="C252" s="109"/>
      <c r="D252" s="110"/>
      <c r="E252" s="109"/>
      <c r="F252" s="109"/>
      <c r="G252" s="111"/>
      <c r="H252" s="109"/>
      <c r="I252" s="111"/>
      <c r="J252" s="109"/>
      <c r="K252" s="109"/>
    </row>
    <row r="253" spans="1:11" ht="21.75" customHeight="1" x14ac:dyDescent="0.6">
      <c r="A253" s="109"/>
      <c r="B253" s="109"/>
      <c r="C253" s="109"/>
      <c r="D253" s="110"/>
      <c r="E253" s="109"/>
      <c r="F253" s="109"/>
      <c r="G253" s="111"/>
      <c r="H253" s="109"/>
      <c r="I253" s="111"/>
      <c r="J253" s="109"/>
      <c r="K253" s="109"/>
    </row>
    <row r="254" spans="1:11" ht="21.75" customHeight="1" x14ac:dyDescent="0.6">
      <c r="A254" s="109"/>
      <c r="B254" s="109"/>
      <c r="C254" s="109"/>
      <c r="D254" s="110"/>
      <c r="E254" s="109"/>
      <c r="F254" s="109"/>
      <c r="G254" s="111"/>
      <c r="H254" s="109"/>
      <c r="I254" s="111"/>
      <c r="J254" s="109"/>
      <c r="K254" s="109"/>
    </row>
    <row r="255" spans="1:11" ht="21.75" customHeight="1" x14ac:dyDescent="0.6">
      <c r="A255" s="109"/>
      <c r="B255" s="109"/>
      <c r="C255" s="109"/>
      <c r="D255" s="110"/>
      <c r="E255" s="109"/>
      <c r="F255" s="109"/>
      <c r="G255" s="111"/>
      <c r="H255" s="109"/>
      <c r="I255" s="111"/>
      <c r="J255" s="109"/>
      <c r="K255" s="109"/>
    </row>
    <row r="256" spans="1:11" ht="21.75" customHeight="1" x14ac:dyDescent="0.6">
      <c r="A256" s="109"/>
      <c r="B256" s="109"/>
      <c r="C256" s="109"/>
      <c r="D256" s="110"/>
      <c r="E256" s="109"/>
      <c r="F256" s="109"/>
      <c r="G256" s="111"/>
      <c r="H256" s="109"/>
      <c r="I256" s="111"/>
      <c r="J256" s="109"/>
      <c r="K256" s="109"/>
    </row>
    <row r="257" spans="1:11" ht="21.75" customHeight="1" x14ac:dyDescent="0.6">
      <c r="A257" s="109"/>
      <c r="B257" s="109"/>
      <c r="C257" s="109"/>
      <c r="D257" s="110"/>
      <c r="E257" s="109"/>
      <c r="F257" s="109"/>
      <c r="G257" s="111"/>
      <c r="H257" s="109"/>
      <c r="I257" s="111"/>
      <c r="J257" s="109"/>
      <c r="K257" s="109"/>
    </row>
    <row r="258" spans="1:11" ht="21.75" customHeight="1" x14ac:dyDescent="0.6">
      <c r="A258" s="109"/>
      <c r="B258" s="109"/>
      <c r="C258" s="109"/>
      <c r="D258" s="110"/>
      <c r="E258" s="109"/>
      <c r="F258" s="109"/>
      <c r="G258" s="111"/>
      <c r="H258" s="109"/>
      <c r="I258" s="111"/>
      <c r="J258" s="109"/>
      <c r="K258" s="109"/>
    </row>
    <row r="259" spans="1:11" ht="21.75" customHeight="1" x14ac:dyDescent="0.6">
      <c r="A259" s="109"/>
      <c r="B259" s="109"/>
      <c r="C259" s="109"/>
      <c r="D259" s="110"/>
      <c r="E259" s="109"/>
      <c r="F259" s="109"/>
      <c r="G259" s="111"/>
      <c r="H259" s="109"/>
      <c r="I259" s="111"/>
      <c r="J259" s="109"/>
      <c r="K259" s="109"/>
    </row>
    <row r="260" spans="1:11" ht="21.75" customHeight="1" x14ac:dyDescent="0.6">
      <c r="A260" s="109"/>
      <c r="B260" s="109"/>
      <c r="C260" s="109"/>
      <c r="D260" s="110"/>
      <c r="E260" s="109"/>
      <c r="F260" s="109"/>
      <c r="G260" s="111"/>
      <c r="H260" s="109"/>
      <c r="I260" s="111"/>
      <c r="J260" s="109"/>
      <c r="K260" s="109"/>
    </row>
    <row r="261" spans="1:11" ht="21.75" customHeight="1" x14ac:dyDescent="0.6">
      <c r="A261" s="109"/>
      <c r="B261" s="109"/>
      <c r="C261" s="109"/>
      <c r="D261" s="110"/>
      <c r="E261" s="109"/>
      <c r="F261" s="109"/>
      <c r="G261" s="111"/>
      <c r="H261" s="109"/>
      <c r="I261" s="111"/>
      <c r="J261" s="109"/>
      <c r="K261" s="109"/>
    </row>
    <row r="262" spans="1:11" ht="21.75" customHeight="1" x14ac:dyDescent="0.6">
      <c r="A262" s="109"/>
      <c r="B262" s="109"/>
      <c r="C262" s="109"/>
      <c r="D262" s="110"/>
      <c r="E262" s="109"/>
      <c r="F262" s="109"/>
      <c r="G262" s="111"/>
      <c r="H262" s="109"/>
      <c r="I262" s="111"/>
      <c r="J262" s="109"/>
      <c r="K262" s="109"/>
    </row>
    <row r="263" spans="1:11" ht="21.75" customHeight="1" x14ac:dyDescent="0.6">
      <c r="A263" s="109"/>
      <c r="B263" s="109"/>
      <c r="C263" s="109"/>
      <c r="D263" s="110"/>
      <c r="E263" s="109"/>
      <c r="F263" s="109"/>
      <c r="G263" s="111"/>
      <c r="H263" s="109"/>
      <c r="I263" s="111"/>
      <c r="J263" s="109"/>
      <c r="K263" s="109"/>
    </row>
    <row r="264" spans="1:11" ht="21.75" customHeight="1" x14ac:dyDescent="0.6">
      <c r="A264" s="109"/>
      <c r="B264" s="109"/>
      <c r="C264" s="109"/>
      <c r="D264" s="110"/>
      <c r="E264" s="109"/>
      <c r="F264" s="109"/>
      <c r="G264" s="111"/>
      <c r="H264" s="109"/>
      <c r="I264" s="111"/>
      <c r="J264" s="109"/>
      <c r="K264" s="109"/>
    </row>
    <row r="265" spans="1:11" ht="21.75" customHeight="1" x14ac:dyDescent="0.6">
      <c r="A265" s="109"/>
      <c r="B265" s="109"/>
      <c r="C265" s="109"/>
      <c r="D265" s="110"/>
      <c r="E265" s="109"/>
      <c r="F265" s="109"/>
      <c r="G265" s="111"/>
      <c r="H265" s="109"/>
      <c r="I265" s="111"/>
      <c r="J265" s="109"/>
      <c r="K265" s="109"/>
    </row>
    <row r="266" spans="1:11" ht="21.75" customHeight="1" x14ac:dyDescent="0.6">
      <c r="A266" s="109"/>
      <c r="B266" s="109"/>
      <c r="C266" s="109"/>
      <c r="D266" s="110"/>
      <c r="E266" s="109"/>
      <c r="F266" s="109"/>
      <c r="G266" s="111"/>
      <c r="H266" s="109"/>
      <c r="I266" s="111"/>
      <c r="J266" s="109"/>
      <c r="K266" s="109"/>
    </row>
    <row r="267" spans="1:11" ht="21.75" customHeight="1" x14ac:dyDescent="0.6">
      <c r="A267" s="109"/>
      <c r="B267" s="109"/>
      <c r="C267" s="109"/>
      <c r="D267" s="110"/>
      <c r="E267" s="109"/>
      <c r="F267" s="109"/>
      <c r="G267" s="111"/>
      <c r="H267" s="109"/>
      <c r="I267" s="111"/>
      <c r="J267" s="109"/>
      <c r="K267" s="109"/>
    </row>
    <row r="268" spans="1:11" ht="21.75" customHeight="1" x14ac:dyDescent="0.6">
      <c r="A268" s="109"/>
      <c r="B268" s="109"/>
      <c r="C268" s="109"/>
      <c r="D268" s="110"/>
      <c r="E268" s="109"/>
      <c r="F268" s="109"/>
      <c r="G268" s="111"/>
      <c r="H268" s="109"/>
      <c r="I268" s="111"/>
      <c r="J268" s="109"/>
      <c r="K268" s="109"/>
    </row>
    <row r="269" spans="1:11" ht="21.75" customHeight="1" x14ac:dyDescent="0.6">
      <c r="A269" s="109"/>
      <c r="B269" s="109"/>
      <c r="C269" s="109"/>
      <c r="D269" s="110"/>
      <c r="E269" s="109"/>
      <c r="F269" s="109"/>
      <c r="G269" s="111"/>
      <c r="H269" s="109"/>
      <c r="I269" s="111"/>
      <c r="J269" s="109"/>
      <c r="K269" s="109"/>
    </row>
    <row r="270" spans="1:11" ht="21.75" customHeight="1" x14ac:dyDescent="0.6">
      <c r="A270" s="109"/>
      <c r="B270" s="109"/>
      <c r="C270" s="109"/>
      <c r="D270" s="110"/>
      <c r="E270" s="109"/>
      <c r="F270" s="109"/>
      <c r="G270" s="111"/>
      <c r="H270" s="109"/>
      <c r="I270" s="111"/>
      <c r="J270" s="109"/>
      <c r="K270" s="109"/>
    </row>
    <row r="271" spans="1:11" ht="21.75" customHeight="1" x14ac:dyDescent="0.6">
      <c r="A271" s="109"/>
      <c r="B271" s="109"/>
      <c r="C271" s="109"/>
      <c r="D271" s="110"/>
      <c r="E271" s="109"/>
      <c r="F271" s="109"/>
      <c r="G271" s="111"/>
      <c r="H271" s="109"/>
      <c r="I271" s="111"/>
      <c r="J271" s="109"/>
      <c r="K271" s="109"/>
    </row>
    <row r="272" spans="1:11" ht="21.75" customHeight="1" x14ac:dyDescent="0.6">
      <c r="A272" s="109"/>
      <c r="B272" s="109"/>
      <c r="C272" s="109"/>
      <c r="D272" s="110"/>
      <c r="E272" s="109"/>
      <c r="F272" s="109"/>
      <c r="G272" s="111"/>
      <c r="H272" s="109"/>
      <c r="I272" s="111"/>
      <c r="J272" s="109"/>
      <c r="K272" s="109"/>
    </row>
    <row r="273" spans="1:11" ht="21.75" customHeight="1" x14ac:dyDescent="0.6">
      <c r="A273" s="109"/>
      <c r="B273" s="109"/>
      <c r="C273" s="109"/>
      <c r="D273" s="110"/>
      <c r="E273" s="109"/>
      <c r="F273" s="109"/>
      <c r="G273" s="111"/>
      <c r="H273" s="109"/>
      <c r="I273" s="111"/>
      <c r="J273" s="109"/>
      <c r="K273" s="109"/>
    </row>
    <row r="274" spans="1:11" ht="21.75" customHeight="1" x14ac:dyDescent="0.6">
      <c r="A274" s="109"/>
      <c r="B274" s="109"/>
      <c r="C274" s="109"/>
      <c r="D274" s="110"/>
      <c r="E274" s="109"/>
      <c r="F274" s="109"/>
      <c r="G274" s="111"/>
      <c r="H274" s="109"/>
      <c r="I274" s="111"/>
      <c r="J274" s="109"/>
      <c r="K274" s="109"/>
    </row>
    <row r="275" spans="1:11" ht="21.75" customHeight="1" x14ac:dyDescent="0.6">
      <c r="A275" s="109"/>
      <c r="B275" s="109"/>
      <c r="C275" s="109"/>
      <c r="D275" s="110"/>
      <c r="E275" s="109"/>
      <c r="F275" s="109"/>
      <c r="G275" s="111"/>
      <c r="H275" s="109"/>
      <c r="I275" s="111"/>
      <c r="J275" s="109"/>
      <c r="K275" s="109"/>
    </row>
    <row r="276" spans="1:11" ht="21.75" customHeight="1" x14ac:dyDescent="0.6">
      <c r="A276" s="109"/>
      <c r="B276" s="109"/>
      <c r="C276" s="109"/>
      <c r="D276" s="110"/>
      <c r="E276" s="109"/>
      <c r="F276" s="109"/>
      <c r="G276" s="111"/>
      <c r="H276" s="109"/>
      <c r="I276" s="111"/>
      <c r="J276" s="109"/>
      <c r="K276" s="109"/>
    </row>
    <row r="277" spans="1:11" ht="21.75" customHeight="1" x14ac:dyDescent="0.6">
      <c r="A277" s="109"/>
      <c r="B277" s="109"/>
      <c r="C277" s="109"/>
      <c r="D277" s="110"/>
      <c r="E277" s="109"/>
      <c r="F277" s="109"/>
      <c r="G277" s="111"/>
      <c r="H277" s="109"/>
      <c r="I277" s="111"/>
      <c r="J277" s="109"/>
      <c r="K277" s="109"/>
    </row>
    <row r="278" spans="1:11" ht="21.75" customHeight="1" x14ac:dyDescent="0.6">
      <c r="A278" s="109"/>
      <c r="B278" s="109"/>
      <c r="C278" s="109"/>
      <c r="D278" s="110"/>
      <c r="E278" s="109"/>
      <c r="F278" s="109"/>
      <c r="G278" s="111"/>
      <c r="H278" s="109"/>
      <c r="I278" s="111"/>
      <c r="J278" s="109"/>
      <c r="K278" s="109"/>
    </row>
    <row r="279" spans="1:11" ht="21.75" customHeight="1" x14ac:dyDescent="0.6">
      <c r="A279" s="109"/>
      <c r="B279" s="109"/>
      <c r="C279" s="109"/>
      <c r="D279" s="110"/>
      <c r="E279" s="109"/>
      <c r="F279" s="109"/>
      <c r="G279" s="111"/>
      <c r="H279" s="109"/>
      <c r="I279" s="111"/>
      <c r="J279" s="109"/>
      <c r="K279" s="109"/>
    </row>
    <row r="280" spans="1:11" ht="21.75" customHeight="1" x14ac:dyDescent="0.6">
      <c r="A280" s="109"/>
      <c r="B280" s="109"/>
      <c r="C280" s="109"/>
      <c r="D280" s="110"/>
      <c r="E280" s="109"/>
      <c r="F280" s="109"/>
      <c r="G280" s="111"/>
      <c r="H280" s="109"/>
      <c r="I280" s="111"/>
      <c r="J280" s="109"/>
      <c r="K280" s="109"/>
    </row>
    <row r="281" spans="1:11" ht="21.75" customHeight="1" x14ac:dyDescent="0.6">
      <c r="A281" s="109"/>
      <c r="B281" s="109"/>
      <c r="C281" s="109"/>
      <c r="D281" s="110"/>
      <c r="E281" s="109"/>
      <c r="F281" s="109"/>
      <c r="G281" s="111"/>
      <c r="H281" s="109"/>
      <c r="I281" s="111"/>
      <c r="J281" s="109"/>
      <c r="K281" s="109"/>
    </row>
    <row r="282" spans="1:11" ht="21.75" customHeight="1" x14ac:dyDescent="0.6">
      <c r="A282" s="109"/>
      <c r="B282" s="109"/>
      <c r="C282" s="109"/>
      <c r="D282" s="110"/>
      <c r="E282" s="109"/>
      <c r="F282" s="109"/>
      <c r="G282" s="111"/>
      <c r="H282" s="109"/>
      <c r="I282" s="111"/>
      <c r="J282" s="109"/>
      <c r="K282" s="109"/>
    </row>
    <row r="283" spans="1:11" ht="21.75" customHeight="1" x14ac:dyDescent="0.6">
      <c r="A283" s="109"/>
      <c r="B283" s="109"/>
      <c r="C283" s="109"/>
      <c r="D283" s="110"/>
      <c r="E283" s="109"/>
      <c r="F283" s="109"/>
      <c r="G283" s="111"/>
      <c r="H283" s="109"/>
      <c r="I283" s="111"/>
      <c r="J283" s="109"/>
      <c r="K283" s="109"/>
    </row>
    <row r="284" spans="1:11" ht="21.75" customHeight="1" x14ac:dyDescent="0.6">
      <c r="A284" s="109"/>
      <c r="B284" s="109"/>
      <c r="C284" s="109"/>
      <c r="D284" s="110"/>
      <c r="E284" s="109"/>
      <c r="F284" s="109"/>
      <c r="G284" s="111"/>
      <c r="H284" s="109"/>
      <c r="I284" s="111"/>
      <c r="J284" s="109"/>
      <c r="K284" s="109"/>
    </row>
    <row r="285" spans="1:11" ht="21.75" customHeight="1" x14ac:dyDescent="0.6">
      <c r="A285" s="109"/>
      <c r="B285" s="109"/>
      <c r="C285" s="109"/>
      <c r="D285" s="110"/>
      <c r="E285" s="109"/>
      <c r="F285" s="109"/>
      <c r="G285" s="111"/>
      <c r="H285" s="109"/>
      <c r="I285" s="111"/>
      <c r="J285" s="109"/>
      <c r="K285" s="109"/>
    </row>
    <row r="286" spans="1:11" ht="21.75" customHeight="1" x14ac:dyDescent="0.6">
      <c r="A286" s="109"/>
      <c r="B286" s="109"/>
      <c r="C286" s="109"/>
      <c r="D286" s="110"/>
      <c r="E286" s="109"/>
      <c r="F286" s="109"/>
      <c r="G286" s="111"/>
      <c r="H286" s="109"/>
      <c r="I286" s="111"/>
      <c r="J286" s="109"/>
      <c r="K286" s="109"/>
    </row>
    <row r="287" spans="1:11" ht="21.75" customHeight="1" x14ac:dyDescent="0.6">
      <c r="A287" s="109"/>
      <c r="B287" s="109"/>
      <c r="C287" s="109"/>
      <c r="D287" s="110"/>
      <c r="E287" s="109"/>
      <c r="F287" s="109"/>
      <c r="G287" s="111"/>
      <c r="H287" s="109"/>
      <c r="I287" s="111"/>
      <c r="J287" s="109"/>
      <c r="K287" s="109"/>
    </row>
    <row r="288" spans="1:11" ht="21.75" customHeight="1" x14ac:dyDescent="0.6">
      <c r="A288" s="109"/>
      <c r="B288" s="109"/>
      <c r="C288" s="109"/>
      <c r="D288" s="110"/>
      <c r="E288" s="109"/>
      <c r="F288" s="109"/>
      <c r="G288" s="111"/>
      <c r="H288" s="109"/>
      <c r="I288" s="111"/>
      <c r="J288" s="109"/>
      <c r="K288" s="109"/>
    </row>
    <row r="289" spans="1:11" ht="21.75" customHeight="1" x14ac:dyDescent="0.6">
      <c r="A289" s="109"/>
      <c r="B289" s="109"/>
      <c r="C289" s="109"/>
      <c r="D289" s="110"/>
      <c r="E289" s="109"/>
      <c r="F289" s="109"/>
      <c r="G289" s="111"/>
      <c r="H289" s="109"/>
      <c r="I289" s="111"/>
      <c r="J289" s="109"/>
      <c r="K289" s="109"/>
    </row>
    <row r="290" spans="1:11" ht="21.75" customHeight="1" x14ac:dyDescent="0.6">
      <c r="A290" s="109"/>
      <c r="B290" s="109"/>
      <c r="C290" s="109"/>
      <c r="D290" s="110"/>
      <c r="E290" s="109"/>
      <c r="F290" s="109"/>
      <c r="G290" s="111"/>
      <c r="H290" s="109"/>
      <c r="I290" s="111"/>
      <c r="J290" s="109"/>
      <c r="K290" s="109"/>
    </row>
    <row r="291" spans="1:11" ht="21.75" customHeight="1" x14ac:dyDescent="0.6">
      <c r="A291" s="109"/>
      <c r="B291" s="109"/>
      <c r="C291" s="109"/>
      <c r="D291" s="110"/>
      <c r="E291" s="109"/>
      <c r="F291" s="109"/>
      <c r="G291" s="111"/>
      <c r="H291" s="109"/>
      <c r="I291" s="111"/>
      <c r="J291" s="109"/>
      <c r="K291" s="109"/>
    </row>
    <row r="292" spans="1:11" ht="21.75" customHeight="1" x14ac:dyDescent="0.6">
      <c r="A292" s="109"/>
      <c r="B292" s="109"/>
      <c r="C292" s="109"/>
      <c r="D292" s="110"/>
      <c r="E292" s="109"/>
      <c r="F292" s="109"/>
      <c r="G292" s="111"/>
      <c r="H292" s="109"/>
      <c r="I292" s="111"/>
      <c r="J292" s="109"/>
      <c r="K292" s="109"/>
    </row>
    <row r="293" spans="1:11" ht="21.75" customHeight="1" x14ac:dyDescent="0.6">
      <c r="A293" s="109"/>
      <c r="B293" s="109"/>
      <c r="C293" s="109"/>
      <c r="D293" s="110"/>
      <c r="E293" s="109"/>
      <c r="F293" s="109"/>
      <c r="G293" s="111"/>
      <c r="H293" s="109"/>
      <c r="I293" s="111"/>
      <c r="J293" s="109"/>
      <c r="K293" s="109"/>
    </row>
    <row r="294" spans="1:11" ht="21.75" customHeight="1" x14ac:dyDescent="0.6">
      <c r="A294" s="109"/>
      <c r="B294" s="109"/>
      <c r="C294" s="109"/>
      <c r="D294" s="110"/>
      <c r="E294" s="109"/>
      <c r="F294" s="109"/>
      <c r="G294" s="111"/>
      <c r="H294" s="109"/>
      <c r="I294" s="111"/>
      <c r="J294" s="109"/>
      <c r="K294" s="109"/>
    </row>
    <row r="295" spans="1:11" ht="21.75" customHeight="1" x14ac:dyDescent="0.6">
      <c r="A295" s="109"/>
      <c r="B295" s="109"/>
      <c r="C295" s="109"/>
      <c r="D295" s="110"/>
      <c r="E295" s="109"/>
      <c r="F295" s="109"/>
      <c r="G295" s="111"/>
      <c r="H295" s="109"/>
      <c r="I295" s="111"/>
      <c r="J295" s="109"/>
      <c r="K295" s="109"/>
    </row>
    <row r="296" spans="1:11" ht="21.75" customHeight="1" x14ac:dyDescent="0.6">
      <c r="A296" s="109"/>
      <c r="B296" s="109"/>
      <c r="C296" s="109"/>
      <c r="D296" s="110"/>
      <c r="E296" s="109"/>
      <c r="F296" s="109"/>
      <c r="G296" s="111"/>
      <c r="H296" s="109"/>
      <c r="I296" s="111"/>
      <c r="J296" s="109"/>
      <c r="K296" s="109"/>
    </row>
    <row r="297" spans="1:11" ht="21.75" customHeight="1" x14ac:dyDescent="0.6">
      <c r="A297" s="109"/>
      <c r="B297" s="109"/>
      <c r="C297" s="109"/>
      <c r="D297" s="110"/>
      <c r="E297" s="109"/>
      <c r="F297" s="109"/>
      <c r="G297" s="111"/>
      <c r="H297" s="109"/>
      <c r="I297" s="111"/>
      <c r="J297" s="109"/>
      <c r="K297" s="109"/>
    </row>
    <row r="298" spans="1:11" ht="21.75" customHeight="1" x14ac:dyDescent="0.6">
      <c r="A298" s="109"/>
      <c r="B298" s="109"/>
      <c r="C298" s="109"/>
      <c r="D298" s="110"/>
      <c r="E298" s="109"/>
      <c r="F298" s="109"/>
      <c r="G298" s="111"/>
      <c r="H298" s="109"/>
      <c r="I298" s="111"/>
      <c r="J298" s="109"/>
      <c r="K298" s="109"/>
    </row>
    <row r="299" spans="1:11" ht="21.75" customHeight="1" x14ac:dyDescent="0.6">
      <c r="A299" s="109"/>
      <c r="B299" s="109"/>
      <c r="C299" s="109"/>
      <c r="D299" s="110"/>
      <c r="E299" s="109"/>
      <c r="F299" s="109"/>
      <c r="G299" s="111"/>
      <c r="H299" s="109"/>
      <c r="I299" s="111"/>
      <c r="J299" s="109"/>
      <c r="K299" s="109"/>
    </row>
    <row r="300" spans="1:11" ht="21.75" customHeight="1" x14ac:dyDescent="0.6">
      <c r="A300" s="109"/>
      <c r="B300" s="109"/>
      <c r="C300" s="109"/>
      <c r="D300" s="110"/>
      <c r="E300" s="109"/>
      <c r="F300" s="109"/>
      <c r="G300" s="111"/>
      <c r="H300" s="109"/>
      <c r="I300" s="111"/>
      <c r="J300" s="109"/>
      <c r="K300" s="109"/>
    </row>
    <row r="301" spans="1:11" ht="21.75" customHeight="1" x14ac:dyDescent="0.6">
      <c r="A301" s="109"/>
      <c r="B301" s="109"/>
      <c r="C301" s="109"/>
      <c r="D301" s="110"/>
      <c r="E301" s="109"/>
      <c r="F301" s="109"/>
      <c r="G301" s="111"/>
      <c r="H301" s="109"/>
      <c r="I301" s="111"/>
      <c r="J301" s="109"/>
      <c r="K301" s="109"/>
    </row>
    <row r="302" spans="1:11" ht="21.75" customHeight="1" x14ac:dyDescent="0.6">
      <c r="A302" s="109"/>
      <c r="B302" s="109"/>
      <c r="C302" s="109"/>
      <c r="D302" s="110"/>
      <c r="E302" s="109"/>
      <c r="F302" s="109"/>
      <c r="G302" s="111"/>
      <c r="H302" s="109"/>
      <c r="I302" s="111"/>
      <c r="J302" s="109"/>
      <c r="K302" s="109"/>
    </row>
    <row r="303" spans="1:11" ht="21.75" customHeight="1" x14ac:dyDescent="0.6">
      <c r="A303" s="109"/>
      <c r="B303" s="109"/>
      <c r="C303" s="109"/>
      <c r="D303" s="110"/>
      <c r="E303" s="109"/>
      <c r="F303" s="109"/>
      <c r="G303" s="111"/>
      <c r="H303" s="109"/>
      <c r="I303" s="111"/>
      <c r="J303" s="109"/>
      <c r="K303" s="109"/>
    </row>
    <row r="304" spans="1:11" ht="21.75" customHeight="1" x14ac:dyDescent="0.6">
      <c r="A304" s="109"/>
      <c r="B304" s="109"/>
      <c r="C304" s="109"/>
      <c r="D304" s="110"/>
      <c r="E304" s="109"/>
      <c r="F304" s="109"/>
      <c r="G304" s="111"/>
      <c r="H304" s="109"/>
      <c r="I304" s="111"/>
      <c r="J304" s="109"/>
      <c r="K304" s="109"/>
    </row>
    <row r="305" spans="1:11" ht="21.75" customHeight="1" x14ac:dyDescent="0.6">
      <c r="A305" s="109"/>
      <c r="B305" s="109"/>
      <c r="C305" s="109"/>
      <c r="D305" s="110"/>
      <c r="E305" s="109"/>
      <c r="F305" s="109"/>
      <c r="G305" s="111"/>
      <c r="H305" s="109"/>
      <c r="I305" s="111"/>
      <c r="J305" s="109"/>
      <c r="K305" s="109"/>
    </row>
    <row r="306" spans="1:11" ht="21.75" customHeight="1" x14ac:dyDescent="0.6">
      <c r="A306" s="109"/>
      <c r="B306" s="109"/>
      <c r="C306" s="109"/>
      <c r="D306" s="110"/>
      <c r="E306" s="109"/>
      <c r="F306" s="109"/>
      <c r="G306" s="111"/>
      <c r="H306" s="109"/>
      <c r="I306" s="111"/>
      <c r="J306" s="109"/>
      <c r="K306" s="109"/>
    </row>
    <row r="307" spans="1:11" ht="21.75" customHeight="1" x14ac:dyDescent="0.6">
      <c r="A307" s="109"/>
      <c r="B307" s="109"/>
      <c r="C307" s="109"/>
      <c r="D307" s="110"/>
      <c r="E307" s="109"/>
      <c r="F307" s="109"/>
      <c r="G307" s="111"/>
      <c r="H307" s="109"/>
      <c r="I307" s="111"/>
      <c r="J307" s="109"/>
      <c r="K307" s="109"/>
    </row>
    <row r="308" spans="1:11" ht="21.75" customHeight="1" x14ac:dyDescent="0.6">
      <c r="A308" s="109"/>
      <c r="B308" s="109"/>
      <c r="C308" s="109"/>
      <c r="D308" s="110"/>
      <c r="E308" s="109"/>
      <c r="F308" s="109"/>
      <c r="G308" s="111"/>
      <c r="H308" s="109"/>
      <c r="I308" s="111"/>
      <c r="J308" s="109"/>
      <c r="K308" s="109"/>
    </row>
    <row r="309" spans="1:11" ht="21.75" customHeight="1" x14ac:dyDescent="0.6">
      <c r="A309" s="109"/>
      <c r="B309" s="109"/>
      <c r="C309" s="109"/>
      <c r="D309" s="110"/>
      <c r="E309" s="109"/>
      <c r="F309" s="109"/>
      <c r="G309" s="111"/>
      <c r="H309" s="109"/>
      <c r="I309" s="111"/>
      <c r="J309" s="109"/>
      <c r="K309" s="109"/>
    </row>
    <row r="310" spans="1:11" ht="21.75" customHeight="1" x14ac:dyDescent="0.6">
      <c r="A310" s="109"/>
      <c r="B310" s="109"/>
      <c r="C310" s="109"/>
      <c r="D310" s="110"/>
      <c r="E310" s="109"/>
      <c r="F310" s="109"/>
      <c r="G310" s="111"/>
      <c r="H310" s="109"/>
      <c r="I310" s="111"/>
      <c r="J310" s="109"/>
      <c r="K310" s="109"/>
    </row>
    <row r="311" spans="1:11" ht="21.75" customHeight="1" x14ac:dyDescent="0.6">
      <c r="A311" s="109"/>
      <c r="B311" s="109"/>
      <c r="C311" s="109"/>
      <c r="D311" s="110"/>
      <c r="E311" s="109"/>
      <c r="F311" s="109"/>
      <c r="G311" s="111"/>
      <c r="H311" s="109"/>
      <c r="I311" s="111"/>
      <c r="J311" s="109"/>
      <c r="K311" s="109"/>
    </row>
    <row r="312" spans="1:11" ht="21.75" customHeight="1" x14ac:dyDescent="0.6">
      <c r="A312" s="109"/>
      <c r="B312" s="109"/>
      <c r="C312" s="109"/>
      <c r="D312" s="110"/>
      <c r="E312" s="109"/>
      <c r="F312" s="109"/>
      <c r="G312" s="111"/>
      <c r="H312" s="109"/>
      <c r="I312" s="111"/>
      <c r="J312" s="109"/>
      <c r="K312" s="109"/>
    </row>
    <row r="313" spans="1:11" ht="21.75" customHeight="1" x14ac:dyDescent="0.6">
      <c r="A313" s="109"/>
      <c r="B313" s="109"/>
      <c r="C313" s="109"/>
      <c r="D313" s="110"/>
      <c r="E313" s="109"/>
      <c r="F313" s="109"/>
      <c r="G313" s="111"/>
      <c r="H313" s="109"/>
      <c r="I313" s="111"/>
      <c r="J313" s="109"/>
      <c r="K313" s="109"/>
    </row>
    <row r="314" spans="1:11" ht="21.75" customHeight="1" x14ac:dyDescent="0.6">
      <c r="A314" s="109"/>
      <c r="B314" s="109"/>
      <c r="C314" s="109"/>
      <c r="D314" s="110"/>
      <c r="E314" s="109"/>
      <c r="F314" s="109"/>
      <c r="G314" s="111"/>
      <c r="H314" s="109"/>
      <c r="I314" s="111"/>
      <c r="J314" s="109"/>
      <c r="K314" s="109"/>
    </row>
    <row r="315" spans="1:11" ht="21.75" customHeight="1" x14ac:dyDescent="0.6">
      <c r="A315" s="109"/>
      <c r="B315" s="109"/>
      <c r="C315" s="109"/>
      <c r="D315" s="110"/>
      <c r="E315" s="109"/>
      <c r="F315" s="109"/>
      <c r="G315" s="111"/>
      <c r="H315" s="109"/>
      <c r="I315" s="111"/>
      <c r="J315" s="109"/>
      <c r="K315" s="109"/>
    </row>
    <row r="316" spans="1:11" ht="21.75" customHeight="1" x14ac:dyDescent="0.6">
      <c r="A316" s="109"/>
      <c r="B316" s="109"/>
      <c r="C316" s="109"/>
      <c r="D316" s="110"/>
      <c r="E316" s="109"/>
      <c r="F316" s="109"/>
      <c r="G316" s="111"/>
      <c r="H316" s="109"/>
      <c r="I316" s="111"/>
      <c r="J316" s="109"/>
      <c r="K316" s="109"/>
    </row>
    <row r="317" spans="1:11" ht="21.75" customHeight="1" x14ac:dyDescent="0.6">
      <c r="A317" s="109"/>
      <c r="B317" s="109"/>
      <c r="C317" s="109"/>
      <c r="D317" s="110"/>
      <c r="E317" s="109"/>
      <c r="F317" s="109"/>
      <c r="G317" s="111"/>
      <c r="H317" s="109"/>
      <c r="I317" s="111"/>
      <c r="J317" s="109"/>
      <c r="K317" s="109"/>
    </row>
    <row r="318" spans="1:11" ht="21.75" customHeight="1" x14ac:dyDescent="0.6">
      <c r="A318" s="109"/>
      <c r="B318" s="109"/>
      <c r="C318" s="109"/>
      <c r="D318" s="110"/>
      <c r="E318" s="109"/>
      <c r="F318" s="109"/>
      <c r="G318" s="111"/>
      <c r="H318" s="109"/>
      <c r="I318" s="111"/>
      <c r="J318" s="109"/>
      <c r="K318" s="109"/>
    </row>
    <row r="319" spans="1:11" ht="21.75" customHeight="1" x14ac:dyDescent="0.6">
      <c r="A319" s="109"/>
      <c r="B319" s="109"/>
      <c r="C319" s="109"/>
      <c r="D319" s="110"/>
      <c r="E319" s="109"/>
      <c r="F319" s="109"/>
      <c r="G319" s="111"/>
      <c r="H319" s="109"/>
      <c r="I319" s="111"/>
      <c r="J319" s="109"/>
      <c r="K319" s="109"/>
    </row>
    <row r="320" spans="1:11" ht="21.75" customHeight="1" x14ac:dyDescent="0.6">
      <c r="A320" s="109"/>
      <c r="B320" s="109"/>
      <c r="C320" s="109"/>
      <c r="D320" s="110"/>
      <c r="E320" s="109"/>
      <c r="F320" s="109"/>
      <c r="G320" s="111"/>
      <c r="H320" s="109"/>
      <c r="I320" s="111"/>
      <c r="J320" s="109"/>
      <c r="K320" s="109"/>
    </row>
    <row r="321" spans="1:11" ht="21.75" customHeight="1" x14ac:dyDescent="0.6">
      <c r="A321" s="109"/>
      <c r="B321" s="109"/>
      <c r="C321" s="109"/>
      <c r="D321" s="110"/>
      <c r="E321" s="109"/>
      <c r="F321" s="109"/>
      <c r="G321" s="111"/>
      <c r="H321" s="109"/>
      <c r="I321" s="111"/>
      <c r="J321" s="109"/>
      <c r="K321" s="109"/>
    </row>
    <row r="322" spans="1:11" ht="21.75" customHeight="1" x14ac:dyDescent="0.6">
      <c r="A322" s="109"/>
      <c r="B322" s="109"/>
      <c r="C322" s="109"/>
      <c r="D322" s="110"/>
      <c r="E322" s="109"/>
      <c r="F322" s="109"/>
      <c r="G322" s="111"/>
      <c r="H322" s="109"/>
      <c r="I322" s="111"/>
      <c r="J322" s="109"/>
      <c r="K322" s="109"/>
    </row>
    <row r="323" spans="1:11" ht="21.75" customHeight="1" x14ac:dyDescent="0.6">
      <c r="A323" s="109"/>
      <c r="B323" s="109"/>
      <c r="C323" s="109"/>
      <c r="D323" s="110"/>
      <c r="E323" s="109"/>
      <c r="F323" s="109"/>
      <c r="G323" s="111"/>
      <c r="H323" s="109"/>
      <c r="I323" s="111"/>
      <c r="J323" s="109"/>
      <c r="K323" s="109"/>
    </row>
    <row r="324" spans="1:11" ht="21.75" customHeight="1" x14ac:dyDescent="0.6">
      <c r="A324" s="109"/>
      <c r="B324" s="109"/>
      <c r="C324" s="109"/>
      <c r="D324" s="110"/>
      <c r="E324" s="109"/>
      <c r="F324" s="109"/>
      <c r="G324" s="111"/>
      <c r="H324" s="109"/>
      <c r="I324" s="111"/>
      <c r="J324" s="109"/>
      <c r="K324" s="109"/>
    </row>
    <row r="325" spans="1:11" ht="21.75" customHeight="1" x14ac:dyDescent="0.6">
      <c r="A325" s="109"/>
      <c r="B325" s="109"/>
      <c r="C325" s="109"/>
      <c r="D325" s="110"/>
      <c r="E325" s="109"/>
      <c r="F325" s="109"/>
      <c r="G325" s="111"/>
      <c r="H325" s="109"/>
      <c r="I325" s="111"/>
      <c r="J325" s="109"/>
      <c r="K325" s="109"/>
    </row>
    <row r="326" spans="1:11" ht="21.75" customHeight="1" x14ac:dyDescent="0.6">
      <c r="A326" s="109"/>
      <c r="B326" s="109"/>
      <c r="C326" s="109"/>
      <c r="D326" s="110"/>
      <c r="E326" s="109"/>
      <c r="F326" s="109"/>
      <c r="G326" s="111"/>
      <c r="H326" s="109"/>
      <c r="I326" s="111"/>
      <c r="J326" s="109"/>
      <c r="K326" s="109"/>
    </row>
    <row r="327" spans="1:11" ht="21.75" customHeight="1" x14ac:dyDescent="0.6">
      <c r="A327" s="109"/>
      <c r="B327" s="109"/>
      <c r="C327" s="109"/>
      <c r="D327" s="110"/>
      <c r="E327" s="109"/>
      <c r="F327" s="109"/>
      <c r="G327" s="111"/>
      <c r="H327" s="109"/>
      <c r="I327" s="111"/>
      <c r="J327" s="109"/>
      <c r="K327" s="109"/>
    </row>
    <row r="328" spans="1:11" ht="21.75" customHeight="1" x14ac:dyDescent="0.6">
      <c r="A328" s="109"/>
      <c r="B328" s="109"/>
      <c r="C328" s="109"/>
      <c r="D328" s="110"/>
      <c r="E328" s="109"/>
      <c r="F328" s="109"/>
      <c r="G328" s="111"/>
      <c r="H328" s="109"/>
      <c r="I328" s="111"/>
      <c r="J328" s="109"/>
      <c r="K328" s="109"/>
    </row>
    <row r="329" spans="1:11" ht="21.75" customHeight="1" x14ac:dyDescent="0.6">
      <c r="A329" s="109"/>
      <c r="B329" s="109"/>
      <c r="C329" s="109"/>
      <c r="D329" s="110"/>
      <c r="E329" s="109"/>
      <c r="F329" s="109"/>
      <c r="G329" s="111"/>
      <c r="H329" s="109"/>
      <c r="I329" s="111"/>
      <c r="J329" s="109"/>
      <c r="K329" s="109"/>
    </row>
    <row r="330" spans="1:11" ht="21.75" customHeight="1" x14ac:dyDescent="0.6">
      <c r="A330" s="109"/>
      <c r="B330" s="109"/>
      <c r="C330" s="109"/>
      <c r="D330" s="110"/>
      <c r="E330" s="109"/>
      <c r="F330" s="109"/>
      <c r="G330" s="111"/>
      <c r="H330" s="109"/>
      <c r="I330" s="111"/>
      <c r="J330" s="109"/>
      <c r="K330" s="109"/>
    </row>
    <row r="331" spans="1:11" ht="21.75" customHeight="1" x14ac:dyDescent="0.6">
      <c r="A331" s="109"/>
      <c r="B331" s="109"/>
      <c r="C331" s="109"/>
      <c r="D331" s="110"/>
      <c r="E331" s="109"/>
      <c r="F331" s="109"/>
      <c r="G331" s="111"/>
      <c r="H331" s="109"/>
      <c r="I331" s="111"/>
      <c r="J331" s="109"/>
      <c r="K331" s="109"/>
    </row>
    <row r="332" spans="1:11" ht="21.75" customHeight="1" x14ac:dyDescent="0.6">
      <c r="A332" s="109"/>
      <c r="B332" s="109"/>
      <c r="C332" s="109"/>
      <c r="D332" s="110"/>
      <c r="E332" s="109"/>
      <c r="F332" s="109"/>
      <c r="G332" s="111"/>
      <c r="H332" s="109"/>
      <c r="I332" s="111"/>
      <c r="J332" s="109"/>
      <c r="K332" s="109"/>
    </row>
    <row r="333" spans="1:11" ht="21.75" customHeight="1" x14ac:dyDescent="0.6">
      <c r="A333" s="109"/>
      <c r="B333" s="109"/>
      <c r="C333" s="109"/>
      <c r="D333" s="110"/>
      <c r="E333" s="109"/>
      <c r="F333" s="109"/>
      <c r="G333" s="111"/>
      <c r="H333" s="109"/>
      <c r="I333" s="111"/>
      <c r="J333" s="109"/>
      <c r="K333" s="109"/>
    </row>
    <row r="334" spans="1:11" ht="21.75" customHeight="1" x14ac:dyDescent="0.6">
      <c r="A334" s="109"/>
      <c r="B334" s="109"/>
      <c r="C334" s="109"/>
      <c r="D334" s="110"/>
      <c r="E334" s="109"/>
      <c r="F334" s="109"/>
      <c r="G334" s="111"/>
      <c r="H334" s="109"/>
      <c r="I334" s="111"/>
      <c r="J334" s="109"/>
      <c r="K334" s="109"/>
    </row>
    <row r="335" spans="1:11" ht="21.75" customHeight="1" x14ac:dyDescent="0.6">
      <c r="A335" s="109"/>
      <c r="B335" s="109"/>
      <c r="C335" s="109"/>
      <c r="D335" s="110"/>
      <c r="E335" s="109"/>
      <c r="F335" s="109"/>
      <c r="G335" s="111"/>
      <c r="H335" s="109"/>
      <c r="I335" s="111"/>
      <c r="J335" s="109"/>
      <c r="K335" s="109"/>
    </row>
    <row r="336" spans="1:11" ht="21.75" customHeight="1" x14ac:dyDescent="0.6">
      <c r="A336" s="109"/>
      <c r="B336" s="109"/>
      <c r="C336" s="109"/>
      <c r="D336" s="110"/>
      <c r="E336" s="109"/>
      <c r="F336" s="109"/>
      <c r="G336" s="111"/>
      <c r="H336" s="109"/>
      <c r="I336" s="111"/>
      <c r="J336" s="109"/>
      <c r="K336" s="109"/>
    </row>
    <row r="337" spans="1:11" ht="21.75" customHeight="1" x14ac:dyDescent="0.6">
      <c r="A337" s="109"/>
      <c r="B337" s="109"/>
      <c r="C337" s="109"/>
      <c r="D337" s="110"/>
      <c r="E337" s="109"/>
      <c r="F337" s="109"/>
      <c r="G337" s="111"/>
      <c r="H337" s="109"/>
      <c r="I337" s="111"/>
      <c r="J337" s="109"/>
      <c r="K337" s="109"/>
    </row>
    <row r="338" spans="1:11" ht="21.75" customHeight="1" x14ac:dyDescent="0.6">
      <c r="A338" s="109"/>
      <c r="B338" s="109"/>
      <c r="C338" s="109"/>
      <c r="D338" s="110"/>
      <c r="E338" s="109"/>
      <c r="F338" s="109"/>
      <c r="G338" s="111"/>
      <c r="H338" s="109"/>
      <c r="I338" s="111"/>
      <c r="J338" s="109"/>
      <c r="K338" s="109"/>
    </row>
    <row r="339" spans="1:11" ht="21.75" customHeight="1" x14ac:dyDescent="0.6">
      <c r="A339" s="109"/>
      <c r="B339" s="109"/>
      <c r="C339" s="109"/>
      <c r="D339" s="110"/>
      <c r="E339" s="109"/>
      <c r="F339" s="109"/>
      <c r="G339" s="111"/>
      <c r="H339" s="109"/>
      <c r="I339" s="111"/>
      <c r="J339" s="109"/>
      <c r="K339" s="109"/>
    </row>
    <row r="340" spans="1:11" ht="21.75" customHeight="1" x14ac:dyDescent="0.6">
      <c r="A340" s="109"/>
      <c r="B340" s="109"/>
      <c r="C340" s="109"/>
      <c r="D340" s="110"/>
      <c r="E340" s="109"/>
      <c r="F340" s="109"/>
      <c r="G340" s="111"/>
      <c r="H340" s="109"/>
      <c r="I340" s="111"/>
      <c r="J340" s="109"/>
      <c r="K340" s="109"/>
    </row>
    <row r="341" spans="1:11" ht="21.75" customHeight="1" x14ac:dyDescent="0.6">
      <c r="A341" s="109"/>
      <c r="B341" s="109"/>
      <c r="C341" s="109"/>
      <c r="D341" s="110"/>
      <c r="E341" s="109"/>
      <c r="F341" s="109"/>
      <c r="G341" s="111"/>
      <c r="H341" s="109"/>
      <c r="I341" s="111"/>
      <c r="J341" s="109"/>
      <c r="K341" s="109"/>
    </row>
    <row r="342" spans="1:11" ht="21.75" customHeight="1" x14ac:dyDescent="0.6">
      <c r="A342" s="109"/>
      <c r="B342" s="109"/>
      <c r="C342" s="109"/>
      <c r="D342" s="110"/>
      <c r="E342" s="109"/>
      <c r="F342" s="109"/>
      <c r="G342" s="111"/>
      <c r="H342" s="109"/>
      <c r="I342" s="111"/>
      <c r="J342" s="109"/>
      <c r="K342" s="109"/>
    </row>
    <row r="343" spans="1:11" ht="21.75" customHeight="1" x14ac:dyDescent="0.6">
      <c r="A343" s="109"/>
      <c r="B343" s="109"/>
      <c r="C343" s="109"/>
      <c r="D343" s="110"/>
      <c r="E343" s="109"/>
      <c r="F343" s="109"/>
      <c r="G343" s="111"/>
      <c r="H343" s="109"/>
      <c r="I343" s="111"/>
      <c r="J343" s="109"/>
      <c r="K343" s="109"/>
    </row>
    <row r="344" spans="1:11" ht="21.75" customHeight="1" x14ac:dyDescent="0.6">
      <c r="A344" s="109"/>
      <c r="B344" s="109"/>
      <c r="C344" s="109"/>
      <c r="D344" s="110"/>
      <c r="E344" s="109"/>
      <c r="F344" s="109"/>
      <c r="G344" s="111"/>
      <c r="H344" s="109"/>
      <c r="I344" s="111"/>
      <c r="J344" s="109"/>
      <c r="K344" s="109"/>
    </row>
    <row r="345" spans="1:11" ht="21.75" customHeight="1" x14ac:dyDescent="0.6">
      <c r="A345" s="109"/>
      <c r="B345" s="109"/>
      <c r="C345" s="109"/>
      <c r="D345" s="110"/>
      <c r="E345" s="109"/>
      <c r="F345" s="109"/>
      <c r="G345" s="111"/>
      <c r="H345" s="109"/>
      <c r="I345" s="111"/>
      <c r="J345" s="109"/>
      <c r="K345" s="109"/>
    </row>
    <row r="346" spans="1:11" ht="21.75" customHeight="1" x14ac:dyDescent="0.6">
      <c r="A346" s="109"/>
      <c r="B346" s="109"/>
      <c r="C346" s="109"/>
      <c r="D346" s="110"/>
      <c r="E346" s="109"/>
      <c r="F346" s="109"/>
      <c r="G346" s="111"/>
      <c r="H346" s="109"/>
      <c r="I346" s="111"/>
      <c r="J346" s="109"/>
      <c r="K346" s="109"/>
    </row>
    <row r="347" spans="1:11" ht="21.75" customHeight="1" x14ac:dyDescent="0.6">
      <c r="A347" s="109"/>
      <c r="B347" s="109"/>
      <c r="C347" s="109"/>
      <c r="D347" s="110"/>
      <c r="E347" s="109"/>
      <c r="F347" s="109"/>
      <c r="G347" s="111"/>
      <c r="H347" s="109"/>
      <c r="I347" s="111"/>
      <c r="J347" s="109"/>
      <c r="K347" s="109"/>
    </row>
    <row r="348" spans="1:11" ht="21.75" customHeight="1" x14ac:dyDescent="0.6">
      <c r="A348" s="109"/>
      <c r="B348" s="109"/>
      <c r="C348" s="109"/>
      <c r="D348" s="110"/>
      <c r="E348" s="109"/>
      <c r="F348" s="109"/>
      <c r="G348" s="111"/>
      <c r="H348" s="109"/>
      <c r="I348" s="111"/>
      <c r="J348" s="109"/>
      <c r="K348" s="109"/>
    </row>
    <row r="349" spans="1:11" ht="21.75" customHeight="1" x14ac:dyDescent="0.6">
      <c r="A349" s="109"/>
      <c r="B349" s="109"/>
      <c r="C349" s="109"/>
      <c r="D349" s="110"/>
      <c r="E349" s="109"/>
      <c r="F349" s="109"/>
      <c r="G349" s="111"/>
      <c r="H349" s="109"/>
      <c r="I349" s="111"/>
      <c r="J349" s="109"/>
      <c r="K349" s="109"/>
    </row>
    <row r="350" spans="1:11" ht="21.75" customHeight="1" x14ac:dyDescent="0.6">
      <c r="A350" s="109"/>
      <c r="B350" s="109"/>
      <c r="C350" s="109"/>
      <c r="D350" s="110"/>
      <c r="E350" s="109"/>
      <c r="F350" s="109"/>
      <c r="G350" s="111"/>
      <c r="H350" s="109"/>
      <c r="I350" s="111"/>
      <c r="J350" s="109"/>
      <c r="K350" s="109"/>
    </row>
    <row r="351" spans="1:11" ht="21.75" customHeight="1" x14ac:dyDescent="0.6">
      <c r="A351" s="109"/>
      <c r="B351" s="109"/>
      <c r="C351" s="109"/>
      <c r="D351" s="110"/>
      <c r="E351" s="109"/>
      <c r="F351" s="109"/>
      <c r="G351" s="111"/>
      <c r="H351" s="109"/>
      <c r="I351" s="111"/>
      <c r="J351" s="109"/>
      <c r="K351" s="109"/>
    </row>
    <row r="352" spans="1:11" ht="21.75" customHeight="1" x14ac:dyDescent="0.6">
      <c r="A352" s="109"/>
      <c r="B352" s="109"/>
      <c r="C352" s="109"/>
      <c r="D352" s="110"/>
      <c r="E352" s="109"/>
      <c r="F352" s="109"/>
      <c r="G352" s="111"/>
      <c r="H352" s="109"/>
      <c r="I352" s="111"/>
      <c r="J352" s="109"/>
      <c r="K352" s="109"/>
    </row>
    <row r="353" spans="1:11" ht="21.75" customHeight="1" x14ac:dyDescent="0.6">
      <c r="A353" s="109"/>
      <c r="B353" s="109"/>
      <c r="C353" s="109"/>
      <c r="D353" s="110"/>
      <c r="E353" s="109"/>
      <c r="F353" s="109"/>
      <c r="G353" s="111"/>
      <c r="H353" s="109"/>
      <c r="I353" s="111"/>
      <c r="J353" s="109"/>
      <c r="K353" s="109"/>
    </row>
    <row r="354" spans="1:11" ht="21.75" customHeight="1" x14ac:dyDescent="0.6">
      <c r="A354" s="109"/>
      <c r="B354" s="109"/>
      <c r="C354" s="109"/>
      <c r="D354" s="110"/>
      <c r="E354" s="109"/>
      <c r="F354" s="109"/>
      <c r="G354" s="111"/>
      <c r="H354" s="109"/>
      <c r="I354" s="111"/>
      <c r="J354" s="109"/>
      <c r="K354" s="109"/>
    </row>
    <row r="355" spans="1:11" ht="21.75" customHeight="1" x14ac:dyDescent="0.6">
      <c r="A355" s="109"/>
      <c r="B355" s="109"/>
      <c r="C355" s="109"/>
      <c r="D355" s="110"/>
      <c r="E355" s="109"/>
      <c r="F355" s="109"/>
      <c r="G355" s="111"/>
      <c r="H355" s="109"/>
      <c r="I355" s="111"/>
      <c r="J355" s="109"/>
      <c r="K355" s="109"/>
    </row>
    <row r="356" spans="1:11" ht="21.75" customHeight="1" x14ac:dyDescent="0.6">
      <c r="A356" s="109"/>
      <c r="B356" s="109"/>
      <c r="C356" s="109"/>
      <c r="D356" s="110"/>
      <c r="E356" s="109"/>
      <c r="F356" s="109"/>
      <c r="G356" s="111"/>
      <c r="H356" s="109"/>
      <c r="I356" s="111"/>
      <c r="J356" s="109"/>
      <c r="K356" s="109"/>
    </row>
    <row r="357" spans="1:11" ht="21.75" customHeight="1" x14ac:dyDescent="0.6">
      <c r="A357" s="109"/>
      <c r="B357" s="109"/>
      <c r="C357" s="109"/>
      <c r="D357" s="110"/>
      <c r="E357" s="109"/>
      <c r="F357" s="109"/>
      <c r="G357" s="111"/>
      <c r="H357" s="109"/>
      <c r="I357" s="111"/>
      <c r="J357" s="109"/>
      <c r="K357" s="109"/>
    </row>
    <row r="358" spans="1:11" ht="21.75" customHeight="1" x14ac:dyDescent="0.6">
      <c r="A358" s="109"/>
      <c r="B358" s="109"/>
      <c r="C358" s="109"/>
      <c r="D358" s="110"/>
      <c r="E358" s="109"/>
      <c r="F358" s="109"/>
      <c r="G358" s="111"/>
      <c r="H358" s="109"/>
      <c r="I358" s="111"/>
      <c r="J358" s="109"/>
      <c r="K358" s="109"/>
    </row>
    <row r="359" spans="1:11" ht="21.75" customHeight="1" x14ac:dyDescent="0.6">
      <c r="A359" s="109"/>
      <c r="B359" s="109"/>
      <c r="C359" s="109"/>
      <c r="D359" s="110"/>
      <c r="E359" s="109"/>
      <c r="F359" s="109"/>
      <c r="G359" s="111"/>
      <c r="H359" s="109"/>
      <c r="I359" s="111"/>
      <c r="J359" s="109"/>
      <c r="K359" s="109"/>
    </row>
    <row r="360" spans="1:11" ht="21.75" customHeight="1" x14ac:dyDescent="0.6">
      <c r="A360" s="109"/>
      <c r="B360" s="109"/>
      <c r="C360" s="109"/>
      <c r="D360" s="110"/>
      <c r="E360" s="109"/>
      <c r="F360" s="109"/>
      <c r="G360" s="111"/>
      <c r="H360" s="109"/>
      <c r="I360" s="111"/>
      <c r="J360" s="109"/>
      <c r="K360" s="109"/>
    </row>
    <row r="361" spans="1:11" ht="21.75" customHeight="1" x14ac:dyDescent="0.6">
      <c r="A361" s="109"/>
      <c r="B361" s="109"/>
      <c r="C361" s="109"/>
      <c r="D361" s="110"/>
      <c r="E361" s="109"/>
      <c r="F361" s="109"/>
      <c r="G361" s="111"/>
      <c r="H361" s="109"/>
      <c r="I361" s="111"/>
      <c r="J361" s="109"/>
      <c r="K361" s="109"/>
    </row>
    <row r="362" spans="1:11" ht="21.75" customHeight="1" x14ac:dyDescent="0.6">
      <c r="A362" s="109"/>
      <c r="B362" s="109"/>
      <c r="C362" s="109"/>
      <c r="D362" s="110"/>
      <c r="E362" s="109"/>
      <c r="F362" s="109"/>
      <c r="G362" s="111"/>
      <c r="H362" s="109"/>
      <c r="I362" s="111"/>
      <c r="J362" s="109"/>
      <c r="K362" s="109"/>
    </row>
    <row r="363" spans="1:11" ht="21.75" customHeight="1" x14ac:dyDescent="0.6">
      <c r="A363" s="109"/>
      <c r="B363" s="109"/>
      <c r="C363" s="109"/>
      <c r="D363" s="110"/>
      <c r="E363" s="109"/>
      <c r="F363" s="109"/>
      <c r="G363" s="111"/>
      <c r="H363" s="109"/>
      <c r="I363" s="111"/>
      <c r="J363" s="109"/>
      <c r="K363" s="109"/>
    </row>
    <row r="364" spans="1:11" ht="21.75" customHeight="1" x14ac:dyDescent="0.6">
      <c r="A364" s="109"/>
      <c r="B364" s="109"/>
      <c r="C364" s="109"/>
      <c r="D364" s="110"/>
      <c r="E364" s="109"/>
      <c r="F364" s="109"/>
      <c r="G364" s="111"/>
      <c r="H364" s="109"/>
      <c r="I364" s="111"/>
      <c r="J364" s="109"/>
      <c r="K364" s="109"/>
    </row>
    <row r="365" spans="1:11" ht="21.75" customHeight="1" x14ac:dyDescent="0.6">
      <c r="A365" s="109"/>
      <c r="B365" s="109"/>
      <c r="C365" s="109"/>
      <c r="D365" s="110"/>
      <c r="E365" s="109"/>
      <c r="F365" s="109"/>
      <c r="G365" s="111"/>
      <c r="H365" s="109"/>
      <c r="I365" s="111"/>
      <c r="J365" s="109"/>
      <c r="K365" s="109"/>
    </row>
    <row r="366" spans="1:11" ht="21.75" customHeight="1" x14ac:dyDescent="0.6">
      <c r="A366" s="109"/>
      <c r="B366" s="109"/>
      <c r="C366" s="109"/>
      <c r="D366" s="110"/>
      <c r="E366" s="109"/>
      <c r="F366" s="109"/>
      <c r="G366" s="111"/>
      <c r="H366" s="109"/>
      <c r="I366" s="111"/>
      <c r="J366" s="109"/>
      <c r="K366" s="109"/>
    </row>
    <row r="367" spans="1:11" ht="21.75" customHeight="1" x14ac:dyDescent="0.6">
      <c r="A367" s="109"/>
      <c r="B367" s="109"/>
      <c r="C367" s="109"/>
      <c r="D367" s="110"/>
      <c r="E367" s="109"/>
      <c r="F367" s="109"/>
      <c r="G367" s="111"/>
      <c r="H367" s="109"/>
      <c r="I367" s="111"/>
      <c r="J367" s="109"/>
      <c r="K367" s="109"/>
    </row>
    <row r="368" spans="1:11" ht="21.75" customHeight="1" x14ac:dyDescent="0.6">
      <c r="A368" s="109"/>
      <c r="B368" s="109"/>
      <c r="C368" s="109"/>
      <c r="D368" s="110"/>
      <c r="E368" s="109"/>
      <c r="F368" s="109"/>
      <c r="G368" s="111"/>
      <c r="H368" s="109"/>
      <c r="I368" s="111"/>
      <c r="J368" s="109"/>
      <c r="K368" s="109"/>
    </row>
    <row r="369" spans="1:11" ht="21.75" customHeight="1" x14ac:dyDescent="0.6">
      <c r="A369" s="109"/>
      <c r="B369" s="109"/>
      <c r="C369" s="109"/>
      <c r="D369" s="110"/>
      <c r="E369" s="109"/>
      <c r="F369" s="109"/>
      <c r="G369" s="111"/>
      <c r="H369" s="109"/>
      <c r="I369" s="111"/>
      <c r="J369" s="109"/>
      <c r="K369" s="109"/>
    </row>
    <row r="370" spans="1:11" ht="21.75" customHeight="1" x14ac:dyDescent="0.6">
      <c r="A370" s="109"/>
      <c r="B370" s="109"/>
      <c r="C370" s="109"/>
      <c r="D370" s="110"/>
      <c r="E370" s="109"/>
      <c r="F370" s="109"/>
      <c r="G370" s="111"/>
      <c r="H370" s="109"/>
      <c r="I370" s="111"/>
      <c r="J370" s="109"/>
      <c r="K370" s="109"/>
    </row>
    <row r="371" spans="1:11" ht="21.75" customHeight="1" x14ac:dyDescent="0.6">
      <c r="A371" s="109"/>
      <c r="B371" s="109"/>
      <c r="C371" s="109"/>
      <c r="D371" s="110"/>
      <c r="E371" s="109"/>
      <c r="F371" s="109"/>
      <c r="G371" s="111"/>
      <c r="H371" s="109"/>
      <c r="I371" s="111"/>
      <c r="J371" s="109"/>
      <c r="K371" s="109"/>
    </row>
    <row r="372" spans="1:11" ht="21.75" customHeight="1" x14ac:dyDescent="0.6">
      <c r="A372" s="109"/>
      <c r="B372" s="109"/>
      <c r="C372" s="109"/>
      <c r="D372" s="110"/>
      <c r="E372" s="109"/>
      <c r="F372" s="109"/>
      <c r="G372" s="111"/>
      <c r="H372" s="109"/>
      <c r="I372" s="111"/>
      <c r="J372" s="109"/>
      <c r="K372" s="109"/>
    </row>
    <row r="373" spans="1:11" ht="21.75" customHeight="1" x14ac:dyDescent="0.6">
      <c r="A373" s="109"/>
      <c r="B373" s="109"/>
      <c r="C373" s="109"/>
      <c r="D373" s="110"/>
      <c r="E373" s="109"/>
      <c r="F373" s="109"/>
      <c r="G373" s="111"/>
      <c r="H373" s="109"/>
      <c r="I373" s="111"/>
      <c r="J373" s="109"/>
      <c r="K373" s="109"/>
    </row>
    <row r="374" spans="1:11" ht="21.75" customHeight="1" x14ac:dyDescent="0.6">
      <c r="A374" s="109"/>
      <c r="B374" s="109"/>
      <c r="C374" s="109"/>
      <c r="D374" s="110"/>
      <c r="E374" s="109"/>
      <c r="F374" s="109"/>
      <c r="G374" s="111"/>
      <c r="H374" s="109"/>
      <c r="I374" s="111"/>
      <c r="J374" s="109"/>
      <c r="K374" s="109"/>
    </row>
    <row r="375" spans="1:11" ht="21.75" customHeight="1" x14ac:dyDescent="0.6">
      <c r="A375" s="109"/>
      <c r="B375" s="109"/>
      <c r="C375" s="109"/>
      <c r="D375" s="110"/>
      <c r="E375" s="109"/>
      <c r="F375" s="109"/>
      <c r="G375" s="111"/>
      <c r="H375" s="109"/>
      <c r="I375" s="111"/>
      <c r="J375" s="109"/>
      <c r="K375" s="109"/>
    </row>
    <row r="376" spans="1:11" ht="21.75" customHeight="1" x14ac:dyDescent="0.6">
      <c r="A376" s="109"/>
      <c r="B376" s="109"/>
      <c r="C376" s="109"/>
      <c r="D376" s="110"/>
      <c r="E376" s="109"/>
      <c r="F376" s="109"/>
      <c r="G376" s="111"/>
      <c r="H376" s="109"/>
      <c r="I376" s="111"/>
      <c r="J376" s="109"/>
      <c r="K376" s="109"/>
    </row>
    <row r="377" spans="1:11" ht="21.75" customHeight="1" x14ac:dyDescent="0.6">
      <c r="A377" s="109"/>
      <c r="B377" s="109"/>
      <c r="C377" s="109"/>
      <c r="D377" s="110"/>
      <c r="E377" s="109"/>
      <c r="F377" s="109"/>
      <c r="G377" s="111"/>
      <c r="H377" s="109"/>
      <c r="I377" s="111"/>
      <c r="J377" s="109"/>
      <c r="K377" s="109"/>
    </row>
    <row r="378" spans="1:11" ht="21.75" customHeight="1" x14ac:dyDescent="0.6">
      <c r="A378" s="109"/>
      <c r="B378" s="109"/>
      <c r="C378" s="109"/>
      <c r="D378" s="110"/>
      <c r="E378" s="109"/>
      <c r="F378" s="109"/>
      <c r="G378" s="111"/>
      <c r="H378" s="109"/>
      <c r="I378" s="111"/>
      <c r="J378" s="109"/>
      <c r="K378" s="109"/>
    </row>
    <row r="379" spans="1:11" ht="21.75" customHeight="1" x14ac:dyDescent="0.6">
      <c r="A379" s="109"/>
      <c r="B379" s="109"/>
      <c r="C379" s="109"/>
      <c r="D379" s="110"/>
      <c r="E379" s="109"/>
      <c r="F379" s="109"/>
      <c r="G379" s="111"/>
      <c r="H379" s="109"/>
      <c r="I379" s="111"/>
      <c r="J379" s="109"/>
      <c r="K379" s="109"/>
    </row>
    <row r="380" spans="1:11" ht="21.75" customHeight="1" x14ac:dyDescent="0.6">
      <c r="A380" s="109"/>
      <c r="B380" s="109"/>
      <c r="C380" s="109"/>
      <c r="D380" s="110"/>
      <c r="E380" s="109"/>
      <c r="F380" s="109"/>
      <c r="G380" s="111"/>
      <c r="H380" s="109"/>
      <c r="I380" s="111"/>
      <c r="J380" s="109"/>
      <c r="K380" s="109"/>
    </row>
    <row r="381" spans="1:11" ht="21.75" customHeight="1" x14ac:dyDescent="0.6">
      <c r="A381" s="109"/>
      <c r="B381" s="109"/>
      <c r="C381" s="109"/>
      <c r="D381" s="110"/>
      <c r="E381" s="109"/>
      <c r="F381" s="109"/>
      <c r="G381" s="111"/>
      <c r="H381" s="109"/>
      <c r="I381" s="111"/>
      <c r="J381" s="109"/>
      <c r="K381" s="109"/>
    </row>
    <row r="382" spans="1:11" ht="21.75" customHeight="1" x14ac:dyDescent="0.6">
      <c r="A382" s="109"/>
      <c r="B382" s="109"/>
      <c r="C382" s="109"/>
      <c r="D382" s="110"/>
      <c r="E382" s="109"/>
      <c r="F382" s="109"/>
      <c r="G382" s="111"/>
      <c r="H382" s="109"/>
      <c r="I382" s="111"/>
      <c r="J382" s="109"/>
      <c r="K382" s="109"/>
    </row>
    <row r="383" spans="1:11" ht="21.75" customHeight="1" x14ac:dyDescent="0.6">
      <c r="A383" s="109"/>
      <c r="B383" s="109"/>
      <c r="C383" s="109"/>
      <c r="D383" s="110"/>
      <c r="E383" s="109"/>
      <c r="F383" s="109"/>
      <c r="G383" s="111"/>
      <c r="H383" s="109"/>
      <c r="I383" s="111"/>
      <c r="J383" s="109"/>
      <c r="K383" s="109"/>
    </row>
    <row r="384" spans="1:11" ht="21.75" customHeight="1" x14ac:dyDescent="0.6">
      <c r="A384" s="109"/>
      <c r="B384" s="109"/>
      <c r="C384" s="109"/>
      <c r="D384" s="110"/>
      <c r="E384" s="109"/>
      <c r="F384" s="109"/>
      <c r="G384" s="111"/>
      <c r="H384" s="109"/>
      <c r="I384" s="111"/>
      <c r="J384" s="109"/>
      <c r="K384" s="109"/>
    </row>
    <row r="385" spans="1:11" ht="21.75" customHeight="1" x14ac:dyDescent="0.6">
      <c r="A385" s="109"/>
      <c r="B385" s="109"/>
      <c r="C385" s="109"/>
      <c r="D385" s="110"/>
      <c r="E385" s="109"/>
      <c r="F385" s="109"/>
      <c r="G385" s="111"/>
      <c r="H385" s="109"/>
      <c r="I385" s="111"/>
      <c r="J385" s="109"/>
      <c r="K385" s="109"/>
    </row>
    <row r="386" spans="1:11" ht="21.75" customHeight="1" x14ac:dyDescent="0.6">
      <c r="A386" s="109"/>
      <c r="B386" s="109"/>
      <c r="C386" s="109"/>
      <c r="D386" s="110"/>
      <c r="E386" s="109"/>
      <c r="F386" s="109"/>
      <c r="G386" s="111"/>
      <c r="H386" s="109"/>
      <c r="I386" s="111"/>
      <c r="J386" s="109"/>
      <c r="K386" s="109"/>
    </row>
    <row r="387" spans="1:11" ht="21.75" customHeight="1" x14ac:dyDescent="0.6">
      <c r="A387" s="109"/>
      <c r="B387" s="109"/>
      <c r="C387" s="109"/>
      <c r="D387" s="110"/>
      <c r="E387" s="109"/>
      <c r="F387" s="109"/>
      <c r="G387" s="111"/>
      <c r="H387" s="109"/>
      <c r="I387" s="111"/>
      <c r="J387" s="109"/>
      <c r="K387" s="109"/>
    </row>
    <row r="388" spans="1:11" ht="21.75" customHeight="1" x14ac:dyDescent="0.6">
      <c r="A388" s="109"/>
      <c r="B388" s="109"/>
      <c r="C388" s="109"/>
      <c r="D388" s="110"/>
      <c r="E388" s="109"/>
      <c r="F388" s="109"/>
      <c r="G388" s="111"/>
      <c r="H388" s="109"/>
      <c r="I388" s="111"/>
      <c r="J388" s="109"/>
      <c r="K388" s="109"/>
    </row>
    <row r="389" spans="1:11" ht="21.75" customHeight="1" x14ac:dyDescent="0.6">
      <c r="A389" s="109"/>
      <c r="B389" s="109"/>
      <c r="C389" s="109"/>
      <c r="D389" s="110"/>
      <c r="E389" s="109"/>
      <c r="F389" s="109"/>
      <c r="G389" s="111"/>
      <c r="H389" s="109"/>
      <c r="I389" s="111"/>
      <c r="J389" s="109"/>
      <c r="K389" s="109"/>
    </row>
    <row r="390" spans="1:11" ht="21.75" customHeight="1" x14ac:dyDescent="0.6">
      <c r="A390" s="109"/>
      <c r="B390" s="109"/>
      <c r="C390" s="109"/>
      <c r="D390" s="110"/>
      <c r="E390" s="109"/>
      <c r="F390" s="109"/>
      <c r="G390" s="111"/>
      <c r="H390" s="109"/>
      <c r="I390" s="111"/>
      <c r="J390" s="109"/>
      <c r="K390" s="109"/>
    </row>
    <row r="391" spans="1:11" ht="21.75" customHeight="1" x14ac:dyDescent="0.6">
      <c r="A391" s="109"/>
      <c r="B391" s="109"/>
      <c r="C391" s="109"/>
      <c r="D391" s="110"/>
      <c r="E391" s="109"/>
      <c r="F391" s="109"/>
      <c r="G391" s="111"/>
      <c r="H391" s="109"/>
      <c r="I391" s="111"/>
      <c r="J391" s="109"/>
      <c r="K391" s="109"/>
    </row>
    <row r="392" spans="1:11" ht="21.75" customHeight="1" x14ac:dyDescent="0.6">
      <c r="A392" s="109"/>
      <c r="B392" s="109"/>
      <c r="C392" s="109"/>
      <c r="D392" s="110"/>
      <c r="E392" s="109"/>
      <c r="F392" s="109"/>
      <c r="G392" s="111"/>
      <c r="H392" s="109"/>
      <c r="I392" s="111"/>
      <c r="J392" s="109"/>
      <c r="K392" s="109"/>
    </row>
    <row r="393" spans="1:11" ht="21.75" customHeight="1" x14ac:dyDescent="0.6">
      <c r="A393" s="109"/>
      <c r="B393" s="109"/>
      <c r="C393" s="109"/>
      <c r="D393" s="110"/>
      <c r="E393" s="109"/>
      <c r="F393" s="109"/>
      <c r="G393" s="111"/>
      <c r="H393" s="109"/>
      <c r="I393" s="111"/>
      <c r="J393" s="109"/>
      <c r="K393" s="109"/>
    </row>
    <row r="394" spans="1:11" ht="21.75" customHeight="1" x14ac:dyDescent="0.6">
      <c r="A394" s="109"/>
      <c r="B394" s="109"/>
      <c r="C394" s="109"/>
      <c r="D394" s="110"/>
      <c r="E394" s="109"/>
      <c r="F394" s="109"/>
      <c r="G394" s="111"/>
      <c r="H394" s="109"/>
      <c r="I394" s="111"/>
      <c r="J394" s="109"/>
      <c r="K394" s="109"/>
    </row>
    <row r="395" spans="1:11" ht="21.75" customHeight="1" x14ac:dyDescent="0.6">
      <c r="A395" s="109"/>
      <c r="B395" s="109"/>
      <c r="C395" s="109"/>
      <c r="D395" s="110"/>
      <c r="E395" s="109"/>
      <c r="F395" s="109"/>
      <c r="G395" s="111"/>
      <c r="H395" s="109"/>
      <c r="I395" s="111"/>
      <c r="J395" s="109"/>
      <c r="K395" s="109"/>
    </row>
    <row r="396" spans="1:11" ht="21.75" customHeight="1" x14ac:dyDescent="0.6">
      <c r="A396" s="109"/>
      <c r="B396" s="109"/>
      <c r="C396" s="109"/>
      <c r="D396" s="110"/>
      <c r="E396" s="109"/>
      <c r="F396" s="109"/>
      <c r="G396" s="111"/>
      <c r="H396" s="109"/>
      <c r="I396" s="111"/>
      <c r="J396" s="109"/>
      <c r="K396" s="109"/>
    </row>
    <row r="397" spans="1:11" ht="21.75" customHeight="1" x14ac:dyDescent="0.6">
      <c r="A397" s="109"/>
      <c r="B397" s="109"/>
      <c r="C397" s="109"/>
      <c r="D397" s="110"/>
      <c r="E397" s="109"/>
      <c r="F397" s="109"/>
      <c r="G397" s="111"/>
      <c r="H397" s="109"/>
      <c r="I397" s="111"/>
      <c r="J397" s="109"/>
      <c r="K397" s="109"/>
    </row>
    <row r="398" spans="1:11" ht="21.75" customHeight="1" x14ac:dyDescent="0.6">
      <c r="A398" s="109"/>
      <c r="B398" s="109"/>
      <c r="C398" s="109"/>
      <c r="D398" s="110"/>
      <c r="E398" s="109"/>
      <c r="F398" s="109"/>
      <c r="G398" s="111"/>
      <c r="H398" s="109"/>
      <c r="I398" s="111"/>
      <c r="J398" s="109"/>
      <c r="K398" s="109"/>
    </row>
    <row r="399" spans="1:11" ht="21.75" customHeight="1" x14ac:dyDescent="0.6">
      <c r="A399" s="109"/>
      <c r="B399" s="109"/>
      <c r="C399" s="109"/>
      <c r="D399" s="110"/>
      <c r="E399" s="109"/>
      <c r="F399" s="109"/>
      <c r="G399" s="111"/>
      <c r="H399" s="109"/>
      <c r="I399" s="111"/>
      <c r="J399" s="109"/>
      <c r="K399" s="109"/>
    </row>
    <row r="400" spans="1:11" ht="21.75" customHeight="1" x14ac:dyDescent="0.6">
      <c r="A400" s="109"/>
      <c r="B400" s="109"/>
      <c r="C400" s="109"/>
      <c r="D400" s="110"/>
      <c r="E400" s="109"/>
      <c r="F400" s="109"/>
      <c r="G400" s="111"/>
      <c r="H400" s="109"/>
      <c r="I400" s="111"/>
      <c r="J400" s="109"/>
      <c r="K400" s="109"/>
    </row>
    <row r="401" spans="1:11" ht="21.75" customHeight="1" x14ac:dyDescent="0.6">
      <c r="A401" s="109"/>
      <c r="B401" s="109"/>
      <c r="C401" s="109"/>
      <c r="D401" s="110"/>
      <c r="E401" s="109"/>
      <c r="F401" s="109"/>
      <c r="G401" s="111"/>
      <c r="H401" s="109"/>
      <c r="I401" s="111"/>
      <c r="J401" s="109"/>
      <c r="K401" s="109"/>
    </row>
    <row r="402" spans="1:11" ht="21.75" customHeight="1" x14ac:dyDescent="0.6">
      <c r="A402" s="109"/>
      <c r="B402" s="109"/>
      <c r="C402" s="109"/>
      <c r="D402" s="110"/>
      <c r="E402" s="109"/>
      <c r="F402" s="109"/>
      <c r="G402" s="111"/>
      <c r="H402" s="109"/>
      <c r="I402" s="111"/>
      <c r="J402" s="109"/>
      <c r="K402" s="109"/>
    </row>
    <row r="403" spans="1:11" ht="21.75" customHeight="1" x14ac:dyDescent="0.6">
      <c r="A403" s="109"/>
      <c r="B403" s="109"/>
      <c r="C403" s="109"/>
      <c r="D403" s="110"/>
      <c r="E403" s="109"/>
      <c r="F403" s="109"/>
      <c r="G403" s="111"/>
      <c r="H403" s="109"/>
      <c r="I403" s="111"/>
      <c r="J403" s="109"/>
      <c r="K403" s="109"/>
    </row>
    <row r="404" spans="1:11" ht="21.75" customHeight="1" x14ac:dyDescent="0.6">
      <c r="A404" s="109"/>
      <c r="B404" s="109"/>
      <c r="C404" s="109"/>
      <c r="D404" s="110"/>
      <c r="E404" s="109"/>
      <c r="F404" s="109"/>
      <c r="G404" s="111"/>
      <c r="H404" s="109"/>
      <c r="I404" s="111"/>
      <c r="J404" s="109"/>
      <c r="K404" s="109"/>
    </row>
    <row r="405" spans="1:11" ht="21.75" customHeight="1" x14ac:dyDescent="0.6">
      <c r="A405" s="109"/>
      <c r="B405" s="109"/>
      <c r="C405" s="109"/>
      <c r="D405" s="110"/>
      <c r="E405" s="109"/>
      <c r="F405" s="109"/>
      <c r="G405" s="111"/>
      <c r="H405" s="109"/>
      <c r="I405" s="111"/>
      <c r="J405" s="109"/>
      <c r="K405" s="109"/>
    </row>
    <row r="406" spans="1:11" ht="21.75" customHeight="1" x14ac:dyDescent="0.6">
      <c r="A406" s="109"/>
      <c r="B406" s="109"/>
      <c r="C406" s="109"/>
      <c r="D406" s="110"/>
      <c r="E406" s="109"/>
      <c r="F406" s="109"/>
      <c r="G406" s="111"/>
      <c r="H406" s="109"/>
      <c r="I406" s="111"/>
      <c r="J406" s="109"/>
      <c r="K406" s="109"/>
    </row>
    <row r="407" spans="1:11" ht="21.75" customHeight="1" x14ac:dyDescent="0.6">
      <c r="A407" s="109"/>
      <c r="B407" s="109"/>
      <c r="C407" s="109"/>
      <c r="D407" s="110"/>
      <c r="E407" s="109"/>
      <c r="F407" s="109"/>
      <c r="G407" s="111"/>
      <c r="H407" s="109"/>
      <c r="I407" s="111"/>
      <c r="J407" s="109"/>
      <c r="K407" s="109"/>
    </row>
    <row r="408" spans="1:11" ht="21.75" customHeight="1" x14ac:dyDescent="0.6">
      <c r="A408" s="109"/>
      <c r="B408" s="109"/>
      <c r="C408" s="109"/>
      <c r="D408" s="110"/>
      <c r="E408" s="109"/>
      <c r="F408" s="109"/>
      <c r="G408" s="111"/>
      <c r="H408" s="109"/>
      <c r="I408" s="111"/>
      <c r="J408" s="109"/>
      <c r="K408" s="109"/>
    </row>
    <row r="409" spans="1:11" ht="21.75" customHeight="1" x14ac:dyDescent="0.6">
      <c r="A409" s="109"/>
      <c r="B409" s="109"/>
      <c r="C409" s="109"/>
      <c r="D409" s="110"/>
      <c r="E409" s="109"/>
      <c r="F409" s="109"/>
      <c r="G409" s="111"/>
      <c r="H409" s="109"/>
      <c r="I409" s="111"/>
      <c r="J409" s="109"/>
      <c r="K409" s="109"/>
    </row>
    <row r="410" spans="1:11" ht="21.75" customHeight="1" x14ac:dyDescent="0.6">
      <c r="A410" s="109"/>
      <c r="B410" s="109"/>
      <c r="C410" s="109"/>
      <c r="D410" s="110"/>
      <c r="E410" s="109"/>
      <c r="F410" s="109"/>
      <c r="G410" s="111"/>
      <c r="H410" s="109"/>
      <c r="I410" s="111"/>
      <c r="J410" s="109"/>
      <c r="K410" s="109"/>
    </row>
    <row r="411" spans="1:11" ht="21.75" customHeight="1" x14ac:dyDescent="0.6">
      <c r="A411" s="109"/>
      <c r="B411" s="109"/>
      <c r="C411" s="109"/>
      <c r="D411" s="110"/>
      <c r="E411" s="109"/>
      <c r="F411" s="109"/>
      <c r="G411" s="111"/>
      <c r="H411" s="109"/>
      <c r="I411" s="111"/>
      <c r="J411" s="109"/>
      <c r="K411" s="109"/>
    </row>
    <row r="412" spans="1:11" ht="21.75" customHeight="1" x14ac:dyDescent="0.6">
      <c r="A412" s="109"/>
      <c r="B412" s="109"/>
      <c r="C412" s="109"/>
      <c r="D412" s="110"/>
      <c r="E412" s="109"/>
      <c r="F412" s="109"/>
      <c r="G412" s="111"/>
      <c r="H412" s="109"/>
      <c r="I412" s="111"/>
      <c r="J412" s="109"/>
      <c r="K412" s="109"/>
    </row>
    <row r="413" spans="1:11" ht="21.75" customHeight="1" x14ac:dyDescent="0.6">
      <c r="A413" s="109"/>
      <c r="B413" s="109"/>
      <c r="C413" s="109"/>
      <c r="D413" s="110"/>
      <c r="E413" s="109"/>
      <c r="F413" s="109"/>
      <c r="G413" s="111"/>
      <c r="H413" s="109"/>
      <c r="I413" s="111"/>
      <c r="J413" s="109"/>
      <c r="K413" s="109"/>
    </row>
    <row r="414" spans="1:11" ht="21.75" customHeight="1" x14ac:dyDescent="0.6">
      <c r="A414" s="109"/>
      <c r="B414" s="109"/>
      <c r="C414" s="109"/>
      <c r="D414" s="110"/>
      <c r="E414" s="109"/>
      <c r="F414" s="109"/>
      <c r="G414" s="111"/>
      <c r="H414" s="109"/>
      <c r="I414" s="111"/>
      <c r="J414" s="109"/>
      <c r="K414" s="109"/>
    </row>
    <row r="415" spans="1:11" ht="21.75" customHeight="1" x14ac:dyDescent="0.6">
      <c r="A415" s="109"/>
      <c r="B415" s="109"/>
      <c r="C415" s="109"/>
      <c r="D415" s="110"/>
      <c r="E415" s="109"/>
      <c r="F415" s="109"/>
      <c r="G415" s="111"/>
      <c r="H415" s="109"/>
      <c r="I415" s="111"/>
      <c r="J415" s="109"/>
      <c r="K415" s="109"/>
    </row>
    <row r="416" spans="1:11" ht="21.75" customHeight="1" x14ac:dyDescent="0.6">
      <c r="A416" s="109"/>
      <c r="B416" s="109"/>
      <c r="C416" s="109"/>
      <c r="D416" s="110"/>
      <c r="E416" s="109"/>
      <c r="F416" s="109"/>
      <c r="G416" s="111"/>
      <c r="H416" s="109"/>
      <c r="I416" s="111"/>
      <c r="J416" s="109"/>
      <c r="K416" s="109"/>
    </row>
    <row r="417" spans="1:11" ht="21.75" customHeight="1" x14ac:dyDescent="0.6">
      <c r="A417" s="109"/>
      <c r="B417" s="109"/>
      <c r="C417" s="109"/>
      <c r="D417" s="110"/>
      <c r="E417" s="109"/>
      <c r="F417" s="109"/>
      <c r="G417" s="111"/>
      <c r="H417" s="109"/>
      <c r="I417" s="111"/>
      <c r="J417" s="109"/>
      <c r="K417" s="109"/>
    </row>
    <row r="418" spans="1:11" ht="21.75" customHeight="1" x14ac:dyDescent="0.6">
      <c r="A418" s="109"/>
      <c r="B418" s="109"/>
      <c r="C418" s="109"/>
      <c r="D418" s="110"/>
      <c r="E418" s="109"/>
      <c r="F418" s="109"/>
      <c r="G418" s="111"/>
      <c r="H418" s="109"/>
      <c r="I418" s="111"/>
      <c r="J418" s="109"/>
      <c r="K418" s="109"/>
    </row>
    <row r="419" spans="1:11" ht="21.75" customHeight="1" x14ac:dyDescent="0.6">
      <c r="A419" s="109"/>
      <c r="B419" s="109"/>
      <c r="C419" s="109"/>
      <c r="D419" s="110"/>
      <c r="E419" s="109"/>
      <c r="F419" s="109"/>
      <c r="G419" s="111"/>
      <c r="H419" s="109"/>
      <c r="I419" s="111"/>
      <c r="J419" s="109"/>
      <c r="K419" s="109"/>
    </row>
    <row r="420" spans="1:11" ht="21.75" customHeight="1" x14ac:dyDescent="0.6">
      <c r="A420" s="109"/>
      <c r="B420" s="109"/>
      <c r="C420" s="109"/>
      <c r="D420" s="110"/>
      <c r="E420" s="109"/>
      <c r="F420" s="109"/>
      <c r="G420" s="111"/>
      <c r="H420" s="109"/>
      <c r="I420" s="111"/>
      <c r="J420" s="109"/>
      <c r="K420" s="109"/>
    </row>
    <row r="421" spans="1:11" ht="21.75" customHeight="1" x14ac:dyDescent="0.6">
      <c r="A421" s="109"/>
      <c r="B421" s="109"/>
      <c r="C421" s="109"/>
      <c r="D421" s="110"/>
      <c r="E421" s="109"/>
      <c r="F421" s="109"/>
      <c r="G421" s="111"/>
      <c r="H421" s="109"/>
      <c r="I421" s="111"/>
      <c r="J421" s="109"/>
      <c r="K421" s="109"/>
    </row>
    <row r="422" spans="1:11" ht="21.75" customHeight="1" x14ac:dyDescent="0.6">
      <c r="A422" s="109"/>
      <c r="B422" s="109"/>
      <c r="C422" s="109"/>
      <c r="D422" s="110"/>
      <c r="E422" s="109"/>
      <c r="F422" s="109"/>
      <c r="G422" s="111"/>
      <c r="H422" s="109"/>
      <c r="I422" s="111"/>
      <c r="J422" s="109"/>
      <c r="K422" s="109"/>
    </row>
    <row r="423" spans="1:11" ht="21.75" customHeight="1" x14ac:dyDescent="0.6">
      <c r="A423" s="109"/>
      <c r="B423" s="109"/>
      <c r="C423" s="109"/>
      <c r="D423" s="110"/>
      <c r="E423" s="109"/>
      <c r="F423" s="109"/>
      <c r="G423" s="111"/>
      <c r="H423" s="109"/>
      <c r="I423" s="111"/>
      <c r="J423" s="109"/>
      <c r="K423" s="109"/>
    </row>
    <row r="424" spans="1:11" ht="21.75" customHeight="1" x14ac:dyDescent="0.6">
      <c r="A424" s="109"/>
      <c r="B424" s="109"/>
      <c r="C424" s="109"/>
      <c r="D424" s="110"/>
      <c r="E424" s="109"/>
      <c r="F424" s="109"/>
      <c r="G424" s="111"/>
      <c r="H424" s="109"/>
      <c r="I424" s="111"/>
      <c r="J424" s="109"/>
      <c r="K424" s="109"/>
    </row>
    <row r="425" spans="1:11" ht="21.75" customHeight="1" x14ac:dyDescent="0.6">
      <c r="A425" s="109"/>
      <c r="B425" s="109"/>
      <c r="C425" s="109"/>
      <c r="D425" s="110"/>
      <c r="E425" s="109"/>
      <c r="F425" s="109"/>
      <c r="G425" s="111"/>
      <c r="H425" s="109"/>
      <c r="I425" s="111"/>
      <c r="J425" s="109"/>
      <c r="K425" s="109"/>
    </row>
    <row r="426" spans="1:11" ht="21.75" customHeight="1" x14ac:dyDescent="0.6">
      <c r="A426" s="109"/>
      <c r="B426" s="109"/>
      <c r="C426" s="109"/>
      <c r="D426" s="110"/>
      <c r="E426" s="109"/>
      <c r="F426" s="109"/>
      <c r="G426" s="111"/>
      <c r="H426" s="109"/>
      <c r="I426" s="111"/>
      <c r="J426" s="109"/>
      <c r="K426" s="109"/>
    </row>
    <row r="427" spans="1:11" ht="21.75" customHeight="1" x14ac:dyDescent="0.6">
      <c r="A427" s="109"/>
      <c r="B427" s="109"/>
      <c r="C427" s="109"/>
      <c r="D427" s="110"/>
      <c r="E427" s="109"/>
      <c r="F427" s="109"/>
      <c r="G427" s="111"/>
      <c r="H427" s="109"/>
      <c r="I427" s="111"/>
      <c r="J427" s="109"/>
      <c r="K427" s="109"/>
    </row>
    <row r="428" spans="1:11" ht="21.75" customHeight="1" x14ac:dyDescent="0.6">
      <c r="A428" s="109"/>
      <c r="B428" s="109"/>
      <c r="C428" s="109"/>
      <c r="D428" s="110"/>
      <c r="E428" s="109"/>
      <c r="F428" s="109"/>
      <c r="G428" s="111"/>
      <c r="H428" s="109"/>
      <c r="I428" s="111"/>
      <c r="J428" s="109"/>
      <c r="K428" s="109"/>
    </row>
    <row r="429" spans="1:11" ht="21.75" customHeight="1" x14ac:dyDescent="0.6">
      <c r="A429" s="109"/>
      <c r="B429" s="109"/>
      <c r="C429" s="109"/>
      <c r="D429" s="110"/>
      <c r="E429" s="109"/>
      <c r="F429" s="109"/>
      <c r="G429" s="111"/>
      <c r="H429" s="109"/>
      <c r="I429" s="111"/>
      <c r="J429" s="109"/>
      <c r="K429" s="109"/>
    </row>
    <row r="430" spans="1:11" ht="21.75" customHeight="1" x14ac:dyDescent="0.6">
      <c r="A430" s="109"/>
      <c r="B430" s="109"/>
      <c r="C430" s="109"/>
      <c r="D430" s="110"/>
      <c r="E430" s="109"/>
      <c r="F430" s="109"/>
      <c r="G430" s="111"/>
      <c r="H430" s="109"/>
      <c r="I430" s="111"/>
      <c r="J430" s="109"/>
      <c r="K430" s="109"/>
    </row>
    <row r="431" spans="1:11" ht="21.75" customHeight="1" x14ac:dyDescent="0.6">
      <c r="A431" s="109"/>
      <c r="B431" s="109"/>
      <c r="C431" s="109"/>
      <c r="D431" s="110"/>
      <c r="E431" s="109"/>
      <c r="F431" s="109"/>
      <c r="G431" s="111"/>
      <c r="H431" s="109"/>
      <c r="I431" s="111"/>
      <c r="J431" s="109"/>
      <c r="K431" s="109"/>
    </row>
    <row r="432" spans="1:11" ht="21.75" customHeight="1" x14ac:dyDescent="0.6">
      <c r="A432" s="109"/>
      <c r="B432" s="109"/>
      <c r="C432" s="109"/>
      <c r="D432" s="110"/>
      <c r="E432" s="109"/>
      <c r="F432" s="109"/>
      <c r="G432" s="111"/>
      <c r="H432" s="109"/>
      <c r="I432" s="111"/>
      <c r="J432" s="109"/>
      <c r="K432" s="109"/>
    </row>
    <row r="433" spans="1:11" ht="21.75" customHeight="1" x14ac:dyDescent="0.6">
      <c r="A433" s="109"/>
      <c r="B433" s="109"/>
      <c r="C433" s="109"/>
      <c r="D433" s="110"/>
      <c r="E433" s="109"/>
      <c r="F433" s="109"/>
      <c r="G433" s="111"/>
      <c r="H433" s="109"/>
      <c r="I433" s="111"/>
      <c r="J433" s="109"/>
      <c r="K433" s="109"/>
    </row>
    <row r="434" spans="1:11" ht="21.75" customHeight="1" x14ac:dyDescent="0.6">
      <c r="A434" s="109"/>
      <c r="B434" s="109"/>
      <c r="C434" s="109"/>
      <c r="D434" s="110"/>
      <c r="E434" s="109"/>
      <c r="F434" s="109"/>
      <c r="G434" s="111"/>
      <c r="H434" s="109"/>
      <c r="I434" s="111"/>
      <c r="J434" s="109"/>
      <c r="K434" s="109"/>
    </row>
    <row r="435" spans="1:11" ht="21.75" customHeight="1" x14ac:dyDescent="0.6">
      <c r="A435" s="109"/>
      <c r="B435" s="109"/>
      <c r="C435" s="109"/>
      <c r="D435" s="110"/>
      <c r="E435" s="109"/>
      <c r="F435" s="109"/>
      <c r="G435" s="111"/>
      <c r="H435" s="109"/>
      <c r="I435" s="111"/>
      <c r="J435" s="109"/>
      <c r="K435" s="109"/>
    </row>
    <row r="436" spans="1:11" ht="21.75" customHeight="1" x14ac:dyDescent="0.6">
      <c r="A436" s="109"/>
      <c r="B436" s="109"/>
      <c r="C436" s="109"/>
      <c r="D436" s="110"/>
      <c r="E436" s="109"/>
      <c r="F436" s="109"/>
      <c r="G436" s="111"/>
      <c r="H436" s="109"/>
      <c r="I436" s="111"/>
      <c r="J436" s="109"/>
      <c r="K436" s="109"/>
    </row>
    <row r="437" spans="1:11" ht="21.75" customHeight="1" x14ac:dyDescent="0.6">
      <c r="A437" s="109"/>
      <c r="B437" s="109"/>
      <c r="C437" s="109"/>
      <c r="D437" s="110"/>
      <c r="E437" s="109"/>
      <c r="F437" s="109"/>
      <c r="G437" s="111"/>
      <c r="H437" s="109"/>
      <c r="I437" s="111"/>
      <c r="J437" s="109"/>
      <c r="K437" s="109"/>
    </row>
    <row r="438" spans="1:11" ht="21.75" customHeight="1" x14ac:dyDescent="0.6">
      <c r="A438" s="109"/>
      <c r="B438" s="109"/>
      <c r="C438" s="109"/>
      <c r="D438" s="110"/>
      <c r="E438" s="109"/>
      <c r="F438" s="109"/>
      <c r="G438" s="111"/>
      <c r="H438" s="109"/>
      <c r="I438" s="111"/>
      <c r="J438" s="109"/>
      <c r="K438" s="109"/>
    </row>
    <row r="439" spans="1:11" ht="21.75" customHeight="1" x14ac:dyDescent="0.6">
      <c r="A439" s="109"/>
      <c r="B439" s="109"/>
      <c r="C439" s="109"/>
      <c r="D439" s="110"/>
      <c r="E439" s="109"/>
      <c r="F439" s="109"/>
      <c r="G439" s="111"/>
      <c r="H439" s="109"/>
      <c r="I439" s="111"/>
      <c r="J439" s="109"/>
      <c r="K439" s="109"/>
    </row>
    <row r="440" spans="1:11" ht="21.75" customHeight="1" x14ac:dyDescent="0.6">
      <c r="A440" s="109"/>
      <c r="B440" s="109"/>
      <c r="C440" s="109"/>
      <c r="D440" s="110"/>
      <c r="E440" s="109"/>
      <c r="F440" s="109"/>
      <c r="G440" s="111"/>
      <c r="H440" s="109"/>
      <c r="I440" s="111"/>
      <c r="J440" s="109"/>
      <c r="K440" s="109"/>
    </row>
    <row r="441" spans="1:11" ht="21.75" customHeight="1" x14ac:dyDescent="0.6">
      <c r="A441" s="109"/>
      <c r="B441" s="109"/>
      <c r="C441" s="109"/>
      <c r="D441" s="110"/>
      <c r="E441" s="109"/>
      <c r="F441" s="109"/>
      <c r="G441" s="111"/>
      <c r="H441" s="109"/>
      <c r="I441" s="111"/>
      <c r="J441" s="109"/>
      <c r="K441" s="109"/>
    </row>
    <row r="442" spans="1:11" ht="21.75" customHeight="1" x14ac:dyDescent="0.6">
      <c r="A442" s="109"/>
      <c r="B442" s="109"/>
      <c r="C442" s="109"/>
      <c r="D442" s="110"/>
      <c r="E442" s="109"/>
      <c r="F442" s="109"/>
      <c r="G442" s="111"/>
      <c r="H442" s="109"/>
      <c r="I442" s="111"/>
      <c r="J442" s="109"/>
      <c r="K442" s="109"/>
    </row>
    <row r="443" spans="1:11" ht="21.75" customHeight="1" x14ac:dyDescent="0.6">
      <c r="A443" s="109"/>
      <c r="B443" s="109"/>
      <c r="C443" s="109"/>
      <c r="D443" s="110"/>
      <c r="E443" s="109"/>
      <c r="F443" s="109"/>
      <c r="G443" s="111"/>
      <c r="H443" s="109"/>
      <c r="I443" s="111"/>
      <c r="J443" s="109"/>
      <c r="K443" s="109"/>
    </row>
    <row r="444" spans="1:11" ht="21.75" customHeight="1" x14ac:dyDescent="0.6">
      <c r="A444" s="109"/>
      <c r="B444" s="109"/>
      <c r="C444" s="109"/>
      <c r="D444" s="110"/>
      <c r="E444" s="109"/>
      <c r="F444" s="109"/>
      <c r="G444" s="111"/>
      <c r="H444" s="109"/>
      <c r="I444" s="111"/>
      <c r="J444" s="109"/>
      <c r="K444" s="109"/>
    </row>
    <row r="445" spans="1:11" ht="21.75" customHeight="1" x14ac:dyDescent="0.6">
      <c r="A445" s="109"/>
      <c r="B445" s="109"/>
      <c r="C445" s="109"/>
      <c r="D445" s="110"/>
      <c r="E445" s="109"/>
      <c r="F445" s="109"/>
      <c r="G445" s="111"/>
      <c r="H445" s="109"/>
      <c r="I445" s="111"/>
      <c r="J445" s="109"/>
      <c r="K445" s="109"/>
    </row>
    <row r="446" spans="1:11" ht="21.75" customHeight="1" x14ac:dyDescent="0.6">
      <c r="A446" s="109"/>
      <c r="B446" s="109"/>
      <c r="C446" s="109"/>
      <c r="D446" s="110"/>
      <c r="E446" s="109"/>
      <c r="F446" s="109"/>
      <c r="G446" s="111"/>
      <c r="H446" s="109"/>
      <c r="I446" s="111"/>
      <c r="J446" s="109"/>
      <c r="K446" s="109"/>
    </row>
    <row r="447" spans="1:11" ht="21.75" customHeight="1" x14ac:dyDescent="0.6">
      <c r="A447" s="109"/>
      <c r="B447" s="109"/>
      <c r="C447" s="109"/>
      <c r="D447" s="110"/>
      <c r="E447" s="109"/>
      <c r="F447" s="109"/>
      <c r="G447" s="111"/>
      <c r="H447" s="109"/>
      <c r="I447" s="111"/>
      <c r="J447" s="109"/>
      <c r="K447" s="109"/>
    </row>
    <row r="448" spans="1:11" ht="21.75" customHeight="1" x14ac:dyDescent="0.6">
      <c r="A448" s="109"/>
      <c r="B448" s="109"/>
      <c r="C448" s="109"/>
      <c r="D448" s="110"/>
      <c r="E448" s="109"/>
      <c r="F448" s="109"/>
      <c r="G448" s="111"/>
      <c r="H448" s="109"/>
      <c r="I448" s="111"/>
      <c r="J448" s="109"/>
      <c r="K448" s="109"/>
    </row>
    <row r="449" spans="1:11" ht="21.75" customHeight="1" x14ac:dyDescent="0.6">
      <c r="A449" s="109"/>
      <c r="B449" s="109"/>
      <c r="C449" s="109"/>
      <c r="D449" s="110"/>
      <c r="E449" s="109"/>
      <c r="F449" s="109"/>
      <c r="G449" s="111"/>
      <c r="H449" s="109"/>
      <c r="I449" s="111"/>
      <c r="J449" s="109"/>
      <c r="K449" s="109"/>
    </row>
    <row r="450" spans="1:11" ht="21.75" customHeight="1" x14ac:dyDescent="0.6">
      <c r="A450" s="109"/>
      <c r="B450" s="109"/>
      <c r="C450" s="109"/>
      <c r="D450" s="110"/>
      <c r="E450" s="109"/>
      <c r="F450" s="109"/>
      <c r="G450" s="111"/>
      <c r="H450" s="109"/>
      <c r="I450" s="111"/>
      <c r="J450" s="109"/>
      <c r="K450" s="109"/>
    </row>
    <row r="451" spans="1:11" ht="21.75" customHeight="1" x14ac:dyDescent="0.6">
      <c r="A451" s="109"/>
      <c r="B451" s="109"/>
      <c r="C451" s="109"/>
      <c r="D451" s="110"/>
      <c r="E451" s="109"/>
      <c r="F451" s="109"/>
      <c r="G451" s="111"/>
      <c r="H451" s="109"/>
      <c r="I451" s="111"/>
      <c r="J451" s="109"/>
      <c r="K451" s="109"/>
    </row>
    <row r="452" spans="1:11" ht="21.75" customHeight="1" x14ac:dyDescent="0.6">
      <c r="A452" s="109"/>
      <c r="B452" s="109"/>
      <c r="C452" s="109"/>
      <c r="D452" s="110"/>
      <c r="E452" s="109"/>
      <c r="F452" s="109"/>
      <c r="G452" s="111"/>
      <c r="H452" s="109"/>
      <c r="I452" s="111"/>
      <c r="J452" s="109"/>
      <c r="K452" s="109"/>
    </row>
    <row r="453" spans="1:11" ht="21.75" customHeight="1" x14ac:dyDescent="0.6">
      <c r="A453" s="109"/>
      <c r="B453" s="109"/>
      <c r="C453" s="109"/>
      <c r="D453" s="110"/>
      <c r="E453" s="109"/>
      <c r="F453" s="109"/>
      <c r="G453" s="111"/>
      <c r="H453" s="109"/>
      <c r="I453" s="111"/>
      <c r="J453" s="109"/>
      <c r="K453" s="109"/>
    </row>
    <row r="454" spans="1:11" ht="21.75" customHeight="1" x14ac:dyDescent="0.6">
      <c r="A454" s="109"/>
      <c r="B454" s="109"/>
      <c r="C454" s="109"/>
      <c r="D454" s="110"/>
      <c r="E454" s="109"/>
      <c r="F454" s="109"/>
      <c r="G454" s="111"/>
      <c r="H454" s="109"/>
      <c r="I454" s="111"/>
      <c r="J454" s="109"/>
      <c r="K454" s="109"/>
    </row>
    <row r="455" spans="1:11" ht="21.75" customHeight="1" x14ac:dyDescent="0.6">
      <c r="A455" s="109"/>
      <c r="B455" s="109"/>
      <c r="C455" s="109"/>
      <c r="D455" s="110"/>
      <c r="E455" s="109"/>
      <c r="F455" s="109"/>
      <c r="G455" s="111"/>
      <c r="H455" s="109"/>
      <c r="I455" s="111"/>
      <c r="J455" s="109"/>
      <c r="K455" s="109"/>
    </row>
    <row r="456" spans="1:11" ht="21.75" customHeight="1" x14ac:dyDescent="0.6">
      <c r="A456" s="109"/>
      <c r="B456" s="109"/>
      <c r="C456" s="109"/>
      <c r="D456" s="110"/>
      <c r="E456" s="109"/>
      <c r="F456" s="109"/>
      <c r="G456" s="111"/>
      <c r="H456" s="109"/>
      <c r="I456" s="111"/>
      <c r="J456" s="109"/>
      <c r="K456" s="109"/>
    </row>
    <row r="457" spans="1:11" ht="21.75" customHeight="1" x14ac:dyDescent="0.6">
      <c r="A457" s="109"/>
      <c r="B457" s="109"/>
      <c r="C457" s="109"/>
      <c r="D457" s="110"/>
      <c r="E457" s="109"/>
      <c r="F457" s="109"/>
      <c r="G457" s="111"/>
      <c r="H457" s="109"/>
      <c r="I457" s="111"/>
      <c r="J457" s="109"/>
      <c r="K457" s="109"/>
    </row>
    <row r="458" spans="1:11" ht="21.75" customHeight="1" x14ac:dyDescent="0.6">
      <c r="A458" s="109"/>
      <c r="B458" s="109"/>
      <c r="C458" s="109"/>
      <c r="D458" s="110"/>
      <c r="E458" s="109"/>
      <c r="F458" s="109"/>
      <c r="G458" s="111"/>
      <c r="H458" s="109"/>
      <c r="I458" s="111"/>
      <c r="J458" s="109"/>
      <c r="K458" s="109"/>
    </row>
    <row r="459" spans="1:11" ht="21.75" customHeight="1" x14ac:dyDescent="0.6">
      <c r="A459" s="109"/>
      <c r="B459" s="109"/>
      <c r="C459" s="109"/>
      <c r="D459" s="110"/>
      <c r="E459" s="109"/>
      <c r="F459" s="109"/>
      <c r="G459" s="111"/>
      <c r="H459" s="109"/>
      <c r="I459" s="111"/>
      <c r="J459" s="109"/>
      <c r="K459" s="109"/>
    </row>
    <row r="460" spans="1:11" ht="21.75" customHeight="1" x14ac:dyDescent="0.6">
      <c r="A460" s="109"/>
      <c r="B460" s="109"/>
      <c r="C460" s="109"/>
      <c r="D460" s="110"/>
      <c r="E460" s="109"/>
      <c r="F460" s="109"/>
      <c r="G460" s="111"/>
      <c r="H460" s="109"/>
      <c r="I460" s="111"/>
      <c r="J460" s="109"/>
      <c r="K460" s="109"/>
    </row>
    <row r="461" spans="1:11" ht="21.75" customHeight="1" x14ac:dyDescent="0.6">
      <c r="A461" s="109"/>
      <c r="B461" s="109"/>
      <c r="C461" s="109"/>
      <c r="D461" s="110"/>
      <c r="E461" s="109"/>
      <c r="F461" s="109"/>
      <c r="G461" s="111"/>
      <c r="H461" s="109"/>
      <c r="I461" s="111"/>
      <c r="J461" s="109"/>
      <c r="K461" s="109"/>
    </row>
    <row r="462" spans="1:11" ht="21.75" customHeight="1" x14ac:dyDescent="0.6">
      <c r="A462" s="109"/>
      <c r="B462" s="109"/>
      <c r="C462" s="109"/>
      <c r="D462" s="110"/>
      <c r="E462" s="109"/>
      <c r="F462" s="109"/>
      <c r="G462" s="111"/>
      <c r="H462" s="109"/>
      <c r="I462" s="111"/>
      <c r="J462" s="109"/>
      <c r="K462" s="109"/>
    </row>
    <row r="463" spans="1:11" ht="21.75" customHeight="1" x14ac:dyDescent="0.6">
      <c r="A463" s="109"/>
      <c r="B463" s="109"/>
      <c r="C463" s="109"/>
      <c r="D463" s="110"/>
      <c r="E463" s="109"/>
      <c r="F463" s="109"/>
      <c r="G463" s="111"/>
      <c r="H463" s="109"/>
      <c r="I463" s="111"/>
      <c r="J463" s="109"/>
      <c r="K463" s="109"/>
    </row>
    <row r="464" spans="1:11" ht="21.75" customHeight="1" x14ac:dyDescent="0.6">
      <c r="A464" s="109"/>
      <c r="B464" s="109"/>
      <c r="C464" s="109"/>
      <c r="D464" s="110"/>
      <c r="E464" s="109"/>
      <c r="F464" s="109"/>
      <c r="G464" s="111"/>
      <c r="H464" s="109"/>
      <c r="I464" s="111"/>
      <c r="J464" s="109"/>
      <c r="K464" s="109"/>
    </row>
    <row r="465" spans="1:11" ht="21.75" customHeight="1" x14ac:dyDescent="0.6">
      <c r="A465" s="109"/>
      <c r="B465" s="109"/>
      <c r="C465" s="109"/>
      <c r="D465" s="110"/>
      <c r="E465" s="109"/>
      <c r="F465" s="109"/>
      <c r="G465" s="111"/>
      <c r="H465" s="109"/>
      <c r="I465" s="111"/>
      <c r="J465" s="109"/>
      <c r="K465" s="109"/>
    </row>
    <row r="466" spans="1:11" ht="21.75" customHeight="1" x14ac:dyDescent="0.6">
      <c r="A466" s="109"/>
      <c r="B466" s="109"/>
      <c r="C466" s="109"/>
      <c r="D466" s="110"/>
      <c r="E466" s="109"/>
      <c r="F466" s="109"/>
      <c r="G466" s="111"/>
      <c r="H466" s="109"/>
      <c r="I466" s="111"/>
      <c r="J466" s="109"/>
      <c r="K466" s="109"/>
    </row>
    <row r="467" spans="1:11" ht="21.75" customHeight="1" x14ac:dyDescent="0.6">
      <c r="A467" s="109"/>
      <c r="B467" s="109"/>
      <c r="C467" s="109"/>
      <c r="D467" s="110"/>
      <c r="E467" s="109"/>
      <c r="F467" s="109"/>
      <c r="G467" s="111"/>
      <c r="H467" s="109"/>
      <c r="I467" s="111"/>
      <c r="J467" s="109"/>
      <c r="K467" s="109"/>
    </row>
    <row r="468" spans="1:11" ht="21.75" customHeight="1" x14ac:dyDescent="0.6">
      <c r="A468" s="109"/>
      <c r="B468" s="109"/>
      <c r="C468" s="109"/>
      <c r="D468" s="110"/>
      <c r="E468" s="109"/>
      <c r="F468" s="109"/>
      <c r="G468" s="111"/>
      <c r="H468" s="109"/>
      <c r="I468" s="111"/>
      <c r="J468" s="109"/>
      <c r="K468" s="109"/>
    </row>
    <row r="469" spans="1:11" ht="21.75" customHeight="1" x14ac:dyDescent="0.6">
      <c r="A469" s="109"/>
      <c r="B469" s="109"/>
      <c r="C469" s="109"/>
      <c r="D469" s="110"/>
      <c r="E469" s="109"/>
      <c r="F469" s="109"/>
      <c r="G469" s="111"/>
      <c r="H469" s="109"/>
      <c r="I469" s="111"/>
      <c r="J469" s="109"/>
      <c r="K469" s="109"/>
    </row>
    <row r="470" spans="1:11" ht="21.75" customHeight="1" x14ac:dyDescent="0.6">
      <c r="A470" s="109"/>
      <c r="B470" s="109"/>
      <c r="C470" s="109"/>
      <c r="D470" s="110"/>
      <c r="E470" s="109"/>
      <c r="F470" s="109"/>
      <c r="G470" s="111"/>
      <c r="H470" s="109"/>
      <c r="I470" s="111"/>
      <c r="J470" s="109"/>
      <c r="K470" s="109"/>
    </row>
    <row r="471" spans="1:11" ht="21.75" customHeight="1" x14ac:dyDescent="0.6">
      <c r="A471" s="109"/>
      <c r="B471" s="109"/>
      <c r="C471" s="109"/>
      <c r="D471" s="110"/>
      <c r="E471" s="109"/>
      <c r="F471" s="109"/>
      <c r="G471" s="111"/>
      <c r="H471" s="109"/>
      <c r="I471" s="111"/>
      <c r="J471" s="109"/>
      <c r="K471" s="109"/>
    </row>
    <row r="472" spans="1:11" ht="21.75" customHeight="1" x14ac:dyDescent="0.6">
      <c r="A472" s="109"/>
      <c r="B472" s="109"/>
      <c r="C472" s="109"/>
      <c r="D472" s="110"/>
      <c r="E472" s="109"/>
      <c r="F472" s="109"/>
      <c r="G472" s="111"/>
      <c r="H472" s="109"/>
      <c r="I472" s="111"/>
      <c r="J472" s="109"/>
      <c r="K472" s="109"/>
    </row>
    <row r="473" spans="1:11" ht="21.75" customHeight="1" x14ac:dyDescent="0.6">
      <c r="A473" s="109"/>
      <c r="B473" s="109"/>
      <c r="C473" s="109"/>
      <c r="D473" s="110"/>
      <c r="E473" s="109"/>
      <c r="F473" s="109"/>
      <c r="G473" s="111"/>
      <c r="H473" s="109"/>
      <c r="I473" s="111"/>
      <c r="J473" s="109"/>
      <c r="K473" s="109"/>
    </row>
    <row r="474" spans="1:11" ht="21.75" customHeight="1" x14ac:dyDescent="0.6">
      <c r="A474" s="109"/>
      <c r="B474" s="109"/>
      <c r="C474" s="109"/>
      <c r="D474" s="110"/>
      <c r="E474" s="109"/>
      <c r="F474" s="109"/>
      <c r="G474" s="111"/>
      <c r="H474" s="109"/>
      <c r="I474" s="111"/>
      <c r="J474" s="109"/>
      <c r="K474" s="109"/>
    </row>
    <row r="475" spans="1:11" ht="21.75" customHeight="1" x14ac:dyDescent="0.6">
      <c r="A475" s="109"/>
      <c r="B475" s="109"/>
      <c r="C475" s="109"/>
      <c r="D475" s="110"/>
      <c r="E475" s="109"/>
      <c r="F475" s="109"/>
      <c r="G475" s="111"/>
      <c r="H475" s="109"/>
      <c r="I475" s="111"/>
      <c r="J475" s="109"/>
      <c r="K475" s="109"/>
    </row>
    <row r="476" spans="1:11" ht="21.75" customHeight="1" x14ac:dyDescent="0.6">
      <c r="A476" s="109"/>
      <c r="B476" s="109"/>
      <c r="C476" s="109"/>
      <c r="D476" s="110"/>
      <c r="E476" s="109"/>
      <c r="F476" s="109"/>
      <c r="G476" s="111"/>
      <c r="H476" s="109"/>
      <c r="I476" s="111"/>
      <c r="J476" s="109"/>
      <c r="K476" s="109"/>
    </row>
    <row r="477" spans="1:11" ht="21.75" customHeight="1" x14ac:dyDescent="0.6">
      <c r="A477" s="109"/>
      <c r="B477" s="109"/>
      <c r="C477" s="109"/>
      <c r="D477" s="110"/>
      <c r="E477" s="109"/>
      <c r="F477" s="109"/>
      <c r="G477" s="111"/>
      <c r="H477" s="109"/>
      <c r="I477" s="111"/>
      <c r="J477" s="109"/>
      <c r="K477" s="109"/>
    </row>
    <row r="478" spans="1:11" ht="21.75" customHeight="1" x14ac:dyDescent="0.6">
      <c r="A478" s="109"/>
      <c r="B478" s="109"/>
      <c r="C478" s="109"/>
      <c r="D478" s="110"/>
      <c r="E478" s="109"/>
      <c r="F478" s="109"/>
      <c r="G478" s="111"/>
      <c r="H478" s="109"/>
      <c r="I478" s="111"/>
      <c r="J478" s="109"/>
      <c r="K478" s="109"/>
    </row>
    <row r="479" spans="1:11" ht="21.75" customHeight="1" x14ac:dyDescent="0.6">
      <c r="A479" s="109"/>
      <c r="B479" s="109"/>
      <c r="C479" s="109"/>
      <c r="D479" s="110"/>
      <c r="E479" s="109"/>
      <c r="F479" s="109"/>
      <c r="G479" s="111"/>
      <c r="H479" s="109"/>
      <c r="I479" s="111"/>
      <c r="J479" s="109"/>
      <c r="K479" s="109"/>
    </row>
    <row r="480" spans="1:11" ht="21.75" customHeight="1" x14ac:dyDescent="0.6">
      <c r="A480" s="109"/>
      <c r="B480" s="109"/>
      <c r="C480" s="109"/>
      <c r="D480" s="110"/>
      <c r="E480" s="109"/>
      <c r="F480" s="109"/>
      <c r="G480" s="111"/>
      <c r="H480" s="109"/>
      <c r="I480" s="111"/>
      <c r="J480" s="109"/>
      <c r="K480" s="109"/>
    </row>
    <row r="481" spans="1:11" ht="21.75" customHeight="1" x14ac:dyDescent="0.6">
      <c r="A481" s="109"/>
      <c r="B481" s="109"/>
      <c r="C481" s="109"/>
      <c r="D481" s="110"/>
      <c r="E481" s="109"/>
      <c r="F481" s="109"/>
      <c r="G481" s="111"/>
      <c r="H481" s="109"/>
      <c r="I481" s="111"/>
      <c r="J481" s="109"/>
      <c r="K481" s="109"/>
    </row>
    <row r="482" spans="1:11" ht="21.75" customHeight="1" x14ac:dyDescent="0.6">
      <c r="A482" s="109"/>
      <c r="B482" s="109"/>
      <c r="C482" s="109"/>
      <c r="D482" s="110"/>
      <c r="E482" s="109"/>
      <c r="F482" s="109"/>
      <c r="G482" s="111"/>
      <c r="H482" s="109"/>
      <c r="I482" s="111"/>
      <c r="J482" s="109"/>
      <c r="K482" s="109"/>
    </row>
    <row r="483" spans="1:11" ht="21.75" customHeight="1" x14ac:dyDescent="0.6">
      <c r="A483" s="109"/>
      <c r="B483" s="109"/>
      <c r="C483" s="109"/>
      <c r="D483" s="110"/>
      <c r="E483" s="109"/>
      <c r="F483" s="109"/>
      <c r="G483" s="111"/>
      <c r="H483" s="109"/>
      <c r="I483" s="111"/>
      <c r="J483" s="109"/>
      <c r="K483" s="109"/>
    </row>
    <row r="484" spans="1:11" ht="21.75" customHeight="1" x14ac:dyDescent="0.6">
      <c r="A484" s="109"/>
      <c r="B484" s="109"/>
      <c r="C484" s="109"/>
      <c r="D484" s="110"/>
      <c r="E484" s="109"/>
      <c r="F484" s="109"/>
      <c r="G484" s="111"/>
      <c r="H484" s="109"/>
      <c r="I484" s="111"/>
      <c r="J484" s="109"/>
      <c r="K484" s="109"/>
    </row>
    <row r="485" spans="1:11" ht="21.75" customHeight="1" x14ac:dyDescent="0.6">
      <c r="A485" s="109"/>
      <c r="B485" s="109"/>
      <c r="C485" s="109"/>
      <c r="D485" s="110"/>
      <c r="E485" s="109"/>
      <c r="F485" s="109"/>
      <c r="G485" s="111"/>
      <c r="H485" s="109"/>
      <c r="I485" s="111"/>
      <c r="J485" s="109"/>
      <c r="K485" s="109"/>
    </row>
    <row r="486" spans="1:11" ht="21.75" customHeight="1" x14ac:dyDescent="0.6">
      <c r="A486" s="109"/>
      <c r="B486" s="109"/>
      <c r="C486" s="109"/>
      <c r="D486" s="110"/>
      <c r="E486" s="109"/>
      <c r="F486" s="109"/>
      <c r="G486" s="111"/>
      <c r="H486" s="109"/>
      <c r="I486" s="111"/>
      <c r="J486" s="109"/>
      <c r="K486" s="109"/>
    </row>
    <row r="487" spans="1:11" ht="21.75" customHeight="1" x14ac:dyDescent="0.6">
      <c r="A487" s="109"/>
      <c r="B487" s="109"/>
      <c r="C487" s="109"/>
      <c r="D487" s="110"/>
      <c r="E487" s="109"/>
      <c r="F487" s="109"/>
      <c r="G487" s="111"/>
      <c r="H487" s="109"/>
      <c r="I487" s="111"/>
      <c r="J487" s="109"/>
      <c r="K487" s="109"/>
    </row>
    <row r="488" spans="1:11" ht="21.75" customHeight="1" x14ac:dyDescent="0.6">
      <c r="A488" s="109"/>
      <c r="B488" s="109"/>
      <c r="C488" s="109"/>
      <c r="D488" s="110"/>
      <c r="E488" s="109"/>
      <c r="F488" s="109"/>
      <c r="G488" s="111"/>
      <c r="H488" s="109"/>
      <c r="I488" s="111"/>
      <c r="J488" s="109"/>
      <c r="K488" s="109"/>
    </row>
    <row r="489" spans="1:11" ht="21.75" customHeight="1" x14ac:dyDescent="0.6">
      <c r="A489" s="109"/>
      <c r="B489" s="109"/>
      <c r="C489" s="109"/>
      <c r="D489" s="110"/>
      <c r="E489" s="109"/>
      <c r="F489" s="109"/>
      <c r="G489" s="111"/>
      <c r="H489" s="109"/>
      <c r="I489" s="111"/>
      <c r="J489" s="109"/>
      <c r="K489" s="109"/>
    </row>
    <row r="490" spans="1:11" ht="21.75" customHeight="1" x14ac:dyDescent="0.6">
      <c r="A490" s="109"/>
      <c r="B490" s="109"/>
      <c r="C490" s="109"/>
      <c r="D490" s="110"/>
      <c r="E490" s="109"/>
      <c r="F490" s="109"/>
      <c r="G490" s="111"/>
      <c r="H490" s="109"/>
      <c r="I490" s="111"/>
      <c r="J490" s="109"/>
      <c r="K490" s="109"/>
    </row>
    <row r="491" spans="1:11" ht="21.75" customHeight="1" x14ac:dyDescent="0.6">
      <c r="A491" s="109"/>
      <c r="B491" s="109"/>
      <c r="C491" s="109"/>
      <c r="D491" s="110"/>
      <c r="E491" s="109"/>
      <c r="F491" s="109"/>
      <c r="G491" s="111"/>
      <c r="H491" s="109"/>
      <c r="I491" s="111"/>
      <c r="J491" s="109"/>
      <c r="K491" s="109"/>
    </row>
    <row r="492" spans="1:11" ht="21.75" customHeight="1" x14ac:dyDescent="0.6">
      <c r="A492" s="109"/>
      <c r="B492" s="109"/>
      <c r="C492" s="109"/>
      <c r="D492" s="110"/>
      <c r="E492" s="109"/>
      <c r="F492" s="109"/>
      <c r="G492" s="111"/>
      <c r="H492" s="109"/>
      <c r="I492" s="111"/>
      <c r="J492" s="109"/>
      <c r="K492" s="109"/>
    </row>
    <row r="493" spans="1:11" ht="21.75" customHeight="1" x14ac:dyDescent="0.6">
      <c r="A493" s="109"/>
      <c r="B493" s="109"/>
      <c r="C493" s="109"/>
      <c r="D493" s="110"/>
      <c r="E493" s="109"/>
      <c r="F493" s="109"/>
      <c r="G493" s="111"/>
      <c r="H493" s="109"/>
      <c r="I493" s="111"/>
      <c r="J493" s="109"/>
      <c r="K493" s="109"/>
    </row>
    <row r="494" spans="1:11" ht="21.75" customHeight="1" x14ac:dyDescent="0.6">
      <c r="A494" s="109"/>
      <c r="B494" s="109"/>
      <c r="C494" s="109"/>
      <c r="D494" s="110"/>
      <c r="E494" s="109"/>
      <c r="F494" s="109"/>
      <c r="G494" s="111"/>
      <c r="H494" s="109"/>
      <c r="I494" s="111"/>
      <c r="J494" s="109"/>
      <c r="K494" s="109"/>
    </row>
    <row r="495" spans="1:11" ht="21.75" customHeight="1" x14ac:dyDescent="0.6">
      <c r="A495" s="109"/>
      <c r="B495" s="109"/>
      <c r="C495" s="109"/>
      <c r="D495" s="110"/>
      <c r="E495" s="109"/>
      <c r="F495" s="109"/>
      <c r="G495" s="111"/>
      <c r="H495" s="109"/>
      <c r="I495" s="111"/>
      <c r="J495" s="109"/>
      <c r="K495" s="109"/>
    </row>
    <row r="496" spans="1:11" ht="21.75" customHeight="1" x14ac:dyDescent="0.6">
      <c r="A496" s="109"/>
      <c r="B496" s="109"/>
      <c r="C496" s="109"/>
      <c r="D496" s="110"/>
      <c r="E496" s="109"/>
      <c r="F496" s="109"/>
      <c r="G496" s="111"/>
      <c r="H496" s="109"/>
      <c r="I496" s="111"/>
      <c r="J496" s="109"/>
      <c r="K496" s="109"/>
    </row>
    <row r="497" spans="1:11" ht="21.75" customHeight="1" x14ac:dyDescent="0.6">
      <c r="A497" s="109"/>
      <c r="B497" s="109"/>
      <c r="C497" s="109"/>
      <c r="D497" s="110"/>
      <c r="E497" s="109"/>
      <c r="F497" s="109"/>
      <c r="G497" s="111"/>
      <c r="H497" s="109"/>
      <c r="I497" s="111"/>
      <c r="J497" s="109"/>
      <c r="K497" s="109"/>
    </row>
    <row r="498" spans="1:11" ht="21.75" customHeight="1" x14ac:dyDescent="0.6">
      <c r="A498" s="109"/>
      <c r="B498" s="109"/>
      <c r="C498" s="109"/>
      <c r="D498" s="110"/>
      <c r="E498" s="109"/>
      <c r="F498" s="109"/>
      <c r="G498" s="111"/>
      <c r="H498" s="109"/>
      <c r="I498" s="111"/>
      <c r="J498" s="109"/>
      <c r="K498" s="109"/>
    </row>
    <row r="499" spans="1:11" ht="21.75" customHeight="1" x14ac:dyDescent="0.6">
      <c r="A499" s="109"/>
      <c r="B499" s="109"/>
      <c r="C499" s="109"/>
      <c r="D499" s="110"/>
      <c r="E499" s="109"/>
      <c r="F499" s="109"/>
      <c r="G499" s="111"/>
      <c r="H499" s="109"/>
      <c r="I499" s="111"/>
      <c r="J499" s="109"/>
      <c r="K499" s="109"/>
    </row>
    <row r="500" spans="1:11" ht="21.75" customHeight="1" x14ac:dyDescent="0.6">
      <c r="A500" s="109"/>
      <c r="B500" s="109"/>
      <c r="C500" s="109"/>
      <c r="D500" s="110"/>
      <c r="E500" s="109"/>
      <c r="F500" s="109"/>
      <c r="G500" s="111"/>
      <c r="H500" s="109"/>
      <c r="I500" s="111"/>
      <c r="J500" s="109"/>
      <c r="K500" s="109"/>
    </row>
    <row r="501" spans="1:11" ht="21.75" customHeight="1" x14ac:dyDescent="0.6">
      <c r="A501" s="109"/>
      <c r="B501" s="109"/>
      <c r="C501" s="109"/>
      <c r="D501" s="110"/>
      <c r="E501" s="109"/>
      <c r="F501" s="109"/>
      <c r="G501" s="111"/>
      <c r="H501" s="109"/>
      <c r="I501" s="111"/>
      <c r="J501" s="109"/>
      <c r="K501" s="109"/>
    </row>
    <row r="502" spans="1:11" ht="21.75" customHeight="1" x14ac:dyDescent="0.6">
      <c r="A502" s="109"/>
      <c r="B502" s="109"/>
      <c r="C502" s="109"/>
      <c r="D502" s="110"/>
      <c r="E502" s="109"/>
      <c r="F502" s="109"/>
      <c r="G502" s="111"/>
      <c r="H502" s="109"/>
      <c r="I502" s="111"/>
      <c r="J502" s="109"/>
      <c r="K502" s="109"/>
    </row>
    <row r="503" spans="1:11" ht="21.75" customHeight="1" x14ac:dyDescent="0.6">
      <c r="A503" s="109"/>
      <c r="B503" s="109"/>
      <c r="C503" s="109"/>
      <c r="D503" s="110"/>
      <c r="E503" s="109"/>
      <c r="F503" s="109"/>
      <c r="G503" s="111"/>
      <c r="H503" s="109"/>
      <c r="I503" s="111"/>
      <c r="J503" s="109"/>
      <c r="K503" s="109"/>
    </row>
    <row r="504" spans="1:11" ht="21.75" customHeight="1" x14ac:dyDescent="0.6">
      <c r="A504" s="109"/>
      <c r="B504" s="109"/>
      <c r="C504" s="109"/>
      <c r="D504" s="110"/>
      <c r="E504" s="109"/>
      <c r="F504" s="109"/>
      <c r="G504" s="111"/>
      <c r="H504" s="109"/>
      <c r="I504" s="111"/>
      <c r="J504" s="109"/>
      <c r="K504" s="109"/>
    </row>
    <row r="505" spans="1:11" ht="21.75" customHeight="1" x14ac:dyDescent="0.6">
      <c r="A505" s="109"/>
      <c r="B505" s="109"/>
      <c r="C505" s="109"/>
      <c r="D505" s="110"/>
      <c r="E505" s="109"/>
      <c r="F505" s="109"/>
      <c r="G505" s="111"/>
      <c r="H505" s="109"/>
      <c r="I505" s="111"/>
      <c r="J505" s="109"/>
      <c r="K505" s="109"/>
    </row>
    <row r="506" spans="1:11" ht="21.75" customHeight="1" x14ac:dyDescent="0.6">
      <c r="A506" s="109"/>
      <c r="B506" s="109"/>
      <c r="C506" s="109"/>
      <c r="D506" s="110"/>
      <c r="E506" s="109"/>
      <c r="F506" s="109"/>
      <c r="G506" s="111"/>
      <c r="H506" s="109"/>
      <c r="I506" s="111"/>
      <c r="J506" s="109"/>
      <c r="K506" s="109"/>
    </row>
    <row r="507" spans="1:11" ht="21.75" customHeight="1" x14ac:dyDescent="0.6">
      <c r="A507" s="109"/>
      <c r="B507" s="109"/>
      <c r="C507" s="109"/>
      <c r="D507" s="110"/>
      <c r="E507" s="109"/>
      <c r="F507" s="109"/>
      <c r="G507" s="111"/>
      <c r="H507" s="109"/>
      <c r="I507" s="111"/>
      <c r="J507" s="109"/>
      <c r="K507" s="109"/>
    </row>
    <row r="508" spans="1:11" ht="21.75" customHeight="1" x14ac:dyDescent="0.6">
      <c r="A508" s="109"/>
      <c r="B508" s="109"/>
      <c r="C508" s="109"/>
      <c r="D508" s="110"/>
      <c r="E508" s="109"/>
      <c r="F508" s="109"/>
      <c r="G508" s="111"/>
      <c r="H508" s="109"/>
      <c r="I508" s="111"/>
      <c r="J508" s="109"/>
      <c r="K508" s="109"/>
    </row>
    <row r="509" spans="1:11" ht="21.75" customHeight="1" x14ac:dyDescent="0.6">
      <c r="A509" s="109"/>
      <c r="B509" s="109"/>
      <c r="C509" s="109"/>
      <c r="D509" s="110"/>
      <c r="E509" s="109"/>
      <c r="F509" s="109"/>
      <c r="G509" s="111"/>
      <c r="H509" s="109"/>
      <c r="I509" s="111"/>
      <c r="J509" s="109"/>
      <c r="K509" s="109"/>
    </row>
    <row r="510" spans="1:11" ht="21.75" customHeight="1" x14ac:dyDescent="0.6">
      <c r="A510" s="109"/>
      <c r="B510" s="109"/>
      <c r="C510" s="109"/>
      <c r="D510" s="110"/>
      <c r="E510" s="109"/>
      <c r="F510" s="109"/>
      <c r="G510" s="111"/>
      <c r="H510" s="109"/>
      <c r="I510" s="111"/>
      <c r="J510" s="109"/>
      <c r="K510" s="109"/>
    </row>
    <row r="511" spans="1:11" ht="21.75" customHeight="1" x14ac:dyDescent="0.6">
      <c r="A511" s="109"/>
      <c r="B511" s="109"/>
      <c r="C511" s="109"/>
      <c r="D511" s="110"/>
      <c r="E511" s="109"/>
      <c r="F511" s="109"/>
      <c r="G511" s="111"/>
      <c r="H511" s="109"/>
      <c r="I511" s="111"/>
      <c r="J511" s="109"/>
      <c r="K511" s="109"/>
    </row>
    <row r="512" spans="1:11" ht="21.75" customHeight="1" x14ac:dyDescent="0.6">
      <c r="A512" s="109"/>
      <c r="B512" s="109"/>
      <c r="C512" s="109"/>
      <c r="D512" s="110"/>
      <c r="E512" s="109"/>
      <c r="F512" s="109"/>
      <c r="G512" s="111"/>
      <c r="H512" s="109"/>
      <c r="I512" s="111"/>
      <c r="J512" s="109"/>
      <c r="K512" s="109"/>
    </row>
    <row r="513" spans="1:11" ht="21.75" customHeight="1" x14ac:dyDescent="0.6">
      <c r="A513" s="109"/>
      <c r="B513" s="109"/>
      <c r="C513" s="109"/>
      <c r="D513" s="110"/>
      <c r="E513" s="109"/>
      <c r="F513" s="109"/>
      <c r="G513" s="111"/>
      <c r="H513" s="109"/>
      <c r="I513" s="111"/>
      <c r="J513" s="109"/>
      <c r="K513" s="109"/>
    </row>
    <row r="514" spans="1:11" ht="21.75" customHeight="1" x14ac:dyDescent="0.6">
      <c r="A514" s="109"/>
      <c r="B514" s="109"/>
      <c r="C514" s="109"/>
      <c r="D514" s="110"/>
      <c r="E514" s="109"/>
      <c r="F514" s="109"/>
      <c r="G514" s="111"/>
      <c r="H514" s="109"/>
      <c r="I514" s="111"/>
      <c r="J514" s="109"/>
      <c r="K514" s="109"/>
    </row>
    <row r="515" spans="1:11" ht="21.75" customHeight="1" x14ac:dyDescent="0.6">
      <c r="A515" s="109"/>
      <c r="B515" s="109"/>
      <c r="C515" s="109"/>
      <c r="D515" s="110"/>
      <c r="E515" s="109"/>
      <c r="F515" s="109"/>
      <c r="G515" s="111"/>
      <c r="H515" s="109"/>
      <c r="I515" s="111"/>
      <c r="J515" s="109"/>
      <c r="K515" s="109"/>
    </row>
    <row r="516" spans="1:11" ht="21.75" customHeight="1" x14ac:dyDescent="0.6">
      <c r="A516" s="109"/>
      <c r="B516" s="109"/>
      <c r="C516" s="109"/>
      <c r="D516" s="110"/>
      <c r="E516" s="109"/>
      <c r="F516" s="109"/>
      <c r="G516" s="111"/>
      <c r="H516" s="109"/>
      <c r="I516" s="111"/>
      <c r="J516" s="109"/>
      <c r="K516" s="109"/>
    </row>
    <row r="517" spans="1:11" ht="21.75" customHeight="1" x14ac:dyDescent="0.6">
      <c r="A517" s="109"/>
      <c r="B517" s="109"/>
      <c r="C517" s="109"/>
      <c r="D517" s="110"/>
      <c r="E517" s="109"/>
      <c r="F517" s="109"/>
      <c r="G517" s="111"/>
      <c r="H517" s="109"/>
      <c r="I517" s="111"/>
      <c r="J517" s="109"/>
      <c r="K517" s="109"/>
    </row>
    <row r="518" spans="1:11" ht="21.75" customHeight="1" x14ac:dyDescent="0.6">
      <c r="A518" s="109"/>
      <c r="B518" s="109"/>
      <c r="C518" s="109"/>
      <c r="D518" s="110"/>
      <c r="E518" s="109"/>
      <c r="F518" s="109"/>
      <c r="G518" s="111"/>
      <c r="H518" s="109"/>
      <c r="I518" s="111"/>
      <c r="J518" s="109"/>
      <c r="K518" s="109"/>
    </row>
    <row r="519" spans="1:11" ht="21.75" customHeight="1" x14ac:dyDescent="0.6">
      <c r="A519" s="109"/>
      <c r="B519" s="109"/>
      <c r="C519" s="109"/>
      <c r="D519" s="110"/>
      <c r="E519" s="109"/>
      <c r="F519" s="109"/>
      <c r="G519" s="111"/>
      <c r="H519" s="109"/>
      <c r="I519" s="111"/>
      <c r="J519" s="109"/>
      <c r="K519" s="109"/>
    </row>
    <row r="520" spans="1:11" ht="21.75" customHeight="1" x14ac:dyDescent="0.6">
      <c r="A520" s="109"/>
      <c r="B520" s="109"/>
      <c r="C520" s="109"/>
      <c r="D520" s="110"/>
      <c r="E520" s="109"/>
      <c r="F520" s="109"/>
      <c r="G520" s="111"/>
      <c r="H520" s="109"/>
      <c r="I520" s="111"/>
      <c r="J520" s="109"/>
      <c r="K520" s="109"/>
    </row>
    <row r="521" spans="1:11" ht="21.75" customHeight="1" x14ac:dyDescent="0.6">
      <c r="A521" s="109"/>
      <c r="B521" s="109"/>
      <c r="C521" s="109"/>
      <c r="D521" s="110"/>
      <c r="E521" s="109"/>
      <c r="F521" s="109"/>
      <c r="G521" s="111"/>
      <c r="H521" s="109"/>
      <c r="I521" s="111"/>
      <c r="J521" s="109"/>
      <c r="K521" s="109"/>
    </row>
    <row r="522" spans="1:11" ht="21.75" customHeight="1" x14ac:dyDescent="0.6">
      <c r="A522" s="109"/>
      <c r="B522" s="109"/>
      <c r="C522" s="109"/>
      <c r="D522" s="110"/>
      <c r="E522" s="109"/>
      <c r="F522" s="109"/>
      <c r="G522" s="111"/>
      <c r="H522" s="109"/>
      <c r="I522" s="111"/>
      <c r="J522" s="109"/>
      <c r="K522" s="109"/>
    </row>
    <row r="523" spans="1:11" ht="21.75" customHeight="1" x14ac:dyDescent="0.6">
      <c r="A523" s="109"/>
      <c r="B523" s="109"/>
      <c r="C523" s="109"/>
      <c r="D523" s="110"/>
      <c r="E523" s="109"/>
      <c r="F523" s="109"/>
      <c r="G523" s="111"/>
      <c r="H523" s="109"/>
      <c r="I523" s="111"/>
      <c r="J523" s="109"/>
      <c r="K523" s="109"/>
    </row>
    <row r="524" spans="1:11" ht="21.75" customHeight="1" x14ac:dyDescent="0.6">
      <c r="A524" s="109"/>
      <c r="B524" s="109"/>
      <c r="C524" s="109"/>
      <c r="D524" s="110"/>
      <c r="E524" s="109"/>
      <c r="F524" s="109"/>
      <c r="G524" s="111"/>
      <c r="H524" s="109"/>
      <c r="I524" s="111"/>
      <c r="J524" s="109"/>
      <c r="K524" s="109"/>
    </row>
    <row r="525" spans="1:11" ht="21.75" customHeight="1" x14ac:dyDescent="0.6">
      <c r="A525" s="109"/>
      <c r="B525" s="109"/>
      <c r="C525" s="109"/>
      <c r="D525" s="110"/>
      <c r="E525" s="109"/>
      <c r="F525" s="109"/>
      <c r="G525" s="111"/>
      <c r="H525" s="109"/>
      <c r="I525" s="111"/>
      <c r="J525" s="109"/>
      <c r="K525" s="109"/>
    </row>
    <row r="526" spans="1:11" ht="21.75" customHeight="1" x14ac:dyDescent="0.6">
      <c r="A526" s="109"/>
      <c r="B526" s="109"/>
      <c r="C526" s="109"/>
      <c r="D526" s="110"/>
      <c r="E526" s="109"/>
      <c r="F526" s="109"/>
      <c r="G526" s="111"/>
      <c r="H526" s="109"/>
      <c r="I526" s="111"/>
      <c r="J526" s="109"/>
      <c r="K526" s="109"/>
    </row>
    <row r="527" spans="1:11" ht="21.75" customHeight="1" x14ac:dyDescent="0.6">
      <c r="A527" s="109"/>
      <c r="B527" s="109"/>
      <c r="C527" s="109"/>
      <c r="D527" s="110"/>
      <c r="E527" s="109"/>
      <c r="F527" s="109"/>
      <c r="G527" s="111"/>
      <c r="H527" s="109"/>
      <c r="I527" s="111"/>
      <c r="J527" s="109"/>
      <c r="K527" s="109"/>
    </row>
    <row r="528" spans="1:11" ht="21.75" customHeight="1" x14ac:dyDescent="0.6">
      <c r="A528" s="109"/>
      <c r="B528" s="109"/>
      <c r="C528" s="109"/>
      <c r="D528" s="110"/>
      <c r="E528" s="109"/>
      <c r="F528" s="109"/>
      <c r="G528" s="111"/>
      <c r="H528" s="109"/>
      <c r="I528" s="111"/>
      <c r="J528" s="109"/>
      <c r="K528" s="109"/>
    </row>
    <row r="529" spans="1:11" ht="21.75" customHeight="1" x14ac:dyDescent="0.6">
      <c r="A529" s="109"/>
      <c r="B529" s="109"/>
      <c r="C529" s="109"/>
      <c r="D529" s="110"/>
      <c r="E529" s="109"/>
      <c r="F529" s="109"/>
      <c r="G529" s="111"/>
      <c r="H529" s="109"/>
      <c r="I529" s="111"/>
      <c r="J529" s="109"/>
      <c r="K529" s="109"/>
    </row>
    <row r="530" spans="1:11" ht="21.75" customHeight="1" x14ac:dyDescent="0.6">
      <c r="A530" s="109"/>
      <c r="B530" s="109"/>
      <c r="C530" s="109"/>
      <c r="D530" s="110"/>
      <c r="E530" s="109"/>
      <c r="F530" s="109"/>
      <c r="G530" s="111"/>
      <c r="H530" s="109"/>
      <c r="I530" s="111"/>
      <c r="J530" s="109"/>
      <c r="K530" s="109"/>
    </row>
    <row r="531" spans="1:11" ht="21.75" customHeight="1" x14ac:dyDescent="0.6">
      <c r="A531" s="109"/>
      <c r="B531" s="109"/>
      <c r="C531" s="109"/>
      <c r="D531" s="110"/>
      <c r="E531" s="109"/>
      <c r="F531" s="109"/>
      <c r="G531" s="111"/>
      <c r="H531" s="109"/>
      <c r="I531" s="111"/>
      <c r="J531" s="109"/>
      <c r="K531" s="109"/>
    </row>
    <row r="532" spans="1:11" ht="21.75" customHeight="1" x14ac:dyDescent="0.6">
      <c r="A532" s="109"/>
      <c r="B532" s="109"/>
      <c r="C532" s="109"/>
      <c r="D532" s="110"/>
      <c r="E532" s="109"/>
      <c r="F532" s="109"/>
      <c r="G532" s="111"/>
      <c r="H532" s="109"/>
      <c r="I532" s="111"/>
      <c r="J532" s="109"/>
      <c r="K532" s="109"/>
    </row>
    <row r="533" spans="1:11" ht="21.75" customHeight="1" x14ac:dyDescent="0.6">
      <c r="A533" s="109"/>
      <c r="B533" s="109"/>
      <c r="C533" s="109"/>
      <c r="D533" s="110"/>
      <c r="E533" s="109"/>
      <c r="F533" s="109"/>
      <c r="G533" s="111"/>
      <c r="H533" s="109"/>
      <c r="I533" s="111"/>
      <c r="J533" s="109"/>
      <c r="K533" s="109"/>
    </row>
    <row r="534" spans="1:11" ht="21.75" customHeight="1" x14ac:dyDescent="0.6">
      <c r="A534" s="109"/>
      <c r="B534" s="109"/>
      <c r="C534" s="109"/>
      <c r="D534" s="110"/>
      <c r="E534" s="109"/>
      <c r="F534" s="109"/>
      <c r="G534" s="111"/>
      <c r="H534" s="109"/>
      <c r="I534" s="111"/>
      <c r="J534" s="109"/>
      <c r="K534" s="109"/>
    </row>
    <row r="535" spans="1:11" ht="21.75" customHeight="1" x14ac:dyDescent="0.6">
      <c r="A535" s="109"/>
      <c r="B535" s="109"/>
      <c r="C535" s="109"/>
      <c r="D535" s="110"/>
      <c r="E535" s="109"/>
      <c r="F535" s="109"/>
      <c r="G535" s="111"/>
      <c r="H535" s="109"/>
      <c r="I535" s="111"/>
      <c r="J535" s="109"/>
      <c r="K535" s="109"/>
    </row>
    <row r="536" spans="1:11" ht="21.75" customHeight="1" x14ac:dyDescent="0.6">
      <c r="A536" s="109"/>
      <c r="B536" s="109"/>
      <c r="C536" s="109"/>
      <c r="D536" s="110"/>
      <c r="E536" s="109"/>
      <c r="F536" s="109"/>
      <c r="G536" s="111"/>
      <c r="H536" s="109"/>
      <c r="I536" s="111"/>
      <c r="J536" s="109"/>
      <c r="K536" s="109"/>
    </row>
    <row r="537" spans="1:11" ht="21.75" customHeight="1" x14ac:dyDescent="0.6">
      <c r="A537" s="109"/>
      <c r="B537" s="109"/>
      <c r="C537" s="109"/>
      <c r="D537" s="110"/>
      <c r="E537" s="109"/>
      <c r="F537" s="109"/>
      <c r="G537" s="111"/>
      <c r="H537" s="109"/>
      <c r="I537" s="111"/>
      <c r="J537" s="109"/>
      <c r="K537" s="109"/>
    </row>
    <row r="538" spans="1:11" ht="21.75" customHeight="1" x14ac:dyDescent="0.6">
      <c r="A538" s="109"/>
      <c r="B538" s="109"/>
      <c r="C538" s="109"/>
      <c r="D538" s="110"/>
      <c r="E538" s="109"/>
      <c r="F538" s="109"/>
      <c r="G538" s="111"/>
      <c r="H538" s="109"/>
      <c r="I538" s="111"/>
      <c r="J538" s="109"/>
      <c r="K538" s="109"/>
    </row>
    <row r="539" spans="1:11" ht="21.75" customHeight="1" x14ac:dyDescent="0.6">
      <c r="A539" s="109"/>
      <c r="B539" s="109"/>
      <c r="C539" s="109"/>
      <c r="D539" s="110"/>
      <c r="E539" s="109"/>
      <c r="F539" s="109"/>
      <c r="G539" s="111"/>
      <c r="H539" s="109"/>
      <c r="I539" s="111"/>
      <c r="J539" s="109"/>
      <c r="K539" s="109"/>
    </row>
    <row r="540" spans="1:11" ht="21.75" customHeight="1" x14ac:dyDescent="0.6">
      <c r="A540" s="109"/>
      <c r="B540" s="109"/>
      <c r="C540" s="109"/>
      <c r="D540" s="110"/>
      <c r="E540" s="109"/>
      <c r="F540" s="109"/>
      <c r="G540" s="111"/>
      <c r="H540" s="109"/>
      <c r="I540" s="111"/>
      <c r="J540" s="109"/>
      <c r="K540" s="109"/>
    </row>
    <row r="541" spans="1:11" ht="21.75" customHeight="1" x14ac:dyDescent="0.6">
      <c r="A541" s="109"/>
      <c r="B541" s="109"/>
      <c r="C541" s="109"/>
      <c r="D541" s="110"/>
      <c r="E541" s="109"/>
      <c r="F541" s="109"/>
      <c r="G541" s="111"/>
      <c r="H541" s="109"/>
      <c r="I541" s="111"/>
      <c r="J541" s="109"/>
      <c r="K541" s="109"/>
    </row>
    <row r="542" spans="1:11" ht="21.75" customHeight="1" x14ac:dyDescent="0.6">
      <c r="A542" s="109"/>
      <c r="B542" s="109"/>
      <c r="C542" s="109"/>
      <c r="D542" s="110"/>
      <c r="E542" s="109"/>
      <c r="F542" s="109"/>
      <c r="G542" s="111"/>
      <c r="H542" s="109"/>
      <c r="I542" s="111"/>
      <c r="J542" s="109"/>
      <c r="K542" s="109"/>
    </row>
    <row r="543" spans="1:11" ht="21.75" customHeight="1" x14ac:dyDescent="0.6">
      <c r="A543" s="109"/>
      <c r="B543" s="109"/>
      <c r="C543" s="109"/>
      <c r="D543" s="110"/>
      <c r="E543" s="109"/>
      <c r="F543" s="109"/>
      <c r="G543" s="111"/>
      <c r="H543" s="109"/>
      <c r="I543" s="111"/>
      <c r="J543" s="109"/>
      <c r="K543" s="109"/>
    </row>
    <row r="544" spans="1:11" ht="21.75" customHeight="1" x14ac:dyDescent="0.6">
      <c r="A544" s="109"/>
      <c r="B544" s="109"/>
      <c r="C544" s="109"/>
      <c r="D544" s="110"/>
      <c r="E544" s="109"/>
      <c r="F544" s="109"/>
      <c r="G544" s="111"/>
      <c r="H544" s="109"/>
      <c r="I544" s="111"/>
      <c r="J544" s="109"/>
      <c r="K544" s="109"/>
    </row>
    <row r="545" spans="1:11" ht="21.75" customHeight="1" x14ac:dyDescent="0.6">
      <c r="A545" s="109"/>
      <c r="B545" s="109"/>
      <c r="C545" s="109"/>
      <c r="D545" s="110"/>
      <c r="E545" s="109"/>
      <c r="F545" s="109"/>
      <c r="G545" s="111"/>
      <c r="H545" s="109"/>
      <c r="I545" s="111"/>
      <c r="J545" s="109"/>
      <c r="K545" s="109"/>
    </row>
    <row r="546" spans="1:11" ht="21.75" customHeight="1" x14ac:dyDescent="0.6">
      <c r="A546" s="109"/>
      <c r="B546" s="109"/>
      <c r="C546" s="109"/>
      <c r="D546" s="110"/>
      <c r="E546" s="109"/>
      <c r="F546" s="109"/>
      <c r="G546" s="111"/>
      <c r="H546" s="109"/>
      <c r="I546" s="111"/>
      <c r="J546" s="109"/>
      <c r="K546" s="109"/>
    </row>
    <row r="547" spans="1:11" ht="21.75" customHeight="1" x14ac:dyDescent="0.6">
      <c r="A547" s="109"/>
      <c r="B547" s="109"/>
      <c r="C547" s="109"/>
      <c r="D547" s="110"/>
      <c r="E547" s="109"/>
      <c r="F547" s="109"/>
      <c r="G547" s="111"/>
      <c r="H547" s="109"/>
      <c r="I547" s="111"/>
      <c r="J547" s="109"/>
      <c r="K547" s="109"/>
    </row>
    <row r="548" spans="1:11" ht="21.75" customHeight="1" x14ac:dyDescent="0.6">
      <c r="A548" s="109"/>
      <c r="B548" s="109"/>
      <c r="C548" s="109"/>
      <c r="D548" s="110"/>
      <c r="E548" s="109"/>
      <c r="F548" s="109"/>
      <c r="G548" s="111"/>
      <c r="H548" s="109"/>
      <c r="I548" s="111"/>
      <c r="J548" s="109"/>
      <c r="K548" s="109"/>
    </row>
    <row r="549" spans="1:11" ht="21.75" customHeight="1" x14ac:dyDescent="0.6">
      <c r="A549" s="109"/>
      <c r="B549" s="109"/>
      <c r="C549" s="109"/>
      <c r="D549" s="110"/>
      <c r="E549" s="109"/>
      <c r="F549" s="109"/>
      <c r="G549" s="111"/>
      <c r="H549" s="109"/>
      <c r="I549" s="111"/>
      <c r="J549" s="109"/>
      <c r="K549" s="109"/>
    </row>
    <row r="550" spans="1:11" ht="21.75" customHeight="1" x14ac:dyDescent="0.6">
      <c r="A550" s="109"/>
      <c r="B550" s="109"/>
      <c r="C550" s="109"/>
      <c r="D550" s="110"/>
      <c r="E550" s="109"/>
      <c r="F550" s="109"/>
      <c r="G550" s="111"/>
      <c r="H550" s="109"/>
      <c r="I550" s="111"/>
      <c r="J550" s="109"/>
      <c r="K550" s="109"/>
    </row>
    <row r="551" spans="1:11" ht="21.75" customHeight="1" x14ac:dyDescent="0.6">
      <c r="A551" s="109"/>
      <c r="B551" s="109"/>
      <c r="C551" s="109"/>
      <c r="D551" s="110"/>
      <c r="E551" s="109"/>
      <c r="F551" s="109"/>
      <c r="G551" s="111"/>
      <c r="H551" s="109"/>
      <c r="I551" s="111"/>
      <c r="J551" s="109"/>
      <c r="K551" s="109"/>
    </row>
    <row r="552" spans="1:11" ht="21.75" customHeight="1" x14ac:dyDescent="0.6">
      <c r="A552" s="109"/>
      <c r="B552" s="109"/>
      <c r="C552" s="109"/>
      <c r="D552" s="110"/>
      <c r="E552" s="109"/>
      <c r="F552" s="109"/>
      <c r="G552" s="111"/>
      <c r="H552" s="109"/>
      <c r="I552" s="111"/>
      <c r="J552" s="109"/>
      <c r="K552" s="109"/>
    </row>
    <row r="553" spans="1:11" ht="21.75" customHeight="1" x14ac:dyDescent="0.6">
      <c r="A553" s="109"/>
      <c r="B553" s="109"/>
      <c r="C553" s="109"/>
      <c r="D553" s="110"/>
      <c r="E553" s="109"/>
      <c r="F553" s="109"/>
      <c r="G553" s="111"/>
      <c r="H553" s="109"/>
      <c r="I553" s="111"/>
      <c r="J553" s="109"/>
      <c r="K553" s="109"/>
    </row>
    <row r="554" spans="1:11" ht="21.75" customHeight="1" x14ac:dyDescent="0.6">
      <c r="A554" s="109"/>
      <c r="B554" s="109"/>
      <c r="C554" s="109"/>
      <c r="D554" s="110"/>
      <c r="E554" s="109"/>
      <c r="F554" s="109"/>
      <c r="G554" s="111"/>
      <c r="H554" s="109"/>
      <c r="I554" s="111"/>
      <c r="J554" s="109"/>
      <c r="K554" s="109"/>
    </row>
    <row r="555" spans="1:11" ht="21.75" customHeight="1" x14ac:dyDescent="0.6">
      <c r="A555" s="109"/>
      <c r="B555" s="109"/>
      <c r="C555" s="109"/>
      <c r="D555" s="110"/>
      <c r="E555" s="109"/>
      <c r="F555" s="109"/>
      <c r="G555" s="111"/>
      <c r="H555" s="109"/>
      <c r="I555" s="111"/>
      <c r="J555" s="109"/>
      <c r="K555" s="109"/>
    </row>
    <row r="556" spans="1:11" ht="21.75" customHeight="1" x14ac:dyDescent="0.6">
      <c r="A556" s="109"/>
      <c r="B556" s="109"/>
      <c r="C556" s="109"/>
      <c r="D556" s="110"/>
      <c r="E556" s="109"/>
      <c r="F556" s="109"/>
      <c r="G556" s="111"/>
      <c r="H556" s="109"/>
      <c r="I556" s="111"/>
      <c r="J556" s="109"/>
      <c r="K556" s="109"/>
    </row>
    <row r="557" spans="1:11" ht="21.75" customHeight="1" x14ac:dyDescent="0.6">
      <c r="A557" s="109"/>
      <c r="B557" s="109"/>
      <c r="C557" s="109"/>
      <c r="D557" s="110"/>
      <c r="E557" s="109"/>
      <c r="F557" s="109"/>
      <c r="G557" s="111"/>
      <c r="H557" s="109"/>
      <c r="I557" s="111"/>
      <c r="J557" s="109"/>
      <c r="K557" s="109"/>
    </row>
    <row r="558" spans="1:11" ht="21.75" customHeight="1" x14ac:dyDescent="0.6">
      <c r="A558" s="109"/>
      <c r="B558" s="109"/>
      <c r="C558" s="109"/>
      <c r="D558" s="110"/>
      <c r="E558" s="109"/>
      <c r="F558" s="109"/>
      <c r="G558" s="111"/>
      <c r="H558" s="109"/>
      <c r="I558" s="111"/>
      <c r="J558" s="109"/>
      <c r="K558" s="109"/>
    </row>
    <row r="559" spans="1:11" ht="21.75" customHeight="1" x14ac:dyDescent="0.6">
      <c r="A559" s="109"/>
      <c r="B559" s="109"/>
      <c r="C559" s="109"/>
      <c r="D559" s="110"/>
      <c r="E559" s="109"/>
      <c r="F559" s="109"/>
      <c r="G559" s="111"/>
      <c r="H559" s="109"/>
      <c r="I559" s="111"/>
      <c r="J559" s="109"/>
      <c r="K559" s="109"/>
    </row>
    <row r="560" spans="1:11" ht="21.75" customHeight="1" x14ac:dyDescent="0.6">
      <c r="A560" s="109"/>
      <c r="B560" s="109"/>
      <c r="C560" s="109"/>
      <c r="D560" s="110"/>
      <c r="E560" s="109"/>
      <c r="F560" s="109"/>
      <c r="G560" s="111"/>
      <c r="H560" s="109"/>
      <c r="I560" s="111"/>
      <c r="J560" s="109"/>
      <c r="K560" s="109"/>
    </row>
    <row r="561" spans="1:11" ht="21.75" customHeight="1" x14ac:dyDescent="0.6">
      <c r="A561" s="109"/>
      <c r="B561" s="109"/>
      <c r="C561" s="109"/>
      <c r="D561" s="110"/>
      <c r="E561" s="109"/>
      <c r="F561" s="109"/>
      <c r="G561" s="111"/>
      <c r="H561" s="109"/>
      <c r="I561" s="111"/>
      <c r="J561" s="109"/>
      <c r="K561" s="109"/>
    </row>
    <row r="562" spans="1:11" ht="21.75" customHeight="1" x14ac:dyDescent="0.6">
      <c r="A562" s="109"/>
      <c r="B562" s="109"/>
      <c r="C562" s="109"/>
      <c r="D562" s="110"/>
      <c r="E562" s="109"/>
      <c r="F562" s="109"/>
      <c r="G562" s="111"/>
      <c r="H562" s="109"/>
      <c r="I562" s="111"/>
      <c r="J562" s="109"/>
      <c r="K562" s="109"/>
    </row>
    <row r="563" spans="1:11" ht="21.75" customHeight="1" x14ac:dyDescent="0.6">
      <c r="A563" s="109"/>
      <c r="B563" s="109"/>
      <c r="C563" s="109"/>
      <c r="D563" s="110"/>
      <c r="E563" s="109"/>
      <c r="F563" s="109"/>
      <c r="G563" s="111"/>
      <c r="H563" s="109"/>
      <c r="I563" s="111"/>
      <c r="J563" s="109"/>
      <c r="K563" s="109"/>
    </row>
    <row r="564" spans="1:11" ht="21.75" customHeight="1" x14ac:dyDescent="0.6">
      <c r="A564" s="109"/>
      <c r="B564" s="109"/>
      <c r="C564" s="109"/>
      <c r="D564" s="110"/>
      <c r="E564" s="109"/>
      <c r="F564" s="109"/>
      <c r="G564" s="111"/>
      <c r="H564" s="109"/>
      <c r="I564" s="111"/>
      <c r="J564" s="109"/>
      <c r="K564" s="109"/>
    </row>
    <row r="565" spans="1:11" ht="21.75" customHeight="1" x14ac:dyDescent="0.6">
      <c r="A565" s="109"/>
      <c r="B565" s="109"/>
      <c r="C565" s="109"/>
      <c r="D565" s="110"/>
      <c r="E565" s="109"/>
      <c r="F565" s="109"/>
      <c r="G565" s="111"/>
      <c r="H565" s="109"/>
      <c r="I565" s="111"/>
      <c r="J565" s="109"/>
      <c r="K565" s="109"/>
    </row>
    <row r="566" spans="1:11" ht="21.75" customHeight="1" x14ac:dyDescent="0.6">
      <c r="A566" s="109"/>
      <c r="B566" s="109"/>
      <c r="C566" s="109"/>
      <c r="D566" s="110"/>
      <c r="E566" s="109"/>
      <c r="F566" s="109"/>
      <c r="G566" s="111"/>
      <c r="H566" s="109"/>
      <c r="I566" s="111"/>
      <c r="J566" s="109"/>
      <c r="K566" s="109"/>
    </row>
    <row r="567" spans="1:11" ht="21.75" customHeight="1" x14ac:dyDescent="0.6">
      <c r="A567" s="109"/>
      <c r="B567" s="109"/>
      <c r="C567" s="109"/>
      <c r="D567" s="110"/>
      <c r="E567" s="109"/>
      <c r="F567" s="109"/>
      <c r="G567" s="111"/>
      <c r="H567" s="109"/>
      <c r="I567" s="111"/>
      <c r="J567" s="109"/>
      <c r="K567" s="109"/>
    </row>
    <row r="568" spans="1:11" ht="21.75" customHeight="1" x14ac:dyDescent="0.6">
      <c r="A568" s="109"/>
      <c r="B568" s="109"/>
      <c r="C568" s="109"/>
      <c r="D568" s="110"/>
      <c r="E568" s="109"/>
      <c r="F568" s="109"/>
      <c r="G568" s="111"/>
      <c r="H568" s="109"/>
      <c r="I568" s="111"/>
      <c r="J568" s="109"/>
      <c r="K568" s="109"/>
    </row>
    <row r="569" spans="1:11" ht="21.75" customHeight="1" x14ac:dyDescent="0.6">
      <c r="A569" s="109"/>
      <c r="B569" s="109"/>
      <c r="C569" s="109"/>
      <c r="D569" s="110"/>
      <c r="E569" s="109"/>
      <c r="F569" s="109"/>
      <c r="G569" s="111"/>
      <c r="H569" s="109"/>
      <c r="I569" s="111"/>
      <c r="J569" s="109"/>
      <c r="K569" s="109"/>
    </row>
    <row r="570" spans="1:11" ht="21.75" customHeight="1" x14ac:dyDescent="0.6">
      <c r="A570" s="109"/>
      <c r="B570" s="109"/>
      <c r="C570" s="109"/>
      <c r="D570" s="110"/>
      <c r="E570" s="109"/>
      <c r="F570" s="109"/>
      <c r="G570" s="111"/>
      <c r="H570" s="109"/>
      <c r="I570" s="111"/>
      <c r="J570" s="109"/>
      <c r="K570" s="109"/>
    </row>
    <row r="571" spans="1:11" ht="21.75" customHeight="1" x14ac:dyDescent="0.6">
      <c r="A571" s="109"/>
      <c r="B571" s="109"/>
      <c r="C571" s="109"/>
      <c r="D571" s="110"/>
      <c r="E571" s="109"/>
      <c r="F571" s="109"/>
      <c r="G571" s="111"/>
      <c r="H571" s="109"/>
      <c r="I571" s="111"/>
      <c r="J571" s="109"/>
      <c r="K571" s="109"/>
    </row>
    <row r="572" spans="1:11" ht="21.75" customHeight="1" x14ac:dyDescent="0.6">
      <c r="A572" s="109"/>
      <c r="B572" s="109"/>
      <c r="C572" s="109"/>
      <c r="D572" s="110"/>
      <c r="E572" s="109"/>
      <c r="F572" s="109"/>
      <c r="G572" s="111"/>
      <c r="H572" s="109"/>
      <c r="I572" s="111"/>
      <c r="J572" s="109"/>
      <c r="K572" s="109"/>
    </row>
    <row r="573" spans="1:11" ht="21.75" customHeight="1" x14ac:dyDescent="0.6">
      <c r="A573" s="109"/>
      <c r="B573" s="109"/>
      <c r="C573" s="109"/>
      <c r="D573" s="110"/>
      <c r="E573" s="109"/>
      <c r="F573" s="109"/>
      <c r="G573" s="111"/>
      <c r="H573" s="109"/>
      <c r="I573" s="111"/>
      <c r="J573" s="109"/>
      <c r="K573" s="109"/>
    </row>
    <row r="574" spans="1:11" ht="21.75" customHeight="1" x14ac:dyDescent="0.6">
      <c r="A574" s="109"/>
      <c r="B574" s="109"/>
      <c r="C574" s="109"/>
      <c r="D574" s="110"/>
      <c r="E574" s="109"/>
      <c r="F574" s="109"/>
      <c r="G574" s="111"/>
      <c r="H574" s="109"/>
      <c r="I574" s="111"/>
      <c r="J574" s="109"/>
      <c r="K574" s="109"/>
    </row>
    <row r="575" spans="1:11" ht="21.75" customHeight="1" x14ac:dyDescent="0.6">
      <c r="A575" s="109"/>
      <c r="B575" s="109"/>
      <c r="C575" s="109"/>
      <c r="D575" s="110"/>
      <c r="E575" s="109"/>
      <c r="F575" s="109"/>
      <c r="G575" s="111"/>
      <c r="H575" s="109"/>
      <c r="I575" s="111"/>
      <c r="J575" s="109"/>
      <c r="K575" s="109"/>
    </row>
    <row r="576" spans="1:11" ht="21.75" customHeight="1" x14ac:dyDescent="0.6">
      <c r="A576" s="109"/>
      <c r="B576" s="109"/>
      <c r="C576" s="109"/>
      <c r="D576" s="110"/>
      <c r="E576" s="109"/>
      <c r="F576" s="109"/>
      <c r="G576" s="111"/>
      <c r="H576" s="109"/>
      <c r="I576" s="111"/>
      <c r="J576" s="109"/>
      <c r="K576" s="109"/>
    </row>
    <row r="577" spans="1:11" ht="21.75" customHeight="1" x14ac:dyDescent="0.6">
      <c r="A577" s="109"/>
      <c r="B577" s="109"/>
      <c r="C577" s="109"/>
      <c r="D577" s="110"/>
      <c r="E577" s="109"/>
      <c r="F577" s="109"/>
      <c r="G577" s="111"/>
      <c r="H577" s="109"/>
      <c r="I577" s="111"/>
      <c r="J577" s="109"/>
      <c r="K577" s="109"/>
    </row>
    <row r="578" spans="1:11" ht="21.75" customHeight="1" x14ac:dyDescent="0.6">
      <c r="A578" s="109"/>
      <c r="B578" s="109"/>
      <c r="C578" s="109"/>
      <c r="D578" s="110"/>
      <c r="E578" s="109"/>
      <c r="F578" s="109"/>
      <c r="G578" s="111"/>
      <c r="H578" s="109"/>
      <c r="I578" s="111"/>
      <c r="J578" s="109"/>
      <c r="K578" s="109"/>
    </row>
    <row r="579" spans="1:11" ht="21.75" customHeight="1" x14ac:dyDescent="0.6">
      <c r="A579" s="109"/>
      <c r="B579" s="109"/>
      <c r="C579" s="109"/>
      <c r="D579" s="110"/>
      <c r="E579" s="109"/>
      <c r="F579" s="109"/>
      <c r="G579" s="111"/>
      <c r="H579" s="109"/>
      <c r="I579" s="111"/>
      <c r="J579" s="109"/>
      <c r="K579" s="109"/>
    </row>
    <row r="580" spans="1:11" ht="21.75" customHeight="1" x14ac:dyDescent="0.6">
      <c r="A580" s="109"/>
      <c r="B580" s="109"/>
      <c r="C580" s="109"/>
      <c r="D580" s="110"/>
      <c r="E580" s="109"/>
      <c r="F580" s="109"/>
      <c r="G580" s="111"/>
      <c r="H580" s="109"/>
      <c r="I580" s="111"/>
      <c r="J580" s="109"/>
      <c r="K580" s="109"/>
    </row>
    <row r="581" spans="1:11" ht="21.75" customHeight="1" x14ac:dyDescent="0.6">
      <c r="A581" s="109"/>
      <c r="B581" s="109"/>
      <c r="C581" s="109"/>
      <c r="D581" s="110"/>
      <c r="E581" s="109"/>
      <c r="F581" s="109"/>
      <c r="G581" s="111"/>
      <c r="H581" s="109"/>
      <c r="I581" s="111"/>
      <c r="J581" s="109"/>
      <c r="K581" s="109"/>
    </row>
    <row r="582" spans="1:11" ht="21.75" customHeight="1" x14ac:dyDescent="0.6">
      <c r="A582" s="109"/>
      <c r="B582" s="109"/>
      <c r="C582" s="109"/>
      <c r="D582" s="110"/>
      <c r="E582" s="109"/>
      <c r="F582" s="109"/>
      <c r="G582" s="111"/>
      <c r="H582" s="109"/>
      <c r="I582" s="111"/>
      <c r="J582" s="109"/>
      <c r="K582" s="109"/>
    </row>
    <row r="583" spans="1:11" ht="21.75" customHeight="1" x14ac:dyDescent="0.6">
      <c r="A583" s="109"/>
      <c r="B583" s="109"/>
      <c r="C583" s="109"/>
      <c r="D583" s="110"/>
      <c r="E583" s="109"/>
      <c r="F583" s="109"/>
      <c r="G583" s="111"/>
      <c r="H583" s="109"/>
      <c r="I583" s="111"/>
      <c r="J583" s="109"/>
      <c r="K583" s="109"/>
    </row>
    <row r="584" spans="1:11" ht="21.75" customHeight="1" x14ac:dyDescent="0.6">
      <c r="A584" s="109"/>
      <c r="B584" s="109"/>
      <c r="C584" s="109"/>
      <c r="D584" s="110"/>
      <c r="E584" s="109"/>
      <c r="F584" s="109"/>
      <c r="G584" s="111"/>
      <c r="H584" s="109"/>
      <c r="I584" s="111"/>
      <c r="J584" s="109"/>
      <c r="K584" s="109"/>
    </row>
    <row r="585" spans="1:11" ht="21.75" customHeight="1" x14ac:dyDescent="0.6">
      <c r="A585" s="109"/>
      <c r="B585" s="109"/>
      <c r="C585" s="109"/>
      <c r="D585" s="110"/>
      <c r="E585" s="109"/>
      <c r="F585" s="109"/>
      <c r="G585" s="111"/>
      <c r="H585" s="109"/>
      <c r="I585" s="111"/>
      <c r="J585" s="109"/>
      <c r="K585" s="109"/>
    </row>
    <row r="586" spans="1:11" ht="21.75" customHeight="1" x14ac:dyDescent="0.6">
      <c r="A586" s="109"/>
      <c r="B586" s="109"/>
      <c r="C586" s="109"/>
      <c r="D586" s="110"/>
      <c r="E586" s="109"/>
      <c r="F586" s="109"/>
      <c r="G586" s="111"/>
      <c r="H586" s="109"/>
      <c r="I586" s="111"/>
      <c r="J586" s="109"/>
      <c r="K586" s="109"/>
    </row>
    <row r="587" spans="1:11" ht="21.75" customHeight="1" x14ac:dyDescent="0.6">
      <c r="A587" s="109"/>
      <c r="B587" s="109"/>
      <c r="C587" s="109"/>
      <c r="D587" s="110"/>
      <c r="E587" s="109"/>
      <c r="F587" s="109"/>
      <c r="G587" s="111"/>
      <c r="H587" s="109"/>
      <c r="I587" s="111"/>
      <c r="J587" s="109"/>
      <c r="K587" s="109"/>
    </row>
    <row r="588" spans="1:11" ht="21.75" customHeight="1" x14ac:dyDescent="0.6">
      <c r="A588" s="109"/>
      <c r="B588" s="109"/>
      <c r="C588" s="109"/>
      <c r="D588" s="110"/>
      <c r="E588" s="109"/>
      <c r="F588" s="109"/>
      <c r="G588" s="111"/>
      <c r="H588" s="109"/>
      <c r="I588" s="111"/>
      <c r="J588" s="109"/>
      <c r="K588" s="109"/>
    </row>
    <row r="589" spans="1:11" ht="21.75" customHeight="1" x14ac:dyDescent="0.6">
      <c r="A589" s="109"/>
      <c r="B589" s="109"/>
      <c r="C589" s="109"/>
      <c r="D589" s="110"/>
      <c r="E589" s="109"/>
      <c r="F589" s="109"/>
      <c r="G589" s="111"/>
      <c r="H589" s="109"/>
      <c r="I589" s="111"/>
      <c r="J589" s="109"/>
      <c r="K589" s="109"/>
    </row>
    <row r="590" spans="1:11" ht="21.75" customHeight="1" x14ac:dyDescent="0.6">
      <c r="A590" s="109"/>
      <c r="B590" s="109"/>
      <c r="C590" s="109"/>
      <c r="D590" s="110"/>
      <c r="E590" s="109"/>
      <c r="F590" s="109"/>
      <c r="G590" s="111"/>
      <c r="H590" s="109"/>
      <c r="I590" s="111"/>
      <c r="J590" s="109"/>
      <c r="K590" s="109"/>
    </row>
    <row r="591" spans="1:11" ht="21.75" customHeight="1" x14ac:dyDescent="0.6">
      <c r="A591" s="109"/>
      <c r="B591" s="109"/>
      <c r="C591" s="109"/>
      <c r="D591" s="110"/>
      <c r="E591" s="109"/>
      <c r="F591" s="109"/>
      <c r="G591" s="111"/>
      <c r="H591" s="109"/>
      <c r="I591" s="111"/>
      <c r="J591" s="109"/>
      <c r="K591" s="109"/>
    </row>
    <row r="592" spans="1:11" ht="21.75" customHeight="1" x14ac:dyDescent="0.6">
      <c r="A592" s="109"/>
      <c r="B592" s="109"/>
      <c r="C592" s="109"/>
      <c r="D592" s="110"/>
      <c r="E592" s="109"/>
      <c r="F592" s="109"/>
      <c r="G592" s="111"/>
      <c r="H592" s="109"/>
      <c r="I592" s="111"/>
      <c r="J592" s="109"/>
      <c r="K592" s="109"/>
    </row>
    <row r="593" spans="1:11" ht="21.75" customHeight="1" x14ac:dyDescent="0.6">
      <c r="A593" s="109"/>
      <c r="B593" s="109"/>
      <c r="C593" s="109"/>
      <c r="D593" s="110"/>
      <c r="E593" s="109"/>
      <c r="F593" s="109"/>
      <c r="G593" s="111"/>
      <c r="H593" s="109"/>
      <c r="I593" s="111"/>
      <c r="J593" s="109"/>
      <c r="K593" s="109"/>
    </row>
    <row r="594" spans="1:11" ht="21.75" customHeight="1" x14ac:dyDescent="0.6">
      <c r="A594" s="109"/>
      <c r="B594" s="109"/>
      <c r="C594" s="109"/>
      <c r="D594" s="110"/>
      <c r="E594" s="109"/>
      <c r="F594" s="109"/>
      <c r="G594" s="111"/>
      <c r="H594" s="109"/>
      <c r="I594" s="111"/>
      <c r="J594" s="109"/>
      <c r="K594" s="109"/>
    </row>
    <row r="595" spans="1:11" ht="21.75" customHeight="1" x14ac:dyDescent="0.6">
      <c r="A595" s="109"/>
      <c r="B595" s="109"/>
      <c r="C595" s="109"/>
      <c r="D595" s="110"/>
      <c r="E595" s="109"/>
      <c r="F595" s="109"/>
      <c r="G595" s="111"/>
      <c r="H595" s="109"/>
      <c r="I595" s="111"/>
      <c r="J595" s="109"/>
      <c r="K595" s="109"/>
    </row>
    <row r="596" spans="1:11" ht="21.75" customHeight="1" x14ac:dyDescent="0.6">
      <c r="A596" s="109"/>
      <c r="B596" s="109"/>
      <c r="C596" s="109"/>
      <c r="D596" s="110"/>
      <c r="E596" s="109"/>
      <c r="F596" s="109"/>
      <c r="G596" s="111"/>
      <c r="H596" s="109"/>
      <c r="I596" s="111"/>
      <c r="J596" s="109"/>
      <c r="K596" s="109"/>
    </row>
    <row r="597" spans="1:11" ht="21.75" customHeight="1" x14ac:dyDescent="0.6">
      <c r="A597" s="109"/>
      <c r="B597" s="109"/>
      <c r="C597" s="109"/>
      <c r="D597" s="110"/>
      <c r="E597" s="109"/>
      <c r="F597" s="109"/>
      <c r="G597" s="111"/>
      <c r="H597" s="109"/>
      <c r="I597" s="111"/>
      <c r="J597" s="109"/>
      <c r="K597" s="109"/>
    </row>
    <row r="598" spans="1:11" ht="21.75" customHeight="1" x14ac:dyDescent="0.6">
      <c r="A598" s="109"/>
      <c r="B598" s="109"/>
      <c r="C598" s="109"/>
      <c r="D598" s="110"/>
      <c r="E598" s="109"/>
      <c r="F598" s="109"/>
      <c r="G598" s="111"/>
      <c r="H598" s="109"/>
      <c r="I598" s="111"/>
      <c r="J598" s="109"/>
      <c r="K598" s="109"/>
    </row>
    <row r="599" spans="1:11" ht="21.75" customHeight="1" x14ac:dyDescent="0.6">
      <c r="A599" s="109"/>
      <c r="B599" s="109"/>
      <c r="C599" s="109"/>
      <c r="D599" s="110"/>
      <c r="E599" s="109"/>
      <c r="F599" s="109"/>
      <c r="G599" s="111"/>
      <c r="H599" s="109"/>
      <c r="I599" s="111"/>
      <c r="J599" s="109"/>
      <c r="K599" s="109"/>
    </row>
    <row r="600" spans="1:11" ht="21.75" customHeight="1" x14ac:dyDescent="0.6">
      <c r="A600" s="109"/>
      <c r="B600" s="109"/>
      <c r="C600" s="109"/>
      <c r="D600" s="110"/>
      <c r="E600" s="109"/>
      <c r="F600" s="109"/>
      <c r="G600" s="111"/>
      <c r="H600" s="109"/>
      <c r="I600" s="111"/>
      <c r="J600" s="109"/>
      <c r="K600" s="109"/>
    </row>
    <row r="601" spans="1:11" ht="21.75" customHeight="1" x14ac:dyDescent="0.6">
      <c r="A601" s="109"/>
      <c r="B601" s="109"/>
      <c r="C601" s="109"/>
      <c r="D601" s="110"/>
      <c r="E601" s="109"/>
      <c r="F601" s="109"/>
      <c r="G601" s="111"/>
      <c r="H601" s="109"/>
      <c r="I601" s="111"/>
      <c r="J601" s="109"/>
      <c r="K601" s="109"/>
    </row>
    <row r="602" spans="1:11" ht="21.75" customHeight="1" x14ac:dyDescent="0.6">
      <c r="A602" s="109"/>
      <c r="B602" s="109"/>
      <c r="C602" s="109"/>
      <c r="D602" s="110"/>
      <c r="E602" s="109"/>
      <c r="F602" s="109"/>
      <c r="G602" s="111"/>
      <c r="H602" s="109"/>
      <c r="I602" s="111"/>
      <c r="J602" s="109"/>
      <c r="K602" s="109"/>
    </row>
    <row r="603" spans="1:11" ht="21.75" customHeight="1" x14ac:dyDescent="0.6">
      <c r="A603" s="109"/>
      <c r="B603" s="109"/>
      <c r="C603" s="109"/>
      <c r="D603" s="110"/>
      <c r="E603" s="109"/>
      <c r="F603" s="109"/>
      <c r="G603" s="111"/>
      <c r="H603" s="109"/>
      <c r="I603" s="111"/>
      <c r="J603" s="109"/>
      <c r="K603" s="109"/>
    </row>
    <row r="604" spans="1:11" ht="21.75" customHeight="1" x14ac:dyDescent="0.6">
      <c r="A604" s="109"/>
      <c r="B604" s="109"/>
      <c r="C604" s="109"/>
      <c r="D604" s="110"/>
      <c r="E604" s="109"/>
      <c r="F604" s="109"/>
      <c r="G604" s="111"/>
      <c r="H604" s="109"/>
      <c r="I604" s="111"/>
      <c r="J604" s="109"/>
      <c r="K604" s="109"/>
    </row>
    <row r="605" spans="1:11" ht="21.75" customHeight="1" x14ac:dyDescent="0.6">
      <c r="A605" s="109"/>
      <c r="B605" s="109"/>
      <c r="C605" s="109"/>
      <c r="D605" s="110"/>
      <c r="E605" s="109"/>
      <c r="F605" s="109"/>
      <c r="G605" s="111"/>
      <c r="H605" s="109"/>
      <c r="I605" s="111"/>
      <c r="J605" s="109"/>
      <c r="K605" s="109"/>
    </row>
    <row r="606" spans="1:11" ht="21.75" customHeight="1" x14ac:dyDescent="0.6">
      <c r="A606" s="109"/>
      <c r="B606" s="109"/>
      <c r="C606" s="109"/>
      <c r="D606" s="110"/>
      <c r="E606" s="109"/>
      <c r="F606" s="109"/>
      <c r="G606" s="111"/>
      <c r="H606" s="109"/>
      <c r="I606" s="111"/>
      <c r="J606" s="109"/>
      <c r="K606" s="109"/>
    </row>
    <row r="607" spans="1:11" ht="21.75" customHeight="1" x14ac:dyDescent="0.6">
      <c r="A607" s="109"/>
      <c r="B607" s="109"/>
      <c r="C607" s="109"/>
      <c r="D607" s="110"/>
      <c r="E607" s="109"/>
      <c r="F607" s="109"/>
      <c r="G607" s="111"/>
      <c r="H607" s="109"/>
      <c r="I607" s="111"/>
      <c r="J607" s="109"/>
      <c r="K607" s="109"/>
    </row>
    <row r="608" spans="1:11" ht="21.75" customHeight="1" x14ac:dyDescent="0.6">
      <c r="A608" s="109"/>
      <c r="B608" s="109"/>
      <c r="C608" s="109"/>
      <c r="D608" s="110"/>
      <c r="E608" s="109"/>
      <c r="F608" s="109"/>
      <c r="G608" s="111"/>
      <c r="H608" s="109"/>
      <c r="I608" s="111"/>
      <c r="J608" s="109"/>
      <c r="K608" s="109"/>
    </row>
    <row r="609" spans="1:11" ht="21.75" customHeight="1" x14ac:dyDescent="0.6">
      <c r="A609" s="109"/>
      <c r="B609" s="109"/>
      <c r="C609" s="109"/>
      <c r="D609" s="110"/>
      <c r="E609" s="109"/>
      <c r="F609" s="109"/>
      <c r="G609" s="111"/>
      <c r="H609" s="109"/>
      <c r="I609" s="111"/>
      <c r="J609" s="109"/>
      <c r="K609" s="109"/>
    </row>
    <row r="610" spans="1:11" ht="21.75" customHeight="1" x14ac:dyDescent="0.6">
      <c r="A610" s="109"/>
      <c r="B610" s="109"/>
      <c r="C610" s="109"/>
      <c r="D610" s="110"/>
      <c r="E610" s="109"/>
      <c r="F610" s="109"/>
      <c r="G610" s="111"/>
      <c r="H610" s="109"/>
      <c r="I610" s="111"/>
      <c r="J610" s="109"/>
      <c r="K610" s="109"/>
    </row>
    <row r="611" spans="1:11" ht="21.75" customHeight="1" x14ac:dyDescent="0.6">
      <c r="A611" s="109"/>
      <c r="B611" s="109"/>
      <c r="C611" s="109"/>
      <c r="D611" s="110"/>
      <c r="E611" s="109"/>
      <c r="F611" s="109"/>
      <c r="G611" s="111"/>
      <c r="H611" s="109"/>
      <c r="I611" s="111"/>
      <c r="J611" s="109"/>
      <c r="K611" s="109"/>
    </row>
    <row r="612" spans="1:11" ht="21.75" customHeight="1" x14ac:dyDescent="0.6">
      <c r="A612" s="109"/>
      <c r="B612" s="109"/>
      <c r="C612" s="109"/>
      <c r="D612" s="110"/>
      <c r="E612" s="109"/>
      <c r="F612" s="109"/>
      <c r="G612" s="111"/>
      <c r="H612" s="109"/>
      <c r="I612" s="111"/>
      <c r="J612" s="109"/>
      <c r="K612" s="109"/>
    </row>
    <row r="613" spans="1:11" ht="21.75" customHeight="1" x14ac:dyDescent="0.6">
      <c r="A613" s="109"/>
      <c r="B613" s="109"/>
      <c r="C613" s="109"/>
      <c r="D613" s="110"/>
      <c r="E613" s="109"/>
      <c r="F613" s="109"/>
      <c r="G613" s="111"/>
      <c r="H613" s="109"/>
      <c r="I613" s="111"/>
      <c r="J613" s="109"/>
      <c r="K613" s="109"/>
    </row>
    <row r="614" spans="1:11" ht="21.75" customHeight="1" x14ac:dyDescent="0.6">
      <c r="A614" s="109"/>
      <c r="B614" s="109"/>
      <c r="C614" s="109"/>
      <c r="D614" s="110"/>
      <c r="E614" s="109"/>
      <c r="F614" s="109"/>
      <c r="G614" s="111"/>
      <c r="H614" s="109"/>
      <c r="I614" s="111"/>
      <c r="J614" s="109"/>
      <c r="K614" s="109"/>
    </row>
    <row r="615" spans="1:11" ht="21.75" customHeight="1" x14ac:dyDescent="0.6">
      <c r="A615" s="109"/>
      <c r="B615" s="109"/>
      <c r="C615" s="109"/>
      <c r="D615" s="110"/>
      <c r="E615" s="109"/>
      <c r="F615" s="109"/>
      <c r="G615" s="111"/>
      <c r="H615" s="109"/>
      <c r="I615" s="111"/>
      <c r="J615" s="109"/>
      <c r="K615" s="109"/>
    </row>
    <row r="616" spans="1:11" ht="21.75" customHeight="1" x14ac:dyDescent="0.6">
      <c r="A616" s="109"/>
      <c r="B616" s="109"/>
      <c r="C616" s="109"/>
      <c r="D616" s="110"/>
      <c r="E616" s="109"/>
      <c r="F616" s="109"/>
      <c r="G616" s="111"/>
      <c r="H616" s="109"/>
      <c r="I616" s="111"/>
      <c r="J616" s="109"/>
      <c r="K616" s="109"/>
    </row>
    <row r="617" spans="1:11" ht="21.75" customHeight="1" x14ac:dyDescent="0.6">
      <c r="A617" s="109"/>
      <c r="B617" s="109"/>
      <c r="C617" s="109"/>
      <c r="D617" s="110"/>
      <c r="E617" s="109"/>
      <c r="F617" s="109"/>
      <c r="G617" s="111"/>
      <c r="H617" s="109"/>
      <c r="I617" s="111"/>
      <c r="J617" s="109"/>
      <c r="K617" s="109"/>
    </row>
    <row r="618" spans="1:11" ht="21.75" customHeight="1" x14ac:dyDescent="0.6">
      <c r="A618" s="109"/>
      <c r="B618" s="109"/>
      <c r="C618" s="109"/>
      <c r="D618" s="110"/>
      <c r="E618" s="109"/>
      <c r="F618" s="109"/>
      <c r="G618" s="111"/>
      <c r="H618" s="109"/>
      <c r="I618" s="111"/>
      <c r="J618" s="109"/>
      <c r="K618" s="109"/>
    </row>
    <row r="619" spans="1:11" ht="21.75" customHeight="1" x14ac:dyDescent="0.6">
      <c r="A619" s="109"/>
      <c r="B619" s="109"/>
      <c r="C619" s="109"/>
      <c r="D619" s="110"/>
      <c r="E619" s="109"/>
      <c r="F619" s="109"/>
      <c r="G619" s="111"/>
      <c r="H619" s="109"/>
      <c r="I619" s="111"/>
      <c r="J619" s="109"/>
      <c r="K619" s="109"/>
    </row>
    <row r="620" spans="1:11" ht="21.75" customHeight="1" x14ac:dyDescent="0.6">
      <c r="A620" s="109"/>
      <c r="B620" s="109"/>
      <c r="C620" s="109"/>
      <c r="D620" s="110"/>
      <c r="E620" s="109"/>
      <c r="F620" s="109"/>
      <c r="G620" s="111"/>
      <c r="H620" s="109"/>
      <c r="I620" s="111"/>
      <c r="J620" s="109"/>
      <c r="K620" s="109"/>
    </row>
    <row r="621" spans="1:11" ht="21.75" customHeight="1" x14ac:dyDescent="0.6">
      <c r="A621" s="109"/>
      <c r="B621" s="109"/>
      <c r="C621" s="109"/>
      <c r="D621" s="110"/>
      <c r="E621" s="109"/>
      <c r="F621" s="109"/>
      <c r="G621" s="111"/>
      <c r="H621" s="109"/>
      <c r="I621" s="111"/>
      <c r="J621" s="109"/>
      <c r="K621" s="109"/>
    </row>
    <row r="622" spans="1:11" ht="21.75" customHeight="1" x14ac:dyDescent="0.6">
      <c r="A622" s="109"/>
      <c r="B622" s="109"/>
      <c r="C622" s="109"/>
      <c r="D622" s="110"/>
      <c r="E622" s="109"/>
      <c r="F622" s="109"/>
      <c r="G622" s="111"/>
      <c r="H622" s="109"/>
      <c r="I622" s="111"/>
      <c r="J622" s="109"/>
      <c r="K622" s="109"/>
    </row>
    <row r="623" spans="1:11" ht="21.75" customHeight="1" x14ac:dyDescent="0.6">
      <c r="A623" s="109"/>
      <c r="B623" s="109"/>
      <c r="C623" s="109"/>
      <c r="D623" s="110"/>
      <c r="E623" s="109"/>
      <c r="F623" s="109"/>
      <c r="G623" s="111"/>
      <c r="H623" s="109"/>
      <c r="I623" s="111"/>
      <c r="J623" s="109"/>
      <c r="K623" s="109"/>
    </row>
    <row r="624" spans="1:11" ht="21.75" customHeight="1" x14ac:dyDescent="0.6">
      <c r="A624" s="109"/>
      <c r="B624" s="109"/>
      <c r="C624" s="109"/>
      <c r="D624" s="110"/>
      <c r="E624" s="109"/>
      <c r="F624" s="109"/>
      <c r="G624" s="111"/>
      <c r="H624" s="109"/>
      <c r="I624" s="111"/>
      <c r="J624" s="109"/>
      <c r="K624" s="109"/>
    </row>
    <row r="625" spans="1:11" ht="21.75" customHeight="1" x14ac:dyDescent="0.6">
      <c r="A625" s="109"/>
      <c r="B625" s="109"/>
      <c r="C625" s="109"/>
      <c r="D625" s="110"/>
      <c r="E625" s="109"/>
      <c r="F625" s="109"/>
      <c r="G625" s="111"/>
      <c r="H625" s="109"/>
      <c r="I625" s="111"/>
      <c r="J625" s="109"/>
      <c r="K625" s="109"/>
    </row>
    <row r="626" spans="1:11" ht="21.75" customHeight="1" x14ac:dyDescent="0.6">
      <c r="A626" s="109"/>
      <c r="B626" s="109"/>
      <c r="C626" s="109"/>
      <c r="D626" s="110"/>
      <c r="E626" s="109"/>
      <c r="F626" s="109"/>
      <c r="G626" s="111"/>
      <c r="H626" s="109"/>
      <c r="I626" s="111"/>
      <c r="J626" s="109"/>
      <c r="K626" s="109"/>
    </row>
    <row r="627" spans="1:11" ht="21.75" customHeight="1" x14ac:dyDescent="0.6">
      <c r="A627" s="109"/>
      <c r="B627" s="109"/>
      <c r="C627" s="109"/>
      <c r="D627" s="110"/>
      <c r="E627" s="109"/>
      <c r="F627" s="109"/>
      <c r="G627" s="111"/>
      <c r="H627" s="109"/>
      <c r="I627" s="111"/>
      <c r="J627" s="109"/>
      <c r="K627" s="109"/>
    </row>
    <row r="628" spans="1:11" ht="21.75" customHeight="1" x14ac:dyDescent="0.6">
      <c r="A628" s="109"/>
      <c r="B628" s="109"/>
      <c r="C628" s="109"/>
      <c r="D628" s="110"/>
      <c r="E628" s="109"/>
      <c r="F628" s="109"/>
      <c r="G628" s="111"/>
      <c r="H628" s="109"/>
      <c r="I628" s="111"/>
      <c r="J628" s="109"/>
      <c r="K628" s="109"/>
    </row>
    <row r="629" spans="1:11" ht="21.75" customHeight="1" x14ac:dyDescent="0.6">
      <c r="A629" s="109"/>
      <c r="B629" s="109"/>
      <c r="C629" s="109"/>
      <c r="D629" s="110"/>
      <c r="E629" s="109"/>
      <c r="F629" s="109"/>
      <c r="G629" s="111"/>
      <c r="H629" s="109"/>
      <c r="I629" s="111"/>
      <c r="J629" s="109"/>
      <c r="K629" s="109"/>
    </row>
    <row r="630" spans="1:11" ht="21.75" customHeight="1" x14ac:dyDescent="0.6">
      <c r="A630" s="109"/>
      <c r="B630" s="109"/>
      <c r="C630" s="109"/>
      <c r="D630" s="110"/>
      <c r="E630" s="109"/>
      <c r="F630" s="109"/>
      <c r="G630" s="111"/>
      <c r="H630" s="109"/>
      <c r="I630" s="111"/>
      <c r="J630" s="109"/>
      <c r="K630" s="109"/>
    </row>
    <row r="631" spans="1:11" ht="21.75" customHeight="1" x14ac:dyDescent="0.6">
      <c r="A631" s="109"/>
      <c r="B631" s="109"/>
      <c r="C631" s="109"/>
      <c r="D631" s="110"/>
      <c r="E631" s="109"/>
      <c r="F631" s="109"/>
      <c r="G631" s="111"/>
      <c r="H631" s="109"/>
      <c r="I631" s="111"/>
      <c r="J631" s="109"/>
      <c r="K631" s="109"/>
    </row>
    <row r="632" spans="1:11" ht="21.75" customHeight="1" x14ac:dyDescent="0.6">
      <c r="A632" s="109"/>
      <c r="B632" s="109"/>
      <c r="C632" s="109"/>
      <c r="D632" s="110"/>
      <c r="E632" s="109"/>
      <c r="F632" s="109"/>
      <c r="G632" s="111"/>
      <c r="H632" s="109"/>
      <c r="I632" s="111"/>
      <c r="J632" s="109"/>
      <c r="K632" s="109"/>
    </row>
    <row r="633" spans="1:11" ht="21.75" customHeight="1" x14ac:dyDescent="0.6">
      <c r="A633" s="109"/>
      <c r="B633" s="109"/>
      <c r="C633" s="109"/>
      <c r="D633" s="110"/>
      <c r="E633" s="109"/>
      <c r="F633" s="109"/>
      <c r="G633" s="111"/>
      <c r="H633" s="109"/>
      <c r="I633" s="111"/>
      <c r="J633" s="109"/>
      <c r="K633" s="109"/>
    </row>
    <row r="634" spans="1:11" ht="21.75" customHeight="1" x14ac:dyDescent="0.6">
      <c r="A634" s="109"/>
      <c r="B634" s="109"/>
      <c r="C634" s="109"/>
      <c r="D634" s="110"/>
      <c r="E634" s="109"/>
      <c r="F634" s="109"/>
      <c r="G634" s="111"/>
      <c r="H634" s="109"/>
      <c r="I634" s="111"/>
      <c r="J634" s="109"/>
      <c r="K634" s="109"/>
    </row>
    <row r="635" spans="1:11" ht="21.75" customHeight="1" x14ac:dyDescent="0.6">
      <c r="A635" s="109"/>
      <c r="B635" s="109"/>
      <c r="C635" s="109"/>
      <c r="D635" s="110"/>
      <c r="E635" s="109"/>
      <c r="F635" s="109"/>
      <c r="G635" s="111"/>
      <c r="H635" s="109"/>
      <c r="I635" s="111"/>
      <c r="J635" s="109"/>
      <c r="K635" s="109"/>
    </row>
    <row r="636" spans="1:11" ht="21.75" customHeight="1" x14ac:dyDescent="0.6">
      <c r="A636" s="109"/>
      <c r="B636" s="109"/>
      <c r="C636" s="109"/>
      <c r="D636" s="110"/>
      <c r="E636" s="109"/>
      <c r="F636" s="109"/>
      <c r="G636" s="111"/>
      <c r="H636" s="109"/>
      <c r="I636" s="111"/>
      <c r="J636" s="109"/>
      <c r="K636" s="109"/>
    </row>
    <row r="637" spans="1:11" ht="21.75" customHeight="1" x14ac:dyDescent="0.6">
      <c r="A637" s="109"/>
      <c r="B637" s="109"/>
      <c r="C637" s="109"/>
      <c r="D637" s="110"/>
      <c r="E637" s="109"/>
      <c r="F637" s="109"/>
      <c r="G637" s="111"/>
      <c r="H637" s="109"/>
      <c r="I637" s="111"/>
      <c r="J637" s="109"/>
      <c r="K637" s="109"/>
    </row>
    <row r="638" spans="1:11" ht="21.75" customHeight="1" x14ac:dyDescent="0.6">
      <c r="A638" s="109"/>
      <c r="B638" s="109"/>
      <c r="C638" s="109"/>
      <c r="D638" s="110"/>
      <c r="E638" s="109"/>
      <c r="F638" s="109"/>
      <c r="G638" s="111"/>
      <c r="H638" s="109"/>
      <c r="I638" s="111"/>
      <c r="J638" s="109"/>
      <c r="K638" s="109"/>
    </row>
    <row r="639" spans="1:11" ht="21.75" customHeight="1" x14ac:dyDescent="0.6">
      <c r="A639" s="109"/>
      <c r="B639" s="109"/>
      <c r="C639" s="109"/>
      <c r="D639" s="110"/>
      <c r="E639" s="109"/>
      <c r="F639" s="109"/>
      <c r="G639" s="111"/>
      <c r="H639" s="109"/>
      <c r="I639" s="111"/>
      <c r="J639" s="109"/>
      <c r="K639" s="109"/>
    </row>
    <row r="640" spans="1:11" ht="21.75" customHeight="1" x14ac:dyDescent="0.6">
      <c r="A640" s="109"/>
      <c r="B640" s="109"/>
      <c r="C640" s="109"/>
      <c r="D640" s="110"/>
      <c r="E640" s="109"/>
      <c r="F640" s="109"/>
      <c r="G640" s="111"/>
      <c r="H640" s="109"/>
      <c r="I640" s="111"/>
      <c r="J640" s="109"/>
      <c r="K640" s="109"/>
    </row>
    <row r="641" spans="1:11" ht="21.75" customHeight="1" x14ac:dyDescent="0.6">
      <c r="A641" s="109"/>
      <c r="B641" s="109"/>
      <c r="C641" s="109"/>
      <c r="D641" s="110"/>
      <c r="E641" s="109"/>
      <c r="F641" s="109"/>
      <c r="G641" s="111"/>
      <c r="H641" s="109"/>
      <c r="I641" s="111"/>
      <c r="J641" s="109"/>
      <c r="K641" s="109"/>
    </row>
    <row r="642" spans="1:11" ht="21.75" customHeight="1" x14ac:dyDescent="0.6">
      <c r="A642" s="109"/>
      <c r="B642" s="109"/>
      <c r="C642" s="109"/>
      <c r="D642" s="110"/>
      <c r="E642" s="109"/>
      <c r="F642" s="109"/>
      <c r="G642" s="111"/>
      <c r="H642" s="109"/>
      <c r="I642" s="111"/>
      <c r="J642" s="109"/>
      <c r="K642" s="109"/>
    </row>
    <row r="643" spans="1:11" ht="21.75" customHeight="1" x14ac:dyDescent="0.6">
      <c r="A643" s="109"/>
      <c r="B643" s="109"/>
      <c r="C643" s="109"/>
      <c r="D643" s="110"/>
      <c r="E643" s="109"/>
      <c r="F643" s="109"/>
      <c r="G643" s="111"/>
      <c r="H643" s="109"/>
      <c r="I643" s="111"/>
      <c r="J643" s="109"/>
      <c r="K643" s="109"/>
    </row>
    <row r="644" spans="1:11" ht="21.75" customHeight="1" x14ac:dyDescent="0.6">
      <c r="A644" s="109"/>
      <c r="B644" s="109"/>
      <c r="C644" s="109"/>
      <c r="D644" s="110"/>
      <c r="E644" s="109"/>
      <c r="F644" s="109"/>
      <c r="G644" s="111"/>
      <c r="H644" s="109"/>
      <c r="I644" s="111"/>
      <c r="J644" s="109"/>
      <c r="K644" s="109"/>
    </row>
    <row r="645" spans="1:11" ht="21.75" customHeight="1" x14ac:dyDescent="0.6">
      <c r="A645" s="109"/>
      <c r="B645" s="109"/>
      <c r="C645" s="109"/>
      <c r="D645" s="110"/>
      <c r="E645" s="109"/>
      <c r="F645" s="109"/>
      <c r="G645" s="111"/>
      <c r="H645" s="109"/>
      <c r="I645" s="111"/>
      <c r="J645" s="109"/>
      <c r="K645" s="109"/>
    </row>
    <row r="646" spans="1:11" ht="21.75" customHeight="1" x14ac:dyDescent="0.6">
      <c r="A646" s="109"/>
      <c r="B646" s="109"/>
      <c r="C646" s="109"/>
      <c r="D646" s="110"/>
      <c r="E646" s="109"/>
      <c r="F646" s="109"/>
      <c r="G646" s="111"/>
      <c r="H646" s="109"/>
      <c r="I646" s="111"/>
      <c r="J646" s="109"/>
      <c r="K646" s="109"/>
    </row>
    <row r="647" spans="1:11" ht="21.75" customHeight="1" x14ac:dyDescent="0.6">
      <c r="A647" s="109"/>
      <c r="B647" s="109"/>
      <c r="C647" s="109"/>
      <c r="D647" s="110"/>
      <c r="E647" s="109"/>
      <c r="F647" s="109"/>
      <c r="G647" s="111"/>
      <c r="H647" s="109"/>
      <c r="I647" s="111"/>
      <c r="J647" s="109"/>
      <c r="K647" s="109"/>
    </row>
    <row r="648" spans="1:11" ht="21.75" customHeight="1" x14ac:dyDescent="0.6">
      <c r="A648" s="109"/>
      <c r="B648" s="109"/>
      <c r="C648" s="109"/>
      <c r="D648" s="110"/>
      <c r="E648" s="109"/>
      <c r="F648" s="109"/>
      <c r="G648" s="111"/>
      <c r="H648" s="109"/>
      <c r="I648" s="111"/>
      <c r="J648" s="109"/>
      <c r="K648" s="109"/>
    </row>
    <row r="649" spans="1:11" ht="21.75" customHeight="1" x14ac:dyDescent="0.6">
      <c r="A649" s="109"/>
      <c r="B649" s="109"/>
      <c r="C649" s="109"/>
      <c r="D649" s="110"/>
      <c r="E649" s="109"/>
      <c r="F649" s="109"/>
      <c r="G649" s="111"/>
      <c r="H649" s="109"/>
      <c r="I649" s="111"/>
      <c r="J649" s="109"/>
      <c r="K649" s="109"/>
    </row>
    <row r="650" spans="1:11" ht="21.75" customHeight="1" x14ac:dyDescent="0.6">
      <c r="A650" s="109"/>
      <c r="B650" s="109"/>
      <c r="C650" s="109"/>
      <c r="D650" s="110"/>
      <c r="E650" s="109"/>
      <c r="F650" s="109"/>
      <c r="G650" s="111"/>
      <c r="H650" s="109"/>
      <c r="I650" s="111"/>
      <c r="J650" s="109"/>
      <c r="K650" s="109"/>
    </row>
    <row r="651" spans="1:11" ht="21.75" customHeight="1" x14ac:dyDescent="0.6">
      <c r="A651" s="109"/>
      <c r="B651" s="109"/>
      <c r="C651" s="109"/>
      <c r="D651" s="110"/>
      <c r="E651" s="109"/>
      <c r="F651" s="109"/>
      <c r="G651" s="111"/>
      <c r="H651" s="109"/>
      <c r="I651" s="111"/>
      <c r="J651" s="109"/>
      <c r="K651" s="109"/>
    </row>
    <row r="652" spans="1:11" ht="21.75" customHeight="1" x14ac:dyDescent="0.6">
      <c r="A652" s="109"/>
      <c r="B652" s="109"/>
      <c r="C652" s="109"/>
      <c r="D652" s="110"/>
      <c r="E652" s="109"/>
      <c r="F652" s="109"/>
      <c r="G652" s="111"/>
      <c r="H652" s="109"/>
      <c r="I652" s="111"/>
      <c r="J652" s="109"/>
      <c r="K652" s="109"/>
    </row>
    <row r="653" spans="1:11" ht="21.75" customHeight="1" x14ac:dyDescent="0.6">
      <c r="A653" s="109"/>
      <c r="B653" s="109"/>
      <c r="C653" s="109"/>
      <c r="D653" s="110"/>
      <c r="E653" s="109"/>
      <c r="F653" s="109"/>
      <c r="G653" s="111"/>
      <c r="H653" s="109"/>
      <c r="I653" s="111"/>
      <c r="J653" s="109"/>
      <c r="K653" s="109"/>
    </row>
    <row r="654" spans="1:11" ht="21.75" customHeight="1" x14ac:dyDescent="0.6">
      <c r="A654" s="109"/>
      <c r="B654" s="109"/>
      <c r="C654" s="109"/>
      <c r="D654" s="110"/>
      <c r="E654" s="109"/>
      <c r="F654" s="109"/>
      <c r="G654" s="111"/>
      <c r="H654" s="109"/>
      <c r="I654" s="111"/>
      <c r="J654" s="109"/>
      <c r="K654" s="109"/>
    </row>
    <row r="655" spans="1:11" ht="21.75" customHeight="1" x14ac:dyDescent="0.6">
      <c r="A655" s="109"/>
      <c r="B655" s="109"/>
      <c r="C655" s="109"/>
      <c r="D655" s="110"/>
      <c r="E655" s="109"/>
      <c r="F655" s="109"/>
      <c r="G655" s="111"/>
      <c r="H655" s="109"/>
      <c r="I655" s="111"/>
      <c r="J655" s="109"/>
      <c r="K655" s="109"/>
    </row>
    <row r="656" spans="1:11" ht="21.75" customHeight="1" x14ac:dyDescent="0.6">
      <c r="A656" s="109"/>
      <c r="B656" s="109"/>
      <c r="C656" s="109"/>
      <c r="D656" s="110"/>
      <c r="E656" s="109"/>
      <c r="F656" s="109"/>
      <c r="G656" s="111"/>
      <c r="H656" s="109"/>
      <c r="I656" s="111"/>
      <c r="J656" s="109"/>
      <c r="K656" s="109"/>
    </row>
    <row r="657" spans="1:11" ht="21.75" customHeight="1" x14ac:dyDescent="0.6">
      <c r="A657" s="109"/>
      <c r="B657" s="109"/>
      <c r="C657" s="109"/>
      <c r="D657" s="110"/>
      <c r="E657" s="109"/>
      <c r="F657" s="109"/>
      <c r="G657" s="111"/>
      <c r="H657" s="109"/>
      <c r="I657" s="111"/>
      <c r="J657" s="109"/>
      <c r="K657" s="109"/>
    </row>
    <row r="658" spans="1:11" ht="21.75" customHeight="1" x14ac:dyDescent="0.6">
      <c r="A658" s="109"/>
      <c r="B658" s="109"/>
      <c r="C658" s="109"/>
      <c r="D658" s="110"/>
      <c r="E658" s="109"/>
      <c r="F658" s="109"/>
      <c r="G658" s="111"/>
      <c r="H658" s="109"/>
      <c r="I658" s="111"/>
      <c r="J658" s="109"/>
      <c r="K658" s="109"/>
    </row>
    <row r="659" spans="1:11" ht="21.75" customHeight="1" x14ac:dyDescent="0.6">
      <c r="A659" s="109"/>
      <c r="B659" s="109"/>
      <c r="C659" s="109"/>
      <c r="D659" s="110"/>
      <c r="E659" s="109"/>
      <c r="F659" s="109"/>
      <c r="G659" s="111"/>
      <c r="H659" s="109"/>
      <c r="I659" s="111"/>
      <c r="J659" s="109"/>
      <c r="K659" s="109"/>
    </row>
    <row r="660" spans="1:11" ht="21.75" customHeight="1" x14ac:dyDescent="0.6">
      <c r="A660" s="109"/>
      <c r="B660" s="109"/>
      <c r="C660" s="109"/>
      <c r="D660" s="110"/>
      <c r="E660" s="109"/>
      <c r="F660" s="109"/>
      <c r="G660" s="111"/>
      <c r="H660" s="109"/>
      <c r="I660" s="111"/>
      <c r="J660" s="109"/>
      <c r="K660" s="109"/>
    </row>
    <row r="661" spans="1:11" ht="21.75" customHeight="1" x14ac:dyDescent="0.6">
      <c r="A661" s="109"/>
      <c r="B661" s="109"/>
      <c r="C661" s="109"/>
      <c r="D661" s="110"/>
      <c r="E661" s="109"/>
      <c r="F661" s="109"/>
      <c r="G661" s="111"/>
      <c r="H661" s="109"/>
      <c r="I661" s="111"/>
      <c r="J661" s="109"/>
      <c r="K661" s="109"/>
    </row>
    <row r="662" spans="1:11" ht="21.75" customHeight="1" x14ac:dyDescent="0.6">
      <c r="A662" s="109"/>
      <c r="B662" s="109"/>
      <c r="C662" s="109"/>
      <c r="D662" s="110"/>
      <c r="E662" s="109"/>
      <c r="F662" s="109"/>
      <c r="G662" s="111"/>
      <c r="H662" s="109"/>
      <c r="I662" s="111"/>
      <c r="J662" s="109"/>
      <c r="K662" s="109"/>
    </row>
    <row r="663" spans="1:11" ht="21.75" customHeight="1" x14ac:dyDescent="0.6">
      <c r="A663" s="109"/>
      <c r="B663" s="109"/>
      <c r="C663" s="109"/>
      <c r="D663" s="110"/>
      <c r="E663" s="109"/>
      <c r="F663" s="109"/>
      <c r="G663" s="111"/>
      <c r="H663" s="109"/>
      <c r="I663" s="111"/>
      <c r="J663" s="109"/>
      <c r="K663" s="109"/>
    </row>
    <row r="664" spans="1:11" ht="21.75" customHeight="1" x14ac:dyDescent="0.6">
      <c r="A664" s="109"/>
      <c r="B664" s="109"/>
      <c r="C664" s="109"/>
      <c r="D664" s="110"/>
      <c r="E664" s="109"/>
      <c r="F664" s="109"/>
      <c r="G664" s="111"/>
      <c r="H664" s="109"/>
      <c r="I664" s="111"/>
      <c r="J664" s="109"/>
      <c r="K664" s="109"/>
    </row>
    <row r="665" spans="1:11" ht="21.75" customHeight="1" x14ac:dyDescent="0.6">
      <c r="A665" s="109"/>
      <c r="B665" s="109"/>
      <c r="C665" s="109"/>
      <c r="D665" s="110"/>
      <c r="E665" s="109"/>
      <c r="F665" s="109"/>
      <c r="G665" s="111"/>
      <c r="H665" s="109"/>
      <c r="I665" s="111"/>
      <c r="J665" s="109"/>
      <c r="K665" s="109"/>
    </row>
    <row r="666" spans="1:11" ht="21.75" customHeight="1" x14ac:dyDescent="0.6">
      <c r="A666" s="109"/>
      <c r="B666" s="109"/>
      <c r="C666" s="109"/>
      <c r="D666" s="110"/>
      <c r="E666" s="109"/>
      <c r="F666" s="109"/>
      <c r="G666" s="111"/>
      <c r="H666" s="109"/>
      <c r="I666" s="111"/>
      <c r="J666" s="109"/>
      <c r="K666" s="109"/>
    </row>
    <row r="667" spans="1:11" ht="21.75" customHeight="1" x14ac:dyDescent="0.6">
      <c r="A667" s="109"/>
      <c r="B667" s="109"/>
      <c r="C667" s="109"/>
      <c r="D667" s="110"/>
      <c r="E667" s="109"/>
      <c r="F667" s="109"/>
      <c r="G667" s="111"/>
      <c r="H667" s="109"/>
      <c r="I667" s="111"/>
      <c r="J667" s="109"/>
      <c r="K667" s="109"/>
    </row>
    <row r="668" spans="1:11" ht="21.75" customHeight="1" x14ac:dyDescent="0.6">
      <c r="A668" s="109"/>
      <c r="B668" s="109"/>
      <c r="C668" s="109"/>
      <c r="D668" s="110"/>
      <c r="E668" s="109"/>
      <c r="F668" s="109"/>
      <c r="G668" s="111"/>
      <c r="H668" s="109"/>
      <c r="I668" s="111"/>
      <c r="J668" s="109"/>
      <c r="K668" s="109"/>
    </row>
    <row r="669" spans="1:11" ht="21.75" customHeight="1" x14ac:dyDescent="0.6">
      <c r="A669" s="109"/>
      <c r="B669" s="109"/>
      <c r="C669" s="109"/>
      <c r="D669" s="110"/>
      <c r="E669" s="109"/>
      <c r="F669" s="109"/>
      <c r="G669" s="111"/>
      <c r="H669" s="109"/>
      <c r="I669" s="111"/>
      <c r="J669" s="109"/>
      <c r="K669" s="109"/>
    </row>
    <row r="670" spans="1:11" ht="21.75" customHeight="1" x14ac:dyDescent="0.6">
      <c r="A670" s="109"/>
      <c r="B670" s="109"/>
      <c r="C670" s="109"/>
      <c r="D670" s="110"/>
      <c r="E670" s="109"/>
      <c r="F670" s="109"/>
      <c r="G670" s="111"/>
      <c r="H670" s="109"/>
      <c r="I670" s="111"/>
      <c r="J670" s="109"/>
      <c r="K670" s="109"/>
    </row>
    <row r="671" spans="1:11" ht="21.75" customHeight="1" x14ac:dyDescent="0.6">
      <c r="A671" s="109"/>
      <c r="B671" s="109"/>
      <c r="C671" s="109"/>
      <c r="D671" s="110"/>
      <c r="E671" s="109"/>
      <c r="F671" s="109"/>
      <c r="G671" s="111"/>
      <c r="H671" s="109"/>
      <c r="I671" s="111"/>
      <c r="J671" s="109"/>
      <c r="K671" s="109"/>
    </row>
    <row r="672" spans="1:11" ht="21.75" customHeight="1" x14ac:dyDescent="0.6">
      <c r="A672" s="109"/>
      <c r="B672" s="109"/>
      <c r="C672" s="109"/>
      <c r="D672" s="110"/>
      <c r="E672" s="109"/>
      <c r="F672" s="109"/>
      <c r="G672" s="111"/>
      <c r="H672" s="109"/>
      <c r="I672" s="111"/>
      <c r="J672" s="109"/>
      <c r="K672" s="109"/>
    </row>
    <row r="673" spans="1:11" ht="21.75" customHeight="1" x14ac:dyDescent="0.6">
      <c r="A673" s="109"/>
      <c r="B673" s="109"/>
      <c r="C673" s="109"/>
      <c r="D673" s="110"/>
      <c r="E673" s="109"/>
      <c r="F673" s="109"/>
      <c r="G673" s="111"/>
      <c r="H673" s="109"/>
      <c r="I673" s="111"/>
      <c r="J673" s="109"/>
      <c r="K673" s="109"/>
    </row>
    <row r="674" spans="1:11" ht="21.75" customHeight="1" x14ac:dyDescent="0.6">
      <c r="A674" s="109"/>
      <c r="B674" s="109"/>
      <c r="C674" s="109"/>
      <c r="D674" s="110"/>
      <c r="E674" s="109"/>
      <c r="F674" s="109"/>
      <c r="G674" s="111"/>
      <c r="H674" s="109"/>
      <c r="I674" s="111"/>
      <c r="J674" s="109"/>
      <c r="K674" s="109"/>
    </row>
    <row r="675" spans="1:11" ht="21.75" customHeight="1" x14ac:dyDescent="0.6">
      <c r="A675" s="109"/>
      <c r="B675" s="109"/>
      <c r="C675" s="109"/>
      <c r="D675" s="110"/>
      <c r="E675" s="109"/>
      <c r="F675" s="109"/>
      <c r="G675" s="111"/>
      <c r="H675" s="109"/>
      <c r="I675" s="111"/>
      <c r="J675" s="109"/>
      <c r="K675" s="109"/>
    </row>
    <row r="676" spans="1:11" ht="21.75" customHeight="1" x14ac:dyDescent="0.6">
      <c r="A676" s="109"/>
      <c r="B676" s="109"/>
      <c r="C676" s="109"/>
      <c r="D676" s="110"/>
      <c r="E676" s="109"/>
      <c r="F676" s="109"/>
      <c r="G676" s="111"/>
      <c r="H676" s="109"/>
      <c r="I676" s="111"/>
      <c r="J676" s="109"/>
      <c r="K676" s="109"/>
    </row>
    <row r="677" spans="1:11" ht="21.75" customHeight="1" x14ac:dyDescent="0.6">
      <c r="A677" s="109"/>
      <c r="B677" s="109"/>
      <c r="C677" s="109"/>
      <c r="D677" s="110"/>
      <c r="E677" s="109"/>
      <c r="F677" s="109"/>
      <c r="G677" s="111"/>
      <c r="H677" s="109"/>
      <c r="I677" s="111"/>
      <c r="J677" s="109"/>
      <c r="K677" s="109"/>
    </row>
    <row r="678" spans="1:11" ht="21.75" customHeight="1" x14ac:dyDescent="0.6">
      <c r="A678" s="109"/>
      <c r="B678" s="109"/>
      <c r="C678" s="109"/>
      <c r="D678" s="110"/>
      <c r="E678" s="109"/>
      <c r="F678" s="109"/>
      <c r="G678" s="111"/>
      <c r="H678" s="109"/>
      <c r="I678" s="111"/>
      <c r="J678" s="109"/>
      <c r="K678" s="109"/>
    </row>
    <row r="679" spans="1:11" ht="21.75" customHeight="1" x14ac:dyDescent="0.6">
      <c r="A679" s="109"/>
      <c r="B679" s="109"/>
      <c r="C679" s="109"/>
      <c r="D679" s="110"/>
      <c r="E679" s="109"/>
      <c r="F679" s="109"/>
      <c r="G679" s="111"/>
      <c r="H679" s="109"/>
      <c r="I679" s="111"/>
      <c r="J679" s="109"/>
      <c r="K679" s="109"/>
    </row>
    <row r="680" spans="1:11" ht="21.75" customHeight="1" x14ac:dyDescent="0.6">
      <c r="A680" s="109"/>
      <c r="B680" s="109"/>
      <c r="C680" s="109"/>
      <c r="D680" s="110"/>
      <c r="E680" s="109"/>
      <c r="F680" s="109"/>
      <c r="G680" s="111"/>
      <c r="H680" s="109"/>
      <c r="I680" s="111"/>
      <c r="J680" s="109"/>
      <c r="K680" s="109"/>
    </row>
    <row r="681" spans="1:11" ht="21.75" customHeight="1" x14ac:dyDescent="0.6">
      <c r="A681" s="109"/>
      <c r="B681" s="109"/>
      <c r="C681" s="109"/>
      <c r="D681" s="110"/>
      <c r="E681" s="109"/>
      <c r="F681" s="109"/>
      <c r="G681" s="111"/>
      <c r="H681" s="109"/>
      <c r="I681" s="111"/>
      <c r="J681" s="109"/>
      <c r="K681" s="109"/>
    </row>
    <row r="682" spans="1:11" ht="21.75" customHeight="1" x14ac:dyDescent="0.6">
      <c r="A682" s="109"/>
      <c r="B682" s="109"/>
      <c r="C682" s="109"/>
      <c r="D682" s="110"/>
      <c r="E682" s="109"/>
      <c r="F682" s="109"/>
      <c r="G682" s="111"/>
      <c r="H682" s="109"/>
      <c r="I682" s="111"/>
      <c r="J682" s="109"/>
      <c r="K682" s="109"/>
    </row>
    <row r="683" spans="1:11" ht="21.75" customHeight="1" x14ac:dyDescent="0.6">
      <c r="A683" s="109"/>
      <c r="B683" s="109"/>
      <c r="C683" s="109"/>
      <c r="D683" s="110"/>
      <c r="E683" s="109"/>
      <c r="F683" s="109"/>
      <c r="G683" s="111"/>
      <c r="H683" s="109"/>
      <c r="I683" s="111"/>
      <c r="J683" s="109"/>
      <c r="K683" s="109"/>
    </row>
    <row r="684" spans="1:11" ht="21.75" customHeight="1" x14ac:dyDescent="0.6">
      <c r="A684" s="109"/>
      <c r="B684" s="109"/>
      <c r="C684" s="109"/>
      <c r="D684" s="110"/>
      <c r="E684" s="109"/>
      <c r="F684" s="109"/>
      <c r="G684" s="111"/>
      <c r="H684" s="109"/>
      <c r="I684" s="111"/>
      <c r="J684" s="109"/>
      <c r="K684" s="109"/>
    </row>
    <row r="685" spans="1:11" ht="21.75" customHeight="1" x14ac:dyDescent="0.6">
      <c r="A685" s="109"/>
      <c r="B685" s="109"/>
      <c r="C685" s="109"/>
      <c r="D685" s="110"/>
      <c r="E685" s="109"/>
      <c r="F685" s="109"/>
      <c r="G685" s="111"/>
      <c r="H685" s="109"/>
      <c r="I685" s="111"/>
      <c r="J685" s="109"/>
      <c r="K685" s="109"/>
    </row>
    <row r="686" spans="1:11" ht="21.75" customHeight="1" x14ac:dyDescent="0.6">
      <c r="A686" s="109"/>
      <c r="B686" s="109"/>
      <c r="C686" s="109"/>
      <c r="D686" s="110"/>
      <c r="E686" s="109"/>
      <c r="F686" s="109"/>
      <c r="G686" s="111"/>
      <c r="H686" s="109"/>
      <c r="I686" s="111"/>
      <c r="J686" s="109"/>
      <c r="K686" s="109"/>
    </row>
    <row r="687" spans="1:11" ht="21.75" customHeight="1" x14ac:dyDescent="0.6">
      <c r="A687" s="109"/>
      <c r="B687" s="109"/>
      <c r="C687" s="109"/>
      <c r="D687" s="110"/>
      <c r="E687" s="109"/>
      <c r="F687" s="109"/>
      <c r="G687" s="111"/>
      <c r="H687" s="109"/>
      <c r="I687" s="111"/>
      <c r="J687" s="109"/>
      <c r="K687" s="109"/>
    </row>
    <row r="688" spans="1:11" ht="21.75" customHeight="1" x14ac:dyDescent="0.6">
      <c r="A688" s="109"/>
      <c r="B688" s="109"/>
      <c r="C688" s="109"/>
      <c r="D688" s="110"/>
      <c r="E688" s="109"/>
      <c r="F688" s="109"/>
      <c r="G688" s="111"/>
      <c r="H688" s="109"/>
      <c r="I688" s="111"/>
      <c r="J688" s="109"/>
      <c r="K688" s="109"/>
    </row>
    <row r="689" spans="1:11" ht="21.75" customHeight="1" x14ac:dyDescent="0.6">
      <c r="A689" s="109"/>
      <c r="B689" s="109"/>
      <c r="C689" s="109"/>
      <c r="D689" s="110"/>
      <c r="E689" s="109"/>
      <c r="F689" s="109"/>
      <c r="G689" s="111"/>
      <c r="H689" s="109"/>
      <c r="I689" s="111"/>
      <c r="J689" s="109"/>
      <c r="K689" s="109"/>
    </row>
    <row r="690" spans="1:11" ht="21.75" customHeight="1" x14ac:dyDescent="0.6">
      <c r="A690" s="109"/>
      <c r="B690" s="109"/>
      <c r="C690" s="109"/>
      <c r="D690" s="110"/>
      <c r="E690" s="109"/>
      <c r="F690" s="109"/>
      <c r="G690" s="111"/>
      <c r="H690" s="109"/>
      <c r="I690" s="111"/>
      <c r="J690" s="109"/>
      <c r="K690" s="109"/>
    </row>
    <row r="691" spans="1:11" ht="21.75" customHeight="1" x14ac:dyDescent="0.6">
      <c r="A691" s="109"/>
      <c r="B691" s="109"/>
      <c r="C691" s="109"/>
      <c r="D691" s="110"/>
      <c r="E691" s="109"/>
      <c r="F691" s="109"/>
      <c r="G691" s="111"/>
      <c r="H691" s="109"/>
      <c r="I691" s="111"/>
      <c r="J691" s="109"/>
      <c r="K691" s="109"/>
    </row>
    <row r="692" spans="1:11" ht="21.75" customHeight="1" x14ac:dyDescent="0.6">
      <c r="A692" s="109"/>
      <c r="B692" s="109"/>
      <c r="C692" s="109"/>
      <c r="D692" s="110"/>
      <c r="E692" s="109"/>
      <c r="F692" s="109"/>
      <c r="G692" s="111"/>
      <c r="H692" s="109"/>
      <c r="I692" s="111"/>
      <c r="J692" s="109"/>
      <c r="K692" s="109"/>
    </row>
    <row r="693" spans="1:11" ht="21.75" customHeight="1" x14ac:dyDescent="0.6">
      <c r="A693" s="109"/>
      <c r="B693" s="109"/>
      <c r="C693" s="109"/>
      <c r="D693" s="110"/>
      <c r="E693" s="109"/>
      <c r="F693" s="109"/>
      <c r="G693" s="111"/>
      <c r="H693" s="109"/>
      <c r="I693" s="111"/>
      <c r="J693" s="109"/>
      <c r="K693" s="109"/>
    </row>
    <row r="694" spans="1:11" ht="21.75" customHeight="1" x14ac:dyDescent="0.6">
      <c r="A694" s="109"/>
      <c r="B694" s="109"/>
      <c r="C694" s="109"/>
      <c r="D694" s="110"/>
      <c r="E694" s="109"/>
      <c r="F694" s="109"/>
      <c r="G694" s="111"/>
      <c r="H694" s="109"/>
      <c r="I694" s="111"/>
      <c r="J694" s="109"/>
      <c r="K694" s="109"/>
    </row>
    <row r="695" spans="1:11" ht="21.75" customHeight="1" x14ac:dyDescent="0.6">
      <c r="A695" s="109"/>
      <c r="B695" s="109"/>
      <c r="C695" s="109"/>
      <c r="D695" s="110"/>
      <c r="E695" s="109"/>
      <c r="F695" s="109"/>
      <c r="G695" s="111"/>
      <c r="H695" s="109"/>
      <c r="I695" s="111"/>
      <c r="J695" s="109"/>
      <c r="K695" s="109"/>
    </row>
    <row r="696" spans="1:11" ht="21.75" customHeight="1" x14ac:dyDescent="0.6">
      <c r="A696" s="109"/>
      <c r="B696" s="109"/>
      <c r="C696" s="109"/>
      <c r="D696" s="110"/>
      <c r="E696" s="109"/>
      <c r="F696" s="109"/>
      <c r="G696" s="111"/>
      <c r="H696" s="109"/>
      <c r="I696" s="111"/>
      <c r="J696" s="109"/>
      <c r="K696" s="109"/>
    </row>
    <row r="697" spans="1:11" ht="21.75" customHeight="1" x14ac:dyDescent="0.6">
      <c r="A697" s="109"/>
      <c r="B697" s="109"/>
      <c r="C697" s="109"/>
      <c r="D697" s="110"/>
      <c r="E697" s="109"/>
      <c r="F697" s="109"/>
      <c r="G697" s="111"/>
      <c r="H697" s="109"/>
      <c r="I697" s="111"/>
      <c r="J697" s="109"/>
      <c r="K697" s="109"/>
    </row>
    <row r="698" spans="1:11" ht="21.75" customHeight="1" x14ac:dyDescent="0.6">
      <c r="A698" s="109"/>
      <c r="B698" s="109"/>
      <c r="C698" s="109"/>
      <c r="D698" s="110"/>
      <c r="E698" s="109"/>
      <c r="F698" s="109"/>
      <c r="G698" s="111"/>
      <c r="H698" s="109"/>
      <c r="I698" s="111"/>
      <c r="J698" s="109"/>
      <c r="K698" s="109"/>
    </row>
    <row r="699" spans="1:11" ht="21.75" customHeight="1" x14ac:dyDescent="0.6">
      <c r="A699" s="109"/>
      <c r="B699" s="109"/>
      <c r="C699" s="109"/>
      <c r="D699" s="110"/>
      <c r="E699" s="109"/>
      <c r="F699" s="109"/>
      <c r="G699" s="111"/>
      <c r="H699" s="109"/>
      <c r="I699" s="111"/>
      <c r="J699" s="109"/>
      <c r="K699" s="109"/>
    </row>
    <row r="700" spans="1:11" ht="21.75" customHeight="1" x14ac:dyDescent="0.6">
      <c r="A700" s="109"/>
      <c r="B700" s="109"/>
      <c r="C700" s="109"/>
      <c r="D700" s="110"/>
      <c r="E700" s="109"/>
      <c r="F700" s="109"/>
      <c r="G700" s="111"/>
      <c r="H700" s="109"/>
      <c r="I700" s="111"/>
      <c r="J700" s="109"/>
      <c r="K700" s="109"/>
    </row>
    <row r="701" spans="1:11" ht="21.75" customHeight="1" x14ac:dyDescent="0.6">
      <c r="A701" s="109"/>
      <c r="B701" s="109"/>
      <c r="C701" s="109"/>
      <c r="D701" s="110"/>
      <c r="E701" s="109"/>
      <c r="F701" s="109"/>
      <c r="G701" s="111"/>
      <c r="H701" s="109"/>
      <c r="I701" s="111"/>
      <c r="J701" s="109"/>
      <c r="K701" s="109"/>
    </row>
    <row r="702" spans="1:11" ht="21.75" customHeight="1" x14ac:dyDescent="0.6">
      <c r="A702" s="109"/>
      <c r="B702" s="109"/>
      <c r="C702" s="109"/>
      <c r="D702" s="110"/>
      <c r="E702" s="109"/>
      <c r="F702" s="109"/>
      <c r="G702" s="111"/>
      <c r="H702" s="109"/>
      <c r="I702" s="111"/>
      <c r="J702" s="109"/>
      <c r="K702" s="109"/>
    </row>
    <row r="703" spans="1:11" ht="21.75" customHeight="1" x14ac:dyDescent="0.6">
      <c r="A703" s="109"/>
      <c r="B703" s="109"/>
      <c r="C703" s="109"/>
      <c r="D703" s="110"/>
      <c r="E703" s="109"/>
      <c r="F703" s="109"/>
      <c r="G703" s="111"/>
      <c r="H703" s="109"/>
      <c r="I703" s="111"/>
      <c r="J703" s="109"/>
      <c r="K703" s="109"/>
    </row>
    <row r="704" spans="1:11" ht="21.75" customHeight="1" x14ac:dyDescent="0.6">
      <c r="A704" s="109"/>
      <c r="B704" s="109"/>
      <c r="C704" s="109"/>
      <c r="D704" s="110"/>
      <c r="E704" s="109"/>
      <c r="F704" s="109"/>
      <c r="G704" s="111"/>
      <c r="H704" s="109"/>
      <c r="I704" s="111"/>
      <c r="J704" s="109"/>
      <c r="K704" s="109"/>
    </row>
    <row r="705" spans="1:11" ht="21.75" customHeight="1" x14ac:dyDescent="0.6">
      <c r="A705" s="109"/>
      <c r="B705" s="109"/>
      <c r="C705" s="109"/>
      <c r="D705" s="110"/>
      <c r="E705" s="109"/>
      <c r="F705" s="109"/>
      <c r="G705" s="111"/>
      <c r="H705" s="109"/>
      <c r="I705" s="111"/>
      <c r="J705" s="109"/>
      <c r="K705" s="109"/>
    </row>
    <row r="706" spans="1:11" ht="21.75" customHeight="1" x14ac:dyDescent="0.6">
      <c r="A706" s="109"/>
      <c r="B706" s="109"/>
      <c r="C706" s="109"/>
      <c r="D706" s="110"/>
      <c r="E706" s="109"/>
      <c r="F706" s="109"/>
      <c r="G706" s="111"/>
      <c r="H706" s="109"/>
      <c r="I706" s="111"/>
      <c r="J706" s="109"/>
      <c r="K706" s="109"/>
    </row>
    <row r="707" spans="1:11" ht="21.75" customHeight="1" x14ac:dyDescent="0.6">
      <c r="A707" s="109"/>
      <c r="B707" s="109"/>
      <c r="C707" s="109"/>
      <c r="D707" s="110"/>
      <c r="E707" s="109"/>
      <c r="F707" s="109"/>
      <c r="G707" s="111"/>
      <c r="H707" s="109"/>
      <c r="I707" s="111"/>
      <c r="J707" s="109"/>
      <c r="K707" s="109"/>
    </row>
    <row r="708" spans="1:11" ht="21.75" customHeight="1" x14ac:dyDescent="0.6">
      <c r="A708" s="109"/>
      <c r="B708" s="109"/>
      <c r="C708" s="109"/>
      <c r="D708" s="110"/>
      <c r="E708" s="109"/>
      <c r="F708" s="109"/>
      <c r="G708" s="111"/>
      <c r="H708" s="109"/>
      <c r="I708" s="111"/>
      <c r="J708" s="109"/>
      <c r="K708" s="109"/>
    </row>
    <row r="709" spans="1:11" ht="21.75" customHeight="1" x14ac:dyDescent="0.6">
      <c r="A709" s="109"/>
      <c r="B709" s="109"/>
      <c r="C709" s="109"/>
      <c r="D709" s="110"/>
      <c r="E709" s="109"/>
      <c r="F709" s="109"/>
      <c r="G709" s="111"/>
      <c r="H709" s="109"/>
      <c r="I709" s="111"/>
      <c r="J709" s="109"/>
      <c r="K709" s="109"/>
    </row>
    <row r="710" spans="1:11" ht="21.75" customHeight="1" x14ac:dyDescent="0.6">
      <c r="A710" s="109"/>
      <c r="B710" s="109"/>
      <c r="C710" s="109"/>
      <c r="D710" s="110"/>
      <c r="E710" s="109"/>
      <c r="F710" s="109"/>
      <c r="G710" s="111"/>
      <c r="H710" s="109"/>
      <c r="I710" s="111"/>
      <c r="J710" s="109"/>
      <c r="K710" s="109"/>
    </row>
    <row r="711" spans="1:11" ht="21.75" customHeight="1" x14ac:dyDescent="0.6">
      <c r="A711" s="109"/>
      <c r="B711" s="109"/>
      <c r="C711" s="109"/>
      <c r="D711" s="110"/>
      <c r="E711" s="109"/>
      <c r="F711" s="109"/>
      <c r="G711" s="111"/>
      <c r="H711" s="109"/>
      <c r="I711" s="111"/>
      <c r="J711" s="109"/>
      <c r="K711" s="109"/>
    </row>
    <row r="712" spans="1:11" ht="21.75" customHeight="1" x14ac:dyDescent="0.6">
      <c r="A712" s="109"/>
      <c r="B712" s="109"/>
      <c r="C712" s="109"/>
      <c r="D712" s="110"/>
      <c r="E712" s="109"/>
      <c r="F712" s="109"/>
      <c r="G712" s="111"/>
      <c r="H712" s="109"/>
      <c r="I712" s="111"/>
      <c r="J712" s="109"/>
      <c r="K712" s="109"/>
    </row>
    <row r="713" spans="1:11" ht="21.75" customHeight="1" x14ac:dyDescent="0.6">
      <c r="A713" s="109"/>
      <c r="B713" s="109"/>
      <c r="C713" s="109"/>
      <c r="D713" s="110"/>
      <c r="E713" s="109"/>
      <c r="F713" s="109"/>
      <c r="G713" s="111"/>
      <c r="H713" s="109"/>
      <c r="I713" s="111"/>
      <c r="J713" s="109"/>
      <c r="K713" s="109"/>
    </row>
    <row r="714" spans="1:11" ht="21.75" customHeight="1" x14ac:dyDescent="0.6">
      <c r="A714" s="109"/>
      <c r="B714" s="109"/>
      <c r="C714" s="109"/>
      <c r="D714" s="110"/>
      <c r="E714" s="109"/>
      <c r="F714" s="109"/>
      <c r="G714" s="111"/>
      <c r="H714" s="109"/>
      <c r="I714" s="111"/>
      <c r="J714" s="109"/>
      <c r="K714" s="109"/>
    </row>
    <row r="715" spans="1:11" ht="21.75" customHeight="1" x14ac:dyDescent="0.6">
      <c r="A715" s="109"/>
      <c r="B715" s="109"/>
      <c r="C715" s="109"/>
      <c r="D715" s="110"/>
      <c r="E715" s="109"/>
      <c r="F715" s="109"/>
      <c r="G715" s="111"/>
      <c r="H715" s="109"/>
      <c r="I715" s="111"/>
      <c r="J715" s="109"/>
      <c r="K715" s="109"/>
    </row>
    <row r="716" spans="1:11" ht="21.75" customHeight="1" x14ac:dyDescent="0.6">
      <c r="A716" s="109"/>
      <c r="B716" s="109"/>
      <c r="C716" s="109"/>
      <c r="D716" s="110"/>
      <c r="E716" s="109"/>
      <c r="F716" s="109"/>
      <c r="G716" s="111"/>
      <c r="H716" s="109"/>
      <c r="I716" s="111"/>
      <c r="J716" s="109"/>
      <c r="K716" s="109"/>
    </row>
    <row r="717" spans="1:11" ht="21.75" customHeight="1" x14ac:dyDescent="0.6">
      <c r="A717" s="109"/>
      <c r="B717" s="109"/>
      <c r="C717" s="109"/>
      <c r="D717" s="110"/>
      <c r="E717" s="109"/>
      <c r="F717" s="109"/>
      <c r="G717" s="111"/>
      <c r="H717" s="109"/>
      <c r="I717" s="111"/>
      <c r="J717" s="109"/>
      <c r="K717" s="109"/>
    </row>
    <row r="718" spans="1:11" ht="21.75" customHeight="1" x14ac:dyDescent="0.6">
      <c r="A718" s="109"/>
      <c r="B718" s="109"/>
      <c r="C718" s="109"/>
      <c r="D718" s="110"/>
      <c r="E718" s="109"/>
      <c r="F718" s="109"/>
      <c r="G718" s="111"/>
      <c r="H718" s="109"/>
      <c r="I718" s="111"/>
      <c r="J718" s="109"/>
      <c r="K718" s="109"/>
    </row>
    <row r="719" spans="1:11" ht="21.75" customHeight="1" x14ac:dyDescent="0.6">
      <c r="A719" s="109"/>
      <c r="B719" s="109"/>
      <c r="C719" s="109"/>
      <c r="D719" s="110"/>
      <c r="E719" s="109"/>
      <c r="F719" s="109"/>
      <c r="G719" s="111"/>
      <c r="H719" s="109"/>
      <c r="I719" s="111"/>
      <c r="J719" s="109"/>
      <c r="K719" s="109"/>
    </row>
    <row r="720" spans="1:11" ht="21.75" customHeight="1" x14ac:dyDescent="0.6">
      <c r="A720" s="109"/>
      <c r="B720" s="109"/>
      <c r="C720" s="109"/>
      <c r="D720" s="110"/>
      <c r="E720" s="109"/>
      <c r="F720" s="109"/>
      <c r="G720" s="111"/>
      <c r="H720" s="109"/>
      <c r="I720" s="111"/>
      <c r="J720" s="109"/>
      <c r="K720" s="109"/>
    </row>
    <row r="721" spans="1:11" ht="21.75" customHeight="1" x14ac:dyDescent="0.6">
      <c r="A721" s="109"/>
      <c r="B721" s="109"/>
      <c r="C721" s="109"/>
      <c r="D721" s="110"/>
      <c r="E721" s="109"/>
      <c r="F721" s="109"/>
      <c r="G721" s="111"/>
      <c r="H721" s="109"/>
      <c r="I721" s="111"/>
      <c r="J721" s="109"/>
      <c r="K721" s="109"/>
    </row>
    <row r="722" spans="1:11" ht="21.75" customHeight="1" x14ac:dyDescent="0.6">
      <c r="A722" s="109"/>
      <c r="B722" s="109"/>
      <c r="C722" s="109"/>
      <c r="D722" s="110"/>
      <c r="E722" s="109"/>
      <c r="F722" s="109"/>
      <c r="G722" s="111"/>
      <c r="H722" s="109"/>
      <c r="I722" s="111"/>
      <c r="J722" s="109"/>
      <c r="K722" s="109"/>
    </row>
    <row r="723" spans="1:11" ht="21.75" customHeight="1" x14ac:dyDescent="0.6">
      <c r="A723" s="109"/>
      <c r="B723" s="109"/>
      <c r="C723" s="109"/>
      <c r="D723" s="110"/>
      <c r="E723" s="109"/>
      <c r="F723" s="109"/>
      <c r="G723" s="111"/>
      <c r="H723" s="109"/>
      <c r="I723" s="111"/>
      <c r="J723" s="109"/>
      <c r="K723" s="109"/>
    </row>
    <row r="724" spans="1:11" ht="21.75" customHeight="1" x14ac:dyDescent="0.6">
      <c r="A724" s="109"/>
      <c r="B724" s="109"/>
      <c r="C724" s="109"/>
      <c r="D724" s="110"/>
      <c r="E724" s="109"/>
      <c r="F724" s="109"/>
      <c r="G724" s="111"/>
      <c r="H724" s="109"/>
      <c r="I724" s="111"/>
      <c r="J724" s="109"/>
      <c r="K724" s="109"/>
    </row>
    <row r="725" spans="1:11" ht="21.75" customHeight="1" x14ac:dyDescent="0.6">
      <c r="A725" s="109"/>
      <c r="B725" s="109"/>
      <c r="C725" s="109"/>
      <c r="D725" s="110"/>
      <c r="E725" s="109"/>
      <c r="F725" s="109"/>
      <c r="G725" s="111"/>
      <c r="H725" s="109"/>
      <c r="I725" s="111"/>
      <c r="J725" s="109"/>
      <c r="K725" s="109"/>
    </row>
    <row r="726" spans="1:11" ht="21.75" customHeight="1" x14ac:dyDescent="0.6">
      <c r="A726" s="109"/>
      <c r="B726" s="109"/>
      <c r="C726" s="109"/>
      <c r="D726" s="110"/>
      <c r="E726" s="109"/>
      <c r="F726" s="109"/>
      <c r="G726" s="111"/>
      <c r="H726" s="109"/>
      <c r="I726" s="111"/>
      <c r="J726" s="109"/>
      <c r="K726" s="109"/>
    </row>
    <row r="727" spans="1:11" ht="21.75" customHeight="1" x14ac:dyDescent="0.6">
      <c r="A727" s="109"/>
      <c r="B727" s="109"/>
      <c r="C727" s="109"/>
      <c r="D727" s="110"/>
      <c r="E727" s="109"/>
      <c r="F727" s="109"/>
      <c r="G727" s="111"/>
      <c r="H727" s="109"/>
      <c r="I727" s="111"/>
      <c r="J727" s="109"/>
      <c r="K727" s="109"/>
    </row>
    <row r="728" spans="1:11" ht="21.75" customHeight="1" x14ac:dyDescent="0.6">
      <c r="A728" s="109"/>
      <c r="B728" s="109"/>
      <c r="C728" s="109"/>
      <c r="D728" s="110"/>
      <c r="E728" s="109"/>
      <c r="F728" s="109"/>
      <c r="G728" s="111"/>
      <c r="H728" s="109"/>
      <c r="I728" s="111"/>
      <c r="J728" s="109"/>
      <c r="K728" s="109"/>
    </row>
    <row r="729" spans="1:11" ht="21.75" customHeight="1" x14ac:dyDescent="0.6">
      <c r="A729" s="109"/>
      <c r="B729" s="109"/>
      <c r="C729" s="109"/>
      <c r="D729" s="110"/>
      <c r="E729" s="109"/>
      <c r="F729" s="109"/>
      <c r="G729" s="111"/>
      <c r="H729" s="109"/>
      <c r="I729" s="111"/>
      <c r="J729" s="109"/>
      <c r="K729" s="109"/>
    </row>
    <row r="730" spans="1:11" ht="21.75" customHeight="1" x14ac:dyDescent="0.6">
      <c r="A730" s="109"/>
      <c r="B730" s="109"/>
      <c r="C730" s="109"/>
      <c r="D730" s="110"/>
      <c r="E730" s="109"/>
      <c r="F730" s="109"/>
      <c r="G730" s="111"/>
      <c r="H730" s="109"/>
      <c r="I730" s="111"/>
      <c r="J730" s="109"/>
      <c r="K730" s="109"/>
    </row>
    <row r="731" spans="1:11" ht="21.75" customHeight="1" x14ac:dyDescent="0.6">
      <c r="A731" s="109"/>
      <c r="B731" s="109"/>
      <c r="C731" s="109"/>
      <c r="D731" s="110"/>
      <c r="E731" s="109"/>
      <c r="F731" s="109"/>
      <c r="G731" s="111"/>
      <c r="H731" s="109"/>
      <c r="I731" s="111"/>
      <c r="J731" s="109"/>
      <c r="K731" s="109"/>
    </row>
    <row r="732" spans="1:11" ht="21.75" customHeight="1" x14ac:dyDescent="0.6">
      <c r="A732" s="109"/>
      <c r="B732" s="109"/>
      <c r="C732" s="109"/>
      <c r="D732" s="110"/>
      <c r="E732" s="109"/>
      <c r="F732" s="109"/>
      <c r="G732" s="111"/>
      <c r="H732" s="109"/>
      <c r="I732" s="111"/>
      <c r="J732" s="109"/>
      <c r="K732" s="109"/>
    </row>
    <row r="733" spans="1:11" ht="21.75" customHeight="1" x14ac:dyDescent="0.6">
      <c r="A733" s="109"/>
      <c r="B733" s="109"/>
      <c r="C733" s="109"/>
      <c r="D733" s="110"/>
      <c r="E733" s="109"/>
      <c r="F733" s="109"/>
      <c r="G733" s="111"/>
      <c r="H733" s="109"/>
      <c r="I733" s="111"/>
      <c r="J733" s="109"/>
      <c r="K733" s="109"/>
    </row>
    <row r="734" spans="1:11" ht="21.75" customHeight="1" x14ac:dyDescent="0.6">
      <c r="A734" s="109"/>
      <c r="B734" s="109"/>
      <c r="C734" s="109"/>
      <c r="D734" s="110"/>
      <c r="E734" s="109"/>
      <c r="F734" s="109"/>
      <c r="G734" s="111"/>
      <c r="H734" s="109"/>
      <c r="I734" s="111"/>
      <c r="J734" s="109"/>
      <c r="K734" s="109"/>
    </row>
    <row r="735" spans="1:11" ht="21.75" customHeight="1" x14ac:dyDescent="0.6">
      <c r="A735" s="109"/>
      <c r="B735" s="109"/>
      <c r="C735" s="109"/>
      <c r="D735" s="110"/>
      <c r="E735" s="109"/>
      <c r="F735" s="109"/>
      <c r="G735" s="111"/>
      <c r="H735" s="109"/>
      <c r="I735" s="111"/>
      <c r="J735" s="109"/>
      <c r="K735" s="109"/>
    </row>
    <row r="736" spans="1:11" ht="21.75" customHeight="1" x14ac:dyDescent="0.6">
      <c r="A736" s="109"/>
      <c r="B736" s="109"/>
      <c r="C736" s="109"/>
      <c r="D736" s="110"/>
      <c r="E736" s="109"/>
      <c r="F736" s="109"/>
      <c r="G736" s="111"/>
      <c r="H736" s="109"/>
      <c r="I736" s="111"/>
      <c r="J736" s="109"/>
      <c r="K736" s="109"/>
    </row>
    <row r="737" spans="1:11" ht="21.75" customHeight="1" x14ac:dyDescent="0.6">
      <c r="A737" s="109"/>
      <c r="B737" s="109"/>
      <c r="C737" s="109"/>
      <c r="D737" s="110"/>
      <c r="E737" s="109"/>
      <c r="F737" s="109"/>
      <c r="G737" s="111"/>
      <c r="H737" s="109"/>
      <c r="I737" s="111"/>
      <c r="J737" s="109"/>
      <c r="K737" s="109"/>
    </row>
    <row r="738" spans="1:11" ht="21.75" customHeight="1" x14ac:dyDescent="0.6">
      <c r="A738" s="109"/>
      <c r="B738" s="109"/>
      <c r="C738" s="109"/>
      <c r="D738" s="110"/>
      <c r="E738" s="109"/>
      <c r="F738" s="109"/>
      <c r="G738" s="111"/>
      <c r="H738" s="109"/>
      <c r="I738" s="111"/>
      <c r="J738" s="109"/>
      <c r="K738" s="109"/>
    </row>
    <row r="739" spans="1:11" ht="21.75" customHeight="1" x14ac:dyDescent="0.6">
      <c r="A739" s="109"/>
      <c r="B739" s="109"/>
      <c r="C739" s="109"/>
      <c r="D739" s="110"/>
      <c r="E739" s="109"/>
      <c r="F739" s="109"/>
      <c r="G739" s="111"/>
      <c r="H739" s="109"/>
      <c r="I739" s="111"/>
      <c r="J739" s="109"/>
      <c r="K739" s="109"/>
    </row>
    <row r="740" spans="1:11" ht="21.75" customHeight="1" x14ac:dyDescent="0.6">
      <c r="A740" s="109"/>
      <c r="B740" s="109"/>
      <c r="C740" s="109"/>
      <c r="D740" s="110"/>
      <c r="E740" s="109"/>
      <c r="F740" s="109"/>
      <c r="G740" s="111"/>
      <c r="H740" s="109"/>
      <c r="I740" s="111"/>
      <c r="J740" s="109"/>
      <c r="K740" s="109"/>
    </row>
    <row r="741" spans="1:11" ht="21.75" customHeight="1" x14ac:dyDescent="0.6">
      <c r="A741" s="109"/>
      <c r="B741" s="109"/>
      <c r="C741" s="109"/>
      <c r="D741" s="110"/>
      <c r="E741" s="109"/>
      <c r="F741" s="109"/>
      <c r="G741" s="111"/>
      <c r="H741" s="109"/>
      <c r="I741" s="111"/>
      <c r="J741" s="109"/>
      <c r="K741" s="109"/>
    </row>
    <row r="742" spans="1:11" ht="21.75" customHeight="1" x14ac:dyDescent="0.6">
      <c r="A742" s="109"/>
      <c r="B742" s="109"/>
      <c r="C742" s="109"/>
      <c r="D742" s="110"/>
      <c r="E742" s="109"/>
      <c r="F742" s="109"/>
      <c r="G742" s="111"/>
      <c r="H742" s="109"/>
      <c r="I742" s="111"/>
      <c r="J742" s="109"/>
      <c r="K742" s="109"/>
    </row>
    <row r="743" spans="1:11" ht="21.75" customHeight="1" x14ac:dyDescent="0.6">
      <c r="A743" s="109"/>
      <c r="B743" s="109"/>
      <c r="C743" s="109"/>
      <c r="D743" s="110"/>
      <c r="E743" s="109"/>
      <c r="F743" s="109"/>
      <c r="G743" s="111"/>
      <c r="H743" s="109"/>
      <c r="I743" s="111"/>
      <c r="J743" s="109"/>
      <c r="K743" s="109"/>
    </row>
    <row r="744" spans="1:11" ht="21.75" customHeight="1" x14ac:dyDescent="0.6">
      <c r="A744" s="109"/>
      <c r="B744" s="109"/>
      <c r="C744" s="109"/>
      <c r="D744" s="110"/>
      <c r="E744" s="109"/>
      <c r="F744" s="109"/>
      <c r="G744" s="111"/>
      <c r="H744" s="109"/>
      <c r="I744" s="111"/>
      <c r="J744" s="109"/>
      <c r="K744" s="109"/>
    </row>
    <row r="745" spans="1:11" ht="21.75" customHeight="1" x14ac:dyDescent="0.6">
      <c r="A745" s="109"/>
      <c r="B745" s="109"/>
      <c r="C745" s="109"/>
      <c r="D745" s="110"/>
      <c r="E745" s="109"/>
      <c r="F745" s="109"/>
      <c r="G745" s="111"/>
      <c r="H745" s="109"/>
      <c r="I745" s="111"/>
      <c r="J745" s="109"/>
      <c r="K745" s="109"/>
    </row>
    <row r="746" spans="1:11" ht="21.75" customHeight="1" x14ac:dyDescent="0.6">
      <c r="A746" s="109"/>
      <c r="B746" s="109"/>
      <c r="C746" s="109"/>
      <c r="D746" s="110"/>
      <c r="E746" s="109"/>
      <c r="F746" s="109"/>
      <c r="G746" s="111"/>
      <c r="H746" s="109"/>
      <c r="I746" s="111"/>
      <c r="J746" s="109"/>
      <c r="K746" s="109"/>
    </row>
    <row r="747" spans="1:11" ht="21.75" customHeight="1" x14ac:dyDescent="0.6">
      <c r="A747" s="109"/>
      <c r="B747" s="109"/>
      <c r="C747" s="109"/>
      <c r="D747" s="110"/>
      <c r="E747" s="109"/>
      <c r="F747" s="109"/>
      <c r="G747" s="111"/>
      <c r="H747" s="109"/>
      <c r="I747" s="111"/>
      <c r="J747" s="109"/>
      <c r="K747" s="109"/>
    </row>
    <row r="748" spans="1:11" ht="21.75" customHeight="1" x14ac:dyDescent="0.6">
      <c r="A748" s="109"/>
      <c r="B748" s="109"/>
      <c r="C748" s="109"/>
      <c r="D748" s="110"/>
      <c r="E748" s="109"/>
      <c r="F748" s="109"/>
      <c r="G748" s="111"/>
      <c r="H748" s="109"/>
      <c r="I748" s="111"/>
      <c r="J748" s="109"/>
      <c r="K748" s="109"/>
    </row>
    <row r="749" spans="1:11" ht="21.75" customHeight="1" x14ac:dyDescent="0.6">
      <c r="A749" s="109"/>
      <c r="B749" s="109"/>
      <c r="C749" s="109"/>
      <c r="D749" s="110"/>
      <c r="E749" s="109"/>
      <c r="F749" s="109"/>
      <c r="G749" s="111"/>
      <c r="H749" s="109"/>
      <c r="I749" s="111"/>
      <c r="J749" s="109"/>
      <c r="K749" s="109"/>
    </row>
    <row r="750" spans="1:11" ht="21.75" customHeight="1" x14ac:dyDescent="0.6">
      <c r="A750" s="109"/>
      <c r="B750" s="109"/>
      <c r="C750" s="109"/>
      <c r="D750" s="110"/>
      <c r="E750" s="109"/>
      <c r="F750" s="109"/>
      <c r="G750" s="111"/>
      <c r="H750" s="109"/>
      <c r="I750" s="111"/>
      <c r="J750" s="109"/>
      <c r="K750" s="109"/>
    </row>
    <row r="751" spans="1:11" ht="21.75" customHeight="1" x14ac:dyDescent="0.6">
      <c r="A751" s="109"/>
      <c r="B751" s="109"/>
      <c r="C751" s="109"/>
      <c r="D751" s="110"/>
      <c r="E751" s="109"/>
      <c r="F751" s="109"/>
      <c r="G751" s="111"/>
      <c r="H751" s="109"/>
      <c r="I751" s="111"/>
      <c r="J751" s="109"/>
      <c r="K751" s="109"/>
    </row>
    <row r="752" spans="1:11" ht="21.75" customHeight="1" x14ac:dyDescent="0.6">
      <c r="A752" s="109"/>
      <c r="B752" s="109"/>
      <c r="C752" s="109"/>
      <c r="D752" s="110"/>
      <c r="E752" s="109"/>
      <c r="F752" s="109"/>
      <c r="G752" s="111"/>
      <c r="H752" s="109"/>
      <c r="I752" s="111"/>
      <c r="J752" s="109"/>
      <c r="K752" s="109"/>
    </row>
    <row r="753" spans="1:11" ht="21.75" customHeight="1" x14ac:dyDescent="0.6">
      <c r="A753" s="109"/>
      <c r="B753" s="109"/>
      <c r="C753" s="109"/>
      <c r="D753" s="110"/>
      <c r="E753" s="109"/>
      <c r="F753" s="109"/>
      <c r="G753" s="111"/>
      <c r="H753" s="109"/>
      <c r="I753" s="111"/>
      <c r="J753" s="109"/>
      <c r="K753" s="109"/>
    </row>
    <row r="754" spans="1:11" ht="21.75" customHeight="1" x14ac:dyDescent="0.6">
      <c r="A754" s="109"/>
      <c r="B754" s="109"/>
      <c r="C754" s="109"/>
      <c r="D754" s="110"/>
      <c r="E754" s="109"/>
      <c r="F754" s="109"/>
      <c r="G754" s="111"/>
      <c r="H754" s="109"/>
      <c r="I754" s="111"/>
      <c r="J754" s="109"/>
      <c r="K754" s="109"/>
    </row>
    <row r="755" spans="1:11" ht="21.75" customHeight="1" x14ac:dyDescent="0.6">
      <c r="A755" s="109"/>
      <c r="B755" s="109"/>
      <c r="C755" s="109"/>
      <c r="D755" s="110"/>
      <c r="E755" s="109"/>
      <c r="F755" s="109"/>
      <c r="G755" s="111"/>
      <c r="H755" s="109"/>
      <c r="I755" s="111"/>
      <c r="J755" s="109"/>
      <c r="K755" s="109"/>
    </row>
    <row r="756" spans="1:11" ht="21.75" customHeight="1" x14ac:dyDescent="0.6">
      <c r="A756" s="109"/>
      <c r="B756" s="109"/>
      <c r="C756" s="109"/>
      <c r="D756" s="110"/>
      <c r="E756" s="109"/>
      <c r="F756" s="109"/>
      <c r="G756" s="111"/>
      <c r="H756" s="109"/>
      <c r="I756" s="111"/>
      <c r="J756" s="109"/>
      <c r="K756" s="109"/>
    </row>
    <row r="757" spans="1:11" ht="21.75" customHeight="1" x14ac:dyDescent="0.6">
      <c r="A757" s="109"/>
      <c r="B757" s="109"/>
      <c r="C757" s="109"/>
      <c r="D757" s="110"/>
      <c r="E757" s="109"/>
      <c r="F757" s="109"/>
      <c r="G757" s="111"/>
      <c r="H757" s="109"/>
      <c r="I757" s="111"/>
      <c r="J757" s="109"/>
      <c r="K757" s="109"/>
    </row>
    <row r="758" spans="1:11" ht="21.75" customHeight="1" x14ac:dyDescent="0.6">
      <c r="A758" s="109"/>
      <c r="B758" s="109"/>
      <c r="C758" s="109"/>
      <c r="D758" s="110"/>
      <c r="E758" s="109"/>
      <c r="F758" s="109"/>
      <c r="G758" s="111"/>
      <c r="H758" s="109"/>
      <c r="I758" s="111"/>
      <c r="J758" s="109"/>
      <c r="K758" s="109"/>
    </row>
    <row r="759" spans="1:11" ht="21.75" customHeight="1" x14ac:dyDescent="0.6">
      <c r="A759" s="109"/>
      <c r="B759" s="109"/>
      <c r="C759" s="109"/>
      <c r="D759" s="110"/>
      <c r="E759" s="109"/>
      <c r="F759" s="109"/>
      <c r="G759" s="111"/>
      <c r="H759" s="109"/>
      <c r="I759" s="111"/>
      <c r="J759" s="109"/>
      <c r="K759" s="109"/>
    </row>
    <row r="760" spans="1:11" ht="21.75" customHeight="1" x14ac:dyDescent="0.6">
      <c r="A760" s="109"/>
      <c r="B760" s="109"/>
      <c r="C760" s="109"/>
      <c r="D760" s="110"/>
      <c r="E760" s="109"/>
      <c r="F760" s="109"/>
      <c r="G760" s="111"/>
      <c r="H760" s="109"/>
      <c r="I760" s="111"/>
      <c r="J760" s="109"/>
      <c r="K760" s="109"/>
    </row>
    <row r="761" spans="1:11" ht="21.75" customHeight="1" x14ac:dyDescent="0.6">
      <c r="A761" s="109"/>
      <c r="B761" s="109"/>
      <c r="C761" s="109"/>
      <c r="D761" s="110"/>
      <c r="E761" s="109"/>
      <c r="F761" s="109"/>
      <c r="G761" s="111"/>
      <c r="H761" s="109"/>
      <c r="I761" s="111"/>
      <c r="J761" s="109"/>
      <c r="K761" s="109"/>
    </row>
    <row r="762" spans="1:11" ht="21.75" customHeight="1" x14ac:dyDescent="0.6">
      <c r="A762" s="109"/>
      <c r="B762" s="109"/>
      <c r="C762" s="109"/>
      <c r="D762" s="110"/>
      <c r="E762" s="109"/>
      <c r="F762" s="109"/>
      <c r="G762" s="111"/>
      <c r="H762" s="109"/>
      <c r="I762" s="111"/>
      <c r="J762" s="109"/>
      <c r="K762" s="109"/>
    </row>
    <row r="763" spans="1:11" ht="21.75" customHeight="1" x14ac:dyDescent="0.6">
      <c r="A763" s="109"/>
      <c r="B763" s="109"/>
      <c r="C763" s="109"/>
      <c r="D763" s="110"/>
      <c r="E763" s="109"/>
      <c r="F763" s="109"/>
      <c r="G763" s="111"/>
      <c r="H763" s="109"/>
      <c r="I763" s="111"/>
      <c r="J763" s="109"/>
      <c r="K763" s="109"/>
    </row>
    <row r="764" spans="1:11" ht="21.75" customHeight="1" x14ac:dyDescent="0.6">
      <c r="A764" s="109"/>
      <c r="B764" s="109"/>
      <c r="C764" s="109"/>
      <c r="D764" s="110"/>
      <c r="E764" s="109"/>
      <c r="F764" s="109"/>
      <c r="G764" s="111"/>
      <c r="H764" s="109"/>
      <c r="I764" s="111"/>
      <c r="J764" s="109"/>
      <c r="K764" s="109"/>
    </row>
    <row r="765" spans="1:11" ht="21.75" customHeight="1" x14ac:dyDescent="0.6">
      <c r="A765" s="109"/>
      <c r="B765" s="109"/>
      <c r="C765" s="109"/>
      <c r="D765" s="110"/>
      <c r="E765" s="109"/>
      <c r="F765" s="109"/>
      <c r="G765" s="111"/>
      <c r="H765" s="109"/>
      <c r="I765" s="111"/>
      <c r="J765" s="109"/>
      <c r="K765" s="109"/>
    </row>
    <row r="766" spans="1:11" ht="21.75" customHeight="1" x14ac:dyDescent="0.6">
      <c r="A766" s="109"/>
      <c r="B766" s="109"/>
      <c r="C766" s="109"/>
      <c r="D766" s="110"/>
      <c r="E766" s="109"/>
      <c r="F766" s="109"/>
      <c r="G766" s="111"/>
      <c r="H766" s="109"/>
      <c r="I766" s="111"/>
      <c r="J766" s="109"/>
      <c r="K766" s="109"/>
    </row>
    <row r="767" spans="1:11" ht="21.75" customHeight="1" x14ac:dyDescent="0.6">
      <c r="A767" s="109"/>
      <c r="B767" s="109"/>
      <c r="C767" s="109"/>
      <c r="D767" s="110"/>
      <c r="E767" s="109"/>
      <c r="F767" s="109"/>
      <c r="G767" s="111"/>
      <c r="H767" s="109"/>
      <c r="I767" s="111"/>
      <c r="J767" s="109"/>
      <c r="K767" s="109"/>
    </row>
    <row r="768" spans="1:11" ht="21.75" customHeight="1" x14ac:dyDescent="0.6">
      <c r="A768" s="109"/>
      <c r="B768" s="109"/>
      <c r="C768" s="109"/>
      <c r="D768" s="110"/>
      <c r="E768" s="109"/>
      <c r="F768" s="109"/>
      <c r="G768" s="111"/>
      <c r="H768" s="109"/>
      <c r="I768" s="111"/>
      <c r="J768" s="109"/>
      <c r="K768" s="109"/>
    </row>
    <row r="769" spans="1:11" ht="21.75" customHeight="1" x14ac:dyDescent="0.6">
      <c r="A769" s="109"/>
      <c r="B769" s="109"/>
      <c r="C769" s="109"/>
      <c r="D769" s="110"/>
      <c r="E769" s="109"/>
      <c r="F769" s="109"/>
      <c r="G769" s="111"/>
      <c r="H769" s="109"/>
      <c r="I769" s="111"/>
      <c r="J769" s="109"/>
      <c r="K769" s="109"/>
    </row>
    <row r="770" spans="1:11" ht="21.75" customHeight="1" x14ac:dyDescent="0.6">
      <c r="A770" s="109"/>
      <c r="B770" s="109"/>
      <c r="C770" s="109"/>
      <c r="D770" s="110"/>
      <c r="E770" s="109"/>
      <c r="F770" s="109"/>
      <c r="G770" s="111"/>
      <c r="H770" s="109"/>
      <c r="I770" s="111"/>
      <c r="J770" s="109"/>
      <c r="K770" s="109"/>
    </row>
    <row r="771" spans="1:11" ht="21.75" customHeight="1" x14ac:dyDescent="0.6">
      <c r="A771" s="109"/>
      <c r="B771" s="109"/>
      <c r="C771" s="109"/>
      <c r="D771" s="110"/>
      <c r="E771" s="109"/>
      <c r="F771" s="109"/>
      <c r="G771" s="111"/>
      <c r="H771" s="109"/>
      <c r="I771" s="111"/>
      <c r="J771" s="109"/>
      <c r="K771" s="109"/>
    </row>
    <row r="772" spans="1:11" ht="21.75" customHeight="1" x14ac:dyDescent="0.6">
      <c r="A772" s="109"/>
      <c r="B772" s="109"/>
      <c r="C772" s="109"/>
      <c r="D772" s="110"/>
      <c r="E772" s="109"/>
      <c r="F772" s="109"/>
      <c r="G772" s="111"/>
      <c r="H772" s="109"/>
      <c r="I772" s="111"/>
      <c r="J772" s="109"/>
      <c r="K772" s="109"/>
    </row>
    <row r="773" spans="1:11" ht="21.75" customHeight="1" x14ac:dyDescent="0.6">
      <c r="A773" s="109"/>
      <c r="B773" s="109"/>
      <c r="C773" s="109"/>
      <c r="D773" s="110"/>
      <c r="E773" s="109"/>
      <c r="F773" s="109"/>
      <c r="G773" s="111"/>
      <c r="H773" s="109"/>
      <c r="I773" s="111"/>
      <c r="J773" s="109"/>
      <c r="K773" s="109"/>
    </row>
    <row r="774" spans="1:11" ht="21.75" customHeight="1" x14ac:dyDescent="0.6">
      <c r="A774" s="109"/>
      <c r="B774" s="109"/>
      <c r="C774" s="109"/>
      <c r="D774" s="110"/>
      <c r="E774" s="109"/>
      <c r="F774" s="109"/>
      <c r="G774" s="111"/>
      <c r="H774" s="109"/>
      <c r="I774" s="111"/>
      <c r="J774" s="109"/>
      <c r="K774" s="109"/>
    </row>
    <row r="775" spans="1:11" ht="21.75" customHeight="1" x14ac:dyDescent="0.6">
      <c r="A775" s="109"/>
      <c r="B775" s="109"/>
      <c r="C775" s="109"/>
      <c r="D775" s="110"/>
      <c r="E775" s="109"/>
      <c r="F775" s="109"/>
      <c r="G775" s="111"/>
      <c r="H775" s="109"/>
      <c r="I775" s="111"/>
      <c r="J775" s="109"/>
      <c r="K775" s="109"/>
    </row>
    <row r="776" spans="1:11" ht="21.75" customHeight="1" x14ac:dyDescent="0.6">
      <c r="A776" s="109"/>
      <c r="B776" s="109"/>
      <c r="C776" s="109"/>
      <c r="D776" s="110"/>
      <c r="E776" s="109"/>
      <c r="F776" s="109"/>
      <c r="G776" s="111"/>
      <c r="H776" s="109"/>
      <c r="I776" s="111"/>
      <c r="J776" s="109"/>
      <c r="K776" s="109"/>
    </row>
    <row r="777" spans="1:11" ht="21.75" customHeight="1" x14ac:dyDescent="0.6">
      <c r="A777" s="109"/>
      <c r="B777" s="109"/>
      <c r="C777" s="109"/>
      <c r="D777" s="110"/>
      <c r="E777" s="109"/>
      <c r="F777" s="109"/>
      <c r="G777" s="111"/>
      <c r="H777" s="109"/>
      <c r="I777" s="111"/>
      <c r="J777" s="109"/>
      <c r="K777" s="109"/>
    </row>
    <row r="778" spans="1:11" ht="21.75" customHeight="1" x14ac:dyDescent="0.6">
      <c r="A778" s="109"/>
      <c r="B778" s="109"/>
      <c r="C778" s="109"/>
      <c r="D778" s="110"/>
      <c r="E778" s="109"/>
      <c r="F778" s="109"/>
      <c r="G778" s="111"/>
      <c r="H778" s="109"/>
      <c r="I778" s="111"/>
      <c r="J778" s="109"/>
      <c r="K778" s="109"/>
    </row>
    <row r="779" spans="1:11" ht="21.75" customHeight="1" x14ac:dyDescent="0.6">
      <c r="A779" s="109"/>
      <c r="B779" s="109"/>
      <c r="C779" s="109"/>
      <c r="D779" s="110"/>
      <c r="E779" s="109"/>
      <c r="F779" s="109"/>
      <c r="G779" s="111"/>
      <c r="H779" s="109"/>
      <c r="I779" s="111"/>
      <c r="J779" s="109"/>
      <c r="K779" s="109"/>
    </row>
    <row r="780" spans="1:11" ht="21.75" customHeight="1" x14ac:dyDescent="0.6">
      <c r="A780" s="109"/>
      <c r="B780" s="109"/>
      <c r="C780" s="109"/>
      <c r="D780" s="110"/>
      <c r="E780" s="109"/>
      <c r="F780" s="109"/>
      <c r="G780" s="111"/>
      <c r="H780" s="109"/>
      <c r="I780" s="111"/>
      <c r="J780" s="109"/>
      <c r="K780" s="109"/>
    </row>
    <row r="781" spans="1:11" ht="21.75" customHeight="1" x14ac:dyDescent="0.6">
      <c r="A781" s="109"/>
      <c r="B781" s="109"/>
      <c r="C781" s="109"/>
      <c r="D781" s="110"/>
      <c r="E781" s="109"/>
      <c r="F781" s="109"/>
      <c r="G781" s="111"/>
      <c r="H781" s="109"/>
      <c r="I781" s="111"/>
      <c r="J781" s="109"/>
      <c r="K781" s="109"/>
    </row>
    <row r="782" spans="1:11" ht="21.75" customHeight="1" x14ac:dyDescent="0.6">
      <c r="A782" s="109"/>
      <c r="B782" s="109"/>
      <c r="C782" s="109"/>
      <c r="D782" s="110"/>
      <c r="E782" s="109"/>
      <c r="F782" s="109"/>
      <c r="G782" s="111"/>
      <c r="H782" s="109"/>
      <c r="I782" s="111"/>
      <c r="J782" s="109"/>
      <c r="K782" s="109"/>
    </row>
    <row r="783" spans="1:11" ht="21.75" customHeight="1" x14ac:dyDescent="0.6">
      <c r="A783" s="109"/>
      <c r="B783" s="109"/>
      <c r="C783" s="109"/>
      <c r="D783" s="110"/>
      <c r="E783" s="109"/>
      <c r="F783" s="109"/>
      <c r="G783" s="111"/>
      <c r="H783" s="109"/>
      <c r="I783" s="111"/>
      <c r="J783" s="109"/>
      <c r="K783" s="109"/>
    </row>
    <row r="784" spans="1:11" ht="21.75" customHeight="1" x14ac:dyDescent="0.6">
      <c r="A784" s="109"/>
      <c r="B784" s="109"/>
      <c r="C784" s="109"/>
      <c r="D784" s="110"/>
      <c r="E784" s="109"/>
      <c r="F784" s="109"/>
      <c r="G784" s="111"/>
      <c r="H784" s="109"/>
      <c r="I784" s="111"/>
      <c r="J784" s="109"/>
      <c r="K784" s="109"/>
    </row>
    <row r="785" spans="1:11" ht="21.75" customHeight="1" x14ac:dyDescent="0.6">
      <c r="A785" s="109"/>
      <c r="B785" s="109"/>
      <c r="C785" s="109"/>
      <c r="D785" s="110"/>
      <c r="E785" s="109"/>
      <c r="F785" s="109"/>
      <c r="G785" s="111"/>
      <c r="H785" s="109"/>
      <c r="I785" s="111"/>
      <c r="J785" s="109"/>
      <c r="K785" s="109"/>
    </row>
    <row r="786" spans="1:11" ht="21.75" customHeight="1" x14ac:dyDescent="0.6">
      <c r="A786" s="109"/>
      <c r="B786" s="109"/>
      <c r="C786" s="109"/>
      <c r="D786" s="110"/>
      <c r="E786" s="109"/>
      <c r="F786" s="109"/>
      <c r="G786" s="111"/>
      <c r="H786" s="109"/>
      <c r="I786" s="111"/>
      <c r="J786" s="109"/>
      <c r="K786" s="109"/>
    </row>
    <row r="787" spans="1:11" ht="21.75" customHeight="1" x14ac:dyDescent="0.6">
      <c r="A787" s="109"/>
      <c r="B787" s="109"/>
      <c r="C787" s="109"/>
      <c r="D787" s="110"/>
      <c r="E787" s="109"/>
      <c r="F787" s="109"/>
      <c r="G787" s="111"/>
      <c r="H787" s="109"/>
      <c r="I787" s="111"/>
      <c r="J787" s="109"/>
      <c r="K787" s="109"/>
    </row>
    <row r="788" spans="1:11" ht="21.75" customHeight="1" x14ac:dyDescent="0.6">
      <c r="A788" s="109"/>
      <c r="B788" s="109"/>
      <c r="C788" s="109"/>
      <c r="D788" s="110"/>
      <c r="E788" s="109"/>
      <c r="F788" s="109"/>
      <c r="G788" s="111"/>
      <c r="H788" s="109"/>
      <c r="I788" s="111"/>
      <c r="J788" s="109"/>
      <c r="K788" s="109"/>
    </row>
    <row r="789" spans="1:11" ht="21.75" customHeight="1" x14ac:dyDescent="0.6">
      <c r="A789" s="109"/>
      <c r="B789" s="109"/>
      <c r="C789" s="109"/>
      <c r="D789" s="110"/>
      <c r="E789" s="109"/>
      <c r="F789" s="109"/>
      <c r="G789" s="111"/>
      <c r="H789" s="109"/>
      <c r="I789" s="111"/>
      <c r="J789" s="109"/>
      <c r="K789" s="109"/>
    </row>
    <row r="790" spans="1:11" ht="21.75" customHeight="1" x14ac:dyDescent="0.6">
      <c r="A790" s="109"/>
      <c r="B790" s="109"/>
      <c r="C790" s="109"/>
      <c r="D790" s="110"/>
      <c r="E790" s="109"/>
      <c r="F790" s="109"/>
      <c r="G790" s="111"/>
      <c r="H790" s="109"/>
      <c r="I790" s="111"/>
      <c r="J790" s="109"/>
      <c r="K790" s="109"/>
    </row>
    <row r="791" spans="1:11" ht="21.75" customHeight="1" x14ac:dyDescent="0.6">
      <c r="A791" s="109"/>
      <c r="B791" s="109"/>
      <c r="C791" s="109"/>
      <c r="D791" s="110"/>
      <c r="E791" s="109"/>
      <c r="F791" s="109"/>
      <c r="G791" s="111"/>
      <c r="H791" s="109"/>
      <c r="I791" s="111"/>
      <c r="J791" s="109"/>
      <c r="K791" s="109"/>
    </row>
    <row r="792" spans="1:11" ht="21.75" customHeight="1" x14ac:dyDescent="0.6">
      <c r="A792" s="109"/>
      <c r="B792" s="109"/>
      <c r="C792" s="109"/>
      <c r="D792" s="110"/>
      <c r="E792" s="109"/>
      <c r="F792" s="109"/>
      <c r="G792" s="111"/>
      <c r="H792" s="109"/>
      <c r="I792" s="111"/>
      <c r="J792" s="109"/>
      <c r="K792" s="109"/>
    </row>
    <row r="793" spans="1:11" ht="21.75" customHeight="1" x14ac:dyDescent="0.6">
      <c r="A793" s="109"/>
      <c r="B793" s="109"/>
      <c r="C793" s="109"/>
      <c r="D793" s="110"/>
      <c r="E793" s="109"/>
      <c r="F793" s="109"/>
      <c r="G793" s="111"/>
      <c r="H793" s="109"/>
      <c r="I793" s="111"/>
      <c r="J793" s="109"/>
      <c r="K793" s="109"/>
    </row>
    <row r="794" spans="1:11" ht="21.75" customHeight="1" x14ac:dyDescent="0.6">
      <c r="A794" s="109"/>
      <c r="B794" s="109"/>
      <c r="C794" s="109"/>
      <c r="D794" s="110"/>
      <c r="E794" s="109"/>
      <c r="F794" s="109"/>
      <c r="G794" s="111"/>
      <c r="H794" s="109"/>
      <c r="I794" s="111"/>
      <c r="J794" s="109"/>
      <c r="K794" s="109"/>
    </row>
    <row r="795" spans="1:11" ht="21.75" customHeight="1" x14ac:dyDescent="0.6">
      <c r="A795" s="109"/>
      <c r="B795" s="109"/>
      <c r="C795" s="109"/>
      <c r="D795" s="110"/>
      <c r="E795" s="109"/>
      <c r="F795" s="109"/>
      <c r="G795" s="111"/>
      <c r="H795" s="109"/>
      <c r="I795" s="111"/>
      <c r="J795" s="109"/>
      <c r="K795" s="109"/>
    </row>
    <row r="796" spans="1:11" ht="21.75" customHeight="1" x14ac:dyDescent="0.6">
      <c r="A796" s="109"/>
      <c r="B796" s="109"/>
      <c r="C796" s="109"/>
      <c r="D796" s="110"/>
      <c r="E796" s="109"/>
      <c r="F796" s="109"/>
      <c r="G796" s="111"/>
      <c r="H796" s="109"/>
      <c r="I796" s="111"/>
      <c r="J796" s="109"/>
      <c r="K796" s="109"/>
    </row>
    <row r="797" spans="1:11" ht="21.75" customHeight="1" x14ac:dyDescent="0.6">
      <c r="A797" s="109"/>
      <c r="B797" s="109"/>
      <c r="C797" s="109"/>
      <c r="D797" s="110"/>
      <c r="E797" s="109"/>
      <c r="F797" s="109"/>
      <c r="G797" s="111"/>
      <c r="H797" s="109"/>
      <c r="I797" s="111"/>
      <c r="J797" s="109"/>
      <c r="K797" s="109"/>
    </row>
    <row r="798" spans="1:11" ht="21.75" customHeight="1" x14ac:dyDescent="0.6">
      <c r="A798" s="109"/>
      <c r="B798" s="109"/>
      <c r="C798" s="109"/>
      <c r="D798" s="110"/>
      <c r="E798" s="109"/>
      <c r="F798" s="109"/>
      <c r="G798" s="111"/>
      <c r="H798" s="109"/>
      <c r="I798" s="111"/>
      <c r="J798" s="109"/>
      <c r="K798" s="109"/>
    </row>
    <row r="799" spans="1:11" ht="21.75" customHeight="1" x14ac:dyDescent="0.6">
      <c r="A799" s="109"/>
      <c r="B799" s="109"/>
      <c r="C799" s="109"/>
      <c r="D799" s="110"/>
      <c r="E799" s="109"/>
      <c r="F799" s="109"/>
      <c r="G799" s="111"/>
      <c r="H799" s="109"/>
      <c r="I799" s="111"/>
      <c r="J799" s="109"/>
      <c r="K799" s="109"/>
    </row>
    <row r="800" spans="1:11" ht="21.75" customHeight="1" x14ac:dyDescent="0.6">
      <c r="A800" s="109"/>
      <c r="B800" s="109"/>
      <c r="C800" s="109"/>
      <c r="D800" s="110"/>
      <c r="E800" s="109"/>
      <c r="F800" s="109"/>
      <c r="G800" s="111"/>
      <c r="H800" s="109"/>
      <c r="I800" s="111"/>
      <c r="J800" s="109"/>
      <c r="K800" s="109"/>
    </row>
    <row r="801" spans="1:11" ht="21.75" customHeight="1" x14ac:dyDescent="0.6">
      <c r="A801" s="109"/>
      <c r="B801" s="109"/>
      <c r="C801" s="109"/>
      <c r="D801" s="110"/>
      <c r="E801" s="109"/>
      <c r="F801" s="109"/>
      <c r="G801" s="111"/>
      <c r="H801" s="109"/>
      <c r="I801" s="111"/>
      <c r="J801" s="109"/>
      <c r="K801" s="109"/>
    </row>
    <row r="802" spans="1:11" ht="21.75" customHeight="1" x14ac:dyDescent="0.6">
      <c r="A802" s="109"/>
      <c r="B802" s="109"/>
      <c r="C802" s="109"/>
      <c r="D802" s="110"/>
      <c r="E802" s="109"/>
      <c r="F802" s="109"/>
      <c r="G802" s="111"/>
      <c r="H802" s="109"/>
      <c r="I802" s="111"/>
      <c r="J802" s="109"/>
      <c r="K802" s="109"/>
    </row>
    <row r="803" spans="1:11" ht="21.75" customHeight="1" x14ac:dyDescent="0.6">
      <c r="A803" s="109"/>
      <c r="B803" s="109"/>
      <c r="C803" s="109"/>
      <c r="D803" s="110"/>
      <c r="E803" s="109"/>
      <c r="F803" s="109"/>
      <c r="G803" s="111"/>
      <c r="H803" s="109"/>
      <c r="I803" s="111"/>
      <c r="J803" s="109"/>
      <c r="K803" s="109"/>
    </row>
    <row r="804" spans="1:11" ht="21.75" customHeight="1" x14ac:dyDescent="0.6">
      <c r="A804" s="109"/>
      <c r="B804" s="109"/>
      <c r="C804" s="109"/>
      <c r="D804" s="110"/>
      <c r="E804" s="109"/>
      <c r="F804" s="109"/>
      <c r="G804" s="111"/>
      <c r="H804" s="109"/>
      <c r="I804" s="111"/>
      <c r="J804" s="109"/>
      <c r="K804" s="109"/>
    </row>
    <row r="805" spans="1:11" ht="21.75" customHeight="1" x14ac:dyDescent="0.6">
      <c r="A805" s="109"/>
      <c r="B805" s="109"/>
      <c r="C805" s="109"/>
      <c r="D805" s="110"/>
      <c r="E805" s="109"/>
      <c r="F805" s="109"/>
      <c r="G805" s="111"/>
      <c r="H805" s="109"/>
      <c r="I805" s="111"/>
      <c r="J805" s="109"/>
      <c r="K805" s="109"/>
    </row>
    <row r="806" spans="1:11" ht="21.75" customHeight="1" x14ac:dyDescent="0.6">
      <c r="A806" s="109"/>
      <c r="B806" s="109"/>
      <c r="C806" s="109"/>
      <c r="D806" s="110"/>
      <c r="E806" s="109"/>
      <c r="F806" s="109"/>
      <c r="G806" s="111"/>
      <c r="H806" s="109"/>
      <c r="I806" s="111"/>
      <c r="J806" s="109"/>
      <c r="K806" s="109"/>
    </row>
    <row r="807" spans="1:11" ht="21.75" customHeight="1" x14ac:dyDescent="0.6">
      <c r="A807" s="109"/>
      <c r="B807" s="109"/>
      <c r="C807" s="109"/>
      <c r="D807" s="110"/>
      <c r="E807" s="109"/>
      <c r="F807" s="109"/>
      <c r="G807" s="111"/>
      <c r="H807" s="109"/>
      <c r="I807" s="111"/>
      <c r="J807" s="109"/>
      <c r="K807" s="109"/>
    </row>
    <row r="808" spans="1:11" ht="21.75" customHeight="1" x14ac:dyDescent="0.6">
      <c r="A808" s="109"/>
      <c r="B808" s="109"/>
      <c r="C808" s="109"/>
      <c r="D808" s="110"/>
      <c r="E808" s="109"/>
      <c r="F808" s="109"/>
      <c r="G808" s="111"/>
      <c r="H808" s="109"/>
      <c r="I808" s="111"/>
      <c r="J808" s="109"/>
      <c r="K808" s="109"/>
    </row>
    <row r="809" spans="1:11" ht="21.75" customHeight="1" x14ac:dyDescent="0.6">
      <c r="A809" s="109"/>
      <c r="B809" s="109"/>
      <c r="C809" s="109"/>
      <c r="D809" s="110"/>
      <c r="E809" s="109"/>
      <c r="F809" s="109"/>
      <c r="G809" s="111"/>
      <c r="H809" s="109"/>
      <c r="I809" s="111"/>
      <c r="J809" s="109"/>
      <c r="K809" s="109"/>
    </row>
    <row r="810" spans="1:11" ht="21.75" customHeight="1" x14ac:dyDescent="0.6">
      <c r="A810" s="109"/>
      <c r="B810" s="109"/>
      <c r="C810" s="109"/>
      <c r="D810" s="110"/>
      <c r="E810" s="109"/>
      <c r="F810" s="109"/>
      <c r="G810" s="111"/>
      <c r="H810" s="109"/>
      <c r="I810" s="111"/>
      <c r="J810" s="109"/>
      <c r="K810" s="109"/>
    </row>
    <row r="811" spans="1:11" ht="21.75" customHeight="1" x14ac:dyDescent="0.6">
      <c r="A811" s="109"/>
      <c r="B811" s="109"/>
      <c r="C811" s="109"/>
      <c r="D811" s="110"/>
      <c r="E811" s="109"/>
      <c r="F811" s="109"/>
      <c r="G811" s="111"/>
      <c r="H811" s="109"/>
      <c r="I811" s="111"/>
      <c r="J811" s="109"/>
      <c r="K811" s="109"/>
    </row>
    <row r="812" spans="1:11" ht="21.75" customHeight="1" x14ac:dyDescent="0.6">
      <c r="A812" s="109"/>
      <c r="B812" s="109"/>
      <c r="C812" s="109"/>
      <c r="D812" s="110"/>
      <c r="E812" s="109"/>
      <c r="F812" s="109"/>
      <c r="G812" s="111"/>
      <c r="H812" s="109"/>
      <c r="I812" s="111"/>
      <c r="J812" s="109"/>
      <c r="K812" s="109"/>
    </row>
    <row r="813" spans="1:11" ht="21.75" customHeight="1" x14ac:dyDescent="0.6">
      <c r="A813" s="109"/>
      <c r="B813" s="109"/>
      <c r="C813" s="109"/>
      <c r="D813" s="110"/>
      <c r="E813" s="109"/>
      <c r="F813" s="109"/>
      <c r="G813" s="111"/>
      <c r="H813" s="109"/>
      <c r="I813" s="111"/>
      <c r="J813" s="109"/>
      <c r="K813" s="109"/>
    </row>
    <row r="814" spans="1:11" ht="21.75" customHeight="1" x14ac:dyDescent="0.6">
      <c r="A814" s="109"/>
      <c r="B814" s="109"/>
      <c r="C814" s="109"/>
      <c r="D814" s="110"/>
      <c r="E814" s="109"/>
      <c r="F814" s="109"/>
      <c r="G814" s="111"/>
      <c r="H814" s="109"/>
      <c r="I814" s="111"/>
      <c r="J814" s="109"/>
      <c r="K814" s="109"/>
    </row>
    <row r="815" spans="1:11" ht="21.75" customHeight="1" x14ac:dyDescent="0.6">
      <c r="A815" s="109"/>
      <c r="B815" s="109"/>
      <c r="C815" s="109"/>
      <c r="D815" s="110"/>
      <c r="E815" s="109"/>
      <c r="F815" s="109"/>
      <c r="G815" s="111"/>
      <c r="H815" s="109"/>
      <c r="I815" s="111"/>
      <c r="J815" s="109"/>
      <c r="K815" s="109"/>
    </row>
    <row r="816" spans="1:11" ht="21.75" customHeight="1" x14ac:dyDescent="0.6">
      <c r="A816" s="109"/>
      <c r="B816" s="109"/>
      <c r="C816" s="109"/>
      <c r="D816" s="110"/>
      <c r="E816" s="109"/>
      <c r="F816" s="109"/>
      <c r="G816" s="111"/>
      <c r="H816" s="109"/>
      <c r="I816" s="111"/>
      <c r="J816" s="109"/>
      <c r="K816" s="109"/>
    </row>
    <row r="817" spans="1:11" ht="21.75" customHeight="1" x14ac:dyDescent="0.6">
      <c r="A817" s="109"/>
      <c r="B817" s="109"/>
      <c r="C817" s="109"/>
      <c r="D817" s="110"/>
      <c r="E817" s="109"/>
      <c r="F817" s="109"/>
      <c r="G817" s="111"/>
      <c r="H817" s="109"/>
      <c r="I817" s="111"/>
      <c r="J817" s="109"/>
      <c r="K817" s="109"/>
    </row>
    <row r="818" spans="1:11" ht="21.75" customHeight="1" x14ac:dyDescent="0.6">
      <c r="A818" s="109"/>
      <c r="B818" s="109"/>
      <c r="C818" s="109"/>
      <c r="D818" s="110"/>
      <c r="E818" s="109"/>
      <c r="F818" s="109"/>
      <c r="G818" s="111"/>
      <c r="H818" s="109"/>
      <c r="I818" s="111"/>
      <c r="J818" s="109"/>
      <c r="K818" s="109"/>
    </row>
    <row r="819" spans="1:11" ht="21.75" customHeight="1" x14ac:dyDescent="0.6">
      <c r="A819" s="109"/>
      <c r="B819" s="109"/>
      <c r="C819" s="109"/>
      <c r="D819" s="110"/>
      <c r="E819" s="109"/>
      <c r="F819" s="109"/>
      <c r="G819" s="111"/>
      <c r="H819" s="109"/>
      <c r="I819" s="111"/>
      <c r="J819" s="109"/>
      <c r="K819" s="109"/>
    </row>
    <row r="820" spans="1:11" ht="21.75" customHeight="1" x14ac:dyDescent="0.6">
      <c r="A820" s="109"/>
      <c r="B820" s="109"/>
      <c r="C820" s="109"/>
      <c r="D820" s="110"/>
      <c r="E820" s="109"/>
      <c r="F820" s="109"/>
      <c r="G820" s="111"/>
      <c r="H820" s="109"/>
      <c r="I820" s="111"/>
      <c r="J820" s="109"/>
      <c r="K820" s="109"/>
    </row>
    <row r="821" spans="1:11" ht="21.75" customHeight="1" x14ac:dyDescent="0.6">
      <c r="A821" s="109"/>
      <c r="B821" s="109"/>
      <c r="C821" s="109"/>
      <c r="D821" s="110"/>
      <c r="E821" s="109"/>
      <c r="F821" s="109"/>
      <c r="G821" s="111"/>
      <c r="H821" s="109"/>
      <c r="I821" s="111"/>
      <c r="J821" s="109"/>
      <c r="K821" s="109"/>
    </row>
    <row r="822" spans="1:11" ht="21.75" customHeight="1" x14ac:dyDescent="0.6">
      <c r="A822" s="109"/>
      <c r="B822" s="109"/>
      <c r="C822" s="109"/>
      <c r="D822" s="110"/>
      <c r="E822" s="109"/>
      <c r="F822" s="109"/>
      <c r="G822" s="111"/>
      <c r="H822" s="109"/>
      <c r="I822" s="111"/>
      <c r="J822" s="109"/>
      <c r="K822" s="109"/>
    </row>
    <row r="823" spans="1:11" ht="21.75" customHeight="1" x14ac:dyDescent="0.6">
      <c r="A823" s="109"/>
      <c r="B823" s="109"/>
      <c r="C823" s="109"/>
      <c r="D823" s="110"/>
      <c r="E823" s="109"/>
      <c r="F823" s="109"/>
      <c r="G823" s="111"/>
      <c r="H823" s="109"/>
      <c r="I823" s="111"/>
      <c r="J823" s="109"/>
      <c r="K823" s="109"/>
    </row>
    <row r="824" spans="1:11" ht="21.75" customHeight="1" x14ac:dyDescent="0.6">
      <c r="A824" s="109"/>
      <c r="B824" s="109"/>
      <c r="C824" s="109"/>
      <c r="D824" s="110"/>
      <c r="E824" s="109"/>
      <c r="F824" s="109"/>
      <c r="G824" s="111"/>
      <c r="H824" s="109"/>
      <c r="I824" s="111"/>
      <c r="J824" s="109"/>
      <c r="K824" s="109"/>
    </row>
    <row r="825" spans="1:11" ht="21.75" customHeight="1" x14ac:dyDescent="0.6">
      <c r="A825" s="109"/>
      <c r="B825" s="109"/>
      <c r="C825" s="109"/>
      <c r="D825" s="110"/>
      <c r="E825" s="109"/>
      <c r="F825" s="109"/>
      <c r="G825" s="111"/>
      <c r="H825" s="109"/>
      <c r="I825" s="111"/>
      <c r="J825" s="109"/>
      <c r="K825" s="109"/>
    </row>
    <row r="826" spans="1:11" ht="21.75" customHeight="1" x14ac:dyDescent="0.6">
      <c r="A826" s="109"/>
      <c r="B826" s="109"/>
      <c r="C826" s="109"/>
      <c r="D826" s="110"/>
      <c r="E826" s="109"/>
      <c r="F826" s="109"/>
      <c r="G826" s="111"/>
      <c r="H826" s="109"/>
      <c r="I826" s="111"/>
      <c r="J826" s="109"/>
      <c r="K826" s="109"/>
    </row>
    <row r="827" spans="1:11" ht="21.75" customHeight="1" x14ac:dyDescent="0.6">
      <c r="A827" s="109"/>
      <c r="B827" s="109"/>
      <c r="C827" s="109"/>
      <c r="D827" s="110"/>
      <c r="E827" s="109"/>
      <c r="F827" s="109"/>
      <c r="G827" s="111"/>
      <c r="H827" s="109"/>
      <c r="I827" s="111"/>
      <c r="J827" s="109"/>
      <c r="K827" s="109"/>
    </row>
    <row r="828" spans="1:11" ht="21.75" customHeight="1" x14ac:dyDescent="0.6">
      <c r="A828" s="109"/>
      <c r="B828" s="109"/>
      <c r="C828" s="109"/>
      <c r="D828" s="110"/>
      <c r="E828" s="109"/>
      <c r="F828" s="109"/>
      <c r="G828" s="111"/>
      <c r="H828" s="109"/>
      <c r="I828" s="111"/>
      <c r="J828" s="109"/>
      <c r="K828" s="109"/>
    </row>
    <row r="829" spans="1:11" ht="21.75" customHeight="1" x14ac:dyDescent="0.6">
      <c r="A829" s="109"/>
      <c r="B829" s="109"/>
      <c r="C829" s="109"/>
      <c r="D829" s="110"/>
      <c r="E829" s="109"/>
      <c r="F829" s="109"/>
      <c r="G829" s="111"/>
      <c r="H829" s="109"/>
      <c r="I829" s="111"/>
      <c r="J829" s="109"/>
      <c r="K829" s="109"/>
    </row>
    <row r="830" spans="1:11" ht="21.75" customHeight="1" x14ac:dyDescent="0.6">
      <c r="A830" s="109"/>
      <c r="B830" s="109"/>
      <c r="C830" s="109"/>
      <c r="D830" s="110"/>
      <c r="E830" s="109"/>
      <c r="F830" s="109"/>
      <c r="G830" s="111"/>
      <c r="H830" s="109"/>
      <c r="I830" s="111"/>
      <c r="J830" s="109"/>
      <c r="K830" s="109"/>
    </row>
    <row r="831" spans="1:11" ht="21.75" customHeight="1" x14ac:dyDescent="0.6">
      <c r="A831" s="109"/>
      <c r="B831" s="109"/>
      <c r="C831" s="109"/>
      <c r="D831" s="110"/>
      <c r="E831" s="109"/>
      <c r="F831" s="109"/>
      <c r="G831" s="111"/>
      <c r="H831" s="109"/>
      <c r="I831" s="111"/>
      <c r="J831" s="109"/>
      <c r="K831" s="109"/>
    </row>
    <row r="832" spans="1:11" ht="21.75" customHeight="1" x14ac:dyDescent="0.6">
      <c r="A832" s="109"/>
      <c r="B832" s="109"/>
      <c r="C832" s="109"/>
      <c r="D832" s="110"/>
      <c r="E832" s="109"/>
      <c r="F832" s="109"/>
      <c r="G832" s="111"/>
      <c r="H832" s="109"/>
      <c r="I832" s="111"/>
      <c r="J832" s="109"/>
      <c r="K832" s="109"/>
    </row>
    <row r="833" spans="1:11" ht="21.75" customHeight="1" x14ac:dyDescent="0.6">
      <c r="A833" s="109"/>
      <c r="B833" s="109"/>
      <c r="C833" s="109"/>
      <c r="D833" s="110"/>
      <c r="E833" s="109"/>
      <c r="F833" s="109"/>
      <c r="G833" s="111"/>
      <c r="H833" s="109"/>
      <c r="I833" s="111"/>
      <c r="J833" s="109"/>
      <c r="K833" s="109"/>
    </row>
    <row r="834" spans="1:11" ht="21.75" customHeight="1" x14ac:dyDescent="0.6">
      <c r="A834" s="109"/>
      <c r="B834" s="109"/>
      <c r="C834" s="109"/>
      <c r="D834" s="110"/>
      <c r="E834" s="109"/>
      <c r="F834" s="109"/>
      <c r="G834" s="111"/>
      <c r="H834" s="109"/>
      <c r="I834" s="111"/>
      <c r="J834" s="109"/>
      <c r="K834" s="109"/>
    </row>
    <row r="835" spans="1:11" ht="21.75" customHeight="1" x14ac:dyDescent="0.6">
      <c r="A835" s="109"/>
      <c r="B835" s="109"/>
      <c r="C835" s="109"/>
      <c r="D835" s="110"/>
      <c r="E835" s="109"/>
      <c r="F835" s="109"/>
      <c r="G835" s="111"/>
      <c r="H835" s="109"/>
      <c r="I835" s="111"/>
      <c r="J835" s="109"/>
      <c r="K835" s="109"/>
    </row>
    <row r="836" spans="1:11" ht="21.75" customHeight="1" x14ac:dyDescent="0.6">
      <c r="A836" s="109"/>
      <c r="B836" s="109"/>
      <c r="C836" s="109"/>
      <c r="D836" s="110"/>
      <c r="E836" s="109"/>
      <c r="F836" s="109"/>
      <c r="G836" s="111"/>
      <c r="H836" s="109"/>
      <c r="I836" s="111"/>
      <c r="J836" s="109"/>
      <c r="K836" s="109"/>
    </row>
    <row r="837" spans="1:11" ht="21.75" customHeight="1" x14ac:dyDescent="0.6">
      <c r="A837" s="109"/>
      <c r="B837" s="109"/>
      <c r="C837" s="109"/>
      <c r="D837" s="110"/>
      <c r="E837" s="109"/>
      <c r="F837" s="109"/>
      <c r="G837" s="111"/>
      <c r="H837" s="109"/>
      <c r="I837" s="111"/>
      <c r="J837" s="109"/>
      <c r="K837" s="109"/>
    </row>
    <row r="838" spans="1:11" ht="21.75" customHeight="1" x14ac:dyDescent="0.6">
      <c r="A838" s="109"/>
      <c r="B838" s="109"/>
      <c r="C838" s="109"/>
      <c r="D838" s="110"/>
      <c r="E838" s="109"/>
      <c r="F838" s="109"/>
      <c r="G838" s="111"/>
      <c r="H838" s="109"/>
      <c r="I838" s="111"/>
      <c r="J838" s="109"/>
      <c r="K838" s="109"/>
    </row>
    <row r="839" spans="1:11" ht="21.75" customHeight="1" x14ac:dyDescent="0.6">
      <c r="A839" s="109"/>
      <c r="B839" s="109"/>
      <c r="C839" s="109"/>
      <c r="D839" s="110"/>
      <c r="E839" s="109"/>
      <c r="F839" s="109"/>
      <c r="G839" s="111"/>
      <c r="H839" s="109"/>
      <c r="I839" s="111"/>
      <c r="J839" s="109"/>
      <c r="K839" s="109"/>
    </row>
    <row r="840" spans="1:11" ht="21.75" customHeight="1" x14ac:dyDescent="0.6">
      <c r="A840" s="109"/>
      <c r="B840" s="109"/>
      <c r="C840" s="109"/>
      <c r="D840" s="110"/>
      <c r="E840" s="109"/>
      <c r="F840" s="109"/>
      <c r="G840" s="111"/>
      <c r="H840" s="109"/>
      <c r="I840" s="111"/>
      <c r="J840" s="109"/>
      <c r="K840" s="109"/>
    </row>
    <row r="841" spans="1:11" ht="21.75" customHeight="1" x14ac:dyDescent="0.6">
      <c r="A841" s="109"/>
      <c r="B841" s="109"/>
      <c r="C841" s="109"/>
      <c r="D841" s="110"/>
      <c r="E841" s="109"/>
      <c r="F841" s="109"/>
      <c r="G841" s="111"/>
      <c r="H841" s="109"/>
      <c r="I841" s="111"/>
      <c r="J841" s="109"/>
      <c r="K841" s="109"/>
    </row>
    <row r="842" spans="1:11" ht="21.75" customHeight="1" x14ac:dyDescent="0.6">
      <c r="A842" s="109"/>
      <c r="B842" s="109"/>
      <c r="C842" s="109"/>
      <c r="D842" s="110"/>
      <c r="E842" s="109"/>
      <c r="F842" s="109"/>
      <c r="G842" s="111"/>
      <c r="H842" s="109"/>
      <c r="I842" s="111"/>
      <c r="J842" s="109"/>
      <c r="K842" s="109"/>
    </row>
    <row r="843" spans="1:11" ht="21.75" customHeight="1" x14ac:dyDescent="0.6">
      <c r="A843" s="109"/>
      <c r="B843" s="109"/>
      <c r="C843" s="109"/>
      <c r="D843" s="110"/>
      <c r="E843" s="109"/>
      <c r="F843" s="109"/>
      <c r="G843" s="111"/>
      <c r="H843" s="109"/>
      <c r="I843" s="111"/>
      <c r="J843" s="109"/>
      <c r="K843" s="109"/>
    </row>
    <row r="844" spans="1:11" ht="21.75" customHeight="1" x14ac:dyDescent="0.6">
      <c r="A844" s="109"/>
      <c r="B844" s="109"/>
      <c r="C844" s="109"/>
      <c r="D844" s="110"/>
      <c r="E844" s="109"/>
      <c r="F844" s="109"/>
      <c r="G844" s="111"/>
      <c r="H844" s="109"/>
      <c r="I844" s="111"/>
      <c r="J844" s="109"/>
      <c r="K844" s="109"/>
    </row>
    <row r="845" spans="1:11" ht="21.75" customHeight="1" x14ac:dyDescent="0.6">
      <c r="A845" s="109"/>
      <c r="B845" s="109"/>
      <c r="C845" s="109"/>
      <c r="D845" s="110"/>
      <c r="E845" s="109"/>
      <c r="F845" s="109"/>
      <c r="G845" s="111"/>
      <c r="H845" s="109"/>
      <c r="I845" s="111"/>
      <c r="J845" s="109"/>
      <c r="K845" s="109"/>
    </row>
    <row r="846" spans="1:11" ht="21.75" customHeight="1" x14ac:dyDescent="0.6">
      <c r="A846" s="109"/>
      <c r="B846" s="109"/>
      <c r="C846" s="109"/>
      <c r="D846" s="110"/>
      <c r="E846" s="109"/>
      <c r="F846" s="109"/>
      <c r="G846" s="111"/>
      <c r="H846" s="109"/>
      <c r="I846" s="111"/>
      <c r="J846" s="109"/>
      <c r="K846" s="109"/>
    </row>
    <row r="847" spans="1:11" ht="21.75" customHeight="1" x14ac:dyDescent="0.6">
      <c r="A847" s="109"/>
      <c r="B847" s="109"/>
      <c r="C847" s="109"/>
      <c r="D847" s="110"/>
      <c r="E847" s="109"/>
      <c r="F847" s="109"/>
      <c r="G847" s="111"/>
      <c r="H847" s="109"/>
      <c r="I847" s="111"/>
      <c r="J847" s="109"/>
      <c r="K847" s="109"/>
    </row>
    <row r="848" spans="1:11" ht="21.75" customHeight="1" x14ac:dyDescent="0.6">
      <c r="A848" s="109"/>
      <c r="B848" s="109"/>
      <c r="C848" s="109"/>
      <c r="D848" s="110"/>
      <c r="E848" s="109"/>
      <c r="F848" s="109"/>
      <c r="G848" s="111"/>
      <c r="H848" s="109"/>
      <c r="I848" s="111"/>
      <c r="J848" s="109"/>
      <c r="K848" s="109"/>
    </row>
    <row r="849" spans="1:11" ht="21.75" customHeight="1" x14ac:dyDescent="0.6">
      <c r="A849" s="109"/>
      <c r="B849" s="109"/>
      <c r="C849" s="109"/>
      <c r="D849" s="110"/>
      <c r="E849" s="109"/>
      <c r="F849" s="109"/>
      <c r="G849" s="111"/>
      <c r="H849" s="109"/>
      <c r="I849" s="111"/>
      <c r="J849" s="109"/>
      <c r="K849" s="109"/>
    </row>
    <row r="850" spans="1:11" ht="21.75" customHeight="1" x14ac:dyDescent="0.6">
      <c r="A850" s="109"/>
      <c r="B850" s="109"/>
      <c r="C850" s="109"/>
      <c r="D850" s="110"/>
      <c r="E850" s="109"/>
      <c r="F850" s="109"/>
      <c r="G850" s="111"/>
      <c r="H850" s="109"/>
      <c r="I850" s="111"/>
      <c r="J850" s="109"/>
      <c r="K850" s="109"/>
    </row>
    <row r="851" spans="1:11" ht="21.75" customHeight="1" x14ac:dyDescent="0.6">
      <c r="A851" s="109"/>
      <c r="B851" s="109"/>
      <c r="C851" s="109"/>
      <c r="D851" s="110"/>
      <c r="E851" s="109"/>
      <c r="F851" s="109"/>
      <c r="G851" s="111"/>
      <c r="H851" s="109"/>
      <c r="I851" s="111"/>
      <c r="J851" s="109"/>
      <c r="K851" s="109"/>
    </row>
    <row r="852" spans="1:11" ht="21.75" customHeight="1" x14ac:dyDescent="0.6">
      <c r="A852" s="109"/>
      <c r="B852" s="109"/>
      <c r="C852" s="109"/>
      <c r="D852" s="110"/>
      <c r="E852" s="109"/>
      <c r="F852" s="109"/>
      <c r="G852" s="111"/>
      <c r="H852" s="109"/>
      <c r="I852" s="111"/>
      <c r="J852" s="109"/>
      <c r="K852" s="109"/>
    </row>
    <row r="853" spans="1:11" ht="21.75" customHeight="1" x14ac:dyDescent="0.6">
      <c r="A853" s="109"/>
      <c r="B853" s="109"/>
      <c r="C853" s="109"/>
      <c r="D853" s="110"/>
      <c r="E853" s="109"/>
      <c r="F853" s="109"/>
      <c r="G853" s="111"/>
      <c r="H853" s="109"/>
      <c r="I853" s="111"/>
      <c r="J853" s="109"/>
      <c r="K853" s="109"/>
    </row>
    <row r="854" spans="1:11" ht="21.75" customHeight="1" x14ac:dyDescent="0.6">
      <c r="A854" s="109"/>
      <c r="B854" s="109"/>
      <c r="C854" s="109"/>
      <c r="D854" s="110"/>
      <c r="E854" s="109"/>
      <c r="F854" s="109"/>
      <c r="G854" s="111"/>
      <c r="H854" s="109"/>
      <c r="I854" s="111"/>
      <c r="J854" s="109"/>
      <c r="K854" s="109"/>
    </row>
    <row r="855" spans="1:11" ht="21.75" customHeight="1" x14ac:dyDescent="0.6">
      <c r="A855" s="109"/>
      <c r="B855" s="109"/>
      <c r="C855" s="109"/>
      <c r="D855" s="110"/>
      <c r="E855" s="109"/>
      <c r="F855" s="109"/>
      <c r="G855" s="111"/>
      <c r="H855" s="109"/>
      <c r="I855" s="111"/>
      <c r="J855" s="109"/>
      <c r="K855" s="109"/>
    </row>
    <row r="856" spans="1:11" ht="21.75" customHeight="1" x14ac:dyDescent="0.6">
      <c r="A856" s="109"/>
      <c r="B856" s="109"/>
      <c r="C856" s="109"/>
      <c r="D856" s="110"/>
      <c r="E856" s="109"/>
      <c r="F856" s="109"/>
      <c r="G856" s="111"/>
      <c r="H856" s="109"/>
      <c r="I856" s="111"/>
      <c r="J856" s="109"/>
      <c r="K856" s="109"/>
    </row>
    <row r="857" spans="1:11" ht="21.75" customHeight="1" x14ac:dyDescent="0.6">
      <c r="A857" s="109"/>
      <c r="B857" s="109"/>
      <c r="C857" s="109"/>
      <c r="D857" s="110"/>
      <c r="E857" s="109"/>
      <c r="F857" s="109"/>
      <c r="G857" s="111"/>
      <c r="H857" s="109"/>
      <c r="I857" s="111"/>
      <c r="J857" s="109"/>
      <c r="K857" s="109"/>
    </row>
    <row r="858" spans="1:11" ht="21.75" customHeight="1" x14ac:dyDescent="0.6">
      <c r="A858" s="109"/>
      <c r="B858" s="109"/>
      <c r="C858" s="109"/>
      <c r="D858" s="110"/>
      <c r="E858" s="109"/>
      <c r="F858" s="109"/>
      <c r="G858" s="111"/>
      <c r="H858" s="109"/>
      <c r="I858" s="111"/>
      <c r="J858" s="109"/>
      <c r="K858" s="109"/>
    </row>
    <row r="859" spans="1:11" ht="21.75" customHeight="1" x14ac:dyDescent="0.6">
      <c r="A859" s="109"/>
      <c r="B859" s="109"/>
      <c r="C859" s="109"/>
      <c r="D859" s="110"/>
      <c r="E859" s="109"/>
      <c r="F859" s="109"/>
      <c r="G859" s="111"/>
      <c r="H859" s="109"/>
      <c r="I859" s="111"/>
      <c r="J859" s="109"/>
      <c r="K859" s="109"/>
    </row>
    <row r="860" spans="1:11" ht="21.75" customHeight="1" x14ac:dyDescent="0.6">
      <c r="A860" s="109"/>
      <c r="B860" s="109"/>
      <c r="C860" s="109"/>
      <c r="D860" s="110"/>
      <c r="E860" s="109"/>
      <c r="F860" s="109"/>
      <c r="G860" s="111"/>
      <c r="H860" s="109"/>
      <c r="I860" s="111"/>
      <c r="J860" s="109"/>
      <c r="K860" s="109"/>
    </row>
    <row r="861" spans="1:11" ht="21.75" customHeight="1" x14ac:dyDescent="0.6">
      <c r="A861" s="109"/>
      <c r="B861" s="109"/>
      <c r="C861" s="109"/>
      <c r="D861" s="110"/>
      <c r="E861" s="109"/>
      <c r="F861" s="109"/>
      <c r="G861" s="111"/>
      <c r="H861" s="109"/>
      <c r="I861" s="111"/>
      <c r="J861" s="109"/>
      <c r="K861" s="109"/>
    </row>
    <row r="862" spans="1:11" ht="21.75" customHeight="1" x14ac:dyDescent="0.6">
      <c r="A862" s="109"/>
      <c r="B862" s="109"/>
      <c r="C862" s="109"/>
      <c r="D862" s="110"/>
      <c r="E862" s="109"/>
      <c r="F862" s="109"/>
      <c r="G862" s="111"/>
      <c r="H862" s="109"/>
      <c r="I862" s="111"/>
      <c r="J862" s="109"/>
      <c r="K862" s="109"/>
    </row>
    <row r="863" spans="1:11" ht="21.75" customHeight="1" x14ac:dyDescent="0.6">
      <c r="A863" s="109"/>
      <c r="B863" s="109"/>
      <c r="C863" s="109"/>
      <c r="D863" s="110"/>
      <c r="E863" s="109"/>
      <c r="F863" s="109"/>
      <c r="G863" s="111"/>
      <c r="H863" s="109"/>
      <c r="I863" s="111"/>
      <c r="J863" s="109"/>
      <c r="K863" s="109"/>
    </row>
    <row r="864" spans="1:11" ht="21.75" customHeight="1" x14ac:dyDescent="0.6">
      <c r="A864" s="109"/>
      <c r="B864" s="109"/>
      <c r="C864" s="109"/>
      <c r="D864" s="110"/>
      <c r="E864" s="109"/>
      <c r="F864" s="109"/>
      <c r="G864" s="111"/>
      <c r="H864" s="109"/>
      <c r="I864" s="111"/>
      <c r="J864" s="109"/>
      <c r="K864" s="109"/>
    </row>
    <row r="865" spans="1:11" ht="21.75" customHeight="1" x14ac:dyDescent="0.6">
      <c r="A865" s="109"/>
      <c r="B865" s="109"/>
      <c r="C865" s="109"/>
      <c r="D865" s="110"/>
      <c r="E865" s="109"/>
      <c r="F865" s="109"/>
      <c r="G865" s="111"/>
      <c r="H865" s="109"/>
      <c r="I865" s="111"/>
      <c r="J865" s="109"/>
      <c r="K865" s="109"/>
    </row>
    <row r="866" spans="1:11" ht="21.75" customHeight="1" x14ac:dyDescent="0.6">
      <c r="A866" s="109"/>
      <c r="B866" s="109"/>
      <c r="C866" s="109"/>
      <c r="D866" s="110"/>
      <c r="E866" s="109"/>
      <c r="F866" s="109"/>
      <c r="G866" s="111"/>
      <c r="H866" s="109"/>
      <c r="I866" s="111"/>
      <c r="J866" s="109"/>
      <c r="K866" s="109"/>
    </row>
    <row r="867" spans="1:11" ht="21.75" customHeight="1" x14ac:dyDescent="0.6">
      <c r="A867" s="109"/>
      <c r="B867" s="109"/>
      <c r="C867" s="109"/>
      <c r="D867" s="110"/>
      <c r="E867" s="109"/>
      <c r="F867" s="109"/>
      <c r="G867" s="111"/>
      <c r="H867" s="109"/>
      <c r="I867" s="111"/>
      <c r="J867" s="109"/>
      <c r="K867" s="109"/>
    </row>
    <row r="868" spans="1:11" ht="21.75" customHeight="1" x14ac:dyDescent="0.6">
      <c r="A868" s="109"/>
      <c r="B868" s="109"/>
      <c r="C868" s="109"/>
      <c r="D868" s="110"/>
      <c r="E868" s="109"/>
      <c r="F868" s="109"/>
      <c r="G868" s="111"/>
      <c r="H868" s="109"/>
      <c r="I868" s="111"/>
      <c r="J868" s="109"/>
      <c r="K868" s="109"/>
    </row>
    <row r="869" spans="1:11" ht="21.75" customHeight="1" x14ac:dyDescent="0.6">
      <c r="A869" s="109"/>
      <c r="B869" s="109"/>
      <c r="C869" s="109"/>
      <c r="D869" s="110"/>
      <c r="E869" s="109"/>
      <c r="F869" s="109"/>
      <c r="G869" s="111"/>
      <c r="H869" s="109"/>
      <c r="I869" s="111"/>
      <c r="J869" s="109"/>
      <c r="K869" s="109"/>
    </row>
    <row r="870" spans="1:11" ht="21.75" customHeight="1" x14ac:dyDescent="0.6">
      <c r="A870" s="109"/>
      <c r="B870" s="109"/>
      <c r="C870" s="109"/>
      <c r="D870" s="110"/>
      <c r="E870" s="109"/>
      <c r="F870" s="109"/>
      <c r="G870" s="111"/>
      <c r="H870" s="109"/>
      <c r="I870" s="111"/>
      <c r="J870" s="109"/>
      <c r="K870" s="109"/>
    </row>
    <row r="871" spans="1:11" ht="21.75" customHeight="1" x14ac:dyDescent="0.6">
      <c r="A871" s="109"/>
      <c r="B871" s="109"/>
      <c r="C871" s="109"/>
      <c r="D871" s="110"/>
      <c r="E871" s="109"/>
      <c r="F871" s="109"/>
      <c r="G871" s="111"/>
      <c r="H871" s="109"/>
      <c r="I871" s="111"/>
      <c r="J871" s="109"/>
      <c r="K871" s="109"/>
    </row>
    <row r="872" spans="1:11" ht="21.75" customHeight="1" x14ac:dyDescent="0.6">
      <c r="A872" s="109"/>
      <c r="B872" s="109"/>
      <c r="C872" s="109"/>
      <c r="D872" s="110"/>
      <c r="E872" s="109"/>
      <c r="F872" s="109"/>
      <c r="G872" s="111"/>
      <c r="H872" s="109"/>
      <c r="I872" s="111"/>
      <c r="J872" s="109"/>
      <c r="K872" s="109"/>
    </row>
    <row r="873" spans="1:11" ht="21.75" customHeight="1" x14ac:dyDescent="0.6">
      <c r="A873" s="109"/>
      <c r="B873" s="109"/>
      <c r="C873" s="109"/>
      <c r="D873" s="110"/>
      <c r="E873" s="109"/>
      <c r="F873" s="109"/>
      <c r="G873" s="111"/>
      <c r="H873" s="109"/>
      <c r="I873" s="111"/>
      <c r="J873" s="109"/>
      <c r="K873" s="109"/>
    </row>
    <row r="874" spans="1:11" ht="21.75" customHeight="1" x14ac:dyDescent="0.6">
      <c r="A874" s="109"/>
      <c r="B874" s="109"/>
      <c r="C874" s="109"/>
      <c r="D874" s="110"/>
      <c r="E874" s="109"/>
      <c r="F874" s="109"/>
      <c r="G874" s="111"/>
      <c r="H874" s="109"/>
      <c r="I874" s="111"/>
      <c r="J874" s="109"/>
      <c r="K874" s="109"/>
    </row>
    <row r="875" spans="1:11" ht="21.75" customHeight="1" x14ac:dyDescent="0.6">
      <c r="A875" s="109"/>
      <c r="B875" s="109"/>
      <c r="C875" s="109"/>
      <c r="D875" s="110"/>
      <c r="E875" s="109"/>
      <c r="F875" s="109"/>
      <c r="G875" s="111"/>
      <c r="H875" s="109"/>
      <c r="I875" s="111"/>
      <c r="J875" s="109"/>
      <c r="K875" s="109"/>
    </row>
    <row r="876" spans="1:11" ht="21.75" customHeight="1" x14ac:dyDescent="0.6">
      <c r="A876" s="109"/>
      <c r="B876" s="109"/>
      <c r="C876" s="109"/>
      <c r="D876" s="110"/>
      <c r="E876" s="109"/>
      <c r="F876" s="109"/>
      <c r="G876" s="111"/>
      <c r="H876" s="109"/>
      <c r="I876" s="111"/>
      <c r="J876" s="109"/>
      <c r="K876" s="109"/>
    </row>
    <row r="877" spans="1:11" ht="21.75" customHeight="1" x14ac:dyDescent="0.6">
      <c r="A877" s="109"/>
      <c r="B877" s="109"/>
      <c r="C877" s="109"/>
      <c r="D877" s="110"/>
      <c r="E877" s="109"/>
      <c r="F877" s="109"/>
      <c r="G877" s="111"/>
      <c r="H877" s="109"/>
      <c r="I877" s="111"/>
      <c r="J877" s="109"/>
      <c r="K877" s="109"/>
    </row>
    <row r="878" spans="1:11" ht="21.75" customHeight="1" x14ac:dyDescent="0.6">
      <c r="A878" s="109"/>
      <c r="B878" s="109"/>
      <c r="C878" s="109"/>
      <c r="D878" s="110"/>
      <c r="E878" s="109"/>
      <c r="F878" s="109"/>
      <c r="G878" s="111"/>
      <c r="H878" s="109"/>
      <c r="I878" s="111"/>
      <c r="J878" s="109"/>
      <c r="K878" s="109"/>
    </row>
    <row r="879" spans="1:11" ht="21.75" customHeight="1" x14ac:dyDescent="0.6">
      <c r="A879" s="109"/>
      <c r="B879" s="109"/>
      <c r="C879" s="109"/>
      <c r="D879" s="110"/>
      <c r="E879" s="109"/>
      <c r="F879" s="109"/>
      <c r="G879" s="111"/>
      <c r="H879" s="109"/>
      <c r="I879" s="111"/>
      <c r="J879" s="109"/>
      <c r="K879" s="109"/>
    </row>
    <row r="880" spans="1:11" ht="21.75" customHeight="1" x14ac:dyDescent="0.6">
      <c r="A880" s="109"/>
      <c r="B880" s="109"/>
      <c r="C880" s="109"/>
      <c r="D880" s="110"/>
      <c r="E880" s="109"/>
      <c r="F880" s="109"/>
      <c r="G880" s="111"/>
      <c r="H880" s="109"/>
      <c r="I880" s="111"/>
      <c r="J880" s="109"/>
      <c r="K880" s="109"/>
    </row>
    <row r="881" spans="1:11" ht="21.75" customHeight="1" x14ac:dyDescent="0.6">
      <c r="A881" s="109"/>
      <c r="B881" s="109"/>
      <c r="C881" s="109"/>
      <c r="D881" s="110"/>
      <c r="E881" s="109"/>
      <c r="F881" s="109"/>
      <c r="G881" s="111"/>
      <c r="H881" s="109"/>
      <c r="I881" s="111"/>
      <c r="J881" s="109"/>
      <c r="K881" s="109"/>
    </row>
    <row r="882" spans="1:11" ht="21.75" customHeight="1" x14ac:dyDescent="0.6">
      <c r="A882" s="109"/>
      <c r="B882" s="109"/>
      <c r="C882" s="109"/>
      <c r="D882" s="110"/>
      <c r="E882" s="109"/>
      <c r="F882" s="109"/>
      <c r="G882" s="111"/>
      <c r="H882" s="109"/>
      <c r="I882" s="111"/>
      <c r="J882" s="109"/>
      <c r="K882" s="109"/>
    </row>
    <row r="883" spans="1:11" ht="21.75" customHeight="1" x14ac:dyDescent="0.6">
      <c r="A883" s="109"/>
      <c r="B883" s="109"/>
      <c r="C883" s="109"/>
      <c r="D883" s="110"/>
      <c r="E883" s="109"/>
      <c r="F883" s="109"/>
      <c r="G883" s="111"/>
      <c r="H883" s="109"/>
      <c r="I883" s="111"/>
      <c r="J883" s="109"/>
      <c r="K883" s="109"/>
    </row>
    <row r="884" spans="1:11" ht="21.75" customHeight="1" x14ac:dyDescent="0.6">
      <c r="A884" s="109"/>
      <c r="B884" s="109"/>
      <c r="C884" s="109"/>
      <c r="D884" s="110"/>
      <c r="E884" s="109"/>
      <c r="F884" s="109"/>
      <c r="G884" s="111"/>
      <c r="H884" s="109"/>
      <c r="I884" s="111"/>
      <c r="J884" s="109"/>
      <c r="K884" s="109"/>
    </row>
    <row r="885" spans="1:11" ht="21.75" customHeight="1" x14ac:dyDescent="0.6">
      <c r="A885" s="109"/>
      <c r="B885" s="109"/>
      <c r="C885" s="109"/>
      <c r="D885" s="110"/>
      <c r="E885" s="109"/>
      <c r="F885" s="109"/>
      <c r="G885" s="111"/>
      <c r="H885" s="109"/>
      <c r="I885" s="111"/>
      <c r="J885" s="109"/>
      <c r="K885" s="109"/>
    </row>
    <row r="886" spans="1:11" ht="21.75" customHeight="1" x14ac:dyDescent="0.6">
      <c r="A886" s="109"/>
      <c r="B886" s="109"/>
      <c r="C886" s="109"/>
      <c r="D886" s="110"/>
      <c r="E886" s="109"/>
      <c r="F886" s="109"/>
      <c r="G886" s="111"/>
      <c r="H886" s="109"/>
      <c r="I886" s="111"/>
      <c r="J886" s="109"/>
      <c r="K886" s="109"/>
    </row>
    <row r="887" spans="1:11" ht="21.75" customHeight="1" x14ac:dyDescent="0.6">
      <c r="A887" s="109"/>
      <c r="B887" s="109"/>
      <c r="C887" s="109"/>
      <c r="D887" s="110"/>
      <c r="E887" s="109"/>
      <c r="F887" s="109"/>
      <c r="G887" s="111"/>
      <c r="H887" s="109"/>
      <c r="I887" s="111"/>
      <c r="J887" s="109"/>
      <c r="K887" s="109"/>
    </row>
    <row r="888" spans="1:11" ht="21.75" customHeight="1" x14ac:dyDescent="0.6">
      <c r="A888" s="109"/>
      <c r="B888" s="109"/>
      <c r="C888" s="109"/>
      <c r="D888" s="110"/>
      <c r="E888" s="109"/>
      <c r="F888" s="109"/>
      <c r="G888" s="111"/>
      <c r="H888" s="109"/>
      <c r="I888" s="111"/>
      <c r="J888" s="109"/>
      <c r="K888" s="109"/>
    </row>
    <row r="889" spans="1:11" ht="21.75" customHeight="1" x14ac:dyDescent="0.6">
      <c r="A889" s="109"/>
      <c r="B889" s="109"/>
      <c r="C889" s="109"/>
      <c r="D889" s="110"/>
      <c r="E889" s="109"/>
      <c r="F889" s="109"/>
      <c r="G889" s="111"/>
      <c r="H889" s="109"/>
      <c r="I889" s="111"/>
      <c r="J889" s="109"/>
      <c r="K889" s="109"/>
    </row>
    <row r="890" spans="1:11" ht="21.75" customHeight="1" x14ac:dyDescent="0.6">
      <c r="A890" s="109"/>
      <c r="B890" s="109"/>
      <c r="C890" s="109"/>
      <c r="D890" s="110"/>
      <c r="E890" s="109"/>
      <c r="F890" s="109"/>
      <c r="G890" s="111"/>
      <c r="H890" s="109"/>
      <c r="I890" s="111"/>
      <c r="J890" s="109"/>
      <c r="K890" s="109"/>
    </row>
    <row r="891" spans="1:11" ht="21.75" customHeight="1" x14ac:dyDescent="0.6">
      <c r="A891" s="109"/>
      <c r="B891" s="109"/>
      <c r="C891" s="109"/>
      <c r="D891" s="110"/>
      <c r="E891" s="109"/>
      <c r="F891" s="109"/>
      <c r="G891" s="111"/>
      <c r="H891" s="109"/>
      <c r="I891" s="111"/>
      <c r="J891" s="109"/>
      <c r="K891" s="109"/>
    </row>
    <row r="892" spans="1:11" ht="21.75" customHeight="1" x14ac:dyDescent="0.6">
      <c r="A892" s="109"/>
      <c r="B892" s="109"/>
      <c r="C892" s="109"/>
      <c r="D892" s="110"/>
      <c r="E892" s="109"/>
      <c r="F892" s="109"/>
      <c r="G892" s="111"/>
      <c r="H892" s="109"/>
      <c r="I892" s="111"/>
      <c r="J892" s="109"/>
      <c r="K892" s="109"/>
    </row>
    <row r="893" spans="1:11" ht="21.75" customHeight="1" x14ac:dyDescent="0.6">
      <c r="A893" s="109"/>
      <c r="B893" s="109"/>
      <c r="C893" s="109"/>
      <c r="D893" s="110"/>
      <c r="E893" s="109"/>
      <c r="F893" s="109"/>
      <c r="G893" s="111"/>
      <c r="H893" s="109"/>
      <c r="I893" s="111"/>
      <c r="J893" s="109"/>
      <c r="K893" s="109"/>
    </row>
    <row r="894" spans="1:11" ht="21.75" customHeight="1" x14ac:dyDescent="0.6">
      <c r="A894" s="109"/>
      <c r="B894" s="109"/>
      <c r="C894" s="109"/>
      <c r="D894" s="110"/>
      <c r="E894" s="109"/>
      <c r="F894" s="109"/>
      <c r="G894" s="111"/>
      <c r="H894" s="109"/>
      <c r="I894" s="111"/>
      <c r="J894" s="109"/>
      <c r="K894" s="109"/>
    </row>
    <row r="895" spans="1:11" ht="21.75" customHeight="1" x14ac:dyDescent="0.6">
      <c r="A895" s="109"/>
      <c r="B895" s="109"/>
      <c r="C895" s="109"/>
      <c r="D895" s="110"/>
      <c r="E895" s="109"/>
      <c r="F895" s="109"/>
      <c r="G895" s="111"/>
      <c r="H895" s="109"/>
      <c r="I895" s="111"/>
      <c r="J895" s="109"/>
      <c r="K895" s="109"/>
    </row>
    <row r="896" spans="1:11" ht="21.75" customHeight="1" x14ac:dyDescent="0.6">
      <c r="A896" s="109"/>
      <c r="B896" s="109"/>
      <c r="C896" s="109"/>
      <c r="D896" s="110"/>
      <c r="E896" s="109"/>
      <c r="F896" s="109"/>
      <c r="G896" s="111"/>
      <c r="H896" s="109"/>
      <c r="I896" s="111"/>
      <c r="J896" s="109"/>
      <c r="K896" s="109"/>
    </row>
    <row r="897" spans="1:11" ht="21.75" customHeight="1" x14ac:dyDescent="0.6">
      <c r="A897" s="109"/>
      <c r="B897" s="109"/>
      <c r="C897" s="109"/>
      <c r="D897" s="110"/>
      <c r="E897" s="109"/>
      <c r="F897" s="109"/>
      <c r="G897" s="111"/>
      <c r="H897" s="109"/>
      <c r="I897" s="111"/>
      <c r="J897" s="109"/>
      <c r="K897" s="109"/>
    </row>
    <row r="898" spans="1:11" ht="21.75" customHeight="1" x14ac:dyDescent="0.6">
      <c r="A898" s="109"/>
      <c r="B898" s="109"/>
      <c r="C898" s="109"/>
      <c r="D898" s="110"/>
      <c r="E898" s="109"/>
      <c r="F898" s="109"/>
      <c r="G898" s="111"/>
      <c r="H898" s="109"/>
      <c r="I898" s="111"/>
      <c r="J898" s="109"/>
      <c r="K898" s="109"/>
    </row>
    <row r="899" spans="1:11" ht="21.75" customHeight="1" x14ac:dyDescent="0.6">
      <c r="A899" s="109"/>
      <c r="B899" s="109"/>
      <c r="C899" s="109"/>
      <c r="D899" s="110"/>
      <c r="E899" s="109"/>
      <c r="F899" s="109"/>
      <c r="G899" s="111"/>
      <c r="H899" s="109"/>
      <c r="I899" s="111"/>
      <c r="J899" s="109"/>
      <c r="K899" s="109"/>
    </row>
    <row r="900" spans="1:11" ht="21.75" customHeight="1" x14ac:dyDescent="0.6">
      <c r="A900" s="109"/>
      <c r="B900" s="109"/>
      <c r="C900" s="109"/>
      <c r="D900" s="110"/>
      <c r="E900" s="109"/>
      <c r="F900" s="109"/>
      <c r="G900" s="111"/>
      <c r="H900" s="109"/>
      <c r="I900" s="111"/>
      <c r="J900" s="109"/>
      <c r="K900" s="109"/>
    </row>
    <row r="901" spans="1:11" ht="21.75" customHeight="1" x14ac:dyDescent="0.6">
      <c r="A901" s="109"/>
      <c r="B901" s="109"/>
      <c r="C901" s="109"/>
      <c r="D901" s="110"/>
      <c r="E901" s="109"/>
      <c r="F901" s="109"/>
      <c r="G901" s="111"/>
      <c r="H901" s="109"/>
      <c r="I901" s="111"/>
      <c r="J901" s="109"/>
      <c r="K901" s="109"/>
    </row>
    <row r="902" spans="1:11" ht="21.75" customHeight="1" x14ac:dyDescent="0.6">
      <c r="A902" s="109"/>
      <c r="B902" s="109"/>
      <c r="C902" s="109"/>
      <c r="D902" s="110"/>
      <c r="E902" s="109"/>
      <c r="F902" s="109"/>
      <c r="G902" s="111"/>
      <c r="H902" s="109"/>
      <c r="I902" s="111"/>
      <c r="J902" s="109"/>
      <c r="K902" s="109"/>
    </row>
    <row r="903" spans="1:11" ht="21.75" customHeight="1" x14ac:dyDescent="0.6">
      <c r="A903" s="109"/>
      <c r="B903" s="109"/>
      <c r="C903" s="109"/>
      <c r="D903" s="110"/>
      <c r="E903" s="109"/>
      <c r="F903" s="109"/>
      <c r="G903" s="111"/>
      <c r="H903" s="109"/>
      <c r="I903" s="111"/>
      <c r="J903" s="109"/>
      <c r="K903" s="109"/>
    </row>
    <row r="904" spans="1:11" ht="21.75" customHeight="1" x14ac:dyDescent="0.6">
      <c r="A904" s="109"/>
      <c r="B904" s="109"/>
      <c r="C904" s="109"/>
      <c r="D904" s="110"/>
      <c r="E904" s="109"/>
      <c r="F904" s="109"/>
      <c r="G904" s="111"/>
      <c r="H904" s="109"/>
      <c r="I904" s="111"/>
      <c r="J904" s="109"/>
      <c r="K904" s="109"/>
    </row>
    <row r="905" spans="1:11" ht="21.75" customHeight="1" x14ac:dyDescent="0.6">
      <c r="A905" s="109"/>
      <c r="B905" s="109"/>
      <c r="C905" s="109"/>
      <c r="D905" s="110"/>
      <c r="E905" s="109"/>
      <c r="F905" s="109"/>
      <c r="G905" s="111"/>
      <c r="H905" s="109"/>
      <c r="I905" s="111"/>
      <c r="J905" s="109"/>
      <c r="K905" s="109"/>
    </row>
    <row r="906" spans="1:11" ht="21.75" customHeight="1" x14ac:dyDescent="0.6">
      <c r="A906" s="109"/>
      <c r="B906" s="109"/>
      <c r="C906" s="109"/>
      <c r="D906" s="110"/>
      <c r="E906" s="109"/>
      <c r="F906" s="109"/>
      <c r="G906" s="111"/>
      <c r="H906" s="109"/>
      <c r="I906" s="111"/>
      <c r="J906" s="109"/>
      <c r="K906" s="109"/>
    </row>
    <row r="907" spans="1:11" ht="21.75" customHeight="1" x14ac:dyDescent="0.6">
      <c r="A907" s="109"/>
      <c r="B907" s="109"/>
      <c r="C907" s="109"/>
      <c r="D907" s="110"/>
      <c r="E907" s="109"/>
      <c r="F907" s="109"/>
      <c r="G907" s="111"/>
      <c r="H907" s="109"/>
      <c r="I907" s="111"/>
      <c r="J907" s="109"/>
      <c r="K907" s="109"/>
    </row>
    <row r="908" spans="1:11" ht="21.75" customHeight="1" x14ac:dyDescent="0.6">
      <c r="A908" s="109"/>
      <c r="B908" s="109"/>
      <c r="C908" s="109"/>
      <c r="D908" s="110"/>
      <c r="E908" s="109"/>
      <c r="F908" s="109"/>
      <c r="G908" s="111"/>
      <c r="H908" s="109"/>
      <c r="I908" s="111"/>
      <c r="J908" s="109"/>
      <c r="K908" s="109"/>
    </row>
    <row r="909" spans="1:11" ht="21.75" customHeight="1" x14ac:dyDescent="0.6">
      <c r="A909" s="109"/>
      <c r="B909" s="109"/>
      <c r="C909" s="109"/>
      <c r="D909" s="110"/>
      <c r="E909" s="109"/>
      <c r="F909" s="109"/>
      <c r="G909" s="111"/>
      <c r="H909" s="109"/>
      <c r="I909" s="111"/>
      <c r="J909" s="109"/>
      <c r="K909" s="109"/>
    </row>
    <row r="910" spans="1:11" ht="21.75" customHeight="1" x14ac:dyDescent="0.6">
      <c r="A910" s="109"/>
      <c r="B910" s="109"/>
      <c r="C910" s="109"/>
      <c r="D910" s="110"/>
      <c r="E910" s="109"/>
      <c r="F910" s="109"/>
      <c r="G910" s="111"/>
      <c r="H910" s="109"/>
      <c r="I910" s="111"/>
      <c r="J910" s="109"/>
      <c r="K910" s="109"/>
    </row>
    <row r="911" spans="1:11" ht="21.75" customHeight="1" x14ac:dyDescent="0.6">
      <c r="A911" s="109"/>
      <c r="B911" s="109"/>
      <c r="C911" s="109"/>
      <c r="D911" s="110"/>
      <c r="E911" s="109"/>
      <c r="F911" s="109"/>
      <c r="G911" s="111"/>
      <c r="H911" s="109"/>
      <c r="I911" s="111"/>
      <c r="J911" s="109"/>
      <c r="K911" s="109"/>
    </row>
    <row r="912" spans="1:11" ht="21.75" customHeight="1" x14ac:dyDescent="0.6">
      <c r="A912" s="109"/>
      <c r="B912" s="109"/>
      <c r="C912" s="109"/>
      <c r="D912" s="110"/>
      <c r="E912" s="109"/>
      <c r="F912" s="109"/>
      <c r="G912" s="111"/>
      <c r="H912" s="109"/>
      <c r="I912" s="111"/>
      <c r="J912" s="109"/>
      <c r="K912" s="109"/>
    </row>
    <row r="913" spans="1:11" ht="21.75" customHeight="1" x14ac:dyDescent="0.6">
      <c r="A913" s="109"/>
      <c r="B913" s="109"/>
      <c r="C913" s="109"/>
      <c r="D913" s="110"/>
      <c r="E913" s="109"/>
      <c r="F913" s="109"/>
      <c r="G913" s="111"/>
      <c r="H913" s="109"/>
      <c r="I913" s="111"/>
      <c r="J913" s="109"/>
      <c r="K913" s="109"/>
    </row>
    <row r="914" spans="1:11" ht="21.75" customHeight="1" x14ac:dyDescent="0.6">
      <c r="A914" s="109"/>
      <c r="B914" s="109"/>
      <c r="C914" s="109"/>
      <c r="D914" s="110"/>
      <c r="E914" s="109"/>
      <c r="F914" s="109"/>
      <c r="G914" s="111"/>
      <c r="H914" s="109"/>
      <c r="I914" s="111"/>
      <c r="J914" s="109"/>
      <c r="K914" s="109"/>
    </row>
    <row r="915" spans="1:11" ht="21.75" customHeight="1" x14ac:dyDescent="0.6">
      <c r="A915" s="109"/>
      <c r="B915" s="109"/>
      <c r="C915" s="109"/>
      <c r="D915" s="110"/>
      <c r="E915" s="109"/>
      <c r="F915" s="109"/>
      <c r="G915" s="111"/>
      <c r="H915" s="109"/>
      <c r="I915" s="111"/>
      <c r="J915" s="109"/>
      <c r="K915" s="109"/>
    </row>
    <row r="916" spans="1:11" ht="21.75" customHeight="1" x14ac:dyDescent="0.6">
      <c r="A916" s="109"/>
      <c r="B916" s="109"/>
      <c r="C916" s="109"/>
      <c r="D916" s="110"/>
      <c r="E916" s="109"/>
      <c r="F916" s="109"/>
      <c r="G916" s="111"/>
      <c r="H916" s="109"/>
      <c r="I916" s="111"/>
      <c r="J916" s="109"/>
      <c r="K916" s="109"/>
    </row>
    <row r="917" spans="1:11" ht="21.75" customHeight="1" x14ac:dyDescent="0.6">
      <c r="A917" s="109"/>
      <c r="B917" s="109"/>
      <c r="C917" s="109"/>
      <c r="D917" s="110"/>
      <c r="E917" s="109"/>
      <c r="F917" s="109"/>
      <c r="G917" s="111"/>
      <c r="H917" s="109"/>
      <c r="I917" s="111"/>
      <c r="J917" s="109"/>
      <c r="K917" s="109"/>
    </row>
    <row r="918" spans="1:11" ht="21.75" customHeight="1" x14ac:dyDescent="0.6">
      <c r="A918" s="109"/>
      <c r="B918" s="109"/>
      <c r="C918" s="109"/>
      <c r="D918" s="110"/>
      <c r="E918" s="109"/>
      <c r="F918" s="109"/>
      <c r="G918" s="111"/>
      <c r="H918" s="109"/>
      <c r="I918" s="111"/>
      <c r="J918" s="109"/>
      <c r="K918" s="109"/>
    </row>
    <row r="919" spans="1:11" ht="21.75" customHeight="1" x14ac:dyDescent="0.6">
      <c r="A919" s="109"/>
      <c r="B919" s="109"/>
      <c r="C919" s="109"/>
      <c r="D919" s="110"/>
      <c r="E919" s="109"/>
      <c r="F919" s="109"/>
      <c r="G919" s="111"/>
      <c r="H919" s="109"/>
      <c r="I919" s="111"/>
      <c r="J919" s="109"/>
      <c r="K919" s="109"/>
    </row>
    <row r="920" spans="1:11" ht="21.75" customHeight="1" x14ac:dyDescent="0.6">
      <c r="A920" s="109"/>
      <c r="B920" s="109"/>
      <c r="C920" s="109"/>
      <c r="D920" s="110"/>
      <c r="E920" s="109"/>
      <c r="F920" s="109"/>
      <c r="G920" s="111"/>
      <c r="H920" s="109"/>
      <c r="I920" s="111"/>
      <c r="J920" s="109"/>
      <c r="K920" s="109"/>
    </row>
    <row r="921" spans="1:11" ht="21.75" customHeight="1" x14ac:dyDescent="0.6">
      <c r="A921" s="109"/>
      <c r="B921" s="109"/>
      <c r="C921" s="109"/>
      <c r="D921" s="110"/>
      <c r="E921" s="109"/>
      <c r="F921" s="109"/>
      <c r="G921" s="111"/>
      <c r="H921" s="109"/>
      <c r="I921" s="111"/>
      <c r="J921" s="109"/>
      <c r="K921" s="109"/>
    </row>
    <row r="922" spans="1:11" ht="21.75" customHeight="1" x14ac:dyDescent="0.6">
      <c r="A922" s="109"/>
      <c r="B922" s="109"/>
      <c r="C922" s="109"/>
      <c r="D922" s="110"/>
      <c r="E922" s="109"/>
      <c r="F922" s="109"/>
      <c r="G922" s="111"/>
      <c r="H922" s="109"/>
      <c r="I922" s="111"/>
      <c r="J922" s="109"/>
      <c r="K922" s="109"/>
    </row>
    <row r="923" spans="1:11" ht="21.75" customHeight="1" x14ac:dyDescent="0.6">
      <c r="A923" s="109"/>
      <c r="B923" s="109"/>
      <c r="C923" s="109"/>
      <c r="D923" s="110"/>
      <c r="E923" s="109"/>
      <c r="F923" s="109"/>
      <c r="G923" s="111"/>
      <c r="H923" s="109"/>
      <c r="I923" s="111"/>
      <c r="J923" s="109"/>
      <c r="K923" s="109"/>
    </row>
    <row r="924" spans="1:11" ht="21.75" customHeight="1" x14ac:dyDescent="0.6">
      <c r="A924" s="109"/>
      <c r="B924" s="109"/>
      <c r="C924" s="109"/>
      <c r="D924" s="110"/>
      <c r="E924" s="109"/>
      <c r="F924" s="109"/>
      <c r="G924" s="111"/>
      <c r="H924" s="109"/>
      <c r="I924" s="111"/>
      <c r="J924" s="109"/>
      <c r="K924" s="109"/>
    </row>
    <row r="925" spans="1:11" ht="21.75" customHeight="1" x14ac:dyDescent="0.6">
      <c r="A925" s="109"/>
      <c r="B925" s="109"/>
      <c r="C925" s="109"/>
      <c r="D925" s="110"/>
      <c r="E925" s="109"/>
      <c r="F925" s="109"/>
      <c r="G925" s="111"/>
      <c r="H925" s="109"/>
      <c r="I925" s="111"/>
      <c r="J925" s="109"/>
      <c r="K925" s="109"/>
    </row>
    <row r="926" spans="1:11" ht="21.75" customHeight="1" x14ac:dyDescent="0.6">
      <c r="A926" s="109"/>
      <c r="B926" s="109"/>
      <c r="C926" s="109"/>
      <c r="D926" s="110"/>
      <c r="E926" s="109"/>
      <c r="F926" s="109"/>
      <c r="G926" s="111"/>
      <c r="H926" s="109"/>
      <c r="I926" s="111"/>
      <c r="J926" s="109"/>
      <c r="K926" s="109"/>
    </row>
    <row r="927" spans="1:11" ht="21.75" customHeight="1" x14ac:dyDescent="0.6">
      <c r="A927" s="109"/>
      <c r="B927" s="109"/>
      <c r="C927" s="109"/>
      <c r="D927" s="110"/>
      <c r="E927" s="109"/>
      <c r="F927" s="109"/>
      <c r="G927" s="111"/>
      <c r="H927" s="109"/>
      <c r="I927" s="111"/>
      <c r="J927" s="109"/>
      <c r="K927" s="109"/>
    </row>
    <row r="928" spans="1:11" ht="21.75" customHeight="1" x14ac:dyDescent="0.6">
      <c r="A928" s="109"/>
      <c r="B928" s="109"/>
      <c r="C928" s="109"/>
      <c r="D928" s="110"/>
      <c r="E928" s="109"/>
      <c r="F928" s="109"/>
      <c r="G928" s="111"/>
      <c r="H928" s="109"/>
      <c r="I928" s="111"/>
      <c r="J928" s="109"/>
      <c r="K928" s="109"/>
    </row>
    <row r="929" spans="1:11" ht="21.75" customHeight="1" x14ac:dyDescent="0.6">
      <c r="A929" s="109"/>
      <c r="B929" s="109"/>
      <c r="C929" s="109"/>
      <c r="D929" s="110"/>
      <c r="E929" s="109"/>
      <c r="F929" s="109"/>
      <c r="G929" s="111"/>
      <c r="H929" s="109"/>
      <c r="I929" s="111"/>
      <c r="J929" s="109"/>
      <c r="K929" s="109"/>
    </row>
    <row r="930" spans="1:11" ht="21.75" customHeight="1" x14ac:dyDescent="0.6">
      <c r="A930" s="109"/>
      <c r="B930" s="109"/>
      <c r="C930" s="109"/>
      <c r="D930" s="110"/>
      <c r="E930" s="109"/>
      <c r="F930" s="109"/>
      <c r="G930" s="111"/>
      <c r="H930" s="109"/>
      <c r="I930" s="111"/>
      <c r="J930" s="109"/>
      <c r="K930" s="109"/>
    </row>
    <row r="931" spans="1:11" ht="21.75" customHeight="1" x14ac:dyDescent="0.6">
      <c r="A931" s="109"/>
      <c r="B931" s="109"/>
      <c r="C931" s="109"/>
      <c r="D931" s="110"/>
      <c r="E931" s="109"/>
      <c r="F931" s="109"/>
      <c r="G931" s="111"/>
      <c r="H931" s="109"/>
      <c r="I931" s="111"/>
      <c r="J931" s="109"/>
      <c r="K931" s="109"/>
    </row>
    <row r="932" spans="1:11" ht="21.75" customHeight="1" x14ac:dyDescent="0.6">
      <c r="A932" s="109"/>
      <c r="B932" s="109"/>
      <c r="C932" s="109"/>
      <c r="D932" s="110"/>
      <c r="E932" s="109"/>
      <c r="F932" s="109"/>
      <c r="G932" s="111"/>
      <c r="H932" s="109"/>
      <c r="I932" s="111"/>
      <c r="J932" s="109"/>
      <c r="K932" s="109"/>
    </row>
    <row r="933" spans="1:11" ht="21.75" customHeight="1" x14ac:dyDescent="0.6">
      <c r="A933" s="109"/>
      <c r="B933" s="109"/>
      <c r="C933" s="109"/>
      <c r="D933" s="110"/>
      <c r="E933" s="109"/>
      <c r="F933" s="109"/>
      <c r="G933" s="111"/>
      <c r="H933" s="109"/>
      <c r="I933" s="111"/>
      <c r="J933" s="109"/>
      <c r="K933" s="109"/>
    </row>
    <row r="934" spans="1:11" ht="21.75" customHeight="1" x14ac:dyDescent="0.6">
      <c r="A934" s="109"/>
      <c r="B934" s="109"/>
      <c r="C934" s="109"/>
      <c r="D934" s="110"/>
      <c r="E934" s="109"/>
      <c r="F934" s="109"/>
      <c r="G934" s="111"/>
      <c r="H934" s="109"/>
      <c r="I934" s="111"/>
      <c r="J934" s="109"/>
      <c r="K934" s="109"/>
    </row>
    <row r="935" spans="1:11" ht="21.75" customHeight="1" x14ac:dyDescent="0.6">
      <c r="A935" s="109"/>
      <c r="B935" s="109"/>
      <c r="C935" s="109"/>
      <c r="D935" s="110"/>
      <c r="E935" s="109"/>
      <c r="F935" s="109"/>
      <c r="G935" s="111"/>
      <c r="H935" s="109"/>
      <c r="I935" s="111"/>
      <c r="J935" s="109"/>
      <c r="K935" s="109"/>
    </row>
    <row r="936" spans="1:11" ht="21.75" customHeight="1" x14ac:dyDescent="0.6">
      <c r="A936" s="109"/>
      <c r="B936" s="109"/>
      <c r="C936" s="109"/>
      <c r="D936" s="110"/>
      <c r="E936" s="109"/>
      <c r="F936" s="109"/>
      <c r="G936" s="111"/>
      <c r="H936" s="109"/>
      <c r="I936" s="111"/>
      <c r="J936" s="109"/>
      <c r="K936" s="109"/>
    </row>
    <row r="937" spans="1:11" ht="21.75" customHeight="1" x14ac:dyDescent="0.6">
      <c r="A937" s="109"/>
      <c r="B937" s="109"/>
      <c r="C937" s="109"/>
      <c r="D937" s="110"/>
      <c r="E937" s="109"/>
      <c r="F937" s="109"/>
      <c r="G937" s="111"/>
      <c r="H937" s="109"/>
      <c r="I937" s="111"/>
      <c r="J937" s="109"/>
      <c r="K937" s="109"/>
    </row>
    <row r="938" spans="1:11" ht="21.75" customHeight="1" x14ac:dyDescent="0.6">
      <c r="A938" s="109"/>
      <c r="B938" s="109"/>
      <c r="C938" s="109"/>
      <c r="D938" s="110"/>
      <c r="E938" s="109"/>
      <c r="F938" s="109"/>
      <c r="G938" s="111"/>
      <c r="H938" s="109"/>
      <c r="I938" s="111"/>
      <c r="J938" s="109"/>
      <c r="K938" s="109"/>
    </row>
    <row r="939" spans="1:11" ht="21.75" customHeight="1" x14ac:dyDescent="0.6">
      <c r="A939" s="109"/>
      <c r="B939" s="109"/>
      <c r="C939" s="109"/>
      <c r="D939" s="110"/>
      <c r="E939" s="109"/>
      <c r="F939" s="109"/>
      <c r="G939" s="111"/>
      <c r="H939" s="109"/>
      <c r="I939" s="111"/>
      <c r="J939" s="109"/>
      <c r="K939" s="109"/>
    </row>
    <row r="940" spans="1:11" ht="21.75" customHeight="1" x14ac:dyDescent="0.6">
      <c r="A940" s="109"/>
      <c r="B940" s="109"/>
      <c r="C940" s="109"/>
      <c r="D940" s="110"/>
      <c r="E940" s="109"/>
      <c r="F940" s="109"/>
      <c r="G940" s="111"/>
      <c r="H940" s="109"/>
      <c r="I940" s="111"/>
      <c r="J940" s="109"/>
      <c r="K940" s="109"/>
    </row>
    <row r="941" spans="1:11" ht="21.75" customHeight="1" x14ac:dyDescent="0.6">
      <c r="A941" s="109"/>
      <c r="B941" s="109"/>
      <c r="C941" s="109"/>
      <c r="D941" s="110"/>
      <c r="E941" s="109"/>
      <c r="F941" s="109"/>
      <c r="G941" s="111"/>
      <c r="H941" s="109"/>
      <c r="I941" s="111"/>
      <c r="J941" s="109"/>
      <c r="K941" s="109"/>
    </row>
    <row r="942" spans="1:11" ht="21.75" customHeight="1" x14ac:dyDescent="0.6">
      <c r="A942" s="109"/>
      <c r="B942" s="109"/>
      <c r="C942" s="109"/>
      <c r="D942" s="110"/>
      <c r="E942" s="109"/>
      <c r="F942" s="109"/>
      <c r="G942" s="111"/>
      <c r="H942" s="109"/>
      <c r="I942" s="111"/>
      <c r="J942" s="109"/>
      <c r="K942" s="109"/>
    </row>
    <row r="943" spans="1:11" ht="21.75" customHeight="1" x14ac:dyDescent="0.6">
      <c r="A943" s="109"/>
      <c r="B943" s="109"/>
      <c r="C943" s="109"/>
      <c r="D943" s="110"/>
      <c r="E943" s="109"/>
      <c r="F943" s="109"/>
      <c r="G943" s="111"/>
      <c r="H943" s="109"/>
      <c r="I943" s="111"/>
      <c r="J943" s="109"/>
      <c r="K943" s="109"/>
    </row>
    <row r="944" spans="1:11" ht="21.75" customHeight="1" x14ac:dyDescent="0.6">
      <c r="A944" s="109"/>
      <c r="B944" s="109"/>
      <c r="C944" s="109"/>
      <c r="D944" s="110"/>
      <c r="E944" s="109"/>
      <c r="F944" s="109"/>
      <c r="G944" s="111"/>
      <c r="H944" s="109"/>
      <c r="I944" s="111"/>
      <c r="J944" s="109"/>
      <c r="K944" s="109"/>
    </row>
    <row r="945" spans="1:11" ht="21.75" customHeight="1" x14ac:dyDescent="0.6">
      <c r="A945" s="109"/>
      <c r="B945" s="109"/>
      <c r="C945" s="109"/>
      <c r="D945" s="110"/>
      <c r="E945" s="109"/>
      <c r="F945" s="109"/>
      <c r="G945" s="111"/>
      <c r="H945" s="109"/>
      <c r="I945" s="111"/>
      <c r="J945" s="109"/>
      <c r="K945" s="109"/>
    </row>
    <row r="946" spans="1:11" ht="21.75" customHeight="1" x14ac:dyDescent="0.6">
      <c r="A946" s="109"/>
      <c r="B946" s="109"/>
      <c r="C946" s="109"/>
      <c r="D946" s="110"/>
      <c r="E946" s="109"/>
      <c r="F946" s="109"/>
      <c r="G946" s="111"/>
      <c r="H946" s="109"/>
      <c r="I946" s="111"/>
      <c r="J946" s="109"/>
      <c r="K946" s="109"/>
    </row>
    <row r="947" spans="1:11" ht="21.75" customHeight="1" x14ac:dyDescent="0.6">
      <c r="A947" s="109"/>
      <c r="B947" s="109"/>
      <c r="C947" s="109"/>
      <c r="D947" s="110"/>
      <c r="E947" s="109"/>
      <c r="F947" s="109"/>
      <c r="G947" s="111"/>
      <c r="H947" s="109"/>
      <c r="I947" s="111"/>
      <c r="J947" s="109"/>
      <c r="K947" s="109"/>
    </row>
    <row r="948" spans="1:11" ht="21.75" customHeight="1" x14ac:dyDescent="0.6">
      <c r="A948" s="109"/>
      <c r="B948" s="109"/>
      <c r="C948" s="109"/>
      <c r="D948" s="110"/>
      <c r="E948" s="109"/>
      <c r="F948" s="109"/>
      <c r="G948" s="111"/>
      <c r="H948" s="109"/>
      <c r="I948" s="111"/>
      <c r="J948" s="109"/>
      <c r="K948" s="109"/>
    </row>
    <row r="949" spans="1:11" ht="21.75" customHeight="1" x14ac:dyDescent="0.6">
      <c r="A949" s="109"/>
      <c r="B949" s="109"/>
      <c r="C949" s="109"/>
      <c r="D949" s="110"/>
      <c r="E949" s="109"/>
      <c r="F949" s="109"/>
      <c r="G949" s="111"/>
      <c r="H949" s="109"/>
      <c r="I949" s="111"/>
      <c r="J949" s="109"/>
      <c r="K949" s="109"/>
    </row>
    <row r="950" spans="1:11" ht="21.75" customHeight="1" x14ac:dyDescent="0.6">
      <c r="A950" s="109"/>
      <c r="B950" s="109"/>
      <c r="C950" s="109"/>
      <c r="D950" s="110"/>
      <c r="E950" s="109"/>
      <c r="F950" s="109"/>
      <c r="G950" s="111"/>
      <c r="H950" s="109"/>
      <c r="I950" s="111"/>
      <c r="J950" s="109"/>
      <c r="K950" s="109"/>
    </row>
    <row r="951" spans="1:11" ht="21.75" customHeight="1" x14ac:dyDescent="0.6">
      <c r="A951" s="109"/>
      <c r="B951" s="109"/>
      <c r="C951" s="109"/>
      <c r="D951" s="110"/>
      <c r="E951" s="109"/>
      <c r="F951" s="109"/>
      <c r="G951" s="111"/>
      <c r="H951" s="109"/>
      <c r="I951" s="111"/>
      <c r="J951" s="109"/>
      <c r="K951" s="109"/>
    </row>
    <row r="952" spans="1:11" ht="21.75" customHeight="1" x14ac:dyDescent="0.6">
      <c r="A952" s="109"/>
      <c r="B952" s="109"/>
      <c r="C952" s="109"/>
      <c r="D952" s="110"/>
      <c r="E952" s="109"/>
      <c r="F952" s="109"/>
      <c r="G952" s="111"/>
      <c r="H952" s="109"/>
      <c r="I952" s="111"/>
      <c r="J952" s="109"/>
    </row>
    <row r="953" spans="1:11" ht="21.75" customHeight="1" x14ac:dyDescent="0.6">
      <c r="A953" s="109"/>
      <c r="B953" s="109"/>
      <c r="C953" s="109"/>
      <c r="D953" s="110"/>
      <c r="E953" s="109"/>
      <c r="F953" s="109"/>
      <c r="G953" s="111"/>
      <c r="H953" s="109"/>
      <c r="I953" s="111"/>
      <c r="J953" s="109"/>
    </row>
    <row r="954" spans="1:11" ht="21.75" customHeight="1" x14ac:dyDescent="0.6">
      <c r="A954" s="109"/>
      <c r="B954" s="109"/>
      <c r="C954" s="109"/>
      <c r="D954" s="110"/>
      <c r="E954" s="109"/>
      <c r="F954" s="109"/>
      <c r="G954" s="111"/>
      <c r="H954" s="109"/>
      <c r="I954" s="111"/>
      <c r="J954" s="109"/>
    </row>
    <row r="955" spans="1:11" ht="21.75" customHeight="1" x14ac:dyDescent="0.6">
      <c r="A955" s="109"/>
      <c r="B955" s="109"/>
      <c r="C955" s="109"/>
      <c r="D955" s="110"/>
      <c r="E955" s="109"/>
      <c r="F955" s="109"/>
      <c r="H955" s="109"/>
      <c r="J955" s="109"/>
    </row>
  </sheetData>
  <mergeCells count="5">
    <mergeCell ref="A1:A2"/>
    <mergeCell ref="D1:E1"/>
    <mergeCell ref="F1:G1"/>
    <mergeCell ref="B1:C1"/>
    <mergeCell ref="H1:I1"/>
  </mergeCells>
  <pageMargins left="0.511811024" right="0.511811024" top="0.78740157499999996" bottom="0.78740157499999996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047C-2988-42B2-884E-6C60DEA08100}">
  <dimension ref="B3:E35"/>
  <sheetViews>
    <sheetView workbookViewId="0">
      <selection activeCell="B19" sqref="B19:D34"/>
    </sheetView>
  </sheetViews>
  <sheetFormatPr defaultRowHeight="15" x14ac:dyDescent="0.25"/>
  <cols>
    <col min="2" max="2" width="53.5703125" customWidth="1"/>
    <col min="3" max="3" width="50.28515625" style="236" customWidth="1"/>
    <col min="4" max="4" width="64.42578125" style="236" customWidth="1"/>
  </cols>
  <sheetData>
    <row r="3" spans="2:5" ht="15.75" thickBot="1" x14ac:dyDescent="0.3"/>
    <row r="4" spans="2:5" x14ac:dyDescent="0.25">
      <c r="B4" s="244" t="s">
        <v>152</v>
      </c>
      <c r="C4" s="251" t="s">
        <v>150</v>
      </c>
      <c r="D4" s="251" t="s">
        <v>151</v>
      </c>
    </row>
    <row r="5" spans="2:5" x14ac:dyDescent="0.25">
      <c r="B5" s="250"/>
      <c r="C5" s="252"/>
      <c r="D5" s="252"/>
    </row>
    <row r="6" spans="2:5" ht="40.5" customHeight="1" x14ac:dyDescent="0.25">
      <c r="B6" s="123" t="s">
        <v>153</v>
      </c>
      <c r="C6" s="235" t="s">
        <v>157</v>
      </c>
      <c r="D6" s="233" t="s">
        <v>154</v>
      </c>
    </row>
    <row r="7" spans="2:5" ht="43.5" x14ac:dyDescent="0.25">
      <c r="B7" s="120" t="s">
        <v>155</v>
      </c>
      <c r="C7" s="234" t="s">
        <v>158</v>
      </c>
      <c r="D7" s="234" t="s">
        <v>154</v>
      </c>
    </row>
    <row r="8" spans="2:5" ht="43.5" x14ac:dyDescent="0.25">
      <c r="B8" s="123" t="s">
        <v>159</v>
      </c>
      <c r="C8" s="233" t="s">
        <v>165</v>
      </c>
      <c r="D8" s="233" t="s">
        <v>154</v>
      </c>
      <c r="E8" t="str">
        <f>UPPER(C8)</f>
        <v>REVESTIMENTO REALCE 32X56 BRANCO BRILHANTE</v>
      </c>
    </row>
    <row r="9" spans="2:5" ht="43.5" x14ac:dyDescent="0.25">
      <c r="B9" s="120" t="s">
        <v>156</v>
      </c>
      <c r="C9" s="234" t="s">
        <v>160</v>
      </c>
      <c r="D9" s="234" t="s">
        <v>154</v>
      </c>
      <c r="E9" t="str">
        <f t="shared" ref="E9:E13" si="0">UPPER(D9)</f>
        <v>PORCELANATO ELIANE 60X60 BOLD ACETINADO BLEND PLUS</v>
      </c>
    </row>
    <row r="10" spans="2:5" ht="65.25" x14ac:dyDescent="0.25">
      <c r="B10" s="123" t="s">
        <v>206</v>
      </c>
      <c r="C10" s="233" t="s">
        <v>208</v>
      </c>
      <c r="D10" s="233" t="s">
        <v>199</v>
      </c>
      <c r="E10" t="str">
        <f>UPPER(C10)</f>
        <v>TEXTURA VELVET QUEIMADO + PORCELANATO BIANCOGRES RIPA SENSE 45X90 ACETINADO + TINTA PORCELANA</v>
      </c>
    </row>
    <row r="11" spans="2:5" ht="21.75" x14ac:dyDescent="0.25">
      <c r="B11" s="120" t="s">
        <v>211</v>
      </c>
      <c r="C11" s="234" t="s">
        <v>212</v>
      </c>
      <c r="D11" s="234" t="s">
        <v>199</v>
      </c>
      <c r="E11" t="s">
        <v>207</v>
      </c>
    </row>
    <row r="12" spans="2:5" ht="21.75" x14ac:dyDescent="0.25">
      <c r="B12" s="123" t="s">
        <v>209</v>
      </c>
      <c r="C12" s="233" t="s">
        <v>213</v>
      </c>
      <c r="D12" s="233" t="s">
        <v>210</v>
      </c>
      <c r="E12" t="str">
        <f>UPPER(C12)</f>
        <v>TINTA MADEIRA ESFUMAÇADA + PORCELANA</v>
      </c>
    </row>
    <row r="13" spans="2:5" ht="43.5" x14ac:dyDescent="0.25">
      <c r="B13" s="120" t="s">
        <v>161</v>
      </c>
      <c r="C13" s="234" t="s">
        <v>158</v>
      </c>
      <c r="D13" s="234" t="s">
        <v>154</v>
      </c>
      <c r="E13" t="str">
        <f t="shared" si="0"/>
        <v>PORCELANATO ELIANE 60X60 BOLD ACETINADO BLEND PLUS</v>
      </c>
    </row>
    <row r="14" spans="2:5" ht="43.5" x14ac:dyDescent="0.25">
      <c r="B14" s="123" t="s">
        <v>162</v>
      </c>
      <c r="C14" s="233" t="s">
        <v>163</v>
      </c>
      <c r="D14" s="233" t="s">
        <v>164</v>
      </c>
      <c r="E14" t="str">
        <f>UPPER(D14)</f>
        <v xml:space="preserve"> PORCELANATO BLEND PLUS GREY RETIFICADO ACETINADO 60X60 ELIANE</v>
      </c>
    </row>
    <row r="15" spans="2:5" ht="21.75" x14ac:dyDescent="0.25">
      <c r="B15" s="120" t="s">
        <v>167</v>
      </c>
      <c r="C15" s="234" t="s">
        <v>168</v>
      </c>
      <c r="D15" s="234" t="s">
        <v>166</v>
      </c>
      <c r="E15" t="str">
        <f>UPPER(D15)</f>
        <v>PISO RETIFICADO EMBRAMACO 76X76CM ACETINADO</v>
      </c>
    </row>
    <row r="16" spans="2:5" ht="21.75" x14ac:dyDescent="0.25">
      <c r="B16" s="123" t="s">
        <v>169</v>
      </c>
      <c r="C16" s="233" t="s">
        <v>177</v>
      </c>
      <c r="D16" s="233" t="s">
        <v>170</v>
      </c>
      <c r="E16" t="str">
        <f>UPPER(D16)</f>
        <v>PORCELANATO AMADEIRADO</v>
      </c>
    </row>
    <row r="17" spans="2:5" ht="21.75" x14ac:dyDescent="0.25">
      <c r="B17" s="120" t="s">
        <v>171</v>
      </c>
      <c r="C17" s="234" t="s">
        <v>177</v>
      </c>
      <c r="D17" s="234" t="s">
        <v>170</v>
      </c>
      <c r="E17" t="str">
        <f>UPPER(D17)</f>
        <v>PORCELANATO AMADEIRADO</v>
      </c>
    </row>
    <row r="18" spans="2:5" ht="44.25" thickBot="1" x14ac:dyDescent="0.3">
      <c r="B18" s="123" t="s">
        <v>173</v>
      </c>
      <c r="C18" s="233" t="s">
        <v>177</v>
      </c>
      <c r="D18" s="233" t="s">
        <v>172</v>
      </c>
      <c r="E18" t="str">
        <f t="shared" ref="E18:E26" si="1">UPPER(D18)</f>
        <v xml:space="preserve"> PORCELANATO DELTA 73X73 RETIFICADO ACETINADO JUA CLARO 2280-A</v>
      </c>
    </row>
    <row r="19" spans="2:5" x14ac:dyDescent="0.25">
      <c r="B19" s="244" t="s">
        <v>152</v>
      </c>
      <c r="C19" s="251" t="s">
        <v>150</v>
      </c>
      <c r="D19" s="251" t="s">
        <v>151</v>
      </c>
    </row>
    <row r="20" spans="2:5" ht="32.25" customHeight="1" x14ac:dyDescent="0.25">
      <c r="B20" s="250"/>
      <c r="C20" s="252"/>
      <c r="D20" s="252"/>
    </row>
    <row r="21" spans="2:5" ht="43.5" x14ac:dyDescent="0.25">
      <c r="B21" s="120" t="s">
        <v>174</v>
      </c>
      <c r="C21" s="234" t="s">
        <v>177</v>
      </c>
      <c r="D21" s="234" t="s">
        <v>154</v>
      </c>
      <c r="E21" t="str">
        <f t="shared" si="1"/>
        <v>PORCELANATO ELIANE 60X60 BOLD ACETINADO BLEND PLUS</v>
      </c>
    </row>
    <row r="22" spans="2:5" ht="21.75" x14ac:dyDescent="0.25">
      <c r="B22" s="123" t="s">
        <v>176</v>
      </c>
      <c r="C22" s="233" t="s">
        <v>177</v>
      </c>
      <c r="D22" s="233" t="s">
        <v>175</v>
      </c>
      <c r="E22" t="str">
        <f t="shared" si="1"/>
        <v>PORCELANATO PRO CONCRETE ABS 89,5X89,5CM</v>
      </c>
    </row>
    <row r="23" spans="2:5" ht="50.25" customHeight="1" x14ac:dyDescent="0.25">
      <c r="B23" s="120" t="s">
        <v>178</v>
      </c>
      <c r="C23" s="234" t="s">
        <v>177</v>
      </c>
      <c r="D23" s="234" t="s">
        <v>179</v>
      </c>
      <c r="E23" t="str">
        <f t="shared" si="1"/>
        <v>PORCELANATO VILLAGRES 71X71 RETIFICADO ACETINADO MONTREAL FENDI</v>
      </c>
    </row>
    <row r="24" spans="2:5" ht="21.75" x14ac:dyDescent="0.25">
      <c r="B24" s="123" t="s">
        <v>180</v>
      </c>
      <c r="C24" s="233" t="s">
        <v>182</v>
      </c>
      <c r="D24" s="233" t="s">
        <v>181</v>
      </c>
      <c r="E24" t="str">
        <f t="shared" si="1"/>
        <v>PORCELANATO TIPO ARGILA | PORTOBELLO</v>
      </c>
    </row>
    <row r="25" spans="2:5" ht="43.5" x14ac:dyDescent="0.25">
      <c r="B25" s="120" t="s">
        <v>191</v>
      </c>
      <c r="C25" s="234" t="s">
        <v>184</v>
      </c>
      <c r="D25" s="234" t="s">
        <v>183</v>
      </c>
      <c r="E25" t="str">
        <f t="shared" si="1"/>
        <v xml:space="preserve"> PISO 75X75CM CEDASA RETIFICADO EVIDENCE POLIDO</v>
      </c>
    </row>
    <row r="26" spans="2:5" ht="43.5" x14ac:dyDescent="0.25">
      <c r="B26" s="123" t="s">
        <v>185</v>
      </c>
      <c r="C26" s="233" t="s">
        <v>196</v>
      </c>
      <c r="D26" s="233" t="s">
        <v>187</v>
      </c>
      <c r="E26" t="str">
        <f t="shared" si="1"/>
        <v xml:space="preserve">PORCELANATO BIANCOGRES 20X120 SCALA BEIGE-A RET </v>
      </c>
    </row>
    <row r="27" spans="2:5" ht="21.75" x14ac:dyDescent="0.25">
      <c r="B27" s="120" t="s">
        <v>186</v>
      </c>
      <c r="C27" s="234" t="s">
        <v>158</v>
      </c>
      <c r="D27" s="234" t="s">
        <v>187</v>
      </c>
      <c r="E27" t="str">
        <f t="shared" ref="E27:E34" si="2">UPPER(D27)</f>
        <v xml:space="preserve">PORCELANATO BIANCOGRES 20X120 SCALA BEIGE-A RET </v>
      </c>
    </row>
    <row r="28" spans="2:5" ht="65.25" x14ac:dyDescent="0.25">
      <c r="B28" s="123" t="s">
        <v>189</v>
      </c>
      <c r="C28" s="233" t="s">
        <v>190</v>
      </c>
      <c r="D28" s="233" t="s">
        <v>188</v>
      </c>
      <c r="E28" t="str">
        <f>UPPER(C28)</f>
        <v>PORCELANATO MARMORIZADO POLIDO BORDA RETA INTERNO 90X90CM AVORIO DI BRESCIA PORTOBELLO</v>
      </c>
    </row>
    <row r="29" spans="2:5" ht="43.5" x14ac:dyDescent="0.25">
      <c r="B29" s="120" t="s">
        <v>192</v>
      </c>
      <c r="C29" s="234" t="s">
        <v>158</v>
      </c>
      <c r="D29" s="234" t="s">
        <v>154</v>
      </c>
      <c r="E29" t="str">
        <f t="shared" si="2"/>
        <v>PORCELANATO ELIANE 60X60 BOLD ACETINADO BLEND PLUS</v>
      </c>
    </row>
    <row r="30" spans="2:5" ht="43.5" x14ac:dyDescent="0.25">
      <c r="B30" s="123" t="s">
        <v>194</v>
      </c>
      <c r="C30" s="233" t="s">
        <v>195</v>
      </c>
      <c r="D30" s="233" t="s">
        <v>193</v>
      </c>
      <c r="E30" t="str">
        <f t="shared" si="2"/>
        <v>PORCELANATO ELIZABETH EGEU SAND 74X74 A</v>
      </c>
    </row>
    <row r="31" spans="2:5" ht="21.75" x14ac:dyDescent="0.25">
      <c r="B31" s="120" t="s">
        <v>197</v>
      </c>
      <c r="C31" s="234" t="s">
        <v>198</v>
      </c>
      <c r="D31" s="234" t="s">
        <v>199</v>
      </c>
      <c r="E31" t="str">
        <f t="shared" si="2"/>
        <v>PISO VINILICO</v>
      </c>
    </row>
    <row r="32" spans="2:5" ht="21.75" x14ac:dyDescent="0.25">
      <c r="B32" s="123" t="s">
        <v>200</v>
      </c>
      <c r="C32" s="233" t="s">
        <v>160</v>
      </c>
      <c r="D32" s="233" t="s">
        <v>199</v>
      </c>
      <c r="E32" t="str">
        <f t="shared" si="2"/>
        <v>PISO VINILICO</v>
      </c>
    </row>
    <row r="33" spans="2:5" ht="21.75" x14ac:dyDescent="0.25">
      <c r="B33" s="120" t="s">
        <v>201</v>
      </c>
      <c r="C33" s="234" t="s">
        <v>202</v>
      </c>
      <c r="D33" s="234" t="s">
        <v>199</v>
      </c>
      <c r="E33" t="str">
        <f t="shared" si="2"/>
        <v>PISO VINILICO</v>
      </c>
    </row>
    <row r="34" spans="2:5" ht="21.75" x14ac:dyDescent="0.25">
      <c r="B34" s="123" t="s">
        <v>205</v>
      </c>
      <c r="C34" s="233" t="s">
        <v>203</v>
      </c>
      <c r="D34" s="233" t="s">
        <v>204</v>
      </c>
      <c r="E34" t="str">
        <f t="shared" si="2"/>
        <v>PISO MONOLITICO</v>
      </c>
    </row>
    <row r="35" spans="2:5" ht="22.5" thickBot="1" x14ac:dyDescent="0.65">
      <c r="B35" s="117"/>
      <c r="C35" s="237"/>
      <c r="D35" s="237"/>
    </row>
  </sheetData>
  <mergeCells count="6">
    <mergeCell ref="B4:B5"/>
    <mergeCell ref="C4:C5"/>
    <mergeCell ref="D4:D5"/>
    <mergeCell ref="B19:B20"/>
    <mergeCell ref="C19:C20"/>
    <mergeCell ref="D19:D20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B41D-AC33-4BC6-8D8E-4230A37183C6}">
  <dimension ref="A1:AI956"/>
  <sheetViews>
    <sheetView zoomScale="85" zoomScaleNormal="85" workbookViewId="0">
      <selection activeCell="G20" sqref="A1:G20"/>
    </sheetView>
  </sheetViews>
  <sheetFormatPr defaultColWidth="14.42578125" defaultRowHeight="15" customHeight="1" x14ac:dyDescent="0.25"/>
  <cols>
    <col min="1" max="1" width="66.28515625" style="107" customWidth="1"/>
    <col min="2" max="2" width="22.42578125" style="107" bestFit="1" customWidth="1"/>
    <col min="3" max="3" width="16.5703125" style="107" bestFit="1" customWidth="1"/>
    <col min="4" max="4" width="22.85546875" style="107" bestFit="1" customWidth="1"/>
    <col min="5" max="5" width="16.140625" style="107" bestFit="1" customWidth="1"/>
    <col min="6" max="6" width="21.28515625" style="107" bestFit="1" customWidth="1"/>
    <col min="7" max="7" width="15.85546875" style="107" customWidth="1"/>
    <col min="8" max="9" width="16.140625" style="107" hidden="1" customWidth="1"/>
    <col min="10" max="10" width="21.28515625" style="107" hidden="1" customWidth="1"/>
    <col min="11" max="11" width="15.85546875" style="107" hidden="1" customWidth="1"/>
    <col min="12" max="12" width="20.140625" style="107" customWidth="1"/>
    <col min="13" max="13" width="16.140625" style="107" customWidth="1"/>
    <col min="14" max="14" width="21.28515625" style="107" bestFit="1" customWidth="1"/>
    <col min="15" max="15" width="15.85546875" style="107" customWidth="1"/>
    <col min="16" max="17" width="16.140625" style="107" customWidth="1"/>
    <col min="18" max="18" width="21.28515625" style="107" bestFit="1" customWidth="1"/>
    <col min="19" max="19" width="15.85546875" style="107" customWidth="1"/>
    <col min="20" max="20" width="20.5703125" style="107" customWidth="1"/>
    <col min="21" max="21" width="16.140625" style="107" customWidth="1"/>
    <col min="22" max="22" width="21.28515625" style="107" bestFit="1" customWidth="1"/>
    <col min="23" max="23" width="15.85546875" style="107" customWidth="1"/>
    <col min="24" max="24" width="20.140625" style="107" customWidth="1"/>
    <col min="25" max="25" width="16.140625" style="107" customWidth="1"/>
    <col min="26" max="26" width="21.28515625" style="107" bestFit="1" customWidth="1"/>
    <col min="27" max="27" width="15.85546875" style="107" customWidth="1"/>
    <col min="28" max="28" width="51" style="107" customWidth="1"/>
    <col min="29" max="16384" width="14.42578125" style="107"/>
  </cols>
  <sheetData>
    <row r="1" spans="1:35" ht="16.5" customHeight="1" x14ac:dyDescent="0.25">
      <c r="A1" s="244" t="s">
        <v>0</v>
      </c>
      <c r="B1" s="246" t="s">
        <v>110</v>
      </c>
      <c r="C1" s="247"/>
      <c r="D1" s="246" t="s">
        <v>99</v>
      </c>
      <c r="E1" s="247"/>
      <c r="F1" s="246" t="s">
        <v>89</v>
      </c>
      <c r="G1" s="247"/>
      <c r="H1" s="246" t="s">
        <v>33</v>
      </c>
      <c r="I1" s="247"/>
      <c r="J1" s="151"/>
      <c r="K1" s="151"/>
      <c r="L1" s="246" t="s">
        <v>35</v>
      </c>
      <c r="M1" s="247"/>
      <c r="N1" s="151"/>
      <c r="O1" s="151"/>
      <c r="P1" s="246" t="s">
        <v>131</v>
      </c>
      <c r="Q1" s="247"/>
      <c r="R1" s="151"/>
      <c r="S1" s="151"/>
      <c r="T1" s="246" t="s">
        <v>43</v>
      </c>
      <c r="U1" s="247"/>
      <c r="V1" s="151"/>
      <c r="W1" s="151"/>
      <c r="X1" s="246" t="s">
        <v>57</v>
      </c>
      <c r="Y1" s="247"/>
      <c r="Z1" s="253" t="s">
        <v>89</v>
      </c>
      <c r="AA1" s="254"/>
      <c r="AB1" s="254"/>
    </row>
    <row r="2" spans="1:35" ht="22.5" thickBot="1" x14ac:dyDescent="0.3">
      <c r="A2" s="245"/>
      <c r="B2" s="127" t="s">
        <v>88</v>
      </c>
      <c r="C2" s="126" t="s">
        <v>1</v>
      </c>
      <c r="D2" s="127" t="s">
        <v>88</v>
      </c>
      <c r="E2" s="126" t="s">
        <v>1</v>
      </c>
      <c r="F2" s="127"/>
      <c r="G2" s="126"/>
      <c r="H2" s="127" t="s">
        <v>88</v>
      </c>
      <c r="I2" s="126" t="s">
        <v>1</v>
      </c>
      <c r="J2" s="127"/>
      <c r="K2" s="126"/>
      <c r="L2" s="127" t="s">
        <v>88</v>
      </c>
      <c r="M2" s="126" t="s">
        <v>1</v>
      </c>
      <c r="N2" s="127"/>
      <c r="O2" s="126"/>
      <c r="P2" s="127" t="s">
        <v>88</v>
      </c>
      <c r="Q2" s="126" t="s">
        <v>1</v>
      </c>
      <c r="R2" s="127"/>
      <c r="S2" s="126"/>
      <c r="T2" s="127" t="s">
        <v>88</v>
      </c>
      <c r="U2" s="126" t="s">
        <v>1</v>
      </c>
      <c r="V2" s="127"/>
      <c r="W2" s="126"/>
      <c r="X2" s="127" t="s">
        <v>88</v>
      </c>
      <c r="Y2" s="126" t="s">
        <v>1</v>
      </c>
      <c r="Z2" s="127"/>
      <c r="AA2" s="126"/>
      <c r="AB2" s="126"/>
      <c r="AD2" s="107" t="s">
        <v>47</v>
      </c>
      <c r="AF2" s="107" t="s">
        <v>43</v>
      </c>
      <c r="AH2" s="107" t="s">
        <v>57</v>
      </c>
    </row>
    <row r="3" spans="1:35" ht="20.25" thickBot="1" x14ac:dyDescent="0.3">
      <c r="A3" s="147" t="s">
        <v>16</v>
      </c>
      <c r="B3" s="147">
        <f>[3]GER_EXECUTIVO!$B$2</f>
        <v>7834981.5618648324</v>
      </c>
      <c r="C3" s="147">
        <f>B3/'SEM IMPREVISTOS'!$G$2</f>
        <v>502.1506687473655</v>
      </c>
      <c r="D3" s="147">
        <f>'ORÇAMENTO_EXECUTIVO - IMPREVIST'!E2</f>
        <v>7713624.6351084877</v>
      </c>
      <c r="E3" s="147">
        <f>D3/'SEM IMPREVISTOS'!$G$2</f>
        <v>494.37279952755347</v>
      </c>
      <c r="F3" s="147">
        <f>D3-B3</f>
        <v>-121356.92675634474</v>
      </c>
      <c r="G3" s="147">
        <f t="shared" ref="G3" si="0">E3-C3</f>
        <v>-7.7778692198120325</v>
      </c>
      <c r="H3" s="147"/>
      <c r="I3" s="147"/>
      <c r="J3" s="147">
        <f>D3-H3</f>
        <v>7713624.6351084877</v>
      </c>
      <c r="K3" s="147">
        <f>E3-I3</f>
        <v>494.37279952755347</v>
      </c>
      <c r="L3" s="147">
        <v>2434594.8154722066</v>
      </c>
      <c r="M3" s="147">
        <v>231.41678354815801</v>
      </c>
      <c r="N3" s="147">
        <f t="shared" ref="N3:N19" si="1">L3-D3</f>
        <v>-5279029.8196362816</v>
      </c>
      <c r="O3" s="147">
        <f t="shared" ref="O3:O19" si="2">M3-E3</f>
        <v>-262.95601597939549</v>
      </c>
      <c r="P3" s="147">
        <v>1755488.6750710597</v>
      </c>
      <c r="Q3" s="147">
        <v>107.38181654571845</v>
      </c>
      <c r="R3" s="147">
        <f>P3-D3</f>
        <v>-5958135.960037428</v>
      </c>
      <c r="S3" s="147">
        <f>Q3-E3</f>
        <v>-386.99098298183503</v>
      </c>
      <c r="T3" s="147">
        <v>3687674.5316896592</v>
      </c>
      <c r="U3" s="147">
        <v>440.76669236713792</v>
      </c>
      <c r="V3" s="147">
        <f>T3-D3</f>
        <v>-4025950.1034188285</v>
      </c>
      <c r="W3" s="147">
        <f>U3-E3</f>
        <v>-53.606107160415547</v>
      </c>
      <c r="X3" s="147">
        <v>5163084.7869089954</v>
      </c>
      <c r="Y3" s="147">
        <v>384.3213736571858</v>
      </c>
      <c r="Z3" s="147">
        <f>X3-D3</f>
        <v>-2550539.8481994923</v>
      </c>
      <c r="AA3" s="147">
        <f>Y3-E3</f>
        <v>-110.05142587036767</v>
      </c>
      <c r="AB3" s="147"/>
      <c r="AC3" s="107" t="s">
        <v>25</v>
      </c>
      <c r="AD3" s="107" t="s">
        <v>24</v>
      </c>
      <c r="AE3" s="107" t="s">
        <v>25</v>
      </c>
      <c r="AF3" s="107" t="s">
        <v>24</v>
      </c>
      <c r="AG3" s="107" t="s">
        <v>25</v>
      </c>
      <c r="AH3" s="107" t="s">
        <v>24</v>
      </c>
      <c r="AI3" s="107" t="s">
        <v>25</v>
      </c>
    </row>
    <row r="4" spans="1:35" ht="19.5" customHeight="1" thickBot="1" x14ac:dyDescent="0.3">
      <c r="A4" s="148" t="s">
        <v>2</v>
      </c>
      <c r="B4" s="148">
        <f>[3]ANÁLISE_CUSTOS!$B3</f>
        <v>1346662.2828556453</v>
      </c>
      <c r="C4" s="148">
        <f>B4/'SEM IMPREVISTOS'!$G$2</f>
        <v>86.30873736885539</v>
      </c>
      <c r="D4" s="148">
        <f>'[1]Ger_Executivo MEGA'!$N$8</f>
        <v>1744878.4163000002</v>
      </c>
      <c r="E4" s="148">
        <f>D4/'SEM IMPREVISTOS'!$G$2</f>
        <v>111.83074991427848</v>
      </c>
      <c r="F4" s="148">
        <f t="shared" ref="F4:F19" si="3">D4-B4</f>
        <v>398216.13344435487</v>
      </c>
      <c r="G4" s="148">
        <f t="shared" ref="G4:G19" si="4">E4-C4</f>
        <v>25.522012545423095</v>
      </c>
      <c r="H4" s="148"/>
      <c r="I4" s="148"/>
      <c r="J4" s="147">
        <f t="shared" ref="J4:J19" si="5">D4-H4</f>
        <v>1744878.4163000002</v>
      </c>
      <c r="K4" s="147">
        <f t="shared" ref="K4:K19" si="6">E4-I4</f>
        <v>111.83074991427848</v>
      </c>
      <c r="L4" s="148">
        <v>0</v>
      </c>
      <c r="M4" s="148">
        <v>0</v>
      </c>
      <c r="N4" s="147">
        <f t="shared" si="1"/>
        <v>-1744878.4163000002</v>
      </c>
      <c r="O4" s="147">
        <f t="shared" si="2"/>
        <v>-111.83074991427848</v>
      </c>
      <c r="P4" s="148">
        <v>474494.56607664016</v>
      </c>
      <c r="Q4" s="148">
        <v>29.024447249321948</v>
      </c>
      <c r="R4" s="147">
        <f t="shared" ref="R4:R19" si="7">P4-D4</f>
        <v>-1270383.8502233601</v>
      </c>
      <c r="S4" s="147">
        <f t="shared" ref="S4:S19" si="8">Q4-E4</f>
        <v>-82.806302664956533</v>
      </c>
      <c r="T4" s="148">
        <v>108650.80505302231</v>
      </c>
      <c r="U4" s="148">
        <v>12.986410691809276</v>
      </c>
      <c r="V4" s="147">
        <f t="shared" ref="V4:V19" si="9">T4-D4</f>
        <v>-1636227.6112469779</v>
      </c>
      <c r="W4" s="147">
        <f t="shared" ref="W4:W19" si="10">U4-E4</f>
        <v>-98.844339222469216</v>
      </c>
      <c r="X4" s="148">
        <v>274980.68557549705</v>
      </c>
      <c r="Y4" s="148">
        <v>20.468568534362216</v>
      </c>
      <c r="Z4" s="147">
        <f t="shared" ref="Z4:Z19" si="11">X4-D4</f>
        <v>-1469897.7307245031</v>
      </c>
      <c r="AA4" s="147">
        <f t="shared" ref="AA4:AA19" si="12">Y4-E4</f>
        <v>-91.362181379916265</v>
      </c>
      <c r="AB4" s="148"/>
      <c r="AC4" s="107">
        <v>1013.5593893524579</v>
      </c>
      <c r="AD4" s="107">
        <v>515.91027321165393</v>
      </c>
      <c r="AE4" s="107">
        <v>564.73126857544457</v>
      </c>
      <c r="AF4" s="107">
        <v>419.36860920337062</v>
      </c>
      <c r="AG4" s="107">
        <v>447.85100067890653</v>
      </c>
      <c r="AH4" s="107">
        <v>387.84287163668489</v>
      </c>
      <c r="AI4" s="107">
        <v>413.323749138952</v>
      </c>
    </row>
    <row r="5" spans="1:35" ht="19.5" customHeight="1" thickBot="1" x14ac:dyDescent="0.3">
      <c r="A5" s="149" t="s">
        <v>3</v>
      </c>
      <c r="B5" s="149">
        <f>[3]ANÁLISE_CUSTOS!$B4</f>
        <v>0</v>
      </c>
      <c r="C5" s="149">
        <f>B5/'SEM IMPREVISTOS'!$G$2</f>
        <v>0</v>
      </c>
      <c r="D5" s="149"/>
      <c r="E5" s="149">
        <f>D5/'SEM IMPREVISTOS'!$G$2</f>
        <v>0</v>
      </c>
      <c r="F5" s="149">
        <f t="shared" si="3"/>
        <v>0</v>
      </c>
      <c r="G5" s="149">
        <f t="shared" si="4"/>
        <v>0</v>
      </c>
      <c r="H5" s="149"/>
      <c r="I5" s="149"/>
      <c r="J5" s="147">
        <f t="shared" si="5"/>
        <v>0</v>
      </c>
      <c r="K5" s="147">
        <f t="shared" si="6"/>
        <v>0</v>
      </c>
      <c r="L5" s="149">
        <v>0</v>
      </c>
      <c r="M5" s="149">
        <v>0</v>
      </c>
      <c r="N5" s="147">
        <f t="shared" si="1"/>
        <v>0</v>
      </c>
      <c r="O5" s="147">
        <f t="shared" si="2"/>
        <v>0</v>
      </c>
      <c r="P5" s="149">
        <v>0</v>
      </c>
      <c r="Q5" s="149">
        <v>0</v>
      </c>
      <c r="R5" s="147">
        <f t="shared" si="7"/>
        <v>0</v>
      </c>
      <c r="S5" s="147">
        <f t="shared" si="8"/>
        <v>0</v>
      </c>
      <c r="T5" s="149">
        <v>6755554.8176802266</v>
      </c>
      <c r="U5" s="149">
        <v>0</v>
      </c>
      <c r="V5" s="147">
        <f t="shared" si="9"/>
        <v>6755554.8176802266</v>
      </c>
      <c r="W5" s="147">
        <f t="shared" si="10"/>
        <v>0</v>
      </c>
      <c r="X5" s="149">
        <v>0</v>
      </c>
      <c r="Y5" s="149">
        <v>0</v>
      </c>
      <c r="Z5" s="147">
        <f t="shared" si="11"/>
        <v>0</v>
      </c>
      <c r="AA5" s="147">
        <f t="shared" si="12"/>
        <v>0</v>
      </c>
      <c r="AB5" s="149"/>
      <c r="AC5" s="107">
        <v>2.877881727075505</v>
      </c>
      <c r="AE5" s="107">
        <v>0</v>
      </c>
      <c r="AF5" s="107">
        <v>7.3706627622064183</v>
      </c>
      <c r="AG5" s="107">
        <v>7.8712584139079302</v>
      </c>
      <c r="AH5" s="107">
        <v>6.8428238485249304</v>
      </c>
      <c r="AI5" s="107">
        <v>7.2923903328025892</v>
      </c>
    </row>
    <row r="6" spans="1:35" ht="19.5" customHeight="1" thickBot="1" x14ac:dyDescent="0.3">
      <c r="A6" s="148" t="s">
        <v>105</v>
      </c>
      <c r="B6" s="148">
        <f>[3]ANÁLISE_CUSTOS!$B5</f>
        <v>0</v>
      </c>
      <c r="C6" s="148">
        <f>B6/'SEM IMPREVISTOS'!$G$2</f>
        <v>0</v>
      </c>
      <c r="D6" s="148"/>
      <c r="E6" s="148">
        <f>D6/'SEM IMPREVISTOS'!$G$2</f>
        <v>0</v>
      </c>
      <c r="F6" s="148">
        <f t="shared" si="3"/>
        <v>0</v>
      </c>
      <c r="G6" s="148">
        <f t="shared" si="4"/>
        <v>0</v>
      </c>
      <c r="H6" s="148"/>
      <c r="I6" s="148"/>
      <c r="J6" s="147">
        <f t="shared" si="5"/>
        <v>0</v>
      </c>
      <c r="K6" s="147">
        <f t="shared" si="6"/>
        <v>0</v>
      </c>
      <c r="L6" s="148">
        <v>0</v>
      </c>
      <c r="M6" s="148">
        <v>0</v>
      </c>
      <c r="N6" s="147">
        <f t="shared" si="1"/>
        <v>0</v>
      </c>
      <c r="O6" s="147">
        <f t="shared" si="2"/>
        <v>0</v>
      </c>
      <c r="P6" s="148">
        <v>0</v>
      </c>
      <c r="Q6" s="148">
        <v>0</v>
      </c>
      <c r="R6" s="147">
        <f t="shared" si="7"/>
        <v>0</v>
      </c>
      <c r="S6" s="147">
        <f t="shared" si="8"/>
        <v>0</v>
      </c>
      <c r="T6" s="148">
        <v>0</v>
      </c>
      <c r="U6" s="148">
        <v>0</v>
      </c>
      <c r="V6" s="147">
        <f t="shared" si="9"/>
        <v>0</v>
      </c>
      <c r="W6" s="147">
        <f t="shared" si="10"/>
        <v>0</v>
      </c>
      <c r="X6" s="148">
        <v>0</v>
      </c>
      <c r="Y6" s="148">
        <v>0</v>
      </c>
      <c r="Z6" s="147">
        <f t="shared" si="11"/>
        <v>0</v>
      </c>
      <c r="AA6" s="147">
        <f t="shared" si="12"/>
        <v>0</v>
      </c>
      <c r="AB6" s="148"/>
      <c r="AC6" s="107">
        <v>173.92813909034513</v>
      </c>
      <c r="AD6" s="107">
        <v>112.98609001247024</v>
      </c>
      <c r="AE6" s="107">
        <v>123.67805267166048</v>
      </c>
      <c r="AF6" s="107">
        <v>183.12102790892249</v>
      </c>
      <c r="AG6" s="107">
        <v>195.55811711837049</v>
      </c>
      <c r="AH6" s="107">
        <v>169.29129875862435</v>
      </c>
      <c r="AI6" s="107">
        <v>180.41356285404157</v>
      </c>
    </row>
    <row r="7" spans="1:35" ht="19.5" customHeight="1" thickBot="1" x14ac:dyDescent="0.3">
      <c r="A7" s="149" t="s">
        <v>106</v>
      </c>
      <c r="B7" s="149">
        <f>[3]ANÁLISE_CUSTOS!$B6</f>
        <v>17779417.467750378</v>
      </c>
      <c r="C7" s="149">
        <f>B7/'SEM IMPREVISTOS'!$G$2</f>
        <v>1139.4980704006241</v>
      </c>
      <c r="D7" s="149">
        <f>'[1]Ger_Executivo MEGA'!$N$14</f>
        <v>10000</v>
      </c>
      <c r="E7" s="149">
        <f>D7/'SEM IMPREVISTOS'!$G$2</f>
        <v>0.64090855196326313</v>
      </c>
      <c r="F7" s="149">
        <f t="shared" si="3"/>
        <v>-17769417.467750378</v>
      </c>
      <c r="G7" s="149">
        <f t="shared" si="4"/>
        <v>-1138.8571618486608</v>
      </c>
      <c r="H7" s="149"/>
      <c r="I7" s="149"/>
      <c r="J7" s="147">
        <f t="shared" si="5"/>
        <v>10000</v>
      </c>
      <c r="K7" s="147">
        <f t="shared" si="6"/>
        <v>0.64090855196326313</v>
      </c>
      <c r="L7" s="149">
        <v>9420328.6583880242</v>
      </c>
      <c r="M7" s="149">
        <v>895.43530785341852</v>
      </c>
      <c r="N7" s="147">
        <f t="shared" si="1"/>
        <v>9410328.6583880242</v>
      </c>
      <c r="O7" s="147">
        <f t="shared" si="2"/>
        <v>894.79439930145531</v>
      </c>
      <c r="P7" s="149">
        <v>9366782.1594412923</v>
      </c>
      <c r="Q7" s="149">
        <v>572.95845752358332</v>
      </c>
      <c r="R7" s="147">
        <f t="shared" si="7"/>
        <v>9356782.1594412923</v>
      </c>
      <c r="S7" s="147">
        <f t="shared" si="8"/>
        <v>572.31754897162011</v>
      </c>
      <c r="T7" s="149">
        <v>6755554.8176802266</v>
      </c>
      <c r="U7" s="149">
        <v>807.45291551786602</v>
      </c>
      <c r="V7" s="147">
        <f t="shared" si="9"/>
        <v>6745554.8176802266</v>
      </c>
      <c r="W7" s="147">
        <f t="shared" si="10"/>
        <v>806.81200696590281</v>
      </c>
      <c r="X7" s="149">
        <v>12426123.109634139</v>
      </c>
      <c r="Y7" s="149">
        <v>924.95569990182878</v>
      </c>
      <c r="Z7" s="147">
        <f t="shared" si="11"/>
        <v>12416123.109634139</v>
      </c>
      <c r="AA7" s="147">
        <f t="shared" si="12"/>
        <v>924.31479134986557</v>
      </c>
      <c r="AB7" s="149"/>
      <c r="AC7" s="107">
        <v>602.0211895505945</v>
      </c>
      <c r="AD7" s="107">
        <v>624.69265389411635</v>
      </c>
      <c r="AE7" s="107">
        <v>683.80781159334435</v>
      </c>
      <c r="AF7" s="107">
        <v>683.35961752226137</v>
      </c>
      <c r="AG7" s="107">
        <v>729.77157043837178</v>
      </c>
      <c r="AH7" s="107">
        <v>638.8580996465015</v>
      </c>
      <c r="AI7" s="107">
        <v>680.83041928648402</v>
      </c>
    </row>
    <row r="8" spans="1:35" ht="38.25" customHeight="1" thickBot="1" x14ac:dyDescent="0.3">
      <c r="A8" s="148" t="s">
        <v>37</v>
      </c>
      <c r="B8" s="148">
        <f>[3]ANÁLISE_CUSTOS!$B7</f>
        <v>3443813.4084999999</v>
      </c>
      <c r="C8" s="148">
        <f>B8/'SEM IMPREVISTOS'!$G$2</f>
        <v>220.71694648734044</v>
      </c>
      <c r="D8" s="148">
        <f>'[1]Ger_Executivo MEGA'!$N$58</f>
        <v>140936.1734</v>
      </c>
      <c r="E8" s="148">
        <f>D8/'SEM IMPREVISTOS'!$G$2</f>
        <v>9.0327198813037359</v>
      </c>
      <c r="F8" s="148">
        <f t="shared" si="3"/>
        <v>-3302877.2350999997</v>
      </c>
      <c r="G8" s="148">
        <f t="shared" si="4"/>
        <v>-211.6842266060367</v>
      </c>
      <c r="H8" s="148"/>
      <c r="I8" s="148"/>
      <c r="J8" s="147">
        <f t="shared" si="5"/>
        <v>140936.1734</v>
      </c>
      <c r="K8" s="147">
        <f t="shared" si="6"/>
        <v>9.0327198813037359</v>
      </c>
      <c r="L8" s="148">
        <v>1679390.0716857952</v>
      </c>
      <c r="M8" s="148">
        <v>159.6319216004155</v>
      </c>
      <c r="N8" s="147">
        <f t="shared" si="1"/>
        <v>1538453.8982857952</v>
      </c>
      <c r="O8" s="147">
        <f t="shared" si="2"/>
        <v>150.59920171911176</v>
      </c>
      <c r="P8" s="148">
        <v>821712.56835227017</v>
      </c>
      <c r="Q8" s="148">
        <v>50.263490457745561</v>
      </c>
      <c r="R8" s="147">
        <f t="shared" si="7"/>
        <v>680776.3949522702</v>
      </c>
      <c r="S8" s="147">
        <f t="shared" si="8"/>
        <v>41.230770576441827</v>
      </c>
      <c r="T8" s="148">
        <v>1543964.1763205086</v>
      </c>
      <c r="U8" s="148">
        <v>184.5412270747037</v>
      </c>
      <c r="V8" s="147">
        <f t="shared" si="9"/>
        <v>1403028.0029205086</v>
      </c>
      <c r="W8" s="147">
        <f t="shared" si="10"/>
        <v>175.50850719339996</v>
      </c>
      <c r="X8" s="148">
        <v>2854366.3863263996</v>
      </c>
      <c r="Y8" s="148">
        <v>212.46871895175701</v>
      </c>
      <c r="Z8" s="147">
        <f t="shared" si="11"/>
        <v>2713430.2129263994</v>
      </c>
      <c r="AA8" s="147">
        <f t="shared" si="12"/>
        <v>203.43599907045328</v>
      </c>
      <c r="AB8" s="148"/>
      <c r="AC8" s="107">
        <v>148.69852012643776</v>
      </c>
      <c r="AD8" s="107">
        <v>98.954850923931531</v>
      </c>
      <c r="AE8" s="107">
        <v>108.31902638046462</v>
      </c>
      <c r="AF8" s="107">
        <v>122.17230861172533</v>
      </c>
      <c r="AG8" s="107">
        <v>130.46992422954486</v>
      </c>
      <c r="AH8" s="107">
        <v>117.5542987459702</v>
      </c>
      <c r="AI8" s="107">
        <v>125.27749518779351</v>
      </c>
    </row>
    <row r="9" spans="1:35" ht="19.5" customHeight="1" thickBot="1" x14ac:dyDescent="0.3">
      <c r="A9" s="149" t="s">
        <v>107</v>
      </c>
      <c r="B9" s="149">
        <f>[3]ANÁLISE_CUSTOS!$B8</f>
        <v>5989391.9512</v>
      </c>
      <c r="C9" s="149">
        <f>B9/'SEM IMPREVISTOS'!$G$2</f>
        <v>383.86525225840148</v>
      </c>
      <c r="D9" s="149">
        <f>'[1]Ger_Executivo MEGA'!$N$99+'[1]Ger_Executivo MEGA'!$N$123+'[1]Ger_Executivo MEGA'!$N$147+'[1]Ger_Executivo MEGA'!$N$161+'[1]Ger_Executivo MEGA'!$N$168+'[1]Ger_Executivo MEGA'!$N$328</f>
        <v>944605.89521745569</v>
      </c>
      <c r="E9" s="149">
        <f>D9/'SEM IMPREVISTOS'!$G$2</f>
        <v>60.540599647978134</v>
      </c>
      <c r="F9" s="149">
        <f t="shared" si="3"/>
        <v>-5044786.0559825441</v>
      </c>
      <c r="G9" s="149">
        <f t="shared" si="4"/>
        <v>-323.32465261042336</v>
      </c>
      <c r="H9" s="149"/>
      <c r="I9" s="149"/>
      <c r="J9" s="147">
        <f t="shared" si="5"/>
        <v>944605.89521745569</v>
      </c>
      <c r="K9" s="147">
        <f t="shared" si="6"/>
        <v>60.540599647978134</v>
      </c>
      <c r="L9" s="149">
        <v>3782057.4464057586</v>
      </c>
      <c r="M9" s="149">
        <v>359.49783671572618</v>
      </c>
      <c r="N9" s="147">
        <f t="shared" si="1"/>
        <v>2837451.5511883032</v>
      </c>
      <c r="O9" s="147">
        <f t="shared" si="2"/>
        <v>298.95723706774805</v>
      </c>
      <c r="P9" s="149">
        <v>2366895.938286656</v>
      </c>
      <c r="Q9" s="149">
        <v>144.7811022862997</v>
      </c>
      <c r="R9" s="147">
        <f t="shared" si="7"/>
        <v>1422290.0430692004</v>
      </c>
      <c r="S9" s="147">
        <f t="shared" si="8"/>
        <v>84.240502638321573</v>
      </c>
      <c r="T9" s="149">
        <v>2891997.9608363835</v>
      </c>
      <c r="U9" s="149">
        <v>345.66401253049463</v>
      </c>
      <c r="V9" s="147">
        <f t="shared" si="9"/>
        <v>1947392.0656189278</v>
      </c>
      <c r="W9" s="147">
        <f t="shared" si="10"/>
        <v>285.1234128825165</v>
      </c>
      <c r="X9" s="149">
        <v>5242188.4395240787</v>
      </c>
      <c r="Y9" s="149">
        <v>390.20956370035771</v>
      </c>
      <c r="Z9" s="147">
        <f t="shared" si="11"/>
        <v>4297582.5443066228</v>
      </c>
      <c r="AA9" s="147">
        <f t="shared" si="12"/>
        <v>329.66896405237958</v>
      </c>
      <c r="AB9" s="149"/>
      <c r="AC9" s="107">
        <v>436.32006311350381</v>
      </c>
      <c r="AD9" s="107">
        <v>338.5</v>
      </c>
      <c r="AE9" s="107">
        <v>370.53252152310466</v>
      </c>
      <c r="AF9" s="107">
        <v>330.15727484611244</v>
      </c>
      <c r="AG9" s="107">
        <v>352.58067169626344</v>
      </c>
      <c r="AH9" s="107">
        <v>333.15409598869758</v>
      </c>
      <c r="AI9" s="107">
        <v>355.04197721606931</v>
      </c>
    </row>
    <row r="10" spans="1:35" ht="39" customHeight="1" thickBot="1" x14ac:dyDescent="0.3">
      <c r="A10" s="148" t="s">
        <v>20</v>
      </c>
      <c r="B10" s="148">
        <f>[3]ANÁLISE_CUSTOS!$B9</f>
        <v>2674089.7999999998</v>
      </c>
      <c r="C10" s="148">
        <f>B10/'SEM IMPREVISTOS'!$G$2</f>
        <v>171.38470215377316</v>
      </c>
      <c r="D10" s="148">
        <f>'[1]Ger_Executivo MEGA'!$N$178+'[1]Ger_Executivo MEGA'!$N$182</f>
        <v>3137657.7611449147</v>
      </c>
      <c r="E10" s="148">
        <f>D10/'SEM IMPREVISTOS'!$G$2</f>
        <v>201.09516922516812</v>
      </c>
      <c r="F10" s="148">
        <f t="shared" si="3"/>
        <v>463567.96114491485</v>
      </c>
      <c r="G10" s="148">
        <f t="shared" si="4"/>
        <v>29.710467071394959</v>
      </c>
      <c r="H10" s="148"/>
      <c r="I10" s="148"/>
      <c r="J10" s="147">
        <f t="shared" si="5"/>
        <v>3137657.7611449147</v>
      </c>
      <c r="K10" s="147">
        <f t="shared" si="6"/>
        <v>201.09516922516812</v>
      </c>
      <c r="L10" s="148">
        <v>1799763.404008141</v>
      </c>
      <c r="M10" s="148">
        <v>171.07382939303019</v>
      </c>
      <c r="N10" s="147">
        <f t="shared" si="1"/>
        <v>-1337894.3571367736</v>
      </c>
      <c r="O10" s="147">
        <f t="shared" si="2"/>
        <v>-30.021339832137926</v>
      </c>
      <c r="P10" s="148">
        <v>4096799.4029512391</v>
      </c>
      <c r="Q10" s="148">
        <v>250.59789229031136</v>
      </c>
      <c r="R10" s="147">
        <f t="shared" si="7"/>
        <v>959141.64180632448</v>
      </c>
      <c r="S10" s="147">
        <f t="shared" si="8"/>
        <v>49.502723065143243</v>
      </c>
      <c r="T10" s="148">
        <v>973244.48341089545</v>
      </c>
      <c r="U10" s="148">
        <v>116.32635910008911</v>
      </c>
      <c r="V10" s="147">
        <f t="shared" si="9"/>
        <v>-2164413.2777340193</v>
      </c>
      <c r="W10" s="147">
        <f t="shared" si="10"/>
        <v>-84.768810125079014</v>
      </c>
      <c r="X10" s="148">
        <v>1544387.2366947874</v>
      </c>
      <c r="Y10" s="148">
        <v>114.958604935191</v>
      </c>
      <c r="Z10" s="147">
        <f t="shared" si="11"/>
        <v>-1593270.5244501273</v>
      </c>
      <c r="AA10" s="147">
        <f t="shared" si="12"/>
        <v>-86.136564289977116</v>
      </c>
      <c r="AB10" s="148"/>
      <c r="AC10" s="107">
        <v>347.9252146869004</v>
      </c>
      <c r="AD10" s="107">
        <v>195.68217889128218</v>
      </c>
      <c r="AE10" s="107">
        <v>214.19973755309317</v>
      </c>
      <c r="AF10" s="107">
        <v>147.2589649196199</v>
      </c>
      <c r="AG10" s="107">
        <v>157.26039896851128</v>
      </c>
      <c r="AH10" s="107">
        <v>118.2060447556216</v>
      </c>
      <c r="AI10" s="107">
        <v>125.97206023950811</v>
      </c>
    </row>
    <row r="11" spans="1:35" ht="19.5" customHeight="1" thickBot="1" x14ac:dyDescent="0.3">
      <c r="A11" s="149" t="s">
        <v>7</v>
      </c>
      <c r="B11" s="149">
        <f>[3]ANÁLISE_CUSTOS!$B10</f>
        <v>584238.34439999994</v>
      </c>
      <c r="C11" s="149">
        <f>B11/'SEM IMPREVISTOS'!$G$2</f>
        <v>37.444335131081814</v>
      </c>
      <c r="D11" s="149">
        <f>'[1]Ger_Executivo MEGA'!$N$77</f>
        <v>130000</v>
      </c>
      <c r="E11" s="149">
        <f>D11/'SEM IMPREVISTOS'!$G$2</f>
        <v>8.3318111755224198</v>
      </c>
      <c r="F11" s="149">
        <f t="shared" si="3"/>
        <v>-454238.34439999994</v>
      </c>
      <c r="G11" s="149">
        <f t="shared" si="4"/>
        <v>-29.112523955559396</v>
      </c>
      <c r="H11" s="204"/>
      <c r="I11" s="204"/>
      <c r="J11" s="147">
        <f t="shared" si="5"/>
        <v>130000</v>
      </c>
      <c r="K11" s="147">
        <f t="shared" si="6"/>
        <v>8.3318111755224198</v>
      </c>
      <c r="L11" s="204">
        <v>800333.35992668313</v>
      </c>
      <c r="M11" s="204">
        <v>76.074495330181023</v>
      </c>
      <c r="N11" s="147">
        <f t="shared" si="1"/>
        <v>670333.35992668313</v>
      </c>
      <c r="O11" s="147">
        <f t="shared" si="2"/>
        <v>67.742684154658605</v>
      </c>
      <c r="P11" s="204">
        <v>378634.57359779027</v>
      </c>
      <c r="Q11" s="204">
        <v>23.160769361442014</v>
      </c>
      <c r="R11" s="147">
        <f t="shared" si="7"/>
        <v>248634.57359779027</v>
      </c>
      <c r="S11" s="147">
        <f t="shared" si="8"/>
        <v>14.828958185919594</v>
      </c>
      <c r="T11" s="204">
        <v>267167.91318923543</v>
      </c>
      <c r="U11" s="204">
        <v>31.933056019749646</v>
      </c>
      <c r="V11" s="147">
        <f t="shared" si="9"/>
        <v>137167.91318923543</v>
      </c>
      <c r="W11" s="147">
        <f t="shared" si="10"/>
        <v>23.601244844227224</v>
      </c>
      <c r="X11" s="204">
        <v>762863.9513789484</v>
      </c>
      <c r="Y11" s="204">
        <v>56.784835773155727</v>
      </c>
      <c r="Z11" s="147">
        <f t="shared" si="11"/>
        <v>632863.9513789484</v>
      </c>
      <c r="AA11" s="147">
        <f t="shared" si="12"/>
        <v>48.453024597633309</v>
      </c>
      <c r="AB11" s="149"/>
      <c r="AC11" s="107">
        <v>58.231972712852318</v>
      </c>
      <c r="AD11" s="107">
        <v>43.49527037750822</v>
      </c>
      <c r="AE11" s="107">
        <v>47.611262059992093</v>
      </c>
      <c r="AF11" s="107">
        <v>73.241233490706989</v>
      </c>
      <c r="AG11" s="107">
        <v>78.215581686191044</v>
      </c>
      <c r="AH11" s="107">
        <v>59.845885402205845</v>
      </c>
      <c r="AI11" s="107">
        <v>63.77769848030416</v>
      </c>
    </row>
    <row r="12" spans="1:35" ht="19.5" customHeight="1" thickBot="1" x14ac:dyDescent="0.3">
      <c r="A12" s="148" t="s">
        <v>108</v>
      </c>
      <c r="B12" s="148">
        <f>[3]ANÁLISE_CUSTOS!$B11</f>
        <v>1770784.6070999999</v>
      </c>
      <c r="C12" s="148">
        <f>B12/'SEM IMPREVISTOS'!$G$2</f>
        <v>113.49109983752967</v>
      </c>
      <c r="D12" s="148">
        <f>'[1]Ger_Executivo MEGA'!$N$195</f>
        <v>0</v>
      </c>
      <c r="E12" s="148">
        <f>D12/'SEM IMPREVISTOS'!$G$2</f>
        <v>0</v>
      </c>
      <c r="F12" s="148">
        <f t="shared" si="3"/>
        <v>-1770784.6070999999</v>
      </c>
      <c r="G12" s="148">
        <f t="shared" si="4"/>
        <v>-113.49109983752967</v>
      </c>
      <c r="H12" s="148"/>
      <c r="I12" s="148"/>
      <c r="J12" s="147">
        <f t="shared" si="5"/>
        <v>0</v>
      </c>
      <c r="K12" s="147">
        <f t="shared" si="6"/>
        <v>0</v>
      </c>
      <c r="L12" s="148">
        <v>2026265.9390017157</v>
      </c>
      <c r="M12" s="148">
        <v>192.60369045270335</v>
      </c>
      <c r="N12" s="147">
        <f t="shared" si="1"/>
        <v>2026265.9390017157</v>
      </c>
      <c r="O12" s="147">
        <f t="shared" si="2"/>
        <v>192.60369045270335</v>
      </c>
      <c r="P12" s="148">
        <v>0</v>
      </c>
      <c r="Q12" s="148">
        <v>0</v>
      </c>
      <c r="R12" s="147">
        <f t="shared" si="7"/>
        <v>0</v>
      </c>
      <c r="S12" s="147">
        <f t="shared" si="8"/>
        <v>0</v>
      </c>
      <c r="T12" s="148">
        <v>2836010.0624431046</v>
      </c>
      <c r="U12" s="148">
        <v>338.97209854097946</v>
      </c>
      <c r="V12" s="147">
        <f t="shared" si="9"/>
        <v>2836010.0624431046</v>
      </c>
      <c r="W12" s="147">
        <f t="shared" si="10"/>
        <v>338.97209854097946</v>
      </c>
      <c r="X12" s="148">
        <v>2921450.8168411837</v>
      </c>
      <c r="Y12" s="148">
        <v>217.46224153574053</v>
      </c>
      <c r="Z12" s="147">
        <f t="shared" si="11"/>
        <v>2921450.8168411837</v>
      </c>
      <c r="AA12" s="147">
        <f t="shared" si="12"/>
        <v>217.46224153574053</v>
      </c>
      <c r="AB12" s="148"/>
      <c r="AC12" s="107">
        <v>212.90030289236859</v>
      </c>
      <c r="AD12" s="107">
        <v>140.41604806711257</v>
      </c>
      <c r="AE12" s="107">
        <v>153.70372925440677</v>
      </c>
      <c r="AF12" s="107">
        <v>163.65372803442298</v>
      </c>
      <c r="AG12" s="107">
        <v>174.76865043446097</v>
      </c>
      <c r="AH12" s="107">
        <v>165.42047265616569</v>
      </c>
      <c r="AI12" s="107">
        <v>176.28842746046948</v>
      </c>
    </row>
    <row r="13" spans="1:35" ht="20.25" thickBot="1" x14ac:dyDescent="0.3">
      <c r="A13" s="149" t="s">
        <v>96</v>
      </c>
      <c r="B13" s="149">
        <f>[3]ANÁLISE_CUSTOS!$B12</f>
        <v>1322855.6975999998</v>
      </c>
      <c r="C13" s="149">
        <f>B13/'SEM IMPREVISTOS'!$G$2</f>
        <v>84.782952960516823</v>
      </c>
      <c r="D13" s="149">
        <f>'[1]Ger_Executivo MEGA'!$N$210</f>
        <v>20914.870200000001</v>
      </c>
      <c r="E13" s="149">
        <f>D13/'SEM IMPREVISTOS'!$G$2</f>
        <v>1.3404519174381604</v>
      </c>
      <c r="F13" s="149">
        <f t="shared" si="3"/>
        <v>-1301940.8273999998</v>
      </c>
      <c r="G13" s="149">
        <f t="shared" si="4"/>
        <v>-83.442501043078664</v>
      </c>
      <c r="H13" s="204"/>
      <c r="I13" s="204"/>
      <c r="J13" s="147">
        <f t="shared" si="5"/>
        <v>20914.870200000001</v>
      </c>
      <c r="K13" s="147">
        <f t="shared" si="6"/>
        <v>1.3404519174381604</v>
      </c>
      <c r="L13" s="204">
        <v>612037.06456812075</v>
      </c>
      <c r="M13" s="204">
        <v>58.176271465993253</v>
      </c>
      <c r="N13" s="147">
        <f t="shared" si="1"/>
        <v>591122.19436812075</v>
      </c>
      <c r="O13" s="147">
        <f t="shared" si="2"/>
        <v>56.835819548555094</v>
      </c>
      <c r="P13" s="204">
        <v>0</v>
      </c>
      <c r="Q13" s="204">
        <v>0</v>
      </c>
      <c r="R13" s="147">
        <f t="shared" si="7"/>
        <v>-20914.870200000001</v>
      </c>
      <c r="S13" s="147">
        <f t="shared" si="8"/>
        <v>-1.3404519174381604</v>
      </c>
      <c r="T13" s="204">
        <v>589277.60942297708</v>
      </c>
      <c r="U13" s="204">
        <v>70.432989831228952</v>
      </c>
      <c r="V13" s="147">
        <f t="shared" si="9"/>
        <v>568362.73922297708</v>
      </c>
      <c r="W13" s="147">
        <f t="shared" si="10"/>
        <v>69.092537913790792</v>
      </c>
      <c r="X13" s="204">
        <v>707200.64314234839</v>
      </c>
      <c r="Y13" s="204">
        <v>52.641460258960343</v>
      </c>
      <c r="Z13" s="147">
        <f t="shared" si="11"/>
        <v>686285.77294234838</v>
      </c>
      <c r="AA13" s="147">
        <f t="shared" si="12"/>
        <v>51.301008341522184</v>
      </c>
      <c r="AB13" s="149"/>
      <c r="AC13" s="107">
        <v>136.257220013092</v>
      </c>
      <c r="AD13" s="107">
        <v>43.3805600272078</v>
      </c>
      <c r="AE13" s="107">
        <v>47.485696578923807</v>
      </c>
      <c r="AF13" s="107">
        <v>53.764127173848088</v>
      </c>
      <c r="AG13" s="107">
        <v>57.415642532651269</v>
      </c>
      <c r="AH13" s="107">
        <v>56.684687028492014</v>
      </c>
      <c r="AI13" s="107">
        <v>60.408812626913189</v>
      </c>
    </row>
    <row r="14" spans="1:35" ht="19.5" customHeight="1" thickBot="1" x14ac:dyDescent="0.3">
      <c r="A14" s="148" t="s">
        <v>18</v>
      </c>
      <c r="B14" s="148">
        <f>[3]ANÁLISE_CUSTOS!$B13</f>
        <v>1139432.2263999998</v>
      </c>
      <c r="C14" s="148">
        <f>B14/'SEM IMPREVISTOS'!$G$2</f>
        <v>73.027185828230088</v>
      </c>
      <c r="D14" s="148">
        <f>'[1]Ger_Executivo MEGA'!$N$220</f>
        <v>358428.63506666676</v>
      </c>
      <c r="E14" s="148">
        <f>D14/'SEM IMPREVISTOS'!$G$2</f>
        <v>22.971997748274624</v>
      </c>
      <c r="F14" s="148">
        <f t="shared" si="3"/>
        <v>-781003.59133333305</v>
      </c>
      <c r="G14" s="148">
        <f t="shared" si="4"/>
        <v>-50.055188079955464</v>
      </c>
      <c r="H14" s="148"/>
      <c r="I14" s="148"/>
      <c r="J14" s="147">
        <f t="shared" si="5"/>
        <v>358428.63506666676</v>
      </c>
      <c r="K14" s="147">
        <f t="shared" si="6"/>
        <v>22.971997748274624</v>
      </c>
      <c r="L14" s="148">
        <v>629386.66723250051</v>
      </c>
      <c r="M14" s="148">
        <v>59.825412102830839</v>
      </c>
      <c r="N14" s="147">
        <f t="shared" si="1"/>
        <v>270958.03216583375</v>
      </c>
      <c r="O14" s="147">
        <f t="shared" si="2"/>
        <v>36.853414354556215</v>
      </c>
      <c r="P14" s="148">
        <v>862904.81654515001</v>
      </c>
      <c r="Q14" s="148">
        <v>52.783186825695338</v>
      </c>
      <c r="R14" s="147">
        <f t="shared" si="7"/>
        <v>504476.18147848325</v>
      </c>
      <c r="S14" s="147">
        <f t="shared" si="8"/>
        <v>29.811189077420714</v>
      </c>
      <c r="T14" s="148">
        <v>556545.34935217293</v>
      </c>
      <c r="U14" s="148">
        <v>66.520689577741351</v>
      </c>
      <c r="V14" s="147">
        <f t="shared" si="9"/>
        <v>198116.71428550617</v>
      </c>
      <c r="W14" s="147">
        <f t="shared" si="10"/>
        <v>43.548691829466726</v>
      </c>
      <c r="X14" s="148">
        <v>862572.94354779937</v>
      </c>
      <c r="Y14" s="148">
        <v>64.206812831031584</v>
      </c>
      <c r="Z14" s="147">
        <f t="shared" si="11"/>
        <v>504144.30848113261</v>
      </c>
      <c r="AA14" s="147">
        <f t="shared" si="12"/>
        <v>41.23481508275696</v>
      </c>
      <c r="AB14" s="148"/>
      <c r="AC14" s="107">
        <v>220.51994616110255</v>
      </c>
      <c r="AD14" s="107">
        <v>235.68856592223105</v>
      </c>
      <c r="AE14" s="107">
        <v>257.99196048841583</v>
      </c>
      <c r="AF14" s="107">
        <v>189.08185134763636</v>
      </c>
      <c r="AG14" s="107">
        <v>201.92378370216505</v>
      </c>
      <c r="AH14" s="107">
        <v>139.61446098007411</v>
      </c>
      <c r="AI14" s="107">
        <v>148.78698737656501</v>
      </c>
    </row>
    <row r="15" spans="1:35" ht="19.5" customHeight="1" thickBot="1" x14ac:dyDescent="0.3">
      <c r="A15" s="149" t="s">
        <v>56</v>
      </c>
      <c r="B15" s="149">
        <f>[3]ANÁLISE_CUSTOS!$B14</f>
        <v>2973237.5630880003</v>
      </c>
      <c r="C15" s="149">
        <f>B15/'SEM IMPREVISTOS'!$G$2</f>
        <v>190.55733812015114</v>
      </c>
      <c r="D15" s="149">
        <f>'[1]Ger_Executivo MEGA'!$N$235</f>
        <v>52103.947999999997</v>
      </c>
      <c r="E15" s="149">
        <f>D15/'SEM IMPREVISTOS'!$G$2</f>
        <v>3.3393865864249155</v>
      </c>
      <c r="F15" s="149">
        <f t="shared" si="3"/>
        <v>-2921133.6150880004</v>
      </c>
      <c r="G15" s="149">
        <f t="shared" si="4"/>
        <v>-187.21795153372622</v>
      </c>
      <c r="H15" s="204"/>
      <c r="I15" s="204"/>
      <c r="J15" s="147">
        <f t="shared" si="5"/>
        <v>52103.947999999997</v>
      </c>
      <c r="K15" s="147">
        <f t="shared" si="6"/>
        <v>3.3393865864249155</v>
      </c>
      <c r="L15" s="204">
        <v>542621.15219706122</v>
      </c>
      <c r="M15" s="204">
        <v>51.578045319333341</v>
      </c>
      <c r="N15" s="147">
        <f t="shared" si="1"/>
        <v>490517.20419706125</v>
      </c>
      <c r="O15" s="147">
        <f t="shared" si="2"/>
        <v>48.238658732908426</v>
      </c>
      <c r="P15" s="204">
        <v>0</v>
      </c>
      <c r="Q15" s="204">
        <v>0</v>
      </c>
      <c r="R15" s="147">
        <f t="shared" si="7"/>
        <v>-52103.947999999997</v>
      </c>
      <c r="S15" s="147">
        <f t="shared" si="8"/>
        <v>-3.3393865864249155</v>
      </c>
      <c r="T15" s="204">
        <v>1496779.0416155246</v>
      </c>
      <c r="U15" s="204">
        <v>178.90145719422992</v>
      </c>
      <c r="V15" s="147">
        <f t="shared" si="9"/>
        <v>1444675.0936155245</v>
      </c>
      <c r="W15" s="147">
        <f t="shared" si="10"/>
        <v>175.562070607805</v>
      </c>
      <c r="X15" s="204">
        <v>2193634.7414702685</v>
      </c>
      <c r="Y15" s="204">
        <v>163.28624299983611</v>
      </c>
      <c r="Z15" s="147">
        <f t="shared" si="11"/>
        <v>2141530.7934702686</v>
      </c>
      <c r="AA15" s="147">
        <f t="shared" si="12"/>
        <v>159.94685641341118</v>
      </c>
      <c r="AB15" s="149"/>
      <c r="AC15" s="107">
        <v>175.5593047658862</v>
      </c>
      <c r="AD15" s="107">
        <v>17.510173449722252</v>
      </c>
      <c r="AE15" s="107">
        <v>19.167174950169887</v>
      </c>
      <c r="AF15" s="107">
        <v>134.65857048945196</v>
      </c>
      <c r="AG15" s="107">
        <v>143.8042195343395</v>
      </c>
      <c r="AH15" s="107">
        <v>136.50222270026924</v>
      </c>
      <c r="AI15" s="107">
        <v>145.47027824486355</v>
      </c>
    </row>
    <row r="16" spans="1:35" ht="19.5" customHeight="1" thickBot="1" x14ac:dyDescent="0.3">
      <c r="A16" s="148" t="s">
        <v>109</v>
      </c>
      <c r="B16" s="148">
        <f>[3]ANÁLISE_CUSTOS!$B15</f>
        <v>2806557.2601000001</v>
      </c>
      <c r="C16" s="148">
        <f>B16/'SEM IMPREVISTOS'!$G$2</f>
        <v>179.87465495726741</v>
      </c>
      <c r="D16" s="148">
        <f>'[1]Ger_Executivo MEGA'!$N$267</f>
        <v>312741.32236301922</v>
      </c>
      <c r="E16" s="148">
        <f>D16/'SEM IMPREVISTOS'!$G$2</f>
        <v>20.043858805475871</v>
      </c>
      <c r="F16" s="148">
        <f t="shared" si="3"/>
        <v>-2493815.9377369806</v>
      </c>
      <c r="G16" s="148">
        <f t="shared" si="4"/>
        <v>-159.83079615179153</v>
      </c>
      <c r="H16" s="148"/>
      <c r="I16" s="148"/>
      <c r="J16" s="147">
        <f t="shared" si="5"/>
        <v>312741.32236301922</v>
      </c>
      <c r="K16" s="147">
        <f t="shared" si="6"/>
        <v>20.043858805475871</v>
      </c>
      <c r="L16" s="148">
        <v>1439529.6394882642</v>
      </c>
      <c r="M16" s="148">
        <v>136.83234552029577</v>
      </c>
      <c r="N16" s="147">
        <f t="shared" si="1"/>
        <v>1126788.317125245</v>
      </c>
      <c r="O16" s="147">
        <f t="shared" si="2"/>
        <v>116.7884867148199</v>
      </c>
      <c r="P16" s="148">
        <v>0</v>
      </c>
      <c r="Q16" s="148">
        <v>0</v>
      </c>
      <c r="R16" s="147">
        <f t="shared" si="7"/>
        <v>-312741.32236301922</v>
      </c>
      <c r="S16" s="147">
        <f t="shared" si="8"/>
        <v>-20.043858805475871</v>
      </c>
      <c r="T16" s="148">
        <v>1249969.4785060091</v>
      </c>
      <c r="U16" s="148">
        <v>149.40171858076965</v>
      </c>
      <c r="V16" s="147">
        <f t="shared" si="9"/>
        <v>937228.15614298987</v>
      </c>
      <c r="W16" s="147">
        <f t="shared" si="10"/>
        <v>129.35785977529378</v>
      </c>
      <c r="X16" s="148">
        <v>3018741.8922870774</v>
      </c>
      <c r="Y16" s="148">
        <v>224.70423761040422</v>
      </c>
      <c r="Z16" s="147">
        <f t="shared" si="11"/>
        <v>2706000.5699240584</v>
      </c>
      <c r="AA16" s="147">
        <f t="shared" si="12"/>
        <v>204.66037880492834</v>
      </c>
      <c r="AB16" s="148"/>
      <c r="AC16" s="107">
        <v>785.01399280502926</v>
      </c>
      <c r="AD16" s="107">
        <v>73.435460832105193</v>
      </c>
      <c r="AE16" s="107">
        <v>80.384716311170251</v>
      </c>
      <c r="AF16" s="107">
        <v>246.44935755692345</v>
      </c>
      <c r="AG16" s="107">
        <v>263.18753711252907</v>
      </c>
      <c r="AH16" s="107">
        <v>223.83737034856324</v>
      </c>
      <c r="AI16" s="107">
        <v>238.54325520913176</v>
      </c>
    </row>
    <row r="17" spans="1:35" ht="19.5" customHeight="1" thickBot="1" x14ac:dyDescent="0.3">
      <c r="A17" s="149" t="s">
        <v>10</v>
      </c>
      <c r="B17" s="149">
        <f>[3]ANÁLISE_CUSTOS!$B16</f>
        <v>3656203.8515660008</v>
      </c>
      <c r="C17" s="149">
        <f>B17/'SEM IMPREVISTOS'!$G$2</f>
        <v>234.3292316189671</v>
      </c>
      <c r="D17" s="149">
        <f>'[1]Ger_Executivo MEGA'!$N$293</f>
        <v>124889.95708200001</v>
      </c>
      <c r="E17" s="149">
        <f>D17/'SEM IMPREVISTOS'!$G$2</f>
        <v>8.0043041548178699</v>
      </c>
      <c r="F17" s="149">
        <f t="shared" si="3"/>
        <v>-3531313.8944840007</v>
      </c>
      <c r="G17" s="149">
        <f t="shared" si="4"/>
        <v>-226.32492746414923</v>
      </c>
      <c r="H17" s="204"/>
      <c r="I17" s="204"/>
      <c r="J17" s="147">
        <f t="shared" si="5"/>
        <v>124889.95708200001</v>
      </c>
      <c r="K17" s="147">
        <f t="shared" si="6"/>
        <v>8.0043041548178699</v>
      </c>
      <c r="L17" s="204">
        <v>2367640.4679094409</v>
      </c>
      <c r="M17" s="204">
        <v>225.05253777753876</v>
      </c>
      <c r="N17" s="147">
        <f t="shared" si="1"/>
        <v>2242750.5108274408</v>
      </c>
      <c r="O17" s="147">
        <f t="shared" si="2"/>
        <v>217.04823362272089</v>
      </c>
      <c r="P17" s="204">
        <v>4464254.3700156668</v>
      </c>
      <c r="Q17" s="204">
        <v>273.07481419955019</v>
      </c>
      <c r="R17" s="147">
        <f t="shared" si="7"/>
        <v>4339364.4129336672</v>
      </c>
      <c r="S17" s="147">
        <f t="shared" si="8"/>
        <v>265.07051004473232</v>
      </c>
      <c r="T17" s="204">
        <v>2132929.2924718405</v>
      </c>
      <c r="U17" s="204">
        <v>254.93686636847431</v>
      </c>
      <c r="V17" s="147">
        <f t="shared" si="9"/>
        <v>2008039.3353898404</v>
      </c>
      <c r="W17" s="147">
        <f t="shared" si="10"/>
        <v>246.93256221365644</v>
      </c>
      <c r="X17" s="204">
        <v>3537375.2055186341</v>
      </c>
      <c r="Y17" s="204">
        <v>263.30942725805636</v>
      </c>
      <c r="Z17" s="147">
        <f t="shared" si="11"/>
        <v>3412485.248436634</v>
      </c>
      <c r="AA17" s="147">
        <f t="shared" si="12"/>
        <v>255.30512310323849</v>
      </c>
      <c r="AB17" s="149"/>
      <c r="AC17" s="107">
        <v>19.72023313848328</v>
      </c>
      <c r="AD17" s="107">
        <v>289.35719306201111</v>
      </c>
      <c r="AE17" s="107">
        <v>316.73929207124013</v>
      </c>
      <c r="AF17" s="107">
        <v>14.670230084264626</v>
      </c>
      <c r="AG17" s="107">
        <v>15.666592776002428</v>
      </c>
      <c r="AH17" s="107">
        <v>0</v>
      </c>
      <c r="AI17" s="107">
        <v>0</v>
      </c>
    </row>
    <row r="18" spans="1:35" ht="19.5" customHeight="1" thickBot="1" x14ac:dyDescent="0.3">
      <c r="A18" s="148" t="s">
        <v>11</v>
      </c>
      <c r="B18" s="148">
        <f>[3]ANÁLISE_CUSTOS!$B17</f>
        <v>0</v>
      </c>
      <c r="C18" s="148">
        <f>B18/'SEM IMPREVISTOS'!$G$2</f>
        <v>0</v>
      </c>
      <c r="D18" s="148">
        <f>'[1]Ger_Executivo MEGA'!$N$338</f>
        <v>932576.06880000036</v>
      </c>
      <c r="E18" s="148">
        <f>D18/'SEM IMPREVISTOS'!$G$2</f>
        <v>59.769597785020068</v>
      </c>
      <c r="F18" s="148">
        <f t="shared" si="3"/>
        <v>932576.06880000036</v>
      </c>
      <c r="G18" s="148">
        <f t="shared" si="4"/>
        <v>59.769597785020068</v>
      </c>
      <c r="H18" s="148"/>
      <c r="I18" s="148"/>
      <c r="J18" s="147">
        <f t="shared" si="5"/>
        <v>932576.06880000036</v>
      </c>
      <c r="K18" s="147">
        <f t="shared" si="6"/>
        <v>59.769597785020068</v>
      </c>
      <c r="L18" s="148">
        <v>440509.45690135774</v>
      </c>
      <c r="M18" s="148">
        <v>41.87197023127068</v>
      </c>
      <c r="N18" s="147">
        <f t="shared" si="1"/>
        <v>-492066.61189864262</v>
      </c>
      <c r="O18" s="147">
        <f t="shared" si="2"/>
        <v>-17.897627553749388</v>
      </c>
      <c r="P18" s="148">
        <v>0</v>
      </c>
      <c r="Q18" s="148">
        <v>0</v>
      </c>
      <c r="R18" s="147">
        <f t="shared" si="7"/>
        <v>-932576.06880000036</v>
      </c>
      <c r="S18" s="147">
        <f t="shared" si="8"/>
        <v>-59.769597785020068</v>
      </c>
      <c r="T18" s="148">
        <v>333415.46990727459</v>
      </c>
      <c r="U18" s="148">
        <v>39.851248420160708</v>
      </c>
      <c r="V18" s="147">
        <f t="shared" si="9"/>
        <v>-599160.59889272577</v>
      </c>
      <c r="W18" s="147">
        <f t="shared" si="10"/>
        <v>-19.91834936485936</v>
      </c>
      <c r="X18" s="148">
        <v>6623.3191035800155</v>
      </c>
      <c r="Y18" s="148">
        <v>0.49301593932988014</v>
      </c>
      <c r="Z18" s="147">
        <f t="shared" si="11"/>
        <v>-925952.74969642039</v>
      </c>
      <c r="AA18" s="147">
        <f t="shared" si="12"/>
        <v>-59.276581845690188</v>
      </c>
      <c r="AB18" s="148"/>
      <c r="AC18" s="107">
        <v>159.43580472846224</v>
      </c>
      <c r="AD18" s="107">
        <v>93.244353247931087</v>
      </c>
      <c r="AE18" s="107">
        <v>102.06813981313738</v>
      </c>
      <c r="AF18" s="107">
        <v>132.67686965875814</v>
      </c>
      <c r="AG18" s="107">
        <v>141.68792689679955</v>
      </c>
      <c r="AH18" s="107">
        <v>162.49165509304919</v>
      </c>
      <c r="AI18" s="107">
        <v>173.16718959776793</v>
      </c>
    </row>
    <row r="19" spans="1:35" ht="19.5" customHeight="1" thickBot="1" x14ac:dyDescent="0.3">
      <c r="A19" s="150" t="s">
        <v>12</v>
      </c>
      <c r="B19" s="150">
        <f>[3]ANÁLISE_CUSTOS!$B18</f>
        <v>2711159.5100000002</v>
      </c>
      <c r="C19" s="150">
        <f>B19/'SEM IMPREVISTOS'!$G$2</f>
        <v>173.76053156955302</v>
      </c>
      <c r="D19" s="150">
        <f>'[1]Ger_Executivo MEGA'!$N$346</f>
        <v>203840.99999999994</v>
      </c>
      <c r="E19" s="150">
        <f>D19/'SEM IMPREVISTOS'!$G$2</f>
        <v>13.064344014074347</v>
      </c>
      <c r="F19" s="150">
        <f t="shared" si="3"/>
        <v>-2507318.5100000002</v>
      </c>
      <c r="G19" s="150">
        <f t="shared" si="4"/>
        <v>-160.69618755547867</v>
      </c>
      <c r="H19" s="205"/>
      <c r="I19" s="205"/>
      <c r="J19" s="147">
        <f t="shared" si="5"/>
        <v>203840.99999999994</v>
      </c>
      <c r="K19" s="147">
        <f t="shared" si="6"/>
        <v>13.064344014074347</v>
      </c>
      <c r="L19" s="205">
        <v>2117620.7084645252</v>
      </c>
      <c r="M19" s="205">
        <v>201.28728197952029</v>
      </c>
      <c r="N19" s="147">
        <f t="shared" si="1"/>
        <v>1913779.7084645252</v>
      </c>
      <c r="O19" s="147">
        <f t="shared" si="2"/>
        <v>188.22293796544594</v>
      </c>
      <c r="P19" s="205">
        <v>1902988.9695746482</v>
      </c>
      <c r="Q19" s="205">
        <v>116.40428976912595</v>
      </c>
      <c r="R19" s="147">
        <f t="shared" si="7"/>
        <v>1699147.9695746482</v>
      </c>
      <c r="S19" s="147">
        <f t="shared" si="8"/>
        <v>103.3399457550516</v>
      </c>
      <c r="T19" s="205">
        <v>1511748.0386714579</v>
      </c>
      <c r="U19" s="205">
        <v>180.69061598893899</v>
      </c>
      <c r="V19" s="147">
        <f t="shared" si="9"/>
        <v>1307907.0386714579</v>
      </c>
      <c r="W19" s="147">
        <f t="shared" si="10"/>
        <v>167.62627197486464</v>
      </c>
      <c r="X19" s="205">
        <v>2538432.0935425372</v>
      </c>
      <c r="Y19" s="205">
        <v>188.95171189117823</v>
      </c>
      <c r="Z19" s="147">
        <f t="shared" si="11"/>
        <v>2334591.0935425372</v>
      </c>
      <c r="AA19" s="147">
        <f t="shared" si="12"/>
        <v>175.88736787710388</v>
      </c>
      <c r="AB19" s="150"/>
      <c r="AC19" s="107">
        <v>263.83653221332412</v>
      </c>
      <c r="AD19" s="107">
        <v>217.6074141253826</v>
      </c>
      <c r="AE19" s="107">
        <v>238.19977506056273</v>
      </c>
      <c r="AF19" s="107">
        <v>123.27582621167751</v>
      </c>
      <c r="AG19" s="107">
        <v>131.64838978600167</v>
      </c>
      <c r="AH19" s="107">
        <v>165.47857467718799</v>
      </c>
      <c r="AI19" s="107">
        <v>176.35034672447489</v>
      </c>
    </row>
    <row r="20" spans="1:35" ht="19.5" customHeight="1" thickBot="1" x14ac:dyDescent="0.65">
      <c r="A20" s="146" t="s">
        <v>13</v>
      </c>
      <c r="B20" s="116">
        <f t="shared" ref="B20:AA20" si="13">SUM(B3:B19)</f>
        <v>56032825.53242486</v>
      </c>
      <c r="C20" s="135">
        <f t="shared" si="13"/>
        <v>3591.1917074396579</v>
      </c>
      <c r="D20" s="116">
        <f t="shared" si="13"/>
        <v>15827198.682682546</v>
      </c>
      <c r="E20" s="135">
        <f t="shared" si="13"/>
        <v>1014.3786989352933</v>
      </c>
      <c r="F20" s="116">
        <f>SUM(F3:F19)</f>
        <v>-40205626.849742301</v>
      </c>
      <c r="G20" s="135">
        <f t="shared" ref="G20" si="14">SUM(G3:G19)</f>
        <v>-2576.813008504364</v>
      </c>
      <c r="H20" s="135">
        <f t="shared" si="13"/>
        <v>0</v>
      </c>
      <c r="I20" s="135">
        <f t="shared" si="13"/>
        <v>0</v>
      </c>
      <c r="J20" s="116">
        <f>SUM(J3:J19)</f>
        <v>15827198.682682546</v>
      </c>
      <c r="K20" s="135">
        <f t="shared" ref="K20" si="15">SUM(K3:K19)</f>
        <v>1014.3786989352933</v>
      </c>
      <c r="L20" s="135">
        <f t="shared" si="13"/>
        <v>30092078.851649597</v>
      </c>
      <c r="M20" s="135">
        <f t="shared" si="13"/>
        <v>2860.3577292904151</v>
      </c>
      <c r="N20" s="116">
        <f>SUM(N3:N19)</f>
        <v>14264880.16896705</v>
      </c>
      <c r="O20" s="135">
        <f t="shared" ref="O20" si="16">SUM(O3:O19)</f>
        <v>1845.9790303551222</v>
      </c>
      <c r="P20" s="135">
        <f t="shared" si="13"/>
        <v>26490956.039912414</v>
      </c>
      <c r="Q20" s="135">
        <f t="shared" si="13"/>
        <v>1620.4302665087937</v>
      </c>
      <c r="R20" s="116">
        <f>SUM(R3:R19)</f>
        <v>10663757.357229872</v>
      </c>
      <c r="S20" s="135">
        <f t="shared" ref="S20" si="17">SUM(S3:S19)</f>
        <v>606.05156757350039</v>
      </c>
      <c r="T20" s="135">
        <f t="shared" si="13"/>
        <v>33690483.848250523</v>
      </c>
      <c r="U20" s="135">
        <f t="shared" si="13"/>
        <v>3219.378357804374</v>
      </c>
      <c r="V20" s="116">
        <f>SUM(V3:V19)</f>
        <v>17863285.165567975</v>
      </c>
      <c r="W20" s="135">
        <f t="shared" ref="W20" si="18">SUM(W3:W19)</f>
        <v>2204.9996588690801</v>
      </c>
      <c r="X20" s="135">
        <f t="shared" si="13"/>
        <v>44054026.251496278</v>
      </c>
      <c r="Y20" s="135">
        <f t="shared" si="13"/>
        <v>3279.2225157783755</v>
      </c>
      <c r="Z20" s="116">
        <f>SUM(Z3:Z19)</f>
        <v>28226827.56881373</v>
      </c>
      <c r="AA20" s="135">
        <f t="shared" si="13"/>
        <v>2264.8438168430821</v>
      </c>
      <c r="AB20" s="135"/>
    </row>
    <row r="21" spans="1:35" ht="21.75" customHeight="1" x14ac:dyDescent="0.6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</row>
    <row r="22" spans="1:35" ht="21.75" customHeight="1" x14ac:dyDescent="0.6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1:35" ht="21.75" customHeight="1" x14ac:dyDescent="0.6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1:35" ht="21.75" customHeight="1" x14ac:dyDescent="0.6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</row>
    <row r="25" spans="1:35" ht="21.75" customHeight="1" x14ac:dyDescent="0.6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12"/>
    </row>
    <row r="26" spans="1:35" ht="21.75" customHeight="1" x14ac:dyDescent="0.6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12"/>
    </row>
    <row r="27" spans="1:35" ht="21.75" customHeight="1" x14ac:dyDescent="0.6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12"/>
    </row>
    <row r="28" spans="1:35" ht="21.75" customHeight="1" x14ac:dyDescent="0.6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12"/>
    </row>
    <row r="29" spans="1:35" ht="21.75" customHeight="1" x14ac:dyDescent="0.6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12"/>
    </row>
    <row r="30" spans="1:35" ht="21.75" customHeight="1" x14ac:dyDescent="0.6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1:35" ht="21.75" customHeight="1" x14ac:dyDescent="0.6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</row>
    <row r="32" spans="1:35" ht="21.75" customHeight="1" x14ac:dyDescent="0.6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1:27" ht="21.75" customHeight="1" x14ac:dyDescent="0.6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</row>
    <row r="34" spans="1:27" ht="21.75" customHeight="1" x14ac:dyDescent="0.6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1:27" ht="21.75" customHeight="1" x14ac:dyDescent="0.6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1:27" ht="21.75" customHeight="1" x14ac:dyDescent="0.6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1:27" ht="21.75" customHeight="1" x14ac:dyDescent="0.6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1:27" ht="21.75" customHeight="1" x14ac:dyDescent="0.6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1:27" ht="21.75" customHeight="1" x14ac:dyDescent="0.6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1:27" ht="21.75" customHeight="1" x14ac:dyDescent="0.6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</row>
    <row r="41" spans="1:27" ht="21.75" customHeight="1" x14ac:dyDescent="0.6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1:27" ht="21.75" customHeight="1" x14ac:dyDescent="0.6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</row>
    <row r="43" spans="1:27" ht="21.75" customHeight="1" x14ac:dyDescent="0.6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</row>
    <row r="44" spans="1:27" ht="21.75" customHeight="1" x14ac:dyDescent="0.6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</row>
    <row r="45" spans="1:27" ht="21.75" customHeight="1" x14ac:dyDescent="0.6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</row>
    <row r="46" spans="1:27" ht="21.75" customHeight="1" x14ac:dyDescent="0.6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</row>
    <row r="47" spans="1:27" ht="21.75" customHeight="1" x14ac:dyDescent="0.6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</row>
    <row r="48" spans="1:27" ht="21.75" customHeight="1" x14ac:dyDescent="0.6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</row>
    <row r="49" spans="1:27" ht="21.75" customHeight="1" x14ac:dyDescent="0.6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</row>
    <row r="50" spans="1:27" ht="21.75" customHeight="1" x14ac:dyDescent="0.6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</row>
    <row r="51" spans="1:27" ht="21.75" customHeight="1" x14ac:dyDescent="0.6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</row>
    <row r="52" spans="1:27" ht="21.75" customHeight="1" x14ac:dyDescent="0.6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</row>
    <row r="53" spans="1:27" ht="21.75" customHeight="1" x14ac:dyDescent="0.6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</row>
    <row r="54" spans="1:27" ht="21.75" customHeight="1" x14ac:dyDescent="0.6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</row>
    <row r="55" spans="1:27" ht="21.75" customHeight="1" x14ac:dyDescent="0.6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</row>
    <row r="56" spans="1:27" ht="21.75" customHeight="1" x14ac:dyDescent="0.6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</row>
    <row r="57" spans="1:27" ht="21.75" customHeight="1" x14ac:dyDescent="0.6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</row>
    <row r="58" spans="1:27" ht="21.75" customHeight="1" x14ac:dyDescent="0.6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</row>
    <row r="59" spans="1:27" ht="21.75" customHeight="1" x14ac:dyDescent="0.6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</row>
    <row r="60" spans="1:27" ht="21.75" customHeight="1" x14ac:dyDescent="0.6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</row>
    <row r="61" spans="1:27" ht="21.75" customHeight="1" x14ac:dyDescent="0.6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spans="1:27" ht="21.75" customHeight="1" x14ac:dyDescent="0.6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1:27" ht="21.75" customHeight="1" x14ac:dyDescent="0.6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</row>
    <row r="64" spans="1:27" ht="21.75" customHeight="1" x14ac:dyDescent="0.6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</row>
    <row r="65" spans="1:27" ht="21.75" customHeight="1" x14ac:dyDescent="0.6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</row>
    <row r="66" spans="1:27" ht="21.75" customHeight="1" x14ac:dyDescent="0.6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</row>
    <row r="67" spans="1:27" ht="21.75" customHeight="1" x14ac:dyDescent="0.6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</row>
    <row r="68" spans="1:27" ht="21.75" customHeight="1" x14ac:dyDescent="0.6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</row>
    <row r="69" spans="1:27" ht="21.75" customHeight="1" x14ac:dyDescent="0.6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</row>
    <row r="70" spans="1:27" ht="21.75" customHeight="1" x14ac:dyDescent="0.6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</row>
    <row r="71" spans="1:27" ht="21.75" customHeight="1" x14ac:dyDescent="0.6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</row>
    <row r="72" spans="1:27" ht="21.75" customHeight="1" x14ac:dyDescent="0.6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</row>
    <row r="73" spans="1:27" ht="21.75" customHeight="1" x14ac:dyDescent="0.6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</row>
    <row r="74" spans="1:27" ht="21.75" customHeight="1" x14ac:dyDescent="0.6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</row>
    <row r="75" spans="1:27" ht="21.75" customHeight="1" x14ac:dyDescent="0.6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</row>
    <row r="76" spans="1:27" ht="21.75" customHeight="1" x14ac:dyDescent="0.6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</row>
    <row r="77" spans="1:27" ht="21.75" customHeight="1" x14ac:dyDescent="0.6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</row>
    <row r="78" spans="1:27" ht="21.75" customHeight="1" x14ac:dyDescent="0.6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</row>
    <row r="79" spans="1:27" ht="21.75" customHeight="1" x14ac:dyDescent="0.6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</row>
    <row r="80" spans="1:27" ht="21.75" customHeight="1" x14ac:dyDescent="0.6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</row>
    <row r="81" spans="1:27" ht="21.75" customHeight="1" x14ac:dyDescent="0.6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</row>
    <row r="82" spans="1:27" ht="21.75" customHeight="1" x14ac:dyDescent="0.6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</row>
    <row r="83" spans="1:27" ht="21.75" customHeight="1" x14ac:dyDescent="0.6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1:27" ht="21.75" customHeight="1" x14ac:dyDescent="0.6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</row>
    <row r="85" spans="1:27" ht="21.75" customHeight="1" x14ac:dyDescent="0.6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</row>
    <row r="86" spans="1:27" ht="21.75" customHeight="1" x14ac:dyDescent="0.6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</row>
    <row r="87" spans="1:27" ht="21.75" customHeight="1" x14ac:dyDescent="0.6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</row>
    <row r="88" spans="1:27" ht="21.75" customHeight="1" x14ac:dyDescent="0.6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</row>
    <row r="89" spans="1:27" ht="21.75" customHeight="1" x14ac:dyDescent="0.6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</row>
    <row r="90" spans="1:27" ht="21.75" customHeight="1" x14ac:dyDescent="0.6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</row>
    <row r="91" spans="1:27" ht="21.75" customHeight="1" x14ac:dyDescent="0.6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</row>
    <row r="92" spans="1:27" ht="21.75" customHeight="1" x14ac:dyDescent="0.6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</row>
    <row r="93" spans="1:27" ht="21.75" customHeight="1" x14ac:dyDescent="0.6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</row>
    <row r="94" spans="1:27" ht="21.75" customHeight="1" x14ac:dyDescent="0.6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</row>
    <row r="95" spans="1:27" ht="21.75" customHeight="1" x14ac:dyDescent="0.6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</row>
    <row r="96" spans="1:27" ht="21.75" customHeight="1" x14ac:dyDescent="0.6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</row>
    <row r="97" spans="1:27" ht="21.75" customHeight="1" x14ac:dyDescent="0.6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</row>
    <row r="98" spans="1:27" ht="21.75" customHeight="1" x14ac:dyDescent="0.6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</row>
    <row r="99" spans="1:27" ht="21.75" customHeight="1" x14ac:dyDescent="0.6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</row>
    <row r="100" spans="1:27" ht="21.75" customHeight="1" x14ac:dyDescent="0.6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</row>
    <row r="101" spans="1:27" ht="21.75" customHeight="1" x14ac:dyDescent="0.6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</row>
    <row r="102" spans="1:27" ht="21.75" customHeight="1" x14ac:dyDescent="0.6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1:27" ht="21.75" customHeight="1" x14ac:dyDescent="0.6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</row>
    <row r="104" spans="1:27" ht="21.75" customHeight="1" x14ac:dyDescent="0.6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</row>
    <row r="105" spans="1:27" ht="21.75" customHeight="1" x14ac:dyDescent="0.6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</row>
    <row r="106" spans="1:27" ht="21.75" customHeight="1" x14ac:dyDescent="0.6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</row>
    <row r="107" spans="1:27" ht="21.75" customHeight="1" x14ac:dyDescent="0.6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</row>
    <row r="108" spans="1:27" ht="21.75" customHeight="1" x14ac:dyDescent="0.6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</row>
    <row r="109" spans="1:27" ht="21.75" customHeight="1" x14ac:dyDescent="0.6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</row>
    <row r="110" spans="1:27" ht="21.75" customHeight="1" x14ac:dyDescent="0.6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</row>
    <row r="111" spans="1:27" ht="21.75" customHeight="1" x14ac:dyDescent="0.6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</row>
    <row r="112" spans="1:27" ht="21.75" customHeight="1" x14ac:dyDescent="0.6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</row>
    <row r="113" spans="1:27" ht="21.75" customHeight="1" x14ac:dyDescent="0.6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</row>
    <row r="114" spans="1:27" ht="21.75" customHeight="1" x14ac:dyDescent="0.6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</row>
    <row r="115" spans="1:27" ht="21.75" customHeight="1" x14ac:dyDescent="0.6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</row>
    <row r="116" spans="1:27" ht="21.75" customHeight="1" x14ac:dyDescent="0.6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</row>
    <row r="117" spans="1:27" ht="21.75" customHeight="1" x14ac:dyDescent="0.6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</row>
    <row r="118" spans="1:27" ht="21.75" customHeight="1" x14ac:dyDescent="0.6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</row>
    <row r="119" spans="1:27" ht="21.75" customHeight="1" x14ac:dyDescent="0.6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</row>
    <row r="120" spans="1:27" ht="21.75" customHeight="1" x14ac:dyDescent="0.6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</row>
    <row r="121" spans="1:27" ht="21.75" customHeight="1" x14ac:dyDescent="0.6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</row>
    <row r="122" spans="1:27" ht="21.75" customHeight="1" x14ac:dyDescent="0.6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</row>
    <row r="123" spans="1:27" ht="21.75" customHeight="1" x14ac:dyDescent="0.6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1:27" ht="21.75" customHeight="1" x14ac:dyDescent="0.6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</row>
    <row r="125" spans="1:27" ht="21.75" customHeight="1" x14ac:dyDescent="0.6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</row>
    <row r="126" spans="1:27" ht="21.75" customHeight="1" x14ac:dyDescent="0.6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</row>
    <row r="127" spans="1:27" ht="21.75" customHeight="1" x14ac:dyDescent="0.6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</row>
    <row r="128" spans="1:27" ht="21.75" customHeight="1" x14ac:dyDescent="0.6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</row>
    <row r="129" spans="1:27" ht="21.75" customHeight="1" x14ac:dyDescent="0.6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</row>
    <row r="130" spans="1:27" ht="21.75" customHeight="1" x14ac:dyDescent="0.6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</row>
    <row r="131" spans="1:27" ht="21.75" customHeight="1" x14ac:dyDescent="0.6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</row>
    <row r="132" spans="1:27" ht="21.75" customHeight="1" x14ac:dyDescent="0.6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</row>
    <row r="133" spans="1:27" ht="21.75" customHeight="1" x14ac:dyDescent="0.6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</row>
    <row r="134" spans="1:27" ht="21.75" customHeight="1" x14ac:dyDescent="0.6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</row>
    <row r="135" spans="1:27" ht="21.75" customHeight="1" x14ac:dyDescent="0.6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</row>
    <row r="136" spans="1:27" ht="21.75" customHeight="1" x14ac:dyDescent="0.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</row>
    <row r="137" spans="1:27" ht="21.75" customHeight="1" x14ac:dyDescent="0.6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</row>
    <row r="138" spans="1:27" ht="21.75" customHeight="1" x14ac:dyDescent="0.6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</row>
    <row r="139" spans="1:27" ht="21.75" customHeight="1" x14ac:dyDescent="0.6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</row>
    <row r="140" spans="1:27" ht="21.75" customHeight="1" x14ac:dyDescent="0.6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</row>
    <row r="141" spans="1:27" ht="21.75" customHeight="1" x14ac:dyDescent="0.6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</row>
    <row r="142" spans="1:27" ht="21.75" customHeight="1" x14ac:dyDescent="0.6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</row>
    <row r="143" spans="1:27" ht="21.75" customHeight="1" x14ac:dyDescent="0.6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</row>
    <row r="144" spans="1:27" ht="21.75" customHeight="1" x14ac:dyDescent="0.6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</row>
    <row r="145" spans="1:27" ht="21.75" customHeight="1" x14ac:dyDescent="0.6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</row>
    <row r="146" spans="1:27" ht="21.75" customHeight="1" x14ac:dyDescent="0.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</row>
    <row r="147" spans="1:27" ht="21.75" customHeight="1" x14ac:dyDescent="0.6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</row>
    <row r="148" spans="1:27" ht="21.75" customHeight="1" x14ac:dyDescent="0.6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</row>
    <row r="149" spans="1:27" ht="21.75" customHeight="1" x14ac:dyDescent="0.6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</row>
    <row r="150" spans="1:27" ht="21.75" customHeight="1" x14ac:dyDescent="0.6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</row>
    <row r="151" spans="1:27" ht="21.75" customHeight="1" x14ac:dyDescent="0.6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</row>
    <row r="152" spans="1:27" ht="21.75" customHeight="1" x14ac:dyDescent="0.6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</row>
    <row r="153" spans="1:27" ht="21.75" customHeight="1" x14ac:dyDescent="0.6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</row>
    <row r="154" spans="1:27" ht="21.75" customHeight="1" x14ac:dyDescent="0.6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</row>
    <row r="155" spans="1:27" ht="21.75" customHeight="1" x14ac:dyDescent="0.6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</row>
    <row r="156" spans="1:27" ht="21.75" customHeight="1" x14ac:dyDescent="0.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</row>
    <row r="157" spans="1:27" ht="21.75" customHeight="1" x14ac:dyDescent="0.6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</row>
    <row r="158" spans="1:27" ht="21.75" customHeight="1" x14ac:dyDescent="0.6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</row>
    <row r="159" spans="1:27" ht="21.75" customHeight="1" x14ac:dyDescent="0.6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</row>
    <row r="160" spans="1:27" ht="21.75" customHeight="1" x14ac:dyDescent="0.6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</row>
    <row r="161" spans="1:27" ht="21.75" customHeight="1" x14ac:dyDescent="0.6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</row>
    <row r="162" spans="1:27" ht="21.75" customHeight="1" x14ac:dyDescent="0.6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</row>
    <row r="163" spans="1:27" ht="21.75" customHeight="1" x14ac:dyDescent="0.6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</row>
    <row r="164" spans="1:27" ht="21.75" customHeight="1" x14ac:dyDescent="0.6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</row>
    <row r="165" spans="1:27" ht="21.75" customHeight="1" x14ac:dyDescent="0.6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</row>
    <row r="166" spans="1:27" ht="21.75" customHeight="1" x14ac:dyDescent="0.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</row>
    <row r="167" spans="1:27" ht="21.75" customHeight="1" x14ac:dyDescent="0.6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</row>
    <row r="168" spans="1:27" ht="21.75" customHeight="1" x14ac:dyDescent="0.6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</row>
    <row r="169" spans="1:27" ht="21.75" customHeight="1" x14ac:dyDescent="0.6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</row>
    <row r="170" spans="1:27" ht="21.75" customHeight="1" x14ac:dyDescent="0.6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</row>
    <row r="171" spans="1:27" ht="21.75" customHeight="1" x14ac:dyDescent="0.6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</row>
    <row r="172" spans="1:27" ht="21.75" customHeight="1" x14ac:dyDescent="0.6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</row>
    <row r="173" spans="1:27" ht="21.75" customHeight="1" x14ac:dyDescent="0.6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</row>
    <row r="174" spans="1:27" ht="21.75" customHeight="1" x14ac:dyDescent="0.6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</row>
    <row r="175" spans="1:27" ht="21.75" customHeight="1" x14ac:dyDescent="0.6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</row>
    <row r="176" spans="1:27" ht="21.75" customHeight="1" x14ac:dyDescent="0.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</row>
    <row r="177" spans="1:27" ht="21.75" customHeight="1" x14ac:dyDescent="0.6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</row>
    <row r="178" spans="1:27" ht="21.75" customHeight="1" x14ac:dyDescent="0.6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</row>
    <row r="179" spans="1:27" ht="21.75" customHeight="1" x14ac:dyDescent="0.6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</row>
    <row r="180" spans="1:27" ht="21.75" customHeight="1" x14ac:dyDescent="0.6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</row>
    <row r="181" spans="1:27" ht="21.75" customHeight="1" x14ac:dyDescent="0.6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</row>
    <row r="182" spans="1:27" ht="21.75" customHeight="1" x14ac:dyDescent="0.6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</row>
    <row r="183" spans="1:27" ht="21.75" customHeight="1" x14ac:dyDescent="0.6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</row>
    <row r="184" spans="1:27" ht="21.75" customHeight="1" x14ac:dyDescent="0.6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</row>
    <row r="185" spans="1:27" ht="21.75" customHeight="1" x14ac:dyDescent="0.6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</row>
    <row r="186" spans="1:27" ht="21.75" customHeight="1" x14ac:dyDescent="0.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</row>
    <row r="187" spans="1:27" ht="21.75" customHeight="1" x14ac:dyDescent="0.6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</row>
    <row r="188" spans="1:27" ht="21.75" customHeight="1" x14ac:dyDescent="0.6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</row>
    <row r="189" spans="1:27" ht="21.75" customHeight="1" x14ac:dyDescent="0.6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</row>
    <row r="190" spans="1:27" ht="21.75" customHeight="1" x14ac:dyDescent="0.6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</row>
    <row r="191" spans="1:27" ht="21.75" customHeight="1" x14ac:dyDescent="0.6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</row>
    <row r="192" spans="1:27" ht="21.75" customHeight="1" x14ac:dyDescent="0.6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</row>
    <row r="193" spans="1:27" ht="21.75" customHeight="1" x14ac:dyDescent="0.6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</row>
    <row r="194" spans="1:27" ht="21.75" customHeight="1" x14ac:dyDescent="0.6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</row>
    <row r="195" spans="1:27" ht="21.75" customHeight="1" x14ac:dyDescent="0.6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</row>
    <row r="196" spans="1:27" ht="21.75" customHeight="1" x14ac:dyDescent="0.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</row>
    <row r="197" spans="1:27" ht="21.75" customHeight="1" x14ac:dyDescent="0.6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</row>
    <row r="198" spans="1:27" ht="21.75" customHeight="1" x14ac:dyDescent="0.6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</row>
    <row r="199" spans="1:27" ht="21.75" customHeight="1" x14ac:dyDescent="0.6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</row>
    <row r="200" spans="1:27" ht="21.75" customHeight="1" x14ac:dyDescent="0.6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</row>
    <row r="201" spans="1:27" ht="21.75" customHeight="1" x14ac:dyDescent="0.6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</row>
    <row r="202" spans="1:27" ht="21.75" customHeight="1" x14ac:dyDescent="0.6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</row>
    <row r="203" spans="1:27" ht="21.75" customHeight="1" x14ac:dyDescent="0.6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</row>
    <row r="204" spans="1:27" ht="21.75" customHeight="1" x14ac:dyDescent="0.6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</row>
    <row r="205" spans="1:27" ht="21.75" customHeight="1" x14ac:dyDescent="0.6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</row>
    <row r="206" spans="1:27" ht="21.75" customHeight="1" x14ac:dyDescent="0.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</row>
    <row r="207" spans="1:27" ht="21.75" customHeight="1" x14ac:dyDescent="0.6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</row>
    <row r="208" spans="1:27" ht="21.75" customHeight="1" x14ac:dyDescent="0.6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</row>
    <row r="209" spans="1:27" ht="21.75" customHeight="1" x14ac:dyDescent="0.6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</row>
    <row r="210" spans="1:27" ht="21.75" customHeight="1" x14ac:dyDescent="0.6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</row>
    <row r="211" spans="1:27" ht="21.75" customHeight="1" x14ac:dyDescent="0.6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</row>
    <row r="212" spans="1:27" ht="21.75" customHeight="1" x14ac:dyDescent="0.6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</row>
    <row r="213" spans="1:27" ht="21.75" customHeight="1" x14ac:dyDescent="0.6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</row>
    <row r="214" spans="1:27" ht="21.75" customHeight="1" x14ac:dyDescent="0.6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</row>
    <row r="215" spans="1:27" ht="21.75" customHeight="1" x14ac:dyDescent="0.6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</row>
    <row r="216" spans="1:27" ht="21.75" customHeight="1" x14ac:dyDescent="0.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</row>
    <row r="217" spans="1:27" ht="21.75" customHeight="1" x14ac:dyDescent="0.6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</row>
    <row r="218" spans="1:27" ht="21.75" customHeight="1" x14ac:dyDescent="0.6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</row>
    <row r="219" spans="1:27" ht="21.75" customHeight="1" x14ac:dyDescent="0.6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</row>
    <row r="220" spans="1:27" ht="21.75" customHeight="1" x14ac:dyDescent="0.6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</row>
    <row r="221" spans="1:27" ht="21.75" customHeight="1" x14ac:dyDescent="0.6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</row>
    <row r="222" spans="1:27" ht="21.75" customHeight="1" x14ac:dyDescent="0.6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</row>
    <row r="223" spans="1:27" ht="21.75" customHeight="1" x14ac:dyDescent="0.6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</row>
    <row r="224" spans="1:27" ht="21.75" customHeight="1" x14ac:dyDescent="0.6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</row>
    <row r="225" spans="1:27" ht="21.75" customHeight="1" x14ac:dyDescent="0.6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</row>
    <row r="226" spans="1:27" ht="21.75" customHeight="1" x14ac:dyDescent="0.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</row>
    <row r="227" spans="1:27" ht="21.75" customHeight="1" x14ac:dyDescent="0.6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</row>
    <row r="228" spans="1:27" ht="21.75" customHeight="1" x14ac:dyDescent="0.6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</row>
    <row r="229" spans="1:27" ht="21.75" customHeight="1" x14ac:dyDescent="0.6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</row>
    <row r="230" spans="1:27" ht="21.75" customHeight="1" x14ac:dyDescent="0.6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</row>
    <row r="231" spans="1:27" ht="21.75" customHeight="1" x14ac:dyDescent="0.6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</row>
    <row r="232" spans="1:27" ht="21.75" customHeight="1" x14ac:dyDescent="0.6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</row>
    <row r="233" spans="1:27" ht="21.75" customHeight="1" x14ac:dyDescent="0.6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</row>
    <row r="234" spans="1:27" ht="21.75" customHeight="1" x14ac:dyDescent="0.6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</row>
    <row r="235" spans="1:27" ht="21.75" customHeight="1" x14ac:dyDescent="0.6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</row>
    <row r="236" spans="1:27" ht="21.75" customHeight="1" x14ac:dyDescent="0.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</row>
    <row r="237" spans="1:27" ht="21.75" customHeight="1" x14ac:dyDescent="0.6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</row>
    <row r="238" spans="1:27" ht="21.75" customHeight="1" x14ac:dyDescent="0.6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</row>
    <row r="239" spans="1:27" ht="21.75" customHeight="1" x14ac:dyDescent="0.6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</row>
    <row r="240" spans="1:27" ht="21.75" customHeight="1" x14ac:dyDescent="0.6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</row>
    <row r="241" spans="1:27" ht="21.75" customHeight="1" x14ac:dyDescent="0.6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</row>
    <row r="242" spans="1:27" ht="21.75" customHeight="1" x14ac:dyDescent="0.6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</row>
    <row r="243" spans="1:27" ht="21.75" customHeight="1" x14ac:dyDescent="0.6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</row>
    <row r="244" spans="1:27" ht="21.75" customHeight="1" x14ac:dyDescent="0.6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</row>
    <row r="245" spans="1:27" ht="21.75" customHeight="1" x14ac:dyDescent="0.6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</row>
    <row r="246" spans="1:27" ht="21.75" customHeight="1" x14ac:dyDescent="0.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</row>
    <row r="247" spans="1:27" ht="21.75" customHeight="1" x14ac:dyDescent="0.6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</row>
    <row r="248" spans="1:27" ht="21.75" customHeight="1" x14ac:dyDescent="0.6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</row>
    <row r="249" spans="1:27" ht="21.75" customHeight="1" x14ac:dyDescent="0.6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</row>
    <row r="250" spans="1:27" ht="21.75" customHeight="1" x14ac:dyDescent="0.6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</row>
    <row r="251" spans="1:27" ht="21.75" customHeight="1" x14ac:dyDescent="0.6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</row>
    <row r="252" spans="1:27" ht="21.75" customHeight="1" x14ac:dyDescent="0.6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</row>
    <row r="253" spans="1:27" ht="21.75" customHeight="1" x14ac:dyDescent="0.6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</row>
    <row r="254" spans="1:27" ht="21.75" customHeight="1" x14ac:dyDescent="0.6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</row>
    <row r="255" spans="1:27" ht="21.75" customHeight="1" x14ac:dyDescent="0.6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</row>
    <row r="256" spans="1:27" ht="21.75" customHeight="1" x14ac:dyDescent="0.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</row>
    <row r="257" spans="1:27" ht="21.75" customHeight="1" x14ac:dyDescent="0.6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</row>
    <row r="258" spans="1:27" ht="21.75" customHeight="1" x14ac:dyDescent="0.6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</row>
    <row r="259" spans="1:27" ht="21.75" customHeight="1" x14ac:dyDescent="0.6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</row>
    <row r="260" spans="1:27" ht="21.75" customHeight="1" x14ac:dyDescent="0.6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</row>
    <row r="261" spans="1:27" ht="21.75" customHeight="1" x14ac:dyDescent="0.6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</row>
    <row r="262" spans="1:27" ht="21.75" customHeight="1" x14ac:dyDescent="0.6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</row>
    <row r="263" spans="1:27" ht="21.75" customHeight="1" x14ac:dyDescent="0.6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</row>
    <row r="264" spans="1:27" ht="21.75" customHeight="1" x14ac:dyDescent="0.6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</row>
    <row r="265" spans="1:27" ht="21.75" customHeight="1" x14ac:dyDescent="0.6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</row>
    <row r="266" spans="1:27" ht="21.75" customHeight="1" x14ac:dyDescent="0.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</row>
    <row r="267" spans="1:27" ht="21.75" customHeight="1" x14ac:dyDescent="0.6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</row>
    <row r="268" spans="1:27" ht="21.75" customHeight="1" x14ac:dyDescent="0.6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</row>
    <row r="269" spans="1:27" ht="21.75" customHeight="1" x14ac:dyDescent="0.6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</row>
    <row r="270" spans="1:27" ht="21.75" customHeight="1" x14ac:dyDescent="0.6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</row>
    <row r="271" spans="1:27" ht="21.75" customHeight="1" x14ac:dyDescent="0.6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</row>
    <row r="272" spans="1:27" ht="21.75" customHeight="1" x14ac:dyDescent="0.6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</row>
    <row r="273" spans="1:27" ht="21.75" customHeight="1" x14ac:dyDescent="0.6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</row>
    <row r="274" spans="1:27" ht="21.75" customHeight="1" x14ac:dyDescent="0.6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</row>
    <row r="275" spans="1:27" ht="21.75" customHeight="1" x14ac:dyDescent="0.6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</row>
    <row r="276" spans="1:27" ht="21.75" customHeight="1" x14ac:dyDescent="0.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</row>
    <row r="277" spans="1:27" ht="21.75" customHeight="1" x14ac:dyDescent="0.6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</row>
    <row r="278" spans="1:27" ht="21.75" customHeight="1" x14ac:dyDescent="0.6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</row>
    <row r="279" spans="1:27" ht="21.75" customHeight="1" x14ac:dyDescent="0.6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</row>
    <row r="280" spans="1:27" ht="21.75" customHeight="1" x14ac:dyDescent="0.6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</row>
    <row r="281" spans="1:27" ht="21.75" customHeight="1" x14ac:dyDescent="0.6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</row>
    <row r="282" spans="1:27" ht="21.75" customHeight="1" x14ac:dyDescent="0.6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</row>
    <row r="283" spans="1:27" ht="21.75" customHeight="1" x14ac:dyDescent="0.6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</row>
    <row r="284" spans="1:27" ht="21.75" customHeight="1" x14ac:dyDescent="0.6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</row>
    <row r="285" spans="1:27" ht="21.75" customHeight="1" x14ac:dyDescent="0.6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</row>
    <row r="286" spans="1:27" ht="21.75" customHeight="1" x14ac:dyDescent="0.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</row>
    <row r="287" spans="1:27" ht="21.75" customHeight="1" x14ac:dyDescent="0.6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</row>
    <row r="288" spans="1:27" ht="21.75" customHeight="1" x14ac:dyDescent="0.6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</row>
    <row r="289" spans="1:27" ht="21.75" customHeight="1" x14ac:dyDescent="0.6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</row>
    <row r="290" spans="1:27" ht="21.75" customHeight="1" x14ac:dyDescent="0.6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</row>
    <row r="291" spans="1:27" ht="21.75" customHeight="1" x14ac:dyDescent="0.6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</row>
    <row r="292" spans="1:27" ht="21.75" customHeight="1" x14ac:dyDescent="0.6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</row>
    <row r="293" spans="1:27" ht="21.75" customHeight="1" x14ac:dyDescent="0.6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</row>
    <row r="294" spans="1:27" ht="21.75" customHeight="1" x14ac:dyDescent="0.6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</row>
    <row r="295" spans="1:27" ht="21.75" customHeight="1" x14ac:dyDescent="0.6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</row>
    <row r="296" spans="1:27" ht="21.75" customHeight="1" x14ac:dyDescent="0.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</row>
    <row r="297" spans="1:27" ht="21.75" customHeight="1" x14ac:dyDescent="0.6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</row>
    <row r="298" spans="1:27" ht="21.75" customHeight="1" x14ac:dyDescent="0.6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</row>
    <row r="299" spans="1:27" ht="21.75" customHeight="1" x14ac:dyDescent="0.6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</row>
    <row r="300" spans="1:27" ht="21.75" customHeight="1" x14ac:dyDescent="0.6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</row>
    <row r="301" spans="1:27" ht="21.75" customHeight="1" x14ac:dyDescent="0.6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</row>
    <row r="302" spans="1:27" ht="21.75" customHeight="1" x14ac:dyDescent="0.6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</row>
    <row r="303" spans="1:27" ht="21.75" customHeight="1" x14ac:dyDescent="0.6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</row>
    <row r="304" spans="1:27" ht="21.75" customHeight="1" x14ac:dyDescent="0.6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</row>
    <row r="305" spans="1:27" ht="21.75" customHeight="1" x14ac:dyDescent="0.6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</row>
    <row r="306" spans="1:27" ht="21.75" customHeight="1" x14ac:dyDescent="0.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</row>
    <row r="307" spans="1:27" ht="21.75" customHeight="1" x14ac:dyDescent="0.6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</row>
    <row r="308" spans="1:27" ht="21.75" customHeight="1" x14ac:dyDescent="0.6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</row>
    <row r="309" spans="1:27" ht="21.75" customHeight="1" x14ac:dyDescent="0.6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</row>
    <row r="310" spans="1:27" ht="21.75" customHeight="1" x14ac:dyDescent="0.6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</row>
    <row r="311" spans="1:27" ht="21.75" customHeight="1" x14ac:dyDescent="0.6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</row>
    <row r="312" spans="1:27" ht="21.75" customHeight="1" x14ac:dyDescent="0.6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</row>
    <row r="313" spans="1:27" ht="21.75" customHeight="1" x14ac:dyDescent="0.6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</row>
    <row r="314" spans="1:27" ht="21.75" customHeight="1" x14ac:dyDescent="0.6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</row>
    <row r="315" spans="1:27" ht="21.75" customHeight="1" x14ac:dyDescent="0.6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</row>
    <row r="316" spans="1:27" ht="21.75" customHeight="1" x14ac:dyDescent="0.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</row>
    <row r="317" spans="1:27" ht="21.75" customHeight="1" x14ac:dyDescent="0.6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</row>
    <row r="318" spans="1:27" ht="21.75" customHeight="1" x14ac:dyDescent="0.6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</row>
    <row r="319" spans="1:27" ht="21.75" customHeight="1" x14ac:dyDescent="0.6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</row>
    <row r="320" spans="1:27" ht="21.75" customHeight="1" x14ac:dyDescent="0.6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</row>
    <row r="321" spans="1:27" ht="21.75" customHeight="1" x14ac:dyDescent="0.6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</row>
    <row r="322" spans="1:27" ht="21.75" customHeight="1" x14ac:dyDescent="0.6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</row>
    <row r="323" spans="1:27" ht="21.75" customHeight="1" x14ac:dyDescent="0.6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</row>
    <row r="324" spans="1:27" ht="21.75" customHeight="1" x14ac:dyDescent="0.6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</row>
    <row r="325" spans="1:27" ht="21.75" customHeight="1" x14ac:dyDescent="0.6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</row>
    <row r="326" spans="1:27" ht="21.75" customHeight="1" x14ac:dyDescent="0.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</row>
    <row r="327" spans="1:27" ht="21.75" customHeight="1" x14ac:dyDescent="0.6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</row>
    <row r="328" spans="1:27" ht="21.75" customHeight="1" x14ac:dyDescent="0.6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</row>
    <row r="329" spans="1:27" ht="21.75" customHeight="1" x14ac:dyDescent="0.6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</row>
    <row r="330" spans="1:27" ht="21.75" customHeight="1" x14ac:dyDescent="0.6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</row>
    <row r="331" spans="1:27" ht="21.75" customHeight="1" x14ac:dyDescent="0.6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</row>
    <row r="332" spans="1:27" ht="21.75" customHeight="1" x14ac:dyDescent="0.6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</row>
    <row r="333" spans="1:27" ht="21.75" customHeight="1" x14ac:dyDescent="0.6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</row>
    <row r="334" spans="1:27" ht="21.75" customHeight="1" x14ac:dyDescent="0.6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</row>
    <row r="335" spans="1:27" ht="21.75" customHeight="1" x14ac:dyDescent="0.6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</row>
    <row r="336" spans="1:27" ht="21.75" customHeight="1" x14ac:dyDescent="0.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</row>
    <row r="337" spans="1:27" ht="21.75" customHeight="1" x14ac:dyDescent="0.6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</row>
    <row r="338" spans="1:27" ht="21.75" customHeight="1" x14ac:dyDescent="0.6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</row>
    <row r="339" spans="1:27" ht="21.75" customHeight="1" x14ac:dyDescent="0.6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</row>
    <row r="340" spans="1:27" ht="21.75" customHeight="1" x14ac:dyDescent="0.6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</row>
    <row r="341" spans="1:27" ht="21.75" customHeight="1" x14ac:dyDescent="0.6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</row>
    <row r="342" spans="1:27" ht="21.75" customHeight="1" x14ac:dyDescent="0.6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</row>
    <row r="343" spans="1:27" ht="21.75" customHeight="1" x14ac:dyDescent="0.6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</row>
    <row r="344" spans="1:27" ht="21.75" customHeight="1" x14ac:dyDescent="0.6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</row>
    <row r="345" spans="1:27" ht="21.75" customHeight="1" x14ac:dyDescent="0.6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</row>
    <row r="346" spans="1:27" ht="21.75" customHeight="1" x14ac:dyDescent="0.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</row>
    <row r="347" spans="1:27" ht="21.75" customHeight="1" x14ac:dyDescent="0.6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</row>
    <row r="348" spans="1:27" ht="21.75" customHeight="1" x14ac:dyDescent="0.6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</row>
    <row r="349" spans="1:27" ht="21.75" customHeight="1" x14ac:dyDescent="0.6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</row>
    <row r="350" spans="1:27" ht="21.75" customHeight="1" x14ac:dyDescent="0.6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</row>
    <row r="351" spans="1:27" ht="21.75" customHeight="1" x14ac:dyDescent="0.6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</row>
    <row r="352" spans="1:27" ht="21.75" customHeight="1" x14ac:dyDescent="0.6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</row>
    <row r="353" spans="1:27" ht="21.75" customHeight="1" x14ac:dyDescent="0.6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</row>
    <row r="354" spans="1:27" ht="21.75" customHeight="1" x14ac:dyDescent="0.6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</row>
    <row r="355" spans="1:27" ht="21.75" customHeight="1" x14ac:dyDescent="0.6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</row>
    <row r="356" spans="1:27" ht="21.75" customHeight="1" x14ac:dyDescent="0.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</row>
    <row r="357" spans="1:27" ht="21.75" customHeight="1" x14ac:dyDescent="0.6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</row>
    <row r="358" spans="1:27" ht="21.75" customHeight="1" x14ac:dyDescent="0.6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</row>
    <row r="359" spans="1:27" ht="21.75" customHeight="1" x14ac:dyDescent="0.6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</row>
    <row r="360" spans="1:27" ht="21.75" customHeight="1" x14ac:dyDescent="0.6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</row>
    <row r="361" spans="1:27" ht="21.75" customHeight="1" x14ac:dyDescent="0.6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</row>
    <row r="362" spans="1:27" ht="21.75" customHeight="1" x14ac:dyDescent="0.6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</row>
    <row r="363" spans="1:27" ht="21.75" customHeight="1" x14ac:dyDescent="0.6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</row>
    <row r="364" spans="1:27" ht="21.75" customHeight="1" x14ac:dyDescent="0.6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</row>
    <row r="365" spans="1:27" ht="21.75" customHeight="1" x14ac:dyDescent="0.6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</row>
    <row r="366" spans="1:27" ht="21.75" customHeight="1" x14ac:dyDescent="0.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</row>
    <row r="367" spans="1:27" ht="21.75" customHeight="1" x14ac:dyDescent="0.6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</row>
    <row r="368" spans="1:27" ht="21.75" customHeight="1" x14ac:dyDescent="0.6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</row>
    <row r="369" spans="1:27" ht="21.75" customHeight="1" x14ac:dyDescent="0.6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</row>
    <row r="370" spans="1:27" ht="21.75" customHeight="1" x14ac:dyDescent="0.6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</row>
    <row r="371" spans="1:27" ht="21.75" customHeight="1" x14ac:dyDescent="0.6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</row>
    <row r="372" spans="1:27" ht="21.75" customHeight="1" x14ac:dyDescent="0.6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</row>
    <row r="373" spans="1:27" ht="21.75" customHeight="1" x14ac:dyDescent="0.6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</row>
    <row r="374" spans="1:27" ht="21.75" customHeight="1" x14ac:dyDescent="0.6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</row>
    <row r="375" spans="1:27" ht="21.75" customHeight="1" x14ac:dyDescent="0.6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</row>
    <row r="376" spans="1:27" ht="21.75" customHeight="1" x14ac:dyDescent="0.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</row>
    <row r="377" spans="1:27" ht="21.75" customHeight="1" x14ac:dyDescent="0.6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</row>
    <row r="378" spans="1:27" ht="21.75" customHeight="1" x14ac:dyDescent="0.6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</row>
    <row r="379" spans="1:27" ht="21.75" customHeight="1" x14ac:dyDescent="0.6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</row>
    <row r="380" spans="1:27" ht="21.75" customHeight="1" x14ac:dyDescent="0.6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</row>
    <row r="381" spans="1:27" ht="21.75" customHeight="1" x14ac:dyDescent="0.6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</row>
    <row r="382" spans="1:27" ht="21.75" customHeight="1" x14ac:dyDescent="0.6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</row>
    <row r="383" spans="1:27" ht="21.75" customHeight="1" x14ac:dyDescent="0.6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</row>
    <row r="384" spans="1:27" ht="21.75" customHeight="1" x14ac:dyDescent="0.6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</row>
    <row r="385" spans="1:27" ht="21.75" customHeight="1" x14ac:dyDescent="0.6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</row>
    <row r="386" spans="1:27" ht="21.75" customHeight="1" x14ac:dyDescent="0.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</row>
    <row r="387" spans="1:27" ht="21.75" customHeight="1" x14ac:dyDescent="0.6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</row>
    <row r="388" spans="1:27" ht="21.75" customHeight="1" x14ac:dyDescent="0.6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</row>
    <row r="389" spans="1:27" ht="21.75" customHeight="1" x14ac:dyDescent="0.6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</row>
    <row r="390" spans="1:27" ht="21.75" customHeight="1" x14ac:dyDescent="0.6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</row>
    <row r="391" spans="1:27" ht="21.75" customHeight="1" x14ac:dyDescent="0.6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</row>
    <row r="392" spans="1:27" ht="21.75" customHeight="1" x14ac:dyDescent="0.6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</row>
    <row r="393" spans="1:27" ht="21.75" customHeight="1" x14ac:dyDescent="0.6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</row>
    <row r="394" spans="1:27" ht="21.75" customHeight="1" x14ac:dyDescent="0.6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</row>
    <row r="395" spans="1:27" ht="21.75" customHeight="1" x14ac:dyDescent="0.6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</row>
    <row r="396" spans="1:27" ht="21.75" customHeight="1" x14ac:dyDescent="0.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</row>
    <row r="397" spans="1:27" ht="21.75" customHeight="1" x14ac:dyDescent="0.6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</row>
    <row r="398" spans="1:27" ht="21.75" customHeight="1" x14ac:dyDescent="0.6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</row>
    <row r="399" spans="1:27" ht="21.75" customHeight="1" x14ac:dyDescent="0.6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</row>
    <row r="400" spans="1:27" ht="21.75" customHeight="1" x14ac:dyDescent="0.6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</row>
    <row r="401" spans="1:27" ht="21.75" customHeight="1" x14ac:dyDescent="0.6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</row>
    <row r="402" spans="1:27" ht="21.75" customHeight="1" x14ac:dyDescent="0.6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</row>
    <row r="403" spans="1:27" ht="21.75" customHeight="1" x14ac:dyDescent="0.6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</row>
    <row r="404" spans="1:27" ht="21.75" customHeight="1" x14ac:dyDescent="0.6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</row>
    <row r="405" spans="1:27" ht="21.75" customHeight="1" x14ac:dyDescent="0.6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</row>
    <row r="406" spans="1:27" ht="21.75" customHeight="1" x14ac:dyDescent="0.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</row>
    <row r="407" spans="1:27" ht="21.75" customHeight="1" x14ac:dyDescent="0.6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</row>
    <row r="408" spans="1:27" ht="21.75" customHeight="1" x14ac:dyDescent="0.6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</row>
    <row r="409" spans="1:27" ht="21.75" customHeight="1" x14ac:dyDescent="0.6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</row>
    <row r="410" spans="1:27" ht="21.75" customHeight="1" x14ac:dyDescent="0.6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</row>
    <row r="411" spans="1:27" ht="21.75" customHeight="1" x14ac:dyDescent="0.6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</row>
    <row r="412" spans="1:27" ht="21.75" customHeight="1" x14ac:dyDescent="0.6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</row>
    <row r="413" spans="1:27" ht="21.75" customHeight="1" x14ac:dyDescent="0.6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</row>
    <row r="414" spans="1:27" ht="21.75" customHeight="1" x14ac:dyDescent="0.6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</row>
    <row r="415" spans="1:27" ht="21.75" customHeight="1" x14ac:dyDescent="0.6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</row>
    <row r="416" spans="1:27" ht="21.75" customHeight="1" x14ac:dyDescent="0.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</row>
    <row r="417" spans="1:27" ht="21.75" customHeight="1" x14ac:dyDescent="0.6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</row>
    <row r="418" spans="1:27" ht="21.75" customHeight="1" x14ac:dyDescent="0.6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</row>
    <row r="419" spans="1:27" ht="21.75" customHeight="1" x14ac:dyDescent="0.6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</row>
    <row r="420" spans="1:27" ht="21.75" customHeight="1" x14ac:dyDescent="0.6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</row>
    <row r="421" spans="1:27" ht="21.75" customHeight="1" x14ac:dyDescent="0.6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</row>
    <row r="422" spans="1:27" ht="21.75" customHeight="1" x14ac:dyDescent="0.6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</row>
    <row r="423" spans="1:27" ht="21.75" customHeight="1" x14ac:dyDescent="0.6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</row>
    <row r="424" spans="1:27" ht="21.75" customHeight="1" x14ac:dyDescent="0.6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</row>
    <row r="425" spans="1:27" ht="21.75" customHeight="1" x14ac:dyDescent="0.6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</row>
    <row r="426" spans="1:27" ht="21.75" customHeight="1" x14ac:dyDescent="0.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</row>
    <row r="427" spans="1:27" ht="21.75" customHeight="1" x14ac:dyDescent="0.6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</row>
    <row r="428" spans="1:27" ht="21.75" customHeight="1" x14ac:dyDescent="0.6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</row>
    <row r="429" spans="1:27" ht="21.75" customHeight="1" x14ac:dyDescent="0.6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</row>
    <row r="430" spans="1:27" ht="21.75" customHeight="1" x14ac:dyDescent="0.6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</row>
    <row r="431" spans="1:27" ht="21.75" customHeight="1" x14ac:dyDescent="0.6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</row>
    <row r="432" spans="1:27" ht="21.75" customHeight="1" x14ac:dyDescent="0.6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</row>
    <row r="433" spans="1:27" ht="21.75" customHeight="1" x14ac:dyDescent="0.6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</row>
    <row r="434" spans="1:27" ht="21.75" customHeight="1" x14ac:dyDescent="0.6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</row>
    <row r="435" spans="1:27" ht="21.75" customHeight="1" x14ac:dyDescent="0.6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</row>
    <row r="436" spans="1:27" ht="21.75" customHeight="1" x14ac:dyDescent="0.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</row>
    <row r="437" spans="1:27" ht="21.75" customHeight="1" x14ac:dyDescent="0.6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</row>
    <row r="438" spans="1:27" ht="21.75" customHeight="1" x14ac:dyDescent="0.6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</row>
    <row r="439" spans="1:27" ht="21.75" customHeight="1" x14ac:dyDescent="0.6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</row>
    <row r="440" spans="1:27" ht="21.75" customHeight="1" x14ac:dyDescent="0.6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</row>
    <row r="441" spans="1:27" ht="21.75" customHeight="1" x14ac:dyDescent="0.6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</row>
    <row r="442" spans="1:27" ht="21.75" customHeight="1" x14ac:dyDescent="0.6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</row>
    <row r="443" spans="1:27" ht="21.75" customHeight="1" x14ac:dyDescent="0.6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</row>
    <row r="444" spans="1:27" ht="21.75" customHeight="1" x14ac:dyDescent="0.6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</row>
    <row r="445" spans="1:27" ht="21.75" customHeight="1" x14ac:dyDescent="0.6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</row>
    <row r="446" spans="1:27" ht="21.75" customHeight="1" x14ac:dyDescent="0.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</row>
    <row r="447" spans="1:27" ht="21.75" customHeight="1" x14ac:dyDescent="0.6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</row>
    <row r="448" spans="1:27" ht="21.75" customHeight="1" x14ac:dyDescent="0.6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</row>
    <row r="449" spans="1:27" ht="21.75" customHeight="1" x14ac:dyDescent="0.6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</row>
    <row r="450" spans="1:27" ht="21.75" customHeight="1" x14ac:dyDescent="0.6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</row>
    <row r="451" spans="1:27" ht="21.75" customHeight="1" x14ac:dyDescent="0.6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</row>
    <row r="452" spans="1:27" ht="21.75" customHeight="1" x14ac:dyDescent="0.6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</row>
    <row r="453" spans="1:27" ht="21.75" customHeight="1" x14ac:dyDescent="0.6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</row>
    <row r="454" spans="1:27" ht="21.75" customHeight="1" x14ac:dyDescent="0.6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</row>
    <row r="455" spans="1:27" ht="21.75" customHeight="1" x14ac:dyDescent="0.6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</row>
    <row r="456" spans="1:27" ht="21.75" customHeight="1" x14ac:dyDescent="0.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</row>
    <row r="457" spans="1:27" ht="21.75" customHeight="1" x14ac:dyDescent="0.6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</row>
    <row r="458" spans="1:27" ht="21.75" customHeight="1" x14ac:dyDescent="0.6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</row>
    <row r="459" spans="1:27" ht="21.75" customHeight="1" x14ac:dyDescent="0.6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</row>
    <row r="460" spans="1:27" ht="21.75" customHeight="1" x14ac:dyDescent="0.6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</row>
    <row r="461" spans="1:27" ht="21.75" customHeight="1" x14ac:dyDescent="0.6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</row>
    <row r="462" spans="1:27" ht="21.75" customHeight="1" x14ac:dyDescent="0.6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</row>
    <row r="463" spans="1:27" ht="21.75" customHeight="1" x14ac:dyDescent="0.6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</row>
    <row r="464" spans="1:27" ht="21.75" customHeight="1" x14ac:dyDescent="0.6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</row>
    <row r="465" spans="1:27" ht="21.75" customHeight="1" x14ac:dyDescent="0.6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</row>
    <row r="466" spans="1:27" ht="21.75" customHeight="1" x14ac:dyDescent="0.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</row>
    <row r="467" spans="1:27" ht="21.75" customHeight="1" x14ac:dyDescent="0.6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</row>
    <row r="468" spans="1:27" ht="21.75" customHeight="1" x14ac:dyDescent="0.6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</row>
    <row r="469" spans="1:27" ht="21.75" customHeight="1" x14ac:dyDescent="0.6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</row>
    <row r="470" spans="1:27" ht="21.75" customHeight="1" x14ac:dyDescent="0.6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</row>
    <row r="471" spans="1:27" ht="21.75" customHeight="1" x14ac:dyDescent="0.6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</row>
    <row r="472" spans="1:27" ht="21.75" customHeight="1" x14ac:dyDescent="0.6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</row>
    <row r="473" spans="1:27" ht="21.75" customHeight="1" x14ac:dyDescent="0.6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</row>
    <row r="474" spans="1:27" ht="21.75" customHeight="1" x14ac:dyDescent="0.6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</row>
    <row r="475" spans="1:27" ht="21.75" customHeight="1" x14ac:dyDescent="0.6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</row>
    <row r="476" spans="1:27" ht="21.75" customHeight="1" x14ac:dyDescent="0.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</row>
    <row r="477" spans="1:27" ht="21.75" customHeight="1" x14ac:dyDescent="0.6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</row>
    <row r="478" spans="1:27" ht="21.75" customHeight="1" x14ac:dyDescent="0.6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</row>
    <row r="479" spans="1:27" ht="21.75" customHeight="1" x14ac:dyDescent="0.6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</row>
    <row r="480" spans="1:27" ht="21.75" customHeight="1" x14ac:dyDescent="0.6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</row>
    <row r="481" spans="1:27" ht="21.75" customHeight="1" x14ac:dyDescent="0.6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</row>
    <row r="482" spans="1:27" ht="21.75" customHeight="1" x14ac:dyDescent="0.6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</row>
    <row r="483" spans="1:27" ht="21.75" customHeight="1" x14ac:dyDescent="0.6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</row>
    <row r="484" spans="1:27" ht="21.75" customHeight="1" x14ac:dyDescent="0.6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</row>
    <row r="485" spans="1:27" ht="21.75" customHeight="1" x14ac:dyDescent="0.6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</row>
    <row r="486" spans="1:27" ht="21.75" customHeight="1" x14ac:dyDescent="0.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</row>
    <row r="487" spans="1:27" ht="21.75" customHeight="1" x14ac:dyDescent="0.6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</row>
    <row r="488" spans="1:27" ht="21.75" customHeight="1" x14ac:dyDescent="0.6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</row>
    <row r="489" spans="1:27" ht="21.75" customHeight="1" x14ac:dyDescent="0.6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</row>
    <row r="490" spans="1:27" ht="21.75" customHeight="1" x14ac:dyDescent="0.6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</row>
    <row r="491" spans="1:27" ht="21.75" customHeight="1" x14ac:dyDescent="0.6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</row>
    <row r="492" spans="1:27" ht="21.75" customHeight="1" x14ac:dyDescent="0.6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</row>
    <row r="493" spans="1:27" ht="21.75" customHeight="1" x14ac:dyDescent="0.6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</row>
    <row r="494" spans="1:27" ht="21.75" customHeight="1" x14ac:dyDescent="0.6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</row>
    <row r="495" spans="1:27" ht="21.75" customHeight="1" x14ac:dyDescent="0.6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</row>
    <row r="496" spans="1:27" ht="21.75" customHeight="1" x14ac:dyDescent="0.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</row>
    <row r="497" spans="1:27" ht="21.75" customHeight="1" x14ac:dyDescent="0.6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</row>
    <row r="498" spans="1:27" ht="21.75" customHeight="1" x14ac:dyDescent="0.6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</row>
    <row r="499" spans="1:27" ht="21.75" customHeight="1" x14ac:dyDescent="0.6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</row>
    <row r="500" spans="1:27" ht="21.75" customHeight="1" x14ac:dyDescent="0.6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</row>
    <row r="501" spans="1:27" ht="21.75" customHeight="1" x14ac:dyDescent="0.6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</row>
    <row r="502" spans="1:27" ht="21.75" customHeight="1" x14ac:dyDescent="0.6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</row>
    <row r="503" spans="1:27" ht="21.75" customHeight="1" x14ac:dyDescent="0.6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</row>
    <row r="504" spans="1:27" ht="21.75" customHeight="1" x14ac:dyDescent="0.6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</row>
    <row r="505" spans="1:27" ht="21.75" customHeight="1" x14ac:dyDescent="0.6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</row>
    <row r="506" spans="1:27" ht="21.75" customHeight="1" x14ac:dyDescent="0.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</row>
    <row r="507" spans="1:27" ht="21.75" customHeight="1" x14ac:dyDescent="0.6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</row>
    <row r="508" spans="1:27" ht="21.75" customHeight="1" x14ac:dyDescent="0.6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</row>
    <row r="509" spans="1:27" ht="21.75" customHeight="1" x14ac:dyDescent="0.6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</row>
    <row r="510" spans="1:27" ht="21.75" customHeight="1" x14ac:dyDescent="0.6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</row>
    <row r="511" spans="1:27" ht="21.75" customHeight="1" x14ac:dyDescent="0.6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</row>
    <row r="512" spans="1:27" ht="21.75" customHeight="1" x14ac:dyDescent="0.6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</row>
    <row r="513" spans="1:27" ht="21.75" customHeight="1" x14ac:dyDescent="0.6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</row>
    <row r="514" spans="1:27" ht="21.75" customHeight="1" x14ac:dyDescent="0.6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</row>
    <row r="515" spans="1:27" ht="21.75" customHeight="1" x14ac:dyDescent="0.6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</row>
    <row r="516" spans="1:27" ht="21.75" customHeight="1" x14ac:dyDescent="0.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</row>
    <row r="517" spans="1:27" ht="21.75" customHeight="1" x14ac:dyDescent="0.6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</row>
    <row r="518" spans="1:27" ht="21.75" customHeight="1" x14ac:dyDescent="0.6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</row>
    <row r="519" spans="1:27" ht="21.75" customHeight="1" x14ac:dyDescent="0.6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</row>
    <row r="520" spans="1:27" ht="21.75" customHeight="1" x14ac:dyDescent="0.6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</row>
    <row r="521" spans="1:27" ht="21.75" customHeight="1" x14ac:dyDescent="0.6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</row>
    <row r="522" spans="1:27" ht="21.75" customHeight="1" x14ac:dyDescent="0.6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</row>
    <row r="523" spans="1:27" ht="21.75" customHeight="1" x14ac:dyDescent="0.6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</row>
    <row r="524" spans="1:27" ht="21.75" customHeight="1" x14ac:dyDescent="0.6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</row>
    <row r="525" spans="1:27" ht="21.75" customHeight="1" x14ac:dyDescent="0.6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</row>
    <row r="526" spans="1:27" ht="21.75" customHeight="1" x14ac:dyDescent="0.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</row>
    <row r="527" spans="1:27" ht="21.75" customHeight="1" x14ac:dyDescent="0.6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</row>
    <row r="528" spans="1:27" ht="21.75" customHeight="1" x14ac:dyDescent="0.6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</row>
    <row r="529" spans="1:27" ht="21.75" customHeight="1" x14ac:dyDescent="0.6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</row>
    <row r="530" spans="1:27" ht="21.75" customHeight="1" x14ac:dyDescent="0.6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</row>
    <row r="531" spans="1:27" ht="21.75" customHeight="1" x14ac:dyDescent="0.6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</row>
    <row r="532" spans="1:27" ht="21.75" customHeight="1" x14ac:dyDescent="0.6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</row>
    <row r="533" spans="1:27" ht="21.75" customHeight="1" x14ac:dyDescent="0.6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</row>
    <row r="534" spans="1:27" ht="21.75" customHeight="1" x14ac:dyDescent="0.6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</row>
    <row r="535" spans="1:27" ht="21.75" customHeight="1" x14ac:dyDescent="0.6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</row>
    <row r="536" spans="1:27" ht="21.75" customHeight="1" x14ac:dyDescent="0.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</row>
    <row r="537" spans="1:27" ht="21.75" customHeight="1" x14ac:dyDescent="0.6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</row>
    <row r="538" spans="1:27" ht="21.75" customHeight="1" x14ac:dyDescent="0.6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</row>
    <row r="539" spans="1:27" ht="21.75" customHeight="1" x14ac:dyDescent="0.6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</row>
    <row r="540" spans="1:27" ht="21.75" customHeight="1" x14ac:dyDescent="0.6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</row>
    <row r="541" spans="1:27" ht="21.75" customHeight="1" x14ac:dyDescent="0.6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</row>
    <row r="542" spans="1:27" ht="21.75" customHeight="1" x14ac:dyDescent="0.6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</row>
    <row r="543" spans="1:27" ht="21.75" customHeight="1" x14ac:dyDescent="0.6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</row>
    <row r="544" spans="1:27" ht="21.75" customHeight="1" x14ac:dyDescent="0.6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</row>
    <row r="545" spans="1:27" ht="21.75" customHeight="1" x14ac:dyDescent="0.6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</row>
    <row r="546" spans="1:27" ht="21.75" customHeight="1" x14ac:dyDescent="0.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</row>
    <row r="547" spans="1:27" ht="21.75" customHeight="1" x14ac:dyDescent="0.6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</row>
    <row r="548" spans="1:27" ht="21.75" customHeight="1" x14ac:dyDescent="0.6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</row>
    <row r="549" spans="1:27" ht="21.75" customHeight="1" x14ac:dyDescent="0.6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</row>
    <row r="550" spans="1:27" ht="21.75" customHeight="1" x14ac:dyDescent="0.6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</row>
    <row r="551" spans="1:27" ht="21.75" customHeight="1" x14ac:dyDescent="0.6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</row>
    <row r="552" spans="1:27" ht="21.75" customHeight="1" x14ac:dyDescent="0.6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</row>
    <row r="553" spans="1:27" ht="21.75" customHeight="1" x14ac:dyDescent="0.6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</row>
    <row r="554" spans="1:27" ht="21.75" customHeight="1" x14ac:dyDescent="0.6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</row>
    <row r="555" spans="1:27" ht="21.75" customHeight="1" x14ac:dyDescent="0.6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</row>
    <row r="556" spans="1:27" ht="21.75" customHeight="1" x14ac:dyDescent="0.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</row>
    <row r="557" spans="1:27" ht="21.75" customHeight="1" x14ac:dyDescent="0.6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</row>
    <row r="558" spans="1:27" ht="21.75" customHeight="1" x14ac:dyDescent="0.6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</row>
    <row r="559" spans="1:27" ht="21.75" customHeight="1" x14ac:dyDescent="0.6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</row>
    <row r="560" spans="1:27" ht="21.75" customHeight="1" x14ac:dyDescent="0.6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</row>
    <row r="561" spans="1:27" ht="21.75" customHeight="1" x14ac:dyDescent="0.6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</row>
    <row r="562" spans="1:27" ht="21.75" customHeight="1" x14ac:dyDescent="0.6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</row>
    <row r="563" spans="1:27" ht="21.75" customHeight="1" x14ac:dyDescent="0.6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</row>
    <row r="564" spans="1:27" ht="21.75" customHeight="1" x14ac:dyDescent="0.6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</row>
    <row r="565" spans="1:27" ht="21.75" customHeight="1" x14ac:dyDescent="0.6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</row>
    <row r="566" spans="1:27" ht="21.75" customHeight="1" x14ac:dyDescent="0.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</row>
    <row r="567" spans="1:27" ht="21.75" customHeight="1" x14ac:dyDescent="0.6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</row>
    <row r="568" spans="1:27" ht="21.75" customHeight="1" x14ac:dyDescent="0.6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</row>
    <row r="569" spans="1:27" ht="21.75" customHeight="1" x14ac:dyDescent="0.6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</row>
    <row r="570" spans="1:27" ht="21.75" customHeight="1" x14ac:dyDescent="0.6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</row>
    <row r="571" spans="1:27" ht="21.75" customHeight="1" x14ac:dyDescent="0.6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</row>
    <row r="572" spans="1:27" ht="21.75" customHeight="1" x14ac:dyDescent="0.6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</row>
    <row r="573" spans="1:27" ht="21.75" customHeight="1" x14ac:dyDescent="0.6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</row>
    <row r="574" spans="1:27" ht="21.75" customHeight="1" x14ac:dyDescent="0.6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</row>
    <row r="575" spans="1:27" ht="21.75" customHeight="1" x14ac:dyDescent="0.6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</row>
    <row r="576" spans="1:27" ht="21.75" customHeight="1" x14ac:dyDescent="0.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</row>
    <row r="577" spans="1:27" ht="21.75" customHeight="1" x14ac:dyDescent="0.6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</row>
    <row r="578" spans="1:27" ht="21.75" customHeight="1" x14ac:dyDescent="0.6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</row>
    <row r="579" spans="1:27" ht="21.75" customHeight="1" x14ac:dyDescent="0.6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</row>
    <row r="580" spans="1:27" ht="21.75" customHeight="1" x14ac:dyDescent="0.6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</row>
    <row r="581" spans="1:27" ht="21.75" customHeight="1" x14ac:dyDescent="0.6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</row>
    <row r="582" spans="1:27" ht="21.75" customHeight="1" x14ac:dyDescent="0.6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</row>
    <row r="583" spans="1:27" ht="21.75" customHeight="1" x14ac:dyDescent="0.6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</row>
    <row r="584" spans="1:27" ht="21.75" customHeight="1" x14ac:dyDescent="0.6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</row>
    <row r="585" spans="1:27" ht="21.75" customHeight="1" x14ac:dyDescent="0.6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</row>
    <row r="586" spans="1:27" ht="21.75" customHeight="1" x14ac:dyDescent="0.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</row>
    <row r="587" spans="1:27" ht="21.75" customHeight="1" x14ac:dyDescent="0.6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</row>
    <row r="588" spans="1:27" ht="21.75" customHeight="1" x14ac:dyDescent="0.6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</row>
    <row r="589" spans="1:27" ht="21.75" customHeight="1" x14ac:dyDescent="0.6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</row>
    <row r="590" spans="1:27" ht="21.75" customHeight="1" x14ac:dyDescent="0.6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</row>
    <row r="591" spans="1:27" ht="21.75" customHeight="1" x14ac:dyDescent="0.6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</row>
    <row r="592" spans="1:27" ht="21.75" customHeight="1" x14ac:dyDescent="0.6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</row>
    <row r="593" spans="1:27" ht="21.75" customHeight="1" x14ac:dyDescent="0.6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</row>
    <row r="594" spans="1:27" ht="21.75" customHeight="1" x14ac:dyDescent="0.6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</row>
    <row r="595" spans="1:27" ht="21.75" customHeight="1" x14ac:dyDescent="0.6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</row>
    <row r="596" spans="1:27" ht="21.75" customHeight="1" x14ac:dyDescent="0.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</row>
    <row r="597" spans="1:27" ht="21.75" customHeight="1" x14ac:dyDescent="0.6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</row>
    <row r="598" spans="1:27" ht="21.75" customHeight="1" x14ac:dyDescent="0.6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</row>
    <row r="599" spans="1:27" ht="21.75" customHeight="1" x14ac:dyDescent="0.6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</row>
    <row r="600" spans="1:27" ht="21.75" customHeight="1" x14ac:dyDescent="0.6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</row>
    <row r="601" spans="1:27" ht="21.75" customHeight="1" x14ac:dyDescent="0.6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</row>
    <row r="602" spans="1:27" ht="21.75" customHeight="1" x14ac:dyDescent="0.6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</row>
    <row r="603" spans="1:27" ht="21.75" customHeight="1" x14ac:dyDescent="0.6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</row>
    <row r="604" spans="1:27" ht="21.75" customHeight="1" x14ac:dyDescent="0.6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</row>
    <row r="605" spans="1:27" ht="21.75" customHeight="1" x14ac:dyDescent="0.6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</row>
    <row r="606" spans="1:27" ht="21.75" customHeight="1" x14ac:dyDescent="0.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</row>
    <row r="607" spans="1:27" ht="21.75" customHeight="1" x14ac:dyDescent="0.6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</row>
    <row r="608" spans="1:27" ht="21.75" customHeight="1" x14ac:dyDescent="0.6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</row>
    <row r="609" spans="1:27" ht="21.75" customHeight="1" x14ac:dyDescent="0.6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</row>
    <row r="610" spans="1:27" ht="21.75" customHeight="1" x14ac:dyDescent="0.6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</row>
    <row r="611" spans="1:27" ht="21.75" customHeight="1" x14ac:dyDescent="0.6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</row>
    <row r="612" spans="1:27" ht="21.75" customHeight="1" x14ac:dyDescent="0.6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</row>
    <row r="613" spans="1:27" ht="21.75" customHeight="1" x14ac:dyDescent="0.6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</row>
    <row r="614" spans="1:27" ht="21.75" customHeight="1" x14ac:dyDescent="0.6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</row>
    <row r="615" spans="1:27" ht="21.75" customHeight="1" x14ac:dyDescent="0.6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</row>
    <row r="616" spans="1:27" ht="21.75" customHeight="1" x14ac:dyDescent="0.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</row>
    <row r="617" spans="1:27" ht="21.75" customHeight="1" x14ac:dyDescent="0.6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</row>
    <row r="618" spans="1:27" ht="21.75" customHeight="1" x14ac:dyDescent="0.6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</row>
    <row r="619" spans="1:27" ht="21.75" customHeight="1" x14ac:dyDescent="0.6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</row>
    <row r="620" spans="1:27" ht="21.75" customHeight="1" x14ac:dyDescent="0.6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</row>
    <row r="621" spans="1:27" ht="21.75" customHeight="1" x14ac:dyDescent="0.6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</row>
    <row r="622" spans="1:27" ht="21.75" customHeight="1" x14ac:dyDescent="0.6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</row>
    <row r="623" spans="1:27" ht="21.75" customHeight="1" x14ac:dyDescent="0.6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</row>
    <row r="624" spans="1:27" ht="21.75" customHeight="1" x14ac:dyDescent="0.6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</row>
    <row r="625" spans="1:27" ht="21.75" customHeight="1" x14ac:dyDescent="0.6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</row>
    <row r="626" spans="1:27" ht="21.75" customHeight="1" x14ac:dyDescent="0.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</row>
    <row r="627" spans="1:27" ht="21.75" customHeight="1" x14ac:dyDescent="0.6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</row>
    <row r="628" spans="1:27" ht="21.75" customHeight="1" x14ac:dyDescent="0.6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</row>
    <row r="629" spans="1:27" ht="21.75" customHeight="1" x14ac:dyDescent="0.6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</row>
    <row r="630" spans="1:27" ht="21.75" customHeight="1" x14ac:dyDescent="0.6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</row>
    <row r="631" spans="1:27" ht="21.75" customHeight="1" x14ac:dyDescent="0.6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</row>
    <row r="632" spans="1:27" ht="21.75" customHeight="1" x14ac:dyDescent="0.6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</row>
    <row r="633" spans="1:27" ht="21.75" customHeight="1" x14ac:dyDescent="0.6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</row>
    <row r="634" spans="1:27" ht="21.75" customHeight="1" x14ac:dyDescent="0.6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</row>
    <row r="635" spans="1:27" ht="21.75" customHeight="1" x14ac:dyDescent="0.6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</row>
    <row r="636" spans="1:27" ht="21.75" customHeight="1" x14ac:dyDescent="0.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</row>
    <row r="637" spans="1:27" ht="21.75" customHeight="1" x14ac:dyDescent="0.6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</row>
    <row r="638" spans="1:27" ht="21.75" customHeight="1" x14ac:dyDescent="0.6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</row>
    <row r="639" spans="1:27" ht="21.75" customHeight="1" x14ac:dyDescent="0.6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</row>
    <row r="640" spans="1:27" ht="21.75" customHeight="1" x14ac:dyDescent="0.6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</row>
    <row r="641" spans="1:27" ht="21.75" customHeight="1" x14ac:dyDescent="0.6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</row>
    <row r="642" spans="1:27" ht="21.75" customHeight="1" x14ac:dyDescent="0.6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</row>
    <row r="643" spans="1:27" ht="21.75" customHeight="1" x14ac:dyDescent="0.6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</row>
    <row r="644" spans="1:27" ht="21.75" customHeight="1" x14ac:dyDescent="0.6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</row>
    <row r="645" spans="1:27" ht="21.75" customHeight="1" x14ac:dyDescent="0.6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</row>
    <row r="646" spans="1:27" ht="21.75" customHeight="1" x14ac:dyDescent="0.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</row>
    <row r="647" spans="1:27" ht="21.75" customHeight="1" x14ac:dyDescent="0.6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</row>
    <row r="648" spans="1:27" ht="21.75" customHeight="1" x14ac:dyDescent="0.6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</row>
    <row r="649" spans="1:27" ht="21.75" customHeight="1" x14ac:dyDescent="0.6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</row>
    <row r="650" spans="1:27" ht="21.75" customHeight="1" x14ac:dyDescent="0.6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</row>
    <row r="651" spans="1:27" ht="21.75" customHeight="1" x14ac:dyDescent="0.6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</row>
    <row r="652" spans="1:27" ht="21.75" customHeight="1" x14ac:dyDescent="0.6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</row>
    <row r="653" spans="1:27" ht="21.75" customHeight="1" x14ac:dyDescent="0.6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</row>
    <row r="654" spans="1:27" ht="21.75" customHeight="1" x14ac:dyDescent="0.6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</row>
    <row r="655" spans="1:27" ht="21.75" customHeight="1" x14ac:dyDescent="0.6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</row>
    <row r="656" spans="1:27" ht="21.75" customHeight="1" x14ac:dyDescent="0.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</row>
    <row r="657" spans="1:27" ht="21.75" customHeight="1" x14ac:dyDescent="0.6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</row>
    <row r="658" spans="1:27" ht="21.75" customHeight="1" x14ac:dyDescent="0.6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</row>
    <row r="659" spans="1:27" ht="21.75" customHeight="1" x14ac:dyDescent="0.6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</row>
    <row r="660" spans="1:27" ht="21.75" customHeight="1" x14ac:dyDescent="0.6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</row>
    <row r="661" spans="1:27" ht="21.75" customHeight="1" x14ac:dyDescent="0.6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</row>
    <row r="662" spans="1:27" ht="21.75" customHeight="1" x14ac:dyDescent="0.6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</row>
    <row r="663" spans="1:27" ht="21.75" customHeight="1" x14ac:dyDescent="0.6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</row>
    <row r="664" spans="1:27" ht="21.75" customHeight="1" x14ac:dyDescent="0.6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</row>
    <row r="665" spans="1:27" ht="21.75" customHeight="1" x14ac:dyDescent="0.6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</row>
    <row r="666" spans="1:27" ht="21.75" customHeight="1" x14ac:dyDescent="0.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</row>
    <row r="667" spans="1:27" ht="21.75" customHeight="1" x14ac:dyDescent="0.6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</row>
    <row r="668" spans="1:27" ht="21.75" customHeight="1" x14ac:dyDescent="0.6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</row>
    <row r="669" spans="1:27" ht="21.75" customHeight="1" x14ac:dyDescent="0.6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</row>
    <row r="670" spans="1:27" ht="21.75" customHeight="1" x14ac:dyDescent="0.6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</row>
    <row r="671" spans="1:27" ht="21.75" customHeight="1" x14ac:dyDescent="0.6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</row>
    <row r="672" spans="1:27" ht="21.75" customHeight="1" x14ac:dyDescent="0.6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</row>
    <row r="673" spans="1:27" ht="21.75" customHeight="1" x14ac:dyDescent="0.6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</row>
    <row r="674" spans="1:27" ht="21.75" customHeight="1" x14ac:dyDescent="0.6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</row>
    <row r="675" spans="1:27" ht="21.75" customHeight="1" x14ac:dyDescent="0.6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</row>
    <row r="676" spans="1:27" ht="21.75" customHeight="1" x14ac:dyDescent="0.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</row>
    <row r="677" spans="1:27" ht="21.75" customHeight="1" x14ac:dyDescent="0.6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</row>
    <row r="678" spans="1:27" ht="21.75" customHeight="1" x14ac:dyDescent="0.6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</row>
    <row r="679" spans="1:27" ht="21.75" customHeight="1" x14ac:dyDescent="0.6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</row>
    <row r="680" spans="1:27" ht="21.75" customHeight="1" x14ac:dyDescent="0.6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</row>
    <row r="681" spans="1:27" ht="21.75" customHeight="1" x14ac:dyDescent="0.6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</row>
    <row r="682" spans="1:27" ht="21.75" customHeight="1" x14ac:dyDescent="0.6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</row>
    <row r="683" spans="1:27" ht="21.75" customHeight="1" x14ac:dyDescent="0.6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</row>
    <row r="684" spans="1:27" ht="21.75" customHeight="1" x14ac:dyDescent="0.6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</row>
    <row r="685" spans="1:27" ht="21.75" customHeight="1" x14ac:dyDescent="0.6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</row>
    <row r="686" spans="1:27" ht="21.75" customHeight="1" x14ac:dyDescent="0.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</row>
    <row r="687" spans="1:27" ht="21.75" customHeight="1" x14ac:dyDescent="0.6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</row>
    <row r="688" spans="1:27" ht="21.75" customHeight="1" x14ac:dyDescent="0.6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</row>
    <row r="689" spans="1:27" ht="21.75" customHeight="1" x14ac:dyDescent="0.6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</row>
    <row r="690" spans="1:27" ht="21.75" customHeight="1" x14ac:dyDescent="0.6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</row>
    <row r="691" spans="1:27" ht="21.75" customHeight="1" x14ac:dyDescent="0.6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</row>
    <row r="692" spans="1:27" ht="21.75" customHeight="1" x14ac:dyDescent="0.6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</row>
    <row r="693" spans="1:27" ht="21.75" customHeight="1" x14ac:dyDescent="0.6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</row>
    <row r="694" spans="1:27" ht="21.75" customHeight="1" x14ac:dyDescent="0.6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</row>
    <row r="695" spans="1:27" ht="21.75" customHeight="1" x14ac:dyDescent="0.6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</row>
    <row r="696" spans="1:27" ht="21.75" customHeight="1" x14ac:dyDescent="0.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</row>
    <row r="697" spans="1:27" ht="21.75" customHeight="1" x14ac:dyDescent="0.6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</row>
    <row r="698" spans="1:27" ht="21.75" customHeight="1" x14ac:dyDescent="0.6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</row>
    <row r="699" spans="1:27" ht="21.75" customHeight="1" x14ac:dyDescent="0.6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</row>
    <row r="700" spans="1:27" ht="21.75" customHeight="1" x14ac:dyDescent="0.6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</row>
    <row r="701" spans="1:27" ht="21.75" customHeight="1" x14ac:dyDescent="0.6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</row>
    <row r="702" spans="1:27" ht="21.75" customHeight="1" x14ac:dyDescent="0.6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</row>
    <row r="703" spans="1:27" ht="21.75" customHeight="1" x14ac:dyDescent="0.6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</row>
    <row r="704" spans="1:27" ht="21.75" customHeight="1" x14ac:dyDescent="0.6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</row>
    <row r="705" spans="1:27" ht="21.75" customHeight="1" x14ac:dyDescent="0.6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</row>
    <row r="706" spans="1:27" ht="21.75" customHeight="1" x14ac:dyDescent="0.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</row>
    <row r="707" spans="1:27" ht="21.75" customHeight="1" x14ac:dyDescent="0.6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</row>
    <row r="708" spans="1:27" ht="21.75" customHeight="1" x14ac:dyDescent="0.6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</row>
    <row r="709" spans="1:27" ht="21.75" customHeight="1" x14ac:dyDescent="0.6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</row>
    <row r="710" spans="1:27" ht="21.75" customHeight="1" x14ac:dyDescent="0.6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</row>
    <row r="711" spans="1:27" ht="21.75" customHeight="1" x14ac:dyDescent="0.6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</row>
    <row r="712" spans="1:27" ht="21.75" customHeight="1" x14ac:dyDescent="0.6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</row>
    <row r="713" spans="1:27" ht="21.75" customHeight="1" x14ac:dyDescent="0.6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</row>
    <row r="714" spans="1:27" ht="21.75" customHeight="1" x14ac:dyDescent="0.6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</row>
    <row r="715" spans="1:27" ht="21.75" customHeight="1" x14ac:dyDescent="0.6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</row>
    <row r="716" spans="1:27" ht="21.75" customHeight="1" x14ac:dyDescent="0.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</row>
    <row r="717" spans="1:27" ht="21.75" customHeight="1" x14ac:dyDescent="0.6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</row>
    <row r="718" spans="1:27" ht="21.75" customHeight="1" x14ac:dyDescent="0.6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</row>
    <row r="719" spans="1:27" ht="21.75" customHeight="1" x14ac:dyDescent="0.6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</row>
    <row r="720" spans="1:27" ht="21.75" customHeight="1" x14ac:dyDescent="0.6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</row>
    <row r="721" spans="1:27" ht="21.75" customHeight="1" x14ac:dyDescent="0.6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</row>
    <row r="722" spans="1:27" ht="21.75" customHeight="1" x14ac:dyDescent="0.6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</row>
    <row r="723" spans="1:27" ht="21.75" customHeight="1" x14ac:dyDescent="0.6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</row>
    <row r="724" spans="1:27" ht="21.75" customHeight="1" x14ac:dyDescent="0.6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</row>
    <row r="725" spans="1:27" ht="21.75" customHeight="1" x14ac:dyDescent="0.6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</row>
    <row r="726" spans="1:27" ht="21.75" customHeight="1" x14ac:dyDescent="0.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</row>
    <row r="727" spans="1:27" ht="21.75" customHeight="1" x14ac:dyDescent="0.6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</row>
    <row r="728" spans="1:27" ht="21.75" customHeight="1" x14ac:dyDescent="0.6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</row>
    <row r="729" spans="1:27" ht="21.75" customHeight="1" x14ac:dyDescent="0.6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</row>
    <row r="730" spans="1:27" ht="21.75" customHeight="1" x14ac:dyDescent="0.6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</row>
    <row r="731" spans="1:27" ht="21.75" customHeight="1" x14ac:dyDescent="0.6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</row>
    <row r="732" spans="1:27" ht="21.75" customHeight="1" x14ac:dyDescent="0.6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</row>
    <row r="733" spans="1:27" ht="21.75" customHeight="1" x14ac:dyDescent="0.6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</row>
    <row r="734" spans="1:27" ht="21.75" customHeight="1" x14ac:dyDescent="0.6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</row>
    <row r="735" spans="1:27" ht="21.75" customHeight="1" x14ac:dyDescent="0.6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</row>
    <row r="736" spans="1:27" ht="21.75" customHeight="1" x14ac:dyDescent="0.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</row>
    <row r="737" spans="1:27" ht="21.75" customHeight="1" x14ac:dyDescent="0.6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</row>
    <row r="738" spans="1:27" ht="21.75" customHeight="1" x14ac:dyDescent="0.6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</row>
    <row r="739" spans="1:27" ht="21.75" customHeight="1" x14ac:dyDescent="0.6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</row>
    <row r="740" spans="1:27" ht="21.75" customHeight="1" x14ac:dyDescent="0.6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</row>
    <row r="741" spans="1:27" ht="21.75" customHeight="1" x14ac:dyDescent="0.6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</row>
    <row r="742" spans="1:27" ht="21.75" customHeight="1" x14ac:dyDescent="0.6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</row>
    <row r="743" spans="1:27" ht="21.75" customHeight="1" x14ac:dyDescent="0.6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</row>
    <row r="744" spans="1:27" ht="21.75" customHeight="1" x14ac:dyDescent="0.6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</row>
    <row r="745" spans="1:27" ht="21.75" customHeight="1" x14ac:dyDescent="0.6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</row>
    <row r="746" spans="1:27" ht="21.75" customHeight="1" x14ac:dyDescent="0.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</row>
    <row r="747" spans="1:27" ht="21.75" customHeight="1" x14ac:dyDescent="0.6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</row>
    <row r="748" spans="1:27" ht="21.75" customHeight="1" x14ac:dyDescent="0.6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</row>
    <row r="749" spans="1:27" ht="21.75" customHeight="1" x14ac:dyDescent="0.6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</row>
    <row r="750" spans="1:27" ht="21.75" customHeight="1" x14ac:dyDescent="0.6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</row>
    <row r="751" spans="1:27" ht="21.75" customHeight="1" x14ac:dyDescent="0.6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</row>
    <row r="752" spans="1:27" ht="21.75" customHeight="1" x14ac:dyDescent="0.6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</row>
    <row r="753" spans="1:27" ht="21.75" customHeight="1" x14ac:dyDescent="0.6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</row>
    <row r="754" spans="1:27" ht="21.75" customHeight="1" x14ac:dyDescent="0.6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</row>
    <row r="755" spans="1:27" ht="21.75" customHeight="1" x14ac:dyDescent="0.6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</row>
    <row r="756" spans="1:27" ht="21.75" customHeight="1" x14ac:dyDescent="0.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</row>
    <row r="757" spans="1:27" ht="21.75" customHeight="1" x14ac:dyDescent="0.6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</row>
    <row r="758" spans="1:27" ht="21.75" customHeight="1" x14ac:dyDescent="0.6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</row>
    <row r="759" spans="1:27" ht="21.75" customHeight="1" x14ac:dyDescent="0.6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</row>
    <row r="760" spans="1:27" ht="21.75" customHeight="1" x14ac:dyDescent="0.6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</row>
    <row r="761" spans="1:27" ht="21.75" customHeight="1" x14ac:dyDescent="0.6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</row>
    <row r="762" spans="1:27" ht="21.75" customHeight="1" x14ac:dyDescent="0.6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</row>
    <row r="763" spans="1:27" ht="21.75" customHeight="1" x14ac:dyDescent="0.6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</row>
    <row r="764" spans="1:27" ht="21.75" customHeight="1" x14ac:dyDescent="0.6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</row>
    <row r="765" spans="1:27" ht="21.75" customHeight="1" x14ac:dyDescent="0.6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</row>
    <row r="766" spans="1:27" ht="21.75" customHeight="1" x14ac:dyDescent="0.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</row>
    <row r="767" spans="1:27" ht="21.75" customHeight="1" x14ac:dyDescent="0.6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</row>
    <row r="768" spans="1:27" ht="21.75" customHeight="1" x14ac:dyDescent="0.6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</row>
    <row r="769" spans="1:27" ht="21.75" customHeight="1" x14ac:dyDescent="0.6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</row>
    <row r="770" spans="1:27" ht="21.75" customHeight="1" x14ac:dyDescent="0.6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</row>
    <row r="771" spans="1:27" ht="21.75" customHeight="1" x14ac:dyDescent="0.6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</row>
    <row r="772" spans="1:27" ht="21.75" customHeight="1" x14ac:dyDescent="0.6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</row>
    <row r="773" spans="1:27" ht="21.75" customHeight="1" x14ac:dyDescent="0.6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</row>
    <row r="774" spans="1:27" ht="21.75" customHeight="1" x14ac:dyDescent="0.6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</row>
    <row r="775" spans="1:27" ht="21.75" customHeight="1" x14ac:dyDescent="0.6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</row>
    <row r="776" spans="1:27" ht="21.75" customHeight="1" x14ac:dyDescent="0.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</row>
    <row r="777" spans="1:27" ht="21.75" customHeight="1" x14ac:dyDescent="0.6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</row>
    <row r="778" spans="1:27" ht="21.75" customHeight="1" x14ac:dyDescent="0.6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</row>
    <row r="779" spans="1:27" ht="21.75" customHeight="1" x14ac:dyDescent="0.6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</row>
    <row r="780" spans="1:27" ht="21.75" customHeight="1" x14ac:dyDescent="0.6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</row>
    <row r="781" spans="1:27" ht="21.75" customHeight="1" x14ac:dyDescent="0.6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</row>
    <row r="782" spans="1:27" ht="21.75" customHeight="1" x14ac:dyDescent="0.6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</row>
    <row r="783" spans="1:27" ht="21.75" customHeight="1" x14ac:dyDescent="0.6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</row>
    <row r="784" spans="1:27" ht="21.75" customHeight="1" x14ac:dyDescent="0.6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</row>
    <row r="785" spans="1:27" ht="21.75" customHeight="1" x14ac:dyDescent="0.6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</row>
    <row r="786" spans="1:27" ht="21.75" customHeight="1" x14ac:dyDescent="0.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</row>
    <row r="787" spans="1:27" ht="21.75" customHeight="1" x14ac:dyDescent="0.6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</row>
    <row r="788" spans="1:27" ht="21.75" customHeight="1" x14ac:dyDescent="0.6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</row>
    <row r="789" spans="1:27" ht="21.75" customHeight="1" x14ac:dyDescent="0.6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</row>
    <row r="790" spans="1:27" ht="21.75" customHeight="1" x14ac:dyDescent="0.6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</row>
    <row r="791" spans="1:27" ht="21.75" customHeight="1" x14ac:dyDescent="0.6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</row>
    <row r="792" spans="1:27" ht="21.75" customHeight="1" x14ac:dyDescent="0.6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</row>
    <row r="793" spans="1:27" ht="21.75" customHeight="1" x14ac:dyDescent="0.6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</row>
    <row r="794" spans="1:27" ht="21.75" customHeight="1" x14ac:dyDescent="0.6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</row>
    <row r="795" spans="1:27" ht="21.75" customHeight="1" x14ac:dyDescent="0.6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</row>
    <row r="796" spans="1:27" ht="21.75" customHeight="1" x14ac:dyDescent="0.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</row>
    <row r="797" spans="1:27" ht="21.75" customHeight="1" x14ac:dyDescent="0.6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</row>
    <row r="798" spans="1:27" ht="21.75" customHeight="1" x14ac:dyDescent="0.6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</row>
    <row r="799" spans="1:27" ht="21.75" customHeight="1" x14ac:dyDescent="0.6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</row>
    <row r="800" spans="1:27" ht="21.75" customHeight="1" x14ac:dyDescent="0.6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</row>
    <row r="801" spans="1:27" ht="21.75" customHeight="1" x14ac:dyDescent="0.6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</row>
    <row r="802" spans="1:27" ht="21.75" customHeight="1" x14ac:dyDescent="0.6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</row>
    <row r="803" spans="1:27" ht="21.75" customHeight="1" x14ac:dyDescent="0.6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</row>
    <row r="804" spans="1:27" ht="21.75" customHeight="1" x14ac:dyDescent="0.6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</row>
    <row r="805" spans="1:27" ht="21.75" customHeight="1" x14ac:dyDescent="0.6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</row>
    <row r="806" spans="1:27" ht="21.75" customHeight="1" x14ac:dyDescent="0.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</row>
    <row r="807" spans="1:27" ht="21.75" customHeight="1" x14ac:dyDescent="0.6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</row>
    <row r="808" spans="1:27" ht="21.75" customHeight="1" x14ac:dyDescent="0.6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</row>
    <row r="809" spans="1:27" ht="21.75" customHeight="1" x14ac:dyDescent="0.6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</row>
    <row r="810" spans="1:27" ht="21.75" customHeight="1" x14ac:dyDescent="0.6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</row>
    <row r="811" spans="1:27" ht="21.75" customHeight="1" x14ac:dyDescent="0.6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</row>
    <row r="812" spans="1:27" ht="21.75" customHeight="1" x14ac:dyDescent="0.6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</row>
    <row r="813" spans="1:27" ht="21.75" customHeight="1" x14ac:dyDescent="0.6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</row>
    <row r="814" spans="1:27" ht="21.75" customHeight="1" x14ac:dyDescent="0.6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</row>
    <row r="815" spans="1:27" ht="21.75" customHeight="1" x14ac:dyDescent="0.6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</row>
    <row r="816" spans="1:27" ht="21.75" customHeight="1" x14ac:dyDescent="0.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</row>
    <row r="817" spans="1:27" ht="21.75" customHeight="1" x14ac:dyDescent="0.6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</row>
    <row r="818" spans="1:27" ht="21.75" customHeight="1" x14ac:dyDescent="0.6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</row>
    <row r="819" spans="1:27" ht="21.75" customHeight="1" x14ac:dyDescent="0.6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</row>
    <row r="820" spans="1:27" ht="21.75" customHeight="1" x14ac:dyDescent="0.6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</row>
    <row r="821" spans="1:27" ht="21.75" customHeight="1" x14ac:dyDescent="0.6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</row>
    <row r="822" spans="1:27" ht="21.75" customHeight="1" x14ac:dyDescent="0.6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</row>
    <row r="823" spans="1:27" ht="21.75" customHeight="1" x14ac:dyDescent="0.6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</row>
    <row r="824" spans="1:27" ht="21.75" customHeight="1" x14ac:dyDescent="0.6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</row>
    <row r="825" spans="1:27" ht="21.75" customHeight="1" x14ac:dyDescent="0.6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</row>
    <row r="826" spans="1:27" ht="21.75" customHeight="1" x14ac:dyDescent="0.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</row>
    <row r="827" spans="1:27" ht="21.75" customHeight="1" x14ac:dyDescent="0.6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</row>
    <row r="828" spans="1:27" ht="21.75" customHeight="1" x14ac:dyDescent="0.6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</row>
    <row r="829" spans="1:27" ht="21.75" customHeight="1" x14ac:dyDescent="0.6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</row>
    <row r="830" spans="1:27" ht="21.75" customHeight="1" x14ac:dyDescent="0.6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</row>
    <row r="831" spans="1:27" ht="21.75" customHeight="1" x14ac:dyDescent="0.6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</row>
    <row r="832" spans="1:27" ht="21.75" customHeight="1" x14ac:dyDescent="0.6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</row>
    <row r="833" spans="1:27" ht="21.75" customHeight="1" x14ac:dyDescent="0.6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</row>
    <row r="834" spans="1:27" ht="21.75" customHeight="1" x14ac:dyDescent="0.6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</row>
    <row r="835" spans="1:27" ht="21.75" customHeight="1" x14ac:dyDescent="0.6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</row>
    <row r="836" spans="1:27" ht="21.75" customHeight="1" x14ac:dyDescent="0.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</row>
    <row r="837" spans="1:27" ht="21.75" customHeight="1" x14ac:dyDescent="0.6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</row>
    <row r="838" spans="1:27" ht="21.75" customHeight="1" x14ac:dyDescent="0.6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</row>
    <row r="839" spans="1:27" ht="21.75" customHeight="1" x14ac:dyDescent="0.6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</row>
    <row r="840" spans="1:27" ht="21.75" customHeight="1" x14ac:dyDescent="0.6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</row>
    <row r="841" spans="1:27" ht="21.75" customHeight="1" x14ac:dyDescent="0.6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</row>
    <row r="842" spans="1:27" ht="21.75" customHeight="1" x14ac:dyDescent="0.6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</row>
    <row r="843" spans="1:27" ht="21.75" customHeight="1" x14ac:dyDescent="0.6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</row>
    <row r="844" spans="1:27" ht="21.75" customHeight="1" x14ac:dyDescent="0.6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</row>
    <row r="845" spans="1:27" ht="21.75" customHeight="1" x14ac:dyDescent="0.6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</row>
    <row r="846" spans="1:27" ht="21.75" customHeight="1" x14ac:dyDescent="0.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</row>
    <row r="847" spans="1:27" ht="21.75" customHeight="1" x14ac:dyDescent="0.6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</row>
    <row r="848" spans="1:27" ht="21.75" customHeight="1" x14ac:dyDescent="0.6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</row>
    <row r="849" spans="1:27" ht="21.75" customHeight="1" x14ac:dyDescent="0.6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</row>
    <row r="850" spans="1:27" ht="21.75" customHeight="1" x14ac:dyDescent="0.6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</row>
    <row r="851" spans="1:27" ht="21.75" customHeight="1" x14ac:dyDescent="0.6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</row>
    <row r="852" spans="1:27" ht="21.75" customHeight="1" x14ac:dyDescent="0.6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</row>
    <row r="853" spans="1:27" ht="21.75" customHeight="1" x14ac:dyDescent="0.6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</row>
    <row r="854" spans="1:27" ht="21.75" customHeight="1" x14ac:dyDescent="0.6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</row>
    <row r="855" spans="1:27" ht="21.75" customHeight="1" x14ac:dyDescent="0.6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</row>
    <row r="856" spans="1:27" ht="21.75" customHeight="1" x14ac:dyDescent="0.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</row>
    <row r="857" spans="1:27" ht="21.75" customHeight="1" x14ac:dyDescent="0.6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</row>
    <row r="858" spans="1:27" ht="21.75" customHeight="1" x14ac:dyDescent="0.6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</row>
    <row r="859" spans="1:27" ht="21.75" customHeight="1" x14ac:dyDescent="0.6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</row>
    <row r="860" spans="1:27" ht="21.75" customHeight="1" x14ac:dyDescent="0.6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</row>
    <row r="861" spans="1:27" ht="21.75" customHeight="1" x14ac:dyDescent="0.6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</row>
    <row r="862" spans="1:27" ht="21.75" customHeight="1" x14ac:dyDescent="0.6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</row>
    <row r="863" spans="1:27" ht="21.75" customHeight="1" x14ac:dyDescent="0.6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</row>
    <row r="864" spans="1:27" ht="21.75" customHeight="1" x14ac:dyDescent="0.6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</row>
    <row r="865" spans="1:27" ht="21.75" customHeight="1" x14ac:dyDescent="0.6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</row>
    <row r="866" spans="1:27" ht="21.75" customHeight="1" x14ac:dyDescent="0.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</row>
    <row r="867" spans="1:27" ht="21.75" customHeight="1" x14ac:dyDescent="0.6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</row>
    <row r="868" spans="1:27" ht="21.75" customHeight="1" x14ac:dyDescent="0.6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</row>
    <row r="869" spans="1:27" ht="21.75" customHeight="1" x14ac:dyDescent="0.6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</row>
    <row r="870" spans="1:27" ht="21.75" customHeight="1" x14ac:dyDescent="0.6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</row>
    <row r="871" spans="1:27" ht="21.75" customHeight="1" x14ac:dyDescent="0.6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</row>
    <row r="872" spans="1:27" ht="21.75" customHeight="1" x14ac:dyDescent="0.6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</row>
    <row r="873" spans="1:27" ht="21.75" customHeight="1" x14ac:dyDescent="0.6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</row>
    <row r="874" spans="1:27" ht="21.75" customHeight="1" x14ac:dyDescent="0.6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</row>
    <row r="875" spans="1:27" ht="21.75" customHeight="1" x14ac:dyDescent="0.6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</row>
    <row r="876" spans="1:27" ht="21.75" customHeight="1" x14ac:dyDescent="0.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</row>
    <row r="877" spans="1:27" ht="21.75" customHeight="1" x14ac:dyDescent="0.6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</row>
    <row r="878" spans="1:27" ht="21.75" customHeight="1" x14ac:dyDescent="0.6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</row>
    <row r="879" spans="1:27" ht="21.75" customHeight="1" x14ac:dyDescent="0.6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</row>
    <row r="880" spans="1:27" ht="21.75" customHeight="1" x14ac:dyDescent="0.6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</row>
    <row r="881" spans="1:27" ht="21.75" customHeight="1" x14ac:dyDescent="0.6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</row>
    <row r="882" spans="1:27" ht="21.75" customHeight="1" x14ac:dyDescent="0.6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</row>
    <row r="883" spans="1:27" ht="21.75" customHeight="1" x14ac:dyDescent="0.6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</row>
    <row r="884" spans="1:27" ht="21.75" customHeight="1" x14ac:dyDescent="0.6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</row>
    <row r="885" spans="1:27" ht="21.75" customHeight="1" x14ac:dyDescent="0.6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</row>
    <row r="886" spans="1:27" ht="21.75" customHeight="1" x14ac:dyDescent="0.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</row>
    <row r="887" spans="1:27" ht="21.75" customHeight="1" x14ac:dyDescent="0.6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</row>
    <row r="888" spans="1:27" ht="21.75" customHeight="1" x14ac:dyDescent="0.6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</row>
    <row r="889" spans="1:27" ht="21.75" customHeight="1" x14ac:dyDescent="0.6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</row>
    <row r="890" spans="1:27" ht="21.75" customHeight="1" x14ac:dyDescent="0.6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</row>
    <row r="891" spans="1:27" ht="21.75" customHeight="1" x14ac:dyDescent="0.6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</row>
    <row r="892" spans="1:27" ht="21.75" customHeight="1" x14ac:dyDescent="0.6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</row>
    <row r="893" spans="1:27" ht="21.75" customHeight="1" x14ac:dyDescent="0.6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</row>
    <row r="894" spans="1:27" ht="21.75" customHeight="1" x14ac:dyDescent="0.6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</row>
    <row r="895" spans="1:27" ht="21.75" customHeight="1" x14ac:dyDescent="0.6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</row>
    <row r="896" spans="1:27" ht="21.75" customHeight="1" x14ac:dyDescent="0.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</row>
    <row r="897" spans="1:27" ht="21.75" customHeight="1" x14ac:dyDescent="0.6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</row>
    <row r="898" spans="1:27" ht="21.75" customHeight="1" x14ac:dyDescent="0.6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</row>
    <row r="899" spans="1:27" ht="21.75" customHeight="1" x14ac:dyDescent="0.6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</row>
    <row r="900" spans="1:27" ht="21.75" customHeight="1" x14ac:dyDescent="0.6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</row>
    <row r="901" spans="1:27" ht="21.75" customHeight="1" x14ac:dyDescent="0.6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</row>
    <row r="902" spans="1:27" ht="21.75" customHeight="1" x14ac:dyDescent="0.6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</row>
    <row r="903" spans="1:27" ht="21.75" customHeight="1" x14ac:dyDescent="0.6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</row>
    <row r="904" spans="1:27" ht="21.75" customHeight="1" x14ac:dyDescent="0.6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</row>
    <row r="905" spans="1:27" ht="21.75" customHeight="1" x14ac:dyDescent="0.6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</row>
    <row r="906" spans="1:27" ht="21.75" customHeight="1" x14ac:dyDescent="0.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</row>
    <row r="907" spans="1:27" ht="21.75" customHeight="1" x14ac:dyDescent="0.6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</row>
    <row r="908" spans="1:27" ht="21.75" customHeight="1" x14ac:dyDescent="0.6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</row>
    <row r="909" spans="1:27" ht="21.75" customHeight="1" x14ac:dyDescent="0.6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</row>
    <row r="910" spans="1:27" ht="21.75" customHeight="1" x14ac:dyDescent="0.6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</row>
    <row r="911" spans="1:27" ht="21.75" customHeight="1" x14ac:dyDescent="0.6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</row>
    <row r="912" spans="1:27" ht="21.75" customHeight="1" x14ac:dyDescent="0.6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</row>
    <row r="913" spans="1:27" ht="21.75" customHeight="1" x14ac:dyDescent="0.6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</row>
    <row r="914" spans="1:27" ht="21.75" customHeight="1" x14ac:dyDescent="0.6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</row>
    <row r="915" spans="1:27" ht="21.75" customHeight="1" x14ac:dyDescent="0.6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</row>
    <row r="916" spans="1:27" ht="21.75" customHeight="1" x14ac:dyDescent="0.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</row>
    <row r="917" spans="1:27" ht="21.75" customHeight="1" x14ac:dyDescent="0.6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</row>
    <row r="918" spans="1:27" ht="21.75" customHeight="1" x14ac:dyDescent="0.6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</row>
    <row r="919" spans="1:27" ht="21.75" customHeight="1" x14ac:dyDescent="0.6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</row>
    <row r="920" spans="1:27" ht="21.75" customHeight="1" x14ac:dyDescent="0.6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</row>
    <row r="921" spans="1:27" ht="21.75" customHeight="1" x14ac:dyDescent="0.6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</row>
    <row r="922" spans="1:27" ht="21.75" customHeight="1" x14ac:dyDescent="0.6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</row>
    <row r="923" spans="1:27" ht="21.75" customHeight="1" x14ac:dyDescent="0.6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</row>
    <row r="924" spans="1:27" ht="21.75" customHeight="1" x14ac:dyDescent="0.6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</row>
    <row r="925" spans="1:27" ht="21.75" customHeight="1" x14ac:dyDescent="0.6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</row>
    <row r="926" spans="1:27" ht="21.75" customHeight="1" x14ac:dyDescent="0.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</row>
    <row r="927" spans="1:27" ht="21.75" customHeight="1" x14ac:dyDescent="0.6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</row>
    <row r="928" spans="1:27" ht="21.75" customHeight="1" x14ac:dyDescent="0.6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</row>
    <row r="929" spans="1:27" ht="21.75" customHeight="1" x14ac:dyDescent="0.6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</row>
    <row r="930" spans="1:27" ht="21.75" customHeight="1" x14ac:dyDescent="0.6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</row>
    <row r="931" spans="1:27" ht="21.75" customHeight="1" x14ac:dyDescent="0.6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</row>
    <row r="932" spans="1:27" ht="21.75" customHeight="1" x14ac:dyDescent="0.6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</row>
    <row r="933" spans="1:27" ht="21.75" customHeight="1" x14ac:dyDescent="0.6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</row>
    <row r="934" spans="1:27" ht="21.75" customHeight="1" x14ac:dyDescent="0.6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</row>
    <row r="935" spans="1:27" ht="21.75" customHeight="1" x14ac:dyDescent="0.6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</row>
    <row r="936" spans="1:27" ht="21.75" customHeight="1" x14ac:dyDescent="0.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</row>
    <row r="937" spans="1:27" ht="21.75" customHeight="1" x14ac:dyDescent="0.6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</row>
    <row r="938" spans="1:27" ht="21.75" customHeight="1" x14ac:dyDescent="0.6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</row>
    <row r="939" spans="1:27" ht="21.75" customHeight="1" x14ac:dyDescent="0.6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</row>
    <row r="940" spans="1:27" ht="21.75" customHeight="1" x14ac:dyDescent="0.6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</row>
    <row r="941" spans="1:27" ht="21.75" customHeight="1" x14ac:dyDescent="0.6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</row>
    <row r="942" spans="1:27" ht="21.75" customHeight="1" x14ac:dyDescent="0.6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</row>
    <row r="943" spans="1:27" ht="21.75" customHeight="1" x14ac:dyDescent="0.6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</row>
    <row r="944" spans="1:27" ht="21.75" customHeight="1" x14ac:dyDescent="0.6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</row>
    <row r="945" spans="1:27" ht="21.75" customHeight="1" x14ac:dyDescent="0.6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</row>
    <row r="946" spans="1:27" ht="21.75" customHeight="1" x14ac:dyDescent="0.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</row>
    <row r="947" spans="1:27" ht="21.75" customHeight="1" x14ac:dyDescent="0.6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</row>
    <row r="948" spans="1:27" ht="21.75" customHeight="1" x14ac:dyDescent="0.6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</row>
    <row r="949" spans="1:27" ht="21.75" customHeight="1" x14ac:dyDescent="0.6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</row>
    <row r="950" spans="1:27" ht="21.75" customHeight="1" x14ac:dyDescent="0.6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</row>
    <row r="951" spans="1:27" ht="21.75" customHeight="1" x14ac:dyDescent="0.6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</row>
    <row r="952" spans="1:27" ht="21.75" customHeight="1" x14ac:dyDescent="0.6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</row>
    <row r="953" spans="1:27" ht="21.75" customHeight="1" x14ac:dyDescent="0.6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</row>
    <row r="954" spans="1:27" ht="21.75" customHeight="1" x14ac:dyDescent="0.6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</row>
    <row r="955" spans="1:27" ht="21.75" customHeight="1" x14ac:dyDescent="0.6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</row>
    <row r="956" spans="1:27" ht="21.75" customHeight="1" x14ac:dyDescent="0.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</row>
  </sheetData>
  <mergeCells count="10">
    <mergeCell ref="A1:A2"/>
    <mergeCell ref="B1:C1"/>
    <mergeCell ref="D1:E1"/>
    <mergeCell ref="Z1:AB1"/>
    <mergeCell ref="H1:I1"/>
    <mergeCell ref="L1:M1"/>
    <mergeCell ref="P1:Q1"/>
    <mergeCell ref="T1:U1"/>
    <mergeCell ref="X1:Y1"/>
    <mergeCell ref="F1:G1"/>
  </mergeCells>
  <conditionalFormatting sqref="J3:K19">
    <cfRule type="cellIs" dxfId="9" priority="1" operator="lessThan">
      <formula>0</formula>
    </cfRule>
    <cfRule type="cellIs" dxfId="8" priority="2" operator="greaterThan">
      <formula>0</formula>
    </cfRule>
  </conditionalFormatting>
  <conditionalFormatting sqref="N3:O19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R3:S19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V3:W19">
    <cfRule type="cellIs" dxfId="3" priority="9" operator="lessThan">
      <formula>0</formula>
    </cfRule>
    <cfRule type="cellIs" dxfId="2" priority="10" operator="greaterThan">
      <formula>0</formula>
    </cfRule>
  </conditionalFormatting>
  <conditionalFormatting sqref="Z3:AA19">
    <cfRule type="cellIs" dxfId="1" priority="7" operator="lessThan">
      <formula>0</formula>
    </cfRule>
    <cfRule type="cellIs" dxfId="0" priority="8" operator="greaterThan">
      <formula>0</formula>
    </cfRule>
  </conditionalFormatting>
  <pageMargins left="0.511811024" right="0.511811024" top="0.78740157499999996" bottom="0.78740157499999996" header="0" footer="0"/>
  <pageSetup paperSize="9" orientation="portrait" r:id="rId1"/>
  <ignoredErrors>
    <ignoredError sqref="D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AF61"/>
  <sheetViews>
    <sheetView topLeftCell="L1" zoomScale="70" zoomScaleNormal="70" workbookViewId="0">
      <selection activeCell="Y12" sqref="Y12"/>
    </sheetView>
  </sheetViews>
  <sheetFormatPr defaultRowHeight="15" x14ac:dyDescent="0.25"/>
  <cols>
    <col min="2" max="2" width="66.140625" customWidth="1"/>
    <col min="3" max="3" width="16.85546875" customWidth="1"/>
    <col min="4" max="4" width="24" customWidth="1"/>
    <col min="5" max="5" width="18.85546875" customWidth="1"/>
    <col min="6" max="6" width="20.28515625" customWidth="1"/>
    <col min="7" max="7" width="17.85546875" customWidth="1"/>
    <col min="8" max="22" width="21.28515625" customWidth="1"/>
    <col min="24" max="24" width="17" style="36" customWidth="1"/>
    <col min="25" max="25" width="22.140625" style="36" customWidth="1"/>
    <col min="26" max="26" width="32" customWidth="1"/>
    <col min="27" max="27" width="19" customWidth="1"/>
    <col min="29" max="29" width="26.42578125" customWidth="1"/>
    <col min="30" max="30" width="14.28515625" customWidth="1"/>
    <col min="31" max="31" width="14.85546875" customWidth="1"/>
    <col min="32" max="32" width="14.28515625" customWidth="1"/>
  </cols>
  <sheetData>
    <row r="1" spans="2:26" ht="13.9" customHeight="1" x14ac:dyDescent="0.25">
      <c r="D1">
        <f>7000/D5</f>
        <v>1.1660816823560181</v>
      </c>
    </row>
    <row r="2" spans="2:26" ht="13.9" customHeight="1" thickBot="1" x14ac:dyDescent="0.3"/>
    <row r="3" spans="2:26" ht="13.9" customHeight="1" x14ac:dyDescent="0.25">
      <c r="C3" s="34" t="s">
        <v>21</v>
      </c>
      <c r="D3" s="57">
        <v>44958</v>
      </c>
      <c r="E3" s="34" t="s">
        <v>21</v>
      </c>
      <c r="F3" s="65">
        <v>45047</v>
      </c>
      <c r="G3" s="34" t="s">
        <v>21</v>
      </c>
      <c r="H3" s="57">
        <v>45017</v>
      </c>
      <c r="I3" s="34" t="s">
        <v>21</v>
      </c>
      <c r="J3" s="65">
        <v>44896</v>
      </c>
      <c r="K3" s="34" t="s">
        <v>21</v>
      </c>
      <c r="L3" s="57">
        <v>45017</v>
      </c>
      <c r="M3" s="34" t="s">
        <v>21</v>
      </c>
      <c r="N3" s="57">
        <v>44927</v>
      </c>
      <c r="O3" s="34" t="s">
        <v>21</v>
      </c>
      <c r="P3" s="57">
        <v>44682</v>
      </c>
      <c r="Q3" s="34" t="s">
        <v>21</v>
      </c>
      <c r="R3" s="57">
        <v>45017</v>
      </c>
      <c r="S3" s="34" t="s">
        <v>21</v>
      </c>
      <c r="T3" s="57">
        <v>45108</v>
      </c>
      <c r="U3" s="34" t="s">
        <v>21</v>
      </c>
      <c r="V3" s="57">
        <v>45108</v>
      </c>
    </row>
    <row r="4" spans="2:26" ht="13.9" customHeight="1" thickBot="1" x14ac:dyDescent="0.3">
      <c r="C4" s="35" t="s">
        <v>23</v>
      </c>
      <c r="D4" s="28">
        <v>2662.47</v>
      </c>
      <c r="E4" s="35" t="s">
        <v>23</v>
      </c>
      <c r="F4" s="28">
        <v>2688.94</v>
      </c>
      <c r="G4" s="35" t="s">
        <v>23</v>
      </c>
      <c r="H4" s="28">
        <v>2680.84</v>
      </c>
      <c r="I4" s="35" t="s">
        <v>23</v>
      </c>
      <c r="J4" s="28">
        <v>2643.16</v>
      </c>
      <c r="K4" s="35" t="s">
        <v>23</v>
      </c>
      <c r="L4" s="28">
        <v>2680.84</v>
      </c>
      <c r="M4" s="35" t="s">
        <v>23</v>
      </c>
      <c r="N4" s="28">
        <v>2651.17</v>
      </c>
      <c r="O4" s="35" t="s">
        <v>23</v>
      </c>
      <c r="P4" s="28">
        <v>2470.83</v>
      </c>
      <c r="Q4" s="35" t="s">
        <v>23</v>
      </c>
      <c r="R4" s="28">
        <v>2680.84</v>
      </c>
      <c r="S4" s="35" t="s">
        <v>23</v>
      </c>
      <c r="T4" s="28">
        <v>2747.9</v>
      </c>
      <c r="U4" s="35" t="s">
        <v>23</v>
      </c>
      <c r="V4" s="28">
        <v>2753.62</v>
      </c>
    </row>
    <row r="5" spans="2:26" ht="13.9" customHeight="1" x14ac:dyDescent="0.25">
      <c r="C5" s="60" t="s">
        <v>30</v>
      </c>
      <c r="D5" s="12">
        <v>6003.01</v>
      </c>
      <c r="E5" s="60"/>
      <c r="F5" s="12">
        <v>10520.39</v>
      </c>
      <c r="G5" s="60"/>
      <c r="H5" s="12">
        <v>16348.1</v>
      </c>
      <c r="I5" s="60"/>
      <c r="J5" s="12"/>
      <c r="K5" s="60"/>
      <c r="L5" s="12"/>
      <c r="M5" s="60"/>
      <c r="N5" s="12"/>
      <c r="O5" s="60"/>
      <c r="P5" s="12"/>
      <c r="Q5" s="60"/>
      <c r="R5" s="12"/>
      <c r="S5" s="60"/>
      <c r="T5" s="12">
        <f>Amalfi!M3</f>
        <v>8366.5</v>
      </c>
      <c r="U5" s="60"/>
      <c r="V5" s="12">
        <f>Amalfi!N3</f>
        <v>13434.29</v>
      </c>
    </row>
    <row r="6" spans="2:26" ht="13.9" customHeight="1" x14ac:dyDescent="0.25">
      <c r="C6" s="60" t="s">
        <v>31</v>
      </c>
      <c r="D6" s="12"/>
      <c r="E6" s="60"/>
      <c r="F6" s="12"/>
      <c r="G6" s="60"/>
      <c r="H6" s="210" t="s">
        <v>133</v>
      </c>
      <c r="I6" s="60"/>
      <c r="J6" s="12"/>
      <c r="K6" s="60"/>
      <c r="L6" s="12"/>
      <c r="M6" s="60"/>
      <c r="N6" s="12"/>
      <c r="O6" s="60"/>
      <c r="P6" s="12"/>
      <c r="Q6" s="60"/>
      <c r="R6" s="12"/>
      <c r="S6" s="60"/>
      <c r="T6" s="12"/>
      <c r="U6" s="60"/>
      <c r="V6" s="12"/>
      <c r="W6" s="61"/>
    </row>
    <row r="7" spans="2:26" ht="13.9" customHeight="1" thickBot="1" x14ac:dyDescent="0.3">
      <c r="H7" s="211" t="s">
        <v>134</v>
      </c>
    </row>
    <row r="8" spans="2:26" ht="19.149999999999999" customHeight="1" thickBot="1" x14ac:dyDescent="0.3">
      <c r="C8" s="261" t="s">
        <v>33</v>
      </c>
      <c r="D8" s="262"/>
      <c r="E8" s="261" t="s">
        <v>35</v>
      </c>
      <c r="F8" s="263"/>
      <c r="G8" s="261" t="s">
        <v>36</v>
      </c>
      <c r="H8" s="262"/>
      <c r="I8" s="263" t="s">
        <v>34</v>
      </c>
      <c r="J8" s="262"/>
      <c r="K8" s="263" t="s">
        <v>42</v>
      </c>
      <c r="L8" s="262"/>
      <c r="M8" s="263" t="s">
        <v>45</v>
      </c>
      <c r="N8" s="262"/>
      <c r="O8" s="263" t="s">
        <v>46</v>
      </c>
      <c r="P8" s="262"/>
      <c r="Q8" s="263" t="s">
        <v>47</v>
      </c>
      <c r="R8" s="262"/>
      <c r="S8" s="263" t="s">
        <v>43</v>
      </c>
      <c r="T8" s="262"/>
      <c r="U8" s="263" t="s">
        <v>57</v>
      </c>
      <c r="V8" s="262"/>
      <c r="X8" s="264" t="s">
        <v>26</v>
      </c>
      <c r="Y8" s="264"/>
    </row>
    <row r="9" spans="2:26" ht="19.149999999999999" customHeight="1" thickBot="1" x14ac:dyDescent="0.3">
      <c r="B9" s="12"/>
      <c r="C9" s="31" t="s">
        <v>24</v>
      </c>
      <c r="D9" s="31" t="s">
        <v>25</v>
      </c>
      <c r="E9" s="31" t="s">
        <v>24</v>
      </c>
      <c r="F9" s="31" t="s">
        <v>25</v>
      </c>
      <c r="G9" s="32" t="s">
        <v>24</v>
      </c>
      <c r="H9" s="33" t="s">
        <v>25</v>
      </c>
      <c r="I9" s="31" t="s">
        <v>24</v>
      </c>
      <c r="J9" s="31" t="s">
        <v>25</v>
      </c>
      <c r="K9" s="31" t="s">
        <v>24</v>
      </c>
      <c r="L9" s="31" t="s">
        <v>25</v>
      </c>
      <c r="M9" s="31" t="s">
        <v>24</v>
      </c>
      <c r="N9" s="31" t="s">
        <v>25</v>
      </c>
      <c r="O9" s="31" t="s">
        <v>24</v>
      </c>
      <c r="P9" s="31" t="s">
        <v>25</v>
      </c>
      <c r="Q9" s="31" t="s">
        <v>24</v>
      </c>
      <c r="R9" s="31" t="s">
        <v>25</v>
      </c>
      <c r="S9" s="31" t="s">
        <v>24</v>
      </c>
      <c r="T9" s="31" t="s">
        <v>25</v>
      </c>
      <c r="U9" s="31" t="s">
        <v>24</v>
      </c>
      <c r="V9" s="31" t="s">
        <v>25</v>
      </c>
      <c r="X9" s="37" t="s">
        <v>27</v>
      </c>
      <c r="Y9" s="37" t="s">
        <v>28</v>
      </c>
      <c r="Z9" s="37" t="s">
        <v>117</v>
      </c>
    </row>
    <row r="10" spans="2:26" ht="19.149999999999999" customHeight="1" x14ac:dyDescent="0.25">
      <c r="B10" s="68" t="s">
        <v>16</v>
      </c>
      <c r="C10" s="23">
        <v>425.96973518284994</v>
      </c>
      <c r="D10" s="47">
        <f>('SEM IMPREVISTOS'!$B$19/CÁLCULO_MÉDIAS!D$4)*C10</f>
        <v>469.49673310351994</v>
      </c>
      <c r="E10" s="24">
        <v>283.33076286145285</v>
      </c>
      <c r="F10" s="47">
        <f>('SEM IMPREVISTOS'!$B$19/CÁLCULO_MÉDIAS!F$4)*E10</f>
        <v>309.20832132357708</v>
      </c>
      <c r="G10" s="55">
        <f>306.853550565509+12.39</f>
        <v>319.243550565509</v>
      </c>
      <c r="H10" s="48">
        <f>('SEM IMPREVISTOS'!$B$19/CÁLCULO_MÉDIAS!H$4)*G10</f>
        <v>349.45381911677055</v>
      </c>
      <c r="I10" s="25">
        <v>400.33</v>
      </c>
      <c r="J10" s="48">
        <f>('SEM IMPREVISTOS'!$B$19/CÁLCULO_MÉDIAS!J$4)*I10</f>
        <v>444.46056799437036</v>
      </c>
      <c r="K10" s="25">
        <v>351.39717809637062</v>
      </c>
      <c r="L10" s="48">
        <f>('SEM IMPREVISTOS'!$B$19/CÁLCULO_MÉDIAS!L$4)*K10</f>
        <v>384.65016973752347</v>
      </c>
      <c r="M10" s="25">
        <v>507.77610274314861</v>
      </c>
      <c r="N10" s="48">
        <f>('SEM IMPREVISTOS'!$B$19/CÁLCULO_MÉDIAS!N$4)*M10</f>
        <v>562.04777769168027</v>
      </c>
      <c r="O10" s="25">
        <v>853.40171884210861</v>
      </c>
      <c r="P10" s="48">
        <f>('SEM IMPREVISTOS'!$B$19/CÁLCULO_MÉDIAS!P$4)*O10</f>
        <v>1013.5593893524579</v>
      </c>
      <c r="Q10" s="25">
        <v>515.91027321165393</v>
      </c>
      <c r="R10" s="48">
        <f>('SEM IMPREVISTOS'!$B$19/CÁLCULO_MÉDIAS!R$4)*Q10</f>
        <v>564.73126857544457</v>
      </c>
      <c r="S10" s="25">
        <v>419.36860920337062</v>
      </c>
      <c r="T10" s="48">
        <f>('SEM IMPREVISTOS'!$B$19/CÁLCULO_MÉDIAS!T$4)*S10</f>
        <v>447.85100067890653</v>
      </c>
      <c r="U10" s="25">
        <v>387.84287163668489</v>
      </c>
      <c r="V10" s="48">
        <f>('SEM IMPREVISTOS'!$B$19/CÁLCULO_MÉDIAS!V$4)*U10</f>
        <v>413.323749138952</v>
      </c>
      <c r="X10" s="58">
        <v>320</v>
      </c>
      <c r="Y10" s="58">
        <v>470</v>
      </c>
      <c r="Z10" s="58"/>
    </row>
    <row r="11" spans="2:26" ht="19.149999999999999" customHeight="1" x14ac:dyDescent="0.25">
      <c r="B11" s="2" t="s">
        <v>2</v>
      </c>
      <c r="C11" s="23">
        <v>19.587790125287146</v>
      </c>
      <c r="D11" s="47">
        <f>('SEM IMPREVISTOS'!$B$19/CÁLCULO_MÉDIAS!D$4)*C11</f>
        <v>21.589335375181278</v>
      </c>
      <c r="E11" s="24"/>
      <c r="F11" s="47">
        <f>('SEM IMPREVISTOS'!$B$19/CÁLCULO_MÉDIAS!F$4)*E11</f>
        <v>0</v>
      </c>
      <c r="G11" s="55">
        <v>26.515284956661631</v>
      </c>
      <c r="H11" s="48">
        <f>('SEM IMPREVISTOS'!$B$19/CÁLCULO_MÉDIAS!H$4)*G11</f>
        <v>29.024447249321948</v>
      </c>
      <c r="I11" s="25">
        <v>73.599999999999994</v>
      </c>
      <c r="J11" s="48">
        <f>('SEM IMPREVISTOS'!$B$19/CÁLCULO_MÉDIAS!J$4)*I11</f>
        <v>81.713331012878527</v>
      </c>
      <c r="K11" s="25">
        <v>11.107320633515982</v>
      </c>
      <c r="L11" s="48">
        <f>('SEM IMPREVISTOS'!$B$19/CÁLCULO_MÉDIAS!L$4)*K11</f>
        <v>12.158415130582823</v>
      </c>
      <c r="M11" s="25">
        <v>27.516026036224876</v>
      </c>
      <c r="N11" s="48">
        <f>('SEM IMPREVISTOS'!$B$19/CÁLCULO_MÉDIAS!N$4)*M11</f>
        <v>30.456969520658042</v>
      </c>
      <c r="O11" s="25">
        <v>2.4231330085942107</v>
      </c>
      <c r="P11" s="48">
        <f>('SEM IMPREVISTOS'!$B$19/CÁLCULO_MÉDIAS!P$4)*O11</f>
        <v>2.877881727075505</v>
      </c>
      <c r="R11" s="48">
        <f>('SEM IMPREVISTOS'!$B$19/CÁLCULO_MÉDIAS!R$4)*Q11</f>
        <v>0</v>
      </c>
      <c r="S11" s="25">
        <v>7.3706627622064183</v>
      </c>
      <c r="T11" s="48">
        <f>('SEM IMPREVISTOS'!$B$19/CÁLCULO_MÉDIAS!T$4)*S11</f>
        <v>7.8712584139079302</v>
      </c>
      <c r="U11" s="25">
        <v>6.8428238485249304</v>
      </c>
      <c r="V11" s="48">
        <f>('SEM IMPREVISTOS'!$B$19/CÁLCULO_MÉDIAS!V$4)*U11</f>
        <v>7.2923903328025892</v>
      </c>
      <c r="X11" s="58">
        <v>30</v>
      </c>
      <c r="Y11" s="58">
        <v>90</v>
      </c>
      <c r="Z11" s="58">
        <f>ANÁLISE_CUSTOS!C3</f>
        <v>90.726936399608945</v>
      </c>
    </row>
    <row r="12" spans="2:26" ht="19.149999999999999" customHeight="1" x14ac:dyDescent="0.25">
      <c r="B12" s="68" t="s">
        <v>3</v>
      </c>
      <c r="C12" s="59">
        <v>195.59039548493175</v>
      </c>
      <c r="D12" s="47">
        <f>('SEM IMPREVISTOS'!$B$19/CÁLCULO_MÉDIAS!D$4)*C12</f>
        <v>215.57646969257749</v>
      </c>
      <c r="E12" s="24">
        <v>171.55069706541298</v>
      </c>
      <c r="F12" s="47">
        <f>('SEM IMPREVISTOS'!$B$19/CÁLCULO_MÉDIAS!F$4)*E12</f>
        <v>187.21900342118693</v>
      </c>
      <c r="G12" s="59">
        <f>268.371509227372+41.56</f>
        <v>309.93150922737198</v>
      </c>
      <c r="H12" s="48">
        <f>('SEM IMPREVISTOS'!$B$19/CÁLCULO_MÉDIAS!H$4)*G12</f>
        <v>339.26057197482874</v>
      </c>
      <c r="I12" s="26">
        <v>475.12</v>
      </c>
      <c r="J12" s="48">
        <f>('SEM IMPREVISTOS'!$B$19/CÁLCULO_MÉDIAS!J$4)*I12</f>
        <v>527.49507922335386</v>
      </c>
      <c r="K12" s="26">
        <v>156.76554160559718</v>
      </c>
      <c r="L12" s="48">
        <f>('SEM IMPREVISTOS'!$B$19/CÁLCULO_MÉDIAS!L$4)*K12</f>
        <v>171.60038823945968</v>
      </c>
      <c r="M12" s="26">
        <v>176.17906718669892</v>
      </c>
      <c r="N12" s="48">
        <f>('SEM IMPREVISTOS'!$B$19/CÁLCULO_MÉDIAS!N$4)*M12</f>
        <v>195.00928195150954</v>
      </c>
      <c r="O12" s="26">
        <v>146.44486984580064</v>
      </c>
      <c r="P12" s="48">
        <f>('SEM IMPREVISTOS'!$B$19/CÁLCULO_MÉDIAS!P$4)*O12</f>
        <v>173.92813909034513</v>
      </c>
      <c r="Q12" s="25">
        <v>112.98609001247024</v>
      </c>
      <c r="R12" s="48">
        <f>('SEM IMPREVISTOS'!$B$19/CÁLCULO_MÉDIAS!R$4)*Q12</f>
        <v>123.67805267166048</v>
      </c>
      <c r="S12" s="26">
        <v>183.12102790892249</v>
      </c>
      <c r="T12" s="48">
        <f>('SEM IMPREVISTOS'!$B$19/CÁLCULO_MÉDIAS!T$4)*S12</f>
        <v>195.55811711837049</v>
      </c>
      <c r="U12" s="26">
        <v>169.29129875862435</v>
      </c>
      <c r="V12" s="48">
        <f>('SEM IMPREVISTOS'!$B$19/CÁLCULO_MÉDIAS!V$4)*U12</f>
        <v>180.41356285404157</v>
      </c>
      <c r="X12" s="58">
        <f>180+X13</f>
        <v>860</v>
      </c>
      <c r="Y12" s="58">
        <f>340+Y13</f>
        <v>1090</v>
      </c>
      <c r="Z12" s="58">
        <f>ANÁLISE_CUSTOS!C4</f>
        <v>1176.8472942369274</v>
      </c>
    </row>
    <row r="13" spans="2:26" ht="19.149999999999999" customHeight="1" x14ac:dyDescent="0.25">
      <c r="B13" s="2" t="s">
        <v>4</v>
      </c>
      <c r="C13" s="59">
        <v>730.88828937483026</v>
      </c>
      <c r="D13" s="47">
        <f>('SEM IMPREVISTOS'!$B$19/CÁLCULO_MÉDIAS!D$4)*C13</f>
        <v>805.57287474379837</v>
      </c>
      <c r="E13" s="24">
        <v>648.94587877445611</v>
      </c>
      <c r="F13" s="47">
        <f>('SEM IMPREVISTOS'!$B$19/CÁLCULO_MÉDIAS!F$4)*E13</f>
        <v>708.2163044322316</v>
      </c>
      <c r="G13" s="59">
        <f>424.075395917568+352.64</f>
        <v>776.715395917568</v>
      </c>
      <c r="H13" s="48">
        <f>('SEM IMPREVISTOS'!$B$19/CÁLCULO_MÉDIAS!H$4)*G13</f>
        <v>850.21658539188491</v>
      </c>
      <c r="I13" s="26">
        <v>724.14</v>
      </c>
      <c r="J13" s="48">
        <f>('SEM IMPREVISTOS'!$B$19/CÁLCULO_MÉDIAS!J$4)*I13</f>
        <v>803.96591738676432</v>
      </c>
      <c r="K13" s="26">
        <v>611.50353281159266</v>
      </c>
      <c r="L13" s="48">
        <f>('SEM IMPREVISTOS'!$B$19/CÁLCULO_MÉDIAS!L$4)*K13</f>
        <v>669.37059359812702</v>
      </c>
      <c r="M13" s="26">
        <v>601.70733907445504</v>
      </c>
      <c r="N13" s="48">
        <f>('SEM IMPREVISTOS'!$B$19/CÁLCULO_MÉDIAS!N$4)*M13</f>
        <v>666.01848909506384</v>
      </c>
      <c r="O13" s="26">
        <v>506.89276162700509</v>
      </c>
      <c r="P13" s="48">
        <f>('SEM IMPREVISTOS'!$B$19/CÁLCULO_MÉDIAS!P$4)*O13</f>
        <v>602.0211895505945</v>
      </c>
      <c r="Q13" s="26">
        <v>624.69265389411635</v>
      </c>
      <c r="R13" s="48">
        <f>('SEM IMPREVISTOS'!$B$19/CÁLCULO_MÉDIAS!R$4)*Q13</f>
        <v>683.80781159334435</v>
      </c>
      <c r="S13" s="26">
        <v>683.35961752226137</v>
      </c>
      <c r="T13" s="48">
        <f>('SEM IMPREVISTOS'!$B$19/CÁLCULO_MÉDIAS!T$4)*S13</f>
        <v>729.77157043837178</v>
      </c>
      <c r="U13" s="26">
        <v>638.8580996465015</v>
      </c>
      <c r="V13" s="48">
        <f>('SEM IMPREVISTOS'!$B$19/CÁLCULO_MÉDIAS!V$4)*U13</f>
        <v>680.83041928648402</v>
      </c>
      <c r="X13" s="141">
        <v>680</v>
      </c>
      <c r="Y13" s="141">
        <v>750</v>
      </c>
      <c r="Z13" s="141"/>
    </row>
    <row r="14" spans="2:26" ht="19.149999999999999" customHeight="1" x14ac:dyDescent="0.25">
      <c r="B14" s="68" t="s">
        <v>5</v>
      </c>
      <c r="C14" s="59">
        <v>119.11837394906888</v>
      </c>
      <c r="D14" s="47">
        <f>('SEM IMPREVISTOS'!$B$19/CÁLCULO_MÉDIAS!D$4)*C14</f>
        <v>131.29028379841318</v>
      </c>
      <c r="E14" s="24">
        <v>146.27237045394705</v>
      </c>
      <c r="F14" s="47">
        <f>('SEM IMPREVISTOS'!$B$19/CÁLCULO_MÉDIAS!F$4)*E14</f>
        <v>159.6319216004155</v>
      </c>
      <c r="G14" s="59">
        <f>45.9182137373762+52.78</f>
        <v>98.698213737376193</v>
      </c>
      <c r="H14" s="48">
        <f>('SEM IMPREVISTOS'!$B$19/CÁLCULO_MÉDIAS!H$4)*G14</f>
        <v>108.03810341487838</v>
      </c>
      <c r="I14" s="26">
        <v>168.14</v>
      </c>
      <c r="J14" s="48">
        <f>('SEM IMPREVISTOS'!$B$19/CÁLCULO_MÉDIAS!J$4)*I14</f>
        <v>186.67499288730156</v>
      </c>
      <c r="K14" s="26">
        <v>149.60860951222114</v>
      </c>
      <c r="L14" s="48">
        <f>('SEM IMPREVISTOS'!$B$19/CÁLCULO_MÉDIAS!L$4)*K14</f>
        <v>163.76619002696853</v>
      </c>
      <c r="M14" s="26">
        <v>128.62893187880044</v>
      </c>
      <c r="N14" s="48">
        <f>('SEM IMPREVISTOS'!$B$19/CÁLCULO_MÉDIAS!N$4)*M14</f>
        <v>142.37693526491935</v>
      </c>
      <c r="O14" s="26">
        <v>125.20191120349975</v>
      </c>
      <c r="P14" s="48">
        <f>('SEM IMPREVISTOS'!$B$19/CÁLCULO_MÉDIAS!P$4)*O14</f>
        <v>148.69852012643776</v>
      </c>
      <c r="Q14" s="26">
        <v>98.954850923931531</v>
      </c>
      <c r="R14" s="48">
        <f>('SEM IMPREVISTOS'!$B$19/CÁLCULO_MÉDIAS!R$4)*Q14</f>
        <v>108.31902638046462</v>
      </c>
      <c r="S14" s="26">
        <v>122.17230861172533</v>
      </c>
      <c r="T14" s="48">
        <f>('SEM IMPREVISTOS'!$B$19/CÁLCULO_MÉDIAS!T$4)*S14</f>
        <v>130.46992422954486</v>
      </c>
      <c r="U14" s="26">
        <v>117.5542987459702</v>
      </c>
      <c r="V14" s="48">
        <f>('SEM IMPREVISTOS'!$B$19/CÁLCULO_MÉDIAS!V$4)*U14</f>
        <v>125.27749518779351</v>
      </c>
      <c r="X14" s="58">
        <v>110</v>
      </c>
      <c r="Y14" s="58">
        <v>170</v>
      </c>
      <c r="Z14" s="58">
        <f>ANÁLISE_CUSTOS!C5</f>
        <v>199.36574222945899</v>
      </c>
    </row>
    <row r="15" spans="2:26" ht="19.149999999999999" customHeight="1" x14ac:dyDescent="0.25">
      <c r="B15" s="2" t="s">
        <v>6</v>
      </c>
      <c r="C15" s="13">
        <v>311.09536882330696</v>
      </c>
      <c r="D15" s="47">
        <f>('SEM IMPREVISTOS'!$B$19/CÁLCULO_MÉDIAS!D$4)*C15</f>
        <v>342.8841236419787</v>
      </c>
      <c r="E15" s="15">
        <v>273.47992517387667</v>
      </c>
      <c r="F15" s="47">
        <f>('SEM IMPREVISTOS'!$B$19/CÁLCULO_MÉDIAS!F$4)*E15</f>
        <v>298.4577732565607</v>
      </c>
      <c r="G15" s="59">
        <f>133.232025739994+119</f>
        <v>252.23202573999399</v>
      </c>
      <c r="H15" s="48">
        <f>('SEM IMPREVISTOS'!$B$19/CÁLCULO_MÉDIAS!H$4)*G15</f>
        <v>276.10094093447748</v>
      </c>
      <c r="I15" s="26">
        <v>325.69</v>
      </c>
      <c r="J15" s="48">
        <f>('SEM IMPREVISTOS'!$B$19/CÁLCULO_MÉDIAS!J$4)*I15</f>
        <v>361.59259208674467</v>
      </c>
      <c r="K15" s="26">
        <v>303.91747719524187</v>
      </c>
      <c r="L15" s="48">
        <f>('SEM IMPREVISTOS'!$B$19/CÁLCULO_MÉDIAS!L$4)*K15</f>
        <v>332.67742735625887</v>
      </c>
      <c r="M15" s="26">
        <v>321.44125300954613</v>
      </c>
      <c r="N15" s="48">
        <f>('SEM IMPREVISTOS'!$B$19/CÁLCULO_MÉDIAS!N$4)*M15</f>
        <v>355.79725185261731</v>
      </c>
      <c r="O15" s="26">
        <v>367.37491235146291</v>
      </c>
      <c r="P15" s="48">
        <f>('SEM IMPREVISTOS'!$B$19/CÁLCULO_MÉDIAS!P$4)*O15</f>
        <v>436.32006311350381</v>
      </c>
      <c r="Q15" s="26">
        <v>338.5</v>
      </c>
      <c r="R15" s="48">
        <f>('SEM IMPREVISTOS'!$B$19/CÁLCULO_MÉDIAS!R$4)*Q15</f>
        <v>370.53252152310466</v>
      </c>
      <c r="S15" s="26">
        <v>330.15727484611244</v>
      </c>
      <c r="T15" s="48">
        <f>('SEM IMPREVISTOS'!$B$19/CÁLCULO_MÉDIAS!T$4)*S15</f>
        <v>352.58067169626344</v>
      </c>
      <c r="U15" s="26">
        <v>333.15409598869758</v>
      </c>
      <c r="V15" s="48">
        <f>('SEM IMPREVISTOS'!$B$19/CÁLCULO_MÉDIAS!V$4)*U15</f>
        <v>355.04197721606931</v>
      </c>
      <c r="X15" s="58">
        <v>300</v>
      </c>
      <c r="Y15" s="58">
        <v>360</v>
      </c>
      <c r="Z15" s="58">
        <f>ANÁLISE_CUSTOS!C6</f>
        <v>405.39383030531803</v>
      </c>
    </row>
    <row r="16" spans="2:26" ht="19.149999999999999" customHeight="1" x14ac:dyDescent="0.25">
      <c r="B16" s="68" t="s">
        <v>20</v>
      </c>
      <c r="C16" s="13">
        <v>234.95756961924101</v>
      </c>
      <c r="D16" s="47">
        <f>('SEM IMPREVISTOS'!$B$19/CÁLCULO_MÉDIAS!D$4)*C16</f>
        <v>258.96631202407968</v>
      </c>
      <c r="E16" s="15">
        <v>153.1432565712868</v>
      </c>
      <c r="F16" s="47">
        <f>('SEM IMPREVISTOS'!$B$19/CÁLCULO_MÉDIAS!F$4)*E16</f>
        <v>167.13034902457409</v>
      </c>
      <c r="G16" s="59">
        <v>247.28447097827882</v>
      </c>
      <c r="H16" s="48">
        <f>('SEM IMPREVISTOS'!$B$19/CÁLCULO_MÉDIAS!H$4)*G16</f>
        <v>270.68519517012896</v>
      </c>
      <c r="I16" s="26">
        <v>126.03</v>
      </c>
      <c r="J16" s="48">
        <f>('SEM IMPREVISTOS'!$B$19/CÁLCULO_MÉDIAS!J$4)*I16</f>
        <v>139.9229770047973</v>
      </c>
      <c r="K16" s="26">
        <v>233.00073085842286</v>
      </c>
      <c r="L16" s="48">
        <f>('SEM IMPREVISTOS'!$B$19/CÁLCULO_MÉDIAS!L$4)*K16</f>
        <v>255.04977347621178</v>
      </c>
      <c r="M16" s="26">
        <v>177.07278072332943</v>
      </c>
      <c r="N16" s="48">
        <f>('SEM IMPREVISTOS'!$B$19/CÁLCULO_MÉDIAS!N$4)*M16</f>
        <v>195.99851658551955</v>
      </c>
      <c r="O16" s="26">
        <v>292.94778319009652</v>
      </c>
      <c r="P16" s="48">
        <f>('SEM IMPREVISTOS'!$B$19/CÁLCULO_MÉDIAS!P$4)*O16</f>
        <v>347.9252146869004</v>
      </c>
      <c r="Q16" s="26">
        <v>195.68217889128218</v>
      </c>
      <c r="R16" s="48">
        <f>('SEM IMPREVISTOS'!$B$19/CÁLCULO_MÉDIAS!R$4)*Q16</f>
        <v>214.19973755309317</v>
      </c>
      <c r="S16" s="26">
        <v>147.2589649196199</v>
      </c>
      <c r="T16" s="48">
        <f>('SEM IMPREVISTOS'!$B$19/CÁLCULO_MÉDIAS!T$4)*S16</f>
        <v>157.26039896851128</v>
      </c>
      <c r="U16" s="26">
        <v>118.2060447556216</v>
      </c>
      <c r="V16" s="48">
        <f>('SEM IMPREVISTOS'!$B$19/CÁLCULO_MÉDIAS!V$4)*U16</f>
        <v>125.97206023950811</v>
      </c>
      <c r="X16" s="58">
        <v>150</v>
      </c>
      <c r="Y16" s="58">
        <v>270</v>
      </c>
      <c r="Z16" s="58">
        <f>ANÁLISE_CUSTOS!C7</f>
        <v>171.86029872854425</v>
      </c>
    </row>
    <row r="17" spans="2:26" ht="19.149999999999999" customHeight="1" x14ac:dyDescent="0.25">
      <c r="B17" s="2" t="s">
        <v>7</v>
      </c>
      <c r="C17" s="13">
        <v>40.385539920806394</v>
      </c>
      <c r="D17" s="47">
        <f>('SEM IMPREVISTOS'!$B$19/CÁLCULO_MÉDIAS!D$4)*C17</f>
        <v>44.512268105858091</v>
      </c>
      <c r="E17" s="15">
        <v>69.707841962132591</v>
      </c>
      <c r="F17" s="47">
        <f>('SEM IMPREVISTOS'!$B$19/CÁLCULO_MÉDIAS!F$4)*E17</f>
        <v>76.074495330181023</v>
      </c>
      <c r="G17" s="59">
        <f>21.1585217854063+29.7</f>
        <v>50.858521785406296</v>
      </c>
      <c r="H17" s="48">
        <f>('SEM IMPREVISTOS'!$B$19/CÁLCULO_MÉDIAS!H$4)*G17</f>
        <v>55.671303746187142</v>
      </c>
      <c r="I17" s="56">
        <v>88.82</v>
      </c>
      <c r="J17" s="48">
        <f>('SEM IMPREVISTOS'!$B$19/CÁLCULO_MÉDIAS!J$4)*I17</f>
        <v>98.611114953313461</v>
      </c>
      <c r="K17" s="56">
        <v>73.418172498390135</v>
      </c>
      <c r="L17" s="48">
        <f>('SEM IMPREVISTOS'!$B$19/CÁLCULO_MÉDIAS!L$4)*K17</f>
        <v>80.365791968823501</v>
      </c>
      <c r="M17" s="56">
        <v>128.04192273497173</v>
      </c>
      <c r="N17" s="48">
        <f>('SEM IMPREVISTOS'!$B$19/CÁLCULO_MÉDIAS!N$4)*M17</f>
        <v>141.72718593053506</v>
      </c>
      <c r="O17" s="56">
        <v>49.030442741460085</v>
      </c>
      <c r="P17" s="48">
        <f>('SEM IMPREVISTOS'!$B$19/CÁLCULO_MÉDIAS!P$4)*O17</f>
        <v>58.231972712852318</v>
      </c>
      <c r="Q17" s="26">
        <v>43.49527037750822</v>
      </c>
      <c r="R17" s="48">
        <f>('SEM IMPREVISTOS'!$B$19/CÁLCULO_MÉDIAS!R$4)*Q17</f>
        <v>47.611262059992093</v>
      </c>
      <c r="S17" s="56">
        <v>73.241233490706989</v>
      </c>
      <c r="T17" s="48">
        <f>('SEM IMPREVISTOS'!$B$19/CÁLCULO_MÉDIAS!T$4)*S17</f>
        <v>78.215581686191044</v>
      </c>
      <c r="U17" s="56">
        <v>59.845885402205845</v>
      </c>
      <c r="V17" s="48">
        <f>('SEM IMPREVISTOS'!$B$19/CÁLCULO_MÉDIAS!V$4)*U17</f>
        <v>63.77769848030416</v>
      </c>
      <c r="X17" s="58">
        <v>50</v>
      </c>
      <c r="Y17" s="58">
        <v>80</v>
      </c>
      <c r="Z17" s="58">
        <f>ANÁLISE_CUSTOS!C8</f>
        <v>51.427438331779129</v>
      </c>
    </row>
    <row r="18" spans="2:26" ht="19.149999999999999" customHeight="1" x14ac:dyDescent="0.25">
      <c r="B18" s="68" t="s">
        <v>17</v>
      </c>
      <c r="C18" s="13">
        <v>171.46501171912092</v>
      </c>
      <c r="D18" s="47">
        <f>('SEM IMPREVISTOS'!$B$19/CÁLCULO_MÉDIAS!D$4)*C18</f>
        <v>188.98587433477635</v>
      </c>
      <c r="E18" s="15">
        <v>152.31227151274811</v>
      </c>
      <c r="F18" s="47">
        <f>('SEM IMPREVISTOS'!$B$19/CÁLCULO_MÉDIAS!F$4)*E18</f>
        <v>166.22346728536328</v>
      </c>
      <c r="G18" s="59">
        <f>61.5070901205645+125.46</f>
        <v>186.96709012056448</v>
      </c>
      <c r="H18" s="48">
        <f>('SEM IMPREVISTOS'!$B$19/CÁLCULO_MÉDIAS!H$4)*G18</f>
        <v>204.65993307004524</v>
      </c>
      <c r="I18" s="26">
        <v>208.78</v>
      </c>
      <c r="J18" s="48">
        <f>('SEM IMPREVISTOS'!$B$19/CÁLCULO_MÉDIAS!J$4)*I18</f>
        <v>231.79496262049972</v>
      </c>
      <c r="K18" s="26"/>
      <c r="L18" s="48">
        <f>('SEM IMPREVISTOS'!$B$19/CÁLCULO_MÉDIAS!L$4)*K18</f>
        <v>0</v>
      </c>
      <c r="M18" s="26">
        <v>192.52393684333484</v>
      </c>
      <c r="N18" s="48">
        <f>('SEM IMPREVISTOS'!$B$19/CÁLCULO_MÉDIAS!N$4)*M18</f>
        <v>213.1011094667152</v>
      </c>
      <c r="O18" s="26">
        <v>179.25884397009094</v>
      </c>
      <c r="P18" s="48">
        <f>('SEM IMPREVISTOS'!$B$19/CÁLCULO_MÉDIAS!P$4)*O18</f>
        <v>212.90030289236859</v>
      </c>
      <c r="Q18" s="56">
        <v>140.41604806711257</v>
      </c>
      <c r="R18" s="48">
        <f>('SEM IMPREVISTOS'!$B$19/CÁLCULO_MÉDIAS!R$4)*Q18</f>
        <v>153.70372925440677</v>
      </c>
      <c r="S18" s="26">
        <v>163.65372803442298</v>
      </c>
      <c r="T18" s="48">
        <f>('SEM IMPREVISTOS'!$B$19/CÁLCULO_MÉDIAS!T$4)*S18</f>
        <v>174.76865043446097</v>
      </c>
      <c r="U18" s="26">
        <v>165.42047265616569</v>
      </c>
      <c r="V18" s="48">
        <f>('SEM IMPREVISTOS'!$B$19/CÁLCULO_MÉDIAS!V$4)*U18</f>
        <v>176.28842746046948</v>
      </c>
      <c r="X18" s="58">
        <v>170</v>
      </c>
      <c r="Y18" s="58">
        <v>205</v>
      </c>
      <c r="Z18" s="58">
        <f>ANÁLISE_CUSTOS!C9</f>
        <v>139.8451595539982</v>
      </c>
    </row>
    <row r="19" spans="2:26" ht="19.149999999999999" customHeight="1" x14ac:dyDescent="0.25">
      <c r="B19" s="2" t="s">
        <v>18</v>
      </c>
      <c r="C19" s="13">
        <v>82.252956433522513</v>
      </c>
      <c r="D19" s="47">
        <f>('SEM IMPREVISTOS'!$B$19/CÁLCULO_MÉDIAS!D$4)*C19</f>
        <v>90.657835860259397</v>
      </c>
      <c r="E19" s="15">
        <v>54.818639993384274</v>
      </c>
      <c r="F19" s="47">
        <f>('SEM IMPREVISTOS'!$B$19/CÁLCULO_MÉDIAS!F$4)*E19</f>
        <v>59.825412102830839</v>
      </c>
      <c r="G19" s="59">
        <f>54.2873850783883+15.35</f>
        <v>69.637385078388292</v>
      </c>
      <c r="H19" s="48">
        <f>('SEM IMPREVISTOS'!$B$19/CÁLCULO_MÉDIAS!H$4)*G19</f>
        <v>76.22722565840661</v>
      </c>
      <c r="I19" s="26">
        <v>69.87</v>
      </c>
      <c r="J19" s="48">
        <f>('SEM IMPREVISTOS'!$B$19/CÁLCULO_MÉDIAS!J$4)*I19</f>
        <v>77.572152688448682</v>
      </c>
      <c r="K19" s="26">
        <v>79.667723119224732</v>
      </c>
      <c r="L19" s="48">
        <f>('SEM IMPREVISTOS'!$B$19/CÁLCULO_MÉDIAS!L$4)*K19</f>
        <v>87.206742485586062</v>
      </c>
      <c r="M19" s="26">
        <v>66.141025225026439</v>
      </c>
      <c r="N19" s="48">
        <f>('SEM IMPREVISTOS'!$B$19/CÁLCULO_MÉDIAS!N$4)*M19</f>
        <v>73.21025160725145</v>
      </c>
      <c r="O19" s="26">
        <v>114.72652415376501</v>
      </c>
      <c r="P19" s="48">
        <f>('SEM IMPREVISTOS'!$B$19/CÁLCULO_MÉDIAS!P$4)*O19</f>
        <v>136.257220013092</v>
      </c>
      <c r="Q19" s="26">
        <v>43.3805600272078</v>
      </c>
      <c r="R19" s="48">
        <f>('SEM IMPREVISTOS'!$B$19/CÁLCULO_MÉDIAS!R$4)*Q19</f>
        <v>47.485696578923807</v>
      </c>
      <c r="S19" s="26">
        <v>53.764127173848088</v>
      </c>
      <c r="T19" s="48">
        <f>('SEM IMPREVISTOS'!$B$19/CÁLCULO_MÉDIAS!T$4)*S19</f>
        <v>57.415642532651269</v>
      </c>
      <c r="U19" s="26">
        <v>56.684687028492014</v>
      </c>
      <c r="V19" s="48">
        <f>('SEM IMPREVISTOS'!$B$19/CÁLCULO_MÉDIAS!V$4)*U19</f>
        <v>60.408812626913189</v>
      </c>
      <c r="X19" s="58">
        <v>60</v>
      </c>
      <c r="Y19" s="58">
        <v>95</v>
      </c>
      <c r="Z19" s="58">
        <f>ANÁLISE_CUSTOS!C10</f>
        <v>105.81322509082209</v>
      </c>
    </row>
    <row r="20" spans="2:26" ht="19.149999999999999" customHeight="1" x14ac:dyDescent="0.25">
      <c r="B20" s="68" t="s">
        <v>8</v>
      </c>
      <c r="C20" s="13">
        <v>171.08275181950387</v>
      </c>
      <c r="D20" s="47">
        <f>('SEM IMPREVISTOS'!$B$19/CÁLCULO_MÉDIAS!D$4)*C20</f>
        <v>188.56455385295936</v>
      </c>
      <c r="E20" s="15">
        <v>210.03146991698981</v>
      </c>
      <c r="F20" s="47">
        <f>('SEM IMPREVISTOS'!$B$19/CÁLCULO_MÉDIAS!F$4)*E20</f>
        <v>229.21435562545247</v>
      </c>
      <c r="G20" s="59">
        <f>128.113840140444+57.38</f>
        <v>185.49384014044401</v>
      </c>
      <c r="H20" s="48">
        <f>('SEM IMPREVISTOS'!$B$19/CÁLCULO_MÉDIAS!H$4)*G20</f>
        <v>203.04726828432027</v>
      </c>
      <c r="I20" s="26">
        <v>169.91</v>
      </c>
      <c r="J20" s="48">
        <f>('SEM IMPREVISTOS'!$B$19/CÁLCULO_MÉDIAS!J$4)*I20</f>
        <v>188.64010967932325</v>
      </c>
      <c r="K20" s="26"/>
      <c r="L20" s="48">
        <f>('SEM IMPREVISTOS'!$B$19/CÁLCULO_MÉDIAS!L$4)*K20</f>
        <v>0</v>
      </c>
      <c r="M20" s="26">
        <v>187.43824184096619</v>
      </c>
      <c r="N20" s="48">
        <f>('SEM IMPREVISTOS'!$B$19/CÁLCULO_MÉDIAS!N$4)*M20</f>
        <v>207.47184972279049</v>
      </c>
      <c r="O20" s="26">
        <v>185.67446867922186</v>
      </c>
      <c r="P20" s="48">
        <f>('SEM IMPREVISTOS'!$B$19/CÁLCULO_MÉDIAS!P$4)*O20</f>
        <v>220.51994616110255</v>
      </c>
      <c r="Q20" s="26">
        <v>235.68856592223105</v>
      </c>
      <c r="R20" s="48">
        <f>('SEM IMPREVISTOS'!$B$19/CÁLCULO_MÉDIAS!R$4)*Q20</f>
        <v>257.99196048841583</v>
      </c>
      <c r="S20" s="26">
        <v>189.08185134763636</v>
      </c>
      <c r="T20" s="48">
        <f>('SEM IMPREVISTOS'!$B$19/CÁLCULO_MÉDIAS!T$4)*S20</f>
        <v>201.92378370216505</v>
      </c>
      <c r="U20" s="26">
        <v>139.61446098007411</v>
      </c>
      <c r="V20" s="48">
        <f>('SEM IMPREVISTOS'!$B$19/CÁLCULO_MÉDIAS!V$4)*U20</f>
        <v>148.78698737656501</v>
      </c>
      <c r="X20" s="58">
        <v>150</v>
      </c>
      <c r="Y20" s="58">
        <v>200</v>
      </c>
      <c r="Z20" s="58">
        <f>ANÁLISE_CUSTOS!C11</f>
        <v>141.0773476673628</v>
      </c>
    </row>
    <row r="21" spans="2:26" ht="19.149999999999999" customHeight="1" x14ac:dyDescent="0.25">
      <c r="B21" s="2" t="s">
        <v>9</v>
      </c>
      <c r="C21" s="13">
        <v>131.71984554415201</v>
      </c>
      <c r="D21" s="47">
        <f>('SEM IMPREVISTOS'!$B$19/CÁLCULO_MÉDIAS!D$4)*C21</f>
        <v>145.17941548437369</v>
      </c>
      <c r="E21" s="15">
        <v>125.3808845584622</v>
      </c>
      <c r="F21" s="47">
        <f>('SEM IMPREVISTOS'!$B$19/CÁLCULO_MÉDIAS!F$4)*E21</f>
        <v>136.83234552029577</v>
      </c>
      <c r="G21" s="59">
        <f>35.9030401086365+97.72</f>
        <v>133.6230401086365</v>
      </c>
      <c r="H21" s="48">
        <f>('SEM IMPREVISTOS'!$B$19/CÁLCULO_MÉDIAS!H$4)*G21</f>
        <v>146.26789360424235</v>
      </c>
      <c r="I21" s="26">
        <v>91.97</v>
      </c>
      <c r="J21" s="48">
        <f>('SEM IMPREVISTOS'!$B$19/CÁLCULO_MÉDIAS!J$4)*I21</f>
        <v>102.10835670182661</v>
      </c>
      <c r="K21" s="26">
        <v>123.7200486317145</v>
      </c>
      <c r="L21" s="48">
        <f>('SEM IMPREVISTOS'!$B$19/CÁLCULO_MÉDIAS!L$4)*K21</f>
        <v>135.42777424658883</v>
      </c>
      <c r="M21" s="26">
        <v>135.4755699480184</v>
      </c>
      <c r="N21" s="48">
        <f>('SEM IMPREVISTOS'!$B$19/CÁLCULO_MÉDIAS!N$4)*M21</f>
        <v>149.95534963037392</v>
      </c>
      <c r="O21" s="26">
        <v>147.81828674257702</v>
      </c>
      <c r="P21" s="48">
        <f>('SEM IMPREVISTOS'!$B$19/CÁLCULO_MÉDIAS!P$4)*O21</f>
        <v>175.5593047658862</v>
      </c>
      <c r="Q21" s="26">
        <v>17.510173449722252</v>
      </c>
      <c r="R21" s="48">
        <f>('SEM IMPREVISTOS'!$B$19/CÁLCULO_MÉDIAS!R$4)*Q21</f>
        <v>19.167174950169887</v>
      </c>
      <c r="S21" s="26">
        <v>134.65857048945196</v>
      </c>
      <c r="T21" s="48">
        <f>('SEM IMPREVISTOS'!$B$19/CÁLCULO_MÉDIAS!T$4)*S21</f>
        <v>143.8042195343395</v>
      </c>
      <c r="U21" s="26">
        <v>136.50222270026924</v>
      </c>
      <c r="V21" s="48">
        <f>('SEM IMPREVISTOS'!$B$19/CÁLCULO_MÉDIAS!V$4)*U21</f>
        <v>145.47027824486355</v>
      </c>
      <c r="X21" s="58">
        <v>140</v>
      </c>
      <c r="Y21" s="58">
        <v>150</v>
      </c>
      <c r="Z21" s="58">
        <f>ANÁLISE_CUSTOS!C12</f>
        <v>158.4361946252354</v>
      </c>
    </row>
    <row r="22" spans="2:26" ht="19.149999999999999" customHeight="1" x14ac:dyDescent="0.25">
      <c r="B22" s="68" t="s">
        <v>10</v>
      </c>
      <c r="C22" s="13">
        <v>323.47431538511512</v>
      </c>
      <c r="D22" s="47">
        <f>('SEM IMPREVISTOS'!$B$19/CÁLCULO_MÉDIAS!D$4)*C22</f>
        <v>356.52799194998704</v>
      </c>
      <c r="E22" s="15">
        <v>243.33429413738463</v>
      </c>
      <c r="F22" s="47">
        <f>('SEM IMPREVISTOS'!$B$19/CÁLCULO_MÉDIAS!F$4)*E22</f>
        <v>265.55883960779317</v>
      </c>
      <c r="G22" s="59">
        <f>250.558807445514+9.23</f>
        <v>259.78880744551401</v>
      </c>
      <c r="H22" s="48">
        <f>('SEM IMPREVISTOS'!$B$19/CÁLCULO_MÉDIAS!H$4)*G22</f>
        <v>284.37282684273742</v>
      </c>
      <c r="I22" s="26">
        <v>334.99</v>
      </c>
      <c r="J22" s="48">
        <f>('SEM IMPREVISTOS'!$B$19/CÁLCULO_MÉDIAS!J$4)*I22</f>
        <v>371.91778201092632</v>
      </c>
      <c r="K22" s="26">
        <v>274.28814784673307</v>
      </c>
      <c r="L22" s="48">
        <f>('SEM IMPREVISTOS'!$B$19/CÁLCULO_MÉDIAS!L$4)*K22</f>
        <v>300.24425124239923</v>
      </c>
      <c r="M22" s="26">
        <v>269.57661931431016</v>
      </c>
      <c r="N22" s="48">
        <f>('SEM IMPREVISTOS'!$B$19/CÁLCULO_MÉDIAS!N$4)*M22</f>
        <v>298.38926838958747</v>
      </c>
      <c r="O22" s="26">
        <v>660.96994198132245</v>
      </c>
      <c r="P22" s="48">
        <f>('SEM IMPREVISTOS'!$B$19/CÁLCULO_MÉDIAS!P$4)*O22</f>
        <v>785.01399280502926</v>
      </c>
      <c r="Q22" s="26">
        <v>73.435460832105193</v>
      </c>
      <c r="R22" s="48">
        <f>('SEM IMPREVISTOS'!$B$19/CÁLCULO_MÉDIAS!R$4)*Q22</f>
        <v>80.384716311170251</v>
      </c>
      <c r="S22" s="26">
        <v>246.44935755692345</v>
      </c>
      <c r="T22" s="48">
        <f>('SEM IMPREVISTOS'!$B$19/CÁLCULO_MÉDIAS!T$4)*S22</f>
        <v>263.18753711252907</v>
      </c>
      <c r="U22" s="26">
        <v>223.83737034856324</v>
      </c>
      <c r="V22" s="48">
        <f>('SEM IMPREVISTOS'!$B$19/CÁLCULO_MÉDIAS!V$4)*U22</f>
        <v>238.54325520913176</v>
      </c>
      <c r="X22" s="58">
        <v>240</v>
      </c>
      <c r="Y22" s="58">
        <v>350</v>
      </c>
      <c r="Z22" s="58">
        <f>ANÁLISE_CUSTOS!C13</f>
        <v>318.72260383018113</v>
      </c>
    </row>
    <row r="23" spans="2:26" ht="19.149999999999999" customHeight="1" x14ac:dyDescent="0.25">
      <c r="B23" s="2" t="s">
        <v>19</v>
      </c>
      <c r="C23" s="13">
        <v>5.0049675079668363</v>
      </c>
      <c r="D23" s="47">
        <f>('SEM IMPREVISTOS'!$B$19/CÁLCULO_MÉDIAS!D$4)*C23</f>
        <v>5.5163916593065547</v>
      </c>
      <c r="E23" s="15">
        <v>12.639947654031838</v>
      </c>
      <c r="F23" s="47">
        <f>('SEM IMPREVISTOS'!$B$19/CÁLCULO_MÉDIAS!F$4)*E23</f>
        <v>13.794396895871998</v>
      </c>
      <c r="G23" s="13">
        <f>2.57125170509111+1.44</f>
        <v>4.0112517050911105</v>
      </c>
      <c r="H23" s="48">
        <f>('SEM IMPREVISTOS'!$B$19/CÁLCULO_MÉDIAS!H$4)*G23</f>
        <v>4.3908396122636999</v>
      </c>
      <c r="I23" s="27">
        <v>42.32</v>
      </c>
      <c r="J23" s="48">
        <f>('SEM IMPREVISTOS'!$B$19/CÁLCULO_MÉDIAS!J$4)*I23</f>
        <v>46.985165332405153</v>
      </c>
      <c r="K23" s="27"/>
      <c r="L23" s="48">
        <f>('SEM IMPREVISTOS'!$B$19/CÁLCULO_MÉDIAS!L$4)*K23</f>
        <v>0</v>
      </c>
      <c r="M23" s="27">
        <v>29.418583258162279</v>
      </c>
      <c r="N23" s="48">
        <f>('SEM IMPREVISTOS'!$B$19/CÁLCULO_MÉDIAS!N$4)*M23</f>
        <v>32.562874175769544</v>
      </c>
      <c r="O23" s="27">
        <v>16.604138872514042</v>
      </c>
      <c r="P23" s="48">
        <f>('SEM IMPREVISTOS'!$B$19/CÁLCULO_MÉDIAS!P$4)*O23</f>
        <v>19.72023313848328</v>
      </c>
      <c r="Q23" s="26">
        <v>289.35719306201111</v>
      </c>
      <c r="R23" s="48">
        <f>('SEM IMPREVISTOS'!$B$19/CÁLCULO_MÉDIAS!R$4)*Q23</f>
        <v>316.73929207124013</v>
      </c>
      <c r="S23" s="27">
        <v>14.670230084264626</v>
      </c>
      <c r="T23" s="48">
        <f>('SEM IMPREVISTOS'!$B$19/CÁLCULO_MÉDIAS!T$4)*S23</f>
        <v>15.666592776002428</v>
      </c>
      <c r="U23" s="27">
        <v>0</v>
      </c>
      <c r="V23" s="48">
        <f>('SEM IMPREVISTOS'!$B$19/CÁLCULO_MÉDIAS!V$4)*U23</f>
        <v>0</v>
      </c>
      <c r="X23" s="58">
        <v>0</v>
      </c>
      <c r="Y23" s="58">
        <v>0</v>
      </c>
      <c r="Z23" s="58">
        <v>0</v>
      </c>
    </row>
    <row r="24" spans="2:26" ht="19.149999999999999" customHeight="1" x14ac:dyDescent="0.25">
      <c r="B24" s="68" t="s">
        <v>11</v>
      </c>
      <c r="C24" s="13">
        <v>165.68145313767593</v>
      </c>
      <c r="D24" s="47">
        <f>('SEM IMPREVISTOS'!$B$19/CÁLCULO_MÉDIAS!D$4)*C24</f>
        <v>182.61133258819976</v>
      </c>
      <c r="E24" s="15">
        <v>102.99303370882639</v>
      </c>
      <c r="F24" s="47">
        <f>('SEM IMPREVISTOS'!$B$19/CÁLCULO_MÉDIAS!F$4)*E24</f>
        <v>112.39973640526092</v>
      </c>
      <c r="G24" s="13">
        <f>150.750039454126+64.44</f>
        <v>215.19003945412601</v>
      </c>
      <c r="H24" s="48">
        <f>('SEM IMPREVISTOS'!$B$19/CÁLCULO_MÉDIAS!H$4)*G24</f>
        <v>235.55364232080854</v>
      </c>
      <c r="I24" s="27">
        <v>128.59</v>
      </c>
      <c r="J24" s="48">
        <f>('SEM IMPREVISTOS'!$B$19/CÁLCULO_MÉDIAS!J$4)*I24</f>
        <v>142.76517982263655</v>
      </c>
      <c r="K24" s="26">
        <v>83.253868611408492</v>
      </c>
      <c r="L24" s="48">
        <f>('SEM IMPREVISTOS'!$B$19/CÁLCULO_MÉDIAS!L$4)*K24</f>
        <v>91.132247749301172</v>
      </c>
      <c r="M24" s="26">
        <v>187.55719597905161</v>
      </c>
      <c r="N24" s="48">
        <f>('SEM IMPREVISTOS'!$B$19/CÁLCULO_MÉDIAS!N$4)*M24</f>
        <v>207.60351781153466</v>
      </c>
      <c r="O24" s="26">
        <v>134.24254289348764</v>
      </c>
      <c r="P24" s="48">
        <f>('SEM IMPREVISTOS'!$B$19/CÁLCULO_MÉDIAS!P$4)*O24</f>
        <v>159.43580472846224</v>
      </c>
      <c r="Q24" s="27">
        <v>93.244353247931087</v>
      </c>
      <c r="R24" s="48">
        <f>('SEM IMPREVISTOS'!$B$19/CÁLCULO_MÉDIAS!R$4)*Q24</f>
        <v>102.06813981313738</v>
      </c>
      <c r="S24" s="27">
        <v>132.67686965875814</v>
      </c>
      <c r="T24" s="48">
        <f>('SEM IMPREVISTOS'!$B$19/CÁLCULO_MÉDIAS!T$4)*S24</f>
        <v>141.68792689679955</v>
      </c>
      <c r="U24" s="27">
        <v>162.49165509304919</v>
      </c>
      <c r="V24" s="48">
        <f>('SEM IMPREVISTOS'!$B$19/CÁLCULO_MÉDIAS!V$4)*U24</f>
        <v>173.16718959776793</v>
      </c>
      <c r="X24" s="58">
        <v>115</v>
      </c>
      <c r="Y24" s="58">
        <v>180</v>
      </c>
      <c r="Z24" s="58">
        <f>ANÁLISE_CUSTOS!C14</f>
        <v>165.05702399583092</v>
      </c>
    </row>
    <row r="25" spans="2:26" ht="19.149999999999999" customHeight="1" thickBot="1" x14ac:dyDescent="0.3">
      <c r="B25" s="2" t="s">
        <v>12</v>
      </c>
      <c r="C25" s="13">
        <v>142.84171607243701</v>
      </c>
      <c r="D25" s="47">
        <f>('SEM IMPREVISTOS'!$B$19/CÁLCULO_MÉDIAS!D$4)*C25</f>
        <v>157.43775556759275</v>
      </c>
      <c r="E25" s="15">
        <v>116.34736354830952</v>
      </c>
      <c r="F25" s="47">
        <f>('SEM IMPREVISTOS'!$B$19/CÁLCULO_MÉDIAS!F$4)*E25</f>
        <v>126.97376243182099</v>
      </c>
      <c r="G25" s="13">
        <f>154.053109535665+12.4</f>
        <v>166.45310953566499</v>
      </c>
      <c r="H25" s="48">
        <f>('SEM IMPREVISTOS'!$B$19/CÁLCULO_MÉDIAS!H$4)*G25</f>
        <v>182.20469835040322</v>
      </c>
      <c r="I25" s="27">
        <v>206.87</v>
      </c>
      <c r="J25" s="48">
        <f>('SEM IMPREVISTOS'!$B$19/CÁLCULO_MÉDIAS!J$4)*I25</f>
        <v>229.67441286187747</v>
      </c>
      <c r="K25" s="27">
        <v>123.04168429780309</v>
      </c>
      <c r="L25" s="48">
        <f>('SEM IMPREVISTOS'!$B$19/CÁLCULO_MÉDIAS!L$4)*K25</f>
        <v>134.68521576163891</v>
      </c>
      <c r="M25" s="27">
        <v>81.265858929347857</v>
      </c>
      <c r="N25" s="48">
        <f>('SEM IMPREVISTOS'!$B$19/CÁLCULO_MÉDIAS!N$4)*M25</f>
        <v>89.95164436982131</v>
      </c>
      <c r="O25" s="27">
        <v>222.14638081350253</v>
      </c>
      <c r="P25" s="48">
        <f>('SEM IMPREVISTOS'!$B$19/CÁLCULO_MÉDIAS!P$4)*O25</f>
        <v>263.83653221332412</v>
      </c>
      <c r="Q25" s="26">
        <v>217.6074141253826</v>
      </c>
      <c r="R25" s="48">
        <f>('SEM IMPREVISTOS'!$B$19/CÁLCULO_MÉDIAS!R$4)*Q25</f>
        <v>238.19977506056273</v>
      </c>
      <c r="S25" s="27">
        <v>123.27582621167751</v>
      </c>
      <c r="T25" s="48">
        <f>('SEM IMPREVISTOS'!$B$19/CÁLCULO_MÉDIAS!T$4)*S25</f>
        <v>131.64838978600167</v>
      </c>
      <c r="U25" s="27">
        <v>165.47857467718799</v>
      </c>
      <c r="V25" s="48">
        <f>('SEM IMPREVISTOS'!$B$19/CÁLCULO_MÉDIAS!V$4)*U25</f>
        <v>176.35034672447489</v>
      </c>
      <c r="X25" s="58">
        <v>120</v>
      </c>
      <c r="Y25" s="58">
        <v>180</v>
      </c>
      <c r="Z25" s="58">
        <f>ANÁLISE_CUSTOS!C15</f>
        <v>158.01680274093636</v>
      </c>
    </row>
    <row r="26" spans="2:26" ht="19.149999999999999" customHeight="1" thickBot="1" x14ac:dyDescent="0.3">
      <c r="B26" s="29" t="s">
        <v>13</v>
      </c>
      <c r="C26" s="30">
        <f t="shared" ref="C26:S26" si="0">SUM(C10:C25)</f>
        <v>3271.1160800998159</v>
      </c>
      <c r="D26" s="49">
        <f t="shared" si="0"/>
        <v>3605.3695517828619</v>
      </c>
      <c r="E26" s="30">
        <f t="shared" si="0"/>
        <v>2764.2886378927014</v>
      </c>
      <c r="F26" s="64">
        <f t="shared" si="0"/>
        <v>3016.7604842634164</v>
      </c>
      <c r="G26" s="30">
        <f t="shared" si="0"/>
        <v>3302.6435364965955</v>
      </c>
      <c r="H26" s="64">
        <f t="shared" si="0"/>
        <v>3615.1752947417058</v>
      </c>
      <c r="I26" s="30">
        <f t="shared" si="0"/>
        <v>3635.1700000000005</v>
      </c>
      <c r="J26" s="64">
        <f t="shared" si="0"/>
        <v>4035.8946942674679</v>
      </c>
      <c r="K26" s="30">
        <f t="shared" si="0"/>
        <v>2574.6900357182362</v>
      </c>
      <c r="L26" s="49">
        <f t="shared" si="0"/>
        <v>2818.33498101947</v>
      </c>
      <c r="M26" s="30">
        <f t="shared" ref="M26:P26" si="1">SUM(M10:M25)</f>
        <v>3217.7604547253936</v>
      </c>
      <c r="N26" s="49">
        <f t="shared" si="1"/>
        <v>3561.6782730663472</v>
      </c>
      <c r="O26" s="30">
        <f t="shared" si="1"/>
        <v>4005.1586609165083</v>
      </c>
      <c r="P26" s="49">
        <f t="shared" si="1"/>
        <v>4756.805707077915</v>
      </c>
      <c r="Q26" s="30">
        <f>SUM(Q10:Q25)</f>
        <v>3040.8610860446652</v>
      </c>
      <c r="R26" s="49">
        <f t="shared" ref="R26" si="2">SUM(R10:R25)</f>
        <v>3328.6201648851306</v>
      </c>
      <c r="S26" s="30">
        <f t="shared" si="0"/>
        <v>3024.2802598219091</v>
      </c>
      <c r="T26" s="49">
        <f>SUM(T10:T25)</f>
        <v>3229.6812660050173</v>
      </c>
      <c r="U26" s="30">
        <f t="shared" ref="U26" si="3">SUM(U10:U25)</f>
        <v>2881.6248622666326</v>
      </c>
      <c r="V26" s="49">
        <f>SUM(V10:V25)</f>
        <v>3070.9446499761411</v>
      </c>
      <c r="X26" s="62">
        <f>SUM(X11:X25)</f>
        <v>3175</v>
      </c>
      <c r="Y26" s="62">
        <f>SUM(Y11:Y25)</f>
        <v>4170</v>
      </c>
    </row>
    <row r="28" spans="2:26" x14ac:dyDescent="0.25">
      <c r="B28" s="14"/>
      <c r="C28" s="16"/>
      <c r="E28" s="14"/>
      <c r="F28" s="16"/>
    </row>
    <row r="29" spans="2:26" x14ac:dyDescent="0.25">
      <c r="C29" s="73">
        <v>0.219</v>
      </c>
      <c r="E29" s="73">
        <v>0.2291</v>
      </c>
      <c r="G29" s="73">
        <v>0.2346</v>
      </c>
    </row>
    <row r="31" spans="2:26" x14ac:dyDescent="0.25">
      <c r="D31" s="99">
        <f>D22*0.6</f>
        <v>213.91679516999221</v>
      </c>
      <c r="F31" s="99">
        <f>F22*0.6</f>
        <v>159.3353037646759</v>
      </c>
      <c r="H31" s="99">
        <f>H22*0.6</f>
        <v>170.62369610564244</v>
      </c>
      <c r="L31" s="99">
        <f>L22*0.6</f>
        <v>180.14655074543953</v>
      </c>
      <c r="T31" s="99">
        <f>T22*0.6</f>
        <v>157.91252226751743</v>
      </c>
      <c r="V31" s="99">
        <f>V22*0.6</f>
        <v>143.12595312547904</v>
      </c>
    </row>
    <row r="33" spans="2:32" x14ac:dyDescent="0.25">
      <c r="D33" s="99">
        <f>D21*1.27</f>
        <v>184.37785766515458</v>
      </c>
      <c r="F33" s="99">
        <f>F21*1.27</f>
        <v>173.77707881077563</v>
      </c>
      <c r="H33" s="99">
        <f>H21*1.27</f>
        <v>185.76022487738777</v>
      </c>
      <c r="L33" s="99">
        <f>L21*1.27</f>
        <v>171.99327329316782</v>
      </c>
      <c r="T33" s="99">
        <f>T21*1.27</f>
        <v>182.63135880861117</v>
      </c>
      <c r="V33" s="99">
        <f>V21*1.27</f>
        <v>184.74725337097672</v>
      </c>
    </row>
    <row r="38" spans="2:32" ht="15.75" thickBot="1" x14ac:dyDescent="0.3">
      <c r="E38" s="255" t="s">
        <v>35</v>
      </c>
      <c r="F38" s="256"/>
      <c r="G38" s="256"/>
      <c r="H38" s="256"/>
      <c r="S38" s="257" t="s">
        <v>43</v>
      </c>
      <c r="T38" s="258"/>
      <c r="U38" s="258"/>
      <c r="V38" s="258"/>
      <c r="X38" s="259" t="s">
        <v>57</v>
      </c>
      <c r="Y38" s="260"/>
      <c r="Z38" s="260"/>
      <c r="AA38" s="260"/>
      <c r="AC38" s="259" t="s">
        <v>132</v>
      </c>
      <c r="AD38" s="260"/>
      <c r="AE38" s="260"/>
      <c r="AF38" s="260"/>
    </row>
    <row r="39" spans="2:32" ht="19.5" x14ac:dyDescent="0.25">
      <c r="B39" s="147" t="s">
        <v>16</v>
      </c>
      <c r="C39" s="23"/>
      <c r="D39" s="47">
        <f>('SEM IMPREVISTOS'!$B$19/CÁLCULO_MÉDIAS!D$4)*C39</f>
        <v>0</v>
      </c>
      <c r="E39" s="206">
        <v>2230844.25210028</v>
      </c>
      <c r="F39" s="47">
        <f>('SEM IMPREVISTOS'!$B$19/CÁLCULO_MÉDIAS!F$4)*E39</f>
        <v>2434594.8154722066</v>
      </c>
      <c r="G39" s="23">
        <f t="shared" ref="G39:G55" si="4">E39/$F$5</f>
        <v>212.04957725904458</v>
      </c>
      <c r="H39" s="47">
        <f>('SEM IMPREVISTOS'!$B$19/CÁLCULO_MÉDIAS!F$4)*G39</f>
        <v>231.41678354815807</v>
      </c>
      <c r="S39" s="206">
        <f>[4]Maiori!$G$9</f>
        <v>3453146.1070870003</v>
      </c>
      <c r="T39" s="47">
        <f>('SEM IMPREVISTOS'!$B$19/CÁLCULO_MÉDIAS!T$4)*S39</f>
        <v>3687674.5316896592</v>
      </c>
      <c r="U39" s="208">
        <f>S39/$T$5</f>
        <v>412.734848154784</v>
      </c>
      <c r="V39" s="47">
        <f>('SEM IMPREVISTOS'!$B$19/CÁLCULO_MÉDIAS!T$4)*U39</f>
        <v>440.76669236713792</v>
      </c>
      <c r="X39" s="206">
        <f>[4]Ravello!$G$9</f>
        <v>4844787.2507448709</v>
      </c>
      <c r="Y39" s="47">
        <f>('SEM IMPREVISTOS'!$B$19/CÁLCULO_MÉDIAS!V$4)*X39</f>
        <v>5163084.7869089954</v>
      </c>
      <c r="Z39" s="208">
        <f>X39/$V$5</f>
        <v>360.62845529945167</v>
      </c>
      <c r="AA39" s="47">
        <f>('SEM IMPREVISTOS'!$B$19/CÁLCULO_MÉDIAS!V$4)*Z39</f>
        <v>384.3213736571858</v>
      </c>
      <c r="AC39" s="206">
        <v>1603726.75</v>
      </c>
      <c r="AD39" s="47">
        <f>('SEM IMPREVISTOS'!$B$19/CÁLCULO_MÉDIAS!H$4)*AC39</f>
        <v>1755488.6750710597</v>
      </c>
      <c r="AE39" s="207">
        <f>AC39/$H$5</f>
        <v>98.098662841553448</v>
      </c>
      <c r="AF39" s="209">
        <f>('SEM IMPREVISTOS'!$B$19/CÁLCULO_MÉDIAS!H$4)*AE39</f>
        <v>107.38181654571845</v>
      </c>
    </row>
    <row r="40" spans="2:32" ht="19.5" x14ac:dyDescent="0.25">
      <c r="B40" s="148" t="s">
        <v>2</v>
      </c>
      <c r="C40" s="23"/>
      <c r="D40" s="47">
        <f>('SEM IMPREVISTOS'!$B$19/CÁLCULO_MÉDIAS!D$4)*C40</f>
        <v>0</v>
      </c>
      <c r="E40" s="206">
        <v>56133.360800000002</v>
      </c>
      <c r="F40" s="47">
        <f>('SEM IMPREVISTOS'!$B$19/CÁLCULO_MÉDIAS!F$4)*E40</f>
        <v>61260.210814828155</v>
      </c>
      <c r="G40" s="23">
        <f t="shared" si="4"/>
        <v>5.3356729931114728</v>
      </c>
      <c r="H40" s="47">
        <f>('SEM IMPREVISTOS'!$B$19/CÁLCULO_MÉDIAS!F$4)*G40</f>
        <v>5.8229980841801643</v>
      </c>
      <c r="S40" s="206">
        <f>[4]Maiori!$G$146</f>
        <v>101740.84</v>
      </c>
      <c r="T40" s="47">
        <f>('SEM IMPREVISTOS'!$B$19/CÁLCULO_MÉDIAS!T$4)*S40</f>
        <v>108650.80505302231</v>
      </c>
      <c r="U40" s="208">
        <f t="shared" ref="U40:U55" si="5">S40/$T$5</f>
        <v>12.160502002031913</v>
      </c>
      <c r="V40" s="47">
        <f>('SEM IMPREVISTOS'!$B$19/CÁLCULO_MÉDIAS!T$4)*U40</f>
        <v>12.986410691809276</v>
      </c>
      <c r="X40" s="206">
        <f>[4]Ravello!$G$134</f>
        <v>258028.48</v>
      </c>
      <c r="Y40" s="47">
        <f>('SEM IMPREVISTOS'!$B$19/CÁLCULO_MÉDIAS!V$4)*X40</f>
        <v>274980.68557549705</v>
      </c>
      <c r="Z40" s="208">
        <f t="shared" ref="Z40:Z55" si="6">X40/$V$5</f>
        <v>19.206707611641551</v>
      </c>
      <c r="AA40" s="47">
        <f>('SEM IMPREVISTOS'!$B$19/CÁLCULO_MÉDIAS!V$4)*Z40</f>
        <v>20.468568534362216</v>
      </c>
      <c r="AC40" s="206">
        <v>433474.53</v>
      </c>
      <c r="AD40" s="47">
        <f>('SEM IMPREVISTOS'!$B$19/CÁLCULO_MÉDIAS!H$4)*AC40</f>
        <v>474494.56607664016</v>
      </c>
      <c r="AE40" s="207">
        <f t="shared" ref="AE40:AE55" si="7">AC40/$H$5</f>
        <v>26.515284956661631</v>
      </c>
      <c r="AF40" s="209">
        <f>('SEM IMPREVISTOS'!$B$19/CÁLCULO_MÉDIAS!H$4)*AE40</f>
        <v>29.024447249321948</v>
      </c>
    </row>
    <row r="41" spans="2:32" ht="19.5" x14ac:dyDescent="0.25">
      <c r="B41" s="149" t="s">
        <v>3</v>
      </c>
      <c r="C41" s="59"/>
      <c r="D41" s="47">
        <f>('SEM IMPREVISTOS'!$B$19/CÁLCULO_MÉDIAS!D$4)*C41</f>
        <v>0</v>
      </c>
      <c r="F41" s="47">
        <f>('SEM IMPREVISTOS'!$B$19/CÁLCULO_MÉDIAS!F$4)*E41</f>
        <v>0</v>
      </c>
      <c r="G41" s="23">
        <f t="shared" si="4"/>
        <v>0</v>
      </c>
      <c r="H41" s="47">
        <f>('SEM IMPREVISTOS'!$B$19/CÁLCULO_MÉDIAS!F$4)*G41</f>
        <v>0</v>
      </c>
      <c r="T41" s="47">
        <f>('SEM IMPREVISTOS'!$B$19/CÁLCULO_MÉDIAS!T$4)*S43</f>
        <v>6755554.8176802266</v>
      </c>
      <c r="U41" s="208">
        <f t="shared" si="5"/>
        <v>0</v>
      </c>
      <c r="V41" s="47">
        <f>('SEM IMPREVISTOS'!$B$19/CÁLCULO_MÉDIAS!T$4)*U41</f>
        <v>0</v>
      </c>
      <c r="X41" s="206"/>
      <c r="Y41" s="47">
        <f>('SEM IMPREVISTOS'!$B$19/CÁLCULO_MÉDIAS!V$4)*X41</f>
        <v>0</v>
      </c>
      <c r="Z41" s="208">
        <f t="shared" si="6"/>
        <v>0</v>
      </c>
      <c r="AA41" s="47">
        <f>('SEM IMPREVISTOS'!$B$19/CÁLCULO_MÉDIAS!V$4)*Z41</f>
        <v>0</v>
      </c>
      <c r="AD41" s="47">
        <f>('SEM IMPREVISTOS'!$B$19/CÁLCULO_MÉDIAS!H$4)*AC41</f>
        <v>0</v>
      </c>
      <c r="AE41" s="207">
        <f t="shared" ref="AE41:AE45" si="8">AC41/$H$5</f>
        <v>0</v>
      </c>
      <c r="AF41" s="209">
        <f>('SEM IMPREVISTOS'!$B$19/CÁLCULO_MÉDIAS!H$4)*AE41</f>
        <v>0</v>
      </c>
    </row>
    <row r="42" spans="2:32" ht="19.5" x14ac:dyDescent="0.25">
      <c r="B42" s="148" t="s">
        <v>105</v>
      </c>
      <c r="C42" s="59"/>
      <c r="D42" s="47">
        <f>('SEM IMPREVISTOS'!$B$19/CÁLCULO_MÉDIAS!D$4)*C42</f>
        <v>0</v>
      </c>
      <c r="F42" s="47">
        <f>('SEM IMPREVISTOS'!$B$19/CÁLCULO_MÉDIAS!F$4)*E42</f>
        <v>0</v>
      </c>
      <c r="G42" s="23">
        <f t="shared" si="4"/>
        <v>0</v>
      </c>
      <c r="H42" s="47">
        <f>('SEM IMPREVISTOS'!$B$19/CÁLCULO_MÉDIAS!F$4)*G42</f>
        <v>0</v>
      </c>
      <c r="T42" s="47">
        <f>('SEM IMPREVISTOS'!$B$19/CÁLCULO_MÉDIAS!T$4)*S42</f>
        <v>0</v>
      </c>
      <c r="U42" s="208">
        <f t="shared" si="5"/>
        <v>0</v>
      </c>
      <c r="V42" s="47">
        <f>('SEM IMPREVISTOS'!$B$19/CÁLCULO_MÉDIAS!T$4)*U42</f>
        <v>0</v>
      </c>
      <c r="X42" s="206"/>
      <c r="Y42" s="47">
        <f>('SEM IMPREVISTOS'!$B$19/CÁLCULO_MÉDIAS!V$4)*X42</f>
        <v>0</v>
      </c>
      <c r="Z42" s="208">
        <f t="shared" si="6"/>
        <v>0</v>
      </c>
      <c r="AA42" s="47">
        <f>('SEM IMPREVISTOS'!$B$19/CÁLCULO_MÉDIAS!V$4)*Z42</f>
        <v>0</v>
      </c>
      <c r="AD42" s="47">
        <f>('SEM IMPREVISTOS'!$B$19/CÁLCULO_MÉDIAS!H$4)*AC42</f>
        <v>0</v>
      </c>
      <c r="AE42" s="207">
        <f t="shared" si="8"/>
        <v>0</v>
      </c>
      <c r="AF42" s="209">
        <f>('SEM IMPREVISTOS'!$B$19/CÁLCULO_MÉDIAS!H$4)*AE42</f>
        <v>0</v>
      </c>
    </row>
    <row r="43" spans="2:32" ht="19.5" x14ac:dyDescent="0.25">
      <c r="B43" s="149" t="s">
        <v>106</v>
      </c>
      <c r="C43" s="59">
        <f>([7]EAP!$F$159+[7]EAP!$F$177)/D5</f>
        <v>941.79068167469325</v>
      </c>
      <c r="D43" s="47">
        <f>('SEM IMPREVISTOS'!$B$19/CÁLCULO_MÉDIAS!D$4)*C43</f>
        <v>1038.0259717836586</v>
      </c>
      <c r="E43" s="206">
        <v>8575810.6107000001</v>
      </c>
      <c r="F43" s="47">
        <f>('SEM IMPREVISTOS'!$B$19/CÁLCULO_MÉDIAS!F$4)*E43</f>
        <v>9359068.4475731961</v>
      </c>
      <c r="G43" s="23">
        <f t="shared" si="4"/>
        <v>815.16090284675761</v>
      </c>
      <c r="H43" s="47">
        <f>('SEM IMPREVISTOS'!$B$19/CÁLCULO_MÉDIAS!F$4)*G43</f>
        <v>889.61230976923832</v>
      </c>
      <c r="S43" s="206">
        <f>[4]Maiori!$G$153+[4]Maiori!$G$173</f>
        <v>6325915.5924469996</v>
      </c>
      <c r="T43" s="47">
        <f>('SEM IMPREVISTOS'!$B$19/CÁLCULO_MÉDIAS!T$4)*S43</f>
        <v>6755554.8176802266</v>
      </c>
      <c r="U43" s="208">
        <f t="shared" si="5"/>
        <v>756.10059074248488</v>
      </c>
      <c r="V43" s="47">
        <f>('SEM IMPREVISTOS'!$B$19/CÁLCULO_MÉDIAS!T$4)*U43</f>
        <v>807.45291551786602</v>
      </c>
      <c r="X43" s="206">
        <f>[4]Ravello!$G$140+[4]Ravello!$G$161</f>
        <v>11660068.60286</v>
      </c>
      <c r="Y43" s="47">
        <f>('SEM IMPREVISTOS'!$B$19/CÁLCULO_MÉDIAS!V$4)*X43</f>
        <v>12426123.109634139</v>
      </c>
      <c r="Z43" s="208">
        <f t="shared" si="6"/>
        <v>867.93337071479027</v>
      </c>
      <c r="AA43" s="47">
        <f>('SEM IMPREVISTOS'!$B$19/CÁLCULO_MÉDIAS!V$4)*Z43</f>
        <v>924.95569990182878</v>
      </c>
      <c r="AC43" s="206">
        <f>2351973.92+6205050.3</f>
        <v>8557024.2199999988</v>
      </c>
      <c r="AD43" s="47">
        <f>('SEM IMPREVISTOS'!$B$19/CÁLCULO_MÉDIAS!H$4)*AC43</f>
        <v>9366782.1594412923</v>
      </c>
      <c r="AE43" s="207">
        <f t="shared" si="8"/>
        <v>523.42622200745029</v>
      </c>
      <c r="AF43" s="209">
        <f>('SEM IMPREVISTOS'!$B$19/CÁLCULO_MÉDIAS!H$4)*AE43</f>
        <v>572.95845752358332</v>
      </c>
    </row>
    <row r="44" spans="2:32" ht="19.5" x14ac:dyDescent="0.25">
      <c r="B44" s="148" t="s">
        <v>37</v>
      </c>
      <c r="C44" s="13">
        <f>[7]EAP!$F$272/D5</f>
        <v>194.60329234833858</v>
      </c>
      <c r="D44" s="47">
        <f>('SEM IMPREVISTOS'!$B$19/CÁLCULO_MÉDIAS!D$4)*C44</f>
        <v>214.48850108920291</v>
      </c>
      <c r="E44" s="206">
        <v>1538842.3833999999</v>
      </c>
      <c r="F44" s="47">
        <f>('SEM IMPREVISTOS'!$B$19/CÁLCULO_MÉDIAS!F$4)*E44</f>
        <v>1679390.0716857952</v>
      </c>
      <c r="G44" s="23">
        <f t="shared" si="4"/>
        <v>146.27237045394705</v>
      </c>
      <c r="H44" s="47">
        <f>('SEM IMPREVISTOS'!$B$19/CÁLCULO_MÉDIAS!F$4)*G44</f>
        <v>159.6319216004155</v>
      </c>
      <c r="S44" s="206">
        <f>[4]Maiori!$G$200</f>
        <v>1445771.26835</v>
      </c>
      <c r="T44" s="47">
        <f>('SEM IMPREVISTOS'!$B$19/CÁLCULO_MÉDIAS!T$4)*S44</f>
        <v>1543964.1763205086</v>
      </c>
      <c r="U44" s="208">
        <f t="shared" si="5"/>
        <v>172.80478914121795</v>
      </c>
      <c r="V44" s="47">
        <f>('SEM IMPREVISTOS'!$B$19/CÁLCULO_MÉDIAS!T$4)*U44</f>
        <v>184.5412270747037</v>
      </c>
      <c r="X44" s="206">
        <f>[4]Ravello!$G$188</f>
        <v>2678398.37</v>
      </c>
      <c r="Y44" s="47">
        <f>('SEM IMPREVISTOS'!$B$19/CÁLCULO_MÉDIAS!V$4)*X44</f>
        <v>2854366.3863263996</v>
      </c>
      <c r="Z44" s="208">
        <f t="shared" si="6"/>
        <v>199.37029571343183</v>
      </c>
      <c r="AA44" s="47">
        <f>('SEM IMPREVISTOS'!$B$19/CÁLCULO_MÉDIAS!V$4)*Z44</f>
        <v>212.46871895175701</v>
      </c>
      <c r="AC44" s="206">
        <f>750675.55</f>
        <v>750675.55</v>
      </c>
      <c r="AD44" s="47">
        <f>('SEM IMPREVISTOS'!$B$19/CÁLCULO_MÉDIAS!H$4)*AC44</f>
        <v>821712.56835227017</v>
      </c>
      <c r="AE44" s="207">
        <f t="shared" si="8"/>
        <v>45.918213737376213</v>
      </c>
      <c r="AF44" s="209">
        <f>('SEM IMPREVISTOS'!$B$19/CÁLCULO_MÉDIAS!H$4)*AE44</f>
        <v>50.263490457745561</v>
      </c>
    </row>
    <row r="45" spans="2:32" ht="39" x14ac:dyDescent="0.25">
      <c r="B45" s="149" t="s">
        <v>107</v>
      </c>
      <c r="C45" s="13"/>
      <c r="D45" s="47">
        <f>('SEM IMPREVISTOS'!$B$19/CÁLCULO_MÉDIAS!D$4)*C45</f>
        <v>0</v>
      </c>
      <c r="E45" s="206">
        <v>3465538.11</v>
      </c>
      <c r="F45" s="47">
        <f>('SEM IMPREVISTOS'!$B$19/CÁLCULO_MÉDIAS!F$4)*E45</f>
        <v>3782057.4464057586</v>
      </c>
      <c r="G45" s="23">
        <f t="shared" si="4"/>
        <v>329.41156268921588</v>
      </c>
      <c r="H45" s="47">
        <f>('SEM IMPREVISTOS'!$B$19/CÁLCULO_MÉDIAS!F$4)*G45</f>
        <v>359.49783671572618</v>
      </c>
      <c r="S45" s="206">
        <f>[4]Maiori!$G$258+[4]Maiori!$G$287+[4]Maiori!$G$308+[4]Maiori!$G$324+[4]Maiori!$G$330+[4]Maiori!$G$536</f>
        <v>2708072.9099999992</v>
      </c>
      <c r="T45" s="47">
        <f>('SEM IMPREVISTOS'!$B$19/CÁLCULO_MÉDIAS!T$4)*S45</f>
        <v>2891997.9608363835</v>
      </c>
      <c r="U45" s="208">
        <f t="shared" si="5"/>
        <v>323.68050080678887</v>
      </c>
      <c r="V45" s="47">
        <f>('SEM IMPREVISTOS'!$B$19/CÁLCULO_MÉDIAS!T$4)*U45</f>
        <v>345.66401253049463</v>
      </c>
      <c r="X45" s="206">
        <f>[4]Ravello!$G$233+[4]Ravello!$G$249+[4]Ravello!$G$270+[4]Ravello!$G$282+[4]Ravello!$G$288+[4]Ravello!$G$479</f>
        <v>4919014.264922251</v>
      </c>
      <c r="Y45" s="47">
        <f>('SEM IMPREVISTOS'!$B$19/CÁLCULO_MÉDIAS!V$4)*X45</f>
        <v>5242188.4395240787</v>
      </c>
      <c r="Z45" s="208">
        <f t="shared" si="6"/>
        <v>366.15364600006779</v>
      </c>
      <c r="AA45" s="47">
        <f>('SEM IMPREVISTOS'!$B$19/CÁLCULO_MÉDIAS!V$4)*Z45</f>
        <v>390.20956370035771</v>
      </c>
      <c r="AC45" s="206">
        <f>741210.84+1030017.78+391049.26</f>
        <v>2162277.88</v>
      </c>
      <c r="AD45" s="47">
        <f>('SEM IMPREVISTOS'!$B$19/CÁLCULO_MÉDIAS!H$4)*AC45</f>
        <v>2366895.938286656</v>
      </c>
      <c r="AE45" s="207">
        <f t="shared" si="8"/>
        <v>132.2647818400915</v>
      </c>
      <c r="AF45" s="209">
        <f>('SEM IMPREVISTOS'!$B$19/CÁLCULO_MÉDIAS!H$4)*AE45</f>
        <v>144.7811022862997</v>
      </c>
    </row>
    <row r="46" spans="2:32" ht="19.5" x14ac:dyDescent="0.25">
      <c r="B46" s="148" t="s">
        <v>20</v>
      </c>
      <c r="C46" s="13"/>
      <c r="D46" s="47">
        <f>('SEM IMPREVISTOS'!$B$19/CÁLCULO_MÉDIAS!D$4)*C46</f>
        <v>0</v>
      </c>
      <c r="E46" s="206">
        <v>1649141.7050000001</v>
      </c>
      <c r="F46" s="47">
        <f>('SEM IMPREVISTOS'!$B$19/CÁLCULO_MÉDIAS!F$4)*E46</f>
        <v>1799763.404008141</v>
      </c>
      <c r="G46" s="23">
        <f t="shared" si="4"/>
        <v>156.75670816386085</v>
      </c>
      <c r="H46" s="47">
        <f>('SEM IMPREVISTOS'!$B$19/CÁLCULO_MÉDIAS!F$4)*G46</f>
        <v>171.07382939303019</v>
      </c>
      <c r="S46" s="206">
        <f>[4]Maiori!$G$340+[4]Maiori!$G$350</f>
        <v>911348.15999999992</v>
      </c>
      <c r="T46" s="47">
        <f>('SEM IMPREVISTOS'!$B$19/CÁLCULO_MÉDIAS!T$4)*S46</f>
        <v>973244.48341089545</v>
      </c>
      <c r="U46" s="208">
        <f t="shared" si="5"/>
        <v>108.9282447857527</v>
      </c>
      <c r="V46" s="47">
        <f>('SEM IMPREVISTOS'!$B$19/CÁLCULO_MÉDIAS!T$4)*U46</f>
        <v>116.32635910008911</v>
      </c>
      <c r="X46" s="206">
        <f>[4]Ravello!$G$298+[4]Ravello!$G$309</f>
        <v>1449177.75</v>
      </c>
      <c r="Y46" s="47">
        <f>('SEM IMPREVISTOS'!$B$19/CÁLCULO_MÉDIAS!V$4)*X46</f>
        <v>1544387.2366947874</v>
      </c>
      <c r="Z46" s="208">
        <f t="shared" si="6"/>
        <v>107.87155480490594</v>
      </c>
      <c r="AA46" s="47">
        <f>('SEM IMPREVISTOS'!$B$19/CÁLCULO_MÉDIAS!V$4)*Z46</f>
        <v>114.958604935191</v>
      </c>
      <c r="AC46" s="206">
        <f>3221663.89+520967.37</f>
        <v>3742631.2600000002</v>
      </c>
      <c r="AD46" s="47">
        <f>('SEM IMPREVISTOS'!$B$19/CÁLCULO_MÉDIAS!H$4)*AC46</f>
        <v>4096799.4029512391</v>
      </c>
      <c r="AE46" s="207">
        <f t="shared" si="7"/>
        <v>228.93371462127098</v>
      </c>
      <c r="AF46" s="209">
        <f>('SEM IMPREVISTOS'!$B$19/CÁLCULO_MÉDIAS!H$4)*AE46</f>
        <v>250.59789229031136</v>
      </c>
    </row>
    <row r="47" spans="2:32" ht="19.5" x14ac:dyDescent="0.25">
      <c r="B47" s="149" t="s">
        <v>7</v>
      </c>
      <c r="C47" s="13"/>
      <c r="D47" s="47">
        <f>('SEM IMPREVISTOS'!$B$19/CÁLCULO_MÉDIAS!D$4)*C47</f>
        <v>0</v>
      </c>
      <c r="E47" s="206">
        <v>733353.68350000004</v>
      </c>
      <c r="F47" s="47">
        <f>('SEM IMPREVISTOS'!$B$19/CÁLCULO_MÉDIAS!F$4)*E47</f>
        <v>800333.35992668313</v>
      </c>
      <c r="G47" s="23">
        <f t="shared" si="4"/>
        <v>69.707841962132591</v>
      </c>
      <c r="H47" s="47">
        <f>('SEM IMPREVISTOS'!$B$19/CÁLCULO_MÉDIAS!F$4)*G47</f>
        <v>76.074495330181023</v>
      </c>
      <c r="S47" s="206">
        <f>[4]Maiori!$G$224</f>
        <v>250176.59</v>
      </c>
      <c r="T47" s="47">
        <f>('SEM IMPREVISTOS'!$B$19/CÁLCULO_MÉDIAS!T$4)*S47</f>
        <v>267167.91318923543</v>
      </c>
      <c r="U47" s="208">
        <f t="shared" si="5"/>
        <v>29.902180123110021</v>
      </c>
      <c r="V47" s="47">
        <f>('SEM IMPREVISTOS'!$B$19/CÁLCULO_MÉDIAS!T$4)*U47</f>
        <v>31.933056019749646</v>
      </c>
      <c r="X47" s="206">
        <f>[4]Ravello!$G$209</f>
        <v>715834.36999999988</v>
      </c>
      <c r="Y47" s="47">
        <f>('SEM IMPREVISTOS'!$B$19/CÁLCULO_MÉDIAS!V$4)*X47</f>
        <v>762863.9513789484</v>
      </c>
      <c r="Z47" s="208">
        <f t="shared" si="6"/>
        <v>53.284123686476903</v>
      </c>
      <c r="AA47" s="47">
        <f>('SEM IMPREVISTOS'!$B$19/CÁLCULO_MÉDIAS!V$4)*Z47</f>
        <v>56.784835773155727</v>
      </c>
      <c r="AC47" s="206">
        <v>345901.63</v>
      </c>
      <c r="AD47" s="47">
        <f>('SEM IMPREVISTOS'!$B$19/CÁLCULO_MÉDIAS!H$4)*AC47</f>
        <v>378634.57359779027</v>
      </c>
      <c r="AE47" s="207">
        <f t="shared" si="7"/>
        <v>21.158521785406254</v>
      </c>
      <c r="AF47" s="209">
        <f>('SEM IMPREVISTOS'!$B$19/CÁLCULO_MÉDIAS!H$4)*AE47</f>
        <v>23.160769361442014</v>
      </c>
    </row>
    <row r="48" spans="2:32" ht="19.5" x14ac:dyDescent="0.25">
      <c r="B48" s="148" t="s">
        <v>108</v>
      </c>
      <c r="C48" s="13"/>
      <c r="D48" s="47">
        <f>('SEM IMPREVISTOS'!$B$19/CÁLCULO_MÉDIAS!D$4)*C48</f>
        <v>0</v>
      </c>
      <c r="E48" s="206">
        <v>1856688.3057999997</v>
      </c>
      <c r="F48" s="47">
        <f>('SEM IMPREVISTOS'!$B$19/CÁLCULO_MÉDIAS!F$4)*E48</f>
        <v>2026265.9390017157</v>
      </c>
      <c r="G48" s="23">
        <f t="shared" si="4"/>
        <v>176.48474113602251</v>
      </c>
      <c r="H48" s="47">
        <f>('SEM IMPREVISTOS'!$B$19/CÁLCULO_MÉDIAS!F$4)*G48</f>
        <v>192.60369045270335</v>
      </c>
      <c r="S48" s="206">
        <f>[4]Maiori!$G$363+[4]Maiori!$G$397+[4]Maiori!$G$398+[4]Maiori!$G$564+[4]Maiori!$G$565+[4]Maiori!$G$576</f>
        <v>2655645.72541</v>
      </c>
      <c r="T48" s="47">
        <f>('SEM IMPREVISTOS'!$B$19/CÁLCULO_MÉDIAS!T$4)*S48</f>
        <v>2836010.0624431046</v>
      </c>
      <c r="U48" s="208">
        <f t="shared" si="5"/>
        <v>317.41417861829916</v>
      </c>
      <c r="V48" s="47">
        <f>('SEM IMPREVISTOS'!$B$19/CÁLCULO_MÉDIAS!T$4)*U48</f>
        <v>338.97209854097946</v>
      </c>
      <c r="X48" s="206">
        <f>[4]Ravello!$G$323+[4]Ravello!$G$338+[4]Ravello!$G$493+[4]Ravello!$G$507</f>
        <v>2741347.13166</v>
      </c>
      <c r="Y48" s="47">
        <f>('SEM IMPREVISTOS'!$B$19/CÁLCULO_MÉDIAS!V$4)*X48</f>
        <v>2921450.8168411837</v>
      </c>
      <c r="Z48" s="208">
        <f t="shared" si="6"/>
        <v>204.05597405296444</v>
      </c>
      <c r="AA48" s="47">
        <f>('SEM IMPREVISTOS'!$B$19/CÁLCULO_MÉDIAS!V$4)*Z48</f>
        <v>217.46224153574053</v>
      </c>
      <c r="AC48" s="206"/>
      <c r="AD48" s="47">
        <f>('SEM IMPREVISTOS'!$B$19/CÁLCULO_MÉDIAS!H$4)*AC48</f>
        <v>0</v>
      </c>
      <c r="AE48" s="207">
        <f t="shared" si="7"/>
        <v>0</v>
      </c>
      <c r="AF48" s="209">
        <f>('SEM IMPREVISTOS'!$B$19/CÁLCULO_MÉDIAS!H$4)*AE48</f>
        <v>0</v>
      </c>
    </row>
    <row r="49" spans="2:32" ht="19.5" x14ac:dyDescent="0.25">
      <c r="B49" s="149" t="s">
        <v>96</v>
      </c>
      <c r="C49" s="13"/>
      <c r="D49" s="47">
        <f>('SEM IMPREVISTOS'!$B$19/CÁLCULO_MÉDIAS!D$4)*C49</f>
        <v>0</v>
      </c>
      <c r="E49" s="206">
        <v>560815.85275999992</v>
      </c>
      <c r="F49" s="47">
        <f>('SEM IMPREVISTOS'!$B$19/CÁLCULO_MÉDIAS!F$4)*E49</f>
        <v>612037.06456812075</v>
      </c>
      <c r="G49" s="23">
        <f t="shared" si="4"/>
        <v>53.307515478038354</v>
      </c>
      <c r="H49" s="47">
        <f>('SEM IMPREVISTOS'!$B$19/CÁLCULO_MÉDIAS!F$4)*G49</f>
        <v>58.176271465993253</v>
      </c>
      <c r="S49" s="206">
        <f>[4]Maiori!$G$361-[4]Maiori!$G$363-[4]Maiori!$G$397-[4]Maiori!$G$398</f>
        <v>551800.77999999956</v>
      </c>
      <c r="T49" s="47">
        <f>('SEM IMPREVISTOS'!$B$19/CÁLCULO_MÉDIAS!T$4)*S49</f>
        <v>589277.60942297708</v>
      </c>
      <c r="U49" s="208">
        <f t="shared" si="5"/>
        <v>65.953598278850123</v>
      </c>
      <c r="V49" s="47">
        <f>('SEM IMPREVISTOS'!$B$19/CÁLCULO_MÉDIAS!T$4)*U49</f>
        <v>70.432989831228952</v>
      </c>
      <c r="X49" s="206">
        <f>-[4]Ravello!$G$338-[4]Ravello!$G$323+[4]Ravello!$G$321</f>
        <v>663602.6331199999</v>
      </c>
      <c r="Y49" s="47">
        <f>('SEM IMPREVISTOS'!$B$19/CÁLCULO_MÉDIAS!V$4)*X49</f>
        <v>707200.64314234839</v>
      </c>
      <c r="Z49" s="208">
        <f t="shared" si="6"/>
        <v>49.396181943370273</v>
      </c>
      <c r="AA49" s="47">
        <f>('SEM IMPREVISTOS'!$B$19/CÁLCULO_MÉDIAS!V$4)*Z49</f>
        <v>52.641460258960343</v>
      </c>
      <c r="AC49" s="206"/>
      <c r="AD49" s="47">
        <f>('SEM IMPREVISTOS'!$B$19/CÁLCULO_MÉDIAS!H$4)*AC49</f>
        <v>0</v>
      </c>
      <c r="AE49" s="207">
        <f t="shared" si="7"/>
        <v>0</v>
      </c>
      <c r="AF49" s="209">
        <f>('SEM IMPREVISTOS'!$B$19/CÁLCULO_MÉDIAS!H$4)*AE49</f>
        <v>0</v>
      </c>
    </row>
    <row r="50" spans="2:32" ht="19.5" x14ac:dyDescent="0.25">
      <c r="B50" s="148" t="s">
        <v>18</v>
      </c>
      <c r="C50" s="13"/>
      <c r="D50" s="47">
        <f>('SEM IMPREVISTOS'!$B$19/CÁLCULO_MÉDIAS!D$4)*C50</f>
        <v>0</v>
      </c>
      <c r="E50" s="206">
        <v>576713.47199999995</v>
      </c>
      <c r="F50" s="47">
        <f>('SEM IMPREVISTOS'!$B$19/CÁLCULO_MÉDIAS!F$4)*E50</f>
        <v>629386.66723250051</v>
      </c>
      <c r="G50" s="23">
        <f t="shared" si="4"/>
        <v>54.818639993384274</v>
      </c>
      <c r="H50" s="47">
        <f>('SEM IMPREVISTOS'!$B$19/CÁLCULO_MÉDIAS!F$4)*G50</f>
        <v>59.825412102830839</v>
      </c>
      <c r="S50" s="206">
        <f>[4]Maiori!$G$399</f>
        <v>521150.22353999998</v>
      </c>
      <c r="T50" s="47">
        <f>('SEM IMPREVISTOS'!$B$19/CÁLCULO_MÉDIAS!T$4)*S50</f>
        <v>556545.34935217293</v>
      </c>
      <c r="U50" s="208">
        <f t="shared" si="5"/>
        <v>62.29011217833024</v>
      </c>
      <c r="V50" s="47">
        <f>('SEM IMPREVISTOS'!$B$19/CÁLCULO_MÉDIAS!T$4)*U50</f>
        <v>66.520689577741351</v>
      </c>
      <c r="X50" s="206">
        <f>[4]Ravello!$G$342</f>
        <v>809396.43105100002</v>
      </c>
      <c r="Y50" s="47">
        <f>('SEM IMPREVISTOS'!$B$19/CÁLCULO_MÉDIAS!V$4)*X50</f>
        <v>862572.94354779937</v>
      </c>
      <c r="Z50" s="208">
        <f t="shared" si="6"/>
        <v>60.248545405153529</v>
      </c>
      <c r="AA50" s="47">
        <f>('SEM IMPREVISTOS'!$B$19/CÁLCULO_MÉDIAS!V$4)*Z50</f>
        <v>64.206812831031584</v>
      </c>
      <c r="AC50" s="206">
        <v>788306.73</v>
      </c>
      <c r="AD50" s="47">
        <f>('SEM IMPREVISTOS'!$B$19/CÁLCULO_MÉDIAS!H$4)*AC50</f>
        <v>862904.81654515001</v>
      </c>
      <c r="AE50" s="207">
        <f t="shared" si="7"/>
        <v>48.220082456065228</v>
      </c>
      <c r="AF50" s="209">
        <f>('SEM IMPREVISTOS'!$B$19/CÁLCULO_MÉDIAS!H$4)*AE50</f>
        <v>52.783186825695338</v>
      </c>
    </row>
    <row r="51" spans="2:32" ht="19.5" x14ac:dyDescent="0.25">
      <c r="B51" s="149" t="s">
        <v>56</v>
      </c>
      <c r="C51" s="13"/>
      <c r="D51" s="47">
        <f>('SEM IMPREVISTOS'!$B$19/CÁLCULO_MÉDIAS!D$4)*C51</f>
        <v>0</v>
      </c>
      <c r="E51" s="206">
        <v>497209.33880000061</v>
      </c>
      <c r="F51" s="47">
        <f>('SEM IMPREVISTOS'!$B$19/CÁLCULO_MÉDIAS!F$4)*E51</f>
        <v>542621.15219706122</v>
      </c>
      <c r="G51" s="23">
        <f t="shared" si="4"/>
        <v>47.261493043508906</v>
      </c>
      <c r="H51" s="47">
        <f>('SEM IMPREVISTOS'!$B$19/CÁLCULO_MÉDIAS!F$4)*G51</f>
        <v>51.578045319333341</v>
      </c>
      <c r="S51" s="206">
        <f>[4]Maiori!$G$410</f>
        <v>1401587.01</v>
      </c>
      <c r="T51" s="47">
        <f>('SEM IMPREVISTOS'!$B$19/CÁLCULO_MÉDIAS!T$4)*S51</f>
        <v>1496779.0416155246</v>
      </c>
      <c r="U51" s="208">
        <f t="shared" si="5"/>
        <v>167.52369688639217</v>
      </c>
      <c r="V51" s="47">
        <f>('SEM IMPREVISTOS'!$B$19/CÁLCULO_MÉDIAS!T$4)*U51</f>
        <v>178.90145719422992</v>
      </c>
      <c r="X51" s="206">
        <f>[4]Ravello!$G$358</f>
        <v>2058399.981192</v>
      </c>
      <c r="Y51" s="47">
        <f>('SEM IMPREVISTOS'!$B$19/CÁLCULO_MÉDIAS!V$4)*X51</f>
        <v>2193634.7414702685</v>
      </c>
      <c r="Z51" s="208">
        <f t="shared" si="6"/>
        <v>153.21985614364434</v>
      </c>
      <c r="AA51" s="47">
        <f>('SEM IMPREVISTOS'!$B$19/CÁLCULO_MÉDIAS!V$4)*Z51</f>
        <v>163.28624299983611</v>
      </c>
      <c r="AC51" s="206"/>
      <c r="AD51" s="47">
        <f>('SEM IMPREVISTOS'!$B$19/CÁLCULO_MÉDIAS!H$4)*AC51</f>
        <v>0</v>
      </c>
      <c r="AE51" s="207">
        <f t="shared" si="7"/>
        <v>0</v>
      </c>
      <c r="AF51" s="209">
        <f>('SEM IMPREVISTOS'!$B$19/CÁLCULO_MÉDIAS!H$4)*AE51</f>
        <v>0</v>
      </c>
    </row>
    <row r="52" spans="2:32" ht="19.5" x14ac:dyDescent="0.25">
      <c r="B52" s="148" t="s">
        <v>109</v>
      </c>
      <c r="C52" s="13"/>
      <c r="D52" s="47">
        <f>('SEM IMPREVISTOS'!$B$19/CÁLCULO_MÉDIAS!D$4)*C52</f>
        <v>0</v>
      </c>
      <c r="E52" s="206">
        <v>1319055.8041000001</v>
      </c>
      <c r="F52" s="47">
        <f>('SEM IMPREVISTOS'!$B$19/CÁLCULO_MÉDIAS!F$4)*E52</f>
        <v>1439529.6394882642</v>
      </c>
      <c r="G52" s="23">
        <f t="shared" si="4"/>
        <v>125.3808845584622</v>
      </c>
      <c r="H52" s="47">
        <f>('SEM IMPREVISTOS'!$B$19/CÁLCULO_MÉDIAS!F$4)*G52</f>
        <v>136.83234552029577</v>
      </c>
      <c r="S52" s="206">
        <f>[4]Maiori!$G$466+[4]Maiori!$G$567+[4]Maiori!$G$577</f>
        <v>1170474.0213890001</v>
      </c>
      <c r="T52" s="47">
        <f>('SEM IMPREVISTOS'!$B$19/CÁLCULO_MÉDIAS!T$4)*S52</f>
        <v>1249969.4785060091</v>
      </c>
      <c r="U52" s="208">
        <f t="shared" si="5"/>
        <v>139.90008024729579</v>
      </c>
      <c r="V52" s="47">
        <f>('SEM IMPREVISTOS'!$B$19/CÁLCULO_MÉDIAS!T$4)*U52</f>
        <v>149.40171858076965</v>
      </c>
      <c r="X52" s="206">
        <f>[4]Ravello!$G$400+[4]Ravello!$G$497+[4]Ravello!$G$508</f>
        <v>2832640.3374439999</v>
      </c>
      <c r="Y52" s="47">
        <f>('SEM IMPREVISTOS'!$B$19/CÁLCULO_MÉDIAS!V$4)*X52</f>
        <v>3018741.8922870774</v>
      </c>
      <c r="Z52" s="208">
        <f t="shared" si="6"/>
        <v>210.8515103845458</v>
      </c>
      <c r="AA52" s="47">
        <f>('SEM IMPREVISTOS'!$B$19/CÁLCULO_MÉDIAS!V$4)*Z52</f>
        <v>224.70423761040422</v>
      </c>
      <c r="AC52" s="206"/>
      <c r="AD52" s="47">
        <f>('SEM IMPREVISTOS'!$B$19/CÁLCULO_MÉDIAS!H$4)*AC52</f>
        <v>0</v>
      </c>
      <c r="AE52" s="207">
        <f t="shared" si="7"/>
        <v>0</v>
      </c>
      <c r="AF52" s="209">
        <f>('SEM IMPREVISTOS'!$B$19/CÁLCULO_MÉDIAS!H$4)*AE52</f>
        <v>0</v>
      </c>
    </row>
    <row r="53" spans="2:32" ht="19.5" x14ac:dyDescent="0.25">
      <c r="B53" s="149" t="s">
        <v>10</v>
      </c>
      <c r="C53" s="13"/>
      <c r="D53" s="47">
        <f>('SEM IMPREVISTOS'!$B$19/CÁLCULO_MÉDIAS!D$4)*C53</f>
        <v>0</v>
      </c>
      <c r="E53" s="206">
        <v>2169493.2952740001</v>
      </c>
      <c r="F53" s="47">
        <f>('SEM IMPREVISTOS'!$B$19/CÁLCULO_MÉDIAS!F$4)*E53</f>
        <v>2367640.4679094409</v>
      </c>
      <c r="G53" s="23">
        <f t="shared" si="4"/>
        <v>206.21795344792352</v>
      </c>
      <c r="H53" s="47">
        <f>('SEM IMPREVISTOS'!$B$19/CÁLCULO_MÉDIAS!F$4)*G53</f>
        <v>225.05253777753876</v>
      </c>
      <c r="S53" s="206">
        <f>[4]Maiori!$G$495</f>
        <v>1997279.429</v>
      </c>
      <c r="T53" s="47">
        <f>('SEM IMPREVISTOS'!$B$19/CÁLCULO_MÉDIAS!T$4)*S53</f>
        <v>2132929.2924718405</v>
      </c>
      <c r="U53" s="208">
        <f t="shared" si="5"/>
        <v>238.72341229904978</v>
      </c>
      <c r="V53" s="47">
        <f>('SEM IMPREVISTOS'!$B$19/CÁLCULO_MÉDIAS!T$4)*U53</f>
        <v>254.93686636847431</v>
      </c>
      <c r="X53" s="206">
        <f>[4]Ravello!$G$430</f>
        <v>3319300.574</v>
      </c>
      <c r="Y53" s="47">
        <f>('SEM IMPREVISTOS'!$B$19/CÁLCULO_MÉDIAS!V$4)*X53</f>
        <v>3537375.2055186341</v>
      </c>
      <c r="Z53" s="208">
        <f t="shared" si="6"/>
        <v>247.07673974582951</v>
      </c>
      <c r="AA53" s="47">
        <f>('SEM IMPREVISTOS'!$B$19/CÁLCULO_MÉDIAS!V$4)*Z53</f>
        <v>263.30942725805636</v>
      </c>
      <c r="AC53" s="206">
        <v>4078319.76</v>
      </c>
      <c r="AD53" s="47">
        <f>('SEM IMPREVISTOS'!$B$19/CÁLCULO_MÉDIAS!H$4)*AC53</f>
        <v>4464254.3700156668</v>
      </c>
      <c r="AE53" s="207">
        <f t="shared" si="7"/>
        <v>249.46750753910237</v>
      </c>
      <c r="AF53" s="209">
        <f>('SEM IMPREVISTOS'!$B$19/CÁLCULO_MÉDIAS!H$4)*AE53</f>
        <v>273.07481419955019</v>
      </c>
    </row>
    <row r="54" spans="2:32" ht="19.5" x14ac:dyDescent="0.25">
      <c r="B54" s="148" t="s">
        <v>11</v>
      </c>
      <c r="C54" s="13"/>
      <c r="D54" s="47">
        <f>('SEM IMPREVISTOS'!$B$19/CÁLCULO_MÉDIAS!D$4)*C54</f>
        <v>0</v>
      </c>
      <c r="E54" s="206">
        <v>403643.34289999993</v>
      </c>
      <c r="F54" s="47">
        <f>('SEM IMPREVISTOS'!$B$19/CÁLCULO_MÉDIAS!F$4)*E54</f>
        <v>440509.45690135774</v>
      </c>
      <c r="G54" s="23">
        <f t="shared" si="4"/>
        <v>38.367716681605906</v>
      </c>
      <c r="H54" s="47">
        <f>('SEM IMPREVISTOS'!$B$19/CÁLCULO_MÉDIAS!F$4)*G54</f>
        <v>41.87197023127068</v>
      </c>
      <c r="S54" s="206">
        <f>[4]Maiori!$G$570+[4]Maiori!$G$573</f>
        <v>312210.93999999994</v>
      </c>
      <c r="T54" s="47">
        <f>('SEM IMPREVISTOS'!$B$19/CÁLCULO_MÉDIAS!T$4)*S54</f>
        <v>333415.46990727459</v>
      </c>
      <c r="U54" s="208">
        <f t="shared" si="5"/>
        <v>37.316791967967482</v>
      </c>
      <c r="V54" s="47">
        <f>('SEM IMPREVISTOS'!$B$19/CÁLCULO_MÉDIAS!T$4)*U54</f>
        <v>39.851248420160708</v>
      </c>
      <c r="X54" s="206">
        <f>[4]Ravello!$G$504</f>
        <v>6215</v>
      </c>
      <c r="Y54" s="47">
        <f>('SEM IMPREVISTOS'!$B$19/CÁLCULO_MÉDIAS!V$4)*X54</f>
        <v>6623.3191035800155</v>
      </c>
      <c r="Z54" s="208">
        <f t="shared" si="6"/>
        <v>0.46262214080535702</v>
      </c>
      <c r="AA54" s="47">
        <f>('SEM IMPREVISTOS'!$B$19/CÁLCULO_MÉDIAS!V$4)*Z54</f>
        <v>0.49301593932988014</v>
      </c>
      <c r="AC54" s="206"/>
      <c r="AD54" s="47">
        <f>('SEM IMPREVISTOS'!$B$19/CÁLCULO_MÉDIAS!H$4)*AC54</f>
        <v>0</v>
      </c>
      <c r="AE54" s="207">
        <f t="shared" si="7"/>
        <v>0</v>
      </c>
      <c r="AF54" s="209">
        <f>('SEM IMPREVISTOS'!$B$19/CÁLCULO_MÉDIAS!H$4)*AE54</f>
        <v>0</v>
      </c>
    </row>
    <row r="55" spans="2:32" ht="20.25" thickBot="1" x14ac:dyDescent="0.3">
      <c r="B55" s="150" t="s">
        <v>12</v>
      </c>
      <c r="C55" s="23"/>
      <c r="D55" s="47">
        <f>('SEM IMPREVISTOS'!$B$19/CÁLCULO_MÉDIAS!D$4)*C55</f>
        <v>0</v>
      </c>
      <c r="E55" s="206">
        <v>1940397.62</v>
      </c>
      <c r="F55" s="47">
        <f>('SEM IMPREVISTOS'!$B$19/CÁLCULO_MÉDIAS!F$4)*E55</f>
        <v>2117620.7084645252</v>
      </c>
      <c r="G55" s="23">
        <f t="shared" si="4"/>
        <v>184.44160530170461</v>
      </c>
      <c r="H55" s="47">
        <f>('SEM IMPREVISTOS'!$B$19/CÁLCULO_MÉDIAS!F$4)*G55</f>
        <v>201.28728197952029</v>
      </c>
      <c r="S55" s="206">
        <f>[4]Maiori!$G$580</f>
        <v>1415604.0099999998</v>
      </c>
      <c r="T55" s="47">
        <f>('SEM IMPREVISTOS'!$B$19/CÁLCULO_MÉDIAS!T$4)*S55</f>
        <v>1511748.0386714579</v>
      </c>
      <c r="U55" s="208">
        <f t="shared" si="5"/>
        <v>169.19906890575507</v>
      </c>
      <c r="V55" s="47">
        <f>('SEM IMPREVISTOS'!$B$19/CÁLCULO_MÉDIAS!T$4)*U55</f>
        <v>180.69061598893899</v>
      </c>
      <c r="X55" s="206">
        <f>[4]Ravello!$G$511</f>
        <v>2381941.02</v>
      </c>
      <c r="Y55" s="47">
        <f>('SEM IMPREVISTOS'!$B$19/CÁLCULO_MÉDIAS!V$4)*X55</f>
        <v>2538432.0935425372</v>
      </c>
      <c r="Z55" s="208">
        <f t="shared" si="6"/>
        <v>177.30308188970164</v>
      </c>
      <c r="AA55" s="47">
        <f>('SEM IMPREVISTOS'!$B$19/CÁLCULO_MÉDIAS!V$4)*Z55</f>
        <v>188.95171189117823</v>
      </c>
      <c r="AC55" s="206">
        <v>1738475.65</v>
      </c>
      <c r="AD55" s="47">
        <f>('SEM IMPREVISTOS'!$B$19/CÁLCULO_MÉDIAS!H$4)*AC55</f>
        <v>1902988.9695746482</v>
      </c>
      <c r="AE55" s="207">
        <f t="shared" si="7"/>
        <v>106.34114361913616</v>
      </c>
      <c r="AF55" s="209">
        <f>('SEM IMPREVISTOS'!$B$19/CÁLCULO_MÉDIAS!H$4)*AE55</f>
        <v>116.40428976912595</v>
      </c>
    </row>
    <row r="58" spans="2:32" x14ac:dyDescent="0.25">
      <c r="E58" s="206">
        <f>[8]ORÇAMENTO_EXECUTIVO!$G$1392+[8]ORÇAMENTO_EXECUTIVO!$G$1402+[8]ORÇAMENTO_EXECUTIVO!$G$1407+[8]ORÇAMENTO_EXECUTIVO!$G$1417+[8]ORÇAMENTO_EXECUTIVO!$G$1422+[8]ORÇAMENTO_EXECUTIVO!$G$1431+[8]ORÇAMENTO_EXECUTIVO!$G$1435+[8]ORÇAMENTO_EXECUTIVO!$G$1445+[8]ORÇAMENTO_EXECUTIVO!$G$1450+[8]ORÇAMENTO_EXECUTIVO!$G$1459+[8]ORÇAMENTO_EXECUTIVO!$G$1463+[8]ORÇAMENTO_EXECUTIVO!$G$1472</f>
        <v>679883.53899999999</v>
      </c>
    </row>
    <row r="61" spans="2:32" x14ac:dyDescent="0.25">
      <c r="E61" s="206"/>
    </row>
  </sheetData>
  <mergeCells count="15">
    <mergeCell ref="E38:H38"/>
    <mergeCell ref="S38:V38"/>
    <mergeCell ref="X38:AA38"/>
    <mergeCell ref="AC38:AF38"/>
    <mergeCell ref="C8:D8"/>
    <mergeCell ref="E8:F8"/>
    <mergeCell ref="G8:H8"/>
    <mergeCell ref="X8:Y8"/>
    <mergeCell ref="I8:J8"/>
    <mergeCell ref="S8:T8"/>
    <mergeCell ref="K8:L8"/>
    <mergeCell ref="M8:N8"/>
    <mergeCell ref="O8:P8"/>
    <mergeCell ref="Q8:R8"/>
    <mergeCell ref="U8:V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N1000"/>
  <sheetViews>
    <sheetView zoomScale="85" zoomScaleNormal="85" workbookViewId="0">
      <selection activeCell="B27" sqref="B27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8.5703125" style="18" customWidth="1"/>
    <col min="4" max="4" width="17.85546875" style="18" customWidth="1"/>
    <col min="5" max="5" width="17.7109375" customWidth="1"/>
    <col min="6" max="14" width="9.140625" customWidth="1"/>
  </cols>
  <sheetData>
    <row r="1" spans="1:14" ht="15" customHeight="1" x14ac:dyDescent="0.25">
      <c r="A1" s="41" t="s">
        <v>0</v>
      </c>
      <c r="B1" s="42" t="s">
        <v>14</v>
      </c>
      <c r="C1" s="42" t="s">
        <v>15</v>
      </c>
      <c r="D1" s="42" t="s">
        <v>1</v>
      </c>
    </row>
    <row r="2" spans="1:14" ht="22.5" customHeight="1" x14ac:dyDescent="0.25">
      <c r="A2" s="100" t="s">
        <v>16</v>
      </c>
      <c r="B2" s="105">
        <f>'GER_EXECUTIVO CART'!B2</f>
        <v>7713624.6351084877</v>
      </c>
      <c r="C2" s="40">
        <f>B2/B$19</f>
        <v>0.14896046607217581</v>
      </c>
      <c r="D2" s="85">
        <f>B2/$B$23</f>
        <v>972.88117950978835</v>
      </c>
      <c r="E2" s="136">
        <f>B2/'SEM IMPREVISTOS'!$G$2</f>
        <v>494.37279952755347</v>
      </c>
      <c r="F2" s="6"/>
      <c r="G2" s="6"/>
      <c r="H2" s="6"/>
      <c r="I2" s="6"/>
      <c r="J2" s="6"/>
      <c r="K2" s="6"/>
    </row>
    <row r="3" spans="1:14" ht="15" customHeight="1" x14ac:dyDescent="0.25">
      <c r="A3" s="101" t="s">
        <v>2</v>
      </c>
      <c r="B3" s="106">
        <f>'GER_EXECUTIVO CART'!B3</f>
        <v>1415598.7796026384</v>
      </c>
      <c r="C3" s="7">
        <f>B3/B$19</f>
        <v>2.7337116330634948E-2</v>
      </c>
      <c r="D3" s="86">
        <f>B3/$B$23</f>
        <v>178.5424460692677</v>
      </c>
      <c r="E3" s="136">
        <f>B3/'SEM IMPREVISTOS'!$G$2</f>
        <v>90.726936399608945</v>
      </c>
      <c r="F3" s="6"/>
      <c r="G3" s="6"/>
      <c r="H3" s="6"/>
      <c r="I3" s="6"/>
      <c r="J3" s="6"/>
      <c r="K3" s="6"/>
    </row>
    <row r="4" spans="1:14" ht="19.5" customHeight="1" x14ac:dyDescent="0.25">
      <c r="A4" s="100" t="s">
        <v>3</v>
      </c>
      <c r="B4" s="105">
        <f>'GER_EXECUTIVO CART'!B4</f>
        <v>2368306.5077723023</v>
      </c>
      <c r="C4" s="40">
        <f>B4/B$19</f>
        <v>4.5735183897053534E-2</v>
      </c>
      <c r="D4" s="85">
        <f>B4/$B$23</f>
        <v>298.7027419295494</v>
      </c>
      <c r="E4" s="136">
        <f>B4/'SEM IMPREVISTOS'!$G$2</f>
        <v>151.78678945015187</v>
      </c>
      <c r="F4" s="6"/>
      <c r="G4" s="6"/>
      <c r="H4" s="6"/>
      <c r="I4" s="6"/>
      <c r="J4" s="6"/>
      <c r="K4" s="6"/>
    </row>
    <row r="5" spans="1:14" ht="15" customHeight="1" x14ac:dyDescent="0.25">
      <c r="A5" s="101" t="s">
        <v>105</v>
      </c>
      <c r="B5" s="106">
        <v>0</v>
      </c>
      <c r="C5" s="7">
        <f t="shared" ref="C5:C18" si="0">B5/B$19</f>
        <v>0</v>
      </c>
      <c r="D5" s="86">
        <f t="shared" ref="D5:D18" si="1">B5/$B$23</f>
        <v>0</v>
      </c>
      <c r="E5" s="136">
        <f>B5/'SEM IMPREVISTOS'!$G$2</f>
        <v>0</v>
      </c>
      <c r="F5" s="6"/>
      <c r="G5" s="6"/>
      <c r="H5" s="6"/>
      <c r="I5" s="6"/>
      <c r="J5" s="6"/>
      <c r="K5" s="6"/>
    </row>
    <row r="6" spans="1:14" ht="19.5" customHeight="1" x14ac:dyDescent="0.25">
      <c r="A6" s="100" t="s">
        <v>4</v>
      </c>
      <c r="B6" s="105">
        <f>'GER_EXECUTIVO CART'!B5</f>
        <v>16381440.29243104</v>
      </c>
      <c r="C6" s="40">
        <f t="shared" si="0"/>
        <v>0.31634764411371019</v>
      </c>
      <c r="D6" s="85">
        <f t="shared" si="1"/>
        <v>2066.1097353935911</v>
      </c>
      <c r="E6" s="136">
        <f>B6/'SEM IMPREVISTOS'!$G$2</f>
        <v>1049.9005176894632</v>
      </c>
      <c r="F6" s="6"/>
      <c r="G6" s="6"/>
      <c r="H6" s="6"/>
      <c r="I6" s="6"/>
      <c r="J6" s="6"/>
      <c r="K6" s="6"/>
    </row>
    <row r="7" spans="1:14" ht="15" customHeight="1" x14ac:dyDescent="0.25">
      <c r="A7" s="101" t="s">
        <v>37</v>
      </c>
      <c r="B7" s="106">
        <f>'GER_EXECUTIVO CART'!B6</f>
        <v>3110673.7711449144</v>
      </c>
      <c r="C7" s="7">
        <f t="shared" si="0"/>
        <v>6.0071294192775064E-2</v>
      </c>
      <c r="D7" s="86">
        <f t="shared" si="1"/>
        <v>392.33383923912737</v>
      </c>
      <c r="E7" s="136">
        <f>B7/'SEM IMPREVISTOS'!$G$2</f>
        <v>199.36574222945899</v>
      </c>
      <c r="F7" s="6"/>
      <c r="G7" s="6"/>
      <c r="H7" s="6"/>
      <c r="I7" s="6"/>
      <c r="J7" s="6"/>
      <c r="K7" s="6"/>
    </row>
    <row r="8" spans="1:14" ht="19.5" customHeight="1" x14ac:dyDescent="0.25">
      <c r="A8" s="100" t="s">
        <v>6</v>
      </c>
      <c r="B8" s="105">
        <f>'GER_EXECUTIVO CART'!B7+'GER_EXECUTIVO CART'!B15</f>
        <v>6469375.6182627501</v>
      </c>
      <c r="C8" s="40">
        <f t="shared" si="0"/>
        <v>0.1249323441156579</v>
      </c>
      <c r="D8" s="85">
        <f t="shared" si="1"/>
        <v>815.95022831945334</v>
      </c>
      <c r="E8" s="136">
        <f>B8/'SEM IMPREVISTOS'!$G$2</f>
        <v>414.62781596072193</v>
      </c>
      <c r="F8" s="6"/>
      <c r="G8" s="6"/>
      <c r="H8" s="6"/>
      <c r="I8" s="6"/>
      <c r="J8" s="6"/>
      <c r="K8" s="6"/>
      <c r="L8" s="6"/>
      <c r="M8" s="6"/>
      <c r="N8" s="6"/>
    </row>
    <row r="9" spans="1:14" ht="19.5" customHeight="1" x14ac:dyDescent="0.25">
      <c r="A9" s="101" t="s">
        <v>20</v>
      </c>
      <c r="B9" s="106">
        <f>'GER_EXECUTIVO CART'!B8</f>
        <v>2701000.7036312595</v>
      </c>
      <c r="C9" s="7">
        <f t="shared" si="0"/>
        <v>5.215995627307686E-2</v>
      </c>
      <c r="D9" s="86">
        <f t="shared" si="1"/>
        <v>340.66380913135919</v>
      </c>
      <c r="E9" s="136">
        <f>B9/'SEM IMPREVISTOS'!$G$2</f>
        <v>173.10944498160654</v>
      </c>
      <c r="F9" s="6"/>
      <c r="G9" s="6"/>
      <c r="H9" s="6"/>
      <c r="I9" s="6"/>
      <c r="J9" s="6"/>
      <c r="K9" s="6"/>
      <c r="L9" s="6"/>
      <c r="M9" s="6"/>
      <c r="N9" s="6"/>
    </row>
    <row r="10" spans="1:14" ht="19.5" customHeight="1" x14ac:dyDescent="0.25">
      <c r="A10" s="100" t="s">
        <v>7</v>
      </c>
      <c r="B10" s="105">
        <f>'GER_EXECUTIVO CART'!B9</f>
        <v>820493.65955901972</v>
      </c>
      <c r="C10" s="40">
        <f t="shared" si="0"/>
        <v>1.5844836081456242E-2</v>
      </c>
      <c r="D10" s="85">
        <f t="shared" si="1"/>
        <v>103.48479178762307</v>
      </c>
      <c r="E10" s="136">
        <f>B10/'SEM IMPREVISTOS'!$G$2</f>
        <v>52.586140324300992</v>
      </c>
      <c r="F10" s="6"/>
      <c r="G10" s="6"/>
      <c r="H10" s="6"/>
      <c r="I10" s="6"/>
      <c r="J10" s="6"/>
      <c r="K10" s="6"/>
      <c r="L10" s="6"/>
      <c r="M10" s="6"/>
      <c r="N10" s="6"/>
    </row>
    <row r="11" spans="1:14" ht="19.5" customHeight="1" x14ac:dyDescent="0.25">
      <c r="A11" s="101" t="s">
        <v>17</v>
      </c>
      <c r="B11" s="106">
        <f>'GER_EXECUTIVO CART'!B67+'GER_EXECUTIVO CART'!B72</f>
        <v>0</v>
      </c>
      <c r="C11" s="7">
        <f t="shared" si="0"/>
        <v>0</v>
      </c>
      <c r="D11" s="86">
        <f t="shared" si="1"/>
        <v>0</v>
      </c>
      <c r="E11" s="136">
        <f>B11/'SEM IMPREVISTOS'!$G$2</f>
        <v>0</v>
      </c>
      <c r="F11" s="6"/>
      <c r="G11" s="6"/>
      <c r="H11" s="6"/>
      <c r="I11" s="6"/>
      <c r="J11" s="6"/>
      <c r="K11" s="6"/>
      <c r="L11" s="6"/>
      <c r="M11" s="6"/>
      <c r="N11" s="6"/>
    </row>
    <row r="12" spans="1:14" ht="19.5" customHeight="1" x14ac:dyDescent="0.25">
      <c r="A12" s="100" t="s">
        <v>18</v>
      </c>
      <c r="B12" s="105">
        <f>'GER_EXECUTIVO CART'!B11</f>
        <v>1688185.9781622028</v>
      </c>
      <c r="C12" s="40">
        <f t="shared" si="0"/>
        <v>3.2601141748455964E-2</v>
      </c>
      <c r="D12" s="85">
        <f t="shared" si="1"/>
        <v>212.92251611401235</v>
      </c>
      <c r="E12" s="136">
        <f>B12/'SEM IMPREVISTOS'!$G$2</f>
        <v>108.19728307086223</v>
      </c>
      <c r="F12" s="6"/>
      <c r="G12" s="6"/>
      <c r="H12" s="6"/>
      <c r="I12" s="6"/>
      <c r="J12" s="6"/>
      <c r="K12" s="6"/>
      <c r="L12" s="6"/>
      <c r="M12" s="6"/>
      <c r="N12" s="6"/>
    </row>
    <row r="13" spans="1:14" ht="19.5" customHeight="1" x14ac:dyDescent="0.25">
      <c r="A13" s="101" t="s">
        <v>8</v>
      </c>
      <c r="B13" s="106">
        <f>'GER_EXECUTIVO CART'!B69+'GER_EXECUTIVO CART'!B73</f>
        <v>0</v>
      </c>
      <c r="C13" s="7">
        <f t="shared" si="0"/>
        <v>0</v>
      </c>
      <c r="D13" s="86">
        <f t="shared" si="1"/>
        <v>0</v>
      </c>
      <c r="E13" s="136">
        <f>B13/'SEM IMPREVISTOS'!$G$2</f>
        <v>0</v>
      </c>
      <c r="F13" s="6"/>
      <c r="G13" s="6"/>
      <c r="H13" s="6"/>
      <c r="I13" s="6"/>
      <c r="J13" s="6"/>
      <c r="K13" s="6"/>
      <c r="L13" s="6"/>
      <c r="M13" s="6"/>
      <c r="N13" s="6"/>
    </row>
    <row r="14" spans="1:14" ht="19.5" customHeight="1" x14ac:dyDescent="0.25">
      <c r="A14" s="100" t="s">
        <v>9</v>
      </c>
      <c r="B14" s="105">
        <f>'GER_EXECUTIVO CART'!B75</f>
        <v>0</v>
      </c>
      <c r="C14" s="40">
        <f t="shared" si="0"/>
        <v>0</v>
      </c>
      <c r="D14" s="85">
        <f t="shared" si="1"/>
        <v>0</v>
      </c>
      <c r="E14" s="136">
        <f>B14/'SEM IMPREVISTOS'!$G$2</f>
        <v>0</v>
      </c>
      <c r="F14" s="6"/>
      <c r="G14" s="6"/>
      <c r="H14" s="6"/>
      <c r="I14" s="6"/>
      <c r="J14" s="6"/>
      <c r="K14" s="6"/>
      <c r="L14" s="6"/>
      <c r="M14" s="6"/>
      <c r="N14" s="6"/>
    </row>
    <row r="15" spans="1:14" ht="19.5" customHeight="1" x14ac:dyDescent="0.25">
      <c r="A15" s="101" t="s">
        <v>10</v>
      </c>
      <c r="B15" s="106">
        <f>'GER_EXECUTIVO CART'!B14</f>
        <v>5085026.2833178537</v>
      </c>
      <c r="C15" s="7">
        <f t="shared" si="0"/>
        <v>9.819869659001601E-2</v>
      </c>
      <c r="D15" s="86">
        <f t="shared" si="1"/>
        <v>641.34911956121778</v>
      </c>
      <c r="E15" s="136">
        <f>B15/'SEM IMPREVISTOS'!$G$2</f>
        <v>325.9036831936379</v>
      </c>
      <c r="F15" s="6"/>
      <c r="G15" s="6"/>
      <c r="H15" s="6"/>
      <c r="I15" s="6"/>
      <c r="J15" s="6"/>
      <c r="K15" s="6"/>
      <c r="L15" s="6"/>
      <c r="M15" s="6"/>
      <c r="N15" s="6"/>
    </row>
    <row r="16" spans="1:14" ht="19.5" customHeight="1" x14ac:dyDescent="0.25">
      <c r="A16" s="100" t="s">
        <v>11</v>
      </c>
      <c r="B16" s="105">
        <f>'GER_EXECUTIVO CART'!B68+'GER_EXECUTIVO CART'!B76</f>
        <v>0</v>
      </c>
      <c r="C16" s="40">
        <f t="shared" si="0"/>
        <v>0</v>
      </c>
      <c r="D16" s="85">
        <f t="shared" si="1"/>
        <v>0</v>
      </c>
      <c r="E16" s="136">
        <f>B16/'SEM IMPREVISTOS'!$G$2</f>
        <v>0</v>
      </c>
      <c r="F16" s="6"/>
      <c r="G16" s="6"/>
      <c r="H16" s="6"/>
      <c r="I16" s="6"/>
      <c r="J16" s="6"/>
      <c r="K16" s="6"/>
      <c r="L16" s="6"/>
      <c r="M16" s="6"/>
      <c r="N16" s="6"/>
    </row>
    <row r="17" spans="1:14" ht="19.5" customHeight="1" x14ac:dyDescent="0.25">
      <c r="A17" s="101" t="s">
        <v>12</v>
      </c>
      <c r="B17" s="106">
        <f>'GER_EXECUTIVO CART'!B17</f>
        <v>2521062.4708991088</v>
      </c>
      <c r="C17" s="7">
        <f t="shared" si="0"/>
        <v>4.8685106992754343E-2</v>
      </c>
      <c r="D17" s="86">
        <f t="shared" si="1"/>
        <v>317.96909317349622</v>
      </c>
      <c r="E17" s="136">
        <f>B17/'SEM IMPREVISTOS'!$G$2</f>
        <v>161.57704976328739</v>
      </c>
      <c r="F17" s="6"/>
      <c r="G17" s="6"/>
      <c r="H17" s="6"/>
      <c r="I17" s="6"/>
      <c r="J17" s="6"/>
      <c r="K17" s="6"/>
      <c r="L17" s="6"/>
      <c r="M17" s="6"/>
      <c r="N17" s="6"/>
    </row>
    <row r="18" spans="1:14" ht="19.5" customHeight="1" x14ac:dyDescent="0.25">
      <c r="A18" s="100" t="s">
        <v>74</v>
      </c>
      <c r="B18" s="105">
        <f>SUM(B2:B17)*0.03</f>
        <v>1508243.6609967474</v>
      </c>
      <c r="C18" s="40">
        <f t="shared" si="0"/>
        <v>2.9126213592233007E-2</v>
      </c>
      <c r="D18" s="85">
        <f t="shared" si="1"/>
        <v>190.22728500685457</v>
      </c>
      <c r="E18" s="136">
        <f>B18/'SEM IMPREVISTOS'!$G$2</f>
        <v>96.664626077719603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ht="19.5" customHeight="1" x14ac:dyDescent="0.25">
      <c r="A19" s="41" t="s">
        <v>13</v>
      </c>
      <c r="B19" s="79">
        <f>SUM(B2:B18)</f>
        <v>51783032.360888332</v>
      </c>
      <c r="C19" s="43">
        <f>SUM(C2:C18)</f>
        <v>0.99999999999999989</v>
      </c>
      <c r="D19" s="87">
        <f>SUM(D2:D17)</f>
        <v>6340.9095002284848</v>
      </c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9.5" customHeight="1" x14ac:dyDescent="0.25"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9.5" customHeight="1" thickBot="1" x14ac:dyDescent="0.3"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9.5" customHeight="1" x14ac:dyDescent="0.25">
      <c r="A22" s="90" t="s">
        <v>53</v>
      </c>
      <c r="B22" s="91" t="s">
        <v>51</v>
      </c>
      <c r="C22" s="92" t="s">
        <v>48</v>
      </c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9.5" customHeight="1" x14ac:dyDescent="0.25">
      <c r="A23" s="45" t="s">
        <v>52</v>
      </c>
      <c r="B23" s="88">
        <f>(B24+B27+B25+B26+B28)*18</f>
        <v>7928.6399999999994</v>
      </c>
      <c r="C23" s="94">
        <f>[3]GER_EXECUTIVO!B19/'[3]AREAS PRIVATIVAS'!B23</f>
        <v>7067.1420990768738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9.5" customHeight="1" x14ac:dyDescent="0.25">
      <c r="A24" s="93" t="s">
        <v>49</v>
      </c>
      <c r="B24" s="89">
        <v>106.4</v>
      </c>
      <c r="C24" s="128">
        <f>$C$23*B24</f>
        <v>751943.91934177943</v>
      </c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9.5" customHeight="1" x14ac:dyDescent="0.25">
      <c r="A25" s="45" t="s">
        <v>50</v>
      </c>
      <c r="B25" s="88">
        <v>75.53</v>
      </c>
      <c r="C25" s="129">
        <f t="shared" ref="C25:C28" si="2">$C$23*B25</f>
        <v>533781.24274327629</v>
      </c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9.5" customHeight="1" x14ac:dyDescent="0.25">
      <c r="A26" s="93" t="s">
        <v>63</v>
      </c>
      <c r="B26" s="89">
        <v>104.02</v>
      </c>
      <c r="C26" s="128">
        <f t="shared" si="2"/>
        <v>735124.12114597636</v>
      </c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9.5" customHeight="1" x14ac:dyDescent="0.25">
      <c r="A27" s="45" t="s">
        <v>64</v>
      </c>
      <c r="B27" s="88">
        <v>78.069999999999993</v>
      </c>
      <c r="C27" s="129">
        <f t="shared" si="2"/>
        <v>551731.7836749315</v>
      </c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9.5" customHeight="1" thickBot="1" x14ac:dyDescent="0.3">
      <c r="A28" s="130" t="s">
        <v>65</v>
      </c>
      <c r="B28" s="131">
        <v>76.459999999999994</v>
      </c>
      <c r="C28" s="132">
        <f t="shared" si="2"/>
        <v>540353.68489541777</v>
      </c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9.5" customHeight="1" x14ac:dyDescent="0.25">
      <c r="A29" s="6"/>
      <c r="B29" s="6"/>
      <c r="C29" s="10"/>
      <c r="D29" s="10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9.5" customHeight="1" thickBot="1" x14ac:dyDescent="0.3">
      <c r="A30" s="6"/>
      <c r="B30" s="6"/>
      <c r="C30" s="10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9.5" customHeight="1" x14ac:dyDescent="0.25">
      <c r="A31" s="90" t="s">
        <v>53</v>
      </c>
      <c r="B31" s="91" t="s">
        <v>51</v>
      </c>
      <c r="C31" s="92" t="s">
        <v>52</v>
      </c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9.5" customHeight="1" x14ac:dyDescent="0.25">
      <c r="A32" s="45" t="s">
        <v>57</v>
      </c>
      <c r="B32" s="88">
        <v>6651.9</v>
      </c>
      <c r="C32" s="94">
        <v>5907.0750961324593</v>
      </c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9.5" customHeight="1" x14ac:dyDescent="0.25">
      <c r="A33" s="93" t="s">
        <v>60</v>
      </c>
      <c r="B33" s="89">
        <v>2651.04</v>
      </c>
      <c r="C33" s="128">
        <v>5321.4146346494208</v>
      </c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9.5" customHeight="1" thickBot="1" x14ac:dyDescent="0.3">
      <c r="A34" s="137" t="s">
        <v>43</v>
      </c>
      <c r="B34" s="138">
        <v>4969.8599999999997</v>
      </c>
      <c r="C34" s="139">
        <v>5067.6946337834461</v>
      </c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9.5" customHeight="1" x14ac:dyDescent="0.25">
      <c r="A35" s="6"/>
      <c r="B35" s="6"/>
      <c r="C35" s="10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9.5" customHeight="1" x14ac:dyDescent="0.25">
      <c r="A36" s="6" t="s">
        <v>115</v>
      </c>
      <c r="B36" s="6"/>
      <c r="C36" s="10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9.5" customHeight="1" x14ac:dyDescent="0.25">
      <c r="A37" s="6" t="s">
        <v>116</v>
      </c>
      <c r="B37" s="6"/>
      <c r="C37" s="10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9.5" customHeight="1" thickBot="1" x14ac:dyDescent="0.3">
      <c r="A38" s="6"/>
      <c r="B38" s="6"/>
      <c r="C38" s="10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9.5" customHeight="1" x14ac:dyDescent="0.25">
      <c r="A39" s="90" t="s">
        <v>53</v>
      </c>
      <c r="B39" s="91" t="s">
        <v>88</v>
      </c>
      <c r="C39" s="92" t="s">
        <v>52</v>
      </c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9.5" customHeight="1" x14ac:dyDescent="0.25">
      <c r="A40" s="45" t="s">
        <v>2</v>
      </c>
      <c r="B40" s="152">
        <v>665180.32247274322</v>
      </c>
      <c r="C40" s="94">
        <v>83.895891662724409</v>
      </c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9.5" customHeight="1" x14ac:dyDescent="0.25">
      <c r="A41" s="93" t="s">
        <v>3</v>
      </c>
      <c r="B41" s="153">
        <v>3748752.4525000001</v>
      </c>
      <c r="C41" s="128">
        <v>472.81153545879249</v>
      </c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9.5" customHeight="1" thickBot="1" x14ac:dyDescent="0.3">
      <c r="A42" s="137" t="s">
        <v>105</v>
      </c>
      <c r="B42" s="154">
        <v>1651819.5599999998</v>
      </c>
      <c r="C42" s="139">
        <v>208.33580033902408</v>
      </c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9.5" customHeight="1" x14ac:dyDescent="0.25">
      <c r="A43" s="6"/>
      <c r="B43" s="6"/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9.5" customHeight="1" x14ac:dyDescent="0.25">
      <c r="A44" s="6"/>
      <c r="B44" s="6"/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9.5" customHeight="1" x14ac:dyDescent="0.25">
      <c r="A45" s="6"/>
      <c r="B45" s="6"/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9.5" customHeight="1" x14ac:dyDescent="0.25">
      <c r="A46" s="6"/>
      <c r="B46" s="6"/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9.5" customHeight="1" x14ac:dyDescent="0.25">
      <c r="A47" s="6"/>
      <c r="B47" s="6"/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9.5" customHeight="1" x14ac:dyDescent="0.25">
      <c r="A48" s="6"/>
      <c r="B48" s="6"/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9.5" customHeight="1" x14ac:dyDescent="0.25">
      <c r="A49" s="6"/>
      <c r="B49" s="6"/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9.5" customHeight="1" x14ac:dyDescent="0.25">
      <c r="A50" s="6"/>
      <c r="B50" s="6"/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9.5" customHeight="1" x14ac:dyDescent="0.25">
      <c r="A51" s="6"/>
      <c r="B51" s="6"/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9.5" customHeight="1" x14ac:dyDescent="0.25">
      <c r="A52" s="6"/>
      <c r="B52" s="6"/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9.5" customHeight="1" x14ac:dyDescent="0.25">
      <c r="A53" s="6"/>
      <c r="B53" s="6"/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9.5" customHeight="1" x14ac:dyDescent="0.25">
      <c r="A54" s="6"/>
      <c r="B54" s="6"/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9.5" customHeight="1" x14ac:dyDescent="0.25">
      <c r="A55" s="6"/>
      <c r="B55" s="6"/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9.5" customHeight="1" x14ac:dyDescent="0.25">
      <c r="A56" s="6"/>
      <c r="B56" s="6"/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9.5" customHeight="1" x14ac:dyDescent="0.25">
      <c r="A57" s="6"/>
      <c r="B57" s="6"/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9.5" customHeight="1" x14ac:dyDescent="0.25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1:14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1:14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1:14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1:14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1:14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1:14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1:14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1:14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4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1:14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1:14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1:14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1:14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1:14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1:14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1:14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1:14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1:14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1:14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1:14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1:14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1:14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1:14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1:14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1:14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1:14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1:14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1:14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4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1:14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1:14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1:14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1:14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1:14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4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1:14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1:14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1:14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1:14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4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4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1:14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1:14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1:14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1:14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1:14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1:14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1:14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1:14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1:14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spans="1:14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4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spans="1:14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spans="1:14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spans="1:14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4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spans="1:14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spans="1:14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spans="1:14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4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spans="1:14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spans="1:14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spans="1:14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spans="1:14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spans="1:14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spans="1:14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4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spans="1:14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spans="1:14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spans="1:14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spans="1:14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spans="1:14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spans="1:14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4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spans="1:14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spans="1:14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spans="1:14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spans="1:14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spans="1:14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spans="1:14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spans="1:14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4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4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spans="1:14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spans="1:14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spans="1:14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spans="1:14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spans="1:14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pans="1:14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pans="1:14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pans="1:14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pans="1:14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pans="1:14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pans="1:14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pans="1:14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pans="1:14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pans="1:14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pans="1:14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pans="1:14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pans="1:14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spans="1:14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1:14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spans="1:14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4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4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spans="1:14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spans="1:14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4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4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spans="1:14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spans="1:14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spans="1:14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spans="1:14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spans="1:14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spans="1:14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spans="1:14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4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spans="1:14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4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spans="1:14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spans="1:14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spans="1:14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spans="1:14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4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spans="1:14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spans="1:14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4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spans="1:14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spans="1:14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4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spans="1:14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spans="1:14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spans="1:14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4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spans="1:14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spans="1:14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spans="1:14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spans="1:14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4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4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spans="1:14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spans="1:14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4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spans="1:14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spans="1:14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4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spans="1:14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spans="1:14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spans="1:14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spans="1:14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spans="1:14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spans="1:14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spans="1:14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spans="1:14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spans="1:14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spans="1:14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spans="1:14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spans="1:14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spans="1:14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spans="1:14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4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spans="1:14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spans="1:14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spans="1:14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4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spans="1:14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spans="1:14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4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spans="1:14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spans="1:14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spans="1:14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spans="1:14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spans="1:14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spans="1:14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spans="1:14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4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spans="1:14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spans="1:14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spans="1:14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spans="1:14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spans="1:14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spans="1:14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spans="1:14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spans="1:14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spans="1:14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spans="1:14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spans="1:14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spans="1:14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spans="1:14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spans="1:14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spans="1:14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spans="1:14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spans="1:14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spans="1:14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spans="1:14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spans="1:14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spans="1:14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spans="1:14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spans="1:14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spans="1:14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spans="1:14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spans="1:14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spans="1:14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4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spans="1:14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spans="1:14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spans="1:14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spans="1:14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spans="1:14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spans="1:14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spans="1:14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spans="1:14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spans="1:14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spans="1:14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spans="1:14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spans="1:14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spans="1:14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spans="1:14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spans="1:14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spans="1:14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spans="1:14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spans="1:14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spans="1:14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spans="1:14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spans="1:14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spans="1:14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spans="1:14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spans="1:14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spans="1:14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4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spans="1:14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spans="1:14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spans="1:14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spans="1:14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spans="1:14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spans="1:14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4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spans="1:14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spans="1:14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4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4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spans="1:14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4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spans="1:14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spans="1:14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spans="1:14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spans="1:14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spans="1:14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spans="1:14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4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spans="1:14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spans="1:14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spans="1:14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spans="1:14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spans="1:14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spans="1:14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spans="1:14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spans="1:14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spans="1:14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spans="1:14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spans="1:14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spans="1:14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spans="1:14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spans="1:14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spans="1:14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spans="1:14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spans="1:14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spans="1:14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spans="1:14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spans="1:14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spans="1:14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spans="1:14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spans="1:14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spans="1:14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spans="1:14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spans="1:14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spans="1:14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spans="1:14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spans="1:14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spans="1:14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spans="1:14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spans="1:14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spans="1:14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spans="1:14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spans="1:14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spans="1:14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spans="1:14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spans="1:14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spans="1:14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spans="1:14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spans="1:14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spans="1:14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spans="1:14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spans="1:14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spans="1:14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spans="1:14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spans="1:14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spans="1:14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spans="1:14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spans="1:14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spans="1:14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spans="1:14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spans="1:14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spans="1:14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spans="1:14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spans="1:14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spans="1:14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spans="1:14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spans="1:14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spans="1:14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spans="1:14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spans="1:14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spans="1:14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spans="1:14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spans="1:14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spans="1:14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spans="1:14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spans="1:14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spans="1:14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spans="1:14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spans="1:14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spans="1:14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spans="1:14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spans="1:14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4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spans="1:14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spans="1:14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spans="1:14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spans="1:14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spans="1:14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spans="1:14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spans="1:14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spans="1:14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spans="1:14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spans="1:14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spans="1:14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spans="1:14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spans="1:14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spans="1:14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spans="1:14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spans="1:14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spans="1:14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spans="1:14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spans="1:14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spans="1:14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spans="1:14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spans="1:14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spans="1:14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spans="1:14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spans="1:14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spans="1:14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spans="1:14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spans="1:14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spans="1:14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spans="1:14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spans="1:14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spans="1:14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spans="1:14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spans="1:14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spans="1:14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spans="1:14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spans="1:14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spans="1:14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spans="1:14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spans="1:14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spans="1:14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spans="1:14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spans="1:14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spans="1:14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spans="1:14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spans="1:14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spans="1:14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spans="1:14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spans="1:14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spans="1:14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spans="1:14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spans="1:14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spans="1:14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4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spans="1:14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spans="1:14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spans="1:14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spans="1:14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spans="1:14" ht="15" customHeight="1" x14ac:dyDescent="0.25">
      <c r="A981" s="6"/>
      <c r="B981" s="6"/>
      <c r="C981" s="10"/>
      <c r="D981" s="10"/>
    </row>
    <row r="982" spans="1:14" ht="15" customHeight="1" x14ac:dyDescent="0.25">
      <c r="A982" s="6"/>
      <c r="B982" s="6"/>
      <c r="C982" s="10"/>
      <c r="D982" s="10"/>
    </row>
    <row r="983" spans="1:14" ht="15" customHeight="1" x14ac:dyDescent="0.25">
      <c r="A983" s="6"/>
      <c r="B983" s="6"/>
      <c r="C983" s="10"/>
      <c r="D983" s="10"/>
    </row>
    <row r="984" spans="1:14" ht="15" customHeight="1" x14ac:dyDescent="0.25">
      <c r="A984" s="6"/>
      <c r="B984" s="6"/>
      <c r="C984" s="10"/>
      <c r="D984" s="10"/>
    </row>
    <row r="985" spans="1:14" ht="15" customHeight="1" x14ac:dyDescent="0.25">
      <c r="A985" s="6"/>
      <c r="B985" s="6"/>
      <c r="C985" s="10"/>
      <c r="D985" s="10"/>
    </row>
    <row r="986" spans="1:14" ht="15" customHeight="1" x14ac:dyDescent="0.25">
      <c r="A986" s="6"/>
      <c r="B986" s="6"/>
      <c r="C986" s="10"/>
      <c r="D986" s="10"/>
    </row>
    <row r="987" spans="1:14" ht="15" customHeight="1" x14ac:dyDescent="0.25">
      <c r="A987" s="6"/>
      <c r="B987" s="6"/>
      <c r="C987" s="10"/>
      <c r="D987" s="10"/>
    </row>
    <row r="988" spans="1:14" ht="15" customHeight="1" x14ac:dyDescent="0.25">
      <c r="A988" s="6"/>
      <c r="B988" s="6"/>
      <c r="C988" s="10"/>
      <c r="D988" s="10"/>
    </row>
    <row r="989" spans="1:14" ht="15" customHeight="1" x14ac:dyDescent="0.25">
      <c r="A989" s="6"/>
      <c r="B989" s="6"/>
      <c r="C989" s="10"/>
      <c r="D989" s="10"/>
    </row>
    <row r="990" spans="1:14" ht="15" customHeight="1" x14ac:dyDescent="0.25">
      <c r="A990" s="6"/>
      <c r="B990" s="6"/>
      <c r="C990" s="10"/>
      <c r="D990" s="10"/>
    </row>
    <row r="991" spans="1:14" ht="15" customHeight="1" x14ac:dyDescent="0.25">
      <c r="A991" s="6"/>
      <c r="B991" s="6"/>
      <c r="C991" s="10"/>
      <c r="D991" s="10"/>
    </row>
    <row r="992" spans="1:14" ht="15" customHeight="1" x14ac:dyDescent="0.25">
      <c r="A992" s="6"/>
      <c r="B992" s="6"/>
      <c r="C992" s="10"/>
      <c r="D992" s="10"/>
    </row>
    <row r="993" spans="1:4" ht="15" customHeight="1" x14ac:dyDescent="0.25">
      <c r="A993" s="6"/>
      <c r="B993" s="6"/>
      <c r="C993" s="10"/>
      <c r="D993" s="10"/>
    </row>
    <row r="994" spans="1:4" ht="15" customHeight="1" x14ac:dyDescent="0.25">
      <c r="A994" s="6"/>
      <c r="B994" s="6"/>
      <c r="C994" s="10"/>
      <c r="D994" s="10"/>
    </row>
    <row r="995" spans="1:4" ht="15" customHeight="1" x14ac:dyDescent="0.25">
      <c r="A995" s="6"/>
      <c r="B995" s="6"/>
      <c r="C995" s="10"/>
      <c r="D995" s="10"/>
    </row>
    <row r="996" spans="1:4" ht="15" customHeight="1" x14ac:dyDescent="0.25">
      <c r="A996" s="6"/>
      <c r="B996" s="6"/>
      <c r="C996" s="10"/>
      <c r="D996" s="10"/>
    </row>
    <row r="997" spans="1:4" ht="15" customHeight="1" x14ac:dyDescent="0.25">
      <c r="A997" s="6"/>
      <c r="B997" s="6"/>
      <c r="C997" s="10"/>
      <c r="D997" s="10"/>
    </row>
    <row r="998" spans="1:4" ht="15" customHeight="1" x14ac:dyDescent="0.25">
      <c r="A998" s="6"/>
      <c r="B998" s="6"/>
      <c r="C998" s="10"/>
      <c r="D998" s="10"/>
    </row>
    <row r="999" spans="1:4" ht="15" customHeight="1" x14ac:dyDescent="0.25">
      <c r="A999" s="6"/>
      <c r="B999" s="6"/>
      <c r="C999" s="10"/>
      <c r="D999" s="10"/>
    </row>
    <row r="1000" spans="1:4" ht="15" customHeight="1" x14ac:dyDescent="0.25">
      <c r="A1000" s="6"/>
      <c r="B1000" s="6"/>
      <c r="C1000" s="10"/>
      <c r="D1000" s="10"/>
    </row>
  </sheetData>
  <phoneticPr fontId="27" type="noConversion"/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SEM IMPREVISTOS</vt:lpstr>
      <vt:lpstr>ORÇAMENTO_EXECUTIVO - IMPREVIST</vt:lpstr>
      <vt:lpstr>ANÁLISE_CUSTOS</vt:lpstr>
      <vt:lpstr>Versões R01</vt:lpstr>
      <vt:lpstr>GER_EXECUTIVO MEGA</vt:lpstr>
      <vt:lpstr>Versões</vt:lpstr>
      <vt:lpstr>GER_EXECUTIVO CART</vt:lpstr>
      <vt:lpstr>Amalfi</vt:lpstr>
      <vt:lpstr>Planilha1</vt:lpstr>
      <vt:lpstr>Versões (2)</vt:lpstr>
      <vt:lpstr>CÁLCULO_MÉDIAS</vt:lpstr>
      <vt:lpstr>AREAS PRIVATIVAS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Larissa Oliveira</cp:lastModifiedBy>
  <dcterms:created xsi:type="dcterms:W3CDTF">2021-06-30T18:49:34Z</dcterms:created>
  <dcterms:modified xsi:type="dcterms:W3CDTF">2025-09-19T19:02:41Z</dcterms:modified>
</cp:coreProperties>
</file>