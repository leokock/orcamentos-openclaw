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Et6Y18csUeOZdwwSlXh-Aw0_ssKdNBBQ\Cambert Engenharia - 03.2021\Portal da Brava\03. Custo\03.5 Custo - Determinação do orçamento\Apresentação\"/>
    </mc:Choice>
  </mc:AlternateContent>
  <bookViews>
    <workbookView xWindow="-120" yWindow="-120" windowWidth="20730" windowHeight="11160"/>
  </bookViews>
  <sheets>
    <sheet name="Gerenciamento executivo " sheetId="3" r:id="rId1"/>
    <sheet name="Executivo" sheetId="1" r:id="rId2"/>
    <sheet name="Curva ABC" sheetId="4" r:id="rId3"/>
    <sheet name="Planilha2" sheetId="5" r:id="rId4"/>
    <sheet name="Planilha3" sheetId="6" r:id="rId5"/>
  </sheets>
  <externalReferences>
    <externalReference r:id="rId6"/>
  </externalReferences>
  <definedNames>
    <definedName name="_xlnm._FilterDatabase" localSheetId="4" hidden="1">Planilha3!$A$1:$C$418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3" l="1"/>
  <c r="B41" i="3"/>
  <c r="B26" i="3"/>
  <c r="F8" i="6" l="1"/>
  <c r="F9" i="6" s="1"/>
  <c r="F5" i="6"/>
  <c r="F6" i="6"/>
  <c r="F7" i="6"/>
  <c r="F3" i="6"/>
  <c r="F4" i="6"/>
  <c r="F2" i="6"/>
  <c r="B7" i="3"/>
  <c r="B3" i="1"/>
  <c r="E3" i="1" s="1"/>
  <c r="B5" i="1"/>
  <c r="D5" i="1" s="1"/>
  <c r="B4" i="1"/>
  <c r="E4" i="1" s="1"/>
  <c r="B11" i="1"/>
  <c r="B12" i="1"/>
  <c r="E12" i="1" s="1"/>
  <c r="B13" i="1"/>
  <c r="B14" i="1"/>
  <c r="E14" i="1" s="1"/>
  <c r="B15" i="1"/>
  <c r="B16" i="1"/>
  <c r="D16" i="1" s="1"/>
  <c r="B10" i="1"/>
  <c r="E10" i="1" s="1"/>
  <c r="B8" i="1"/>
  <c r="E8" i="1" s="1"/>
  <c r="B9" i="1"/>
  <c r="D9" i="1" s="1"/>
  <c r="E15" i="1"/>
  <c r="D15" i="1"/>
  <c r="E11" i="1"/>
  <c r="D11" i="1"/>
  <c r="B6" i="1"/>
  <c r="D6" i="1" s="1"/>
  <c r="E2" i="1"/>
  <c r="D2" i="1"/>
  <c r="B72" i="3"/>
  <c r="B67" i="3"/>
  <c r="B51" i="3"/>
  <c r="B17" i="3"/>
  <c r="C17" i="3" s="1"/>
  <c r="F16" i="3"/>
  <c r="B16" i="3"/>
  <c r="C16" i="3" s="1"/>
  <c r="B15" i="3"/>
  <c r="C15" i="3" s="1"/>
  <c r="F14" i="3"/>
  <c r="B14" i="3"/>
  <c r="C14" i="3" s="1"/>
  <c r="B13" i="3"/>
  <c r="C12" i="3"/>
  <c r="B12" i="3"/>
  <c r="B11" i="3"/>
  <c r="C11" i="3" s="1"/>
  <c r="C10" i="3"/>
  <c r="B10" i="3"/>
  <c r="B9" i="3"/>
  <c r="C9" i="3" s="1"/>
  <c r="C8" i="3"/>
  <c r="B8" i="3"/>
  <c r="F7" i="3"/>
  <c r="F6" i="3"/>
  <c r="B6" i="3"/>
  <c r="C6" i="3" s="1"/>
  <c r="C5" i="3"/>
  <c r="B5" i="3"/>
  <c r="B4" i="3"/>
  <c r="C4" i="3" s="1"/>
  <c r="C3" i="3"/>
  <c r="B3" i="3"/>
  <c r="G3" i="6" l="1"/>
  <c r="G7" i="6"/>
  <c r="G4" i="6"/>
  <c r="G5" i="6"/>
  <c r="G9" i="6"/>
  <c r="G6" i="6"/>
  <c r="G2" i="6"/>
  <c r="G8" i="6"/>
  <c r="C7" i="3"/>
  <c r="B7" i="1"/>
  <c r="D7" i="1" s="1"/>
  <c r="E6" i="1"/>
  <c r="B17" i="1"/>
  <c r="E16" i="1"/>
  <c r="D12" i="1"/>
  <c r="E9" i="1"/>
  <c r="D13" i="1"/>
  <c r="E13" i="1"/>
  <c r="E17" i="1"/>
  <c r="E5" i="1"/>
  <c r="D4" i="1"/>
  <c r="D14" i="1"/>
  <c r="D10" i="1"/>
  <c r="D8" i="1"/>
  <c r="B35" i="3"/>
  <c r="D3" i="1"/>
  <c r="B18" i="3"/>
  <c r="C13" i="3"/>
  <c r="C18" i="3" s="1"/>
  <c r="B18" i="1" l="1"/>
  <c r="C16" i="1" s="1"/>
  <c r="E7" i="1"/>
  <c r="E18" i="1"/>
  <c r="D17" i="1"/>
  <c r="D18" i="1"/>
  <c r="D19" i="1" s="1"/>
  <c r="C5" i="1"/>
  <c r="C11" i="1"/>
  <c r="C3" i="1"/>
  <c r="C7" i="1"/>
  <c r="C8" i="1"/>
  <c r="C2" i="1"/>
  <c r="C6" i="1"/>
  <c r="C10" i="1"/>
  <c r="C14" i="1"/>
  <c r="C17" i="1"/>
  <c r="C4" i="1"/>
  <c r="C9" i="1"/>
  <c r="C12" i="1"/>
  <c r="C15" i="1"/>
  <c r="C13" i="1" l="1"/>
  <c r="C18" i="1"/>
</calcChain>
</file>

<file path=xl/sharedStrings.xml><?xml version="1.0" encoding="utf-8"?>
<sst xmlns="http://schemas.openxmlformats.org/spreadsheetml/2006/main" count="1427" uniqueCount="507">
  <si>
    <t>ETAPA</t>
  </si>
  <si>
    <t>GERENCIAMENTO TÉCNICO E ADMINISTRATIVO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</si>
  <si>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</si>
  <si>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</si>
  <si>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</si>
  <si>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</si>
  <si>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</si>
  <si>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</si>
  <si>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</si>
  <si>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</si>
  <si>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</si>
  <si>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</si>
  <si>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</si>
  <si>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</si>
  <si>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</si>
  <si>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</si>
  <si>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</si>
  <si>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</si>
  <si>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</si>
  <si>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</si>
  <si>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</si>
  <si>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100,00 - 180,00</t>
  </si>
  <si>
    <t>4,50 - 7,50</t>
  </si>
  <si>
    <t>140,00 - 160,00</t>
  </si>
  <si>
    <t>60,00 - 70,00</t>
  </si>
  <si>
    <t>175,00 - 200,00</t>
  </si>
  <si>
    <t>IMPERMEABILIZAÇÃO</t>
  </si>
  <si>
    <t>230,00 - 270,00</t>
  </si>
  <si>
    <t xml:space="preserve">  85,00 - 110,00</t>
  </si>
  <si>
    <t>110,00 - 130,00</t>
  </si>
  <si>
    <t>85,00 - 120,00</t>
  </si>
  <si>
    <t>130,00 - 135,00</t>
  </si>
  <si>
    <t>Valor 1</t>
  </si>
  <si>
    <t>Valor 2</t>
  </si>
  <si>
    <t>PORTAL</t>
  </si>
  <si>
    <t>COMPLEMENTARES E FINAIS</t>
  </si>
  <si>
    <t>INSTALAÇÕES ELÉTRICAS, HIDRÁULICAS, GLP E PREVENTIVAS</t>
  </si>
  <si>
    <t>CUBs</t>
  </si>
  <si>
    <t>COBERTURA</t>
  </si>
  <si>
    <t>100,00 - 150,00</t>
  </si>
  <si>
    <t>520,00 - 580,00</t>
  </si>
  <si>
    <t>40,00 - 50,00</t>
  </si>
  <si>
    <t>130,00 - 160,00</t>
  </si>
  <si>
    <t>30,00 -  40,00</t>
  </si>
  <si>
    <t>1939,50 - 2402,50</t>
  </si>
  <si>
    <t>MÃO DE OBRA EMPREITADA PARA EXECUÇÃO DE ESTRUTURA DE CONCRETO ARMADO EM SUPRAESTRUTURA*</t>
  </si>
  <si>
    <t>CONCRETO USINADO BOMBEÁVEL, PARA SUPRAESTRUTURA, FCK 35MPA, SLUMP 10+/- 2, INCLUINDO SERVIÇO DE BOMBEAMENTO*</t>
  </si>
  <si>
    <t>MOBILIARIO E DECORAÇÃO*</t>
  </si>
  <si>
    <t>ARMAÇÃO AÇO CA-50, DIÂMETRO 6,3MM PARA SUPRAESTRUTURA - CORTADO E DOBRADO EM INDÚSTRIA*</t>
  </si>
  <si>
    <t>MÃO DE OBRA EMPREITADA PARA INSTALAÇÕES HIDRÁULICAS E SANITÁRIAS*</t>
  </si>
  <si>
    <t>MÃO DE OBRA EMPREITADA PARA INSTALAÇÕES ELÉTRICAS*</t>
  </si>
  <si>
    <t>VALOR TOTAL (R$)</t>
  </si>
  <si>
    <t>EXECUCAO TAPUME METALICO H=3,00M</t>
  </si>
  <si>
    <t>CONCRETO CONVENCIONAL RODADO EM OBRA 20MPA</t>
  </si>
  <si>
    <t>ALUGUEL GERADOR 3,0KW</t>
  </si>
  <si>
    <t>ALUGUEL BETONEIRA 400L</t>
  </si>
  <si>
    <t>EXECUCAO SAPATAS (0,5 x 0,5 x 0,4m) PARA CONTAINER DE PLANTAO DE VENDAS</t>
  </si>
  <si>
    <t>EXECUCAO DE VIGA DE CONCRETO (0,2 X 0,3M) PARA TRILHO DE PORTAO DE OBRA</t>
  </si>
  <si>
    <t xml:space="preserve">EXECUCAO DE GUIA DE TRAVAMENTO PARA PAVER </t>
  </si>
  <si>
    <t>EXECUCAO DE MEIO FIO</t>
  </si>
  <si>
    <t>FABRICAÇÃO, MONTAGEM E DESMONTAGEM DE FORMA PARA BLOCOS DE COROAMENTO E VIGAS BALDRAMES, EM COMPENSADO RESINADO 17MM</t>
  </si>
  <si>
    <t>IMPERMEABILIZAÇÃO DE BALDRAMES COM TINTA ASFÁLTICA*</t>
  </si>
  <si>
    <t>PREPARACAO SUBSTRATO PARA RECEBIMENTO PISO DE CONCRETO (LONA+BRITA)</t>
  </si>
  <si>
    <t>PREPARACAO SUBSTRATO PARA OS BLOCOS</t>
  </si>
  <si>
    <t>TOPOGRAFO PARA LOCACAO DAS ESTACAS E PILARES</t>
  </si>
  <si>
    <t>CHAPISCO INTERNO DE ARGAMASSA CIMENTO E AREIA (1:3), APLICADO EM ALVENARIAS, COM COLHER DE PEDREIRO*</t>
  </si>
  <si>
    <t>ARGAMASSA PARA EMBOCO INTERNO 1:8 - MASSA BRANCA COM ADICAO DE CIMENTO EM OBRA</t>
  </si>
  <si>
    <t>CONTRAPISO COMUM EM ARGAMASSA TRACO 1:4 ESPESSURA 5CM</t>
  </si>
  <si>
    <t>ARGAMASSA PARA CONTRAPISO COMUM TRACO 1:4</t>
  </si>
  <si>
    <t>CONTRAPISO PARA REGULARIZACAO E CAIMENTO PARA RECEBIMENTO DE IMPERMEABILIZACAO EM ARGAMASSA TRACO 1:4 ESPESSURA MEDIA 3CM</t>
  </si>
  <si>
    <t>CHAPISCO INTERNO DE ARGAMASSA PRÉ-FABRICADA ADESIVA DE CIMENTO COLANTE, APLICADO EM ESTRUTURA DE CONCRETO ARMADO, COM DESEMPENADEIRA DENTADA*</t>
  </si>
  <si>
    <t>ACO CA50 6,3MM CORTADO E DOBRADO</t>
  </si>
  <si>
    <t>ACO CA50 12,5MM CORTADO E DOBRADO</t>
  </si>
  <si>
    <t>ACO CA50 16,00MM CORTADO E DOBRADO</t>
  </si>
  <si>
    <t>ESPACADOR ARMADURA ROLETE R75 PARA ESTACA</t>
  </si>
  <si>
    <t>ESTACA HELICE CONTINUA DN40CM</t>
  </si>
  <si>
    <t>ESTACA HELICE CONTINUA DN50CM</t>
  </si>
  <si>
    <t>ESTACA HELICE CONTINUA DN60CM</t>
  </si>
  <si>
    <t>CONCRETO USINADO BOMBEÁVEL, PARA ESTACAS, FCK 30MPA, SLUMP 22+-3CM BRITA 0, INCLUI SERVIÇO DE BOMBEAMENTO*</t>
  </si>
  <si>
    <t>SERVICO DE LIMPEZA E REMOCAO DO EXCENDENTE DE SOLO DURANTE A PERFURACAO DAS ESTACAS, BLOCOS E BALDRAMES</t>
  </si>
  <si>
    <t>ACO CA60 5,0MM CORTADO E DOBRADO</t>
  </si>
  <si>
    <t>ACO CA50 10,00MM CORTADO E DOBRADO</t>
  </si>
  <si>
    <t>ACO CA50 8,0MM CORTADO E DOBRADO</t>
  </si>
  <si>
    <t>ACO CA50 20,00MM CORTADO E DOBRADO</t>
  </si>
  <si>
    <t>EXECUCAO DE GABARITO DE FUNDACAO EM MADEIRA PINUS</t>
  </si>
  <si>
    <t>ACO CA50 25,00MM CORTADO E DOBRADO</t>
  </si>
  <si>
    <t>REGULARIZACAO TERRENO CANTEIRO</t>
  </si>
  <si>
    <t>CARREGAMENTO, ESPALHAMENTO E COMPACTACAO DE MATERIAL GRANULAR EM CANTEIRO</t>
  </si>
  <si>
    <t>ROMPIMENTO DE CORPO DE PROVA - ESTACAS</t>
  </si>
  <si>
    <t>ACOMPANHAMENTO DE CONCRETAGEM - ESTACAS</t>
  </si>
  <si>
    <t>COLETA DE CORPO DE PROVA - ESTACAS</t>
  </si>
  <si>
    <t>CONTROLE TECNOLOGICO DE CONCRETO COM ACOMPANHAMENTO</t>
  </si>
  <si>
    <t>SEGURANCA DO TRABALHO - ACOMPANHAMENTO MENSAL</t>
  </si>
  <si>
    <t>PROJETO ESTRUTURAL</t>
  </si>
  <si>
    <t>PROJETO ELETRICO</t>
  </si>
  <si>
    <t>PROJETO HIDROSSANITARIO</t>
  </si>
  <si>
    <t>FABRICACAO DE FORMA PARA PILARES, MADEIRA SERRADA 25MM</t>
  </si>
  <si>
    <t>MEMORIAL DESCRITIVO*</t>
  </si>
  <si>
    <t>LEVANTAMENTO TOPOGRÁFICO*</t>
  </si>
  <si>
    <t>ESTUDO GEOLÓGICO*</t>
  </si>
  <si>
    <t>ESTUDO AMBIENTAL*</t>
  </si>
  <si>
    <t>SONDAGEM DO TERRENO*</t>
  </si>
  <si>
    <t>PROJETO DE CANTEIRO*</t>
  </si>
  <si>
    <t>LEGALIZAÇÃO DE INCORPORAÇÃO*</t>
  </si>
  <si>
    <t>PROJETO ARQUITETÔNICO LEGAL*</t>
  </si>
  <si>
    <t>PROJETO ARQUITETÔNICO EXECUTIVO *</t>
  </si>
  <si>
    <t>PROJETO ARQUITETÔNICO INTERIORES / AMBIENTAÇÃO *</t>
  </si>
  <si>
    <t>PROJETO ARQUITETÔNICO DE FACHADA*</t>
  </si>
  <si>
    <t>PROJETO TÉCNICO DE FACHADA*</t>
  </si>
  <si>
    <t>PROJETO DE FUNDAÇÃO*</t>
  </si>
  <si>
    <t>PROJETO PREVENTIVO*</t>
  </si>
  <si>
    <t>PROJETO TELECOMUNICACOES*</t>
  </si>
  <si>
    <t>PROJETO DE AUTOMAÇÃO*</t>
  </si>
  <si>
    <t>PROJETO DE CLIMATIZAÇÃO E EXAUSTÃO*</t>
  </si>
  <si>
    <t>PROJETO DE GÁS*</t>
  </si>
  <si>
    <t>PROJETO DE SEGURANÇA*</t>
  </si>
  <si>
    <t>PROJETO DE IMPERMEABILIZAÇÃO*</t>
  </si>
  <si>
    <t>PROJETO DE PAISAGISMO*</t>
  </si>
  <si>
    <t>ORCAMENTO E PLANEJAMENTO*</t>
  </si>
  <si>
    <t>CONSULTORIAS DIVERSAS*</t>
  </si>
  <si>
    <t>LAUDO DE VISTORIA TÉCNICA*</t>
  </si>
  <si>
    <t>LAUDO PREVENTIVO DE DANOS À VIZINHANÇA*</t>
  </si>
  <si>
    <t>CONTROLE TECNOLÓGICO DE CONCRETO*</t>
  </si>
  <si>
    <t>ENSAIOS E LAUDOS*</t>
  </si>
  <si>
    <t>TAXAS DE APROVAÇÃO E LEGALIZAÇÃO*</t>
  </si>
  <si>
    <t>DEPESAS DE SEGURO DE OBRA*</t>
  </si>
  <si>
    <t>TAXAS DE ART*</t>
  </si>
  <si>
    <t>TAXA DE ALVARÁ</t>
  </si>
  <si>
    <t>DESPESAS CARTÓRIO, LICENÇAS, CERTIDÕES E JURÍDICAS*</t>
  </si>
  <si>
    <t>INCORPORAÇÃO*</t>
  </si>
  <si>
    <t>IPTU*</t>
  </si>
  <si>
    <t>TAXA HABITE-SE*</t>
  </si>
  <si>
    <t>AS BUILT*</t>
  </si>
  <si>
    <t>MANUAIS TÉCNICOS - CONDOMÍNIO/PROPRIETÁRIOS*</t>
  </si>
  <si>
    <t>TREINAMENTOS DE SEGURANÇA DO TRABALHO*</t>
  </si>
  <si>
    <t>EQUIPAMENTO DE PROTEÇÃO INDIVIDUAL - EPI*</t>
  </si>
  <si>
    <t>BANDEJA DE PROTEÇÃO PRIMÁRIA*</t>
  </si>
  <si>
    <t>BANDEJA DE PROTEÇÃO SECUNDÁRIA*</t>
  </si>
  <si>
    <t>BANDEJA DE PROTEÇÃO TERCIÁRIA*</t>
  </si>
  <si>
    <t>GUARDA-CORPO DE VÃOS, FIXADO EM FORMA DE MADEIRA, EM TRAMA DE MADEIRA COM TELA DE POLIPROPILENO*</t>
  </si>
  <si>
    <t>GUARDA-CORPO EM LAJE PÓS-DESFÔRMA COM PONTALETE DE MADEIRA, TRAVESSÕES E TELA*</t>
  </si>
  <si>
    <t>FECHAMENTO REMOVÍVEL DE VÃOS DE PORTA DE ELEVADOR EM MADEIRA*</t>
  </si>
  <si>
    <t>FECHAMENTO REMOVÍVEL DE ABERTURA NO PISO DO ELEVADOR EM MADEIRA*</t>
  </si>
  <si>
    <t>COBERTURA PARA PROTEÇÃO DE PEDESTRES*</t>
  </si>
  <si>
    <t>VARAL DE SEGURANÇA COM CABO DE AÇO*</t>
  </si>
  <si>
    <t>SINALIZAÇÃO GERAL DA OBRA*</t>
  </si>
  <si>
    <t>TELA FACHADEIRA*</t>
  </si>
  <si>
    <t>ELABORAÇÃO DO PROGRAMA DE PREVENÇÃO DOS RISCOS AMBIENTAIS (PPRA)*</t>
  </si>
  <si>
    <t>ELABORAÇÃO DO PROGRAMA DE CONTROLE MÉDICO DE SAÚDE OCUPACIONAL (PCMSO)*</t>
  </si>
  <si>
    <t>ELABORAÇÃO DO PROGRAMA DE CONDIÇÕES E MEIO AMBIENTE DE TRABALHO NA INDÚSTRIA DE CONSTRUÇÃO (PCMAT)*</t>
  </si>
  <si>
    <t>MEDICAMENTOS PREVENTIVOS E DE EMERGÊNCIA*</t>
  </si>
  <si>
    <t>DEDETIZAÇÃO, DESRATIZAÇÃO E SANITIZAÇÃO DOS AMBIENTES*</t>
  </si>
  <si>
    <t>MESTRE DE OBRAS*</t>
  </si>
  <si>
    <t>TÉCNICO DE EDIFICAÇÕES*</t>
  </si>
  <si>
    <t>ALMOXARIFE*</t>
  </si>
  <si>
    <t>GUINCHEIRO*</t>
  </si>
  <si>
    <t>VIGILÂNCIA / PORTARIA*</t>
  </si>
  <si>
    <t>LIMPEZA DE OBRA*</t>
  </si>
  <si>
    <t>ARMAÇÃO AÇO CA-50, DIÂMETRO 12,5MM PARA ESTACAS - CORTADO E DOBRADO EM INDÚSTRIA*</t>
  </si>
  <si>
    <t>ARMAÇÃO AÇO CA-50, DIÂMETRO 6,3MM PARA ESTACAS - CORTADO E DOBRADO EM INDÚSTRIA*</t>
  </si>
  <si>
    <t>ARMAÇÃO AÇO CA-50, DIÂMETRO 16,0MM PARA ESTACAS - CORTADO E DOBRADO EM INDÚSTRIA*</t>
  </si>
  <si>
    <t>ARMAÇÃO AÇO CA-50, DIÂMETRO 6,3MM PARA BLOCOS E BALDRAMES - CORTADO E DOBRADO EM INDÚSTRIA*</t>
  </si>
  <si>
    <t>ARMAÇÃO AÇO CA-50, DIÂMETRO 8,0MM PARA BLOCOS E BALDRAMES - CORTADO E DOBRADO EM INDÚSTRIA*</t>
  </si>
  <si>
    <t>ARMAÇÃO AÇO CA-50, DIÂMETRO 10,0MM PARA BLOCOS E BALDRAMES - CORTADO E DOBRADO EM INDÚSTRIA*</t>
  </si>
  <si>
    <t>ARMAÇÃO AÇO CA-50, DIÂMETRO 12,5MM PARA BLOCOS E BALDRAMES - CORTADO E DOBRADO EM INDÚSTRIA*</t>
  </si>
  <si>
    <t>ARMAÇÃO AÇO CA-50, DIÂMETRO 16,0MM PARA BLOCOS E BALDRAMES - CORTADO E DOBRADO EM INDÚSTRIA*</t>
  </si>
  <si>
    <t>ARMAÇÃO AÇO CA-50, DIÂMETRO 20,0MM PARA BLOCOS E BALDRAMES - CORTADO E DOBRADO EM INDÚSTRIA*</t>
  </si>
  <si>
    <t>ARMAÇÃO AÇO CA-50, DIÂMETRO 25,0MM PARA BLOCOS E BALDRAMES - CORTADO E DOBRADO EM INDÚSTRIA*</t>
  </si>
  <si>
    <t>ARMAÇÃO AÇO CA-60, DIÂMETRO 5,0MM PARA BLOCOS E BALDRAMES - CORTADO E DOBRADO EM INDÚSTRIA*</t>
  </si>
  <si>
    <t>LASTRO DE MATERIAL GRANULAR</t>
  </si>
  <si>
    <t>PISO DE CONCRETO SOBRE SOLO, ESPESSURA 15 CM</t>
  </si>
  <si>
    <t>ESCAVAÇÃO MECANIZADA PARA BLOCOS DE FUNDAÇÃO E VIGAS BALDRAME, COM PREVISÃO DE FÔRMA, COM RETROESCAVADEIRA</t>
  </si>
  <si>
    <t>REATERRO MECANIZADO DE VALAS PARA BLOCOS E BALDRAMES, COM RETROESCAVADEIRA</t>
  </si>
  <si>
    <t>CONCRETO USINADO BOMBEÁVEL, PARA BLOCOS E BALDRAMES, FCK 35MPA, SLUMP 10+/- 2, INCLUINDO SERVIÇO DE BOMBEAMENTO*</t>
  </si>
  <si>
    <t>ALVENARIA DE VEDAÇÃO DE BLOCOS CERÂMICOS FURADOS NA HORIZONTAL DE 09X19X19CM (ESPESSURA 09CM) COM ARGAMASSA ESTABILIZADA DE ASSENTAMENTO*</t>
  </si>
  <si>
    <t>ALVENARIA DE VEDAÇÃO DE BLOCOS CERÂMICOS FURADOS NA HORIZONTAL DE 11,5X19X19CM (ESPESSURA 11,5CM) COM ARGAMASSA ESTABILIZADA DE ASSENTAMENTO*</t>
  </si>
  <si>
    <t>ALVENARIA DE VEDAÇÃO DE BLOCOS CERÂMICOS FURADOS NA HORIZONTAL DE 19X19X19CM (ESPESSURA 19CM) COM ARGAMASSA ESTABILIZADA DE ASSENTAMENTO *</t>
  </si>
  <si>
    <t>ALVENARIA DE VEDAÇÃO DE BLOCOS DE CONCRETO 9X19X39CM (ESPESSURA 9CM) COM ARGAMASSA ESTABILIZADA DE ASSENTAMENTO*</t>
  </si>
  <si>
    <t>TELA SOLDADA PARA LIGAÇÃO ALVENARIA/ESTRUTURA - PARA BLOCOS DE 09 A 14CM*</t>
  </si>
  <si>
    <t>TELA SOLDADA PARA LIGAÇÃO ALVENARIA/ESTRUTURA - PARA BLOCOS DE 14 A 19CM*</t>
  </si>
  <si>
    <t>ENCUNHAMENTO DE ALVENARIA DE VEDAÇÃO COM ARGAMASSA EXPANSIVA*</t>
  </si>
  <si>
    <t>VERGA/CONTRAVERGA DE CONCRETO, MOLDADA IN LOCO*</t>
  </si>
  <si>
    <t>MÃO DE OBRA EMPREITADA PARA FECHAMENTO DE SHAFTS*</t>
  </si>
  <si>
    <t>MÃO DE OBRA CRITÉRIO DE VÃOS - ASSENTAMENTO DE BLOCOS DE CONCRETO*</t>
  </si>
  <si>
    <t>MÃO DE OBRA CRITÉRIO DE VÃOS - ASSENTAMENTO BLOCOS CERÂMICOS*</t>
  </si>
  <si>
    <t>MÃO DE OBRA EMPREITADA VEDAÇÕES INTERNAS E EXTERNAS - ASSENTAMENTO DE BLOCOS DE CONCRETO*</t>
  </si>
  <si>
    <t>MÃO DE OBRA EMPREITADA VEDAÇÕES INTERNAS E EXTERNAS - ASSENTAMENTO BLOCOS CERÂMICOS*</t>
  </si>
  <si>
    <t>REGULARIZAÇÃO DE SUPERFÍCIE PARA IMPERMEABILIZAÇÃO*</t>
  </si>
  <si>
    <t>PROTEÇÃO MECÂNICA COM ARGAMASSA DE CIMENTO E AREIA, TRAÇO 1:3, ESPESSURA 5CM, COM CAMADA SEPARADORA DE POLIETILENO*</t>
  </si>
  <si>
    <t>MANTA ASFÁLTICA ESPESSURA 5MM, ACABAMENTO PP, TIPO II, CLASSE C, UMA CAMADA, APLICAÇÃO COM PRIMER ASFÁLTICO*</t>
  </si>
  <si>
    <t>IMPERMEABILIZAÇÃO COM ARGAMASSA POLIMÉRICA, 4 DEMÃOS COM VÉU DE POLIÉSTER*</t>
  </si>
  <si>
    <t>IMPERMEABILIZAÇÃO COM MANTA LÍQUIDA EM PEITORIS*</t>
  </si>
  <si>
    <t>MÃO DE OBRA EMPREITADA PARA REGULARIZAÇÃO DE SUPERFÍCIE*</t>
  </si>
  <si>
    <t>MÃO DE OBRA EMPREITADA PARA IMPERMEABILIZAÇÃO DE MANTA ASFÁLTICA*</t>
  </si>
  <si>
    <t>MÃO DE OBRA EMPREITADA PARA IMPERMEABILIZAÇÃO COM ARGAMASSA POLIMÉRICA*</t>
  </si>
  <si>
    <t>MÃO DE OBRA EMPREITADA PARA EXECUÇÃO DE PROTEÇÃO MECÂNICA EM SUPERFÍCIE IMPERMEABILIZADA*</t>
  </si>
  <si>
    <t>MÃO DE OBRA EMPREITADA PARA TRATAMENTO DE RALO*</t>
  </si>
  <si>
    <t>TRATAMENTO DE RALO COM ARGAMASSA POLIMÉRICA COM FIBRAS E VÉU DE POLIÉSTER*</t>
  </si>
  <si>
    <t>REGULARIZAÇÃO DE PISO EM ARGAMASSA INDUSTRIALIZADA, ESPESSURA 2 CM*</t>
  </si>
  <si>
    <t>REGULARIZAÇÃO DE PISO PARA COLOCAÇÃO DE PISO VINILICO/LAMINADO EM ARGAMASSA INDUSTRIALIZADA, ESPESSURA 2 CM*</t>
  </si>
  <si>
    <t>PISO DE CONCRETO POLIDO, ACABAMENTO CAMURÇADO, ESPESSURA 2 CM*</t>
  </si>
  <si>
    <t>MASSA ÚNICA INTERNA EM ARGAMASSA ESTABILIZADA, APLICAÇÃO MANUAL EM PAREDES, ESPESSURA DE 2 CM*</t>
  </si>
  <si>
    <t>ESTUCAMENTO DE ESTRUTURA DE CONCRETO EM PILARES E EM VIGAS*</t>
  </si>
  <si>
    <t>MÃO DE OBRA EMPREITADA PARA EXECUÇÃO CONTRAPISO COMUM*</t>
  </si>
  <si>
    <t>MÃO DE OBRA EMPREITADA PARA EXECUÇÃO CONTRAPISO ACÚSTICO*'</t>
  </si>
  <si>
    <t>MÃO DE OBRA EMPREITADA PARA EXECUÇÃO DE PISO DE CONCRETO SOBRE O SOLO*</t>
  </si>
  <si>
    <t xml:space="preserve">MÃO DE OBRA EMPREITADA PARA POLIMENTO DE PISO DE CONCRETO*     </t>
  </si>
  <si>
    <t>MÃO DE OBRA MISTA PARA REBOCO INTERNO EM PAREDES, INCLUSO CHAPISCO*</t>
  </si>
  <si>
    <t>MÃO DE OBRA EMPREITADA PARA ESTUCAMENTO DE ESTRUTURA DE CONCRETO*</t>
  </si>
  <si>
    <t>CHAPISCO INTERNO DE ARGAMASSA CIMENTO E AREIA (1:4), APLICADO EM TETO, COM DESEMPENADEIRA DENTADA*</t>
  </si>
  <si>
    <t>MASSA ÚNICA INTERNA EM ARGAMASSA ESTABILIZADA, APLICAÇÃO MANUAL EM TETO, ESPESSURA DE 2CM*</t>
  </si>
  <si>
    <t>ESTUCAMENTO DE ESTRUTURA DE CONCRETO EM TETO*</t>
  </si>
  <si>
    <t>FORRO DE GESSO ACARTONADO, APLICAÇÃO EM ÁREAS SECAS - MATERIAL E MÃO DE OBRA*</t>
  </si>
  <si>
    <t>FORRO DE GESSO ACARTONADO, APLICAÇÃO EM ÁREAS MOLHADAS - MATERIAL E MÃO E OBRA*</t>
  </si>
  <si>
    <t>GESSO NEGATIVO - MATERIAL E MÃO DE OBRA*</t>
  </si>
  <si>
    <t>MÃO DE OBRA EMPREITADA PARA REBOCO INTERNO EM TETO, INCLUSO CHAPISCO*</t>
  </si>
  <si>
    <t>FECHAMENTO DOS SHAFTS EM PLACA CIMENTÍCIA</t>
  </si>
  <si>
    <t>MÃO DE OBRA EMPREITADA PARA IMPERMEABILIZAÇÃO DE PEITORIS COM MANTA LÍQUIDA*</t>
  </si>
  <si>
    <t>PINTURA COM TINTA LÁTEX ACRÍLICA EM PAREDES INTERNAS, ACABAMENTO FOSCO, 3 DEMÃOS*</t>
  </si>
  <si>
    <t>PINTURA COM TINTA LÁTEX ACRÍLICA EM FOSSO DO ELEVADOR, 1 DEMÃO*</t>
  </si>
  <si>
    <t>PINTURA EPÓXI EM PISO, APLICAÇÃO MANUAL, 2 DEMÃOS*</t>
  </si>
  <si>
    <t xml:space="preserve">PINTURA EPÓXI EM PARA FAIXAS DE DEMARCAÇÃO EM PISO, COR AMARELA, APLICAÇÃO MANUAL, 2 DEMÃOS* </t>
  </si>
  <si>
    <t xml:space="preserve">MÃO DE OBRA EMPREITADA PARA PINTURA EPÓXI EM PISO, 2 DEMÃOS* </t>
  </si>
  <si>
    <t xml:space="preserve">MÃO DE OBRA EMPREITADA PARA FAIXAS DE DEMARCAÇÃO EM PISO* </t>
  </si>
  <si>
    <t xml:space="preserve">MÃO DE OBRA EMPREITADA PARA APLICAÇÃO DE FUNDO PREPARADOR EM PAREDES INTERNAS, 1 DEMÃO* </t>
  </si>
  <si>
    <t>MÃO DE OBRA EMPREITADA PARA APLICAÇÃO E LIXAMENTO DE MASSA EM PAREDES*</t>
  </si>
  <si>
    <t xml:space="preserve">MÃO DE OBRA EMPREITADA PARA PINTURA ACRÍLICA EM PAREDE INTERNA 3 DEMÃOS* </t>
  </si>
  <si>
    <t xml:space="preserve">MÃO DE OBRA EMPREITADA PARA REGULARIZAÇÃO E PINTURA DO FOSSO DO ELEVADOR* </t>
  </si>
  <si>
    <t xml:space="preserve">MÃO DE OBRA EMPREITADA PARA APLICAÇÃO E LIXAMENTO DE MASSA EM TETO* </t>
  </si>
  <si>
    <t>MÃO DE OBRA EMPREITADA PARA PINTURA ACRÍLICA EM TETO, 2 DEMÃOS*</t>
  </si>
  <si>
    <t xml:space="preserve">MÃO DE OBRA EMPREITADA PARA TRATAMENTO DE JUNTAS EM REBOCO* </t>
  </si>
  <si>
    <t>MÃO DE OBRA EMPREITADA PARA EXECUÇÃO DE CHAPISCO EXTERNO*</t>
  </si>
  <si>
    <t>ARMAÇÃO AÇO CA-60, DIÂMETRO 5,0MM PARA SUPRAESTRUTURA - CORTADO E DOBRADO EM INDÚSTRIA*</t>
  </si>
  <si>
    <t>ARMAÇÃO AÇO CA-50, DIÂMETRO 8,0MM PARA SUPRAESTRUTURA - CORTADO E DOBRADO EM INDÚSTRIA*</t>
  </si>
  <si>
    <t>ARMAÇÃO AÇO CA-50, DIÂMETRO 10,0MM PARA SUPRAESTRUTURA - CORTADO E DOBRADO EM INDÚSTRIA*</t>
  </si>
  <si>
    <t>ARMAÇÃO AÇO CA-50, DIÂMETRO 12,5MM PARA SUPRAESTRUTURA - CORTADO E DOBRADO EM INDÚSTRIA*</t>
  </si>
  <si>
    <t>ARMAÇÃO AÇO CA-50, DIÂMETRO 16,0MM PARA SUPRAESTRUTURA - CORTADO E DOBRADO EM INDÚSTRIA*</t>
  </si>
  <si>
    <t>ARMAÇÃO AÇO CA-50, DIÂMETRO 20,0MM PARA SUPRAESTRUTURA - CORTADO E DOBRADO EM INDÚSTRIA*</t>
  </si>
  <si>
    <t>ARMAÇÃO AÇO CA-50, DIÂMETRO 25,0MM PARA SUPRAESTRUTURA - CORTADO E DOBRADO EM INDÚSTRIA*</t>
  </si>
  <si>
    <t>FABRICAÇÃO DE FÔRMA PARA PILARES, EM CHAPAS DE MADEIRA COMPENSADA PLASTIFICADA, E=18MM*</t>
  </si>
  <si>
    <t>FABRICAÇÃO DE FÔRMA PARA VIGAS, EM CHAPAS DE MADEIRA COMPENSADA PLASTIFICADA, E=18MM*</t>
  </si>
  <si>
    <t>FABRICAÇÃO DE FÔRMA PARA LAJES, EM CHAPAS DE MADEIRA COMPENSADA PLASTIFICADA, E=18MM*</t>
  </si>
  <si>
    <t>MONTAGEM E DESMONTAGEM DE FÔRMA DE PILARES, EM CHAPA DE MADEIRA COMPENSADA PLASTIFICADA*</t>
  </si>
  <si>
    <t>MONTAGEM E DESMONTAGEM DE FÔRMA DE VIGA, EM CHAPA DE MADEIRA PLASTIFICADA*</t>
  </si>
  <si>
    <t>MONTAGEM E DESMONTAGEM DE FÔRMA DE LAJE, EM CHAPA DE MADEIRA PLASTIFICADA*</t>
  </si>
  <si>
    <t>FABRICAÇÃO DE FÔRMA PARA ESCADA, EM CHAPAS DE MADEIRA COMPENSADA PLASTIFICADA, E=18MM*</t>
  </si>
  <si>
    <t>MONTAGEM E DESMONTAGEM DE FÔRMA DE ESCADAS, EM CHAPA DE MADEIRA PLASTIFICADA*</t>
  </si>
  <si>
    <t>MÃO DE OBRA EMPREITADA PARA EXECUÇÃO DE BLOCOS E BALDRAMES*</t>
  </si>
  <si>
    <t>PASSEIO EM CONCRETO ESTAMPADO*</t>
  </si>
  <si>
    <t>MÃO DE OBRA EMPREITADA PARA EXECUÇÃO DE PASSEIO EM CONCRETO ESTAMPADO*</t>
  </si>
  <si>
    <t>PISO TÁTIL*</t>
  </si>
  <si>
    <t>REVESTIMENTO INTERNO DE PISO CERÂMICO, PLACA 45X45, APLICAÇÃO EM LIXEIRA*</t>
  </si>
  <si>
    <t>REVESTIMENTO INTERNO DE PISO PORCELANATO, PLACA 60X60, APLICAÇÃO EM ÁREAS DESCOBERTAS DO CONDOMÍNIO*</t>
  </si>
  <si>
    <t>REVESTIMENTO INTERNO DE PISO PORCELANATO, PLACA 60X60, APLICAÇÃO EM ÁREAS SALAS COMERCIAIS*</t>
  </si>
  <si>
    <t>REVESTIMENTO INTERNO DE PISO PORCELANATO, PLACA 60X60, APLICAÇÃO EM ÁREAS SOCIAIS DO CONDOMÍNIO*</t>
  </si>
  <si>
    <t>RODAPÉ EM POLIESTIRENO, ALTURA 10 CM*</t>
  </si>
  <si>
    <t>RODAPÉ EM PORCELANATO, ALTURA 10CM, COM PLACA 60X60, APLICAÇÃO EM ÁREAS SOCIAIS DO CONDOMÍNIO*</t>
  </si>
  <si>
    <t>SOLEIRA EM PEDRA NATURAL E/OU SINTÉTICA*</t>
  </si>
  <si>
    <t>REVESTIMENTO INTERNO DE PAREDE EM CERÂMICA, PLACA 30X60, APLICAÇÃO EM LIXEIRA*</t>
  </si>
  <si>
    <t>PEITORIL EM PEDRA NATURAL E/OU SINTÉTICA*</t>
  </si>
  <si>
    <t>PINGADEIRA EM PEDRA NATURAL E/OU SINTÉTICA</t>
  </si>
  <si>
    <t>MÃO DE OBRA PARA COLOCAÇÃO E REJUNTAMENTO DE PISO CERÂMICO*</t>
  </si>
  <si>
    <t>MÃO DE OBRA PARA COLOCAÇÃO E REJUNTAMENTO DE PISO PORCELANATO*</t>
  </si>
  <si>
    <t>MÃO DE OBRA EMPREITADA PARA COLOCAÇÃO DE RODAPÉ DE POLIESTIRENO*</t>
  </si>
  <si>
    <t>MÃO DE OBRA EMPREITADA PARA COLOCAÇÃO DE RODAPÉ CERÂMICO / PORCELANATO*</t>
  </si>
  <si>
    <t>MÃO DE OBRA EMPREITADA PARA COLOCAÇÃO DE SOLEIRAS*</t>
  </si>
  <si>
    <t>MÃO DE OBRA EMPREITADA PARA COLOCAÇÃO DE PEITORIS*</t>
  </si>
  <si>
    <t>MÃO DE OBRA EMPREITADA PARA COLOCAÇÃO DE PINGADEIRA*</t>
  </si>
  <si>
    <t>MÃO DE OBRA EMPREITADA PARA COLOCAÇÃO E REJUNTAMENTO DE REVESTIMENTO CERÂMICO EM PAREDE*</t>
  </si>
  <si>
    <t>MÃO DE OBRA EMPREITADA PARA INSTALAÇÕES DE GÁS*</t>
  </si>
  <si>
    <t>MÃO DE OBRA EMPREITADA PARA INSTALAÇÕES PREVENTIVAS*</t>
  </si>
  <si>
    <t>MÃO DE OBRA EMPREITADA PARA INSTALAÇÕES SPDA*</t>
  </si>
  <si>
    <t>ELEVADOR SOCIAL - 2 PARADAS*</t>
  </si>
  <si>
    <t>ELEVADOR SOCIAL*</t>
  </si>
  <si>
    <t>ELEVADOR DE SERVIÇO*</t>
  </si>
  <si>
    <t>VENTOKIT*</t>
  </si>
  <si>
    <t>ASSENTAMENTO DE TIJOLOS REFRATÁRIOS DE 6,3X11,4X22,9CM COM ARGAMASSA REFRATÁRIA*</t>
  </si>
  <si>
    <t>MÃO DE ORBA EMPREITADA PARA ASSENTAMENTO DE TIJOLOS REFRATÁRIOS*</t>
  </si>
  <si>
    <t>TRATAMENTO DE JUNTA DE DILATAÇÃO COM MANTA ASFÁLTICA*</t>
  </si>
  <si>
    <t>MÃO DE OBRA EMPREITADA PARA TRATAMENTO DE JUNTA DE DILATAÇÃO COM MANTA ASFÁTILCA*</t>
  </si>
  <si>
    <t>PASTILHA CERÂMICA, APLICAÇÃO EM, PISCINAS*</t>
  </si>
  <si>
    <t>MÃO DE OBRA EMPREITADA PARA ASSENTAMENTO E REJUNTAMENTO DE PASTILHAS EM PISCINA*</t>
  </si>
  <si>
    <t>DECK DE MADEIRA - MATERIAL E MÃO DE OBRA*</t>
  </si>
  <si>
    <t>GRAMA SINTÉTICA - MATERIAL E MÃO DE OBRA*</t>
  </si>
  <si>
    <t>REVESTIMENTO INTERNO DE VINÍLICO, APLICAÇÃO EM DORMITÓRIOS*</t>
  </si>
  <si>
    <t>REVESTIMENTO INTERNO DE VINÍLICO, APLICAÇÃO EM ÁREAS SOCIAIS DO CONDOMÍNIO*</t>
  </si>
  <si>
    <t>MÃO DE OBRA EMPREITADA PARA COLOCAÇÃO DE PISO VINÍLICO*</t>
  </si>
  <si>
    <t>MÃO DE OBRA EMPREITADA PARA APLICAÇÃO DE FUNDO PREPARADOR EM TETO, 1 DEMÃO*</t>
  </si>
  <si>
    <t>MÃO DE OBRA EMPREITADA PARA APLICAÇÃO TEXTURA ACRÍLICA EM PAREDES*</t>
  </si>
  <si>
    <t>MÃO DE OBRA EMPREITADA PARA APLICAÇÃO TEXTURA ACRÍLICA EM TETO*</t>
  </si>
  <si>
    <t>MÃO DE OBRA EMPREITADA PARA PINTURA ACRÍLICA EM PAREDE INTERNA 2 DEMÃOS*</t>
  </si>
  <si>
    <t>PINTURA COM TINTA ACRÍLICA ESPECIAL PARA PISO*</t>
  </si>
  <si>
    <t>FUNDO PREPARADOR DE SUPERFÍCIES, APLICAÇÃO EM PAREDES INTERNAS, 1 DEMÃO*</t>
  </si>
  <si>
    <t>FUNDO PREPARADOR DE SUPERFÍCIES, APLICAÇÃO EM PAREDES TETO, 1 DEMÃO*</t>
  </si>
  <si>
    <t>MÃO DE OBRA EMPREITADA PARA PINTURA ACRÍLICA EM PISO, 2 DEMÃOS*</t>
  </si>
  <si>
    <t>APLICAÇÃO E LIXAMENTO DE MASSA LÁTEX ACRÍLICA EM PAREDES, 2 DEMÃOS*</t>
  </si>
  <si>
    <t xml:space="preserve">PINTURA COM TINTA LÁTEX ACRÍLICA EM PAREDES INTERNAS, ACABAMENTO FOSCO, 2 DEMÃOS*         </t>
  </si>
  <si>
    <t>TEXTURA ACRÍLICA, APLICAÇÃO EM PAREDES INTERNAS DA ESCADARIA, 1 DEMÃO</t>
  </si>
  <si>
    <t>TEXTURA ACRÍLICA, APLICAÇÃO EM PAREDES INTERNAS DAS ÁREAS COMUNS, 1 DEMÃO</t>
  </si>
  <si>
    <t>TEXTURA ACRÍLICA, APLICAÇÃO EM TETO, 1 DEMÃO</t>
  </si>
  <si>
    <t>APLICAÇÃO E LIXAMENTO DE MASSA LÁTEX ACRÍLICA EM TETO, 2 DEMÃOS*</t>
  </si>
  <si>
    <t>PINTURA COM TINTA LÁTEX ACRÍLICA EM TETO, ACABAMENTO FOSCO, 2 DEMÃOS*</t>
  </si>
  <si>
    <t>MÃO DE OBRA EMPREITADA PARA FAIXAS DE DEMARCAÇÃO EM PAREDES*</t>
  </si>
  <si>
    <t xml:space="preserve">PINTURA COM TINTA LÁTEX ACRÍLICA PARA FAIXAS DE DEMARCAÇÃO EM PAREDES*  </t>
  </si>
  <si>
    <t>CONTRAMARCO DE ALUMÍNIO, FIXAÇÃO COM ARGAMASSA*</t>
  </si>
  <si>
    <t>CONTRAMARCO DE AÇO GALVANIZADO, FIXAÇÃO COM ARGAMASSA*</t>
  </si>
  <si>
    <t>MÃO DE OBRA EMPREITADA PARA FIXAÇÃO DE CONTRAMARCO*</t>
  </si>
  <si>
    <t>MÃO DE OBRA EMPREITADA PARA INSTALAÇÃO DE PORTA DE MADEIRA*</t>
  </si>
  <si>
    <t>FECHADURA DE EMBUTIR COM CILINDRO, BANHEIRO*</t>
  </si>
  <si>
    <t>FECHADURA DE EMBUTIR COM CILINDRO, PORTAS INTERNAS*</t>
  </si>
  <si>
    <t>FECHADURA DE EMBUTIR COM CILINDRO, PORTAS EXTERNAS*</t>
  </si>
  <si>
    <t>PORTA CORTA FOGO P60, 100X210CM, PINTURA PRONTA, COM DOBRADIÇAS E MAÇANETA - FORNECIMENTO E INSTALAÇÃO*</t>
  </si>
  <si>
    <t>TELA TIPO GRADE PARA EXTRAÇÃO DE FUMAÇA 1,20X0,70 CM*</t>
  </si>
  <si>
    <t>FECHADURA ELETRÔNICA - MATERIAL E MÃO DE OBRA*</t>
  </si>
  <si>
    <t>PUXADOR PARA PORTA*</t>
  </si>
  <si>
    <t>GUARDA-CORPO DE ALUMÍNIO COM VIDRO LAMINADO, FIXAÇÃO COM ADESIVO EPÓXI*</t>
  </si>
  <si>
    <t>CORRIMÃO DE AÇO GALVANIZADO SIMPLES*</t>
  </si>
  <si>
    <t>PORTA DE MADEIRA, DE ABRIR 60X210CM, FIXAÇÃO COM ESPUMA EXPANSIVA*</t>
  </si>
  <si>
    <t>PORTA DE MADEIRA, DE ABRIR 80X210CM, FIXAÇÃO COM ESPUMA EXPANSIVA*</t>
  </si>
  <si>
    <t>GRADIL TIPO BRISE</t>
  </si>
  <si>
    <t>PORTÕES BASCULANTES COM MOTOR*</t>
  </si>
  <si>
    <t>PELE DE VIDRO*</t>
  </si>
  <si>
    <t>MÃO DE OBRA EMPREITADA PARA EXECUÇÃO DE REBOCO EXTERNO*</t>
  </si>
  <si>
    <t>MÃO DE OBRA EMPREITADA PARA APLICAÇÃO DE FUNDO SELADOR EM PAREDES EXTERNAS*</t>
  </si>
  <si>
    <t>MÃO DE OBRA EMPREITADA PARA APLICAÇÃO DE TEXTURA PROJETADA EM PAREDES EXTERNAS*</t>
  </si>
  <si>
    <t>MÃO DE OBRA EMPREITADA PARA COLOCAÇÃO DE PASTILHA CERÂMICA EM PAREDES EXTERNAS*</t>
  </si>
  <si>
    <t>CHAPISCO EXTERNO DE ARGAMASSA PRÉ-FABRICADA ADESIVA DE CIMENTO COLANTE, APLICADO EM ESTRUTURA DE CONCRETO ARMADO, COM DESEMPENADEIRA DENTADA*</t>
  </si>
  <si>
    <t>CHAPISCO EXTERNO DE ARGAMASSA INDUSTRIALIZADA, APLICADO EM ALVENARIA*</t>
  </si>
  <si>
    <t>MASSA ÚNICA PARA EMBOÇO E REBOCO EM PAREDES EXTERNAS EM ARGAMASSA ESTABILIZADA, ESPESSURA 3CM*</t>
  </si>
  <si>
    <t>TELA SOLDADA PARA LIGAÇÃO ALVENARIA/ESTRUTURA EM CHAPISCO EXTERNO*</t>
  </si>
  <si>
    <t xml:space="preserve">FUNDO PREPARADOR DE SUPERFÍCIES, APLICAÇÃO EM PAREDES EXTERNAS, 1 DEMÃO* </t>
  </si>
  <si>
    <t>TEXTURA PROJETADA, COR CINZA ESCURO*</t>
  </si>
  <si>
    <t>TEXTURA PROJETADA, COR CINZA CLARO*</t>
  </si>
  <si>
    <t>TEXTURA PROJETADA, COR BRANCA*</t>
  </si>
  <si>
    <t>PASTILHA CERÂMICA TIPO TIJOLETA, APLICAÇÃO EM PAREDES EXTERNAS*</t>
  </si>
  <si>
    <t>TRATAMENTO DE JUNTAS DE DILATAÇÃO COM TARUGO, SELANTE E MEMBRANA*</t>
  </si>
  <si>
    <t>ISOLAMENTO TÉRMICO DE COBERTURA COM EPS*</t>
  </si>
  <si>
    <t>MÃO DE OBRA EMPREITADA PARA ISOLAMENTO TÉRMICO EM COBERTURA*</t>
  </si>
  <si>
    <t>REVESTIMENTO INTERNO DE PAREDE EM PORCELANATO, PLACA 30X60, APLICAÇÃO EM BANHEIROS DOS APARTAMENTOS*</t>
  </si>
  <si>
    <t>REVESTIMENTO INTERNO DE PAREDE EM PORCELANATO, PLACA 30X60, APLICAÇÃO EM COZINHA/ÁREA DE SERVIÇO DOS APARTAMENTOS*</t>
  </si>
  <si>
    <t>REVESTIMENTO INTERNO DE PISO PORCELANATO, PLACA 60X60, APLICAÇÃO EM ÁREAS SOCIAIS DO APARTAMENTO*</t>
  </si>
  <si>
    <t>REVESTIMENTO INTERNO DE PISO PORCELANATO, PLACA 60X60, APLICAÇÃO EM BANHEIROS*</t>
  </si>
  <si>
    <t>REVESTIMENTO INTERNO DE PISO PORCELANATO, PLACA 60X60, APLICAÇÃO EM TERRAÇOS E SACADAS*</t>
  </si>
  <si>
    <t>CALHAS E RUFOS*</t>
  </si>
  <si>
    <t>MÃO DE OBRA EMPREITADA PARA AEXECUÇÃO DE COBERTURA COM ESTRUTURA METÁLICA E TELHAS DE FIBROCIMENTO*</t>
  </si>
  <si>
    <t>DESPESAS DE CONSUMO - ÁGUA*</t>
  </si>
  <si>
    <t>DESPESAS DE CONSUMO - LUZ*</t>
  </si>
  <si>
    <t>DESPESAS DE CONSUMO - INTERNET*</t>
  </si>
  <si>
    <t>DESPESAS DE CONSUMO - COLETA DE LIXO*</t>
  </si>
  <si>
    <t>DESPESAS DE CONSUMO - MATERIAL DE EXPEDIENTE*</t>
  </si>
  <si>
    <t>DESPESAS DE CONSUMO - MATERIAL DE LIMPEZA*</t>
  </si>
  <si>
    <t>DESPESAS DE CONSUMO - ALIMENTAÇÃO*</t>
  </si>
  <si>
    <t>MANUTENÇÃO PROVISÓRIA DO CANTEIRO*</t>
  </si>
  <si>
    <t>REMOÇÃO ORDINÁRIA DE ENTULHOS, COM TRANSPORTE PARA BOTA-FORA*</t>
  </si>
  <si>
    <t>ESGOTAMENTO DE SISTEMA SANITÁRIO TEMPORÁRIO*</t>
  </si>
  <si>
    <t>DESPESAS COM VIZINHOS*</t>
  </si>
  <si>
    <t>CONTROLE DE ACESSO*</t>
  </si>
  <si>
    <t>FRETES E CARRETOS*</t>
  </si>
  <si>
    <t>CÓPIAS E PLOTAGENS*</t>
  </si>
  <si>
    <t>EQUIPAMENTOS DE ESCRITÓRIO*</t>
  </si>
  <si>
    <t>ELEVADOR CREMALHEIRA - LOCAÇÃO*</t>
  </si>
  <si>
    <t>ELEVADOR DE CARGA - AQUISIÇÃO*</t>
  </si>
  <si>
    <t>GUINCHO DE COLUNA - LOCAÇÃO*</t>
  </si>
  <si>
    <t>MINI GRUA - LOCAÇÃO*</t>
  </si>
  <si>
    <t>ANDAIME TUBULAR TIPO TORRE - LOCAÇÃO*</t>
  </si>
  <si>
    <t>LOCAÇÃO DE BALANCIM ELÉTRICO - LOCAÇÃO*</t>
  </si>
  <si>
    <t>LOCAÇÃO DE BANHEIRO QUÍMICO*</t>
  </si>
  <si>
    <t>FERRAMENTAS*</t>
  </si>
  <si>
    <t>EQUIPAMENTOS / ACESSÓRIOS DE APOIO AO CANTEIRO DE OBRA (CARRINHOS, GIRICAS, ETC.)*</t>
  </si>
  <si>
    <t>CONDUTOR DE ENTULHO VERTICAL - AQUISIÇÃO*</t>
  </si>
  <si>
    <t>MANUTENÇÕES PREVENTIVAS*</t>
  </si>
  <si>
    <t>MANUTENÇÕES CORRETIVAS*</t>
  </si>
  <si>
    <t>EQUIPAMENTOS DE LAZER*</t>
  </si>
  <si>
    <t>COMUNICACAO VISUAL*</t>
  </si>
  <si>
    <t>PAISAGISMO*</t>
  </si>
  <si>
    <t>LIMPEZA FINAL*</t>
  </si>
  <si>
    <t>DESMOBILIZAÇÃO DE M.O*</t>
  </si>
  <si>
    <t>IMPREVISTOS E CONTINGÊNCIAS*</t>
  </si>
  <si>
    <t>MOBILIÁRIO DE APOIO A OBRA*</t>
  </si>
  <si>
    <t>INSTALACOES  PROVISORIAS CANTEIRO DE OBRAS - BARRACOS, BAIS E AFINS*</t>
  </si>
  <si>
    <t>EXECUÇÃO DE PASSEIO EM PISO INTERTRAVADO, COM PAVER RETANGULAR COR NATURAL DE 20 x 10 CM, ESPESSURA 6 CM</t>
  </si>
  <si>
    <t>LIGACAO DE AGUA E ESGOTO CONTAINER</t>
  </si>
  <si>
    <t>LIGACAO PROVISORIA DE ENERGIA PARA PLANTAO DE VENDAS</t>
  </si>
  <si>
    <t>BARRACOS DE OBRA</t>
  </si>
  <si>
    <t>INSTALACOES ELETRICAS PROVISORIAS CANTEIRO DE OBRAS</t>
  </si>
  <si>
    <t>INSTALACOES HIDRAULICAS PROVISORIAS CANTEIRO DE OBRAS</t>
  </si>
  <si>
    <t>LOCAÇÃO DE ESCORAMENTO METÁLICO - MEZANINO*</t>
  </si>
  <si>
    <t>LOCAÇÃO DE ESCORAMENTO METÁLICO - GARAGEM EPP*</t>
  </si>
  <si>
    <t>LOCAÇÃO DE ESCORAMENTO METÁLICO - GARAGEM 2*</t>
  </si>
  <si>
    <t>LOCAÇÃO DE ESCORAMENTO METÁLICO - LAZER*</t>
  </si>
  <si>
    <t>LOCAÇÃO DE ESCORAMENTO METÁLICO - PAV. TIPO (4X) - TORRE A*</t>
  </si>
  <si>
    <t>LOCAÇÃO DE ESCORAMENTO METÁLICO - TIPO DIFERENCIADO - TORRE A*</t>
  </si>
  <si>
    <t>LOCAÇÃO DE ESCORAMENTO METÁLICO - CASA DE MÁQUINAS - TORRE A*</t>
  </si>
  <si>
    <t>LOCAÇÃO DE ESCORAMENTO METÁLICO - RESERVATÓRIO - TORRE A*</t>
  </si>
  <si>
    <t>LOCAÇÃO DE ESCORAMENTO METÁLICO - PAV. TIPO (4X) - TORRE B*</t>
  </si>
  <si>
    <t>LOCAÇÃO DE ESCORAMENTO METÁLICO - CASA DE MÁQUINAS - TORRE B*</t>
  </si>
  <si>
    <t>LOCAÇÃO DE ESCORAMENTO METÁLICO - RESERVATÓRIO - TORRE B*</t>
  </si>
  <si>
    <t>QUADROS ELÉTRICOS, CAIXAS E DISJUNTORES - EMBASAMENTO/CONDOMÍNIO*</t>
  </si>
  <si>
    <t>ELETRODUTOS E ELETROCALHAS - EMBASAMENTO/CONDOMÍNIO*</t>
  </si>
  <si>
    <t>FIOS E CABOS ELÉTRICOS - EMBASAMENTO/CONDOMÍNIO*</t>
  </si>
  <si>
    <t>PONTOS DE TOMADAS E INTERRUPTORES - EMBASAMENTO/CONDOMÍNIO*</t>
  </si>
  <si>
    <t>LUMINÁRIAS, LÂMPADAS E ACESSÓRIOS ? EMBASAMENTO/CONDOMÍNIO*</t>
  </si>
  <si>
    <t>INSTALAÇÕES DE ÁGUA FRIA - TÉRREO*</t>
  </si>
  <si>
    <t>INSTALAÇÕES DE ÁGUA QUENTE - TÉRREO*</t>
  </si>
  <si>
    <t>INSTALAÇÕES DE ESGOTO E ÁGUAS PLUVIAIS - TÉRREO*</t>
  </si>
  <si>
    <t>INSTALAÇÕES DRENAGEM DE HVAC - TÉRREO*</t>
  </si>
  <si>
    <t>APARELHOS SANITÁRIOS, LOUÇAS, METAIS E ACESSÓRIOS - TÉRREO*</t>
  </si>
  <si>
    <t>INSTALAÇÕES DE ÁGUA FRIA - MEZANINO*</t>
  </si>
  <si>
    <t>INSTALAÇÕES DE ÁGUA QUENTE - MEZANINO*</t>
  </si>
  <si>
    <t>INSTALAÇÕES DRENAGEM DE HVAC - MEZANINO*</t>
  </si>
  <si>
    <t>INSTALAÇÕES DE ESGOTO - MEZANINO*</t>
  </si>
  <si>
    <t>APARELHOS SANITÁRIOS, LOUÇAS, METAIS E ACESSÓRIOS - MEZANINO*</t>
  </si>
  <si>
    <t>INSTALAÇÕES DE ÁGUA FRIA - GARAGEM EPP*</t>
  </si>
  <si>
    <t>INSTALAÇÕES DE ÁGUA QUENTE - GARAGEM*</t>
  </si>
  <si>
    <t>INSTALAÇÕES DRENAGEM DE HVAC - GARAGEM EPP*</t>
  </si>
  <si>
    <t>INSTALAÇÕES DE ESGOTO - GARAGEM EPP*</t>
  </si>
  <si>
    <t>INSTALAÇÕES DE ÁGUA FRIA - GARAGEM*</t>
  </si>
  <si>
    <t>INSTALAÇÕES DE ESGOTO - GARAGEM*</t>
  </si>
  <si>
    <t>INSTALAÇÕES DE ÁGUA FRIA - LAZER*</t>
  </si>
  <si>
    <t>INSTALAÇÕES DE ÁGUA QUENTE - LAZER*</t>
  </si>
  <si>
    <t>INSTALAÇÕES DRENAGEM DE HVAC - LAZER*</t>
  </si>
  <si>
    <t>INSTALAÇÕES DE ESGOTO - LAZER*</t>
  </si>
  <si>
    <t>APARELHOS SANITÁRIOS, LOUÇAS, METAIS E ACESSÓRIOS - LAZER*</t>
  </si>
  <si>
    <t>INSTALAÇÕES DE GÁS</t>
  </si>
  <si>
    <t>INSTALAÇÕES PREVENTIVAS*</t>
  </si>
  <si>
    <t>INSTALAÇÕES DE PROTEÇÃO E ATERRAMENTO - SPDA*</t>
  </si>
  <si>
    <t>AUTOMAÇÃO E SISTEMAS LÓGICOS E TELECOMUNICAÇÃO - EMBASAMENTO*</t>
  </si>
  <si>
    <t>SISTEMA DE DUTOS E EXAUSTÃO PARA CHURRASQUEIRAS - LAZER*</t>
  </si>
  <si>
    <t>SISTEMAS ESPECIAIS - EMBASAMENTO*</t>
  </si>
  <si>
    <t>INFRAESTRUTURA PARA AR CONDICIONADO - EMBASAMENTO*</t>
  </si>
  <si>
    <t>SERRALHERIAS - TÉRREO*</t>
  </si>
  <si>
    <t>ESQUADRIAS DE ALUMÍNIO COM VIDRO - TÉRREO*</t>
  </si>
  <si>
    <t>VIDROS TEMPERADOS - TÉRREO*</t>
  </si>
  <si>
    <t>PORTÕES BASCULANTES COM MOTOR - TÉRREO*</t>
  </si>
  <si>
    <t>ESQUADRIAS DE ALUMÍNIO COM VIDRO - MEZANINO*</t>
  </si>
  <si>
    <t>PORTÕES BASCULANTES COM MOTOR - GARAGEM EPP*</t>
  </si>
  <si>
    <t>PORTÕES BASCULANTES COM MOTOR - GARAGEM*</t>
  </si>
  <si>
    <t>VIDROS TEMPERADOS - GARAGEM EPP*</t>
  </si>
  <si>
    <t>VIDROS TEMPERADOS - GARAGEM*</t>
  </si>
  <si>
    <t>SERRALHERIAS - GARAGEM EPP*</t>
  </si>
  <si>
    <t>SERRALHERIAS - GARAGEM*</t>
  </si>
  <si>
    <t>ESQUADRIAS DE ALUMÍNIO COM VIDRO - LAZER*</t>
  </si>
  <si>
    <t>SERRALHERIAS - LAZER*</t>
  </si>
  <si>
    <t>GURDA CORPO PISCINA*</t>
  </si>
  <si>
    <t>QUADROS ELÉTRICOS, CAIXAS E DISJUNTORES - TORRE A*</t>
  </si>
  <si>
    <t>ELETRODUTOS E ELETROCALHAS- TORRE A*</t>
  </si>
  <si>
    <t>FIOS E CABOS ELÉTRICOS - TORRE A*</t>
  </si>
  <si>
    <t>PONTOS DE TOMADAS E INTERRUPTORES - TORRE A*</t>
  </si>
  <si>
    <t>LUMINÁRIAS, LÂMPADAS E ACESSÓRIOS - TORRE A*</t>
  </si>
  <si>
    <t>INSTALAÇÕES DE ÁGUA FRIA - TIPO DIFERENCIADO - TORRE A*</t>
  </si>
  <si>
    <t>INSTALAÇÕES DE ÁGUA QUENTE - TIPO DIFERENCIADO - TORRE A*</t>
  </si>
  <si>
    <t>INSTALAÇÕES DE ÁGUA QUENTE - TIPO - TORRE A*</t>
  </si>
  <si>
    <t>INSTALAÇÕES DE ÁGUA FRIA - TIPO - TORRE A*</t>
  </si>
  <si>
    <t>INSTALAÇÕES DRENAGEM DE HVAC - TIPO DIFERENCIADO - TORRE A*</t>
  </si>
  <si>
    <t>INSTALAÇÕES DRENAGEM DE HVAC - TIPO - TORRE A*</t>
  </si>
  <si>
    <t>INSTALAÇÕES DE ESGOTO E ÁGUAS PLUVIAIS - TIPO DIFERENCIADO - TORRE A*</t>
  </si>
  <si>
    <t>INSTALAÇÕES DE ESGOTO E ÁGUAS PLUVIAIS - TIPO - TORRE A</t>
  </si>
  <si>
    <t>APARELHOS SANITÁRIOS, LOUÇAS, METAIS E ACESSÓRIOS - TIPO DIFERENCIADO - TORRE A*</t>
  </si>
  <si>
    <t>APARELHOS SANITÁRIOS, LOUÇAS, METAIS E ACESSÓRIOS - TIPO - TORRE A*</t>
  </si>
  <si>
    <t>INSTALAÇÕES DE ÁGUA FRIA - CASA DE MÁQUINAS - TORRE A*</t>
  </si>
  <si>
    <t>INSTALAÇÕES DE ÁGUA FRIA - RESERVATÓRIO - TORRE A*</t>
  </si>
  <si>
    <t>INSTALAÇÕES DE ESGOTO E ÁGUAS PLUVIAIS - CASA DE MÁQUINAS - TORRE A*</t>
  </si>
  <si>
    <t>INSTALAÇÕES DE ESGOTO E ÁGUAS PLUVIAIS - RESERVATÓRIO  - TORRE A*</t>
  </si>
  <si>
    <t>AUTOMAÇÃO E SISTEMAS LÓGICOS E TELECOMUNICAÇÃO - TORRE A*</t>
  </si>
  <si>
    <t>SISTEMAS ESPECIAIS - TORRE A*</t>
  </si>
  <si>
    <t>SISTEMA DE DUTOS E EXAUSTÃO PARA CHURRASQUEIRAS - TORRE A*</t>
  </si>
  <si>
    <t>INFRAESTRUTURA PARA AR CONDICIONADO - TORRE A*</t>
  </si>
  <si>
    <t>ESQUADRIAS DE ALUMÍNIO COM VIDRO - TIPO DIFERENCIADO*</t>
  </si>
  <si>
    <t>ESQUADRIAS DE ALUMÍNIO COM VIDRO - TIPO - TORRE A*</t>
  </si>
  <si>
    <t>SERRALHERIAS - CASA DE MÁQUINAS*</t>
  </si>
  <si>
    <t>ESQUADRIAS DE ALUMÍNIO COM VIDRO - CASA MÁQUINAS - TORRE A*</t>
  </si>
  <si>
    <t>ESTRUTURA E TRAMA METÁLICA PARA COBERTURA - TORRE A*</t>
  </si>
  <si>
    <t>TELHAS DE FIBROCIMENTO PARA COBERTURA - TORRE A*</t>
  </si>
  <si>
    <t>QUADROS ELÉTRICOS, CAIXAS E DISJUNTORES - TORRE B*</t>
  </si>
  <si>
    <t>ELETRODUTOS E ELETROCALHAS- TORRE B*</t>
  </si>
  <si>
    <t>FIOS E CABOS ELÉTRICOS - TORRE b*</t>
  </si>
  <si>
    <t>LUMINÁRIAS, LÂMPADAS E ACESSÓRIOS- TORRE B*</t>
  </si>
  <si>
    <t>PONTOS DE TOMADAS E INTERRUPTORES - TORRE B*</t>
  </si>
  <si>
    <t>INSTALAÇÕES DE ÁGUA FRIA - TIPO - TORRE B*</t>
  </si>
  <si>
    <t>INSTALAÇÕES DE ÁGUA QUENTE - TIPO - TORRE B*</t>
  </si>
  <si>
    <t>INSTALAÇÕES DRENAGEM DE HVAC - TIPO - TORRE B*</t>
  </si>
  <si>
    <t>INSTALAÇÕES DE ESGOTO E ÁGUAS PLUVIAIS - TIPO - TORRE B*</t>
  </si>
  <si>
    <t>APARELHOS SANITÁRIOS, LOUÇAS, METAIS E ACESSÓRIOS - TIPO - TORRE B*</t>
  </si>
  <si>
    <t>INSTALAÇÕES DE ÁGUA FRIA - CASA DE MÁQUINAS - TORRE B*</t>
  </si>
  <si>
    <t>INSTALAÇÕES DE ESGOTO E ÁGUAS PLUVIAIS - CASA DE MÁQUINAS - TORRE B*</t>
  </si>
  <si>
    <t>INSTALAÇÕES DE ÁGUA FRIA - RESERVATÓRIO - TORRE B*</t>
  </si>
  <si>
    <t>INSTALAÇÕES DE ESGOTO E ÁGUAS PLUVIAIS - RESERVATÓRIO - TORRE B*</t>
  </si>
  <si>
    <t>ESTRUTURA E TRAMA METÁLICA PARA COBERTURA - TORRE B*</t>
  </si>
  <si>
    <t>TELHAS DE FIBROCIMENTO PARA COBERTURA - TORRE B*</t>
  </si>
  <si>
    <t>ESQUADRIAS DE ALUMÍNIO COM VIDRO - TIPO - TORRE B*</t>
  </si>
  <si>
    <t>ESQUADRIAS DE ALUMÍNIO COM VIDRO - CASA MÁQUINAS - TORRE B*</t>
  </si>
  <si>
    <t>AUTOMAÇÃO E SISTEMAS LÓGICOS E TELECOMUNICAÇÃO - TORRE B*</t>
  </si>
  <si>
    <t>SISTEMAS ESPECIAIS - TORRE B*</t>
  </si>
  <si>
    <t>SISTEMA DE DUTOS E EXAUSTÃO PARA CHURRASQUEIRAS - TORRE B*</t>
  </si>
  <si>
    <t>INFRAESTRUTURA PARA AR CONDICIONADO - TORRE B*</t>
  </si>
  <si>
    <t>ITENS ADCIONAIS DE ELÉTRICA - EMBASAMENTO*</t>
  </si>
  <si>
    <t>ITENS ADICIONAIS ELÉTRICA - TORRE A*</t>
  </si>
  <si>
    <t>ITENS ADICIONAIS ELÉTRICA - TORRE B*</t>
  </si>
  <si>
    <t>DESCRIÇÃO</t>
  </si>
  <si>
    <t>MÃO DE OBRA</t>
  </si>
  <si>
    <t>SERVIÇOS - MATERIAL E MÃO DE OBRA</t>
  </si>
  <si>
    <t>MATERIAIS</t>
  </si>
  <si>
    <t>TIPO</t>
  </si>
  <si>
    <t>VALOR</t>
  </si>
  <si>
    <t>MÃO DE OBRA PRÓPRIA</t>
  </si>
  <si>
    <t>EQUIPAMENTOS</t>
  </si>
  <si>
    <t>DESPESAS INDIRETAS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</si>
</sst>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  <numFmt numFmtId="165" formatCode="###,##0.00"/>
    <numFmt numFmtId="166" formatCode="##,##0.00"/>
    <numFmt numFmtId="167" formatCode="##0.00"/>
    <numFmt numFmtId="168" formatCode="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8"/>
      <name val="Calibri"/>
      <family val="2"/>
      <scheme val="minor"/>
    </font>
    <font>
      <sz val="10"/>
      <name val="Arial"/>
      <family val="2"/>
    </font>
    <font>
      <sz val="8"/>
      <color rgb="FF010000"/>
      <name val="Arial"/>
      <family val="2"/>
    </font>
    <font>
      <sz val="11"/>
      <color rgb="FF010000"/>
      <name val="Roboto"/>
    </font>
    <font>
      <sz val="9"/>
      <color theme="1"/>
      <name val="Calibri"/>
      <family val="2"/>
      <scheme val="minor"/>
    </font>
    <font>
      <sz val="9"/>
      <color rgb="FF01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4" fillId="3" borderId="2" xfId="1" applyFont="1" applyFill="1" applyBorder="1" applyAlignment="1">
      <alignment horizontal="center"/>
    </xf>
    <xf numFmtId="43" fontId="3" fillId="5" borderId="3" xfId="0" applyNumberFormat="1" applyFont="1" applyFill="1" applyBorder="1" applyAlignment="1">
      <alignment horizontal="right"/>
    </xf>
    <xf numFmtId="43" fontId="4" fillId="3" borderId="1" xfId="1" applyFont="1" applyFill="1" applyBorder="1"/>
    <xf numFmtId="10" fontId="4" fillId="3" borderId="1" xfId="2" applyNumberFormat="1" applyFont="1" applyFill="1" applyBorder="1" applyAlignment="1">
      <alignment horizontal="center"/>
    </xf>
    <xf numFmtId="43" fontId="4" fillId="3" borderId="1" xfId="0" applyNumberFormat="1" applyFont="1" applyFill="1" applyBorder="1"/>
    <xf numFmtId="43" fontId="4" fillId="4" borderId="4" xfId="1" applyFont="1" applyFill="1" applyBorder="1"/>
    <xf numFmtId="10" fontId="4" fillId="4" borderId="4" xfId="2" applyNumberFormat="1" applyFont="1" applyFill="1" applyBorder="1" applyAlignment="1">
      <alignment horizontal="center"/>
    </xf>
    <xf numFmtId="43" fontId="4" fillId="4" borderId="4" xfId="0" applyNumberFormat="1" applyFont="1" applyFill="1" applyBorder="1"/>
    <xf numFmtId="43" fontId="4" fillId="3" borderId="2" xfId="1" applyFont="1" applyFill="1" applyBorder="1"/>
    <xf numFmtId="10" fontId="4" fillId="3" borderId="2" xfId="2" applyNumberFormat="1" applyFont="1" applyFill="1" applyBorder="1" applyAlignment="1">
      <alignment horizontal="center"/>
    </xf>
    <xf numFmtId="43" fontId="4" fillId="4" borderId="2" xfId="1" applyFont="1" applyFill="1" applyBorder="1"/>
    <xf numFmtId="10" fontId="4" fillId="4" borderId="2" xfId="2" applyNumberFormat="1" applyFont="1" applyFill="1" applyBorder="1" applyAlignment="1">
      <alignment horizontal="center"/>
    </xf>
    <xf numFmtId="10" fontId="3" fillId="5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3" borderId="9" xfId="0" applyFont="1" applyFill="1" applyBorder="1"/>
    <xf numFmtId="43" fontId="4" fillId="3" borderId="10" xfId="0" applyNumberFormat="1" applyFont="1" applyFill="1" applyBorder="1"/>
    <xf numFmtId="0" fontId="5" fillId="4" borderId="11" xfId="0" applyFont="1" applyFill="1" applyBorder="1"/>
    <xf numFmtId="43" fontId="4" fillId="4" borderId="12" xfId="0" applyNumberFormat="1" applyFont="1" applyFill="1" applyBorder="1"/>
    <xf numFmtId="0" fontId="5" fillId="3" borderId="11" xfId="0" applyFont="1" applyFill="1" applyBorder="1"/>
    <xf numFmtId="43" fontId="4" fillId="3" borderId="13" xfId="1" applyFont="1" applyFill="1" applyBorder="1"/>
    <xf numFmtId="0" fontId="5" fillId="4" borderId="14" xfId="0" applyFont="1" applyFill="1" applyBorder="1"/>
    <xf numFmtId="43" fontId="4" fillId="4" borderId="13" xfId="1" applyFont="1" applyFill="1" applyBorder="1"/>
    <xf numFmtId="0" fontId="3" fillId="5" borderId="15" xfId="0" applyFont="1" applyFill="1" applyBorder="1" applyAlignment="1">
      <alignment horizontal="right"/>
    </xf>
    <xf numFmtId="43" fontId="3" fillId="5" borderId="16" xfId="0" applyNumberFormat="1" applyFont="1" applyFill="1" applyBorder="1" applyAlignment="1">
      <alignment horizontal="right"/>
    </xf>
    <xf numFmtId="0" fontId="3" fillId="5" borderId="17" xfId="0" applyFont="1" applyFill="1" applyBorder="1" applyAlignment="1">
      <alignment horizontal="right"/>
    </xf>
    <xf numFmtId="43" fontId="3" fillId="5" borderId="18" xfId="1" applyFont="1" applyFill="1" applyBorder="1" applyAlignment="1">
      <alignment horizontal="right"/>
    </xf>
    <xf numFmtId="17" fontId="3" fillId="5" borderId="18" xfId="0" applyNumberFormat="1" applyFont="1" applyFill="1" applyBorder="1" applyAlignment="1">
      <alignment horizontal="center"/>
    </xf>
    <xf numFmtId="0" fontId="5" fillId="3" borderId="14" xfId="0" applyFont="1" applyFill="1" applyBorder="1"/>
    <xf numFmtId="43" fontId="4" fillId="3" borderId="13" xfId="1" applyFont="1" applyFill="1" applyBorder="1" applyAlignment="1">
      <alignment horizontal="center"/>
    </xf>
    <xf numFmtId="43" fontId="3" fillId="5" borderId="18" xfId="0" applyNumberFormat="1" applyFont="1" applyFill="1" applyBorder="1" applyAlignment="1">
      <alignment horizontal="right"/>
    </xf>
    <xf numFmtId="43" fontId="3" fillId="5" borderId="19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3" fontId="2" fillId="0" borderId="0" xfId="0" applyNumberFormat="1" applyFont="1"/>
    <xf numFmtId="43" fontId="5" fillId="0" borderId="26" xfId="1" applyFont="1" applyFill="1" applyBorder="1"/>
    <xf numFmtId="43" fontId="5" fillId="3" borderId="26" xfId="1" applyFont="1" applyFill="1" applyBorder="1"/>
    <xf numFmtId="43" fontId="3" fillId="5" borderId="27" xfId="1" applyFont="1" applyFill="1" applyBorder="1" applyAlignment="1">
      <alignment horizontal="right"/>
    </xf>
    <xf numFmtId="43" fontId="3" fillId="5" borderId="33" xfId="1" applyFont="1" applyFill="1" applyBorder="1" applyAlignment="1">
      <alignment horizontal="right"/>
    </xf>
    <xf numFmtId="0" fontId="3" fillId="5" borderId="34" xfId="0" applyFont="1" applyFill="1" applyBorder="1" applyAlignment="1">
      <alignment horizontal="left"/>
    </xf>
    <xf numFmtId="43" fontId="3" fillId="2" borderId="25" xfId="1" applyFont="1" applyFill="1" applyBorder="1" applyAlignment="1">
      <alignment horizontal="center" vertical="center"/>
    </xf>
    <xf numFmtId="43" fontId="0" fillId="0" borderId="0" xfId="1" applyFont="1"/>
    <xf numFmtId="0" fontId="5" fillId="0" borderId="14" xfId="0" applyFont="1" applyBorder="1"/>
    <xf numFmtId="43" fontId="4" fillId="4" borderId="2" xfId="1" applyFont="1" applyFill="1" applyBorder="1" applyAlignment="1">
      <alignment horizontal="center"/>
    </xf>
    <xf numFmtId="43" fontId="4" fillId="4" borderId="13" xfId="1" applyFont="1" applyFill="1" applyBorder="1" applyAlignment="1">
      <alignment horizontal="center"/>
    </xf>
    <xf numFmtId="43" fontId="3" fillId="2" borderId="36" xfId="1" applyFont="1" applyFill="1" applyBorder="1" applyAlignment="1">
      <alignment horizontal="center" vertical="center"/>
    </xf>
    <xf numFmtId="43" fontId="3" fillId="2" borderId="37" xfId="1" applyFont="1" applyFill="1" applyBorder="1" applyAlignment="1">
      <alignment vertical="center"/>
    </xf>
    <xf numFmtId="43" fontId="3" fillId="2" borderId="37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0" fontId="5" fillId="4" borderId="38" xfId="1" applyNumberFormat="1" applyFont="1" applyFill="1" applyBorder="1" applyAlignment="1">
      <alignment vertical="center" wrapText="1"/>
    </xf>
    <xf numFmtId="43" fontId="9" fillId="4" borderId="38" xfId="1" applyFont="1" applyFill="1" applyBorder="1" applyAlignment="1" applyProtection="1">
      <alignment horizontal="center" vertical="center" wrapText="1"/>
    </xf>
    <xf numFmtId="0" fontId="9" fillId="4" borderId="39" xfId="1" applyNumberFormat="1" applyFont="1" applyFill="1" applyBorder="1" applyAlignment="1" applyProtection="1">
      <alignment horizontal="left" vertical="center" wrapText="1"/>
    </xf>
    <xf numFmtId="43" fontId="9" fillId="4" borderId="39" xfId="1" applyFont="1" applyFill="1" applyBorder="1" applyAlignment="1" applyProtection="1">
      <alignment horizontal="center" vertical="center" wrapText="1"/>
    </xf>
    <xf numFmtId="0" fontId="9" fillId="4" borderId="40" xfId="1" applyNumberFormat="1" applyFont="1" applyFill="1" applyBorder="1" applyAlignment="1" applyProtection="1">
      <alignment horizontal="left" vertical="center" wrapText="1"/>
    </xf>
    <xf numFmtId="43" fontId="9" fillId="4" borderId="40" xfId="1" applyFont="1" applyFill="1" applyBorder="1" applyAlignment="1" applyProtection="1">
      <alignment horizontal="center" vertical="center" wrapText="1"/>
    </xf>
    <xf numFmtId="0" fontId="8" fillId="0" borderId="35" xfId="3" applyNumberFormat="1" applyFont="1" applyFill="1" applyBorder="1" applyAlignment="1" applyProtection="1">
      <alignment horizontal="left" vertical="top" wrapText="1"/>
    </xf>
    <xf numFmtId="0" fontId="10" fillId="0" borderId="0" xfId="0" applyFont="1" applyAlignment="1">
      <alignment vertical="center"/>
    </xf>
    <xf numFmtId="0" fontId="11" fillId="6" borderId="35" xfId="3" applyNumberFormat="1" applyFont="1" applyFill="1" applyBorder="1" applyAlignment="1" applyProtection="1">
      <alignment horizontal="left" vertical="center" wrapText="1"/>
    </xf>
    <xf numFmtId="164" fontId="11" fillId="6" borderId="35" xfId="3" applyNumberFormat="1" applyFont="1" applyFill="1" applyBorder="1" applyAlignment="1" applyProtection="1">
      <alignment horizontal="right" vertical="center" wrapText="1"/>
    </xf>
    <xf numFmtId="165" fontId="11" fillId="6" borderId="35" xfId="3" applyNumberFormat="1" applyFont="1" applyFill="1" applyBorder="1" applyAlignment="1" applyProtection="1">
      <alignment horizontal="right" vertical="center" wrapText="1"/>
    </xf>
    <xf numFmtId="0" fontId="11" fillId="7" borderId="35" xfId="3" applyNumberFormat="1" applyFont="1" applyFill="1" applyBorder="1" applyAlignment="1" applyProtection="1">
      <alignment horizontal="left" vertical="center" wrapText="1"/>
    </xf>
    <xf numFmtId="165" fontId="11" fillId="7" borderId="35" xfId="3" applyNumberFormat="1" applyFont="1" applyFill="1" applyBorder="1" applyAlignment="1" applyProtection="1">
      <alignment horizontal="right" vertical="center" wrapText="1"/>
    </xf>
    <xf numFmtId="166" fontId="11" fillId="6" borderId="35" xfId="3" applyNumberFormat="1" applyFont="1" applyFill="1" applyBorder="1" applyAlignment="1" applyProtection="1">
      <alignment horizontal="right" vertical="center" wrapText="1"/>
    </xf>
    <xf numFmtId="166" fontId="11" fillId="7" borderId="35" xfId="3" applyNumberFormat="1" applyFont="1" applyFill="1" applyBorder="1" applyAlignment="1" applyProtection="1">
      <alignment horizontal="right" vertical="center" wrapText="1"/>
    </xf>
    <xf numFmtId="4" fontId="11" fillId="7" borderId="35" xfId="3" applyNumberFormat="1" applyFont="1" applyFill="1" applyBorder="1" applyAlignment="1" applyProtection="1">
      <alignment horizontal="right" vertical="center" wrapText="1"/>
    </xf>
    <xf numFmtId="4" fontId="11" fillId="6" borderId="35" xfId="3" applyNumberFormat="1" applyFont="1" applyFill="1" applyBorder="1" applyAlignment="1" applyProtection="1">
      <alignment horizontal="right" vertical="center" wrapText="1"/>
    </xf>
    <xf numFmtId="167" fontId="11" fillId="6" borderId="35" xfId="3" applyNumberFormat="1" applyFont="1" applyFill="1" applyBorder="1" applyAlignment="1" applyProtection="1">
      <alignment horizontal="right" vertical="center" wrapText="1"/>
    </xf>
    <xf numFmtId="43" fontId="10" fillId="0" borderId="0" xfId="1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11" fillId="8" borderId="35" xfId="3" applyNumberFormat="1" applyFont="1" applyFill="1" applyBorder="1" applyAlignment="1" applyProtection="1">
      <alignment horizontal="left" vertical="center" wrapText="1"/>
    </xf>
    <xf numFmtId="0" fontId="11" fillId="9" borderId="35" xfId="3" applyNumberFormat="1" applyFont="1" applyFill="1" applyBorder="1" applyAlignment="1" applyProtection="1">
      <alignment horizontal="left" vertical="center" wrapText="1"/>
    </xf>
    <xf numFmtId="165" fontId="11" fillId="9" borderId="35" xfId="3" applyNumberFormat="1" applyFont="1" applyFill="1" applyBorder="1" applyAlignment="1" applyProtection="1">
      <alignment horizontal="right" vertical="center" wrapText="1"/>
    </xf>
    <xf numFmtId="0" fontId="10" fillId="9" borderId="0" xfId="0" applyFont="1" applyFill="1" applyAlignment="1">
      <alignment vertical="center"/>
    </xf>
    <xf numFmtId="166" fontId="11" fillId="9" borderId="35" xfId="3" applyNumberFormat="1" applyFont="1" applyFill="1" applyBorder="1" applyAlignment="1" applyProtection="1">
      <alignment horizontal="right" vertical="center" wrapText="1"/>
    </xf>
    <xf numFmtId="0" fontId="10" fillId="7" borderId="0" xfId="0" applyFont="1" applyFill="1" applyAlignment="1">
      <alignment vertical="center"/>
    </xf>
    <xf numFmtId="167" fontId="11" fillId="7" borderId="35" xfId="3" applyNumberFormat="1" applyFont="1" applyFill="1" applyBorder="1" applyAlignment="1" applyProtection="1">
      <alignment horizontal="right" vertical="center" wrapText="1"/>
    </xf>
    <xf numFmtId="0" fontId="11" fillId="10" borderId="35" xfId="3" applyNumberFormat="1" applyFont="1" applyFill="1" applyBorder="1" applyAlignment="1" applyProtection="1">
      <alignment horizontal="left" vertical="center" wrapText="1"/>
    </xf>
    <xf numFmtId="165" fontId="11" fillId="10" borderId="35" xfId="3" applyNumberFormat="1" applyFont="1" applyFill="1" applyBorder="1" applyAlignment="1" applyProtection="1">
      <alignment horizontal="right" vertical="center" wrapText="1"/>
    </xf>
    <xf numFmtId="0" fontId="10" fillId="10" borderId="0" xfId="0" applyFont="1" applyFill="1" applyAlignment="1">
      <alignment vertical="center"/>
    </xf>
    <xf numFmtId="165" fontId="11" fillId="8" borderId="35" xfId="3" applyNumberFormat="1" applyFont="1" applyFill="1" applyBorder="1" applyAlignment="1" applyProtection="1">
      <alignment horizontal="right" vertical="center" wrapText="1"/>
    </xf>
    <xf numFmtId="0" fontId="10" fillId="8" borderId="0" xfId="0" applyFont="1" applyFill="1" applyAlignment="1">
      <alignment vertical="center"/>
    </xf>
    <xf numFmtId="0" fontId="11" fillId="11" borderId="35" xfId="3" applyNumberFormat="1" applyFont="1" applyFill="1" applyBorder="1" applyAlignment="1" applyProtection="1">
      <alignment horizontal="left" vertical="center" wrapText="1"/>
    </xf>
    <xf numFmtId="165" fontId="11" fillId="11" borderId="35" xfId="3" applyNumberFormat="1" applyFont="1" applyFill="1" applyBorder="1" applyAlignment="1" applyProtection="1">
      <alignment horizontal="right" vertical="center" wrapText="1"/>
    </xf>
    <xf numFmtId="0" fontId="10" fillId="11" borderId="0" xfId="0" applyFont="1" applyFill="1" applyAlignment="1">
      <alignment vertical="center"/>
    </xf>
    <xf numFmtId="166" fontId="11" fillId="11" borderId="35" xfId="3" applyNumberFormat="1" applyFont="1" applyFill="1" applyBorder="1" applyAlignment="1" applyProtection="1">
      <alignment horizontal="right" vertical="center" wrapText="1"/>
    </xf>
    <xf numFmtId="0" fontId="11" fillId="12" borderId="35" xfId="3" applyNumberFormat="1" applyFont="1" applyFill="1" applyBorder="1" applyAlignment="1" applyProtection="1">
      <alignment horizontal="left" vertical="center" wrapText="1"/>
    </xf>
    <xf numFmtId="166" fontId="11" fillId="12" borderId="35" xfId="3" applyNumberFormat="1" applyFont="1" applyFill="1" applyBorder="1" applyAlignment="1" applyProtection="1">
      <alignment horizontal="right" vertical="center" wrapText="1"/>
    </xf>
    <xf numFmtId="0" fontId="10" fillId="12" borderId="0" xfId="0" applyFont="1" applyFill="1" applyAlignment="1">
      <alignment vertical="center"/>
    </xf>
    <xf numFmtId="0" fontId="11" fillId="13" borderId="35" xfId="3" applyNumberFormat="1" applyFont="1" applyFill="1" applyBorder="1" applyAlignment="1" applyProtection="1">
      <alignment horizontal="left" vertical="center" wrapText="1"/>
    </xf>
    <xf numFmtId="166" fontId="11" fillId="13" borderId="35" xfId="3" applyNumberFormat="1" applyFont="1" applyFill="1" applyBorder="1" applyAlignment="1" applyProtection="1">
      <alignment horizontal="right" vertical="center" wrapText="1"/>
    </xf>
    <xf numFmtId="0" fontId="10" fillId="13" borderId="0" xfId="0" applyFont="1" applyFill="1" applyAlignment="1">
      <alignment vertical="center"/>
    </xf>
    <xf numFmtId="166" fontId="11" fillId="8" borderId="35" xfId="3" applyNumberFormat="1" applyFont="1" applyFill="1" applyBorder="1" applyAlignment="1" applyProtection="1">
      <alignment horizontal="right" vertical="center" wrapText="1"/>
    </xf>
    <xf numFmtId="4" fontId="11" fillId="13" borderId="35" xfId="3" applyNumberFormat="1" applyFont="1" applyFill="1" applyBorder="1" applyAlignment="1" applyProtection="1">
      <alignment horizontal="right" vertical="center" wrapText="1"/>
    </xf>
    <xf numFmtId="0" fontId="10" fillId="8" borderId="0" xfId="0" applyFont="1" applyFill="1" applyBorder="1" applyAlignment="1">
      <alignment vertical="center"/>
    </xf>
    <xf numFmtId="166" fontId="11" fillId="10" borderId="35" xfId="3" applyNumberFormat="1" applyFont="1" applyFill="1" applyBorder="1" applyAlignment="1" applyProtection="1">
      <alignment horizontal="right" vertical="center" wrapText="1"/>
    </xf>
    <xf numFmtId="4" fontId="11" fillId="10" borderId="35" xfId="3" applyNumberFormat="1" applyFont="1" applyFill="1" applyBorder="1" applyAlignment="1" applyProtection="1">
      <alignment horizontal="right" vertical="center" wrapText="1"/>
    </xf>
    <xf numFmtId="167" fontId="11" fillId="10" borderId="35" xfId="3" applyNumberFormat="1" applyFont="1" applyFill="1" applyBorder="1" applyAlignment="1" applyProtection="1">
      <alignment horizontal="right" vertical="center" wrapText="1"/>
    </xf>
    <xf numFmtId="4" fontId="11" fillId="11" borderId="35" xfId="3" applyNumberFormat="1" applyFont="1" applyFill="1" applyBorder="1" applyAlignment="1" applyProtection="1">
      <alignment horizontal="right" vertical="center" wrapText="1"/>
    </xf>
    <xf numFmtId="167" fontId="11" fillId="11" borderId="35" xfId="3" applyNumberFormat="1" applyFont="1" applyFill="1" applyBorder="1" applyAlignment="1" applyProtection="1">
      <alignment horizontal="right" vertical="center" wrapText="1"/>
    </xf>
    <xf numFmtId="168" fontId="11" fillId="11" borderId="35" xfId="3" applyNumberFormat="1" applyFont="1" applyFill="1" applyBorder="1" applyAlignment="1" applyProtection="1">
      <alignment horizontal="right" vertical="center" wrapText="1"/>
    </xf>
    <xf numFmtId="2" fontId="11" fillId="11" borderId="35" xfId="3" applyNumberFormat="1" applyFont="1" applyFill="1" applyBorder="1" applyAlignment="1" applyProtection="1">
      <alignment horizontal="right" vertical="center" wrapText="1"/>
    </xf>
    <xf numFmtId="168" fontId="11" fillId="13" borderId="35" xfId="3" applyNumberFormat="1" applyFont="1" applyFill="1" applyBorder="1" applyAlignment="1" applyProtection="1">
      <alignment horizontal="right" vertical="center" wrapText="1"/>
    </xf>
    <xf numFmtId="9" fontId="10" fillId="0" borderId="0" xfId="2" applyFont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43" fontId="3" fillId="2" borderId="29" xfId="1" applyFont="1" applyFill="1" applyBorder="1" applyAlignment="1">
      <alignment horizontal="center" vertical="center"/>
    </xf>
    <xf numFmtId="43" fontId="3" fillId="2" borderId="30" xfId="1" applyFont="1" applyFill="1" applyBorder="1" applyAlignment="1">
      <alignment horizontal="center" vertical="center"/>
    </xf>
    <xf numFmtId="43" fontId="3" fillId="2" borderId="31" xfId="1" applyFont="1" applyFill="1" applyBorder="1" applyAlignment="1">
      <alignment horizontal="center" vertical="center" wrapText="1"/>
    </xf>
    <xf numFmtId="43" fontId="3" fillId="2" borderId="32" xfId="1" applyFont="1" applyFill="1" applyBorder="1" applyAlignment="1">
      <alignment horizontal="center" vertical="center" wrapText="1"/>
    </xf>
  </cellXfs>
  <cellStyles count="9">
    <cellStyle name="Comma" xfId="7"/>
    <cellStyle name="Comma [0]" xfId="8"/>
    <cellStyle name="Currency" xfId="5"/>
    <cellStyle name="Currency [0]" xfId="6"/>
    <cellStyle name="Normal" xfId="0" builtinId="0"/>
    <cellStyle name="Normal 2" xfId="3"/>
    <cellStyle name="Percent" xfId="4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8142198413731"/>
          <c:y val="0.13973272620572214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COBERTURA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'!$E$3:$E$17</c:f>
              <c:numCache>
                <c:formatCode>General</c:formatCode>
                <c:ptCount val="15"/>
                <c:pt idx="0">
                  <c:v>4.5</c:v>
                </c:pt>
                <c:pt idx="1">
                  <c:v>100</c:v>
                </c:pt>
                <c:pt idx="2">
                  <c:v>520</c:v>
                </c:pt>
                <c:pt idx="3">
                  <c:v>85</c:v>
                </c:pt>
                <c:pt idx="4">
                  <c:v>230</c:v>
                </c:pt>
                <c:pt idx="5">
                  <c:v>100</c:v>
                </c:pt>
                <c:pt idx="6">
                  <c:v>40</c:v>
                </c:pt>
                <c:pt idx="7">
                  <c:v>140</c:v>
                </c:pt>
                <c:pt idx="8">
                  <c:v>60</c:v>
                </c:pt>
                <c:pt idx="9">
                  <c:v>130</c:v>
                </c:pt>
                <c:pt idx="10">
                  <c:v>110</c:v>
                </c:pt>
                <c:pt idx="11">
                  <c:v>175</c:v>
                </c:pt>
                <c:pt idx="12">
                  <c:v>30</c:v>
                </c:pt>
                <c:pt idx="13">
                  <c:v>85</c:v>
                </c:pt>
                <c:pt idx="1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rgbClr val="BCBDC1"/>
            </a:solidFill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'!$F$3:$F$17</c:f>
              <c:numCache>
                <c:formatCode>General</c:formatCode>
                <c:ptCount val="15"/>
                <c:pt idx="0">
                  <c:v>3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40</c:v>
                </c:pt>
                <c:pt idx="5">
                  <c:v>80</c:v>
                </c:pt>
                <c:pt idx="6">
                  <c:v>10</c:v>
                </c:pt>
                <c:pt idx="7">
                  <c:v>20</c:v>
                </c:pt>
                <c:pt idx="8">
                  <c:v>10</c:v>
                </c:pt>
                <c:pt idx="9">
                  <c:v>30</c:v>
                </c:pt>
                <c:pt idx="10">
                  <c:v>30</c:v>
                </c:pt>
                <c:pt idx="11">
                  <c:v>25</c:v>
                </c:pt>
                <c:pt idx="12">
                  <c:v>40</c:v>
                </c:pt>
                <c:pt idx="13">
                  <c:v>35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'!$C$3:$C$17</c:f>
              <c:numCache>
                <c:formatCode>_(* #,##0.00_);_(* \(#,##0.00\);_(* "-"??_);_(@_)</c:formatCode>
                <c:ptCount val="15"/>
                <c:pt idx="0">
                  <c:v>6.9785700278923297</c:v>
                </c:pt>
                <c:pt idx="1">
                  <c:v>133.08844668311525</c:v>
                </c:pt>
                <c:pt idx="2">
                  <c:v>544.67126075474175</c:v>
                </c:pt>
                <c:pt idx="3">
                  <c:v>94.182694268267824</c:v>
                </c:pt>
                <c:pt idx="4">
                  <c:v>253.24468957954684</c:v>
                </c:pt>
                <c:pt idx="5">
                  <c:v>163.18065722093283</c:v>
                </c:pt>
                <c:pt idx="6">
                  <c:v>45.587698887721423</c:v>
                </c:pt>
                <c:pt idx="7">
                  <c:v>93.292071417630822</c:v>
                </c:pt>
                <c:pt idx="8">
                  <c:v>24.992961064884057</c:v>
                </c:pt>
                <c:pt idx="9">
                  <c:v>155.98308801937148</c:v>
                </c:pt>
                <c:pt idx="10">
                  <c:v>124.98794551873976</c:v>
                </c:pt>
                <c:pt idx="11">
                  <c:v>233.90514949566494</c:v>
                </c:pt>
                <c:pt idx="12">
                  <c:v>30.597081207750538</c:v>
                </c:pt>
                <c:pt idx="13">
                  <c:v>109.01418518594397</c:v>
                </c:pt>
                <c:pt idx="14">
                  <c:v>125.12036432708659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1"/>
              <a:t>REPRESENTAÇÃO</a:t>
            </a:r>
            <a:r>
              <a:rPr lang="pt-BR" sz="1600" b="1" baseline="0"/>
              <a:t> DE CUSTOS</a:t>
            </a:r>
            <a:r>
              <a:rPr lang="pt-BR" sz="1600" b="1"/>
              <a:t> POR ETAPA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Executivo!$A$2:$A$17</c:f>
              <c:strCache>
                <c:ptCount val="16"/>
                <c:pt idx="0">
                  <c:v>GERENCIAMENTO TÉCNICO E ADMINISTRATIVO</c:v>
                </c:pt>
                <c:pt idx="1">
                  <c:v>MOVIMENTAÇÃO DE TERRA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SERVIÇOS COMPLEMENTARES</c:v>
                </c:pt>
              </c:strCache>
            </c:strRef>
          </c:cat>
          <c:val>
            <c:numRef>
              <c:f>Executivo!$C$2:$C$17</c:f>
              <c:numCache>
                <c:formatCode>0.00%</c:formatCode>
                <c:ptCount val="16"/>
                <c:pt idx="0">
                  <c:v>0.11228781189723867</c:v>
                </c:pt>
                <c:pt idx="1">
                  <c:v>2.8964297085224424E-3</c:v>
                </c:pt>
                <c:pt idx="2">
                  <c:v>5.5237868115296865E-2</c:v>
                </c:pt>
                <c:pt idx="3">
                  <c:v>0.22606379454859118</c:v>
                </c:pt>
                <c:pt idx="4">
                  <c:v>3.9090179308508922E-2</c:v>
                </c:pt>
                <c:pt idx="5">
                  <c:v>0.10510827282552566</c:v>
                </c:pt>
                <c:pt idx="6">
                  <c:v>6.7727528926678174E-2</c:v>
                </c:pt>
                <c:pt idx="7">
                  <c:v>1.8921006004642915E-2</c:v>
                </c:pt>
                <c:pt idx="8">
                  <c:v>3.872052958465954E-2</c:v>
                </c:pt>
                <c:pt idx="9">
                  <c:v>1.0373236156252809E-2</c:v>
                </c:pt>
                <c:pt idx="10">
                  <c:v>6.4740204420192599E-2</c:v>
                </c:pt>
                <c:pt idx="11">
                  <c:v>5.1875785033427456E-2</c:v>
                </c:pt>
                <c:pt idx="12">
                  <c:v>9.708146816149997E-2</c:v>
                </c:pt>
                <c:pt idx="13">
                  <c:v>1.2699205517748186E-2</c:v>
                </c:pt>
                <c:pt idx="14">
                  <c:v>4.5245934820589424E-2</c:v>
                </c:pt>
                <c:pt idx="15">
                  <c:v>5.1930744970625178E-2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</a:t>
            </a:r>
            <a:r>
              <a:rPr lang="pt-BR" baseline="0"/>
              <a:t> DO ORÇAMENTO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03C4-4426-BCD0-615069036F7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A-03C4-4426-BCD0-615069036F7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B-03C4-4426-BCD0-615069036F7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C-03C4-4426-BCD0-615069036F7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D-03C4-4426-BCD0-615069036F7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E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C4-4426-BCD0-615069036F7A}"/>
            </c:ext>
          </c:extLst>
        </c:ser>
        <c:ser>
          <c:idx val="0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3C4-4426-BCD0-615069036F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3C4-4426-BCD0-615069036F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3C4-4426-BCD0-615069036F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3C4-4426-BCD0-615069036F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3C4-4426-BCD0-615069036F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3C4-4426-BCD0-615069036F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3C4-4426-BCD0-615069036F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0.07643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49390" y="120254"/>
          <a:ext cx="3821207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COMPARATIVO OBRAS SIMILARES</a:t>
          </a:r>
          <a:endParaRPr lang="pt-BR" sz="1400">
            <a:effectLst/>
            <a:latin typeface="Roboto" panose="02000000000000000000" pitchFamily="2" charset="0"/>
            <a:ea typeface="Roboto" panose="02000000000000000000" pitchFamily="2" charset="0"/>
          </a:endParaRPr>
        </a:p>
        <a:p xmlns:a="http://schemas.openxmlformats.org/drawingml/2006/main">
          <a:endParaRPr lang="pt-BR" sz="14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20</xdr:row>
      <xdr:rowOff>57149</xdr:rowOff>
    </xdr:from>
    <xdr:to>
      <xdr:col>4</xdr:col>
      <xdr:colOff>952502</xdr:colOff>
      <xdr:row>47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9</xdr:row>
      <xdr:rowOff>400050</xdr:rowOff>
    </xdr:from>
    <xdr:to>
      <xdr:col>16</xdr:col>
      <xdr:colOff>76200</xdr:colOff>
      <xdr:row>24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19849F-DB66-493F-AB54-B4F1A8FAC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rives%20compartilhados/Methodo%20Engenharia%20-%20Projetos/2.%20Propostas%20Fechadas/Cambert%20Engenharia%20-%2003.2021/Portal%20da%20Brava/03.%20Custo/03.5%20Custo%20-%20Determina&#231;&#227;o%20do%20or&#231;amento/Apresenta&#231;&#227;o/Planilhas%20sl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enciamento executivo "/>
      <sheetName val="Executivo"/>
    </sheetNames>
    <sheetDataSet>
      <sheetData sheetId="0">
        <row r="6">
          <cell r="B6">
            <v>965384.86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zoomScale="85" zoomScaleNormal="85" workbookViewId="0">
      <selection activeCell="B7" sqref="B7"/>
    </sheetView>
  </sheetViews>
  <sheetFormatPr defaultRowHeight="15"/>
  <cols>
    <col min="1" max="1" width="58.28515625" bestFit="1" customWidth="1"/>
    <col min="2" max="2" width="22.28515625" style="46" customWidth="1"/>
    <col min="3" max="3" width="16.85546875" customWidth="1"/>
    <col min="4" max="4" width="20.7109375" style="1" customWidth="1"/>
  </cols>
  <sheetData>
    <row r="1" spans="1:6" ht="23.25" customHeight="1">
      <c r="A1" s="109" t="s">
        <v>0</v>
      </c>
      <c r="B1" s="111" t="s">
        <v>34</v>
      </c>
      <c r="C1" s="112"/>
      <c r="D1" s="37" t="s">
        <v>14</v>
      </c>
    </row>
    <row r="2" spans="1:6" ht="20.25" customHeight="1">
      <c r="A2" s="110"/>
      <c r="B2" s="45"/>
      <c r="C2" s="16" t="s">
        <v>12</v>
      </c>
      <c r="D2" s="38" t="s">
        <v>12</v>
      </c>
      <c r="E2" t="s">
        <v>32</v>
      </c>
      <c r="F2" t="s">
        <v>33</v>
      </c>
    </row>
    <row r="3" spans="1:6">
      <c r="A3" s="26" t="s">
        <v>2</v>
      </c>
      <c r="B3" s="48">
        <f>+B22</f>
        <v>71531.25</v>
      </c>
      <c r="C3" s="48">
        <f>+B3/10250.13</f>
        <v>6.9785700278923297</v>
      </c>
      <c r="D3" s="49" t="s">
        <v>22</v>
      </c>
      <c r="E3">
        <v>4.5</v>
      </c>
      <c r="F3">
        <v>3</v>
      </c>
    </row>
    <row r="4" spans="1:6">
      <c r="A4" s="33" t="s">
        <v>3</v>
      </c>
      <c r="B4" s="3">
        <f>+B23</f>
        <v>1364173.88</v>
      </c>
      <c r="C4" s="3">
        <f t="shared" ref="C4:C17" si="0">+B4/10250.13</f>
        <v>133.08844668311525</v>
      </c>
      <c r="D4" s="34" t="s">
        <v>39</v>
      </c>
      <c r="E4">
        <v>100</v>
      </c>
      <c r="F4">
        <v>50</v>
      </c>
    </row>
    <row r="5" spans="1:6">
      <c r="A5" s="26" t="s">
        <v>4</v>
      </c>
      <c r="B5" s="48">
        <f t="shared" ref="B5:B14" si="1">+B24+B39+B55</f>
        <v>5582951.2300000004</v>
      </c>
      <c r="C5" s="48">
        <f t="shared" si="0"/>
        <v>544.67126075474175</v>
      </c>
      <c r="D5" s="49" t="s">
        <v>40</v>
      </c>
      <c r="E5">
        <v>520</v>
      </c>
      <c r="F5">
        <v>60</v>
      </c>
    </row>
    <row r="6" spans="1:6">
      <c r="A6" s="33" t="s">
        <v>5</v>
      </c>
      <c r="B6" s="3">
        <f t="shared" si="1"/>
        <v>965384.86</v>
      </c>
      <c r="C6" s="3">
        <f t="shared" si="0"/>
        <v>94.182694268267824</v>
      </c>
      <c r="D6" s="34" t="s">
        <v>28</v>
      </c>
      <c r="E6">
        <v>85</v>
      </c>
      <c r="F6">
        <f>110-85</f>
        <v>25</v>
      </c>
    </row>
    <row r="7" spans="1:6">
      <c r="A7" s="26" t="s">
        <v>36</v>
      </c>
      <c r="B7" s="48">
        <f t="shared" si="1"/>
        <v>2595790.9900000002</v>
      </c>
      <c r="C7" s="48">
        <f t="shared" si="0"/>
        <v>253.24468957954684</v>
      </c>
      <c r="D7" s="49" t="s">
        <v>27</v>
      </c>
      <c r="E7">
        <v>230</v>
      </c>
      <c r="F7">
        <f>270-230</f>
        <v>40</v>
      </c>
    </row>
    <row r="8" spans="1:6">
      <c r="A8" s="33" t="s">
        <v>19</v>
      </c>
      <c r="B8" s="3">
        <f t="shared" si="1"/>
        <v>1672622.95</v>
      </c>
      <c r="C8" s="3">
        <f t="shared" si="0"/>
        <v>163.18065722093283</v>
      </c>
      <c r="D8" s="34" t="s">
        <v>21</v>
      </c>
      <c r="E8">
        <v>100</v>
      </c>
      <c r="F8">
        <v>80</v>
      </c>
    </row>
    <row r="9" spans="1:6">
      <c r="A9" s="26" t="s">
        <v>26</v>
      </c>
      <c r="B9" s="48">
        <f t="shared" si="1"/>
        <v>467279.83999999997</v>
      </c>
      <c r="C9" s="48">
        <f t="shared" si="0"/>
        <v>45.587698887721423</v>
      </c>
      <c r="D9" s="49" t="s">
        <v>41</v>
      </c>
      <c r="E9">
        <v>40</v>
      </c>
      <c r="F9">
        <v>10</v>
      </c>
    </row>
    <row r="10" spans="1:6">
      <c r="A10" s="33" t="s">
        <v>15</v>
      </c>
      <c r="B10" s="3">
        <f t="shared" si="1"/>
        <v>956255.8600000001</v>
      </c>
      <c r="C10" s="3">
        <f t="shared" si="0"/>
        <v>93.292071417630822</v>
      </c>
      <c r="D10" s="34" t="s">
        <v>23</v>
      </c>
      <c r="E10">
        <v>140</v>
      </c>
      <c r="F10">
        <v>20</v>
      </c>
    </row>
    <row r="11" spans="1:6">
      <c r="A11" s="26" t="s">
        <v>6</v>
      </c>
      <c r="B11" s="48">
        <f t="shared" si="1"/>
        <v>256181.1</v>
      </c>
      <c r="C11" s="48">
        <f t="shared" si="0"/>
        <v>24.992961064884057</v>
      </c>
      <c r="D11" s="49" t="s">
        <v>24</v>
      </c>
      <c r="E11">
        <v>60</v>
      </c>
      <c r="F11">
        <v>10</v>
      </c>
    </row>
    <row r="12" spans="1:6">
      <c r="A12" s="33" t="s">
        <v>16</v>
      </c>
      <c r="B12" s="3">
        <f t="shared" si="1"/>
        <v>1598846.93</v>
      </c>
      <c r="C12" s="3">
        <f t="shared" si="0"/>
        <v>155.98308801937148</v>
      </c>
      <c r="D12" s="34" t="s">
        <v>42</v>
      </c>
      <c r="E12">
        <v>130</v>
      </c>
      <c r="F12">
        <v>30</v>
      </c>
    </row>
    <row r="13" spans="1:6">
      <c r="A13" s="26" t="s">
        <v>7</v>
      </c>
      <c r="B13" s="48">
        <f t="shared" si="1"/>
        <v>1281142.69</v>
      </c>
      <c r="C13" s="48">
        <f t="shared" si="0"/>
        <v>124.98794551873976</v>
      </c>
      <c r="D13" s="49" t="s">
        <v>29</v>
      </c>
      <c r="E13">
        <v>110</v>
      </c>
      <c r="F13">
        <v>30</v>
      </c>
    </row>
    <row r="14" spans="1:6">
      <c r="A14" s="33" t="s">
        <v>20</v>
      </c>
      <c r="B14" s="3">
        <f t="shared" si="1"/>
        <v>2397558.19</v>
      </c>
      <c r="C14" s="3">
        <f t="shared" si="0"/>
        <v>233.90514949566494</v>
      </c>
      <c r="D14" s="34" t="s">
        <v>25</v>
      </c>
      <c r="E14">
        <v>175</v>
      </c>
      <c r="F14">
        <f>200-E14</f>
        <v>25</v>
      </c>
    </row>
    <row r="15" spans="1:6">
      <c r="A15" s="26" t="s">
        <v>38</v>
      </c>
      <c r="B15" s="48">
        <f>+B65+B49</f>
        <v>313624.06</v>
      </c>
      <c r="C15" s="48">
        <f t="shared" si="0"/>
        <v>30.597081207750538</v>
      </c>
      <c r="D15" s="49" t="s">
        <v>43</v>
      </c>
      <c r="E15">
        <v>30</v>
      </c>
      <c r="F15">
        <v>40</v>
      </c>
    </row>
    <row r="16" spans="1:6">
      <c r="A16" s="33" t="s">
        <v>17</v>
      </c>
      <c r="B16" s="3">
        <f>+B34+B50+B66</f>
        <v>1117409.5699999998</v>
      </c>
      <c r="C16" s="3">
        <f t="shared" si="0"/>
        <v>109.01418518594397</v>
      </c>
      <c r="D16" s="34" t="s">
        <v>30</v>
      </c>
      <c r="E16">
        <v>85</v>
      </c>
      <c r="F16">
        <f>120-E16</f>
        <v>35</v>
      </c>
    </row>
    <row r="17" spans="1:6">
      <c r="A17" s="26" t="s">
        <v>18</v>
      </c>
      <c r="B17" s="48">
        <f>+B71</f>
        <v>1282500</v>
      </c>
      <c r="C17" s="48">
        <f t="shared" si="0"/>
        <v>125.12036432708659</v>
      </c>
      <c r="D17" s="49" t="s">
        <v>31</v>
      </c>
      <c r="E17">
        <v>130</v>
      </c>
      <c r="F17">
        <v>5</v>
      </c>
    </row>
    <row r="18" spans="1:6" ht="15.75" thickBot="1">
      <c r="A18" s="30" t="s">
        <v>8</v>
      </c>
      <c r="B18" s="31">
        <f>SUM(B3:B17)</f>
        <v>21923253.399999999</v>
      </c>
      <c r="C18" s="35">
        <f>SUM(C3:C17)</f>
        <v>2138.8268636592902</v>
      </c>
      <c r="D18" s="36" t="s">
        <v>44</v>
      </c>
    </row>
    <row r="19" spans="1:6" ht="15.75" thickBot="1"/>
    <row r="20" spans="1:6">
      <c r="A20" s="109" t="s">
        <v>0</v>
      </c>
      <c r="B20" s="113" t="s">
        <v>34</v>
      </c>
    </row>
    <row r="21" spans="1:6">
      <c r="A21" s="110"/>
      <c r="B21" s="114"/>
    </row>
    <row r="22" spans="1:6">
      <c r="A22" s="47" t="s">
        <v>2</v>
      </c>
      <c r="B22" s="40">
        <v>71531.25</v>
      </c>
    </row>
    <row r="23" spans="1:6">
      <c r="A23" s="33" t="s">
        <v>3</v>
      </c>
      <c r="B23" s="41">
        <v>1364173.88</v>
      </c>
    </row>
    <row r="24" spans="1:6">
      <c r="A24" s="47" t="s">
        <v>4</v>
      </c>
      <c r="B24" s="40">
        <v>2871535.5</v>
      </c>
    </row>
    <row r="25" spans="1:6">
      <c r="A25" s="33" t="s">
        <v>5</v>
      </c>
      <c r="B25" s="41">
        <v>250803.97</v>
      </c>
    </row>
    <row r="26" spans="1:6">
      <c r="A26" s="47" t="s">
        <v>36</v>
      </c>
      <c r="B26" s="40">
        <f>435201.31+436456.51+346403.81</f>
        <v>1218061.6300000001</v>
      </c>
    </row>
    <row r="27" spans="1:6">
      <c r="A27" s="33" t="s">
        <v>19</v>
      </c>
      <c r="B27" s="41">
        <v>388704.99</v>
      </c>
    </row>
    <row r="28" spans="1:6">
      <c r="A28" s="47" t="s">
        <v>26</v>
      </c>
      <c r="B28" s="40">
        <v>177028</v>
      </c>
    </row>
    <row r="29" spans="1:6">
      <c r="A29" s="33" t="s">
        <v>15</v>
      </c>
      <c r="B29" s="41">
        <v>475192.65</v>
      </c>
    </row>
    <row r="30" spans="1:6">
      <c r="A30" s="47" t="s">
        <v>6</v>
      </c>
      <c r="B30" s="40">
        <v>89351.75</v>
      </c>
    </row>
    <row r="31" spans="1:6">
      <c r="A31" s="33" t="s">
        <v>16</v>
      </c>
      <c r="B31" s="41">
        <v>446062.14</v>
      </c>
    </row>
    <row r="32" spans="1:6">
      <c r="A32" s="47" t="s">
        <v>7</v>
      </c>
      <c r="B32" s="40">
        <v>712359.99</v>
      </c>
    </row>
    <row r="33" spans="1:2">
      <c r="A33" s="33" t="s">
        <v>20</v>
      </c>
      <c r="B33" s="41">
        <v>970896.05</v>
      </c>
    </row>
    <row r="34" spans="1:2">
      <c r="A34" s="47" t="s">
        <v>17</v>
      </c>
      <c r="B34" s="40">
        <v>333207.67</v>
      </c>
    </row>
    <row r="35" spans="1:2" ht="15.75" thickBot="1">
      <c r="A35" s="30" t="s">
        <v>8</v>
      </c>
      <c r="B35" s="42">
        <f>SUM(B22:B34)</f>
        <v>9368909.4700000007</v>
      </c>
    </row>
    <row r="36" spans="1:2" ht="15.75" thickBot="1"/>
    <row r="37" spans="1:2">
      <c r="A37" s="109" t="s">
        <v>0</v>
      </c>
      <c r="B37" s="113" t="s">
        <v>34</v>
      </c>
    </row>
    <row r="38" spans="1:2">
      <c r="A38" s="110"/>
      <c r="B38" s="114"/>
    </row>
    <row r="39" spans="1:2">
      <c r="A39" s="47" t="s">
        <v>4</v>
      </c>
      <c r="B39" s="40">
        <v>1401106.71</v>
      </c>
    </row>
    <row r="40" spans="1:2">
      <c r="A40" s="33" t="s">
        <v>5</v>
      </c>
      <c r="B40" s="41">
        <v>402310.41</v>
      </c>
    </row>
    <row r="41" spans="1:2">
      <c r="A41" s="47" t="s">
        <v>36</v>
      </c>
      <c r="B41" s="40">
        <f>336283.94+407376.65</f>
        <v>743660.59000000008</v>
      </c>
    </row>
    <row r="42" spans="1:2">
      <c r="A42" s="33" t="s">
        <v>19</v>
      </c>
      <c r="B42" s="41">
        <v>665676.76</v>
      </c>
    </row>
    <row r="43" spans="1:2">
      <c r="A43" s="47" t="s">
        <v>26</v>
      </c>
      <c r="B43" s="40">
        <v>191969.25</v>
      </c>
    </row>
    <row r="44" spans="1:2">
      <c r="A44" s="33" t="s">
        <v>15</v>
      </c>
      <c r="B44" s="41">
        <v>389629.78</v>
      </c>
    </row>
    <row r="45" spans="1:2">
      <c r="A45" s="47" t="s">
        <v>6</v>
      </c>
      <c r="B45" s="40">
        <v>91214.41</v>
      </c>
    </row>
    <row r="46" spans="1:2">
      <c r="A46" s="33" t="s">
        <v>16</v>
      </c>
      <c r="B46" s="41">
        <v>652699.12</v>
      </c>
    </row>
    <row r="47" spans="1:2">
      <c r="A47" s="47" t="s">
        <v>7</v>
      </c>
      <c r="B47" s="40">
        <v>321897.23</v>
      </c>
    </row>
    <row r="48" spans="1:2">
      <c r="A48" s="33" t="s">
        <v>20</v>
      </c>
      <c r="B48" s="41">
        <v>803073.24</v>
      </c>
    </row>
    <row r="49" spans="1:2">
      <c r="A49" s="47" t="s">
        <v>38</v>
      </c>
      <c r="B49" s="40">
        <v>154507.82999999999</v>
      </c>
    </row>
    <row r="50" spans="1:2">
      <c r="A50" s="33" t="s">
        <v>17</v>
      </c>
      <c r="B50" s="41">
        <v>434280.74</v>
      </c>
    </row>
    <row r="51" spans="1:2" ht="15.75" thickBot="1">
      <c r="A51" s="30" t="s">
        <v>8</v>
      </c>
      <c r="B51" s="42">
        <f>SUM(B39:B50)</f>
        <v>6252026.0700000003</v>
      </c>
    </row>
    <row r="52" spans="1:2" ht="15.75" thickBot="1"/>
    <row r="53" spans="1:2">
      <c r="A53" s="109" t="s">
        <v>0</v>
      </c>
      <c r="B53" s="113" t="s">
        <v>34</v>
      </c>
    </row>
    <row r="54" spans="1:2">
      <c r="A54" s="110"/>
      <c r="B54" s="114"/>
    </row>
    <row r="55" spans="1:2">
      <c r="A55" s="47" t="s">
        <v>4</v>
      </c>
      <c r="B55" s="40">
        <v>1310309.02</v>
      </c>
    </row>
    <row r="56" spans="1:2">
      <c r="A56" s="33" t="s">
        <v>5</v>
      </c>
      <c r="B56" s="41">
        <v>312270.48</v>
      </c>
    </row>
    <row r="57" spans="1:2">
      <c r="A57" s="47" t="s">
        <v>36</v>
      </c>
      <c r="B57" s="40">
        <f>312941.95+321126.82</f>
        <v>634068.77</v>
      </c>
    </row>
    <row r="58" spans="1:2">
      <c r="A58" s="33" t="s">
        <v>19</v>
      </c>
      <c r="B58" s="41">
        <v>618241.19999999995</v>
      </c>
    </row>
    <row r="59" spans="1:2">
      <c r="A59" s="47" t="s">
        <v>26</v>
      </c>
      <c r="B59" s="40">
        <v>98282.59</v>
      </c>
    </row>
    <row r="60" spans="1:2">
      <c r="A60" s="33" t="s">
        <v>15</v>
      </c>
      <c r="B60" s="41">
        <v>91433.43</v>
      </c>
    </row>
    <row r="61" spans="1:2">
      <c r="A61" s="47" t="s">
        <v>6</v>
      </c>
      <c r="B61" s="40">
        <v>75614.94</v>
      </c>
    </row>
    <row r="62" spans="1:2">
      <c r="A62" s="33" t="s">
        <v>16</v>
      </c>
      <c r="B62" s="41">
        <v>500085.67</v>
      </c>
    </row>
    <row r="63" spans="1:2">
      <c r="A63" s="47" t="s">
        <v>7</v>
      </c>
      <c r="B63" s="40">
        <v>246885.47</v>
      </c>
    </row>
    <row r="64" spans="1:2">
      <c r="A64" s="33" t="s">
        <v>20</v>
      </c>
      <c r="B64" s="41">
        <v>623588.9</v>
      </c>
    </row>
    <row r="65" spans="1:2">
      <c r="A65" s="47" t="s">
        <v>38</v>
      </c>
      <c r="B65" s="40">
        <v>159116.23000000001</v>
      </c>
    </row>
    <row r="66" spans="1:2" ht="15.75" customHeight="1">
      <c r="A66" s="33" t="s">
        <v>17</v>
      </c>
      <c r="B66" s="41">
        <v>349921.16</v>
      </c>
    </row>
    <row r="67" spans="1:2" ht="15.75" thickBot="1">
      <c r="A67" s="30" t="s">
        <v>8</v>
      </c>
      <c r="B67" s="42">
        <f>SUM(B55:B66)</f>
        <v>5019817.8600000003</v>
      </c>
    </row>
    <row r="68" spans="1:2" ht="15.75" thickBot="1"/>
    <row r="69" spans="1:2" ht="15" customHeight="1">
      <c r="A69" s="109" t="s">
        <v>0</v>
      </c>
      <c r="B69" s="115" t="s">
        <v>35</v>
      </c>
    </row>
    <row r="70" spans="1:2">
      <c r="A70" s="110"/>
      <c r="B70" s="116"/>
    </row>
    <row r="71" spans="1:2">
      <c r="A71" s="33" t="s">
        <v>18</v>
      </c>
      <c r="B71" s="41">
        <v>1282500</v>
      </c>
    </row>
    <row r="72" spans="1:2" ht="15.75" thickBot="1">
      <c r="A72" s="30" t="s">
        <v>8</v>
      </c>
      <c r="B72" s="42">
        <f>SUM(B71)</f>
        <v>1282500</v>
      </c>
    </row>
  </sheetData>
  <mergeCells count="10">
    <mergeCell ref="A69:A70"/>
    <mergeCell ref="B1:C1"/>
    <mergeCell ref="B20:B21"/>
    <mergeCell ref="B37:B38"/>
    <mergeCell ref="B53:B54"/>
    <mergeCell ref="B69:B70"/>
    <mergeCell ref="A1:A2"/>
    <mergeCell ref="A20:A21"/>
    <mergeCell ref="A37:A38"/>
    <mergeCell ref="A53:A54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110" zoomScaleNormal="110" workbookViewId="0">
      <selection activeCell="J26" sqref="J26"/>
    </sheetView>
  </sheetViews>
  <sheetFormatPr defaultColWidth="9.140625" defaultRowHeight="12.75"/>
  <cols>
    <col min="1" max="1" width="61.85546875" style="2" customWidth="1"/>
    <col min="2" max="2" width="17.85546875" style="2" bestFit="1" customWidth="1"/>
    <col min="3" max="3" width="14.28515625" style="2" customWidth="1"/>
    <col min="4" max="4" width="15.140625" style="2" customWidth="1"/>
    <col min="5" max="5" width="20.7109375" style="2" customWidth="1"/>
    <col min="6" max="6" width="9.140625" style="2"/>
    <col min="7" max="9" width="0" style="2" hidden="1" customWidth="1"/>
    <col min="10" max="16384" width="9.140625" style="2"/>
  </cols>
  <sheetData>
    <row r="1" spans="1:9" ht="25.5" customHeight="1">
      <c r="A1" s="17" t="s">
        <v>0</v>
      </c>
      <c r="B1" s="18" t="s">
        <v>10</v>
      </c>
      <c r="C1" s="18" t="s">
        <v>11</v>
      </c>
      <c r="D1" s="18" t="s">
        <v>12</v>
      </c>
      <c r="E1" s="19" t="s">
        <v>13</v>
      </c>
    </row>
    <row r="2" spans="1:9" ht="15" customHeight="1">
      <c r="A2" s="20" t="s">
        <v>1</v>
      </c>
      <c r="B2" s="5">
        <v>2773099.42</v>
      </c>
      <c r="C2" s="6">
        <f t="shared" ref="C2:C14" si="0">B2/B$18</f>
        <v>0.11228781189723867</v>
      </c>
      <c r="D2" s="7">
        <f t="shared" ref="D2:D17" si="1">B2/H$11</f>
        <v>270.54285360283239</v>
      </c>
      <c r="E2" s="21">
        <f>B2/H$7</f>
        <v>51353.692962962959</v>
      </c>
    </row>
    <row r="3" spans="1:9" ht="15" customHeight="1">
      <c r="A3" s="22" t="s">
        <v>2</v>
      </c>
      <c r="B3" s="8">
        <f>+'Gerenciamento executivo '!B3</f>
        <v>71531.25</v>
      </c>
      <c r="C3" s="9">
        <f t="shared" si="0"/>
        <v>2.8964297085224424E-3</v>
      </c>
      <c r="D3" s="10">
        <f t="shared" si="1"/>
        <v>6.9785700278923297</v>
      </c>
      <c r="E3" s="23">
        <f>B3/H$7</f>
        <v>1324.6527777777778</v>
      </c>
    </row>
    <row r="4" spans="1:9" ht="15" customHeight="1">
      <c r="A4" s="24" t="s">
        <v>3</v>
      </c>
      <c r="B4" s="11">
        <f>+'Gerenciamento executivo '!B4</f>
        <v>1364173.88</v>
      </c>
      <c r="C4" s="12">
        <f t="shared" si="0"/>
        <v>5.5237868115296865E-2</v>
      </c>
      <c r="D4" s="11">
        <f t="shared" si="1"/>
        <v>133.08844668311525</v>
      </c>
      <c r="E4" s="25">
        <f t="shared" ref="E4:E17" si="2">B4/H$7</f>
        <v>25262.479259259257</v>
      </c>
    </row>
    <row r="5" spans="1:9" ht="15" customHeight="1">
      <c r="A5" s="26" t="s">
        <v>4</v>
      </c>
      <c r="B5" s="13">
        <f>+'Gerenciamento executivo '!B5</f>
        <v>5582951.2300000004</v>
      </c>
      <c r="C5" s="14">
        <f t="shared" si="0"/>
        <v>0.22606379454859118</v>
      </c>
      <c r="D5" s="13">
        <f t="shared" si="1"/>
        <v>544.67126075474175</v>
      </c>
      <c r="E5" s="27">
        <f t="shared" si="2"/>
        <v>103387.98574074075</v>
      </c>
    </row>
    <row r="6" spans="1:9" ht="15" customHeight="1">
      <c r="A6" s="24" t="s">
        <v>5</v>
      </c>
      <c r="B6" s="11">
        <f>+'[1]Gerenciamento executivo '!B6</f>
        <v>965384.86</v>
      </c>
      <c r="C6" s="12">
        <f t="shared" si="0"/>
        <v>3.9090179308508922E-2</v>
      </c>
      <c r="D6" s="11">
        <f t="shared" si="1"/>
        <v>94.182694268267824</v>
      </c>
      <c r="E6" s="25">
        <f t="shared" si="2"/>
        <v>17877.497407407409</v>
      </c>
    </row>
    <row r="7" spans="1:9" ht="15" customHeight="1">
      <c r="A7" s="26" t="s">
        <v>36</v>
      </c>
      <c r="B7" s="13">
        <f>+'Gerenciamento executivo '!B7</f>
        <v>2595790.9900000002</v>
      </c>
      <c r="C7" s="14">
        <f t="shared" si="0"/>
        <v>0.10510827282552566</v>
      </c>
      <c r="D7" s="13">
        <f t="shared" si="1"/>
        <v>253.24468957954684</v>
      </c>
      <c r="E7" s="27">
        <f t="shared" si="2"/>
        <v>48070.203518518523</v>
      </c>
      <c r="H7" s="2">
        <v>54</v>
      </c>
    </row>
    <row r="8" spans="1:9" ht="15" customHeight="1">
      <c r="A8" s="24" t="s">
        <v>19</v>
      </c>
      <c r="B8" s="11">
        <f>+'Gerenciamento executivo '!B8</f>
        <v>1672622.95</v>
      </c>
      <c r="C8" s="12">
        <f t="shared" si="0"/>
        <v>6.7727528926678174E-2</v>
      </c>
      <c r="D8" s="11">
        <f t="shared" si="1"/>
        <v>163.18065722093283</v>
      </c>
      <c r="E8" s="25">
        <f>B8/H$7</f>
        <v>30974.499074074072</v>
      </c>
    </row>
    <row r="9" spans="1:9" ht="15" customHeight="1">
      <c r="A9" s="26" t="s">
        <v>26</v>
      </c>
      <c r="B9" s="13">
        <f>+'Gerenciamento executivo '!B9</f>
        <v>467279.83999999997</v>
      </c>
      <c r="C9" s="14">
        <f t="shared" si="0"/>
        <v>1.8921006004642915E-2</v>
      </c>
      <c r="D9" s="13">
        <f t="shared" si="1"/>
        <v>45.587698887721423</v>
      </c>
      <c r="E9" s="27">
        <f t="shared" si="2"/>
        <v>8653.3303703703696</v>
      </c>
    </row>
    <row r="10" spans="1:9" ht="15" customHeight="1">
      <c r="A10" s="24" t="s">
        <v>15</v>
      </c>
      <c r="B10" s="11">
        <f>+'Gerenciamento executivo '!B10</f>
        <v>956255.8600000001</v>
      </c>
      <c r="C10" s="12">
        <f t="shared" si="0"/>
        <v>3.872052958465954E-2</v>
      </c>
      <c r="D10" s="11">
        <f t="shared" si="1"/>
        <v>93.292071417630822</v>
      </c>
      <c r="E10" s="25">
        <f t="shared" si="2"/>
        <v>17708.441851851854</v>
      </c>
      <c r="I10" s="33" t="s">
        <v>15</v>
      </c>
    </row>
    <row r="11" spans="1:9" ht="14.25">
      <c r="A11" s="26" t="s">
        <v>6</v>
      </c>
      <c r="B11" s="13">
        <f>+'Gerenciamento executivo '!B11</f>
        <v>256181.1</v>
      </c>
      <c r="C11" s="14">
        <f t="shared" si="0"/>
        <v>1.0373236156252809E-2</v>
      </c>
      <c r="D11" s="13">
        <f t="shared" si="1"/>
        <v>24.992961064884057</v>
      </c>
      <c r="E11" s="27">
        <f t="shared" si="2"/>
        <v>4744.0944444444449</v>
      </c>
      <c r="H11" s="2">
        <v>10250.129999999999</v>
      </c>
      <c r="I11" s="47" t="s">
        <v>6</v>
      </c>
    </row>
    <row r="12" spans="1:9" ht="15" customHeight="1">
      <c r="A12" s="24" t="s">
        <v>16</v>
      </c>
      <c r="B12" s="11">
        <f>+'Gerenciamento executivo '!B12</f>
        <v>1598846.93</v>
      </c>
      <c r="C12" s="12">
        <f t="shared" si="0"/>
        <v>6.4740204420192599E-2</v>
      </c>
      <c r="D12" s="11">
        <f t="shared" si="1"/>
        <v>155.98308801937148</v>
      </c>
      <c r="E12" s="25">
        <f t="shared" si="2"/>
        <v>29608.27648148148</v>
      </c>
      <c r="I12" s="33" t="s">
        <v>16</v>
      </c>
    </row>
    <row r="13" spans="1:9" ht="15" customHeight="1">
      <c r="A13" s="26" t="s">
        <v>7</v>
      </c>
      <c r="B13" s="13">
        <f>+'Gerenciamento executivo '!B13</f>
        <v>1281142.69</v>
      </c>
      <c r="C13" s="14">
        <f t="shared" si="0"/>
        <v>5.1875785033427456E-2</v>
      </c>
      <c r="D13" s="13">
        <f t="shared" si="1"/>
        <v>124.98794551873976</v>
      </c>
      <c r="E13" s="27">
        <f t="shared" si="2"/>
        <v>23724.864629629628</v>
      </c>
      <c r="I13" s="47" t="s">
        <v>7</v>
      </c>
    </row>
    <row r="14" spans="1:9" ht="15" customHeight="1">
      <c r="A14" s="24" t="s">
        <v>20</v>
      </c>
      <c r="B14" s="11">
        <f>+'Gerenciamento executivo '!B14</f>
        <v>2397558.19</v>
      </c>
      <c r="C14" s="12">
        <f t="shared" si="0"/>
        <v>9.708146816149997E-2</v>
      </c>
      <c r="D14" s="11">
        <f t="shared" si="1"/>
        <v>233.90514949566494</v>
      </c>
      <c r="E14" s="25">
        <f t="shared" si="2"/>
        <v>44399.225740740738</v>
      </c>
      <c r="I14" s="33" t="s">
        <v>20</v>
      </c>
    </row>
    <row r="15" spans="1:9" ht="15" customHeight="1">
      <c r="A15" s="26" t="s">
        <v>38</v>
      </c>
      <c r="B15" s="13">
        <f>+'Gerenciamento executivo '!B15</f>
        <v>313624.06</v>
      </c>
      <c r="C15" s="14">
        <f t="shared" ref="C15:C17" si="3">B15/B$18</f>
        <v>1.2699205517748186E-2</v>
      </c>
      <c r="D15" s="13">
        <f t="shared" si="1"/>
        <v>30.597081207750538</v>
      </c>
      <c r="E15" s="27">
        <f t="shared" si="2"/>
        <v>5807.8529629629629</v>
      </c>
      <c r="I15" s="47" t="s">
        <v>38</v>
      </c>
    </row>
    <row r="16" spans="1:9" ht="15" customHeight="1">
      <c r="A16" s="24" t="s">
        <v>17</v>
      </c>
      <c r="B16" s="11">
        <f>+'Gerenciamento executivo '!B16</f>
        <v>1117409.5699999998</v>
      </c>
      <c r="C16" s="12">
        <f t="shared" si="3"/>
        <v>4.5245934820589424E-2</v>
      </c>
      <c r="D16" s="11">
        <f t="shared" si="1"/>
        <v>109.01418518594397</v>
      </c>
      <c r="E16" s="25">
        <f t="shared" si="2"/>
        <v>20692.769814814812</v>
      </c>
      <c r="I16" s="33" t="s">
        <v>17</v>
      </c>
    </row>
    <row r="17" spans="1:5" ht="15" customHeight="1">
      <c r="A17" s="26" t="s">
        <v>18</v>
      </c>
      <c r="B17" s="13">
        <f>+'Gerenciamento executivo '!B17</f>
        <v>1282500</v>
      </c>
      <c r="C17" s="14">
        <f t="shared" si="3"/>
        <v>5.1930744970625178E-2</v>
      </c>
      <c r="D17" s="13">
        <f t="shared" si="1"/>
        <v>125.12036432708659</v>
      </c>
      <c r="E17" s="27">
        <f t="shared" si="2"/>
        <v>23750</v>
      </c>
    </row>
    <row r="18" spans="1:5" ht="15" customHeight="1">
      <c r="A18" s="28" t="s">
        <v>8</v>
      </c>
      <c r="B18" s="4">
        <f>SUM(B2:B17)</f>
        <v>24696352.82</v>
      </c>
      <c r="C18" s="15">
        <f>SUM(C2:C17)</f>
        <v>1.0000000000000002</v>
      </c>
      <c r="D18" s="4">
        <f>SUM(D2:D17)</f>
        <v>2409.3697172621223</v>
      </c>
      <c r="E18" s="29">
        <f>SUM(E2:E17)</f>
        <v>457339.86703703704</v>
      </c>
    </row>
    <row r="19" spans="1:5" ht="15" customHeight="1" thickBot="1">
      <c r="A19" s="30" t="s">
        <v>9</v>
      </c>
      <c r="B19" s="31">
        <v>2307.92</v>
      </c>
      <c r="C19" s="32">
        <v>44378</v>
      </c>
      <c r="D19" s="43">
        <f>+D18/B19</f>
        <v>1.0439572070358254</v>
      </c>
      <c r="E19" s="44" t="s">
        <v>37</v>
      </c>
    </row>
    <row r="21" spans="1:5">
      <c r="B21" s="39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12" sqref="A12"/>
    </sheetView>
  </sheetViews>
  <sheetFormatPr defaultRowHeight="14.25"/>
  <cols>
    <col min="1" max="1" width="63.140625" style="54" customWidth="1"/>
    <col min="2" max="2" width="20.28515625" style="54" bestFit="1" customWidth="1"/>
    <col min="3" max="3" width="8.28515625" style="54" bestFit="1" customWidth="1"/>
    <col min="4" max="16384" width="9.140625" style="53"/>
  </cols>
  <sheetData>
    <row r="1" spans="1:3" ht="35.25" customHeight="1">
      <c r="A1" s="50" t="s">
        <v>0</v>
      </c>
      <c r="B1" s="51" t="s">
        <v>51</v>
      </c>
      <c r="C1" s="52" t="s">
        <v>11</v>
      </c>
    </row>
    <row r="2" spans="1:3" ht="35.25" customHeight="1">
      <c r="A2" s="55" t="s">
        <v>45</v>
      </c>
      <c r="B2" s="56">
        <v>1797638.4</v>
      </c>
      <c r="C2" s="56">
        <v>7.3070000000000004</v>
      </c>
    </row>
    <row r="3" spans="1:3" ht="42.75">
      <c r="A3" s="57" t="s">
        <v>46</v>
      </c>
      <c r="B3" s="58">
        <v>890507.44</v>
      </c>
      <c r="C3" s="58">
        <v>10.9267</v>
      </c>
    </row>
    <row r="4" spans="1:3" ht="35.25" customHeight="1">
      <c r="A4" s="57" t="s">
        <v>47</v>
      </c>
      <c r="B4" s="58">
        <v>675000</v>
      </c>
      <c r="C4" s="58">
        <v>13.670400000000001</v>
      </c>
    </row>
    <row r="5" spans="1:3" ht="35.25" customHeight="1">
      <c r="A5" s="57" t="s">
        <v>48</v>
      </c>
      <c r="B5" s="58">
        <v>584807.88</v>
      </c>
      <c r="C5" s="58">
        <v>16.047499999999999</v>
      </c>
    </row>
    <row r="6" spans="1:3" ht="35.25" customHeight="1">
      <c r="A6" s="57" t="s">
        <v>49</v>
      </c>
      <c r="B6" s="58">
        <v>531382.5</v>
      </c>
      <c r="C6" s="58">
        <v>18.2074</v>
      </c>
    </row>
    <row r="7" spans="1:3" ht="35.25" customHeight="1">
      <c r="A7" s="59" t="s">
        <v>50</v>
      </c>
      <c r="B7" s="60">
        <v>456361.65</v>
      </c>
      <c r="C7" s="60">
        <v>20.0624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4"/>
  <sheetViews>
    <sheetView workbookViewId="0">
      <selection activeCell="A17" sqref="A17"/>
    </sheetView>
  </sheetViews>
  <sheetFormatPr defaultRowHeight="15"/>
  <cols>
    <col min="1" max="1" width="73.7109375" customWidth="1"/>
  </cols>
  <sheetData>
    <row r="1" spans="1:1">
      <c r="A1" t="s">
        <v>498</v>
      </c>
    </row>
    <row r="2" spans="1:1">
      <c r="A2" s="61" t="s">
        <v>52</v>
      </c>
    </row>
    <row r="3" spans="1:1">
      <c r="A3" s="61" t="s">
        <v>53</v>
      </c>
    </row>
    <row r="4" spans="1:1">
      <c r="A4" s="61" t="s">
        <v>54</v>
      </c>
    </row>
    <row r="5" spans="1:1">
      <c r="A5" s="61" t="s">
        <v>55</v>
      </c>
    </row>
    <row r="6" spans="1:1">
      <c r="A6" s="61" t="s">
        <v>56</v>
      </c>
    </row>
    <row r="7" spans="1:1">
      <c r="A7" s="61" t="s">
        <v>57</v>
      </c>
    </row>
    <row r="8" spans="1:1">
      <c r="A8" s="61" t="s">
        <v>58</v>
      </c>
    </row>
    <row r="9" spans="1:1">
      <c r="A9" s="61" t="s">
        <v>59</v>
      </c>
    </row>
    <row r="10" spans="1:1" ht="22.5">
      <c r="A10" s="61" t="s">
        <v>60</v>
      </c>
    </row>
    <row r="11" spans="1:1">
      <c r="A11" s="61" t="s">
        <v>61</v>
      </c>
    </row>
    <row r="12" spans="1:1">
      <c r="A12" s="61" t="s">
        <v>62</v>
      </c>
    </row>
    <row r="13" spans="1:1">
      <c r="A13" s="61" t="s">
        <v>63</v>
      </c>
    </row>
    <row r="14" spans="1:1">
      <c r="A14" s="61" t="s">
        <v>64</v>
      </c>
    </row>
    <row r="15" spans="1:1" ht="22.5">
      <c r="A15" s="61" t="s">
        <v>65</v>
      </c>
    </row>
    <row r="16" spans="1:1">
      <c r="A16" s="61" t="s">
        <v>66</v>
      </c>
    </row>
    <row r="17" spans="1:1">
      <c r="A17" s="61" t="s">
        <v>67</v>
      </c>
    </row>
    <row r="18" spans="1:1">
      <c r="A18" s="61" t="s">
        <v>68</v>
      </c>
    </row>
    <row r="19" spans="1:1" ht="22.5">
      <c r="A19" s="61" t="s">
        <v>69</v>
      </c>
    </row>
    <row r="20" spans="1:1" ht="22.5">
      <c r="A20" s="61" t="s">
        <v>70</v>
      </c>
    </row>
    <row r="21" spans="1:1">
      <c r="A21" s="61" t="s">
        <v>71</v>
      </c>
    </row>
    <row r="22" spans="1:1">
      <c r="A22" s="61" t="s">
        <v>72</v>
      </c>
    </row>
    <row r="23" spans="1:1">
      <c r="A23" s="61" t="s">
        <v>73</v>
      </c>
    </row>
    <row r="24" spans="1:1">
      <c r="A24" s="61" t="s">
        <v>73</v>
      </c>
    </row>
    <row r="25" spans="1:1">
      <c r="A25" s="61" t="s">
        <v>74</v>
      </c>
    </row>
    <row r="26" spans="1:1">
      <c r="A26" s="61" t="s">
        <v>75</v>
      </c>
    </row>
    <row r="27" spans="1:1">
      <c r="A27" s="61" t="s">
        <v>76</v>
      </c>
    </row>
    <row r="28" spans="1:1">
      <c r="A28" s="61" t="s">
        <v>77</v>
      </c>
    </row>
    <row r="29" spans="1:1" ht="22.5">
      <c r="A29" s="61" t="s">
        <v>78</v>
      </c>
    </row>
    <row r="30" spans="1:1" ht="22.5">
      <c r="A30" s="61" t="s">
        <v>79</v>
      </c>
    </row>
    <row r="31" spans="1:1">
      <c r="A31" s="61" t="s">
        <v>80</v>
      </c>
    </row>
    <row r="32" spans="1:1">
      <c r="A32" s="61" t="s">
        <v>81</v>
      </c>
    </row>
    <row r="33" spans="1:1">
      <c r="A33" s="61" t="s">
        <v>82</v>
      </c>
    </row>
    <row r="34" spans="1:1">
      <c r="A34" s="61" t="s">
        <v>83</v>
      </c>
    </row>
    <row r="35" spans="1:1">
      <c r="A35" s="61" t="s">
        <v>84</v>
      </c>
    </row>
    <row r="36" spans="1:1">
      <c r="A36" s="61" t="s">
        <v>85</v>
      </c>
    </row>
    <row r="37" spans="1:1">
      <c r="A37" s="61" t="s">
        <v>86</v>
      </c>
    </row>
    <row r="38" spans="1:1">
      <c r="A38" s="61" t="s">
        <v>87</v>
      </c>
    </row>
    <row r="39" spans="1:1">
      <c r="A39" s="61" t="s">
        <v>88</v>
      </c>
    </row>
    <row r="40" spans="1:1">
      <c r="A40" s="61" t="s">
        <v>89</v>
      </c>
    </row>
    <row r="41" spans="1:1">
      <c r="A41" s="61" t="s">
        <v>90</v>
      </c>
    </row>
    <row r="42" spans="1:1">
      <c r="A42" s="61" t="s">
        <v>91</v>
      </c>
    </row>
    <row r="43" spans="1:1">
      <c r="A43" s="61" t="s">
        <v>92</v>
      </c>
    </row>
    <row r="44" spans="1:1">
      <c r="A44" s="61" t="s">
        <v>93</v>
      </c>
    </row>
    <row r="45" spans="1:1">
      <c r="A45" s="61" t="s">
        <v>94</v>
      </c>
    </row>
    <row r="46" spans="1:1">
      <c r="A46" s="61" t="s">
        <v>95</v>
      </c>
    </row>
    <row r="47" spans="1:1">
      <c r="A47" s="61" t="s">
        <v>96</v>
      </c>
    </row>
    <row r="48" spans="1:1">
      <c r="A48" s="61" t="s">
        <v>50</v>
      </c>
    </row>
    <row r="49" spans="1:1">
      <c r="A49" s="61" t="s">
        <v>97</v>
      </c>
    </row>
    <row r="50" spans="1:1">
      <c r="A50" s="61" t="s">
        <v>98</v>
      </c>
    </row>
    <row r="51" spans="1:1">
      <c r="A51" s="61" t="s">
        <v>99</v>
      </c>
    </row>
    <row r="52" spans="1:1">
      <c r="A52" s="61" t="s">
        <v>100</v>
      </c>
    </row>
    <row r="53" spans="1:1">
      <c r="A53" s="61" t="s">
        <v>101</v>
      </c>
    </row>
    <row r="54" spans="1:1">
      <c r="A54" s="61" t="s">
        <v>102</v>
      </c>
    </row>
    <row r="55" spans="1:1">
      <c r="A55" s="61" t="s">
        <v>103</v>
      </c>
    </row>
    <row r="56" spans="1:1">
      <c r="A56" s="61" t="s">
        <v>104</v>
      </c>
    </row>
    <row r="57" spans="1:1">
      <c r="A57" s="61" t="s">
        <v>105</v>
      </c>
    </row>
    <row r="58" spans="1:1">
      <c r="A58" s="61" t="s">
        <v>106</v>
      </c>
    </row>
    <row r="59" spans="1:1">
      <c r="A59" s="61" t="s">
        <v>107</v>
      </c>
    </row>
    <row r="60" spans="1:1">
      <c r="A60" s="61" t="s">
        <v>108</v>
      </c>
    </row>
    <row r="61" spans="1:1">
      <c r="A61" s="61" t="s">
        <v>109</v>
      </c>
    </row>
    <row r="62" spans="1:1">
      <c r="A62" s="61" t="s">
        <v>110</v>
      </c>
    </row>
    <row r="63" spans="1:1">
      <c r="A63" s="61" t="s">
        <v>111</v>
      </c>
    </row>
    <row r="64" spans="1:1">
      <c r="A64" s="61" t="s">
        <v>112</v>
      </c>
    </row>
    <row r="65" spans="1:1">
      <c r="A65" s="61" t="s">
        <v>113</v>
      </c>
    </row>
    <row r="66" spans="1:1">
      <c r="A66" s="61" t="s">
        <v>114</v>
      </c>
    </row>
    <row r="67" spans="1:1">
      <c r="A67" s="61" t="s">
        <v>115</v>
      </c>
    </row>
    <row r="68" spans="1:1">
      <c r="A68" s="61" t="s">
        <v>116</v>
      </c>
    </row>
    <row r="69" spans="1:1">
      <c r="A69" s="61" t="s">
        <v>117</v>
      </c>
    </row>
    <row r="70" spans="1:1">
      <c r="A70" s="61" t="s">
        <v>118</v>
      </c>
    </row>
    <row r="71" spans="1:1">
      <c r="A71" s="61" t="s">
        <v>119</v>
      </c>
    </row>
    <row r="72" spans="1:1">
      <c r="A72" s="61" t="s">
        <v>120</v>
      </c>
    </row>
    <row r="73" spans="1:1">
      <c r="A73" s="61" t="s">
        <v>121</v>
      </c>
    </row>
    <row r="74" spans="1:1">
      <c r="A74" s="61" t="s">
        <v>122</v>
      </c>
    </row>
    <row r="75" spans="1:1">
      <c r="A75" s="61" t="s">
        <v>123</v>
      </c>
    </row>
    <row r="76" spans="1:1">
      <c r="A76" s="61" t="s">
        <v>124</v>
      </c>
    </row>
    <row r="77" spans="1:1">
      <c r="A77" s="61" t="s">
        <v>125</v>
      </c>
    </row>
    <row r="78" spans="1:1">
      <c r="A78" s="61" t="s">
        <v>126</v>
      </c>
    </row>
    <row r="79" spans="1:1">
      <c r="A79" s="61" t="s">
        <v>127</v>
      </c>
    </row>
    <row r="80" spans="1:1">
      <c r="A80" s="61" t="s">
        <v>128</v>
      </c>
    </row>
    <row r="81" spans="1:1">
      <c r="A81" s="61" t="s">
        <v>129</v>
      </c>
    </row>
    <row r="82" spans="1:1">
      <c r="A82" s="61" t="s">
        <v>130</v>
      </c>
    </row>
    <row r="83" spans="1:1">
      <c r="A83" s="61" t="s">
        <v>131</v>
      </c>
    </row>
    <row r="84" spans="1:1">
      <c r="A84" s="61" t="s">
        <v>132</v>
      </c>
    </row>
    <row r="85" spans="1:1">
      <c r="A85" s="61" t="s">
        <v>133</v>
      </c>
    </row>
    <row r="86" spans="1:1">
      <c r="A86" s="61" t="s">
        <v>134</v>
      </c>
    </row>
    <row r="87" spans="1:1">
      <c r="A87" s="61" t="s">
        <v>135</v>
      </c>
    </row>
    <row r="88" spans="1:1">
      <c r="A88" s="61" t="s">
        <v>136</v>
      </c>
    </row>
    <row r="89" spans="1:1">
      <c r="A89" s="61" t="s">
        <v>137</v>
      </c>
    </row>
    <row r="90" spans="1:1">
      <c r="A90" s="61" t="s">
        <v>138</v>
      </c>
    </row>
    <row r="91" spans="1:1" ht="22.5">
      <c r="A91" s="61" t="s">
        <v>139</v>
      </c>
    </row>
    <row r="92" spans="1:1">
      <c r="A92" s="61" t="s">
        <v>140</v>
      </c>
    </row>
    <row r="93" spans="1:1">
      <c r="A93" s="61" t="s">
        <v>141</v>
      </c>
    </row>
    <row r="94" spans="1:1">
      <c r="A94" s="61" t="s">
        <v>142</v>
      </c>
    </row>
    <row r="95" spans="1:1">
      <c r="A95" s="61" t="s">
        <v>143</v>
      </c>
    </row>
    <row r="96" spans="1:1">
      <c r="A96" s="61" t="s">
        <v>144</v>
      </c>
    </row>
    <row r="97" spans="1:1">
      <c r="A97" s="61" t="s">
        <v>145</v>
      </c>
    </row>
    <row r="98" spans="1:1">
      <c r="A98" s="61" t="s">
        <v>146</v>
      </c>
    </row>
    <row r="99" spans="1:1">
      <c r="A99" s="61" t="s">
        <v>147</v>
      </c>
    </row>
    <row r="100" spans="1:1">
      <c r="A100" s="61" t="s">
        <v>148</v>
      </c>
    </row>
    <row r="101" spans="1:1" ht="22.5">
      <c r="A101" s="61" t="s">
        <v>149</v>
      </c>
    </row>
    <row r="102" spans="1:1">
      <c r="A102" s="61" t="s">
        <v>150</v>
      </c>
    </row>
    <row r="103" spans="1:1">
      <c r="A103" s="61" t="s">
        <v>151</v>
      </c>
    </row>
    <row r="104" spans="1:1">
      <c r="A104" s="61" t="s">
        <v>152</v>
      </c>
    </row>
    <row r="105" spans="1:1">
      <c r="A105" s="61" t="s">
        <v>153</v>
      </c>
    </row>
    <row r="106" spans="1:1">
      <c r="A106" s="61" t="s">
        <v>154</v>
      </c>
    </row>
    <row r="107" spans="1:1">
      <c r="A107" s="61" t="s">
        <v>155</v>
      </c>
    </row>
    <row r="108" spans="1:1">
      <c r="A108" s="61" t="s">
        <v>156</v>
      </c>
    </row>
    <row r="109" spans="1:1">
      <c r="A109" s="61" t="s">
        <v>157</v>
      </c>
    </row>
    <row r="110" spans="1:1" ht="22.5">
      <c r="A110" s="61" t="s">
        <v>158</v>
      </c>
    </row>
    <row r="111" spans="1:1" ht="22.5">
      <c r="A111" s="61" t="s">
        <v>159</v>
      </c>
    </row>
    <row r="112" spans="1:1" ht="22.5">
      <c r="A112" s="61" t="s">
        <v>160</v>
      </c>
    </row>
    <row r="113" spans="1:1" ht="22.5">
      <c r="A113" s="61" t="s">
        <v>161</v>
      </c>
    </row>
    <row r="114" spans="1:1" ht="22.5">
      <c r="A114" s="61" t="s">
        <v>162</v>
      </c>
    </row>
    <row r="115" spans="1:1" ht="22.5">
      <c r="A115" s="61" t="s">
        <v>163</v>
      </c>
    </row>
    <row r="116" spans="1:1" ht="22.5">
      <c r="A116" s="61" t="s">
        <v>164</v>
      </c>
    </row>
    <row r="117" spans="1:1" ht="22.5">
      <c r="A117" s="61" t="s">
        <v>165</v>
      </c>
    </row>
    <row r="118" spans="1:1" ht="22.5">
      <c r="A118" s="61" t="s">
        <v>166</v>
      </c>
    </row>
    <row r="119" spans="1:1" ht="22.5">
      <c r="A119" s="61" t="s">
        <v>167</v>
      </c>
    </row>
    <row r="120" spans="1:1" ht="22.5">
      <c r="A120" s="61" t="s">
        <v>168</v>
      </c>
    </row>
    <row r="121" spans="1:1">
      <c r="A121" s="61" t="s">
        <v>169</v>
      </c>
    </row>
    <row r="122" spans="1:1">
      <c r="A122" s="61" t="s">
        <v>170</v>
      </c>
    </row>
    <row r="123" spans="1:1" ht="22.5">
      <c r="A123" s="61" t="s">
        <v>171</v>
      </c>
    </row>
    <row r="124" spans="1:1">
      <c r="A124" s="61" t="s">
        <v>172</v>
      </c>
    </row>
    <row r="125" spans="1:1" ht="22.5">
      <c r="A125" s="61" t="s">
        <v>173</v>
      </c>
    </row>
    <row r="126" spans="1:1" ht="22.5">
      <c r="A126" s="61" t="s">
        <v>174</v>
      </c>
    </row>
    <row r="127" spans="1:1" ht="22.5">
      <c r="A127" s="61" t="s">
        <v>175</v>
      </c>
    </row>
    <row r="128" spans="1:1" ht="22.5">
      <c r="A128" s="61" t="s">
        <v>176</v>
      </c>
    </row>
    <row r="129" spans="1:1" ht="22.5">
      <c r="A129" s="61" t="s">
        <v>177</v>
      </c>
    </row>
    <row r="130" spans="1:1">
      <c r="A130" s="61" t="s">
        <v>178</v>
      </c>
    </row>
    <row r="131" spans="1:1">
      <c r="A131" s="61" t="s">
        <v>179</v>
      </c>
    </row>
    <row r="132" spans="1:1">
      <c r="A132" s="61" t="s">
        <v>180</v>
      </c>
    </row>
    <row r="133" spans="1:1">
      <c r="A133" s="61" t="s">
        <v>181</v>
      </c>
    </row>
    <row r="134" spans="1:1">
      <c r="A134" s="61" t="s">
        <v>182</v>
      </c>
    </row>
    <row r="135" spans="1:1">
      <c r="A135" s="61" t="s">
        <v>183</v>
      </c>
    </row>
    <row r="136" spans="1:1">
      <c r="A136" s="61" t="s">
        <v>184</v>
      </c>
    </row>
    <row r="137" spans="1:1" ht="22.5">
      <c r="A137" s="61" t="s">
        <v>185</v>
      </c>
    </row>
    <row r="138" spans="1:1" ht="22.5">
      <c r="A138" s="61" t="s">
        <v>186</v>
      </c>
    </row>
    <row r="139" spans="1:1">
      <c r="A139" s="61" t="s">
        <v>187</v>
      </c>
    </row>
    <row r="140" spans="1:1" ht="22.5">
      <c r="A140" s="61" t="s">
        <v>188</v>
      </c>
    </row>
    <row r="141" spans="1:1" ht="22.5">
      <c r="A141" s="61" t="s">
        <v>189</v>
      </c>
    </row>
    <row r="142" spans="1:1">
      <c r="A142" s="61" t="s">
        <v>190</v>
      </c>
    </row>
    <row r="143" spans="1:1">
      <c r="A143" s="61" t="s">
        <v>191</v>
      </c>
    </row>
    <row r="144" spans="1:1">
      <c r="A144" s="61" t="s">
        <v>192</v>
      </c>
    </row>
    <row r="145" spans="1:1">
      <c r="A145" s="61" t="s">
        <v>193</v>
      </c>
    </row>
    <row r="146" spans="1:1">
      <c r="A146" s="61" t="s">
        <v>194</v>
      </c>
    </row>
    <row r="147" spans="1:1" ht="22.5">
      <c r="A147" s="61" t="s">
        <v>195</v>
      </c>
    </row>
    <row r="148" spans="1:1">
      <c r="A148" s="61" t="s">
        <v>196</v>
      </c>
    </row>
    <row r="149" spans="1:1">
      <c r="A149" s="61" t="s">
        <v>197</v>
      </c>
    </row>
    <row r="150" spans="1:1">
      <c r="A150" s="61" t="s">
        <v>198</v>
      </c>
    </row>
    <row r="151" spans="1:1" ht="22.5">
      <c r="A151" s="61" t="s">
        <v>199</v>
      </c>
    </row>
    <row r="152" spans="1:1">
      <c r="A152" s="61" t="s">
        <v>200</v>
      </c>
    </row>
    <row r="153" spans="1:1" ht="22.5">
      <c r="A153" s="61" t="s">
        <v>201</v>
      </c>
    </row>
    <row r="154" spans="1:1">
      <c r="A154" s="61" t="s">
        <v>202</v>
      </c>
    </row>
    <row r="155" spans="1:1">
      <c r="A155" s="61" t="s">
        <v>203</v>
      </c>
    </row>
    <row r="156" spans="1:1">
      <c r="A156" s="61" t="s">
        <v>204</v>
      </c>
    </row>
    <row r="157" spans="1:1">
      <c r="A157" s="61" t="s">
        <v>205</v>
      </c>
    </row>
    <row r="158" spans="1:1">
      <c r="A158" s="61" t="s">
        <v>206</v>
      </c>
    </row>
    <row r="159" spans="1:1">
      <c r="A159" s="61" t="s">
        <v>207</v>
      </c>
    </row>
    <row r="160" spans="1:1">
      <c r="A160" s="61" t="s">
        <v>208</v>
      </c>
    </row>
    <row r="161" spans="1:1" ht="22.5">
      <c r="A161" s="61" t="s">
        <v>209</v>
      </c>
    </row>
    <row r="162" spans="1:1" ht="22.5">
      <c r="A162" s="61" t="s">
        <v>210</v>
      </c>
    </row>
    <row r="163" spans="1:1">
      <c r="A163" s="61" t="s">
        <v>211</v>
      </c>
    </row>
    <row r="164" spans="1:1">
      <c r="A164" s="61" t="s">
        <v>212</v>
      </c>
    </row>
    <row r="165" spans="1:1" ht="22.5">
      <c r="A165" s="61" t="s">
        <v>213</v>
      </c>
    </row>
    <row r="166" spans="1:1">
      <c r="A166" s="61" t="s">
        <v>214</v>
      </c>
    </row>
    <row r="167" spans="1:1">
      <c r="A167" s="61" t="s">
        <v>215</v>
      </c>
    </row>
    <row r="168" spans="1:1">
      <c r="A168" s="61" t="s">
        <v>216</v>
      </c>
    </row>
    <row r="169" spans="1:1">
      <c r="A169" s="61" t="s">
        <v>217</v>
      </c>
    </row>
    <row r="170" spans="1:1">
      <c r="A170" s="61" t="s">
        <v>218</v>
      </c>
    </row>
    <row r="171" spans="1:1">
      <c r="A171" s="61" t="s">
        <v>219</v>
      </c>
    </row>
    <row r="172" spans="1:1">
      <c r="A172" s="61" t="s">
        <v>220</v>
      </c>
    </row>
    <row r="173" spans="1:1" ht="22.5">
      <c r="A173" s="61" t="s">
        <v>221</v>
      </c>
    </row>
    <row r="174" spans="1:1">
      <c r="A174" s="61" t="s">
        <v>222</v>
      </c>
    </row>
    <row r="175" spans="1:1">
      <c r="A175" s="61" t="s">
        <v>223</v>
      </c>
    </row>
    <row r="176" spans="1:1" ht="22.5">
      <c r="A176" s="61" t="s">
        <v>224</v>
      </c>
    </row>
    <row r="177" spans="1:1">
      <c r="A177" s="61" t="s">
        <v>225</v>
      </c>
    </row>
    <row r="178" spans="1:1">
      <c r="A178" s="61" t="s">
        <v>226</v>
      </c>
    </row>
    <row r="179" spans="1:1">
      <c r="A179" s="61" t="s">
        <v>227</v>
      </c>
    </row>
    <row r="180" spans="1:1">
      <c r="A180" s="61" t="s">
        <v>228</v>
      </c>
    </row>
    <row r="181" spans="1:1">
      <c r="A181" s="61" t="s">
        <v>229</v>
      </c>
    </row>
    <row r="182" spans="1:1">
      <c r="A182" s="61" t="s">
        <v>230</v>
      </c>
    </row>
    <row r="183" spans="1:1">
      <c r="A183" s="61" t="s">
        <v>231</v>
      </c>
    </row>
    <row r="184" spans="1:1" ht="22.5">
      <c r="A184" s="61" t="s">
        <v>232</v>
      </c>
    </row>
    <row r="185" spans="1:1" ht="22.5">
      <c r="A185" s="61" t="s">
        <v>48</v>
      </c>
    </row>
    <row r="186" spans="1:1" ht="22.5">
      <c r="A186" s="61" t="s">
        <v>233</v>
      </c>
    </row>
    <row r="187" spans="1:1" ht="22.5">
      <c r="A187" s="61" t="s">
        <v>234</v>
      </c>
    </row>
    <row r="188" spans="1:1" ht="22.5">
      <c r="A188" s="61" t="s">
        <v>235</v>
      </c>
    </row>
    <row r="189" spans="1:1" ht="22.5">
      <c r="A189" s="61" t="s">
        <v>236</v>
      </c>
    </row>
    <row r="190" spans="1:1" ht="22.5">
      <c r="A190" s="61" t="s">
        <v>237</v>
      </c>
    </row>
    <row r="191" spans="1:1" ht="22.5">
      <c r="A191" s="61" t="s">
        <v>238</v>
      </c>
    </row>
    <row r="192" spans="1:1" ht="22.5">
      <c r="A192" s="61" t="s">
        <v>46</v>
      </c>
    </row>
    <row r="193" spans="1:1" ht="22.5">
      <c r="A193" s="61" t="s">
        <v>239</v>
      </c>
    </row>
    <row r="194" spans="1:1" ht="22.5">
      <c r="A194" s="61" t="s">
        <v>240</v>
      </c>
    </row>
    <row r="195" spans="1:1" ht="22.5">
      <c r="A195" s="61" t="s">
        <v>241</v>
      </c>
    </row>
    <row r="196" spans="1:1" ht="22.5">
      <c r="A196" s="61" t="s">
        <v>242</v>
      </c>
    </row>
    <row r="197" spans="1:1">
      <c r="A197" s="61" t="s">
        <v>243</v>
      </c>
    </row>
    <row r="198" spans="1:1">
      <c r="A198" s="61" t="s">
        <v>244</v>
      </c>
    </row>
    <row r="199" spans="1:1" ht="22.5">
      <c r="A199" s="61" t="s">
        <v>245</v>
      </c>
    </row>
    <row r="200" spans="1:1">
      <c r="A200" s="61" t="s">
        <v>246</v>
      </c>
    </row>
    <row r="201" spans="1:1" ht="22.5">
      <c r="A201" s="61" t="s">
        <v>45</v>
      </c>
    </row>
    <row r="202" spans="1:1">
      <c r="A202" s="61" t="s">
        <v>247</v>
      </c>
    </row>
    <row r="203" spans="1:1">
      <c r="A203" s="61" t="s">
        <v>248</v>
      </c>
    </row>
    <row r="204" spans="1:1">
      <c r="A204" s="61" t="s">
        <v>249</v>
      </c>
    </row>
    <row r="205" spans="1:1">
      <c r="A205" s="61" t="s">
        <v>250</v>
      </c>
    </row>
    <row r="206" spans="1:1">
      <c r="A206" s="61" t="s">
        <v>251</v>
      </c>
    </row>
    <row r="207" spans="1:1" ht="22.5">
      <c r="A207" s="61" t="s">
        <v>252</v>
      </c>
    </row>
    <row r="208" spans="1:1" ht="22.5">
      <c r="A208" s="61" t="s">
        <v>253</v>
      </c>
    </row>
    <row r="209" spans="1:1" ht="22.5">
      <c r="A209" s="61" t="s">
        <v>254</v>
      </c>
    </row>
    <row r="210" spans="1:1">
      <c r="A210" s="61" t="s">
        <v>255</v>
      </c>
    </row>
    <row r="211" spans="1:1" ht="22.5">
      <c r="A211" s="61" t="s">
        <v>256</v>
      </c>
    </row>
    <row r="212" spans="1:1">
      <c r="A212" s="61" t="s">
        <v>257</v>
      </c>
    </row>
    <row r="213" spans="1:1">
      <c r="A213" s="61" t="s">
        <v>258</v>
      </c>
    </row>
    <row r="214" spans="1:1">
      <c r="A214" s="61" t="s">
        <v>259</v>
      </c>
    </row>
    <row r="215" spans="1:1">
      <c r="A215" s="61" t="s">
        <v>260</v>
      </c>
    </row>
    <row r="216" spans="1:1">
      <c r="A216" s="61" t="s">
        <v>261</v>
      </c>
    </row>
    <row r="217" spans="1:1">
      <c r="A217" s="61" t="s">
        <v>262</v>
      </c>
    </row>
    <row r="218" spans="1:1">
      <c r="A218" s="61" t="s">
        <v>263</v>
      </c>
    </row>
    <row r="219" spans="1:1">
      <c r="A219" s="61" t="s">
        <v>264</v>
      </c>
    </row>
    <row r="220" spans="1:1">
      <c r="A220" s="61" t="s">
        <v>265</v>
      </c>
    </row>
    <row r="221" spans="1:1">
      <c r="A221" s="61" t="s">
        <v>266</v>
      </c>
    </row>
    <row r="222" spans="1:1">
      <c r="A222" s="61" t="s">
        <v>267</v>
      </c>
    </row>
    <row r="223" spans="1:1" ht="22.5">
      <c r="A223" s="61" t="s">
        <v>268</v>
      </c>
    </row>
    <row r="224" spans="1:1">
      <c r="A224" s="61" t="s">
        <v>49</v>
      </c>
    </row>
    <row r="225" spans="1:1">
      <c r="A225" s="61" t="s">
        <v>269</v>
      </c>
    </row>
    <row r="226" spans="1:1">
      <c r="A226" s="61" t="s">
        <v>270</v>
      </c>
    </row>
    <row r="227" spans="1:1">
      <c r="A227" s="61" t="s">
        <v>271</v>
      </c>
    </row>
    <row r="228" spans="1:1">
      <c r="A228" s="61" t="s">
        <v>272</v>
      </c>
    </row>
    <row r="229" spans="1:1">
      <c r="A229" s="61" t="s">
        <v>273</v>
      </c>
    </row>
    <row r="230" spans="1:1">
      <c r="A230" s="61" t="s">
        <v>274</v>
      </c>
    </row>
    <row r="231" spans="1:1">
      <c r="A231" s="61" t="s">
        <v>275</v>
      </c>
    </row>
    <row r="232" spans="1:1" ht="22.5">
      <c r="A232" s="61" t="s">
        <v>276</v>
      </c>
    </row>
    <row r="233" spans="1:1">
      <c r="A233" s="61" t="s">
        <v>277</v>
      </c>
    </row>
    <row r="234" spans="1:1">
      <c r="A234" s="61" t="s">
        <v>278</v>
      </c>
    </row>
    <row r="235" spans="1:1" ht="22.5">
      <c r="A235" s="61" t="s">
        <v>279</v>
      </c>
    </row>
    <row r="236" spans="1:1">
      <c r="A236" s="61" t="s">
        <v>280</v>
      </c>
    </row>
    <row r="237" spans="1:1">
      <c r="A237" s="61" t="s">
        <v>281</v>
      </c>
    </row>
    <row r="238" spans="1:1">
      <c r="A238" s="61" t="s">
        <v>282</v>
      </c>
    </row>
    <row r="239" spans="1:1">
      <c r="A239" s="61" t="s">
        <v>283</v>
      </c>
    </row>
    <row r="240" spans="1:1">
      <c r="A240" s="61" t="s">
        <v>284</v>
      </c>
    </row>
    <row r="241" spans="1:1">
      <c r="A241" s="61" t="s">
        <v>285</v>
      </c>
    </row>
    <row r="242" spans="1:1">
      <c r="A242" s="61" t="s">
        <v>286</v>
      </c>
    </row>
    <row r="243" spans="1:1">
      <c r="A243" s="61" t="s">
        <v>287</v>
      </c>
    </row>
    <row r="244" spans="1:1">
      <c r="A244" s="61" t="s">
        <v>288</v>
      </c>
    </row>
    <row r="245" spans="1:1">
      <c r="A245" s="61" t="s">
        <v>289</v>
      </c>
    </row>
    <row r="246" spans="1:1">
      <c r="A246" s="61" t="s">
        <v>290</v>
      </c>
    </row>
    <row r="247" spans="1:1">
      <c r="A247" s="61" t="s">
        <v>291</v>
      </c>
    </row>
    <row r="248" spans="1:1">
      <c r="A248" s="61" t="s">
        <v>292</v>
      </c>
    </row>
    <row r="249" spans="1:1">
      <c r="A249" s="61" t="s">
        <v>293</v>
      </c>
    </row>
    <row r="250" spans="1:1">
      <c r="A250" s="61" t="s">
        <v>294</v>
      </c>
    </row>
    <row r="251" spans="1:1">
      <c r="A251" s="61" t="s">
        <v>295</v>
      </c>
    </row>
    <row r="252" spans="1:1">
      <c r="A252" s="61" t="s">
        <v>296</v>
      </c>
    </row>
    <row r="253" spans="1:1">
      <c r="A253" s="61" t="s">
        <v>297</v>
      </c>
    </row>
    <row r="254" spans="1:1">
      <c r="A254" s="61" t="s">
        <v>298</v>
      </c>
    </row>
    <row r="255" spans="1:1">
      <c r="A255" s="61" t="s">
        <v>299</v>
      </c>
    </row>
    <row r="256" spans="1:1">
      <c r="A256" s="61" t="s">
        <v>300</v>
      </c>
    </row>
    <row r="257" spans="1:1">
      <c r="A257" s="61" t="s">
        <v>301</v>
      </c>
    </row>
    <row r="258" spans="1:1">
      <c r="A258" s="61" t="s">
        <v>302</v>
      </c>
    </row>
    <row r="259" spans="1:1">
      <c r="A259" s="61" t="s">
        <v>303</v>
      </c>
    </row>
    <row r="260" spans="1:1">
      <c r="A260" s="61" t="s">
        <v>304</v>
      </c>
    </row>
    <row r="261" spans="1:1">
      <c r="A261" s="61" t="s">
        <v>305</v>
      </c>
    </row>
    <row r="262" spans="1:1">
      <c r="A262" s="61" t="s">
        <v>306</v>
      </c>
    </row>
    <row r="263" spans="1:1">
      <c r="A263" s="61" t="s">
        <v>307</v>
      </c>
    </row>
    <row r="264" spans="1:1">
      <c r="A264" s="61" t="s">
        <v>308</v>
      </c>
    </row>
    <row r="265" spans="1:1">
      <c r="A265" s="61" t="s">
        <v>309</v>
      </c>
    </row>
    <row r="266" spans="1:1">
      <c r="A266" s="61" t="s">
        <v>310</v>
      </c>
    </row>
    <row r="267" spans="1:1" ht="22.5">
      <c r="A267" s="61" t="s">
        <v>311</v>
      </c>
    </row>
    <row r="268" spans="1:1">
      <c r="A268" s="61" t="s">
        <v>312</v>
      </c>
    </row>
    <row r="269" spans="1:1">
      <c r="A269" s="61" t="s">
        <v>313</v>
      </c>
    </row>
    <row r="270" spans="1:1">
      <c r="A270" s="61" t="s">
        <v>314</v>
      </c>
    </row>
    <row r="271" spans="1:1">
      <c r="A271" s="61" t="s">
        <v>315</v>
      </c>
    </row>
    <row r="272" spans="1:1">
      <c r="A272" s="61" t="s">
        <v>316</v>
      </c>
    </row>
    <row r="273" spans="1:1">
      <c r="A273" s="61" t="s">
        <v>317</v>
      </c>
    </row>
    <row r="274" spans="1:1">
      <c r="A274" s="61" t="s">
        <v>318</v>
      </c>
    </row>
    <row r="275" spans="1:1">
      <c r="A275" s="61" t="s">
        <v>319</v>
      </c>
    </row>
    <row r="276" spans="1:1">
      <c r="A276" s="61" t="s">
        <v>320</v>
      </c>
    </row>
    <row r="277" spans="1:1">
      <c r="A277" s="61" t="s">
        <v>321</v>
      </c>
    </row>
    <row r="278" spans="1:1">
      <c r="A278" s="61" t="s">
        <v>322</v>
      </c>
    </row>
    <row r="279" spans="1:1">
      <c r="A279" s="61" t="s">
        <v>323</v>
      </c>
    </row>
    <row r="280" spans="1:1" ht="22.5">
      <c r="A280" s="61" t="s">
        <v>324</v>
      </c>
    </row>
    <row r="281" spans="1:1" ht="22.5">
      <c r="A281" s="61" t="s">
        <v>325</v>
      </c>
    </row>
    <row r="282" spans="1:1" ht="22.5">
      <c r="A282" s="61" t="s">
        <v>326</v>
      </c>
    </row>
    <row r="283" spans="1:1">
      <c r="A283" s="61" t="s">
        <v>327</v>
      </c>
    </row>
    <row r="284" spans="1:1" ht="22.5">
      <c r="A284" s="61" t="s">
        <v>328</v>
      </c>
    </row>
    <row r="285" spans="1:1">
      <c r="A285" s="61" t="s">
        <v>329</v>
      </c>
    </row>
    <row r="286" spans="1:1">
      <c r="A286" s="61" t="s">
        <v>330</v>
      </c>
    </row>
    <row r="287" spans="1:1">
      <c r="A287" s="61" t="s">
        <v>331</v>
      </c>
    </row>
    <row r="288" spans="1:1">
      <c r="A288" s="61" t="s">
        <v>332</v>
      </c>
    </row>
    <row r="289" spans="1:1">
      <c r="A289" s="61" t="s">
        <v>333</v>
      </c>
    </row>
    <row r="290" spans="1:1">
      <c r="A290" s="61" t="s">
        <v>334</v>
      </c>
    </row>
    <row r="291" spans="1:1">
      <c r="A291" s="61" t="s">
        <v>335</v>
      </c>
    </row>
    <row r="292" spans="1:1">
      <c r="A292" s="61" t="s">
        <v>336</v>
      </c>
    </row>
    <row r="293" spans="1:1">
      <c r="A293" s="61" t="s">
        <v>337</v>
      </c>
    </row>
    <row r="294" spans="1:1" ht="22.5">
      <c r="A294" s="61" t="s">
        <v>338</v>
      </c>
    </row>
    <row r="295" spans="1:1" ht="22.5">
      <c r="A295" s="61" t="s">
        <v>339</v>
      </c>
    </row>
    <row r="296" spans="1:1" ht="22.5">
      <c r="A296" s="61" t="s">
        <v>340</v>
      </c>
    </row>
    <row r="297" spans="1:1">
      <c r="A297" s="61" t="s">
        <v>341</v>
      </c>
    </row>
    <row r="298" spans="1:1" ht="22.5">
      <c r="A298" s="61" t="s">
        <v>342</v>
      </c>
    </row>
    <row r="299" spans="1:1">
      <c r="A299" s="61" t="s">
        <v>343</v>
      </c>
    </row>
    <row r="300" spans="1:1" ht="22.5">
      <c r="A300" s="61" t="s">
        <v>344</v>
      </c>
    </row>
    <row r="301" spans="1:1">
      <c r="A301" s="61" t="s">
        <v>345</v>
      </c>
    </row>
    <row r="302" spans="1:1">
      <c r="A302" s="61" t="s">
        <v>346</v>
      </c>
    </row>
    <row r="303" spans="1:1">
      <c r="A303" s="61" t="s">
        <v>347</v>
      </c>
    </row>
    <row r="304" spans="1:1">
      <c r="A304" s="61" t="s">
        <v>348</v>
      </c>
    </row>
    <row r="305" spans="1:1">
      <c r="A305" s="61" t="s">
        <v>349</v>
      </c>
    </row>
    <row r="306" spans="1:1">
      <c r="A306" s="61" t="s">
        <v>350</v>
      </c>
    </row>
    <row r="307" spans="1:1">
      <c r="A307" s="61" t="s">
        <v>351</v>
      </c>
    </row>
    <row r="308" spans="1:1">
      <c r="A308" s="61" t="s">
        <v>352</v>
      </c>
    </row>
    <row r="309" spans="1:1">
      <c r="A309" s="61" t="s">
        <v>353</v>
      </c>
    </row>
    <row r="310" spans="1:1">
      <c r="A310" s="61" t="s">
        <v>354</v>
      </c>
    </row>
    <row r="311" spans="1:1">
      <c r="A311" s="61" t="s">
        <v>355</v>
      </c>
    </row>
    <row r="312" spans="1:1">
      <c r="A312" s="61" t="s">
        <v>356</v>
      </c>
    </row>
    <row r="313" spans="1:1">
      <c r="A313" s="61" t="s">
        <v>357</v>
      </c>
    </row>
    <row r="314" spans="1:1">
      <c r="A314" s="61" t="s">
        <v>358</v>
      </c>
    </row>
    <row r="315" spans="1:1">
      <c r="A315" s="61" t="s">
        <v>359</v>
      </c>
    </row>
    <row r="316" spans="1:1">
      <c r="A316" s="61" t="s">
        <v>360</v>
      </c>
    </row>
    <row r="317" spans="1:1">
      <c r="A317" s="61" t="s">
        <v>361</v>
      </c>
    </row>
    <row r="318" spans="1:1">
      <c r="A318" s="61" t="s">
        <v>362</v>
      </c>
    </row>
    <row r="319" spans="1:1">
      <c r="A319" s="61" t="s">
        <v>363</v>
      </c>
    </row>
    <row r="320" spans="1:1">
      <c r="A320" s="61" t="s">
        <v>364</v>
      </c>
    </row>
    <row r="321" spans="1:1">
      <c r="A321" s="61" t="s">
        <v>365</v>
      </c>
    </row>
    <row r="322" spans="1:1">
      <c r="A322" s="61" t="s">
        <v>366</v>
      </c>
    </row>
    <row r="323" spans="1:1">
      <c r="A323" s="61" t="s">
        <v>367</v>
      </c>
    </row>
    <row r="324" spans="1:1">
      <c r="A324" s="61" t="s">
        <v>368</v>
      </c>
    </row>
    <row r="325" spans="1:1">
      <c r="A325" s="61" t="s">
        <v>369</v>
      </c>
    </row>
    <row r="326" spans="1:1">
      <c r="A326" s="61" t="s">
        <v>370</v>
      </c>
    </row>
    <row r="327" spans="1:1">
      <c r="A327" s="61" t="s">
        <v>371</v>
      </c>
    </row>
    <row r="328" spans="1:1">
      <c r="A328" s="61" t="s">
        <v>47</v>
      </c>
    </row>
    <row r="329" spans="1:1">
      <c r="A329" s="61" t="s">
        <v>372</v>
      </c>
    </row>
    <row r="330" spans="1:1">
      <c r="A330" s="61" t="s">
        <v>373</v>
      </c>
    </row>
    <row r="331" spans="1:1">
      <c r="A331" s="61" t="s">
        <v>374</v>
      </c>
    </row>
    <row r="332" spans="1:1">
      <c r="A332" s="61" t="s">
        <v>375</v>
      </c>
    </row>
    <row r="333" spans="1:1">
      <c r="A333" s="61" t="s">
        <v>376</v>
      </c>
    </row>
    <row r="334" spans="1:1">
      <c r="A334" s="61" t="s">
        <v>377</v>
      </c>
    </row>
    <row r="335" spans="1:1">
      <c r="A335" s="61" t="s">
        <v>378</v>
      </c>
    </row>
    <row r="336" spans="1:1">
      <c r="A336" s="61" t="s">
        <v>379</v>
      </c>
    </row>
    <row r="337" spans="1:1" ht="22.5">
      <c r="A337" s="61" t="s">
        <v>380</v>
      </c>
    </row>
    <row r="338" spans="1:1">
      <c r="A338" s="61" t="s">
        <v>381</v>
      </c>
    </row>
    <row r="339" spans="1:1">
      <c r="A339" s="61" t="s">
        <v>382</v>
      </c>
    </row>
    <row r="340" spans="1:1">
      <c r="A340" s="61" t="s">
        <v>383</v>
      </c>
    </row>
    <row r="341" spans="1:1">
      <c r="A341" s="61" t="s">
        <v>384</v>
      </c>
    </row>
    <row r="342" spans="1:1">
      <c r="A342" s="61" t="s">
        <v>385</v>
      </c>
    </row>
    <row r="343" spans="1:1">
      <c r="A343" s="61" t="s">
        <v>386</v>
      </c>
    </row>
    <row r="344" spans="1:1">
      <c r="A344" s="61" t="s">
        <v>387</v>
      </c>
    </row>
    <row r="345" spans="1:1">
      <c r="A345" s="61" t="s">
        <v>388</v>
      </c>
    </row>
    <row r="346" spans="1:1">
      <c r="A346" s="61" t="s">
        <v>389</v>
      </c>
    </row>
    <row r="347" spans="1:1">
      <c r="A347" s="61" t="s">
        <v>390</v>
      </c>
    </row>
    <row r="348" spans="1:1">
      <c r="A348" s="61" t="s">
        <v>391</v>
      </c>
    </row>
    <row r="349" spans="1:1">
      <c r="A349" s="61" t="s">
        <v>392</v>
      </c>
    </row>
    <row r="350" spans="1:1">
      <c r="A350" s="61" t="s">
        <v>393</v>
      </c>
    </row>
    <row r="351" spans="1:1">
      <c r="A351" s="61" t="s">
        <v>394</v>
      </c>
    </row>
    <row r="352" spans="1:1">
      <c r="A352" s="61" t="s">
        <v>395</v>
      </c>
    </row>
    <row r="353" spans="1:1">
      <c r="A353" s="61" t="s">
        <v>396</v>
      </c>
    </row>
    <row r="354" spans="1:1">
      <c r="A354" s="61" t="s">
        <v>397</v>
      </c>
    </row>
    <row r="355" spans="1:1">
      <c r="A355" s="61" t="s">
        <v>398</v>
      </c>
    </row>
    <row r="356" spans="1:1">
      <c r="A356" s="61" t="s">
        <v>399</v>
      </c>
    </row>
    <row r="357" spans="1:1">
      <c r="A357" s="61" t="s">
        <v>400</v>
      </c>
    </row>
    <row r="358" spans="1:1">
      <c r="A358" s="61" t="s">
        <v>401</v>
      </c>
    </row>
    <row r="359" spans="1:1">
      <c r="A359" s="61" t="s">
        <v>402</v>
      </c>
    </row>
    <row r="360" spans="1:1">
      <c r="A360" s="61" t="s">
        <v>403</v>
      </c>
    </row>
    <row r="361" spans="1:1">
      <c r="A361" s="61" t="s">
        <v>404</v>
      </c>
    </row>
    <row r="362" spans="1:1">
      <c r="A362" s="61" t="s">
        <v>405</v>
      </c>
    </row>
    <row r="363" spans="1:1">
      <c r="A363" s="61" t="s">
        <v>406</v>
      </c>
    </row>
    <row r="364" spans="1:1">
      <c r="A364" s="61" t="s">
        <v>407</v>
      </c>
    </row>
    <row r="365" spans="1:1">
      <c r="A365" s="61" t="s">
        <v>408</v>
      </c>
    </row>
    <row r="366" spans="1:1">
      <c r="A366" s="61" t="s">
        <v>409</v>
      </c>
    </row>
    <row r="367" spans="1:1">
      <c r="A367" s="61" t="s">
        <v>410</v>
      </c>
    </row>
    <row r="368" spans="1:1">
      <c r="A368" s="61" t="s">
        <v>411</v>
      </c>
    </row>
    <row r="369" spans="1:1">
      <c r="A369" s="61" t="s">
        <v>412</v>
      </c>
    </row>
    <row r="370" spans="1:1">
      <c r="A370" s="61" t="s">
        <v>413</v>
      </c>
    </row>
    <row r="371" spans="1:1">
      <c r="A371" s="61" t="s">
        <v>414</v>
      </c>
    </row>
    <row r="372" spans="1:1">
      <c r="A372" s="61" t="s">
        <v>415</v>
      </c>
    </row>
    <row r="373" spans="1:1">
      <c r="A373" s="61" t="s">
        <v>416</v>
      </c>
    </row>
    <row r="374" spans="1:1">
      <c r="A374" s="61" t="s">
        <v>417</v>
      </c>
    </row>
    <row r="375" spans="1:1">
      <c r="A375" s="61" t="s">
        <v>418</v>
      </c>
    </row>
    <row r="376" spans="1:1">
      <c r="A376" s="61" t="s">
        <v>419</v>
      </c>
    </row>
    <row r="377" spans="1:1">
      <c r="A377" s="61" t="s">
        <v>420</v>
      </c>
    </row>
    <row r="378" spans="1:1">
      <c r="A378" s="61" t="s">
        <v>421</v>
      </c>
    </row>
    <row r="379" spans="1:1">
      <c r="A379" s="61" t="s">
        <v>422</v>
      </c>
    </row>
    <row r="380" spans="1:1">
      <c r="A380" s="61" t="s">
        <v>423</v>
      </c>
    </row>
    <row r="381" spans="1:1">
      <c r="A381" s="61" t="s">
        <v>424</v>
      </c>
    </row>
    <row r="382" spans="1:1">
      <c r="A382" s="61" t="s">
        <v>425</v>
      </c>
    </row>
    <row r="383" spans="1:1">
      <c r="A383" s="61" t="s">
        <v>426</v>
      </c>
    </row>
    <row r="384" spans="1:1">
      <c r="A384" s="61" t="s">
        <v>427</v>
      </c>
    </row>
    <row r="385" spans="1:1">
      <c r="A385" s="61" t="s">
        <v>428</v>
      </c>
    </row>
    <row r="386" spans="1:1">
      <c r="A386" s="61" t="s">
        <v>429</v>
      </c>
    </row>
    <row r="387" spans="1:1">
      <c r="A387" s="61" t="s">
        <v>430</v>
      </c>
    </row>
    <row r="388" spans="1:1">
      <c r="A388" s="61" t="s">
        <v>431</v>
      </c>
    </row>
    <row r="389" spans="1:1">
      <c r="A389" s="61" t="s">
        <v>432</v>
      </c>
    </row>
    <row r="390" spans="1:1">
      <c r="A390" s="61" t="s">
        <v>433</v>
      </c>
    </row>
    <row r="391" spans="1:1">
      <c r="A391" s="61" t="s">
        <v>434</v>
      </c>
    </row>
    <row r="392" spans="1:1">
      <c r="A392" s="61" t="s">
        <v>435</v>
      </c>
    </row>
    <row r="393" spans="1:1">
      <c r="A393" s="61" t="s">
        <v>436</v>
      </c>
    </row>
    <row r="394" spans="1:1">
      <c r="A394" s="61" t="s">
        <v>437</v>
      </c>
    </row>
    <row r="395" spans="1:1">
      <c r="A395" s="61" t="s">
        <v>438</v>
      </c>
    </row>
    <row r="396" spans="1:1">
      <c r="A396" s="61" t="s">
        <v>439</v>
      </c>
    </row>
    <row r="397" spans="1:1">
      <c r="A397" s="61" t="s">
        <v>440</v>
      </c>
    </row>
    <row r="398" spans="1:1">
      <c r="A398" s="61" t="s">
        <v>441</v>
      </c>
    </row>
    <row r="399" spans="1:1">
      <c r="A399" s="61" t="s">
        <v>442</v>
      </c>
    </row>
    <row r="400" spans="1:1">
      <c r="A400" s="61" t="s">
        <v>443</v>
      </c>
    </row>
    <row r="401" spans="1:1">
      <c r="A401" s="61" t="s">
        <v>444</v>
      </c>
    </row>
    <row r="402" spans="1:1">
      <c r="A402" s="61" t="s">
        <v>445</v>
      </c>
    </row>
    <row r="403" spans="1:1">
      <c r="A403" s="61" t="s">
        <v>446</v>
      </c>
    </row>
    <row r="404" spans="1:1">
      <c r="A404" s="61" t="s">
        <v>447</v>
      </c>
    </row>
    <row r="405" spans="1:1">
      <c r="A405" s="61" t="s">
        <v>448</v>
      </c>
    </row>
    <row r="406" spans="1:1">
      <c r="A406" s="61" t="s">
        <v>449</v>
      </c>
    </row>
    <row r="407" spans="1:1">
      <c r="A407" s="61" t="s">
        <v>450</v>
      </c>
    </row>
    <row r="408" spans="1:1">
      <c r="A408" s="61" t="s">
        <v>451</v>
      </c>
    </row>
    <row r="409" spans="1:1">
      <c r="A409" s="61" t="s">
        <v>452</v>
      </c>
    </row>
    <row r="410" spans="1:1">
      <c r="A410" s="61" t="s">
        <v>453</v>
      </c>
    </row>
    <row r="411" spans="1:1">
      <c r="A411" s="61" t="s">
        <v>454</v>
      </c>
    </row>
    <row r="412" spans="1:1">
      <c r="A412" s="61" t="s">
        <v>455</v>
      </c>
    </row>
    <row r="413" spans="1:1">
      <c r="A413" s="61" t="s">
        <v>456</v>
      </c>
    </row>
    <row r="414" spans="1:1">
      <c r="A414" s="61" t="s">
        <v>457</v>
      </c>
    </row>
    <row r="415" spans="1:1">
      <c r="A415" s="61" t="s">
        <v>458</v>
      </c>
    </row>
    <row r="416" spans="1:1">
      <c r="A416" s="61" t="s">
        <v>459</v>
      </c>
    </row>
    <row r="417" spans="1:1">
      <c r="A417" s="61" t="s">
        <v>460</v>
      </c>
    </row>
    <row r="418" spans="1:1">
      <c r="A418" s="61" t="s">
        <v>461</v>
      </c>
    </row>
    <row r="419" spans="1:1">
      <c r="A419" s="61" t="s">
        <v>462</v>
      </c>
    </row>
    <row r="420" spans="1:1">
      <c r="A420" s="61" t="s">
        <v>463</v>
      </c>
    </row>
    <row r="421" spans="1:1">
      <c r="A421" s="61" t="s">
        <v>464</v>
      </c>
    </row>
    <row r="422" spans="1:1">
      <c r="A422" s="61" t="s">
        <v>465</v>
      </c>
    </row>
    <row r="423" spans="1:1">
      <c r="A423" s="61" t="s">
        <v>466</v>
      </c>
    </row>
    <row r="424" spans="1:1">
      <c r="A424" s="61" t="s">
        <v>467</v>
      </c>
    </row>
    <row r="425" spans="1:1">
      <c r="A425" s="61" t="s">
        <v>468</v>
      </c>
    </row>
    <row r="426" spans="1:1">
      <c r="A426" s="61" t="s">
        <v>469</v>
      </c>
    </row>
    <row r="427" spans="1:1">
      <c r="A427" s="61" t="s">
        <v>470</v>
      </c>
    </row>
    <row r="428" spans="1:1">
      <c r="A428" s="61" t="s">
        <v>471</v>
      </c>
    </row>
    <row r="429" spans="1:1">
      <c r="A429" s="61" t="s">
        <v>472</v>
      </c>
    </row>
    <row r="430" spans="1:1">
      <c r="A430" s="61" t="s">
        <v>473</v>
      </c>
    </row>
    <row r="431" spans="1:1">
      <c r="A431" s="61" t="s">
        <v>474</v>
      </c>
    </row>
    <row r="432" spans="1:1">
      <c r="A432" s="61" t="s">
        <v>475</v>
      </c>
    </row>
    <row r="433" spans="1:1">
      <c r="A433" s="61" t="s">
        <v>476</v>
      </c>
    </row>
    <row r="434" spans="1:1">
      <c r="A434" s="61" t="s">
        <v>477</v>
      </c>
    </row>
    <row r="435" spans="1:1">
      <c r="A435" s="61" t="s">
        <v>478</v>
      </c>
    </row>
    <row r="436" spans="1:1">
      <c r="A436" s="61" t="s">
        <v>479</v>
      </c>
    </row>
    <row r="437" spans="1:1">
      <c r="A437" s="61" t="s">
        <v>480</v>
      </c>
    </row>
    <row r="438" spans="1:1">
      <c r="A438" s="61" t="s">
        <v>481</v>
      </c>
    </row>
    <row r="439" spans="1:1">
      <c r="A439" s="61" t="s">
        <v>482</v>
      </c>
    </row>
    <row r="440" spans="1:1">
      <c r="A440" s="61" t="s">
        <v>483</v>
      </c>
    </row>
    <row r="441" spans="1:1">
      <c r="A441" s="61" t="s">
        <v>484</v>
      </c>
    </row>
    <row r="442" spans="1:1">
      <c r="A442" s="61" t="s">
        <v>485</v>
      </c>
    </row>
    <row r="443" spans="1:1">
      <c r="A443" s="61" t="s">
        <v>486</v>
      </c>
    </row>
    <row r="444" spans="1:1">
      <c r="A444" s="61" t="s">
        <v>487</v>
      </c>
    </row>
    <row r="445" spans="1:1">
      <c r="A445" s="61" t="s">
        <v>488</v>
      </c>
    </row>
    <row r="446" spans="1:1">
      <c r="A446" s="61" t="s">
        <v>489</v>
      </c>
    </row>
    <row r="447" spans="1:1">
      <c r="A447" s="61" t="s">
        <v>490</v>
      </c>
    </row>
    <row r="448" spans="1:1">
      <c r="A448" s="61" t="s">
        <v>491</v>
      </c>
    </row>
    <row r="449" spans="1:1">
      <c r="A449" s="61" t="s">
        <v>492</v>
      </c>
    </row>
    <row r="450" spans="1:1">
      <c r="A450" s="61" t="s">
        <v>493</v>
      </c>
    </row>
    <row r="451" spans="1:1">
      <c r="A451" s="61" t="s">
        <v>494</v>
      </c>
    </row>
    <row r="452" spans="1:1">
      <c r="A452" s="61" t="s">
        <v>495</v>
      </c>
    </row>
    <row r="453" spans="1:1">
      <c r="A453" s="61" t="s">
        <v>496</v>
      </c>
    </row>
    <row r="454" spans="1:1">
      <c r="A454" s="61" t="s">
        <v>497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"/>
  <sheetViews>
    <sheetView topLeftCell="C1" workbookViewId="0">
      <pane ySplit="1" topLeftCell="A5" activePane="bottomLeft" state="frozen"/>
      <selection pane="bottomLeft" activeCell="C18" sqref="C18"/>
    </sheetView>
  </sheetViews>
  <sheetFormatPr defaultRowHeight="12"/>
  <cols>
    <col min="1" max="1" width="34.42578125" style="62" customWidth="1"/>
    <col min="2" max="2" width="13.140625" style="62" bestFit="1" customWidth="1"/>
    <col min="3" max="3" width="30" style="62" bestFit="1" customWidth="1"/>
    <col min="4" max="4" width="9.140625" style="62"/>
    <col min="5" max="5" width="30" style="62" bestFit="1" customWidth="1"/>
    <col min="6" max="6" width="12" style="62" bestFit="1" customWidth="1"/>
    <col min="7" max="16384" width="9.140625" style="62"/>
  </cols>
  <sheetData>
    <row r="1" spans="1:7">
      <c r="A1" s="62" t="s">
        <v>498</v>
      </c>
      <c r="B1" s="62" t="s">
        <v>503</v>
      </c>
      <c r="C1" s="62" t="s">
        <v>502</v>
      </c>
    </row>
    <row r="2" spans="1:7" ht="48">
      <c r="A2" s="63" t="s">
        <v>45</v>
      </c>
      <c r="B2" s="64">
        <v>1797638.4</v>
      </c>
      <c r="C2" s="62" t="s">
        <v>499</v>
      </c>
      <c r="E2" s="62" t="s">
        <v>499</v>
      </c>
      <c r="F2" s="73">
        <f>SUMIF($C$2:$C$418,E2,$B$2:$B$418)</f>
        <v>6599033.8300000001</v>
      </c>
      <c r="G2" s="108">
        <f>+F2/$F$9</f>
        <v>0.2682350206490664</v>
      </c>
    </row>
    <row r="3" spans="1:7" ht="48">
      <c r="A3" s="87" t="s">
        <v>46</v>
      </c>
      <c r="B3" s="88">
        <v>890507.44</v>
      </c>
      <c r="C3" s="89" t="s">
        <v>501</v>
      </c>
      <c r="E3" s="62" t="s">
        <v>501</v>
      </c>
      <c r="F3" s="73">
        <f t="shared" ref="F3:F8" si="0">SUMIF($C$2:$C$418,E3,$B$2:$B$418)</f>
        <v>10596923.449999988</v>
      </c>
      <c r="G3" s="108">
        <f t="shared" ref="G3:G9" si="1">+F3/$F$9</f>
        <v>0.43073971942758216</v>
      </c>
    </row>
    <row r="4" spans="1:7">
      <c r="A4" s="75" t="s">
        <v>47</v>
      </c>
      <c r="B4" s="85">
        <v>675000</v>
      </c>
      <c r="C4" s="86" t="s">
        <v>18</v>
      </c>
      <c r="E4" s="62" t="s">
        <v>500</v>
      </c>
      <c r="F4" s="73">
        <f t="shared" si="0"/>
        <v>3563262.1999999997</v>
      </c>
      <c r="G4" s="108">
        <f t="shared" si="1"/>
        <v>0.14483812849237018</v>
      </c>
    </row>
    <row r="5" spans="1:7" ht="36">
      <c r="A5" s="87" t="s">
        <v>48</v>
      </c>
      <c r="B5" s="88">
        <v>584807.88</v>
      </c>
      <c r="C5" s="89" t="s">
        <v>501</v>
      </c>
      <c r="E5" s="62" t="s">
        <v>18</v>
      </c>
      <c r="F5" s="73">
        <f t="shared" si="0"/>
        <v>1282500</v>
      </c>
      <c r="G5" s="108">
        <f t="shared" si="1"/>
        <v>5.2130572875457998E-2</v>
      </c>
    </row>
    <row r="6" spans="1:7" ht="36">
      <c r="A6" s="63" t="s">
        <v>49</v>
      </c>
      <c r="B6" s="65">
        <v>531382.5</v>
      </c>
      <c r="C6" s="62" t="s">
        <v>499</v>
      </c>
      <c r="E6" s="78" t="s">
        <v>504</v>
      </c>
      <c r="F6" s="73">
        <f t="shared" si="0"/>
        <v>838800</v>
      </c>
      <c r="G6" s="108">
        <f t="shared" si="1"/>
        <v>3.409522380345744E-2</v>
      </c>
    </row>
    <row r="7" spans="1:7" ht="24">
      <c r="A7" s="63" t="s">
        <v>50</v>
      </c>
      <c r="B7" s="65">
        <v>456361.65</v>
      </c>
      <c r="C7" s="62" t="s">
        <v>499</v>
      </c>
      <c r="E7" s="62" t="s">
        <v>506</v>
      </c>
      <c r="F7" s="73">
        <f t="shared" si="0"/>
        <v>1042077.5199999999</v>
      </c>
      <c r="G7" s="108">
        <f t="shared" si="1"/>
        <v>4.235797122669515E-2</v>
      </c>
    </row>
    <row r="8" spans="1:7">
      <c r="A8" s="76" t="s">
        <v>152</v>
      </c>
      <c r="B8" s="77">
        <v>432000</v>
      </c>
      <c r="C8" s="78" t="s">
        <v>504</v>
      </c>
      <c r="E8" s="62" t="s">
        <v>505</v>
      </c>
      <c r="F8" s="73">
        <f t="shared" si="0"/>
        <v>679089.29</v>
      </c>
      <c r="G8" s="108">
        <f t="shared" si="1"/>
        <v>2.7603363525370784E-2</v>
      </c>
    </row>
    <row r="9" spans="1:7" ht="36">
      <c r="A9" s="63" t="s">
        <v>207</v>
      </c>
      <c r="B9" s="65">
        <v>389358.92</v>
      </c>
      <c r="C9" s="62" t="s">
        <v>499</v>
      </c>
      <c r="F9" s="74">
        <f>SUM(F2:F8)</f>
        <v>24601686.289999984</v>
      </c>
      <c r="G9" s="108">
        <f t="shared" si="1"/>
        <v>1</v>
      </c>
    </row>
    <row r="10" spans="1:7" ht="36">
      <c r="A10" s="63" t="s">
        <v>247</v>
      </c>
      <c r="B10" s="65">
        <v>378132.5</v>
      </c>
      <c r="C10" s="62" t="s">
        <v>499</v>
      </c>
    </row>
    <row r="11" spans="1:7">
      <c r="A11" s="75" t="s">
        <v>377</v>
      </c>
      <c r="B11" s="85">
        <v>345000</v>
      </c>
      <c r="C11" s="86" t="s">
        <v>18</v>
      </c>
    </row>
    <row r="12" spans="1:7" ht="48">
      <c r="A12" s="87" t="s">
        <v>78</v>
      </c>
      <c r="B12" s="88">
        <v>314496</v>
      </c>
      <c r="C12" s="89" t="s">
        <v>501</v>
      </c>
    </row>
    <row r="13" spans="1:7" ht="36">
      <c r="A13" s="87" t="s">
        <v>234</v>
      </c>
      <c r="B13" s="88">
        <v>310081.2</v>
      </c>
      <c r="C13" s="89" t="s">
        <v>501</v>
      </c>
    </row>
    <row r="14" spans="1:7">
      <c r="A14" s="66" t="s">
        <v>273</v>
      </c>
      <c r="B14" s="67">
        <v>280000</v>
      </c>
      <c r="C14" s="80" t="s">
        <v>500</v>
      </c>
    </row>
    <row r="15" spans="1:7" ht="36">
      <c r="A15" s="87" t="s">
        <v>318</v>
      </c>
      <c r="B15" s="88">
        <v>277224.03999999998</v>
      </c>
      <c r="C15" s="89" t="s">
        <v>501</v>
      </c>
    </row>
    <row r="16" spans="1:7">
      <c r="A16" s="66" t="s">
        <v>321</v>
      </c>
      <c r="B16" s="67">
        <v>262548</v>
      </c>
      <c r="C16" s="80" t="s">
        <v>500</v>
      </c>
    </row>
    <row r="17" spans="1:3" ht="24">
      <c r="A17" s="87" t="s">
        <v>170</v>
      </c>
      <c r="B17" s="88">
        <v>261966.43</v>
      </c>
      <c r="C17" s="89" t="s">
        <v>501</v>
      </c>
    </row>
    <row r="18" spans="1:3" ht="36">
      <c r="A18" s="63" t="s">
        <v>186</v>
      </c>
      <c r="B18" s="65">
        <v>255137.12</v>
      </c>
      <c r="C18" s="62" t="s">
        <v>499</v>
      </c>
    </row>
    <row r="19" spans="1:3" ht="36">
      <c r="A19" s="87" t="s">
        <v>241</v>
      </c>
      <c r="B19" s="88">
        <v>241776.87</v>
      </c>
      <c r="C19" s="89" t="s">
        <v>501</v>
      </c>
    </row>
    <row r="20" spans="1:3" ht="36">
      <c r="A20" s="66" t="s">
        <v>315</v>
      </c>
      <c r="B20" s="67">
        <v>233449.95</v>
      </c>
      <c r="C20" s="80" t="s">
        <v>500</v>
      </c>
    </row>
    <row r="21" spans="1:3" ht="36">
      <c r="A21" s="87" t="s">
        <v>317</v>
      </c>
      <c r="B21" s="88">
        <v>219342.11</v>
      </c>
      <c r="C21" s="89" t="s">
        <v>501</v>
      </c>
    </row>
    <row r="22" spans="1:3">
      <c r="A22" s="82" t="s">
        <v>360</v>
      </c>
      <c r="B22" s="83">
        <v>210000</v>
      </c>
      <c r="C22" s="84" t="s">
        <v>505</v>
      </c>
    </row>
    <row r="23" spans="1:3" ht="24">
      <c r="A23" s="66" t="s">
        <v>468</v>
      </c>
      <c r="B23" s="67">
        <v>198511.99</v>
      </c>
      <c r="C23" s="80" t="s">
        <v>500</v>
      </c>
    </row>
    <row r="24" spans="1:3" ht="60">
      <c r="A24" s="87" t="s">
        <v>60</v>
      </c>
      <c r="B24" s="88">
        <v>198312.75</v>
      </c>
      <c r="C24" s="89" t="s">
        <v>501</v>
      </c>
    </row>
    <row r="25" spans="1:3" ht="24">
      <c r="A25" s="87" t="s">
        <v>334</v>
      </c>
      <c r="B25" s="88">
        <v>197376.57</v>
      </c>
      <c r="C25" s="89" t="s">
        <v>501</v>
      </c>
    </row>
    <row r="26" spans="1:3" ht="24">
      <c r="A26" s="63" t="s">
        <v>322</v>
      </c>
      <c r="B26" s="65">
        <v>195873.3</v>
      </c>
      <c r="C26" s="62" t="s">
        <v>499</v>
      </c>
    </row>
    <row r="27" spans="1:3" ht="36">
      <c r="A27" s="87" t="s">
        <v>240</v>
      </c>
      <c r="B27" s="88">
        <v>189556.35</v>
      </c>
      <c r="C27" s="89" t="s">
        <v>501</v>
      </c>
    </row>
    <row r="28" spans="1:3" ht="24">
      <c r="A28" s="66" t="s">
        <v>489</v>
      </c>
      <c r="B28" s="67">
        <v>185083.16</v>
      </c>
      <c r="C28" s="80" t="s">
        <v>500</v>
      </c>
    </row>
    <row r="29" spans="1:3" ht="24">
      <c r="A29" s="66" t="s">
        <v>466</v>
      </c>
      <c r="B29" s="67">
        <v>180000</v>
      </c>
      <c r="C29" s="80" t="s">
        <v>500</v>
      </c>
    </row>
    <row r="30" spans="1:3" ht="36">
      <c r="A30" s="87" t="s">
        <v>235</v>
      </c>
      <c r="B30" s="88">
        <v>178538.05</v>
      </c>
      <c r="C30" s="89" t="s">
        <v>501</v>
      </c>
    </row>
    <row r="31" spans="1:3" ht="60">
      <c r="A31" s="87" t="s">
        <v>174</v>
      </c>
      <c r="B31" s="88">
        <v>178198.39999999999</v>
      </c>
      <c r="C31" s="89" t="s">
        <v>501</v>
      </c>
    </row>
    <row r="32" spans="1:3" ht="36">
      <c r="A32" s="63" t="s">
        <v>262</v>
      </c>
      <c r="B32" s="65">
        <v>174708.24</v>
      </c>
      <c r="C32" s="62" t="s">
        <v>499</v>
      </c>
    </row>
    <row r="33" spans="1:3" ht="36">
      <c r="A33" s="87" t="s">
        <v>238</v>
      </c>
      <c r="B33" s="88">
        <v>173932.17</v>
      </c>
      <c r="C33" s="89" t="s">
        <v>501</v>
      </c>
    </row>
    <row r="34" spans="1:3" ht="48">
      <c r="A34" s="87" t="s">
        <v>340</v>
      </c>
      <c r="B34" s="88">
        <v>168125.06</v>
      </c>
      <c r="C34" s="89" t="s">
        <v>501</v>
      </c>
    </row>
    <row r="35" spans="1:3" ht="24">
      <c r="A35" s="87" t="s">
        <v>494</v>
      </c>
      <c r="B35" s="88">
        <v>165000</v>
      </c>
      <c r="C35" s="89" t="s">
        <v>501</v>
      </c>
    </row>
    <row r="36" spans="1:3" ht="36">
      <c r="A36" s="63" t="s">
        <v>324</v>
      </c>
      <c r="B36" s="65">
        <v>159556.54</v>
      </c>
      <c r="C36" s="62" t="s">
        <v>499</v>
      </c>
    </row>
    <row r="37" spans="1:3" ht="72">
      <c r="A37" s="87" t="s">
        <v>175</v>
      </c>
      <c r="B37" s="88">
        <v>159525.53</v>
      </c>
      <c r="C37" s="89" t="s">
        <v>501</v>
      </c>
    </row>
    <row r="38" spans="1:3" ht="24">
      <c r="A38" s="87" t="s">
        <v>284</v>
      </c>
      <c r="B38" s="88">
        <v>158048.12</v>
      </c>
      <c r="C38" s="89" t="s">
        <v>501</v>
      </c>
    </row>
    <row r="39" spans="1:3">
      <c r="A39" s="99" t="s">
        <v>372</v>
      </c>
      <c r="B39" s="99">
        <v>150000</v>
      </c>
      <c r="C39" s="86" t="s">
        <v>18</v>
      </c>
    </row>
    <row r="40" spans="1:3">
      <c r="A40" s="66" t="s">
        <v>428</v>
      </c>
      <c r="B40" s="67">
        <v>150000</v>
      </c>
      <c r="C40" s="80" t="s">
        <v>500</v>
      </c>
    </row>
    <row r="41" spans="1:3" ht="36">
      <c r="A41" s="87" t="s">
        <v>201</v>
      </c>
      <c r="B41" s="88">
        <v>146835.53</v>
      </c>
      <c r="C41" s="89" t="s">
        <v>501</v>
      </c>
    </row>
    <row r="42" spans="1:3" ht="24">
      <c r="A42" s="66" t="s">
        <v>437</v>
      </c>
      <c r="B42" s="67">
        <v>146486.56</v>
      </c>
      <c r="C42" s="80" t="s">
        <v>500</v>
      </c>
    </row>
    <row r="43" spans="1:3">
      <c r="A43" s="66" t="s">
        <v>438</v>
      </c>
      <c r="B43" s="67">
        <v>146486.56</v>
      </c>
      <c r="C43" s="80" t="s">
        <v>500</v>
      </c>
    </row>
    <row r="44" spans="1:3" ht="36">
      <c r="A44" s="63" t="s">
        <v>226</v>
      </c>
      <c r="B44" s="65">
        <v>145945.84</v>
      </c>
      <c r="C44" s="62" t="s">
        <v>499</v>
      </c>
    </row>
    <row r="45" spans="1:3" ht="36">
      <c r="A45" s="87" t="s">
        <v>239</v>
      </c>
      <c r="B45" s="88">
        <v>145511.64000000001</v>
      </c>
      <c r="C45" s="89" t="s">
        <v>501</v>
      </c>
    </row>
    <row r="46" spans="1:3">
      <c r="A46" s="76" t="s">
        <v>154</v>
      </c>
      <c r="B46" s="77">
        <v>144000</v>
      </c>
      <c r="C46" s="78" t="s">
        <v>504</v>
      </c>
    </row>
    <row r="47" spans="1:3" ht="24">
      <c r="A47" s="87" t="s">
        <v>496</v>
      </c>
      <c r="B47" s="88">
        <v>140000</v>
      </c>
      <c r="C47" s="89" t="s">
        <v>501</v>
      </c>
    </row>
    <row r="48" spans="1:3" ht="24">
      <c r="A48" s="87" t="s">
        <v>497</v>
      </c>
      <c r="B48" s="88">
        <v>140000</v>
      </c>
      <c r="C48" s="89" t="s">
        <v>501</v>
      </c>
    </row>
    <row r="49" spans="1:3" ht="36">
      <c r="A49" s="87" t="s">
        <v>236</v>
      </c>
      <c r="B49" s="88">
        <v>137343.35999999999</v>
      </c>
      <c r="C49" s="89" t="s">
        <v>501</v>
      </c>
    </row>
    <row r="50" spans="1:3">
      <c r="A50" s="87" t="s">
        <v>333</v>
      </c>
      <c r="B50" s="88">
        <v>134032.82999999999</v>
      </c>
      <c r="C50" s="89" t="s">
        <v>501</v>
      </c>
    </row>
    <row r="51" spans="1:3" ht="36">
      <c r="A51" s="63" t="s">
        <v>225</v>
      </c>
      <c r="B51" s="65">
        <v>132682.19</v>
      </c>
      <c r="C51" s="62" t="s">
        <v>499</v>
      </c>
    </row>
    <row r="52" spans="1:3" ht="24">
      <c r="A52" s="66" t="s">
        <v>214</v>
      </c>
      <c r="B52" s="67">
        <v>131363.32999999999</v>
      </c>
      <c r="C52" s="80" t="s">
        <v>500</v>
      </c>
    </row>
    <row r="53" spans="1:3" ht="24">
      <c r="A53" s="87" t="s">
        <v>487</v>
      </c>
      <c r="B53" s="88">
        <v>130832.81</v>
      </c>
      <c r="C53" s="89" t="s">
        <v>501</v>
      </c>
    </row>
    <row r="54" spans="1:3" ht="24">
      <c r="A54" s="87" t="s">
        <v>67</v>
      </c>
      <c r="B54" s="88">
        <v>129089.98</v>
      </c>
      <c r="C54" s="89" t="s">
        <v>501</v>
      </c>
    </row>
    <row r="55" spans="1:3" ht="24">
      <c r="A55" s="87" t="s">
        <v>471</v>
      </c>
      <c r="B55" s="88">
        <v>126168.55</v>
      </c>
      <c r="C55" s="89" t="s">
        <v>501</v>
      </c>
    </row>
    <row r="56" spans="1:3" ht="24">
      <c r="A56" s="82" t="s">
        <v>365</v>
      </c>
      <c r="B56" s="83">
        <v>126000</v>
      </c>
      <c r="C56" s="84" t="s">
        <v>505</v>
      </c>
    </row>
    <row r="57" spans="1:3" ht="48">
      <c r="A57" s="87" t="s">
        <v>253</v>
      </c>
      <c r="B57" s="88">
        <v>123189.86</v>
      </c>
      <c r="C57" s="89" t="s">
        <v>501</v>
      </c>
    </row>
    <row r="58" spans="1:3" ht="24">
      <c r="A58" s="87" t="s">
        <v>260</v>
      </c>
      <c r="B58" s="88">
        <v>121603.39</v>
      </c>
      <c r="C58" s="89" t="s">
        <v>501</v>
      </c>
    </row>
    <row r="59" spans="1:3" ht="24">
      <c r="A59" s="66" t="s">
        <v>429</v>
      </c>
      <c r="B59" s="67">
        <v>120000</v>
      </c>
      <c r="C59" s="80" t="s">
        <v>500</v>
      </c>
    </row>
    <row r="60" spans="1:3">
      <c r="A60" s="66" t="s">
        <v>464</v>
      </c>
      <c r="B60" s="67">
        <v>120000</v>
      </c>
      <c r="C60" s="80" t="s">
        <v>500</v>
      </c>
    </row>
    <row r="61" spans="1:3" ht="24">
      <c r="A61" s="66" t="s">
        <v>465</v>
      </c>
      <c r="B61" s="67">
        <v>120000</v>
      </c>
      <c r="C61" s="80" t="s">
        <v>500</v>
      </c>
    </row>
    <row r="62" spans="1:3">
      <c r="A62" s="66" t="s">
        <v>492</v>
      </c>
      <c r="B62" s="67">
        <v>120000</v>
      </c>
      <c r="C62" s="80" t="s">
        <v>500</v>
      </c>
    </row>
    <row r="63" spans="1:3" ht="24">
      <c r="A63" s="87" t="s">
        <v>495</v>
      </c>
      <c r="B63" s="88">
        <v>120000</v>
      </c>
      <c r="C63" s="89" t="s">
        <v>501</v>
      </c>
    </row>
    <row r="64" spans="1:3" ht="36">
      <c r="A64" s="63" t="s">
        <v>229</v>
      </c>
      <c r="B64" s="65">
        <v>113666.69</v>
      </c>
      <c r="C64" s="62" t="s">
        <v>499</v>
      </c>
    </row>
    <row r="65" spans="1:3" ht="36">
      <c r="A65" s="63" t="s">
        <v>288</v>
      </c>
      <c r="B65" s="65">
        <v>113535.58</v>
      </c>
      <c r="C65" s="62" t="s">
        <v>499</v>
      </c>
    </row>
    <row r="66" spans="1:3" ht="36">
      <c r="A66" s="87" t="s">
        <v>237</v>
      </c>
      <c r="B66" s="88">
        <v>112683.08</v>
      </c>
      <c r="C66" s="89" t="s">
        <v>501</v>
      </c>
    </row>
    <row r="67" spans="1:3" ht="48">
      <c r="A67" s="87" t="s">
        <v>338</v>
      </c>
      <c r="B67" s="88">
        <v>110422.25</v>
      </c>
      <c r="C67" s="89" t="s">
        <v>501</v>
      </c>
    </row>
    <row r="68" spans="1:3" ht="48">
      <c r="A68" s="87" t="s">
        <v>189</v>
      </c>
      <c r="B68" s="88">
        <v>102161.61</v>
      </c>
      <c r="C68" s="89" t="s">
        <v>501</v>
      </c>
    </row>
    <row r="69" spans="1:3" ht="24">
      <c r="A69" s="87" t="s">
        <v>332</v>
      </c>
      <c r="B69" s="88">
        <v>100928.59</v>
      </c>
      <c r="C69" s="89" t="s">
        <v>501</v>
      </c>
    </row>
    <row r="70" spans="1:3" ht="48">
      <c r="A70" s="87" t="s">
        <v>173</v>
      </c>
      <c r="B70" s="90">
        <v>99640.61</v>
      </c>
      <c r="C70" s="89" t="s">
        <v>501</v>
      </c>
    </row>
    <row r="71" spans="1:3" ht="36">
      <c r="A71" s="87" t="s">
        <v>233</v>
      </c>
      <c r="B71" s="90">
        <v>98123.6</v>
      </c>
      <c r="C71" s="89" t="s">
        <v>501</v>
      </c>
    </row>
    <row r="72" spans="1:3" ht="36">
      <c r="A72" s="87" t="s">
        <v>232</v>
      </c>
      <c r="B72" s="90">
        <v>97226.3</v>
      </c>
      <c r="C72" s="89" t="s">
        <v>501</v>
      </c>
    </row>
    <row r="73" spans="1:3">
      <c r="A73" s="76" t="s">
        <v>153</v>
      </c>
      <c r="B73" s="79">
        <v>96000</v>
      </c>
      <c r="C73" s="78" t="s">
        <v>504</v>
      </c>
    </row>
    <row r="74" spans="1:3" ht="24">
      <c r="A74" s="66" t="s">
        <v>493</v>
      </c>
      <c r="B74" s="69">
        <v>96000</v>
      </c>
      <c r="C74" s="80" t="s">
        <v>500</v>
      </c>
    </row>
    <row r="75" spans="1:3" ht="48">
      <c r="A75" s="87" t="s">
        <v>177</v>
      </c>
      <c r="B75" s="90">
        <v>94400.2</v>
      </c>
      <c r="C75" s="89" t="s">
        <v>501</v>
      </c>
    </row>
    <row r="76" spans="1:3" ht="48">
      <c r="A76" s="63" t="s">
        <v>268</v>
      </c>
      <c r="B76" s="68">
        <v>93024.13</v>
      </c>
      <c r="C76" s="62" t="s">
        <v>499</v>
      </c>
    </row>
    <row r="77" spans="1:3">
      <c r="A77" s="87" t="s">
        <v>424</v>
      </c>
      <c r="B77" s="90">
        <v>92826.64</v>
      </c>
      <c r="C77" s="89" t="s">
        <v>501</v>
      </c>
    </row>
    <row r="78" spans="1:3" ht="24">
      <c r="A78" s="66" t="s">
        <v>316</v>
      </c>
      <c r="B78" s="69">
        <v>92233.600000000006</v>
      </c>
      <c r="C78" s="80" t="s">
        <v>500</v>
      </c>
    </row>
    <row r="79" spans="1:3" ht="24">
      <c r="A79" s="87" t="s">
        <v>255</v>
      </c>
      <c r="B79" s="90">
        <v>91409.69</v>
      </c>
      <c r="C79" s="89" t="s">
        <v>501</v>
      </c>
    </row>
    <row r="80" spans="1:3">
      <c r="A80" s="76" t="s">
        <v>156</v>
      </c>
      <c r="B80" s="79">
        <v>90000</v>
      </c>
      <c r="C80" s="78" t="s">
        <v>504</v>
      </c>
    </row>
    <row r="81" spans="1:3">
      <c r="A81" s="91" t="s">
        <v>157</v>
      </c>
      <c r="B81" s="92">
        <v>90000</v>
      </c>
      <c r="C81" s="93" t="s">
        <v>501</v>
      </c>
    </row>
    <row r="82" spans="1:3" ht="24">
      <c r="A82" s="94" t="s">
        <v>353</v>
      </c>
      <c r="B82" s="95">
        <v>90000</v>
      </c>
      <c r="C82" s="96" t="s">
        <v>506</v>
      </c>
    </row>
    <row r="83" spans="1:3" ht="36">
      <c r="A83" s="63" t="s">
        <v>208</v>
      </c>
      <c r="B83" s="68">
        <v>86927.52</v>
      </c>
      <c r="C83" s="62" t="s">
        <v>499</v>
      </c>
    </row>
    <row r="84" spans="1:3" ht="24">
      <c r="A84" s="87" t="s">
        <v>220</v>
      </c>
      <c r="B84" s="90">
        <v>86141.72</v>
      </c>
      <c r="C84" s="89" t="s">
        <v>501</v>
      </c>
    </row>
    <row r="85" spans="1:3" ht="24">
      <c r="A85" s="63" t="s">
        <v>192</v>
      </c>
      <c r="B85" s="68">
        <v>81431.64</v>
      </c>
      <c r="C85" s="62" t="s">
        <v>499</v>
      </c>
    </row>
    <row r="86" spans="1:3" ht="36">
      <c r="A86" s="63" t="s">
        <v>290</v>
      </c>
      <c r="B86" s="68">
        <v>80914.09</v>
      </c>
      <c r="C86" s="62" t="s">
        <v>499</v>
      </c>
    </row>
    <row r="87" spans="1:3">
      <c r="A87" s="87" t="s">
        <v>136</v>
      </c>
      <c r="B87" s="90">
        <v>79010.710000000006</v>
      </c>
      <c r="C87" s="89" t="s">
        <v>501</v>
      </c>
    </row>
    <row r="88" spans="1:3" ht="36">
      <c r="A88" s="63" t="s">
        <v>193</v>
      </c>
      <c r="B88" s="68">
        <v>78922.16</v>
      </c>
      <c r="C88" s="62" t="s">
        <v>499</v>
      </c>
    </row>
    <row r="89" spans="1:3" ht="24">
      <c r="A89" s="66" t="s">
        <v>441</v>
      </c>
      <c r="B89" s="69">
        <v>78524.09</v>
      </c>
      <c r="C89" s="80" t="s">
        <v>500</v>
      </c>
    </row>
    <row r="90" spans="1:3">
      <c r="A90" s="76" t="s">
        <v>155</v>
      </c>
      <c r="B90" s="79">
        <v>76800</v>
      </c>
      <c r="C90" s="78" t="s">
        <v>504</v>
      </c>
    </row>
    <row r="91" spans="1:3" ht="36">
      <c r="A91" s="63" t="s">
        <v>325</v>
      </c>
      <c r="B91" s="68">
        <v>76580.28</v>
      </c>
      <c r="C91" s="62" t="s">
        <v>499</v>
      </c>
    </row>
    <row r="92" spans="1:3" ht="24">
      <c r="A92" s="63" t="s">
        <v>270</v>
      </c>
      <c r="B92" s="68">
        <v>76500</v>
      </c>
      <c r="C92" s="62" t="s">
        <v>499</v>
      </c>
    </row>
    <row r="93" spans="1:3" ht="36">
      <c r="A93" s="63" t="s">
        <v>195</v>
      </c>
      <c r="B93" s="68">
        <v>73112.94</v>
      </c>
      <c r="C93" s="62" t="s">
        <v>499</v>
      </c>
    </row>
    <row r="94" spans="1:3" ht="24">
      <c r="A94" s="94" t="s">
        <v>92</v>
      </c>
      <c r="B94" s="95">
        <v>72000</v>
      </c>
      <c r="C94" s="96" t="s">
        <v>506</v>
      </c>
    </row>
    <row r="95" spans="1:3" ht="48">
      <c r="A95" s="87" t="s">
        <v>328</v>
      </c>
      <c r="B95" s="90">
        <v>70094.350000000006</v>
      </c>
      <c r="C95" s="89" t="s">
        <v>501</v>
      </c>
    </row>
    <row r="96" spans="1:3" ht="36">
      <c r="A96" s="63" t="s">
        <v>289</v>
      </c>
      <c r="B96" s="68">
        <v>69589.070000000007</v>
      </c>
      <c r="C96" s="62" t="s">
        <v>499</v>
      </c>
    </row>
    <row r="97" spans="1:3" ht="36">
      <c r="A97" s="63" t="s">
        <v>263</v>
      </c>
      <c r="B97" s="68">
        <v>69079.94</v>
      </c>
      <c r="C97" s="62" t="s">
        <v>499</v>
      </c>
    </row>
    <row r="98" spans="1:3" ht="36">
      <c r="A98" s="87" t="s">
        <v>276</v>
      </c>
      <c r="B98" s="90">
        <v>68209.77</v>
      </c>
      <c r="C98" s="89" t="s">
        <v>501</v>
      </c>
    </row>
    <row r="99" spans="1:3" ht="60">
      <c r="A99" s="87" t="s">
        <v>188</v>
      </c>
      <c r="B99" s="90">
        <v>68156.23</v>
      </c>
      <c r="C99" s="89" t="s">
        <v>501</v>
      </c>
    </row>
    <row r="100" spans="1:3" ht="24">
      <c r="A100" s="66" t="s">
        <v>467</v>
      </c>
      <c r="B100" s="69">
        <v>67560.160000000003</v>
      </c>
      <c r="C100" s="80" t="s">
        <v>500</v>
      </c>
    </row>
    <row r="101" spans="1:3">
      <c r="A101" s="66" t="s">
        <v>77</v>
      </c>
      <c r="B101" s="69">
        <v>64980</v>
      </c>
      <c r="C101" s="80" t="s">
        <v>500</v>
      </c>
    </row>
    <row r="102" spans="1:3">
      <c r="A102" s="87" t="s">
        <v>423</v>
      </c>
      <c r="B102" s="90">
        <v>64703.16</v>
      </c>
      <c r="C102" s="89" t="s">
        <v>501</v>
      </c>
    </row>
    <row r="103" spans="1:3" ht="24">
      <c r="A103" s="63" t="s">
        <v>182</v>
      </c>
      <c r="B103" s="68">
        <v>62550</v>
      </c>
      <c r="C103" s="62" t="s">
        <v>499</v>
      </c>
    </row>
    <row r="104" spans="1:3" ht="36">
      <c r="A104" s="87" t="s">
        <v>218</v>
      </c>
      <c r="B104" s="90">
        <v>62301.01</v>
      </c>
      <c r="C104" s="89" t="s">
        <v>501</v>
      </c>
    </row>
    <row r="105" spans="1:3" ht="48">
      <c r="A105" s="87" t="s">
        <v>254</v>
      </c>
      <c r="B105" s="90">
        <v>62156.75</v>
      </c>
      <c r="C105" s="89" t="s">
        <v>501</v>
      </c>
    </row>
    <row r="106" spans="1:3">
      <c r="A106" s="66" t="s">
        <v>76</v>
      </c>
      <c r="B106" s="69">
        <v>61750</v>
      </c>
      <c r="C106" s="80" t="s">
        <v>500</v>
      </c>
    </row>
    <row r="107" spans="1:3" ht="24">
      <c r="A107" s="87" t="s">
        <v>259</v>
      </c>
      <c r="B107" s="90">
        <v>60291.93</v>
      </c>
      <c r="C107" s="89" t="s">
        <v>501</v>
      </c>
    </row>
    <row r="108" spans="1:3" ht="36">
      <c r="A108" s="63" t="s">
        <v>228</v>
      </c>
      <c r="B108" s="68">
        <v>59767.46</v>
      </c>
      <c r="C108" s="62" t="s">
        <v>499</v>
      </c>
    </row>
    <row r="109" spans="1:3" ht="24">
      <c r="A109" s="66" t="s">
        <v>431</v>
      </c>
      <c r="B109" s="69">
        <v>58857.2</v>
      </c>
      <c r="C109" s="80" t="s">
        <v>500</v>
      </c>
    </row>
    <row r="110" spans="1:3">
      <c r="A110" s="75" t="s">
        <v>375</v>
      </c>
      <c r="B110" s="97">
        <v>55000</v>
      </c>
      <c r="C110" s="86" t="s">
        <v>18</v>
      </c>
    </row>
    <row r="111" spans="1:3" ht="24">
      <c r="A111" s="87" t="s">
        <v>478</v>
      </c>
      <c r="B111" s="90">
        <v>54360.74</v>
      </c>
      <c r="C111" s="89" t="s">
        <v>501</v>
      </c>
    </row>
    <row r="112" spans="1:3">
      <c r="A112" s="87" t="s">
        <v>370</v>
      </c>
      <c r="B112" s="90">
        <v>54000</v>
      </c>
      <c r="C112" s="89" t="s">
        <v>501</v>
      </c>
    </row>
    <row r="113" spans="1:3">
      <c r="A113" s="66" t="s">
        <v>319</v>
      </c>
      <c r="B113" s="69">
        <v>53728.5</v>
      </c>
      <c r="C113" s="80" t="s">
        <v>500</v>
      </c>
    </row>
    <row r="114" spans="1:3" ht="24">
      <c r="A114" s="87" t="s">
        <v>452</v>
      </c>
      <c r="B114" s="90">
        <v>52956.55</v>
      </c>
      <c r="C114" s="89" t="s">
        <v>501</v>
      </c>
    </row>
    <row r="115" spans="1:3" ht="48">
      <c r="A115" s="63" t="s">
        <v>185</v>
      </c>
      <c r="B115" s="68">
        <v>52081.39</v>
      </c>
      <c r="C115" s="62" t="s">
        <v>499</v>
      </c>
    </row>
    <row r="116" spans="1:3" ht="36">
      <c r="A116" s="63" t="s">
        <v>205</v>
      </c>
      <c r="B116" s="68">
        <v>51249.8</v>
      </c>
      <c r="C116" s="62" t="s">
        <v>499</v>
      </c>
    </row>
    <row r="117" spans="1:3" ht="48">
      <c r="A117" s="87" t="s">
        <v>339</v>
      </c>
      <c r="B117" s="90">
        <v>50873.71</v>
      </c>
      <c r="C117" s="89" t="s">
        <v>501</v>
      </c>
    </row>
    <row r="118" spans="1:3" ht="24">
      <c r="A118" s="63" t="s">
        <v>203</v>
      </c>
      <c r="B118" s="68">
        <v>50484.78</v>
      </c>
      <c r="C118" s="62" t="s">
        <v>499</v>
      </c>
    </row>
    <row r="119" spans="1:3">
      <c r="A119" s="66" t="s">
        <v>272</v>
      </c>
      <c r="B119" s="69">
        <v>50000</v>
      </c>
      <c r="C119" s="80" t="s">
        <v>500</v>
      </c>
    </row>
    <row r="120" spans="1:3" ht="24">
      <c r="A120" s="66" t="s">
        <v>426</v>
      </c>
      <c r="B120" s="69">
        <v>50000</v>
      </c>
      <c r="C120" s="80" t="s">
        <v>500</v>
      </c>
    </row>
    <row r="121" spans="1:3" ht="24">
      <c r="A121" s="87" t="s">
        <v>336</v>
      </c>
      <c r="B121" s="90">
        <v>49451.58</v>
      </c>
      <c r="C121" s="89" t="s">
        <v>501</v>
      </c>
    </row>
    <row r="122" spans="1:3" ht="24">
      <c r="A122" s="87" t="s">
        <v>181</v>
      </c>
      <c r="B122" s="90">
        <v>49090.35</v>
      </c>
      <c r="C122" s="89" t="s">
        <v>501</v>
      </c>
    </row>
    <row r="123" spans="1:3" ht="24">
      <c r="A123" s="87" t="s">
        <v>52</v>
      </c>
      <c r="B123" s="90">
        <v>48961.36</v>
      </c>
      <c r="C123" s="89" t="s">
        <v>501</v>
      </c>
    </row>
    <row r="124" spans="1:3" ht="36">
      <c r="A124" s="87" t="s">
        <v>213</v>
      </c>
      <c r="B124" s="90">
        <v>48956.12</v>
      </c>
      <c r="C124" s="89" t="s">
        <v>501</v>
      </c>
    </row>
    <row r="125" spans="1:3" ht="36">
      <c r="A125" s="87" t="s">
        <v>295</v>
      </c>
      <c r="B125" s="90">
        <v>48663.99</v>
      </c>
      <c r="C125" s="89" t="s">
        <v>501</v>
      </c>
    </row>
    <row r="126" spans="1:3">
      <c r="A126" s="94" t="s">
        <v>346</v>
      </c>
      <c r="B126" s="95">
        <v>48600</v>
      </c>
      <c r="C126" s="96" t="s">
        <v>506</v>
      </c>
    </row>
    <row r="127" spans="1:3" ht="24">
      <c r="A127" s="63" t="s">
        <v>184</v>
      </c>
      <c r="B127" s="68">
        <v>48363</v>
      </c>
      <c r="C127" s="62" t="s">
        <v>499</v>
      </c>
    </row>
    <row r="128" spans="1:3" ht="36">
      <c r="A128" s="87" t="s">
        <v>458</v>
      </c>
      <c r="B128" s="90">
        <v>48316.800000000003</v>
      </c>
      <c r="C128" s="89" t="s">
        <v>501</v>
      </c>
    </row>
    <row r="129" spans="1:3" ht="36">
      <c r="A129" s="87" t="s">
        <v>482</v>
      </c>
      <c r="B129" s="90">
        <v>48316.800000000003</v>
      </c>
      <c r="C129" s="89" t="s">
        <v>501</v>
      </c>
    </row>
    <row r="130" spans="1:3" ht="36">
      <c r="A130" s="87" t="s">
        <v>335</v>
      </c>
      <c r="B130" s="90">
        <v>47505.37</v>
      </c>
      <c r="C130" s="89" t="s">
        <v>501</v>
      </c>
    </row>
    <row r="131" spans="1:3">
      <c r="A131" s="87" t="s">
        <v>421</v>
      </c>
      <c r="B131" s="90">
        <v>47250.54</v>
      </c>
      <c r="C131" s="89" t="s">
        <v>501</v>
      </c>
    </row>
    <row r="132" spans="1:3" ht="24">
      <c r="A132" s="82" t="s">
        <v>390</v>
      </c>
      <c r="B132" s="100">
        <v>46797.14</v>
      </c>
      <c r="C132" s="84" t="s">
        <v>505</v>
      </c>
    </row>
    <row r="133" spans="1:3" ht="24">
      <c r="A133" s="82" t="s">
        <v>394</v>
      </c>
      <c r="B133" s="100">
        <v>46591.68</v>
      </c>
      <c r="C133" s="84" t="s">
        <v>505</v>
      </c>
    </row>
    <row r="134" spans="1:3" ht="24">
      <c r="A134" s="63" t="s">
        <v>269</v>
      </c>
      <c r="B134" s="68">
        <v>46150</v>
      </c>
      <c r="C134" s="62" t="s">
        <v>499</v>
      </c>
    </row>
    <row r="135" spans="1:3" ht="24">
      <c r="A135" s="82" t="s">
        <v>388</v>
      </c>
      <c r="B135" s="100">
        <v>46015.89</v>
      </c>
      <c r="C135" s="84" t="s">
        <v>505</v>
      </c>
    </row>
    <row r="136" spans="1:3" ht="24">
      <c r="A136" s="66" t="s">
        <v>313</v>
      </c>
      <c r="B136" s="69">
        <v>45900</v>
      </c>
      <c r="C136" s="80" t="s">
        <v>500</v>
      </c>
    </row>
    <row r="137" spans="1:3" ht="24">
      <c r="A137" s="82" t="s">
        <v>387</v>
      </c>
      <c r="B137" s="100">
        <v>45642.34</v>
      </c>
      <c r="C137" s="84" t="s">
        <v>505</v>
      </c>
    </row>
    <row r="138" spans="1:3" ht="24">
      <c r="A138" s="63" t="s">
        <v>204</v>
      </c>
      <c r="B138" s="68">
        <v>45543.5</v>
      </c>
      <c r="C138" s="62" t="s">
        <v>499</v>
      </c>
    </row>
    <row r="139" spans="1:3" ht="36">
      <c r="A139" s="87" t="s">
        <v>160</v>
      </c>
      <c r="B139" s="90">
        <v>44754.09</v>
      </c>
      <c r="C139" s="89" t="s">
        <v>501</v>
      </c>
    </row>
    <row r="140" spans="1:3" ht="24">
      <c r="A140" s="63" t="s">
        <v>286</v>
      </c>
      <c r="B140" s="68">
        <v>44702.85</v>
      </c>
      <c r="C140" s="62" t="s">
        <v>499</v>
      </c>
    </row>
    <row r="141" spans="1:3" ht="48">
      <c r="A141" s="66" t="s">
        <v>311</v>
      </c>
      <c r="B141" s="69">
        <v>43750</v>
      </c>
      <c r="C141" s="80" t="s">
        <v>500</v>
      </c>
    </row>
    <row r="142" spans="1:3" ht="48">
      <c r="A142" s="87" t="s">
        <v>342</v>
      </c>
      <c r="B142" s="90">
        <v>43168.37</v>
      </c>
      <c r="C142" s="89" t="s">
        <v>501</v>
      </c>
    </row>
    <row r="143" spans="1:3" ht="24">
      <c r="A143" s="87" t="s">
        <v>404</v>
      </c>
      <c r="B143" s="90">
        <v>42904.59</v>
      </c>
      <c r="C143" s="89" t="s">
        <v>501</v>
      </c>
    </row>
    <row r="144" spans="1:3" ht="36">
      <c r="A144" s="63" t="s">
        <v>224</v>
      </c>
      <c r="B144" s="68">
        <v>42143.9</v>
      </c>
      <c r="C144" s="62" t="s">
        <v>499</v>
      </c>
    </row>
    <row r="145" spans="1:3" ht="24">
      <c r="A145" s="63" t="s">
        <v>222</v>
      </c>
      <c r="B145" s="68">
        <v>42133.25</v>
      </c>
      <c r="C145" s="62" t="s">
        <v>499</v>
      </c>
    </row>
    <row r="146" spans="1:3" ht="24">
      <c r="A146" s="63" t="s">
        <v>306</v>
      </c>
      <c r="B146" s="68">
        <v>41580</v>
      </c>
      <c r="C146" s="62" t="s">
        <v>499</v>
      </c>
    </row>
    <row r="147" spans="1:3" ht="24">
      <c r="A147" s="87" t="s">
        <v>425</v>
      </c>
      <c r="B147" s="90">
        <v>40724.01</v>
      </c>
      <c r="C147" s="89" t="s">
        <v>501</v>
      </c>
    </row>
    <row r="148" spans="1:3">
      <c r="A148" s="87" t="s">
        <v>475</v>
      </c>
      <c r="B148" s="90">
        <v>39644.04</v>
      </c>
      <c r="C148" s="89" t="s">
        <v>501</v>
      </c>
    </row>
    <row r="149" spans="1:3" ht="24">
      <c r="A149" s="87" t="s">
        <v>257</v>
      </c>
      <c r="B149" s="90">
        <v>39414.36</v>
      </c>
      <c r="C149" s="89" t="s">
        <v>501</v>
      </c>
    </row>
    <row r="150" spans="1:3" ht="24">
      <c r="A150" s="63" t="s">
        <v>206</v>
      </c>
      <c r="B150" s="68">
        <v>38971.620000000003</v>
      </c>
      <c r="C150" s="62" t="s">
        <v>499</v>
      </c>
    </row>
    <row r="151" spans="1:3">
      <c r="A151" s="94" t="s">
        <v>345</v>
      </c>
      <c r="B151" s="95">
        <v>38160</v>
      </c>
      <c r="C151" s="96" t="s">
        <v>506</v>
      </c>
    </row>
    <row r="152" spans="1:3">
      <c r="A152" s="66" t="s">
        <v>118</v>
      </c>
      <c r="B152" s="69">
        <v>37594</v>
      </c>
      <c r="C152" s="80" t="s">
        <v>500</v>
      </c>
    </row>
    <row r="153" spans="1:3">
      <c r="A153" s="82" t="s">
        <v>363</v>
      </c>
      <c r="B153" s="100">
        <v>37500</v>
      </c>
      <c r="C153" s="84" t="s">
        <v>505</v>
      </c>
    </row>
    <row r="154" spans="1:3" ht="24">
      <c r="A154" s="87" t="s">
        <v>481</v>
      </c>
      <c r="B154" s="90">
        <v>37343.85</v>
      </c>
      <c r="C154" s="89" t="s">
        <v>501</v>
      </c>
    </row>
    <row r="155" spans="1:3" ht="24">
      <c r="A155" s="87" t="s">
        <v>304</v>
      </c>
      <c r="B155" s="90">
        <v>35895.440000000002</v>
      </c>
      <c r="C155" s="89" t="s">
        <v>501</v>
      </c>
    </row>
    <row r="156" spans="1:3" ht="24">
      <c r="A156" s="66" t="s">
        <v>433</v>
      </c>
      <c r="B156" s="69">
        <v>35590</v>
      </c>
      <c r="C156" s="80" t="s">
        <v>500</v>
      </c>
    </row>
    <row r="157" spans="1:3" ht="24">
      <c r="A157" s="87" t="s">
        <v>451</v>
      </c>
      <c r="B157" s="90">
        <v>35313.699999999997</v>
      </c>
      <c r="C157" s="89" t="s">
        <v>501</v>
      </c>
    </row>
    <row r="158" spans="1:3">
      <c r="A158" s="94" t="s">
        <v>93</v>
      </c>
      <c r="B158" s="95">
        <v>35000</v>
      </c>
      <c r="C158" s="96" t="s">
        <v>506</v>
      </c>
    </row>
    <row r="159" spans="1:3" ht="24">
      <c r="A159" s="66" t="s">
        <v>463</v>
      </c>
      <c r="B159" s="69">
        <v>35000</v>
      </c>
      <c r="C159" s="80" t="s">
        <v>500</v>
      </c>
    </row>
    <row r="160" spans="1:3" ht="24">
      <c r="A160" s="66" t="s">
        <v>491</v>
      </c>
      <c r="B160" s="69">
        <v>35000</v>
      </c>
      <c r="C160" s="80" t="s">
        <v>500</v>
      </c>
    </row>
    <row r="161" spans="1:3" ht="36">
      <c r="A161" s="87" t="s">
        <v>301</v>
      </c>
      <c r="B161" s="90">
        <v>34875.019999999997</v>
      </c>
      <c r="C161" s="89" t="s">
        <v>501</v>
      </c>
    </row>
    <row r="162" spans="1:3" ht="48">
      <c r="A162" s="66" t="s">
        <v>79</v>
      </c>
      <c r="B162" s="69">
        <v>34800</v>
      </c>
      <c r="C162" s="80" t="s">
        <v>500</v>
      </c>
    </row>
    <row r="163" spans="1:3" ht="36">
      <c r="A163" s="63" t="s">
        <v>302</v>
      </c>
      <c r="B163" s="68">
        <v>34608.699999999997</v>
      </c>
      <c r="C163" s="62" t="s">
        <v>499</v>
      </c>
    </row>
    <row r="164" spans="1:3" ht="48">
      <c r="A164" s="87" t="s">
        <v>252</v>
      </c>
      <c r="B164" s="90">
        <v>34509.4</v>
      </c>
      <c r="C164" s="89" t="s">
        <v>501</v>
      </c>
    </row>
    <row r="165" spans="1:3" ht="36">
      <c r="A165" s="87" t="s">
        <v>341</v>
      </c>
      <c r="B165" s="90">
        <v>34004.19</v>
      </c>
      <c r="C165" s="89" t="s">
        <v>501</v>
      </c>
    </row>
    <row r="166" spans="1:3" ht="36">
      <c r="A166" s="87" t="s">
        <v>163</v>
      </c>
      <c r="B166" s="90">
        <v>33581.300000000003</v>
      </c>
      <c r="C166" s="89" t="s">
        <v>501</v>
      </c>
    </row>
    <row r="167" spans="1:3" ht="24">
      <c r="A167" s="87" t="s">
        <v>456</v>
      </c>
      <c r="B167" s="90">
        <v>33282.76</v>
      </c>
      <c r="C167" s="89" t="s">
        <v>501</v>
      </c>
    </row>
    <row r="168" spans="1:3" ht="36">
      <c r="A168" s="87" t="s">
        <v>298</v>
      </c>
      <c r="B168" s="90">
        <v>32651.439999999999</v>
      </c>
      <c r="C168" s="89" t="s">
        <v>501</v>
      </c>
    </row>
    <row r="169" spans="1:3">
      <c r="A169" s="87" t="s">
        <v>248</v>
      </c>
      <c r="B169" s="90">
        <v>32632.99</v>
      </c>
      <c r="C169" s="89" t="s">
        <v>501</v>
      </c>
    </row>
    <row r="170" spans="1:3" ht="24">
      <c r="A170" s="63" t="s">
        <v>307</v>
      </c>
      <c r="B170" s="68">
        <v>32600</v>
      </c>
      <c r="C170" s="62" t="s">
        <v>499</v>
      </c>
    </row>
    <row r="171" spans="1:3">
      <c r="A171" s="87" t="s">
        <v>146</v>
      </c>
      <c r="B171" s="90">
        <v>32120.63</v>
      </c>
      <c r="C171" s="89" t="s">
        <v>501</v>
      </c>
    </row>
    <row r="172" spans="1:3" ht="48">
      <c r="A172" s="87" t="s">
        <v>380</v>
      </c>
      <c r="B172" s="90">
        <v>30780.27</v>
      </c>
      <c r="C172" s="89" t="s">
        <v>501</v>
      </c>
    </row>
    <row r="173" spans="1:3" ht="36">
      <c r="A173" s="66" t="s">
        <v>140</v>
      </c>
      <c r="B173" s="69">
        <v>30595.26</v>
      </c>
      <c r="C173" s="80" t="s">
        <v>500</v>
      </c>
    </row>
    <row r="174" spans="1:3">
      <c r="A174" s="94" t="s">
        <v>357</v>
      </c>
      <c r="B174" s="95">
        <v>30500</v>
      </c>
      <c r="C174" s="96" t="s">
        <v>506</v>
      </c>
    </row>
    <row r="175" spans="1:3" ht="24">
      <c r="A175" s="87" t="s">
        <v>444</v>
      </c>
      <c r="B175" s="90">
        <v>29921.64</v>
      </c>
      <c r="C175" s="89" t="s">
        <v>501</v>
      </c>
    </row>
    <row r="176" spans="1:3" ht="24">
      <c r="A176" s="87" t="s">
        <v>479</v>
      </c>
      <c r="B176" s="90">
        <v>29801.040000000001</v>
      </c>
      <c r="C176" s="89" t="s">
        <v>501</v>
      </c>
    </row>
    <row r="177" spans="1:3" ht="24">
      <c r="A177" s="87" t="s">
        <v>473</v>
      </c>
      <c r="B177" s="90">
        <v>29038.32</v>
      </c>
      <c r="C177" s="89" t="s">
        <v>501</v>
      </c>
    </row>
    <row r="178" spans="1:3">
      <c r="A178" s="94" t="s">
        <v>95</v>
      </c>
      <c r="B178" s="95">
        <v>28700</v>
      </c>
      <c r="C178" s="96" t="s">
        <v>506</v>
      </c>
    </row>
    <row r="179" spans="1:3">
      <c r="A179" s="87" t="s">
        <v>446</v>
      </c>
      <c r="B179" s="90">
        <v>28636.06</v>
      </c>
      <c r="C179" s="89" t="s">
        <v>501</v>
      </c>
    </row>
    <row r="180" spans="1:3" ht="36">
      <c r="A180" s="87" t="s">
        <v>165</v>
      </c>
      <c r="B180" s="90">
        <v>26072.799999999999</v>
      </c>
      <c r="C180" s="89" t="s">
        <v>501</v>
      </c>
    </row>
    <row r="181" spans="1:3" ht="24">
      <c r="A181" s="63" t="s">
        <v>271</v>
      </c>
      <c r="B181" s="68">
        <v>25500</v>
      </c>
      <c r="C181" s="62" t="s">
        <v>499</v>
      </c>
    </row>
    <row r="182" spans="1:3" ht="24">
      <c r="A182" s="82" t="s">
        <v>389</v>
      </c>
      <c r="B182" s="100">
        <v>25308.23</v>
      </c>
      <c r="C182" s="84" t="s">
        <v>505</v>
      </c>
    </row>
    <row r="183" spans="1:3">
      <c r="A183" s="94" t="s">
        <v>104</v>
      </c>
      <c r="B183" s="95">
        <v>25000</v>
      </c>
      <c r="C183" s="96" t="s">
        <v>506</v>
      </c>
    </row>
    <row r="184" spans="1:3">
      <c r="A184" s="94" t="s">
        <v>119</v>
      </c>
      <c r="B184" s="95">
        <v>25000</v>
      </c>
      <c r="C184" s="96" t="s">
        <v>506</v>
      </c>
    </row>
    <row r="185" spans="1:3" ht="24">
      <c r="A185" s="87" t="s">
        <v>122</v>
      </c>
      <c r="B185" s="90">
        <v>25000</v>
      </c>
      <c r="C185" s="89" t="s">
        <v>501</v>
      </c>
    </row>
    <row r="186" spans="1:3">
      <c r="A186" s="94" t="s">
        <v>123</v>
      </c>
      <c r="B186" s="95">
        <v>25000</v>
      </c>
      <c r="C186" s="96" t="s">
        <v>506</v>
      </c>
    </row>
    <row r="187" spans="1:3" ht="24">
      <c r="A187" s="94" t="s">
        <v>124</v>
      </c>
      <c r="B187" s="95">
        <v>25000</v>
      </c>
      <c r="C187" s="96" t="s">
        <v>506</v>
      </c>
    </row>
    <row r="188" spans="1:3" ht="24">
      <c r="A188" s="94" t="s">
        <v>133</v>
      </c>
      <c r="B188" s="95">
        <v>25000</v>
      </c>
      <c r="C188" s="96" t="s">
        <v>506</v>
      </c>
    </row>
    <row r="189" spans="1:3">
      <c r="A189" s="94" t="s">
        <v>371</v>
      </c>
      <c r="B189" s="95">
        <v>25000</v>
      </c>
      <c r="C189" s="96" t="s">
        <v>506</v>
      </c>
    </row>
    <row r="190" spans="1:3">
      <c r="A190" s="75" t="s">
        <v>374</v>
      </c>
      <c r="B190" s="97">
        <v>25000</v>
      </c>
      <c r="C190" s="86" t="s">
        <v>18</v>
      </c>
    </row>
    <row r="191" spans="1:3" ht="24">
      <c r="A191" s="87" t="s">
        <v>399</v>
      </c>
      <c r="B191" s="90">
        <v>24971.919999999998</v>
      </c>
      <c r="C191" s="89" t="s">
        <v>501</v>
      </c>
    </row>
    <row r="192" spans="1:3" ht="24">
      <c r="A192" s="87" t="s">
        <v>299</v>
      </c>
      <c r="B192" s="90">
        <v>24581.61</v>
      </c>
      <c r="C192" s="89" t="s">
        <v>501</v>
      </c>
    </row>
    <row r="193" spans="1:3" ht="36">
      <c r="A193" s="87" t="s">
        <v>243</v>
      </c>
      <c r="B193" s="90">
        <v>24558.46</v>
      </c>
      <c r="C193" s="89" t="s">
        <v>501</v>
      </c>
    </row>
    <row r="194" spans="1:3" ht="36">
      <c r="A194" s="87" t="s">
        <v>190</v>
      </c>
      <c r="B194" s="90">
        <v>24487.58</v>
      </c>
      <c r="C194" s="89" t="s">
        <v>501</v>
      </c>
    </row>
    <row r="195" spans="1:3" ht="36">
      <c r="A195" s="87" t="s">
        <v>296</v>
      </c>
      <c r="B195" s="90">
        <v>24466.13</v>
      </c>
      <c r="C195" s="89" t="s">
        <v>501</v>
      </c>
    </row>
    <row r="196" spans="1:3" ht="24">
      <c r="A196" s="63" t="s">
        <v>267</v>
      </c>
      <c r="B196" s="68">
        <v>24323.26</v>
      </c>
      <c r="C196" s="62" t="s">
        <v>499</v>
      </c>
    </row>
    <row r="197" spans="1:3" ht="36">
      <c r="A197" s="87" t="s">
        <v>172</v>
      </c>
      <c r="B197" s="90">
        <v>24072.720000000001</v>
      </c>
      <c r="C197" s="89" t="s">
        <v>501</v>
      </c>
    </row>
    <row r="198" spans="1:3" ht="48">
      <c r="A198" s="66" t="s">
        <v>171</v>
      </c>
      <c r="B198" s="69">
        <v>23995.439999999999</v>
      </c>
      <c r="C198" s="80" t="s">
        <v>500</v>
      </c>
    </row>
    <row r="199" spans="1:3" ht="24">
      <c r="A199" s="94" t="s">
        <v>135</v>
      </c>
      <c r="B199" s="95">
        <v>23500</v>
      </c>
      <c r="C199" s="96" t="s">
        <v>506</v>
      </c>
    </row>
    <row r="200" spans="1:3" ht="36">
      <c r="A200" s="87" t="s">
        <v>166</v>
      </c>
      <c r="B200" s="90">
        <v>23247.7</v>
      </c>
      <c r="C200" s="89" t="s">
        <v>501</v>
      </c>
    </row>
    <row r="201" spans="1:3">
      <c r="A201" s="82" t="s">
        <v>366</v>
      </c>
      <c r="B201" s="100">
        <v>23100</v>
      </c>
      <c r="C201" s="84" t="s">
        <v>505</v>
      </c>
    </row>
    <row r="202" spans="1:3" ht="24">
      <c r="A202" s="63" t="s">
        <v>231</v>
      </c>
      <c r="B202" s="68">
        <v>22851.9</v>
      </c>
      <c r="C202" s="62" t="s">
        <v>499</v>
      </c>
    </row>
    <row r="203" spans="1:3" ht="36">
      <c r="A203" s="87" t="s">
        <v>329</v>
      </c>
      <c r="B203" s="90">
        <v>22569.52</v>
      </c>
      <c r="C203" s="89" t="s">
        <v>501</v>
      </c>
    </row>
    <row r="204" spans="1:3" ht="24">
      <c r="A204" s="94" t="s">
        <v>128</v>
      </c>
      <c r="B204" s="95">
        <v>22500</v>
      </c>
      <c r="C204" s="96" t="s">
        <v>506</v>
      </c>
    </row>
    <row r="205" spans="1:3" ht="24">
      <c r="A205" s="94" t="s">
        <v>331</v>
      </c>
      <c r="B205" s="95">
        <v>22388.21</v>
      </c>
      <c r="C205" s="96" t="s">
        <v>506</v>
      </c>
    </row>
    <row r="206" spans="1:3" ht="36">
      <c r="A206" s="87" t="s">
        <v>164</v>
      </c>
      <c r="B206" s="90">
        <v>22195.7</v>
      </c>
      <c r="C206" s="89" t="s">
        <v>501</v>
      </c>
    </row>
    <row r="207" spans="1:3" ht="36">
      <c r="A207" s="87" t="s">
        <v>200</v>
      </c>
      <c r="B207" s="90">
        <v>22027.43</v>
      </c>
      <c r="C207" s="89" t="s">
        <v>501</v>
      </c>
    </row>
    <row r="208" spans="1:3" ht="24">
      <c r="A208" s="87" t="s">
        <v>300</v>
      </c>
      <c r="B208" s="90">
        <v>21921.67</v>
      </c>
      <c r="C208" s="89" t="s">
        <v>501</v>
      </c>
    </row>
    <row r="209" spans="1:3" ht="36">
      <c r="A209" s="87" t="s">
        <v>62</v>
      </c>
      <c r="B209" s="90">
        <v>21554.2</v>
      </c>
      <c r="C209" s="89" t="s">
        <v>501</v>
      </c>
    </row>
    <row r="210" spans="1:3" ht="36">
      <c r="A210" s="87" t="s">
        <v>292</v>
      </c>
      <c r="B210" s="90">
        <v>21520.29</v>
      </c>
      <c r="C210" s="89" t="s">
        <v>501</v>
      </c>
    </row>
    <row r="211" spans="1:3" ht="36">
      <c r="A211" s="63" t="s">
        <v>287</v>
      </c>
      <c r="B211" s="68">
        <v>21426.48</v>
      </c>
      <c r="C211" s="62" t="s">
        <v>499</v>
      </c>
    </row>
    <row r="212" spans="1:3" ht="24">
      <c r="A212" s="63" t="s">
        <v>230</v>
      </c>
      <c r="B212" s="68">
        <v>21219.14</v>
      </c>
      <c r="C212" s="62" t="s">
        <v>499</v>
      </c>
    </row>
    <row r="213" spans="1:3" ht="36">
      <c r="A213" s="82" t="s">
        <v>391</v>
      </c>
      <c r="B213" s="100">
        <v>20281.650000000001</v>
      </c>
      <c r="C213" s="84" t="s">
        <v>505</v>
      </c>
    </row>
    <row r="214" spans="1:3" ht="36">
      <c r="A214" s="63" t="s">
        <v>264</v>
      </c>
      <c r="B214" s="68">
        <v>20277.75</v>
      </c>
      <c r="C214" s="62" t="s">
        <v>499</v>
      </c>
    </row>
    <row r="215" spans="1:3" ht="48">
      <c r="A215" s="87" t="s">
        <v>65</v>
      </c>
      <c r="B215" s="90">
        <v>20161.03</v>
      </c>
      <c r="C215" s="89" t="s">
        <v>501</v>
      </c>
    </row>
    <row r="216" spans="1:3">
      <c r="A216" s="94" t="s">
        <v>129</v>
      </c>
      <c r="B216" s="95">
        <v>20000</v>
      </c>
      <c r="C216" s="96" t="s">
        <v>506</v>
      </c>
    </row>
    <row r="217" spans="1:3">
      <c r="A217" s="66" t="s">
        <v>343</v>
      </c>
      <c r="B217" s="69">
        <v>20000</v>
      </c>
      <c r="C217" s="80" t="s">
        <v>500</v>
      </c>
    </row>
    <row r="218" spans="1:3">
      <c r="A218" s="66" t="s">
        <v>469</v>
      </c>
      <c r="B218" s="69">
        <v>20000</v>
      </c>
      <c r="C218" s="80" t="s">
        <v>500</v>
      </c>
    </row>
    <row r="219" spans="1:3" ht="24">
      <c r="A219" s="87" t="s">
        <v>187</v>
      </c>
      <c r="B219" s="90">
        <v>19832.95</v>
      </c>
      <c r="C219" s="89" t="s">
        <v>501</v>
      </c>
    </row>
    <row r="220" spans="1:3" ht="60">
      <c r="A220" s="87" t="s">
        <v>176</v>
      </c>
      <c r="B220" s="90">
        <v>19811.080000000002</v>
      </c>
      <c r="C220" s="89" t="s">
        <v>501</v>
      </c>
    </row>
    <row r="221" spans="1:3" ht="24">
      <c r="A221" s="94" t="s">
        <v>352</v>
      </c>
      <c r="B221" s="95">
        <v>19800</v>
      </c>
      <c r="C221" s="96" t="s">
        <v>506</v>
      </c>
    </row>
    <row r="222" spans="1:3" ht="24">
      <c r="A222" s="94" t="s">
        <v>349</v>
      </c>
      <c r="B222" s="95">
        <v>19296</v>
      </c>
      <c r="C222" s="96" t="s">
        <v>506</v>
      </c>
    </row>
    <row r="223" spans="1:3" ht="24">
      <c r="A223" s="94" t="s">
        <v>350</v>
      </c>
      <c r="B223" s="95">
        <v>19296</v>
      </c>
      <c r="C223" s="96" t="s">
        <v>506</v>
      </c>
    </row>
    <row r="224" spans="1:3">
      <c r="A224" s="94" t="s">
        <v>94</v>
      </c>
      <c r="B224" s="95">
        <v>18950</v>
      </c>
      <c r="C224" s="96" t="s">
        <v>506</v>
      </c>
    </row>
    <row r="225" spans="1:3" ht="36">
      <c r="A225" s="87" t="s">
        <v>297</v>
      </c>
      <c r="B225" s="90">
        <v>18922.490000000002</v>
      </c>
      <c r="C225" s="89" t="s">
        <v>501</v>
      </c>
    </row>
    <row r="226" spans="1:3" ht="36">
      <c r="A226" s="63" t="s">
        <v>194</v>
      </c>
      <c r="B226" s="68">
        <v>18845.48</v>
      </c>
      <c r="C226" s="62" t="s">
        <v>499</v>
      </c>
    </row>
    <row r="227" spans="1:3" ht="36">
      <c r="A227" s="63" t="s">
        <v>227</v>
      </c>
      <c r="B227" s="68">
        <v>17876.16</v>
      </c>
      <c r="C227" s="62" t="s">
        <v>499</v>
      </c>
    </row>
    <row r="228" spans="1:3" ht="24">
      <c r="A228" s="87" t="s">
        <v>477</v>
      </c>
      <c r="B228" s="90">
        <v>17661.28</v>
      </c>
      <c r="C228" s="89" t="s">
        <v>501</v>
      </c>
    </row>
    <row r="229" spans="1:3">
      <c r="A229" s="94" t="s">
        <v>125</v>
      </c>
      <c r="B229" s="95">
        <v>17650</v>
      </c>
      <c r="C229" s="96" t="s">
        <v>506</v>
      </c>
    </row>
    <row r="230" spans="1:3" ht="24">
      <c r="A230" s="94" t="s">
        <v>105</v>
      </c>
      <c r="B230" s="95">
        <v>17500</v>
      </c>
      <c r="C230" s="96" t="s">
        <v>506</v>
      </c>
    </row>
    <row r="231" spans="1:3">
      <c r="A231" s="75" t="s">
        <v>373</v>
      </c>
      <c r="B231" s="97">
        <v>17500</v>
      </c>
      <c r="C231" s="86" t="s">
        <v>18</v>
      </c>
    </row>
    <row r="232" spans="1:3" ht="36">
      <c r="A232" s="87" t="s">
        <v>178</v>
      </c>
      <c r="B232" s="90">
        <v>16638.47</v>
      </c>
      <c r="C232" s="89" t="s">
        <v>501</v>
      </c>
    </row>
    <row r="233" spans="1:3" ht="36">
      <c r="A233" s="87" t="s">
        <v>242</v>
      </c>
      <c r="B233" s="90">
        <v>16585.54</v>
      </c>
      <c r="C233" s="89" t="s">
        <v>501</v>
      </c>
    </row>
    <row r="234" spans="1:3" ht="24">
      <c r="A234" s="87" t="s">
        <v>447</v>
      </c>
      <c r="B234" s="90">
        <v>16418.04</v>
      </c>
      <c r="C234" s="89" t="s">
        <v>501</v>
      </c>
    </row>
    <row r="235" spans="1:3" ht="24">
      <c r="A235" s="82" t="s">
        <v>386</v>
      </c>
      <c r="B235" s="100">
        <v>15684.85</v>
      </c>
      <c r="C235" s="84" t="s">
        <v>505</v>
      </c>
    </row>
    <row r="236" spans="1:3" ht="24">
      <c r="A236" s="94" t="s">
        <v>106</v>
      </c>
      <c r="B236" s="95">
        <v>15500</v>
      </c>
      <c r="C236" s="96" t="s">
        <v>506</v>
      </c>
    </row>
    <row r="237" spans="1:3">
      <c r="A237" s="94" t="s">
        <v>101</v>
      </c>
      <c r="B237" s="95">
        <v>15400</v>
      </c>
      <c r="C237" s="96" t="s">
        <v>506</v>
      </c>
    </row>
    <row r="238" spans="1:3">
      <c r="A238" s="94" t="s">
        <v>103</v>
      </c>
      <c r="B238" s="95">
        <v>15000</v>
      </c>
      <c r="C238" s="96" t="s">
        <v>506</v>
      </c>
    </row>
    <row r="239" spans="1:3">
      <c r="A239" s="94" t="s">
        <v>127</v>
      </c>
      <c r="B239" s="95">
        <v>15000</v>
      </c>
      <c r="C239" s="96" t="s">
        <v>506</v>
      </c>
    </row>
    <row r="240" spans="1:3">
      <c r="A240" s="94" t="s">
        <v>132</v>
      </c>
      <c r="B240" s="95">
        <v>15000</v>
      </c>
      <c r="C240" s="96" t="s">
        <v>506</v>
      </c>
    </row>
    <row r="241" spans="1:3">
      <c r="A241" s="94" t="s">
        <v>367</v>
      </c>
      <c r="B241" s="95">
        <v>15000</v>
      </c>
      <c r="C241" s="96" t="s">
        <v>506</v>
      </c>
    </row>
    <row r="242" spans="1:3">
      <c r="A242" s="75" t="s">
        <v>376</v>
      </c>
      <c r="B242" s="97">
        <v>15000</v>
      </c>
      <c r="C242" s="86" t="s">
        <v>18</v>
      </c>
    </row>
    <row r="243" spans="1:3">
      <c r="A243" s="66" t="s">
        <v>430</v>
      </c>
      <c r="B243" s="69">
        <v>15000</v>
      </c>
      <c r="C243" s="80" t="s">
        <v>500</v>
      </c>
    </row>
    <row r="244" spans="1:3">
      <c r="A244" s="66" t="s">
        <v>443</v>
      </c>
      <c r="B244" s="69">
        <v>15000</v>
      </c>
      <c r="C244" s="80" t="s">
        <v>500</v>
      </c>
    </row>
    <row r="245" spans="1:3" ht="24">
      <c r="A245" s="94" t="s">
        <v>351</v>
      </c>
      <c r="B245" s="95">
        <v>14760</v>
      </c>
      <c r="C245" s="96" t="s">
        <v>506</v>
      </c>
    </row>
    <row r="246" spans="1:3" ht="36">
      <c r="A246" s="87" t="s">
        <v>161</v>
      </c>
      <c r="B246" s="90">
        <v>13528.79</v>
      </c>
      <c r="C246" s="89" t="s">
        <v>501</v>
      </c>
    </row>
    <row r="247" spans="1:3">
      <c r="A247" s="94" t="s">
        <v>110</v>
      </c>
      <c r="B247" s="95">
        <v>13500</v>
      </c>
      <c r="C247" s="96" t="s">
        <v>506</v>
      </c>
    </row>
    <row r="248" spans="1:3" ht="24">
      <c r="A248" s="66" t="s">
        <v>282</v>
      </c>
      <c r="B248" s="69">
        <v>13366.8</v>
      </c>
      <c r="C248" s="80" t="s">
        <v>500</v>
      </c>
    </row>
    <row r="249" spans="1:3" ht="24">
      <c r="A249" s="87" t="s">
        <v>308</v>
      </c>
      <c r="B249" s="90">
        <v>13125</v>
      </c>
      <c r="C249" s="89" t="s">
        <v>501</v>
      </c>
    </row>
    <row r="250" spans="1:3" ht="36">
      <c r="A250" s="87" t="s">
        <v>162</v>
      </c>
      <c r="B250" s="90">
        <v>13081.74</v>
      </c>
      <c r="C250" s="89" t="s">
        <v>501</v>
      </c>
    </row>
    <row r="251" spans="1:3" ht="24">
      <c r="A251" s="87" t="s">
        <v>485</v>
      </c>
      <c r="B251" s="90">
        <v>12971.69</v>
      </c>
      <c r="C251" s="89" t="s">
        <v>501</v>
      </c>
    </row>
    <row r="252" spans="1:3" ht="24">
      <c r="A252" s="87" t="s">
        <v>460</v>
      </c>
      <c r="B252" s="90">
        <v>12963.93</v>
      </c>
      <c r="C252" s="89" t="s">
        <v>501</v>
      </c>
    </row>
    <row r="253" spans="1:3" ht="60">
      <c r="A253" s="87" t="s">
        <v>326</v>
      </c>
      <c r="B253" s="90">
        <v>12925.63</v>
      </c>
      <c r="C253" s="89" t="s">
        <v>501</v>
      </c>
    </row>
    <row r="254" spans="1:3">
      <c r="A254" s="87" t="s">
        <v>417</v>
      </c>
      <c r="B254" s="90">
        <v>12852.84</v>
      </c>
      <c r="C254" s="89" t="s">
        <v>501</v>
      </c>
    </row>
    <row r="255" spans="1:3" ht="60">
      <c r="A255" s="87" t="s">
        <v>70</v>
      </c>
      <c r="B255" s="90">
        <v>12766.08</v>
      </c>
      <c r="C255" s="89" t="s">
        <v>501</v>
      </c>
    </row>
    <row r="256" spans="1:3" ht="24">
      <c r="A256" s="63" t="s">
        <v>266</v>
      </c>
      <c r="B256" s="68">
        <v>12742.88</v>
      </c>
      <c r="C256" s="62" t="s">
        <v>499</v>
      </c>
    </row>
    <row r="257" spans="1:3" ht="24">
      <c r="A257" s="66" t="s">
        <v>435</v>
      </c>
      <c r="B257" s="69">
        <v>12650</v>
      </c>
      <c r="C257" s="80" t="s">
        <v>500</v>
      </c>
    </row>
    <row r="258" spans="1:3" ht="24">
      <c r="A258" s="66" t="s">
        <v>436</v>
      </c>
      <c r="B258" s="69">
        <v>12650</v>
      </c>
      <c r="C258" s="80" t="s">
        <v>500</v>
      </c>
    </row>
    <row r="259" spans="1:3" ht="36">
      <c r="A259" s="94" t="s">
        <v>379</v>
      </c>
      <c r="B259" s="95">
        <v>12500</v>
      </c>
      <c r="C259" s="96" t="s">
        <v>506</v>
      </c>
    </row>
    <row r="260" spans="1:3" ht="48">
      <c r="A260" s="63" t="s">
        <v>344</v>
      </c>
      <c r="B260" s="68">
        <v>12344.2</v>
      </c>
      <c r="C260" s="62" t="s">
        <v>499</v>
      </c>
    </row>
    <row r="261" spans="1:3" ht="36">
      <c r="A261" s="87" t="s">
        <v>167</v>
      </c>
      <c r="B261" s="90">
        <v>12235.63</v>
      </c>
      <c r="C261" s="89" t="s">
        <v>501</v>
      </c>
    </row>
    <row r="262" spans="1:3" ht="24">
      <c r="A262" s="87" t="s">
        <v>488</v>
      </c>
      <c r="B262" s="90">
        <v>12182</v>
      </c>
      <c r="C262" s="89" t="s">
        <v>501</v>
      </c>
    </row>
    <row r="263" spans="1:3" ht="24">
      <c r="A263" s="87" t="s">
        <v>472</v>
      </c>
      <c r="B263" s="90">
        <v>12096.5</v>
      </c>
      <c r="C263" s="89" t="s">
        <v>501</v>
      </c>
    </row>
    <row r="264" spans="1:3" ht="36">
      <c r="A264" s="87" t="s">
        <v>457</v>
      </c>
      <c r="B264" s="90">
        <v>12079.2</v>
      </c>
      <c r="C264" s="89" t="s">
        <v>501</v>
      </c>
    </row>
    <row r="265" spans="1:3" ht="24">
      <c r="A265" s="87" t="s">
        <v>280</v>
      </c>
      <c r="B265" s="90">
        <v>12021.16</v>
      </c>
      <c r="C265" s="89" t="s">
        <v>501</v>
      </c>
    </row>
    <row r="266" spans="1:3" ht="24">
      <c r="A266" s="66" t="s">
        <v>427</v>
      </c>
      <c r="B266" s="69">
        <v>12000</v>
      </c>
      <c r="C266" s="80" t="s">
        <v>500</v>
      </c>
    </row>
    <row r="267" spans="1:3">
      <c r="A267" s="87" t="s">
        <v>86</v>
      </c>
      <c r="B267" s="90">
        <v>11964.6</v>
      </c>
      <c r="C267" s="89" t="s">
        <v>501</v>
      </c>
    </row>
    <row r="268" spans="1:3" ht="36">
      <c r="A268" s="63" t="s">
        <v>323</v>
      </c>
      <c r="B268" s="68">
        <v>11910.56</v>
      </c>
      <c r="C268" s="62" t="s">
        <v>499</v>
      </c>
    </row>
    <row r="269" spans="1:3" ht="36">
      <c r="A269" s="87" t="s">
        <v>327</v>
      </c>
      <c r="B269" s="90">
        <v>11888.57</v>
      </c>
      <c r="C269" s="89" t="s">
        <v>501</v>
      </c>
    </row>
    <row r="270" spans="1:3" ht="36">
      <c r="A270" s="87" t="s">
        <v>293</v>
      </c>
      <c r="B270" s="90">
        <v>11852.96</v>
      </c>
      <c r="C270" s="89" t="s">
        <v>501</v>
      </c>
    </row>
    <row r="271" spans="1:3" ht="36">
      <c r="A271" s="63" t="s">
        <v>249</v>
      </c>
      <c r="B271" s="68">
        <v>10901.76</v>
      </c>
      <c r="C271" s="62" t="s">
        <v>499</v>
      </c>
    </row>
    <row r="272" spans="1:3">
      <c r="A272" s="87" t="s">
        <v>275</v>
      </c>
      <c r="B272" s="90">
        <v>10800</v>
      </c>
      <c r="C272" s="89" t="s">
        <v>501</v>
      </c>
    </row>
    <row r="273" spans="1:3">
      <c r="A273" s="94" t="s">
        <v>116</v>
      </c>
      <c r="B273" s="95">
        <v>10750</v>
      </c>
      <c r="C273" s="96" t="s">
        <v>506</v>
      </c>
    </row>
    <row r="274" spans="1:3" ht="24">
      <c r="A274" s="63" t="s">
        <v>196</v>
      </c>
      <c r="B274" s="68">
        <v>10620</v>
      </c>
      <c r="C274" s="62" t="s">
        <v>499</v>
      </c>
    </row>
    <row r="275" spans="1:3" ht="36">
      <c r="A275" s="87" t="s">
        <v>180</v>
      </c>
      <c r="B275" s="90">
        <v>10575.98</v>
      </c>
      <c r="C275" s="89" t="s">
        <v>501</v>
      </c>
    </row>
    <row r="276" spans="1:3" ht="36">
      <c r="A276" s="63" t="s">
        <v>294</v>
      </c>
      <c r="B276" s="68">
        <v>10564.09</v>
      </c>
      <c r="C276" s="62" t="s">
        <v>499</v>
      </c>
    </row>
    <row r="277" spans="1:3">
      <c r="A277" s="82" t="s">
        <v>362</v>
      </c>
      <c r="B277" s="100">
        <v>10500</v>
      </c>
      <c r="C277" s="84" t="s">
        <v>505</v>
      </c>
    </row>
    <row r="278" spans="1:3" ht="36">
      <c r="A278" s="87" t="s">
        <v>256</v>
      </c>
      <c r="B278" s="90">
        <v>10353.94</v>
      </c>
      <c r="C278" s="89" t="s">
        <v>501</v>
      </c>
    </row>
    <row r="279" spans="1:3" ht="24">
      <c r="A279" s="87" t="s">
        <v>398</v>
      </c>
      <c r="B279" s="90">
        <v>10341.61</v>
      </c>
      <c r="C279" s="89" t="s">
        <v>501</v>
      </c>
    </row>
    <row r="280" spans="1:3" ht="24">
      <c r="A280" s="94" t="s">
        <v>113</v>
      </c>
      <c r="B280" s="95">
        <v>10250</v>
      </c>
      <c r="C280" s="96" t="s">
        <v>506</v>
      </c>
    </row>
    <row r="281" spans="1:3">
      <c r="A281" s="94" t="s">
        <v>131</v>
      </c>
      <c r="B281" s="95">
        <v>10250</v>
      </c>
      <c r="C281" s="96" t="s">
        <v>506</v>
      </c>
    </row>
    <row r="282" spans="1:3" ht="24">
      <c r="A282" s="87" t="s">
        <v>419</v>
      </c>
      <c r="B282" s="90">
        <v>10054.57</v>
      </c>
      <c r="C282" s="89" t="s">
        <v>501</v>
      </c>
    </row>
    <row r="283" spans="1:3" ht="24">
      <c r="A283" s="94" t="s">
        <v>151</v>
      </c>
      <c r="B283" s="95">
        <v>10000</v>
      </c>
      <c r="C283" s="96" t="s">
        <v>506</v>
      </c>
    </row>
    <row r="284" spans="1:3" ht="36">
      <c r="A284" s="94" t="s">
        <v>368</v>
      </c>
      <c r="B284" s="95">
        <v>10000</v>
      </c>
      <c r="C284" s="96" t="s">
        <v>506</v>
      </c>
    </row>
    <row r="285" spans="1:3" ht="24">
      <c r="A285" s="94" t="s">
        <v>369</v>
      </c>
      <c r="B285" s="95">
        <v>10000</v>
      </c>
      <c r="C285" s="96" t="s">
        <v>506</v>
      </c>
    </row>
    <row r="286" spans="1:3" ht="24">
      <c r="A286" s="87" t="s">
        <v>309</v>
      </c>
      <c r="B286" s="103">
        <v>9875</v>
      </c>
      <c r="C286" s="89" t="s">
        <v>501</v>
      </c>
    </row>
    <row r="287" spans="1:3" ht="36">
      <c r="A287" s="87" t="s">
        <v>330</v>
      </c>
      <c r="B287" s="103">
        <v>9708.2099999999991</v>
      </c>
      <c r="C287" s="89" t="s">
        <v>501</v>
      </c>
    </row>
    <row r="288" spans="1:3">
      <c r="A288" s="94" t="s">
        <v>117</v>
      </c>
      <c r="B288" s="98">
        <v>9250</v>
      </c>
      <c r="C288" s="96" t="s">
        <v>506</v>
      </c>
    </row>
    <row r="289" spans="1:3" ht="36">
      <c r="A289" s="87" t="s">
        <v>159</v>
      </c>
      <c r="B289" s="103">
        <v>9146.74</v>
      </c>
      <c r="C289" s="89" t="s">
        <v>501</v>
      </c>
    </row>
    <row r="290" spans="1:3">
      <c r="A290" s="94" t="s">
        <v>130</v>
      </c>
      <c r="B290" s="98">
        <v>9070</v>
      </c>
      <c r="C290" s="96" t="s">
        <v>506</v>
      </c>
    </row>
    <row r="291" spans="1:3" ht="24">
      <c r="A291" s="94" t="s">
        <v>64</v>
      </c>
      <c r="B291" s="98">
        <v>8750</v>
      </c>
      <c r="C291" s="96" t="s">
        <v>506</v>
      </c>
    </row>
    <row r="292" spans="1:3">
      <c r="A292" s="94" t="s">
        <v>100</v>
      </c>
      <c r="B292" s="98">
        <v>8500</v>
      </c>
      <c r="C292" s="96" t="s">
        <v>506</v>
      </c>
    </row>
    <row r="293" spans="1:3" ht="36">
      <c r="A293" s="82" t="s">
        <v>392</v>
      </c>
      <c r="B293" s="101">
        <v>8438.07</v>
      </c>
      <c r="C293" s="84" t="s">
        <v>505</v>
      </c>
    </row>
    <row r="294" spans="1:3">
      <c r="A294" s="66" t="s">
        <v>75</v>
      </c>
      <c r="B294" s="70">
        <v>8400</v>
      </c>
      <c r="C294" s="80" t="s">
        <v>500</v>
      </c>
    </row>
    <row r="295" spans="1:3">
      <c r="A295" s="87" t="s">
        <v>314</v>
      </c>
      <c r="B295" s="103">
        <v>8250</v>
      </c>
      <c r="C295" s="89" t="s">
        <v>501</v>
      </c>
    </row>
    <row r="296" spans="1:3" ht="36">
      <c r="A296" s="82" t="s">
        <v>395</v>
      </c>
      <c r="B296" s="101">
        <v>8239.16</v>
      </c>
      <c r="C296" s="84" t="s">
        <v>505</v>
      </c>
    </row>
    <row r="297" spans="1:3" ht="24">
      <c r="A297" s="63" t="s">
        <v>265</v>
      </c>
      <c r="B297" s="71">
        <v>8031.75</v>
      </c>
      <c r="C297" s="62" t="s">
        <v>499</v>
      </c>
    </row>
    <row r="298" spans="1:3" ht="36">
      <c r="A298" s="87" t="s">
        <v>285</v>
      </c>
      <c r="B298" s="103">
        <v>7942.52</v>
      </c>
      <c r="C298" s="89" t="s">
        <v>501</v>
      </c>
    </row>
    <row r="299" spans="1:3">
      <c r="A299" s="94" t="s">
        <v>347</v>
      </c>
      <c r="B299" s="98">
        <v>7920</v>
      </c>
      <c r="C299" s="96" t="s">
        <v>506</v>
      </c>
    </row>
    <row r="300" spans="1:3">
      <c r="A300" s="94" t="s">
        <v>109</v>
      </c>
      <c r="B300" s="98">
        <v>7750</v>
      </c>
      <c r="C300" s="96" t="s">
        <v>506</v>
      </c>
    </row>
    <row r="301" spans="1:3" ht="36">
      <c r="A301" s="87" t="s">
        <v>179</v>
      </c>
      <c r="B301" s="103">
        <v>7745.51</v>
      </c>
      <c r="C301" s="89" t="s">
        <v>501</v>
      </c>
    </row>
    <row r="302" spans="1:3" ht="24">
      <c r="A302" s="87" t="s">
        <v>216</v>
      </c>
      <c r="B302" s="103">
        <v>7510.01</v>
      </c>
      <c r="C302" s="89" t="s">
        <v>501</v>
      </c>
    </row>
    <row r="303" spans="1:3">
      <c r="A303" s="87" t="s">
        <v>97</v>
      </c>
      <c r="B303" s="103">
        <v>7500</v>
      </c>
      <c r="C303" s="89" t="s">
        <v>501</v>
      </c>
    </row>
    <row r="304" spans="1:3">
      <c r="A304" s="94" t="s">
        <v>111</v>
      </c>
      <c r="B304" s="98">
        <v>7500</v>
      </c>
      <c r="C304" s="96" t="s">
        <v>506</v>
      </c>
    </row>
    <row r="305" spans="1:3">
      <c r="A305" s="87" t="s">
        <v>358</v>
      </c>
      <c r="B305" s="103">
        <v>7500</v>
      </c>
      <c r="C305" s="89" t="s">
        <v>501</v>
      </c>
    </row>
    <row r="306" spans="1:3" ht="24">
      <c r="A306" s="87" t="s">
        <v>384</v>
      </c>
      <c r="B306" s="103">
        <v>7500</v>
      </c>
      <c r="C306" s="89" t="s">
        <v>501</v>
      </c>
    </row>
    <row r="307" spans="1:3" ht="48">
      <c r="A307" s="66" t="s">
        <v>139</v>
      </c>
      <c r="B307" s="70">
        <v>7497.66</v>
      </c>
      <c r="C307" s="80" t="s">
        <v>500</v>
      </c>
    </row>
    <row r="308" spans="1:3" ht="24">
      <c r="A308" s="87" t="s">
        <v>211</v>
      </c>
      <c r="B308" s="103">
        <v>7253.21</v>
      </c>
      <c r="C308" s="89" t="s">
        <v>501</v>
      </c>
    </row>
    <row r="309" spans="1:3" ht="24">
      <c r="A309" s="82" t="s">
        <v>364</v>
      </c>
      <c r="B309" s="101">
        <v>7200</v>
      </c>
      <c r="C309" s="84" t="s">
        <v>505</v>
      </c>
    </row>
    <row r="310" spans="1:3" ht="24">
      <c r="A310" s="87" t="s">
        <v>415</v>
      </c>
      <c r="B310" s="103">
        <v>6730.54</v>
      </c>
      <c r="C310" s="89" t="s">
        <v>501</v>
      </c>
    </row>
    <row r="311" spans="1:3">
      <c r="A311" s="94" t="s">
        <v>112</v>
      </c>
      <c r="B311" s="98">
        <v>6500</v>
      </c>
      <c r="C311" s="96" t="s">
        <v>506</v>
      </c>
    </row>
    <row r="312" spans="1:3">
      <c r="A312" s="94" t="s">
        <v>114</v>
      </c>
      <c r="B312" s="98">
        <v>6500</v>
      </c>
      <c r="C312" s="96" t="s">
        <v>506</v>
      </c>
    </row>
    <row r="313" spans="1:3">
      <c r="A313" s="94" t="s">
        <v>115</v>
      </c>
      <c r="B313" s="98">
        <v>6500</v>
      </c>
      <c r="C313" s="96" t="s">
        <v>506</v>
      </c>
    </row>
    <row r="314" spans="1:3" ht="48">
      <c r="A314" s="94" t="s">
        <v>149</v>
      </c>
      <c r="B314" s="98">
        <v>6500</v>
      </c>
      <c r="C314" s="96" t="s">
        <v>506</v>
      </c>
    </row>
    <row r="315" spans="1:3" ht="24">
      <c r="A315" s="94" t="s">
        <v>385</v>
      </c>
      <c r="B315" s="98">
        <v>6500</v>
      </c>
      <c r="C315" s="96" t="s">
        <v>506</v>
      </c>
    </row>
    <row r="316" spans="1:3" ht="24">
      <c r="A316" s="94" t="s">
        <v>121</v>
      </c>
      <c r="B316" s="98">
        <v>6300</v>
      </c>
      <c r="C316" s="96" t="s">
        <v>506</v>
      </c>
    </row>
    <row r="317" spans="1:3" ht="24">
      <c r="A317" s="87" t="s">
        <v>476</v>
      </c>
      <c r="B317" s="103">
        <v>6216.8</v>
      </c>
      <c r="C317" s="89" t="s">
        <v>501</v>
      </c>
    </row>
    <row r="318" spans="1:3" ht="36">
      <c r="A318" s="87" t="s">
        <v>244</v>
      </c>
      <c r="B318" s="103">
        <v>6075.37</v>
      </c>
      <c r="C318" s="89" t="s">
        <v>501</v>
      </c>
    </row>
    <row r="319" spans="1:3" ht="36">
      <c r="A319" s="63" t="s">
        <v>277</v>
      </c>
      <c r="B319" s="71">
        <v>5985</v>
      </c>
      <c r="C319" s="62" t="s">
        <v>499</v>
      </c>
    </row>
    <row r="320" spans="1:3" ht="24">
      <c r="A320" s="87" t="s">
        <v>448</v>
      </c>
      <c r="B320" s="103">
        <v>5908.8</v>
      </c>
      <c r="C320" s="89" t="s">
        <v>501</v>
      </c>
    </row>
    <row r="321" spans="1:3" ht="24">
      <c r="A321" s="87" t="s">
        <v>406</v>
      </c>
      <c r="B321" s="103">
        <v>5829.3</v>
      </c>
      <c r="C321" s="89" t="s">
        <v>501</v>
      </c>
    </row>
    <row r="322" spans="1:3" ht="24">
      <c r="A322" s="87" t="s">
        <v>312</v>
      </c>
      <c r="B322" s="103">
        <v>5600</v>
      </c>
      <c r="C322" s="89" t="s">
        <v>501</v>
      </c>
    </row>
    <row r="323" spans="1:3" ht="24">
      <c r="A323" s="87" t="s">
        <v>58</v>
      </c>
      <c r="B323" s="103">
        <v>5521.03</v>
      </c>
      <c r="C323" s="89" t="s">
        <v>501</v>
      </c>
    </row>
    <row r="324" spans="1:3">
      <c r="A324" s="66" t="s">
        <v>432</v>
      </c>
      <c r="B324" s="70">
        <v>5500</v>
      </c>
      <c r="C324" s="80" t="s">
        <v>500</v>
      </c>
    </row>
    <row r="325" spans="1:3" ht="36">
      <c r="A325" s="87" t="s">
        <v>400</v>
      </c>
      <c r="B325" s="103">
        <v>5387.52</v>
      </c>
      <c r="C325" s="89" t="s">
        <v>501</v>
      </c>
    </row>
    <row r="326" spans="1:3">
      <c r="A326" s="87" t="s">
        <v>418</v>
      </c>
      <c r="B326" s="103">
        <v>5313.85</v>
      </c>
      <c r="C326" s="89" t="s">
        <v>501</v>
      </c>
    </row>
    <row r="327" spans="1:3" ht="36">
      <c r="A327" s="63" t="s">
        <v>337</v>
      </c>
      <c r="B327" s="71">
        <v>5176.6000000000004</v>
      </c>
      <c r="C327" s="62" t="s">
        <v>499</v>
      </c>
    </row>
    <row r="328" spans="1:3">
      <c r="A328" s="94" t="s">
        <v>102</v>
      </c>
      <c r="B328" s="98">
        <v>5000</v>
      </c>
      <c r="C328" s="96" t="s">
        <v>506</v>
      </c>
    </row>
    <row r="329" spans="1:3">
      <c r="A329" s="94" t="s">
        <v>108</v>
      </c>
      <c r="B329" s="98">
        <v>5000</v>
      </c>
      <c r="C329" s="96" t="s">
        <v>506</v>
      </c>
    </row>
    <row r="330" spans="1:3" ht="24">
      <c r="A330" s="94" t="s">
        <v>134</v>
      </c>
      <c r="B330" s="98">
        <v>5000</v>
      </c>
      <c r="C330" s="96" t="s">
        <v>506</v>
      </c>
    </row>
    <row r="331" spans="1:3" ht="24">
      <c r="A331" s="94" t="s">
        <v>143</v>
      </c>
      <c r="B331" s="98">
        <v>5000</v>
      </c>
      <c r="C331" s="96" t="s">
        <v>506</v>
      </c>
    </row>
    <row r="332" spans="1:3" ht="24">
      <c r="A332" s="94" t="s">
        <v>144</v>
      </c>
      <c r="B332" s="98">
        <v>5000</v>
      </c>
      <c r="C332" s="96" t="s">
        <v>506</v>
      </c>
    </row>
    <row r="333" spans="1:3">
      <c r="A333" s="94" t="s">
        <v>145</v>
      </c>
      <c r="B333" s="98">
        <v>5000</v>
      </c>
      <c r="C333" s="96" t="s">
        <v>506</v>
      </c>
    </row>
    <row r="334" spans="1:3">
      <c r="A334" s="66" t="s">
        <v>361</v>
      </c>
      <c r="B334" s="70">
        <v>5000</v>
      </c>
      <c r="C334" s="80" t="s">
        <v>500</v>
      </c>
    </row>
    <row r="335" spans="1:3">
      <c r="A335" s="66" t="s">
        <v>439</v>
      </c>
      <c r="B335" s="70">
        <v>5000</v>
      </c>
      <c r="C335" s="80" t="s">
        <v>500</v>
      </c>
    </row>
    <row r="336" spans="1:3">
      <c r="A336" s="66" t="s">
        <v>440</v>
      </c>
      <c r="B336" s="70">
        <v>5000</v>
      </c>
      <c r="C336" s="80" t="s">
        <v>500</v>
      </c>
    </row>
    <row r="337" spans="1:3">
      <c r="A337" s="66" t="s">
        <v>442</v>
      </c>
      <c r="B337" s="70">
        <v>5000</v>
      </c>
      <c r="C337" s="80" t="s">
        <v>500</v>
      </c>
    </row>
    <row r="338" spans="1:3" ht="24">
      <c r="A338" s="87" t="s">
        <v>305</v>
      </c>
      <c r="B338" s="103">
        <v>4860.63</v>
      </c>
      <c r="C338" s="89" t="s">
        <v>501</v>
      </c>
    </row>
    <row r="339" spans="1:3" ht="24">
      <c r="A339" s="87" t="s">
        <v>445</v>
      </c>
      <c r="B339" s="103">
        <v>4849.25</v>
      </c>
      <c r="C339" s="89" t="s">
        <v>501</v>
      </c>
    </row>
    <row r="340" spans="1:3" ht="36">
      <c r="A340" s="63" t="s">
        <v>281</v>
      </c>
      <c r="B340" s="71">
        <v>4664.1000000000004</v>
      </c>
      <c r="C340" s="62" t="s">
        <v>499</v>
      </c>
    </row>
    <row r="341" spans="1:3" ht="48">
      <c r="A341" s="87" t="s">
        <v>199</v>
      </c>
      <c r="B341" s="103">
        <v>4643.0600000000004</v>
      </c>
      <c r="C341" s="89" t="s">
        <v>501</v>
      </c>
    </row>
    <row r="342" spans="1:3" ht="24">
      <c r="A342" s="87" t="s">
        <v>422</v>
      </c>
      <c r="B342" s="103">
        <v>4494.45</v>
      </c>
      <c r="C342" s="89" t="s">
        <v>501</v>
      </c>
    </row>
    <row r="343" spans="1:3" ht="24">
      <c r="A343" s="87" t="s">
        <v>202</v>
      </c>
      <c r="B343" s="103">
        <v>4267.9399999999996</v>
      </c>
      <c r="C343" s="89" t="s">
        <v>501</v>
      </c>
    </row>
    <row r="344" spans="1:3" ht="36">
      <c r="A344" s="66" t="s">
        <v>212</v>
      </c>
      <c r="B344" s="70">
        <v>4134.34</v>
      </c>
      <c r="C344" s="80" t="s">
        <v>500</v>
      </c>
    </row>
    <row r="345" spans="1:3">
      <c r="A345" s="87" t="s">
        <v>120</v>
      </c>
      <c r="B345" s="103">
        <v>4100</v>
      </c>
      <c r="C345" s="89" t="s">
        <v>501</v>
      </c>
    </row>
    <row r="346" spans="1:3" ht="24">
      <c r="A346" s="87" t="s">
        <v>480</v>
      </c>
      <c r="B346" s="103">
        <v>3924.04</v>
      </c>
      <c r="C346" s="89" t="s">
        <v>501</v>
      </c>
    </row>
    <row r="347" spans="1:3" ht="36">
      <c r="A347" s="87" t="s">
        <v>397</v>
      </c>
      <c r="B347" s="103">
        <v>3804.76</v>
      </c>
      <c r="C347" s="89" t="s">
        <v>501</v>
      </c>
    </row>
    <row r="348" spans="1:3">
      <c r="A348" s="94" t="s">
        <v>355</v>
      </c>
      <c r="B348" s="98">
        <v>3800</v>
      </c>
      <c r="C348" s="96" t="s">
        <v>506</v>
      </c>
    </row>
    <row r="349" spans="1:3" ht="36">
      <c r="A349" s="63" t="s">
        <v>183</v>
      </c>
      <c r="B349" s="71">
        <v>3757.82</v>
      </c>
      <c r="C349" s="62" t="s">
        <v>499</v>
      </c>
    </row>
    <row r="350" spans="1:3" ht="36">
      <c r="A350" s="87" t="s">
        <v>401</v>
      </c>
      <c r="B350" s="103">
        <v>3711.4</v>
      </c>
      <c r="C350" s="89" t="s">
        <v>501</v>
      </c>
    </row>
    <row r="351" spans="1:3" ht="24">
      <c r="A351" s="87" t="s">
        <v>411</v>
      </c>
      <c r="B351" s="103">
        <v>3659.6</v>
      </c>
      <c r="C351" s="89" t="s">
        <v>501</v>
      </c>
    </row>
    <row r="352" spans="1:3" ht="24">
      <c r="A352" s="87" t="s">
        <v>454</v>
      </c>
      <c r="B352" s="103">
        <v>3600.49</v>
      </c>
      <c r="C352" s="89" t="s">
        <v>501</v>
      </c>
    </row>
    <row r="353" spans="1:3">
      <c r="A353" s="94" t="s">
        <v>99</v>
      </c>
      <c r="B353" s="98">
        <v>3600</v>
      </c>
      <c r="C353" s="96" t="s">
        <v>506</v>
      </c>
    </row>
    <row r="354" spans="1:3" ht="24">
      <c r="A354" s="94" t="s">
        <v>107</v>
      </c>
      <c r="B354" s="98">
        <v>3500</v>
      </c>
      <c r="C354" s="96" t="s">
        <v>506</v>
      </c>
    </row>
    <row r="355" spans="1:3" ht="24">
      <c r="A355" s="87" t="s">
        <v>278</v>
      </c>
      <c r="B355" s="103">
        <v>3483.22</v>
      </c>
      <c r="C355" s="89" t="s">
        <v>501</v>
      </c>
    </row>
    <row r="356" spans="1:3" ht="24">
      <c r="A356" s="87" t="s">
        <v>402</v>
      </c>
      <c r="B356" s="103">
        <v>3307.95</v>
      </c>
      <c r="C356" s="89" t="s">
        <v>501</v>
      </c>
    </row>
    <row r="357" spans="1:3" ht="24">
      <c r="A357" s="87" t="s">
        <v>354</v>
      </c>
      <c r="B357" s="103">
        <v>3000</v>
      </c>
      <c r="C357" s="89" t="s">
        <v>501</v>
      </c>
    </row>
    <row r="358" spans="1:3">
      <c r="A358" s="94" t="s">
        <v>359</v>
      </c>
      <c r="B358" s="98">
        <v>3000</v>
      </c>
      <c r="C358" s="96" t="s">
        <v>506</v>
      </c>
    </row>
    <row r="359" spans="1:3" ht="36">
      <c r="A359" s="87" t="s">
        <v>142</v>
      </c>
      <c r="B359" s="103">
        <v>2949.31</v>
      </c>
      <c r="C359" s="89" t="s">
        <v>501</v>
      </c>
    </row>
    <row r="360" spans="1:3" ht="36">
      <c r="A360" s="87" t="s">
        <v>484</v>
      </c>
      <c r="B360" s="103">
        <v>2862.73</v>
      </c>
      <c r="C360" s="89" t="s">
        <v>501</v>
      </c>
    </row>
    <row r="361" spans="1:3" ht="24">
      <c r="A361" s="63" t="s">
        <v>223</v>
      </c>
      <c r="B361" s="71">
        <v>2825.28</v>
      </c>
      <c r="C361" s="62" t="s">
        <v>499</v>
      </c>
    </row>
    <row r="362" spans="1:3" ht="24">
      <c r="A362" s="66" t="s">
        <v>283</v>
      </c>
      <c r="B362" s="70">
        <v>2714.4</v>
      </c>
      <c r="C362" s="80" t="s">
        <v>500</v>
      </c>
    </row>
    <row r="363" spans="1:3" ht="36">
      <c r="A363" s="87" t="s">
        <v>258</v>
      </c>
      <c r="B363" s="103">
        <v>2614.0300000000002</v>
      </c>
      <c r="C363" s="89" t="s">
        <v>501</v>
      </c>
    </row>
    <row r="364" spans="1:3" ht="24">
      <c r="A364" s="87" t="s">
        <v>219</v>
      </c>
      <c r="B364" s="103">
        <v>2594.9299999999998</v>
      </c>
      <c r="C364" s="89" t="s">
        <v>501</v>
      </c>
    </row>
    <row r="365" spans="1:3" ht="36">
      <c r="A365" s="87" t="s">
        <v>158</v>
      </c>
      <c r="B365" s="103">
        <v>2508.41</v>
      </c>
      <c r="C365" s="89" t="s">
        <v>501</v>
      </c>
    </row>
    <row r="366" spans="1:3" ht="36">
      <c r="A366" s="94" t="s">
        <v>147</v>
      </c>
      <c r="B366" s="98">
        <v>2500</v>
      </c>
      <c r="C366" s="96" t="s">
        <v>506</v>
      </c>
    </row>
    <row r="367" spans="1:3" ht="36">
      <c r="A367" s="94" t="s">
        <v>148</v>
      </c>
      <c r="B367" s="98">
        <v>2500</v>
      </c>
      <c r="C367" s="96" t="s">
        <v>506</v>
      </c>
    </row>
    <row r="368" spans="1:3">
      <c r="A368" s="87" t="s">
        <v>250</v>
      </c>
      <c r="B368" s="103">
        <v>2463.7800000000002</v>
      </c>
      <c r="C368" s="89" t="s">
        <v>501</v>
      </c>
    </row>
    <row r="369" spans="1:3" ht="24">
      <c r="A369" s="87" t="s">
        <v>410</v>
      </c>
      <c r="B369" s="103">
        <v>2396.15</v>
      </c>
      <c r="C369" s="89" t="s">
        <v>501</v>
      </c>
    </row>
    <row r="370" spans="1:3" ht="24">
      <c r="A370" s="87" t="s">
        <v>74</v>
      </c>
      <c r="B370" s="103">
        <v>2364.77</v>
      </c>
      <c r="C370" s="89" t="s">
        <v>501</v>
      </c>
    </row>
    <row r="371" spans="1:3" ht="36">
      <c r="A371" s="87" t="s">
        <v>461</v>
      </c>
      <c r="B371" s="103">
        <v>2236.0300000000002</v>
      </c>
      <c r="C371" s="89" t="s">
        <v>501</v>
      </c>
    </row>
    <row r="372" spans="1:3">
      <c r="A372" s="87" t="s">
        <v>59</v>
      </c>
      <c r="B372" s="103">
        <v>2120</v>
      </c>
      <c r="C372" s="89" t="s">
        <v>501</v>
      </c>
    </row>
    <row r="373" spans="1:3" ht="36">
      <c r="A373" s="63" t="s">
        <v>279</v>
      </c>
      <c r="B373" s="71">
        <v>2055.75</v>
      </c>
      <c r="C373" s="62" t="s">
        <v>499</v>
      </c>
    </row>
    <row r="374" spans="1:3" ht="24">
      <c r="A374" s="87" t="s">
        <v>191</v>
      </c>
      <c r="B374" s="103">
        <v>2026.33</v>
      </c>
      <c r="C374" s="89" t="s">
        <v>501</v>
      </c>
    </row>
    <row r="375" spans="1:3">
      <c r="A375" s="94" t="s">
        <v>126</v>
      </c>
      <c r="B375" s="98">
        <v>2000</v>
      </c>
      <c r="C375" s="96" t="s">
        <v>506</v>
      </c>
    </row>
    <row r="376" spans="1:3" ht="24">
      <c r="A376" s="87" t="s">
        <v>291</v>
      </c>
      <c r="B376" s="103">
        <v>1946.02</v>
      </c>
      <c r="C376" s="89" t="s">
        <v>501</v>
      </c>
    </row>
    <row r="377" spans="1:3" ht="24">
      <c r="A377" s="94" t="s">
        <v>382</v>
      </c>
      <c r="B377" s="98">
        <v>1914.46</v>
      </c>
      <c r="C377" s="96" t="s">
        <v>506</v>
      </c>
    </row>
    <row r="378" spans="1:3">
      <c r="A378" s="87" t="s">
        <v>169</v>
      </c>
      <c r="B378" s="103">
        <v>1908.89</v>
      </c>
      <c r="C378" s="89" t="s">
        <v>501</v>
      </c>
    </row>
    <row r="379" spans="1:3" ht="36">
      <c r="A379" s="87" t="s">
        <v>87</v>
      </c>
      <c r="B379" s="103">
        <v>1900</v>
      </c>
      <c r="C379" s="89" t="s">
        <v>501</v>
      </c>
    </row>
    <row r="380" spans="1:3" ht="24">
      <c r="A380" s="66" t="s">
        <v>470</v>
      </c>
      <c r="B380" s="70">
        <v>1827</v>
      </c>
      <c r="C380" s="80" t="s">
        <v>500</v>
      </c>
    </row>
    <row r="381" spans="1:3" ht="24">
      <c r="A381" s="66" t="s">
        <v>490</v>
      </c>
      <c r="B381" s="70">
        <v>1827</v>
      </c>
      <c r="C381" s="80" t="s">
        <v>500</v>
      </c>
    </row>
    <row r="382" spans="1:3" ht="24">
      <c r="A382" s="87" t="s">
        <v>84</v>
      </c>
      <c r="B382" s="103">
        <v>1797.22</v>
      </c>
      <c r="C382" s="89" t="s">
        <v>501</v>
      </c>
    </row>
    <row r="383" spans="1:3" ht="36">
      <c r="A383" s="87" t="s">
        <v>198</v>
      </c>
      <c r="B383" s="103">
        <v>1776.41</v>
      </c>
      <c r="C383" s="89" t="s">
        <v>501</v>
      </c>
    </row>
    <row r="384" spans="1:3" ht="36">
      <c r="A384" s="63" t="s">
        <v>217</v>
      </c>
      <c r="B384" s="71">
        <v>1569.56</v>
      </c>
      <c r="C384" s="62" t="s">
        <v>499</v>
      </c>
    </row>
    <row r="385" spans="1:3" ht="24">
      <c r="A385" s="87" t="s">
        <v>474</v>
      </c>
      <c r="B385" s="103">
        <v>1554.11</v>
      </c>
      <c r="C385" s="89" t="s">
        <v>501</v>
      </c>
    </row>
    <row r="386" spans="1:3">
      <c r="A386" s="94" t="s">
        <v>356</v>
      </c>
      <c r="B386" s="98">
        <v>1500</v>
      </c>
      <c r="C386" s="96" t="s">
        <v>506</v>
      </c>
    </row>
    <row r="387" spans="1:3" ht="24">
      <c r="A387" s="87" t="s">
        <v>61</v>
      </c>
      <c r="B387" s="103">
        <v>1326.72</v>
      </c>
      <c r="C387" s="89" t="s">
        <v>501</v>
      </c>
    </row>
    <row r="388" spans="1:3" ht="24">
      <c r="A388" s="87" t="s">
        <v>403</v>
      </c>
      <c r="B388" s="103">
        <v>1275.3399999999999</v>
      </c>
      <c r="C388" s="89" t="s">
        <v>501</v>
      </c>
    </row>
    <row r="389" spans="1:3" ht="24">
      <c r="A389" s="94" t="s">
        <v>348</v>
      </c>
      <c r="B389" s="98">
        <v>1260</v>
      </c>
      <c r="C389" s="96" t="s">
        <v>506</v>
      </c>
    </row>
    <row r="390" spans="1:3">
      <c r="A390" s="94" t="s">
        <v>98</v>
      </c>
      <c r="B390" s="98">
        <v>1200</v>
      </c>
      <c r="C390" s="96" t="s">
        <v>506</v>
      </c>
    </row>
    <row r="391" spans="1:3" ht="36">
      <c r="A391" s="87" t="s">
        <v>57</v>
      </c>
      <c r="B391" s="103">
        <v>1042.48</v>
      </c>
      <c r="C391" s="89" t="s">
        <v>501</v>
      </c>
    </row>
    <row r="392" spans="1:3">
      <c r="A392" s="94" t="s">
        <v>378</v>
      </c>
      <c r="B392" s="98">
        <v>1000</v>
      </c>
      <c r="C392" s="96" t="s">
        <v>506</v>
      </c>
    </row>
    <row r="393" spans="1:3" ht="36">
      <c r="A393" s="87" t="s">
        <v>168</v>
      </c>
      <c r="B393" s="104">
        <v>944.35</v>
      </c>
      <c r="C393" s="89" t="s">
        <v>501</v>
      </c>
    </row>
    <row r="394" spans="1:3" ht="24">
      <c r="A394" s="66" t="s">
        <v>434</v>
      </c>
      <c r="B394" s="81">
        <v>907.2</v>
      </c>
      <c r="C394" s="80" t="s">
        <v>500</v>
      </c>
    </row>
    <row r="395" spans="1:3" ht="36">
      <c r="A395" s="82" t="s">
        <v>393</v>
      </c>
      <c r="B395" s="102">
        <v>897.11</v>
      </c>
      <c r="C395" s="84" t="s">
        <v>505</v>
      </c>
    </row>
    <row r="396" spans="1:3" ht="36">
      <c r="A396" s="82" t="s">
        <v>396</v>
      </c>
      <c r="B396" s="102">
        <v>893.17</v>
      </c>
      <c r="C396" s="84" t="s">
        <v>505</v>
      </c>
    </row>
    <row r="397" spans="1:3" ht="36">
      <c r="A397" s="87" t="s">
        <v>455</v>
      </c>
      <c r="B397" s="104">
        <v>885.93</v>
      </c>
      <c r="C397" s="89" t="s">
        <v>501</v>
      </c>
    </row>
    <row r="398" spans="1:3" ht="24">
      <c r="A398" s="87" t="s">
        <v>408</v>
      </c>
      <c r="B398" s="104">
        <v>873.33</v>
      </c>
      <c r="C398" s="89" t="s">
        <v>501</v>
      </c>
    </row>
    <row r="399" spans="1:3" ht="36">
      <c r="A399" s="87" t="s">
        <v>197</v>
      </c>
      <c r="B399" s="104">
        <v>871.61</v>
      </c>
      <c r="C399" s="89" t="s">
        <v>501</v>
      </c>
    </row>
    <row r="400" spans="1:3" ht="36">
      <c r="A400" s="87" t="s">
        <v>303</v>
      </c>
      <c r="B400" s="104">
        <v>728.43</v>
      </c>
      <c r="C400" s="89" t="s">
        <v>501</v>
      </c>
    </row>
    <row r="401" spans="1:3" ht="24">
      <c r="A401" s="87" t="s">
        <v>141</v>
      </c>
      <c r="B401" s="104">
        <v>670.87</v>
      </c>
      <c r="C401" s="89" t="s">
        <v>501</v>
      </c>
    </row>
    <row r="402" spans="1:3" ht="36">
      <c r="A402" s="87" t="s">
        <v>251</v>
      </c>
      <c r="B402" s="104">
        <v>668.42</v>
      </c>
      <c r="C402" s="89" t="s">
        <v>501</v>
      </c>
    </row>
    <row r="403" spans="1:3" ht="24">
      <c r="A403" s="87" t="s">
        <v>381</v>
      </c>
      <c r="B403" s="104">
        <v>612.67999999999995</v>
      </c>
      <c r="C403" s="89" t="s">
        <v>501</v>
      </c>
    </row>
    <row r="404" spans="1:3" ht="24">
      <c r="A404" s="87" t="s">
        <v>459</v>
      </c>
      <c r="B404" s="104">
        <v>607.58000000000004</v>
      </c>
      <c r="C404" s="89" t="s">
        <v>501</v>
      </c>
    </row>
    <row r="405" spans="1:3" ht="24">
      <c r="A405" s="87" t="s">
        <v>483</v>
      </c>
      <c r="B405" s="104">
        <v>555.67999999999995</v>
      </c>
      <c r="C405" s="89" t="s">
        <v>501</v>
      </c>
    </row>
    <row r="406" spans="1:3" ht="24">
      <c r="A406" s="63" t="s">
        <v>261</v>
      </c>
      <c r="B406" s="72">
        <v>393.68</v>
      </c>
      <c r="C406" s="62" t="s">
        <v>499</v>
      </c>
    </row>
    <row r="407" spans="1:3" ht="36">
      <c r="A407" s="87" t="s">
        <v>56</v>
      </c>
      <c r="B407" s="104">
        <v>384.88</v>
      </c>
      <c r="C407" s="89" t="s">
        <v>501</v>
      </c>
    </row>
    <row r="408" spans="1:3" ht="24">
      <c r="A408" s="87" t="s">
        <v>407</v>
      </c>
      <c r="B408" s="104">
        <v>323.05</v>
      </c>
      <c r="C408" s="89" t="s">
        <v>501</v>
      </c>
    </row>
    <row r="409" spans="1:3" ht="36">
      <c r="A409" s="87" t="s">
        <v>221</v>
      </c>
      <c r="B409" s="104">
        <v>296.2</v>
      </c>
      <c r="C409" s="89" t="s">
        <v>501</v>
      </c>
    </row>
    <row r="410" spans="1:3" ht="24">
      <c r="A410" s="87" t="s">
        <v>413</v>
      </c>
      <c r="B410" s="104">
        <v>224.71</v>
      </c>
      <c r="C410" s="89" t="s">
        <v>501</v>
      </c>
    </row>
    <row r="411" spans="1:3" ht="36">
      <c r="A411" s="63" t="s">
        <v>215</v>
      </c>
      <c r="B411" s="72">
        <v>179.14</v>
      </c>
      <c r="C411" s="62" t="s">
        <v>499</v>
      </c>
    </row>
    <row r="412" spans="1:3" ht="24">
      <c r="A412" s="87" t="s">
        <v>486</v>
      </c>
      <c r="B412" s="104">
        <v>140.35</v>
      </c>
      <c r="C412" s="89" t="s">
        <v>501</v>
      </c>
    </row>
    <row r="413" spans="1:3" ht="24">
      <c r="A413" s="87" t="s">
        <v>310</v>
      </c>
      <c r="B413" s="104">
        <v>135</v>
      </c>
      <c r="C413" s="89" t="s">
        <v>501</v>
      </c>
    </row>
    <row r="414" spans="1:3" ht="36">
      <c r="A414" s="87" t="s">
        <v>210</v>
      </c>
      <c r="B414" s="105">
        <v>64.81</v>
      </c>
      <c r="C414" s="89" t="s">
        <v>501</v>
      </c>
    </row>
    <row r="415" spans="1:3" ht="24">
      <c r="A415" s="87" t="s">
        <v>462</v>
      </c>
      <c r="B415" s="105">
        <v>46.58</v>
      </c>
      <c r="C415" s="89" t="s">
        <v>501</v>
      </c>
    </row>
    <row r="416" spans="1:3" ht="24">
      <c r="A416" s="87" t="s">
        <v>416</v>
      </c>
      <c r="B416" s="105">
        <v>40.82</v>
      </c>
      <c r="C416" s="89" t="s">
        <v>501</v>
      </c>
    </row>
    <row r="417" spans="1:3" ht="24">
      <c r="A417" s="94" t="s">
        <v>150</v>
      </c>
      <c r="B417" s="107">
        <v>12.85</v>
      </c>
      <c r="C417" s="96" t="s">
        <v>506</v>
      </c>
    </row>
    <row r="418" spans="1:3" ht="48">
      <c r="A418" s="87" t="s">
        <v>209</v>
      </c>
      <c r="B418" s="106">
        <v>9.74</v>
      </c>
      <c r="C418" s="89" t="s">
        <v>501</v>
      </c>
    </row>
  </sheetData>
  <autoFilter ref="A1:C418">
    <sortState ref="A2:C411">
      <sortCondition ref="C1:C418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Gerenciamento executivo </vt:lpstr>
      <vt:lpstr>Executivo</vt:lpstr>
      <vt:lpstr>Curva ABC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User</cp:lastModifiedBy>
  <dcterms:created xsi:type="dcterms:W3CDTF">2021-06-30T18:49:34Z</dcterms:created>
  <dcterms:modified xsi:type="dcterms:W3CDTF">2021-09-23T13:10:04Z</dcterms:modified>
</cp:coreProperties>
</file>