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ALL Empreiteira\Acácias JK - 2023.12\04. Custo\03.5 Custo - Determinação do orçamento\R04\"/>
    </mc:Choice>
  </mc:AlternateContent>
  <xr:revisionPtr revIDLastSave="0" documentId="13_ncr:1_{7B6433EE-1F42-4AB4-B7F4-22E5DB862192}" xr6:coauthVersionLast="47" xr6:coauthVersionMax="47" xr10:uidLastSave="{00000000-0000-0000-0000-000000000000}"/>
  <bookViews>
    <workbookView xWindow="20370" yWindow="765" windowWidth="24240" windowHeight="13020" activeTab="1" xr2:uid="{00000000-000D-0000-FFFF-FFFF00000000}"/>
  </bookViews>
  <sheets>
    <sheet name="ORÇAMENTO_EXECUTIVO" sheetId="2" r:id="rId1"/>
    <sheet name="ANÁLISE_CUSTOS" sheetId="1" r:id="rId2"/>
    <sheet name="CÁLCULO_MÉDIAS" sheetId="5" r:id="rId3"/>
  </sheets>
  <externalReferences>
    <externalReference r:id="rId4"/>
  </externalReferences>
  <calcPr calcId="191029" calcMode="manual" iterate="1" iterateCount="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15" i="2" l="1"/>
  <c r="B12" i="2"/>
  <c r="B11" i="2"/>
  <c r="B6" i="2"/>
  <c r="B10" i="2"/>
  <c r="B9" i="2"/>
  <c r="B5" i="2"/>
  <c r="B13" i="2"/>
  <c r="B2" i="2"/>
  <c r="B16" i="2"/>
  <c r="B17" i="2"/>
  <c r="B14" i="2"/>
  <c r="B8" i="2"/>
  <c r="B4" i="2"/>
  <c r="B11" i="1" l="1"/>
  <c r="B13" i="1"/>
  <c r="C11" i="1" l="1"/>
  <c r="C13" i="1"/>
  <c r="D6" i="2"/>
  <c r="D5" i="2"/>
  <c r="D3" i="2"/>
  <c r="D2" i="2" l="1"/>
  <c r="D18" i="1"/>
  <c r="D3" i="1" l="1"/>
  <c r="I3" i="1"/>
  <c r="F5" i="2" l="1"/>
  <c r="D8" i="5" l="1"/>
  <c r="G1" i="1" l="1"/>
  <c r="J8" i="5" l="1"/>
  <c r="I24" i="5"/>
  <c r="C24" i="5"/>
  <c r="I1" i="1" l="1"/>
  <c r="I2" i="1"/>
  <c r="J2" i="1"/>
  <c r="A3" i="1" l="1"/>
  <c r="J3" i="1" l="1"/>
  <c r="D9" i="5" l="1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J18" i="1" l="1"/>
  <c r="D24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8" i="5"/>
  <c r="E24" i="5"/>
  <c r="G24" i="5"/>
  <c r="J9" i="1" l="1"/>
  <c r="I12" i="1"/>
  <c r="D12" i="1"/>
  <c r="I13" i="1"/>
  <c r="D13" i="1"/>
  <c r="J6" i="1"/>
  <c r="I7" i="1"/>
  <c r="J11" i="1"/>
  <c r="J14" i="1"/>
  <c r="J13" i="1"/>
  <c r="J5" i="1"/>
  <c r="J10" i="1"/>
  <c r="J17" i="1"/>
  <c r="J8" i="1"/>
  <c r="J15" i="1"/>
  <c r="J7" i="1"/>
  <c r="J24" i="5"/>
  <c r="I8" i="1"/>
  <c r="I9" i="1"/>
  <c r="D9" i="1"/>
  <c r="J16" i="1"/>
  <c r="J12" i="1"/>
  <c r="I11" i="1"/>
  <c r="F24" i="5"/>
  <c r="H24" i="5"/>
  <c r="A5" i="1"/>
  <c r="A6" i="1"/>
  <c r="A7" i="1"/>
  <c r="A8" i="1"/>
  <c r="A9" i="1"/>
  <c r="A10" i="1"/>
  <c r="A12" i="1"/>
  <c r="A14" i="1"/>
  <c r="A15" i="1"/>
  <c r="A16" i="1"/>
  <c r="A17" i="1"/>
  <c r="A18" i="1"/>
  <c r="A4" i="1"/>
  <c r="D8" i="1" l="1"/>
  <c r="D7" i="1"/>
  <c r="I14" i="1"/>
  <c r="D14" i="1"/>
  <c r="I18" i="1"/>
  <c r="I6" i="1"/>
  <c r="D6" i="1"/>
  <c r="M24" i="5"/>
  <c r="J19" i="1" s="1"/>
  <c r="J4" i="1"/>
  <c r="I10" i="1"/>
  <c r="D10" i="1"/>
  <c r="D11" i="1"/>
  <c r="I17" i="1"/>
  <c r="D17" i="1"/>
  <c r="I4" i="1"/>
  <c r="D4" i="1"/>
  <c r="L24" i="5"/>
  <c r="I15" i="1"/>
  <c r="D15" i="1"/>
  <c r="I5" i="1"/>
  <c r="D5" i="1"/>
  <c r="I16" i="1"/>
  <c r="D16" i="1"/>
  <c r="B25" i="1"/>
  <c r="I19" i="1" l="1"/>
  <c r="D19" i="1"/>
  <c r="B4" i="1" l="1"/>
  <c r="C27" i="2"/>
  <c r="B5" i="1"/>
  <c r="D4" i="2"/>
  <c r="C28" i="2"/>
  <c r="C5" i="1" l="1"/>
  <c r="F5" i="1" s="1"/>
  <c r="E5" i="1" s="1" a="1"/>
  <c r="E5" i="1" s="1"/>
  <c r="G5" i="1" s="1" a="1"/>
  <c r="G5" i="1" s="1"/>
  <c r="C4" i="1"/>
  <c r="F4" i="1" s="1"/>
  <c r="E4" i="1" s="1" a="1"/>
  <c r="E4" i="1" s="1"/>
  <c r="G4" i="1" s="1" a="1"/>
  <c r="G4" i="1" s="1"/>
  <c r="G28" i="2"/>
  <c r="D28" i="2"/>
  <c r="E28" i="2" s="1"/>
  <c r="G27" i="2"/>
  <c r="D27" i="2"/>
  <c r="E27" i="2" s="1"/>
  <c r="C32" i="2" l="1"/>
  <c r="B9" i="1"/>
  <c r="D8" i="2"/>
  <c r="C9" i="1" s="1"/>
  <c r="F9" i="1" s="1"/>
  <c r="E9" i="1" s="1" a="1"/>
  <c r="E9" i="1" s="1"/>
  <c r="G9" i="1" s="1" a="1"/>
  <c r="G9" i="1" s="1"/>
  <c r="D11" i="2"/>
  <c r="B12" i="1"/>
  <c r="C35" i="2"/>
  <c r="D13" i="2"/>
  <c r="B14" i="1"/>
  <c r="C37" i="2"/>
  <c r="C41" i="2"/>
  <c r="D17" i="2"/>
  <c r="C36" i="2"/>
  <c r="D12" i="2"/>
  <c r="C39" i="2"/>
  <c r="D15" i="2"/>
  <c r="B16" i="1"/>
  <c r="C34" i="2"/>
  <c r="D10" i="2"/>
  <c r="C6" i="1"/>
  <c r="F6" i="1" s="1"/>
  <c r="E6" i="1" s="1" a="1"/>
  <c r="E6" i="1" s="1"/>
  <c r="G6" i="1" s="1" a="1"/>
  <c r="G6" i="1" s="1"/>
  <c r="C29" i="2"/>
  <c r="B6" i="1"/>
  <c r="B7" i="1"/>
  <c r="C30" i="2"/>
  <c r="B17" i="1"/>
  <c r="D16" i="2"/>
  <c r="C40" i="2"/>
  <c r="C33" i="2"/>
  <c r="B10" i="1"/>
  <c r="D9" i="2"/>
  <c r="B15" i="1"/>
  <c r="C38" i="2"/>
  <c r="D14" i="2"/>
  <c r="C7" i="1" l="1"/>
  <c r="F7" i="1" s="1"/>
  <c r="E7" i="1" s="1" a="1"/>
  <c r="E7" i="1" s="1"/>
  <c r="G7" i="1" s="1" a="1"/>
  <c r="G7" i="1" s="1"/>
  <c r="C16" i="1"/>
  <c r="F16" i="1" s="1"/>
  <c r="E16" i="1" s="1" a="1"/>
  <c r="E16" i="1" s="1"/>
  <c r="G16" i="1" s="1" a="1"/>
  <c r="G16" i="1" s="1"/>
  <c r="C14" i="1"/>
  <c r="F14" i="1" s="1"/>
  <c r="E14" i="1" s="1" a="1"/>
  <c r="E14" i="1" s="1"/>
  <c r="G14" i="1" s="1" a="1"/>
  <c r="G14" i="1" s="1"/>
  <c r="C10" i="1"/>
  <c r="F10" i="1" s="1"/>
  <c r="E10" i="1" s="1" a="1"/>
  <c r="E10" i="1" s="1"/>
  <c r="G10" i="1" s="1" a="1"/>
  <c r="G10" i="1" s="1"/>
  <c r="H1" i="1" s="1"/>
  <c r="C15" i="1"/>
  <c r="F15" i="1" s="1"/>
  <c r="E15" i="1" s="1" a="1"/>
  <c r="E15" i="1" s="1"/>
  <c r="G15" i="1" s="1" a="1"/>
  <c r="G15" i="1" s="1"/>
  <c r="C17" i="1"/>
  <c r="F17" i="1" s="1"/>
  <c r="E17" i="1" s="1" a="1"/>
  <c r="E17" i="1" s="1"/>
  <c r="G17" i="1" s="1" a="1"/>
  <c r="G17" i="1" s="1"/>
  <c r="C12" i="1"/>
  <c r="F12" i="1" s="1"/>
  <c r="E12" i="1" s="1" a="1"/>
  <c r="E12" i="1" s="1"/>
  <c r="G12" i="1" s="1" a="1"/>
  <c r="G12" i="1" s="1"/>
  <c r="D40" i="2"/>
  <c r="E40" i="2" s="1"/>
  <c r="G40" i="2"/>
  <c r="G35" i="2"/>
  <c r="D35" i="2"/>
  <c r="E35" i="2" s="1"/>
  <c r="G29" i="2"/>
  <c r="D29" i="2"/>
  <c r="E29" i="2" s="1"/>
  <c r="G41" i="2"/>
  <c r="D41" i="2"/>
  <c r="E41" i="2" s="1"/>
  <c r="C3" i="1"/>
  <c r="C26" i="2"/>
  <c r="B3" i="1"/>
  <c r="G39" i="2"/>
  <c r="D39" i="2"/>
  <c r="E39" i="2" s="1"/>
  <c r="G30" i="2"/>
  <c r="D30" i="2"/>
  <c r="E30" i="2" s="1"/>
  <c r="G37" i="2"/>
  <c r="D37" i="2"/>
  <c r="E37" i="2" s="1"/>
  <c r="G38" i="2"/>
  <c r="D38" i="2"/>
  <c r="E38" i="2" s="1"/>
  <c r="D33" i="2"/>
  <c r="E33" i="2" s="1"/>
  <c r="G33" i="2"/>
  <c r="D34" i="2"/>
  <c r="E34" i="2" s="1"/>
  <c r="G34" i="2"/>
  <c r="D36" i="2"/>
  <c r="E36" i="2" s="1"/>
  <c r="G36" i="2"/>
  <c r="D32" i="2"/>
  <c r="E32" i="2" s="1"/>
  <c r="G32" i="2"/>
  <c r="F3" i="1" l="1"/>
  <c r="E3" i="1" s="1" a="1"/>
  <c r="E3" i="1" s="1"/>
  <c r="G3" i="1" s="1" a="1"/>
  <c r="G3" i="1" s="1"/>
  <c r="D26" i="2"/>
  <c r="E26" i="2" s="1"/>
  <c r="G26" i="2"/>
  <c r="F11" i="1" l="1"/>
  <c r="E11" i="1" s="1" a="1"/>
  <c r="E11" i="1" s="1"/>
  <c r="G11" i="1" s="1" a="1"/>
  <c r="G11" i="1" s="1"/>
  <c r="F13" i="1"/>
  <c r="E13" i="1" s="1" a="1"/>
  <c r="E13" i="1" s="1"/>
  <c r="G13" i="1" s="1" a="1"/>
  <c r="G13" i="1" s="1"/>
  <c r="B7" i="2" l="1"/>
  <c r="D7" i="2" s="1"/>
  <c r="C7" i="2"/>
  <c r="C14" i="2"/>
  <c r="B18" i="2"/>
  <c r="C18" i="2" s="1"/>
  <c r="B19" i="2"/>
  <c r="C15" i="2" s="1"/>
  <c r="C31" i="2"/>
  <c r="D31" i="2" s="1"/>
  <c r="E31" i="2" s="1"/>
  <c r="C42" i="2"/>
  <c r="D42" i="2"/>
  <c r="E42" i="2" s="1"/>
  <c r="C8" i="1" l="1"/>
  <c r="C13" i="2"/>
  <c r="B8" i="1"/>
  <c r="B19" i="1" s="1"/>
  <c r="D18" i="2"/>
  <c r="C18" i="1" s="1"/>
  <c r="F18" i="1" s="1"/>
  <c r="E18" i="1" s="1" a="1"/>
  <c r="E18" i="1" s="1"/>
  <c r="G18" i="1" s="1" a="1"/>
  <c r="G18" i="1" s="1"/>
  <c r="B18" i="1"/>
  <c r="C11" i="2"/>
  <c r="C5" i="2"/>
  <c r="C10" i="2"/>
  <c r="C4" i="2"/>
  <c r="C6" i="2"/>
  <c r="G42" i="2"/>
  <c r="C17" i="2"/>
  <c r="C9" i="2"/>
  <c r="C3" i="2"/>
  <c r="C16" i="2"/>
  <c r="C8" i="2"/>
  <c r="C2" i="2"/>
  <c r="C12" i="2"/>
  <c r="C43" i="2"/>
  <c r="F31" i="2" s="1"/>
  <c r="G31" i="2"/>
  <c r="G43" i="2" s="1"/>
  <c r="G44" i="2" s="1"/>
  <c r="F36" i="2" l="1"/>
  <c r="F29" i="2"/>
  <c r="F41" i="2"/>
  <c r="F34" i="2"/>
  <c r="F37" i="2"/>
  <c r="F26" i="2"/>
  <c r="F38" i="2"/>
  <c r="F39" i="2"/>
  <c r="F33" i="2"/>
  <c r="F27" i="2"/>
  <c r="F28" i="2"/>
  <c r="F32" i="2"/>
  <c r="F40" i="2"/>
  <c r="D43" i="2"/>
  <c r="E43" i="2" s="1"/>
  <c r="F30" i="2"/>
  <c r="F35" i="2"/>
  <c r="C22" i="1"/>
  <c r="C21" i="1"/>
  <c r="C20" i="1"/>
  <c r="C19" i="2"/>
  <c r="D19" i="2"/>
  <c r="D20" i="2" s="1"/>
  <c r="F42" i="2"/>
  <c r="F8" i="1"/>
  <c r="E8" i="1" s="1" a="1"/>
  <c r="E8" i="1" s="1"/>
  <c r="G8" i="1" s="1" a="1"/>
  <c r="G8" i="1" s="1"/>
  <c r="C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<sst xmlns="http://schemas.openxmlformats.org/spreadsheetml/2006/main" count="137" uniqueCount="69">
  <si>
    <t>ETAPA</t>
  </si>
  <si>
    <t>OBRA SIMILAR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</si>
  <si>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</si>
  <si>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</si>
  <si>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</si>
  <si>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</si>
  <si>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</si>
  <si>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</si>
  <si>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</si>
  <si>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</si>
  <si>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</si>
  <si>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</si>
  <si>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</si>
  <si>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</si>
  <si>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</si>
  <si>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</si>
  <si>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</si>
  <si>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</si>
  <si>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</si>
  <si>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</si>
  <si>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</si>
  <si>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</si>
  <si>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</si>
  <si>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</si>
  <si>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</si>
  <si>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</si>
  <si>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</si>
  <si>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</si>
  <si>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</si>
  <si>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</si>
  <si>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</si>
  <si>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</si>
  <si>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</si>
  <si>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</si>
  <si>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</si>
  <si>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</si>
  <si>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</si>
  <si>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</si>
  <si>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IMPREVISTOS E CONTINGENCIAS</t>
  </si>
  <si>
    <t>COBERTURA</t>
  </si>
  <si>
    <t>EQUIPAMENTOS E SISTEMAS ESPECIAIS</t>
  </si>
  <si>
    <t>GERENCIAMENTO TECNICO E ADMINISTRATIVO</t>
  </si>
  <si>
    <t>DATA BASE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</si>
  <si>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</si>
  <si>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</si>
  <si>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</si>
  <si>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</si>
  <si>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</si>
  <si>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</si>
  <si>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</si>
  <si>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</si>
  <si>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OBRA</t>
  </si>
  <si>
    <t>CUB/SC</t>
  </si>
  <si>
    <t>NM - SUIÇA HOME</t>
  </si>
  <si>
    <t>EZE - CANTO GRANDE</t>
  </si>
  <si>
    <t>SAK-AUS</t>
  </si>
  <si>
    <t>Estudos e Projetos está em uma média de 2% do Custo no Caso de Incorporação somente ele está com 3,43% Elevando a Média/m² -  Referência de incorporação de obras similares está em torno de 0,14% Custo da obra.</t>
  </si>
  <si>
    <t>Obras referência tem em média 2 Elevadores no empreendimento, Na obra do Acácias tem 1 Elevador</t>
  </si>
  <si>
    <t>Incorporação</t>
  </si>
  <si>
    <t>Indorporação (sem fica 525/m²)</t>
  </si>
  <si>
    <t>Marine</t>
  </si>
  <si>
    <t>ok</t>
  </si>
  <si>
    <t>REVESTIMENTOS INTERNOS EM PAREDE</t>
  </si>
  <si>
    <t>PISOS E PAVIMENTAÇÕES</t>
  </si>
  <si>
    <t>VALOR ORÇADO
R00</t>
  </si>
  <si>
    <t>VALOR ORÇADO
R01</t>
  </si>
  <si>
    <t>Diferença R$</t>
  </si>
  <si>
    <t>Diferença %</t>
  </si>
  <si>
    <t>% Orçado 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</si>
</sst>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color rgb="FF0070C0"/>
      <name val="Poppins"/>
    </font>
    <font>
      <b/>
      <sz val="8"/>
      <color theme="0"/>
      <name val="Arial"/>
      <family val="2"/>
    </font>
    <font>
      <b/>
      <sz val="8"/>
      <color rgb="FFF5F5F5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medium">
        <color indexed="64"/>
      </right>
      <top style="hair">
        <color rgb="FF000000"/>
      </top>
      <bottom/>
      <diagonal/>
    </border>
  </borders>
  <cellStyleXfs count="6">
    <xf numFmtId="0" fontId="0" fillId="0" borderId="0"/>
    <xf numFmtId="44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5"/>
    <xf numFmtId="9" fontId="2" fillId="0" borderId="5" applyFont="0" applyFill="0" applyBorder="0" applyAlignment="0" applyProtection="0"/>
    <xf numFmtId="9" fontId="22" fillId="0" borderId="0" applyFont="0" applyFill="0" applyBorder="0" applyAlignment="0" applyProtection="0"/>
  </cellStyleXfs>
  <cellXfs count="131">
    <xf numFmtId="0" fontId="0" fillId="0" borderId="0" xfId="0"/>
    <xf numFmtId="0" fontId="5" fillId="0" borderId="0" xfId="0" applyFont="1"/>
    <xf numFmtId="0" fontId="5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/>
    <xf numFmtId="164" fontId="5" fillId="4" borderId="2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3" xfId="0" applyNumberFormat="1" applyFont="1" applyFill="1" applyBorder="1" applyAlignment="1">
      <alignment horizontal="left" vertical="center"/>
    </xf>
    <xf numFmtId="10" fontId="5" fillId="4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left" vertical="center"/>
    </xf>
    <xf numFmtId="10" fontId="5" fillId="3" borderId="3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" fontId="7" fillId="0" borderId="0" xfId="0" applyNumberFormat="1" applyFont="1"/>
    <xf numFmtId="165" fontId="9" fillId="0" borderId="0" xfId="0" applyNumberFormat="1" applyFont="1" applyAlignment="1">
      <alignment horizontal="left"/>
    </xf>
    <xf numFmtId="165" fontId="6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0" fontId="0" fillId="0" borderId="5" xfId="0" applyBorder="1"/>
    <xf numFmtId="44" fontId="0" fillId="0" borderId="8" xfId="1" applyFont="1" applyBorder="1"/>
    <xf numFmtId="44" fontId="0" fillId="0" borderId="10" xfId="1" applyFont="1" applyBorder="1"/>
    <xf numFmtId="0" fontId="11" fillId="0" borderId="0" xfId="0" applyFont="1"/>
    <xf numFmtId="44" fontId="0" fillId="0" borderId="8" xfId="1" applyFont="1" applyFill="1" applyBorder="1"/>
    <xf numFmtId="44" fontId="0" fillId="0" borderId="10" xfId="1" applyFont="1" applyFill="1" applyBorder="1"/>
    <xf numFmtId="0" fontId="3" fillId="0" borderId="0" xfId="0" applyFont="1"/>
    <xf numFmtId="164" fontId="13" fillId="4" borderId="3" xfId="0" applyNumberFormat="1" applyFont="1" applyFill="1" applyBorder="1" applyAlignment="1">
      <alignment horizontal="left" vertical="center"/>
    </xf>
    <xf numFmtId="164" fontId="5" fillId="3" borderId="4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/>
    </xf>
    <xf numFmtId="164" fontId="8" fillId="0" borderId="5" xfId="0" applyNumberFormat="1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left" vertical="center"/>
    </xf>
    <xf numFmtId="0" fontId="5" fillId="3" borderId="22" xfId="0" applyFont="1" applyFill="1" applyBorder="1" applyAlignment="1">
      <alignment horizontal="left" vertical="center"/>
    </xf>
    <xf numFmtId="0" fontId="5" fillId="4" borderId="22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5" fillId="4" borderId="24" xfId="0" applyFont="1" applyFill="1" applyBorder="1" applyAlignment="1">
      <alignment horizontal="left" vertical="center"/>
    </xf>
    <xf numFmtId="44" fontId="0" fillId="0" borderId="25" xfId="1" applyFont="1" applyBorder="1"/>
    <xf numFmtId="44" fontId="0" fillId="0" borderId="25" xfId="1" applyFont="1" applyFill="1" applyBorder="1"/>
    <xf numFmtId="44" fontId="0" fillId="0" borderId="29" xfId="1" applyFont="1" applyBorder="1"/>
    <xf numFmtId="44" fontId="0" fillId="0" borderId="30" xfId="1" applyFont="1" applyBorder="1"/>
    <xf numFmtId="44" fontId="14" fillId="0" borderId="30" xfId="1" applyFont="1" applyBorder="1"/>
    <xf numFmtId="44" fontId="1" fillId="0" borderId="30" xfId="1" applyFont="1" applyBorder="1"/>
    <xf numFmtId="44" fontId="14" fillId="0" borderId="31" xfId="1" applyFont="1" applyBorder="1"/>
    <xf numFmtId="0" fontId="0" fillId="0" borderId="11" xfId="0" applyBorder="1"/>
    <xf numFmtId="0" fontId="4" fillId="7" borderId="15" xfId="0" applyFont="1" applyFill="1" applyBorder="1" applyAlignment="1">
      <alignment horizontal="left" vertical="center"/>
    </xf>
    <xf numFmtId="44" fontId="15" fillId="5" borderId="27" xfId="0" applyNumberFormat="1" applyFont="1" applyFill="1" applyBorder="1"/>
    <xf numFmtId="44" fontId="15" fillId="5" borderId="27" xfId="0" applyNumberFormat="1" applyFont="1" applyFill="1" applyBorder="1" applyAlignment="1">
      <alignment horizontal="center"/>
    </xf>
    <xf numFmtId="0" fontId="3" fillId="0" borderId="25" xfId="0" applyFont="1" applyBorder="1"/>
    <xf numFmtId="0" fontId="15" fillId="5" borderId="6" xfId="0" applyFont="1" applyFill="1" applyBorder="1"/>
    <xf numFmtId="0" fontId="15" fillId="5" borderId="10" xfId="0" applyFont="1" applyFill="1" applyBorder="1"/>
    <xf numFmtId="43" fontId="0" fillId="0" borderId="0" xfId="2" applyFont="1"/>
    <xf numFmtId="43" fontId="15" fillId="5" borderId="12" xfId="2" applyFont="1" applyFill="1" applyBorder="1" applyAlignment="1">
      <alignment horizontal="center"/>
    </xf>
    <xf numFmtId="43" fontId="0" fillId="0" borderId="12" xfId="2" applyFont="1" applyBorder="1"/>
    <xf numFmtId="43" fontId="15" fillId="5" borderId="27" xfId="2" applyFont="1" applyFill="1" applyBorder="1"/>
    <xf numFmtId="43" fontId="5" fillId="0" borderId="0" xfId="2" applyFont="1" applyAlignment="1">
      <alignment horizontal="center"/>
    </xf>
    <xf numFmtId="43" fontId="5" fillId="0" borderId="0" xfId="2" applyFont="1"/>
    <xf numFmtId="0" fontId="5" fillId="4" borderId="34" xfId="0" applyFont="1" applyFill="1" applyBorder="1" applyAlignment="1">
      <alignment horizontal="left" vertical="center"/>
    </xf>
    <xf numFmtId="164" fontId="13" fillId="4" borderId="35" xfId="0" applyNumberFormat="1" applyFont="1" applyFill="1" applyBorder="1" applyAlignment="1">
      <alignment horizontal="left" vertical="center"/>
    </xf>
    <xf numFmtId="10" fontId="5" fillId="4" borderId="35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left" vertical="center"/>
    </xf>
    <xf numFmtId="10" fontId="5" fillId="4" borderId="38" xfId="0" applyNumberFormat="1" applyFont="1" applyFill="1" applyBorder="1" applyAlignment="1">
      <alignment horizontal="center" vertical="center"/>
    </xf>
    <xf numFmtId="164" fontId="5" fillId="4" borderId="39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left" vertical="center"/>
    </xf>
    <xf numFmtId="9" fontId="4" fillId="2" borderId="12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/>
    </xf>
    <xf numFmtId="17" fontId="4" fillId="2" borderId="12" xfId="0" applyNumberFormat="1" applyFont="1" applyFill="1" applyBorder="1" applyAlignment="1">
      <alignment horizontal="center" vertical="center"/>
    </xf>
    <xf numFmtId="44" fontId="0" fillId="6" borderId="32" xfId="1" applyFont="1" applyFill="1" applyBorder="1"/>
    <xf numFmtId="44" fontId="15" fillId="6" borderId="27" xfId="0" applyNumberFormat="1" applyFont="1" applyFill="1" applyBorder="1"/>
    <xf numFmtId="14" fontId="0" fillId="0" borderId="7" xfId="0" applyNumberFormat="1" applyBorder="1"/>
    <xf numFmtId="17" fontId="0" fillId="0" borderId="7" xfId="0" applyNumberFormat="1" applyBorder="1"/>
    <xf numFmtId="43" fontId="5" fillId="4" borderId="36" xfId="2" applyFont="1" applyFill="1" applyBorder="1" applyAlignment="1">
      <alignment horizontal="center" vertical="center"/>
    </xf>
    <xf numFmtId="43" fontId="0" fillId="6" borderId="26" xfId="2" applyFont="1" applyFill="1" applyBorder="1"/>
    <xf numFmtId="43" fontId="0" fillId="6" borderId="32" xfId="2" applyFont="1" applyFill="1" applyBorder="1"/>
    <xf numFmtId="43" fontId="5" fillId="4" borderId="35" xfId="2" applyFont="1" applyFill="1" applyBorder="1" applyAlignment="1">
      <alignment horizontal="center" vertical="center"/>
    </xf>
    <xf numFmtId="43" fontId="0" fillId="0" borderId="0" xfId="0" applyNumberFormat="1"/>
    <xf numFmtId="43" fontId="5" fillId="0" borderId="0" xfId="0" applyNumberFormat="1" applyFont="1" applyAlignment="1">
      <alignment vertical="center"/>
    </xf>
    <xf numFmtId="44" fontId="0" fillId="0" borderId="11" xfId="0" applyNumberFormat="1" applyBorder="1"/>
    <xf numFmtId="43" fontId="15" fillId="6" borderId="27" xfId="2" applyFont="1" applyFill="1" applyBorder="1"/>
    <xf numFmtId="43" fontId="5" fillId="0" borderId="0" xfId="0" applyNumberFormat="1" applyFont="1"/>
    <xf numFmtId="43" fontId="17" fillId="0" borderId="0" xfId="0" applyNumberFormat="1" applyFont="1" applyAlignment="1">
      <alignment vertical="center"/>
    </xf>
    <xf numFmtId="43" fontId="18" fillId="2" borderId="7" xfId="2" applyFont="1" applyFill="1" applyBorder="1" applyAlignment="1">
      <alignment horizontal="center" vertical="center"/>
    </xf>
    <xf numFmtId="164" fontId="18" fillId="2" borderId="12" xfId="0" applyNumberFormat="1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43" fontId="18" fillId="2" borderId="9" xfId="2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left" vertical="center"/>
    </xf>
    <xf numFmtId="43" fontId="20" fillId="4" borderId="35" xfId="2" applyFont="1" applyFill="1" applyBorder="1" applyAlignment="1">
      <alignment horizontal="left" vertical="center"/>
    </xf>
    <xf numFmtId="43" fontId="21" fillId="4" borderId="35" xfId="2" applyFont="1" applyFill="1" applyBorder="1" applyAlignment="1">
      <alignment horizontal="center" vertical="center"/>
    </xf>
    <xf numFmtId="43" fontId="21" fillId="4" borderId="41" xfId="2" applyFont="1" applyFill="1" applyBorder="1" applyAlignment="1">
      <alignment horizontal="center" vertical="center"/>
    </xf>
    <xf numFmtId="0" fontId="21" fillId="3" borderId="19" xfId="0" applyFont="1" applyFill="1" applyBorder="1" applyAlignment="1">
      <alignment horizontal="left" vertical="center"/>
    </xf>
    <xf numFmtId="43" fontId="21" fillId="3" borderId="3" xfId="2" applyFont="1" applyFill="1" applyBorder="1" applyAlignment="1">
      <alignment horizontal="left" vertical="center"/>
    </xf>
    <xf numFmtId="43" fontId="21" fillId="3" borderId="3" xfId="2" applyFont="1" applyFill="1" applyBorder="1" applyAlignment="1">
      <alignment horizontal="center" vertical="center"/>
    </xf>
    <xf numFmtId="164" fontId="21" fillId="3" borderId="20" xfId="0" applyNumberFormat="1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left" vertical="center"/>
    </xf>
    <xf numFmtId="43" fontId="21" fillId="4" borderId="3" xfId="2" applyFont="1" applyFill="1" applyBorder="1" applyAlignment="1">
      <alignment horizontal="left" vertical="center"/>
    </xf>
    <xf numFmtId="43" fontId="21" fillId="4" borderId="3" xfId="2" applyFont="1" applyFill="1" applyBorder="1" applyAlignment="1">
      <alignment horizontal="center" vertical="center"/>
    </xf>
    <xf numFmtId="43" fontId="21" fillId="4" borderId="20" xfId="2" applyFont="1" applyFill="1" applyBorder="1" applyAlignment="1">
      <alignment horizontal="center" vertical="center"/>
    </xf>
    <xf numFmtId="43" fontId="20" fillId="3" borderId="3" xfId="2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left" vertical="center"/>
    </xf>
    <xf numFmtId="43" fontId="21" fillId="4" borderId="38" xfId="2" applyFont="1" applyFill="1" applyBorder="1" applyAlignment="1">
      <alignment horizontal="left" vertical="center"/>
    </xf>
    <xf numFmtId="43" fontId="21" fillId="4" borderId="38" xfId="2" applyFont="1" applyFill="1" applyBorder="1" applyAlignment="1">
      <alignment horizontal="center" vertical="center"/>
    </xf>
    <xf numFmtId="43" fontId="21" fillId="4" borderId="43" xfId="2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right" vertical="center"/>
    </xf>
    <xf numFmtId="164" fontId="18" fillId="2" borderId="14" xfId="0" applyNumberFormat="1" applyFont="1" applyFill="1" applyBorder="1" applyAlignment="1">
      <alignment horizontal="right" vertical="center"/>
    </xf>
    <xf numFmtId="164" fontId="18" fillId="2" borderId="14" xfId="0" applyNumberFormat="1" applyFont="1" applyFill="1" applyBorder="1" applyAlignment="1">
      <alignment horizontal="center" vertical="center"/>
    </xf>
    <xf numFmtId="43" fontId="19" fillId="2" borderId="11" xfId="2" applyFont="1" applyFill="1" applyBorder="1" applyAlignment="1">
      <alignment horizontal="center" vertical="center"/>
    </xf>
    <xf numFmtId="10" fontId="6" fillId="0" borderId="0" xfId="5" applyNumberFormat="1" applyFont="1" applyAlignment="1">
      <alignment horizontal="center" vertical="center"/>
    </xf>
    <xf numFmtId="164" fontId="5" fillId="4" borderId="38" xfId="0" applyNumberFormat="1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 wrapText="1"/>
    </xf>
    <xf numFmtId="9" fontId="13" fillId="4" borderId="35" xfId="5" applyFont="1" applyFill="1" applyBorder="1" applyAlignment="1">
      <alignment horizontal="center" vertical="center"/>
    </xf>
    <xf numFmtId="9" fontId="5" fillId="3" borderId="3" xfId="5" applyFont="1" applyFill="1" applyBorder="1" applyAlignment="1">
      <alignment horizontal="center" vertical="center"/>
    </xf>
    <xf numFmtId="9" fontId="5" fillId="4" borderId="3" xfId="5" applyFont="1" applyFill="1" applyBorder="1" applyAlignment="1">
      <alignment horizontal="center" vertical="center"/>
    </xf>
    <xf numFmtId="9" fontId="13" fillId="4" borderId="3" xfId="5" applyFont="1" applyFill="1" applyBorder="1" applyAlignment="1">
      <alignment horizontal="center" vertical="center"/>
    </xf>
    <xf numFmtId="9" fontId="5" fillId="4" borderId="38" xfId="5" applyFont="1" applyFill="1" applyBorder="1" applyAlignment="1">
      <alignment horizontal="center" vertical="center"/>
    </xf>
    <xf numFmtId="9" fontId="4" fillId="2" borderId="12" xfId="5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20" fillId="0" borderId="13" xfId="0" applyFont="1" applyBorder="1" applyAlignment="1">
      <alignment vertical="center"/>
    </xf>
    <xf numFmtId="43" fontId="4" fillId="2" borderId="12" xfId="2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6" fillId="0" borderId="0" xfId="0" quotePrefix="1" applyFont="1" applyAlignment="1">
      <alignment vertical="center"/>
    </xf>
  </cellXfs>
  <cellStyles count="6">
    <cellStyle name="Moeda" xfId="1" builtinId="4"/>
    <cellStyle name="Normal" xfId="0" builtinId="0"/>
    <cellStyle name="Normal 2" xfId="3" xr:uid="{89934119-66BE-4554-8D7F-F4FDAB4F0E33}"/>
    <cellStyle name="Porcentagem" xfId="5" builtinId="5"/>
    <cellStyle name="Porcentagem 2" xfId="4" xr:uid="{910739D4-B953-4402-8BEC-DCBA788BEB45}"/>
    <cellStyle name="Vírgula" xfId="2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01_CTN_ALL_Ac&#225;cias%20JK%20-%20Planilha_Or&#231;amento_R04_LINKS.xlsm?E414F7E5" TargetMode="External"/><Relationship Id="rId1" Type="http://schemas.openxmlformats.org/officeDocument/2006/relationships/externalLinkPath" Target="file:///\\E414F7E5\01_CTN_ALL_Ac&#225;cias%20JK%20-%20Planilha_Or&#231;amento_R04_LINK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Resumo_Parede"/>
      <sheetName val="OBRA"/>
      <sheetName val="Quadro de Áreas"/>
      <sheetName val="Resumo"/>
      <sheetName val="Orçamento"/>
      <sheetName val="Insumos"/>
      <sheetName val="ABC Insumos Apoio"/>
      <sheetName val="ABC Serviços Apoio"/>
      <sheetName val="Custos Serviços"/>
      <sheetName val="ABC Insumos"/>
      <sheetName val="ABC Insumos_"/>
      <sheetName val="ABC Serviços_"/>
      <sheetName val="Levantamento Adcional "/>
      <sheetName val="ABC Serviços"/>
      <sheetName val="Cont.Tecnol."/>
    </sheetNames>
    <sheetDataSet>
      <sheetData sheetId="0" refreshError="1"/>
      <sheetData sheetId="1">
        <row r="1">
          <cell r="K1">
            <v>399462.74618800008</v>
          </cell>
        </row>
        <row r="2">
          <cell r="K2">
            <v>444162.30797547527</v>
          </cell>
        </row>
      </sheetData>
      <sheetData sheetId="2" refreshError="1"/>
      <sheetData sheetId="3" refreshError="1"/>
      <sheetData sheetId="4">
        <row r="2">
          <cell r="C2">
            <v>728402.36797331506</v>
          </cell>
        </row>
        <row r="3">
          <cell r="C3">
            <v>145568.64503694739</v>
          </cell>
        </row>
        <row r="4">
          <cell r="C4">
            <v>502193.3223563052</v>
          </cell>
        </row>
        <row r="5">
          <cell r="C5">
            <v>1352590.9531058811</v>
          </cell>
        </row>
        <row r="6">
          <cell r="C6">
            <v>261393.66178810003</v>
          </cell>
        </row>
        <row r="7">
          <cell r="C7">
            <v>641270.51250748651</v>
          </cell>
        </row>
        <row r="8">
          <cell r="C8">
            <v>323614.15000000002</v>
          </cell>
        </row>
        <row r="9">
          <cell r="C9">
            <v>175140.610575</v>
          </cell>
        </row>
        <row r="10">
          <cell r="C10">
            <v>397235.17496869533</v>
          </cell>
        </row>
        <row r="11">
          <cell r="C11">
            <v>128940.65852424</v>
          </cell>
        </row>
        <row r="12">
          <cell r="C12">
            <v>446389.87919478002</v>
          </cell>
        </row>
        <row r="13">
          <cell r="C13">
            <v>303208.12447620806</v>
          </cell>
        </row>
        <row r="14">
          <cell r="C14">
            <v>578274.82909065823</v>
          </cell>
        </row>
        <row r="15">
          <cell r="C15">
            <v>38853.540965000007</v>
          </cell>
        </row>
        <row r="16">
          <cell r="C16">
            <v>365385.57022599998</v>
          </cell>
        </row>
        <row r="17">
          <cell r="C17">
            <v>442752.48802539997</v>
          </cell>
        </row>
        <row r="18">
          <cell r="C18">
            <v>139412.54058804107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zoomScale="85" zoomScaleNormal="85" workbookViewId="0">
      <selection activeCell="F17" sqref="F17"/>
    </sheetView>
  </sheetViews>
  <sheetFormatPr defaultColWidth="14.42578125" defaultRowHeight="15" customHeight="1" x14ac:dyDescent="0.25"/>
  <cols>
    <col min="1" max="1" width="64.42578125" customWidth="1"/>
    <col min="2" max="2" width="18.85546875" bestFit="1" customWidth="1"/>
    <col min="3" max="3" width="18.85546875" style="31" bestFit="1" customWidth="1"/>
    <col min="4" max="4" width="17.140625" style="31" customWidth="1"/>
    <col min="5" max="5" width="17.7109375" customWidth="1"/>
    <col min="6" max="6" width="19.28515625" bestFit="1" customWidth="1"/>
    <col min="7" max="7" width="14.28515625" customWidth="1"/>
    <col min="8" max="9" width="9.140625" customWidth="1"/>
    <col min="10" max="10" width="13.5703125" bestFit="1" customWidth="1"/>
    <col min="11" max="11" width="15.42578125" bestFit="1" customWidth="1"/>
    <col min="12" max="16" width="9.140625" customWidth="1"/>
  </cols>
  <sheetData>
    <row r="1" spans="1:16" ht="22.5" customHeight="1" thickBot="1" x14ac:dyDescent="0.3">
      <c r="A1" s="65" t="s">
        <v>0</v>
      </c>
      <c r="B1" s="65" t="s">
        <v>33</v>
      </c>
      <c r="C1" s="66" t="s">
        <v>34</v>
      </c>
      <c r="D1" s="66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2.5" customHeight="1" thickBot="1" x14ac:dyDescent="0.3">
      <c r="A2" s="62" t="s">
        <v>35</v>
      </c>
      <c r="B2" s="63">
        <f>[1]Resumo!C2</f>
        <v>728402.36797331506</v>
      </c>
      <c r="C2" s="64">
        <f>B2/$B$19</f>
        <v>0.10449596067913527</v>
      </c>
      <c r="D2" s="78">
        <f>B2/ORÇAMENTO_EXECUTIVO!G$2</f>
        <v>374.84104710884202</v>
      </c>
      <c r="E2" s="8"/>
      <c r="F2" s="34" t="s">
        <v>43</v>
      </c>
      <c r="G2" s="35">
        <v>1943.23</v>
      </c>
      <c r="H2" s="36" t="s">
        <v>44</v>
      </c>
      <c r="I2" s="8"/>
      <c r="J2" s="8"/>
      <c r="K2" s="8"/>
      <c r="L2" s="8"/>
      <c r="M2" s="8"/>
      <c r="N2" s="8"/>
      <c r="O2" s="8"/>
      <c r="P2" s="8"/>
    </row>
    <row r="3" spans="1:16" ht="19.5" customHeight="1" x14ac:dyDescent="0.25">
      <c r="A3" s="2" t="s">
        <v>4</v>
      </c>
      <c r="B3" s="12">
        <f>[1]Resumo!C3</f>
        <v>145568.64503694739</v>
      </c>
      <c r="C3" s="13">
        <f t="shared" ref="C3:C18" si="0">B3/B$19</f>
        <v>2.0883149309658917E-2</v>
      </c>
      <c r="D3" s="29">
        <f>B3/ORÇAMENTO_EXECUTIVO!G$2</f>
        <v>74.91066164939167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9.5" customHeight="1" x14ac:dyDescent="0.25">
      <c r="A4" s="9" t="s">
        <v>5</v>
      </c>
      <c r="B4" s="10">
        <f>[1]Resumo!C4</f>
        <v>502193.3223563052</v>
      </c>
      <c r="C4" s="11">
        <f t="shared" si="0"/>
        <v>7.2044210691241561E-2</v>
      </c>
      <c r="D4" s="30">
        <f>B4/ORÇAMENTO_EXECUTIVO!G$2</f>
        <v>258.43226090391011</v>
      </c>
      <c r="E4" s="8"/>
      <c r="F4" s="14">
        <v>0</v>
      </c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9.5" customHeight="1" x14ac:dyDescent="0.25">
      <c r="A5" s="2" t="s">
        <v>6</v>
      </c>
      <c r="B5" s="12">
        <f>[1]Resumo!C5</f>
        <v>1352590.9531058811</v>
      </c>
      <c r="C5" s="13">
        <f t="shared" si="0"/>
        <v>0.19404150407139292</v>
      </c>
      <c r="D5" s="29">
        <f>B5/ORÇAMENTO_EXECUTIVO!G$2</f>
        <v>696.05293923307124</v>
      </c>
      <c r="E5" s="8"/>
      <c r="F5" s="14">
        <f>280000*F4</f>
        <v>0</v>
      </c>
      <c r="G5" s="8" t="s">
        <v>58</v>
      </c>
      <c r="H5" s="8"/>
      <c r="I5" s="8"/>
      <c r="J5" s="8"/>
      <c r="K5" s="8"/>
      <c r="L5" s="8"/>
      <c r="M5" s="8"/>
      <c r="N5" s="8"/>
      <c r="O5" s="8"/>
      <c r="P5" s="8"/>
    </row>
    <row r="6" spans="1:16" ht="19.5" customHeight="1" x14ac:dyDescent="0.25">
      <c r="A6" s="9" t="s">
        <v>7</v>
      </c>
      <c r="B6" s="10">
        <f>[1]Resumo!C6</f>
        <v>261393.66178810003</v>
      </c>
      <c r="C6" s="11">
        <f t="shared" si="0"/>
        <v>3.7499303962978264E-2</v>
      </c>
      <c r="D6" s="30">
        <f>B6/ORÇAMENTO_EXECUTIVO!G$2</f>
        <v>134.51504031334429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19.5" customHeight="1" x14ac:dyDescent="0.25">
      <c r="A7" s="2" t="s">
        <v>8</v>
      </c>
      <c r="B7" s="12">
        <f>[1]Resumo!C7</f>
        <v>641270.51250748651</v>
      </c>
      <c r="C7" s="13">
        <f>B7/B$19</f>
        <v>9.1996101613615489E-2</v>
      </c>
      <c r="D7" s="29">
        <f>B7/ORÇAMENTO_EXECUTIVO!G$2</f>
        <v>330.00237362920831</v>
      </c>
      <c r="E7" s="8"/>
      <c r="F7" s="16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19.5" customHeight="1" x14ac:dyDescent="0.25">
      <c r="A8" s="9" t="s">
        <v>40</v>
      </c>
      <c r="B8" s="28">
        <f>[1]Resumo!C8</f>
        <v>323614.15000000002</v>
      </c>
      <c r="C8" s="11">
        <f t="shared" si="0"/>
        <v>4.6425400273891818E-2</v>
      </c>
      <c r="D8" s="30">
        <f>B8/ORÇAMENTO_EXECUTIVO!G$2</f>
        <v>166.53414675565941</v>
      </c>
      <c r="E8" s="8"/>
      <c r="F8" s="16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ht="19.5" customHeight="1" x14ac:dyDescent="0.25">
      <c r="A9" s="2" t="s">
        <v>9</v>
      </c>
      <c r="B9" s="12">
        <f>[1]Resumo!C9</f>
        <v>175140.610575</v>
      </c>
      <c r="C9" s="13">
        <f t="shared" si="0"/>
        <v>2.5125517379750495E-2</v>
      </c>
      <c r="D9" s="29">
        <f>B9/ORÇAMENTO_EXECUTIVO!G$2</f>
        <v>90.128605762055955</v>
      </c>
      <c r="E9" s="8"/>
      <c r="F9" s="16"/>
      <c r="G9" s="32"/>
      <c r="H9" s="8"/>
      <c r="I9" s="8"/>
      <c r="J9" s="8"/>
      <c r="K9" s="8"/>
      <c r="L9" s="8"/>
      <c r="M9" s="8"/>
      <c r="N9" s="8"/>
      <c r="O9" s="8"/>
      <c r="P9" s="8"/>
    </row>
    <row r="10" spans="1:16" ht="19.5" customHeight="1" x14ac:dyDescent="0.25">
      <c r="A10" s="9" t="s">
        <v>62</v>
      </c>
      <c r="B10" s="10">
        <f>[1]Resumo!C10</f>
        <v>397235.17496869533</v>
      </c>
      <c r="C10" s="11">
        <f t="shared" si="0"/>
        <v>5.6987007523592925E-2</v>
      </c>
      <c r="D10" s="30">
        <f>B10/ORÇAMENTO_EXECUTIVO!G$2</f>
        <v>204.42005062123133</v>
      </c>
      <c r="E10" s="8"/>
      <c r="F10" s="15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19.5" customHeight="1" x14ac:dyDescent="0.25">
      <c r="A11" s="2" t="s">
        <v>37</v>
      </c>
      <c r="B11" s="12">
        <f>[1]Resumo!C11</f>
        <v>128940.65852424</v>
      </c>
      <c r="C11" s="13">
        <f t="shared" si="0"/>
        <v>1.8497713043657216E-2</v>
      </c>
      <c r="D11" s="29">
        <f>B11/ORÇAMENTO_EXECUTIVO!G$2</f>
        <v>66.353781345615289</v>
      </c>
      <c r="E11" s="8"/>
      <c r="F11" s="8"/>
      <c r="G11" s="33"/>
      <c r="H11" s="8"/>
      <c r="I11" s="8"/>
      <c r="J11" s="8"/>
      <c r="K11" s="8"/>
      <c r="L11" s="8"/>
      <c r="M11" s="8"/>
      <c r="N11" s="8"/>
      <c r="O11" s="8"/>
      <c r="P11" s="8"/>
    </row>
    <row r="12" spans="1:16" ht="19.5" customHeight="1" x14ac:dyDescent="0.25">
      <c r="A12" s="9" t="s">
        <v>63</v>
      </c>
      <c r="B12" s="10">
        <f>[1]Resumo!C12</f>
        <v>446389.87919478002</v>
      </c>
      <c r="C12" s="11">
        <f t="shared" si="0"/>
        <v>6.4038697998316435E-2</v>
      </c>
      <c r="D12" s="30">
        <f>B12/ORÇAMENTO_EXECUTIVO!G$2</f>
        <v>229.71541155436054</v>
      </c>
      <c r="E12" s="8"/>
      <c r="F12" s="8"/>
      <c r="G12" s="15"/>
      <c r="H12" s="8"/>
      <c r="I12" s="8"/>
      <c r="J12" s="8"/>
      <c r="K12" s="8"/>
      <c r="L12" s="8"/>
      <c r="M12" s="8"/>
      <c r="N12" s="8"/>
      <c r="O12" s="8"/>
      <c r="P12" s="8"/>
    </row>
    <row r="13" spans="1:16" ht="19.5" customHeight="1" x14ac:dyDescent="0.25">
      <c r="A13" s="2" t="s">
        <v>11</v>
      </c>
      <c r="B13" s="12">
        <f>[1]Resumo!C13</f>
        <v>303208.12447620806</v>
      </c>
      <c r="C13" s="13">
        <f t="shared" si="0"/>
        <v>4.3497969866595675E-2</v>
      </c>
      <c r="D13" s="29">
        <f>B13/ORÇAMENTO_EXECUTIVO!G$2</f>
        <v>156.03306066508239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19.5" customHeight="1" x14ac:dyDescent="0.25">
      <c r="A14" s="9" t="s">
        <v>12</v>
      </c>
      <c r="B14" s="10">
        <f>[1]Resumo!C14</f>
        <v>578274.82909065823</v>
      </c>
      <c r="C14" s="11">
        <f t="shared" si="0"/>
        <v>8.2958796482941757E-2</v>
      </c>
      <c r="D14" s="30">
        <f>B14/ORÇAMENTO_EXECUTIVO!G$2</f>
        <v>297.584346212573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19.5" customHeight="1" x14ac:dyDescent="0.25">
      <c r="A15" s="2" t="s">
        <v>39</v>
      </c>
      <c r="B15" s="12">
        <f>[1]Resumo!C15</f>
        <v>38853.540965000007</v>
      </c>
      <c r="C15" s="13">
        <f t="shared" si="0"/>
        <v>5.5738946871086385E-3</v>
      </c>
      <c r="D15" s="29">
        <f>B15/ORÇAMENTO_EXECUTIVO!G$2</f>
        <v>19.994308941813376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19.5" customHeight="1" x14ac:dyDescent="0.25">
      <c r="A16" s="9" t="s">
        <v>13</v>
      </c>
      <c r="B16" s="10">
        <f>[1]Resumo!C16</f>
        <v>365385.57022599998</v>
      </c>
      <c r="C16" s="11">
        <f t="shared" si="0"/>
        <v>5.2417891343892888E-2</v>
      </c>
      <c r="D16" s="30">
        <f>B16/ORÇAMENTO_EXECUTIVO!G$2</f>
        <v>188.03001714979698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9" ht="19.5" customHeight="1" x14ac:dyDescent="0.25">
      <c r="A17" s="2" t="s">
        <v>14</v>
      </c>
      <c r="B17" s="12">
        <f>[1]Resumo!C17</f>
        <v>442752.48802539997</v>
      </c>
      <c r="C17" s="13">
        <f t="shared" si="0"/>
        <v>6.351688107222965E-2</v>
      </c>
      <c r="D17" s="29">
        <f>B17/ORÇAMENTO_EXECUTIVO!G$2</f>
        <v>227.8435841487626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9" ht="19.5" customHeight="1" x14ac:dyDescent="0.25">
      <c r="A18" s="67" t="s">
        <v>38</v>
      </c>
      <c r="B18" s="10">
        <f>[1]Resumo!C18</f>
        <v>139412.54058804107</v>
      </c>
      <c r="C18" s="68">
        <f t="shared" si="0"/>
        <v>1.9999999999999987E-2</v>
      </c>
      <c r="D18" s="69">
        <f>B18/ORÇAMENTO_EXECUTIVO!G$2</f>
        <v>71.742686448871765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9" ht="19.5" customHeight="1" x14ac:dyDescent="0.25">
      <c r="A19" s="65" t="s">
        <v>15</v>
      </c>
      <c r="B19" s="70">
        <f>SUM(B2:B18)</f>
        <v>6970627.0294020586</v>
      </c>
      <c r="C19" s="71">
        <f>SUM(C2:C18)</f>
        <v>1</v>
      </c>
      <c r="D19" s="72">
        <f>SUM(D2:D18)</f>
        <v>3587.13432244359</v>
      </c>
      <c r="E19" s="15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9" ht="19.5" customHeight="1" x14ac:dyDescent="0.25">
      <c r="A20" s="65" t="s">
        <v>52</v>
      </c>
      <c r="B20" s="70">
        <v>2758.46</v>
      </c>
      <c r="C20" s="73">
        <v>45413</v>
      </c>
      <c r="D20" s="72" t="str">
        <f>ROUNDUP(+D19/B20,2) &amp; " CUB"</f>
        <v>1,31 CUB</v>
      </c>
      <c r="E20" s="15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9" ht="22.5" customHeight="1" x14ac:dyDescent="0.25">
      <c r="A21" s="8"/>
      <c r="B21" s="130"/>
      <c r="C21" s="16"/>
      <c r="D21" s="16"/>
      <c r="E21" s="8"/>
      <c r="F21" s="15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9" ht="22.5" customHeight="1" x14ac:dyDescent="0.25">
      <c r="A22" s="8"/>
      <c r="B22" s="15"/>
      <c r="C22" s="16"/>
      <c r="D22" s="1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9" ht="15" customHeight="1" x14ac:dyDescent="0.25">
      <c r="A23" s="8"/>
      <c r="B23" s="8"/>
      <c r="C23" s="16"/>
      <c r="D23" s="16"/>
      <c r="E23" s="8"/>
      <c r="F23" s="15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9" ht="19.5" customHeight="1" x14ac:dyDescent="0.25">
      <c r="A24" s="8"/>
      <c r="B24" s="8"/>
      <c r="C24" s="113"/>
      <c r="D24" s="16"/>
      <c r="E24" s="17"/>
      <c r="F24" s="8"/>
      <c r="G24" s="15"/>
      <c r="H24" s="8"/>
      <c r="I24" s="8"/>
      <c r="J24" s="8"/>
      <c r="K24" s="8"/>
      <c r="L24" s="8"/>
      <c r="M24" s="8"/>
      <c r="N24" s="8"/>
      <c r="O24" s="8"/>
      <c r="P24" s="8"/>
    </row>
    <row r="25" spans="1:19" ht="40.5" customHeight="1" x14ac:dyDescent="0.45">
      <c r="A25" s="65" t="s">
        <v>0</v>
      </c>
      <c r="B25" s="115" t="s">
        <v>64</v>
      </c>
      <c r="C25" s="115" t="s">
        <v>65</v>
      </c>
      <c r="D25" s="115" t="s">
        <v>66</v>
      </c>
      <c r="E25" s="115" t="s">
        <v>67</v>
      </c>
      <c r="F25" s="66" t="s">
        <v>68</v>
      </c>
      <c r="G25" s="66" t="s">
        <v>3</v>
      </c>
      <c r="H25" s="18"/>
      <c r="I25" s="15"/>
      <c r="J25" s="15"/>
      <c r="K25" s="8"/>
      <c r="L25" s="8"/>
      <c r="M25" s="8"/>
      <c r="N25" s="8"/>
      <c r="O25" s="8"/>
      <c r="P25" s="8"/>
      <c r="Q25" s="8"/>
      <c r="R25" s="8"/>
      <c r="S25" s="8"/>
    </row>
    <row r="26" spans="1:19" ht="19.5" customHeight="1" x14ac:dyDescent="0.25">
      <c r="A26" s="62" t="s">
        <v>35</v>
      </c>
      <c r="B26" s="63">
        <v>1269673.5238742952</v>
      </c>
      <c r="C26" s="63">
        <f>ORÇAMENTO_EXECUTIVO!B2</f>
        <v>728402.36797331506</v>
      </c>
      <c r="D26" s="63">
        <f>C26-B26</f>
        <v>-541271.15590098011</v>
      </c>
      <c r="E26" s="116">
        <f>(D26/B26)</f>
        <v>-0.4263073504512716</v>
      </c>
      <c r="F26" s="64">
        <f>C26/$C$43</f>
        <v>0.10449596067913527</v>
      </c>
      <c r="G26" s="78">
        <f>C26/ORÇAMENTO_EXECUTIVO!G$2</f>
        <v>374.84104710884202</v>
      </c>
      <c r="H26" s="19"/>
      <c r="I26" s="20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ht="19.5" customHeight="1" x14ac:dyDescent="0.25">
      <c r="A27" s="2" t="s">
        <v>4</v>
      </c>
      <c r="B27" s="12">
        <v>40912.877978023113</v>
      </c>
      <c r="C27" s="12">
        <f>ORÇAMENTO_EXECUTIVO!B3</f>
        <v>145568.64503694739</v>
      </c>
      <c r="D27" s="12">
        <f t="shared" ref="D27:D42" si="1">C27-B27</f>
        <v>104655.76705892428</v>
      </c>
      <c r="E27" s="117">
        <f t="shared" ref="E27:E42" si="2">(D27/B27)</f>
        <v>2.5580152810355088</v>
      </c>
      <c r="F27" s="13">
        <f t="shared" ref="F27:F42" si="3">C27/$C$43</f>
        <v>2.0883149309658917E-2</v>
      </c>
      <c r="G27" s="29">
        <f>C27/ORÇAMENTO_EXECUTIVO!G$2</f>
        <v>74.91066164939167</v>
      </c>
      <c r="H27" s="8"/>
      <c r="I27" s="20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ht="19.5" customHeight="1" x14ac:dyDescent="0.25">
      <c r="A28" s="9" t="s">
        <v>5</v>
      </c>
      <c r="B28" s="10">
        <v>356756.89239321742</v>
      </c>
      <c r="C28" s="10">
        <f>ORÇAMENTO_EXECUTIVO!B4</f>
        <v>502193.3223563052</v>
      </c>
      <c r="D28" s="10">
        <f t="shared" si="1"/>
        <v>145436.42996308778</v>
      </c>
      <c r="E28" s="118">
        <f t="shared" si="2"/>
        <v>0.40766256536058104</v>
      </c>
      <c r="F28" s="11">
        <f t="shared" si="3"/>
        <v>7.2044210691241561E-2</v>
      </c>
      <c r="G28" s="30">
        <f>C28/ORÇAMENTO_EXECUTIVO!G$2</f>
        <v>258.43226090391011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ht="19.5" customHeight="1" x14ac:dyDescent="0.25">
      <c r="A29" s="2" t="s">
        <v>6</v>
      </c>
      <c r="B29" s="12">
        <v>1486970.6893167507</v>
      </c>
      <c r="C29" s="12">
        <f>ORÇAMENTO_EXECUTIVO!B5</f>
        <v>1352590.9531058811</v>
      </c>
      <c r="D29" s="12">
        <f t="shared" si="1"/>
        <v>-134379.73621086963</v>
      </c>
      <c r="E29" s="117">
        <f t="shared" si="2"/>
        <v>-9.0371476167170367E-2</v>
      </c>
      <c r="F29" s="13">
        <f t="shared" si="3"/>
        <v>0.19404150407139292</v>
      </c>
      <c r="G29" s="29">
        <f>C29/ORÇAMENTO_EXECUTIVO!G$2</f>
        <v>696.05293923307124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ht="19.5" customHeight="1" x14ac:dyDescent="0.25">
      <c r="A30" s="9" t="s">
        <v>7</v>
      </c>
      <c r="B30" s="10">
        <v>260075.20117460002</v>
      </c>
      <c r="C30" s="10">
        <f>ORÇAMENTO_EXECUTIVO!B6</f>
        <v>261393.66178810003</v>
      </c>
      <c r="D30" s="10">
        <f t="shared" si="1"/>
        <v>1318.4606135000067</v>
      </c>
      <c r="E30" s="118">
        <f t="shared" si="2"/>
        <v>5.0695360708953776E-3</v>
      </c>
      <c r="F30" s="11">
        <f t="shared" si="3"/>
        <v>3.7499303962978264E-2</v>
      </c>
      <c r="G30" s="30">
        <f>C30/ORÇAMENTO_EXECUTIVO!G$2</f>
        <v>134.51504031334429</v>
      </c>
      <c r="H30" s="8"/>
      <c r="I30" s="15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ht="19.5" customHeight="1" x14ac:dyDescent="0.25">
      <c r="A31" s="2" t="s">
        <v>8</v>
      </c>
      <c r="B31" s="12">
        <v>634994.51250748651</v>
      </c>
      <c r="C31" s="12">
        <f>ORÇAMENTO_EXECUTIVO!B7</f>
        <v>641270.51250748651</v>
      </c>
      <c r="D31" s="12">
        <f t="shared" si="1"/>
        <v>6276</v>
      </c>
      <c r="E31" s="117">
        <f t="shared" si="2"/>
        <v>9.8835499778055277E-3</v>
      </c>
      <c r="F31" s="13">
        <f t="shared" si="3"/>
        <v>9.1996101613615489E-2</v>
      </c>
      <c r="G31" s="29">
        <f>C31/ORÇAMENTO_EXECUTIVO!G$2</f>
        <v>330.00237362920831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ht="19.5" customHeight="1" x14ac:dyDescent="0.25">
      <c r="A32" s="9" t="s">
        <v>40</v>
      </c>
      <c r="B32" s="28">
        <v>331387.07</v>
      </c>
      <c r="C32" s="28">
        <f>ORÇAMENTO_EXECUTIVO!B8</f>
        <v>323614.15000000002</v>
      </c>
      <c r="D32" s="28">
        <f t="shared" si="1"/>
        <v>-7772.9199999999837</v>
      </c>
      <c r="E32" s="119">
        <f t="shared" si="2"/>
        <v>-2.3455712982404484E-2</v>
      </c>
      <c r="F32" s="11">
        <f t="shared" si="3"/>
        <v>4.6425400273891818E-2</v>
      </c>
      <c r="G32" s="30">
        <f>C32/ORÇAMENTO_EXECUTIVO!G$2</f>
        <v>166.53414675565941</v>
      </c>
      <c r="H32" s="8"/>
      <c r="I32" s="15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ht="19.5" customHeight="1" x14ac:dyDescent="0.25">
      <c r="A33" s="2" t="s">
        <v>9</v>
      </c>
      <c r="B33" s="12">
        <v>132506.86213722354</v>
      </c>
      <c r="C33" s="12">
        <f>ORÇAMENTO_EXECUTIVO!B9</f>
        <v>175140.610575</v>
      </c>
      <c r="D33" s="12">
        <f>C33-B33</f>
        <v>42633.748437776463</v>
      </c>
      <c r="E33" s="117">
        <f t="shared" si="2"/>
        <v>0.32174747594298275</v>
      </c>
      <c r="F33" s="13">
        <f t="shared" si="3"/>
        <v>2.5125517379750495E-2</v>
      </c>
      <c r="G33" s="29">
        <f>C33/ORÇAMENTO_EXECUTIVO!G$2</f>
        <v>90.128605762055955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ht="19.5" customHeight="1" x14ac:dyDescent="0.25">
      <c r="A34" s="9" t="s">
        <v>62</v>
      </c>
      <c r="B34" s="10">
        <v>377413.29722831887</v>
      </c>
      <c r="C34" s="10">
        <f>ORÇAMENTO_EXECUTIVO!B10</f>
        <v>397235.17496869533</v>
      </c>
      <c r="D34" s="10">
        <f t="shared" si="1"/>
        <v>19821.877740376454</v>
      </c>
      <c r="E34" s="118">
        <f t="shared" si="2"/>
        <v>5.2520348079800348E-2</v>
      </c>
      <c r="F34" s="11">
        <f t="shared" si="3"/>
        <v>5.6987007523592925E-2</v>
      </c>
      <c r="G34" s="30">
        <f>C34/ORÇAMENTO_EXECUTIVO!G$2</f>
        <v>204.42005062123133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ht="19.5" customHeight="1" x14ac:dyDescent="0.25">
      <c r="A35" s="2" t="s">
        <v>37</v>
      </c>
      <c r="B35" s="12">
        <v>103795.887512</v>
      </c>
      <c r="C35" s="12">
        <f>ORÇAMENTO_EXECUTIVO!B11</f>
        <v>128940.65852424</v>
      </c>
      <c r="D35" s="12">
        <f t="shared" si="1"/>
        <v>25144.771012240002</v>
      </c>
      <c r="E35" s="117">
        <f t="shared" si="2"/>
        <v>0.24225209317019403</v>
      </c>
      <c r="F35" s="13">
        <f t="shared" si="3"/>
        <v>1.8497713043657216E-2</v>
      </c>
      <c r="G35" s="29">
        <f>C35/ORÇAMENTO_EXECUTIVO!G$2</f>
        <v>66.353781345615289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ht="19.5" customHeight="1" x14ac:dyDescent="0.25">
      <c r="A36" s="9" t="s">
        <v>63</v>
      </c>
      <c r="B36" s="10">
        <v>436046.38662053819</v>
      </c>
      <c r="C36" s="10">
        <f>ORÇAMENTO_EXECUTIVO!B12</f>
        <v>446389.87919478002</v>
      </c>
      <c r="D36" s="10">
        <f t="shared" si="1"/>
        <v>10343.492574241827</v>
      </c>
      <c r="E36" s="118">
        <f t="shared" si="2"/>
        <v>2.3721083104039278E-2</v>
      </c>
      <c r="F36" s="11">
        <f t="shared" si="3"/>
        <v>6.4038697998316435E-2</v>
      </c>
      <c r="G36" s="30">
        <f>C36/ORÇAMENTO_EXECUTIVO!G$2</f>
        <v>229.71541155436054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ht="19.5" customHeight="1" x14ac:dyDescent="0.25">
      <c r="A37" s="2" t="s">
        <v>11</v>
      </c>
      <c r="B37" s="12">
        <v>268226.49969292543</v>
      </c>
      <c r="C37" s="12">
        <f>ORÇAMENTO_EXECUTIVO!B13</f>
        <v>303208.12447620806</v>
      </c>
      <c r="D37" s="12">
        <f t="shared" si="1"/>
        <v>34981.624783282634</v>
      </c>
      <c r="E37" s="117">
        <f t="shared" si="2"/>
        <v>0.13041822796528588</v>
      </c>
      <c r="F37" s="13">
        <f t="shared" si="3"/>
        <v>4.3497969866595675E-2</v>
      </c>
      <c r="G37" s="29">
        <f>C37/ORÇAMENTO_EXECUTIVO!G$2</f>
        <v>156.03306066508239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ht="19.5" customHeight="1" x14ac:dyDescent="0.25">
      <c r="A38" s="9" t="s">
        <v>12</v>
      </c>
      <c r="B38" s="10">
        <v>782141.6602509832</v>
      </c>
      <c r="C38" s="10">
        <f>ORÇAMENTO_EXECUTIVO!B14</f>
        <v>578274.82909065823</v>
      </c>
      <c r="D38" s="10">
        <f t="shared" si="1"/>
        <v>-203866.83116032497</v>
      </c>
      <c r="E38" s="118">
        <f t="shared" si="2"/>
        <v>-0.26065205514676931</v>
      </c>
      <c r="F38" s="11">
        <f t="shared" si="3"/>
        <v>8.2958796482941757E-2</v>
      </c>
      <c r="G38" s="30">
        <f>C38/ORÇAMENTO_EXECUTIVO!G$2</f>
        <v>297.584346212573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ht="19.5" customHeight="1" x14ac:dyDescent="0.25">
      <c r="A39" s="2" t="s">
        <v>39</v>
      </c>
      <c r="B39" s="12">
        <v>37703.540965000007</v>
      </c>
      <c r="C39" s="12">
        <f>ORÇAMENTO_EXECUTIVO!B15</f>
        <v>38853.540965000007</v>
      </c>
      <c r="D39" s="12">
        <f t="shared" si="1"/>
        <v>1150</v>
      </c>
      <c r="E39" s="117">
        <f t="shared" si="2"/>
        <v>3.0501113968779185E-2</v>
      </c>
      <c r="F39" s="13">
        <f t="shared" si="3"/>
        <v>5.5738946871086385E-3</v>
      </c>
      <c r="G39" s="29">
        <f>C39/ORÇAMENTO_EXECUTIVO!G$2</f>
        <v>19.994308941813376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ht="19.5" customHeight="1" x14ac:dyDescent="0.25">
      <c r="A40" s="9" t="s">
        <v>13</v>
      </c>
      <c r="B40" s="10">
        <v>346056.21868502133</v>
      </c>
      <c r="C40" s="10">
        <f>ORÇAMENTO_EXECUTIVO!B16</f>
        <v>365385.57022599998</v>
      </c>
      <c r="D40" s="10">
        <f t="shared" si="1"/>
        <v>19329.351540978649</v>
      </c>
      <c r="E40" s="118">
        <f t="shared" si="2"/>
        <v>5.5856102266932904E-2</v>
      </c>
      <c r="F40" s="11">
        <f t="shared" si="3"/>
        <v>5.2417891343892888E-2</v>
      </c>
      <c r="G40" s="30">
        <f>C40/ORÇAMENTO_EXECUTIVO!G$2</f>
        <v>188.03001714979698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ht="19.5" customHeight="1" x14ac:dyDescent="0.25">
      <c r="A41" s="2" t="s">
        <v>14</v>
      </c>
      <c r="B41" s="12">
        <v>419752.48802539997</v>
      </c>
      <c r="C41" s="12">
        <f>ORÇAMENTO_EXECUTIVO!B17</f>
        <v>442752.48802539997</v>
      </c>
      <c r="D41" s="12">
        <f t="shared" si="1"/>
        <v>23000</v>
      </c>
      <c r="E41" s="117">
        <f t="shared" si="2"/>
        <v>5.4794195760927158E-2</v>
      </c>
      <c r="F41" s="13">
        <f t="shared" si="3"/>
        <v>6.351688107222965E-2</v>
      </c>
      <c r="G41" s="29">
        <f>C41/ORÇAMENTO_EXECUTIVO!G$2</f>
        <v>227.8435841487626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ht="19.5" customHeight="1" x14ac:dyDescent="0.25">
      <c r="A42" s="67" t="s">
        <v>38</v>
      </c>
      <c r="B42" s="10">
        <v>148661.50221146486</v>
      </c>
      <c r="C42" s="10">
        <f>ORÇAMENTO_EXECUTIVO!B18</f>
        <v>139412.54058804107</v>
      </c>
      <c r="D42" s="114">
        <f t="shared" si="1"/>
        <v>-9248.961623423791</v>
      </c>
      <c r="E42" s="120">
        <f t="shared" si="2"/>
        <v>-6.2214907597715002E-2</v>
      </c>
      <c r="F42" s="68">
        <f t="shared" si="3"/>
        <v>1.9999999999999987E-2</v>
      </c>
      <c r="G42" s="69">
        <f>C42/ORÇAMENTO_EXECUTIVO!G$2</f>
        <v>71.742686448871765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ht="19.5" customHeight="1" x14ac:dyDescent="0.25">
      <c r="A43" s="65" t="s">
        <v>15</v>
      </c>
      <c r="B43" s="70">
        <v>7433075.1105732489</v>
      </c>
      <c r="C43" s="70">
        <f>SUM(C26:C42)</f>
        <v>6970627.0294020586</v>
      </c>
      <c r="D43" s="70">
        <f>C43-B43</f>
        <v>-462448.08117119037</v>
      </c>
      <c r="E43" s="121">
        <f>(D43/B43)</f>
        <v>-6.2214907597715065E-2</v>
      </c>
      <c r="F43" s="71">
        <v>0.99999999999999989</v>
      </c>
      <c r="G43" s="72">
        <f>SUM(G26:G42)</f>
        <v>3587.13432244359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ht="19.5" customHeight="1" x14ac:dyDescent="0.25">
      <c r="A44" s="65" t="s">
        <v>52</v>
      </c>
      <c r="B44" s="70">
        <v>2758.46</v>
      </c>
      <c r="C44" s="70">
        <v>2758.46</v>
      </c>
      <c r="D44" s="70"/>
      <c r="E44" s="72"/>
      <c r="F44" s="73">
        <v>45413</v>
      </c>
      <c r="G44" s="72" t="str">
        <f>ROUNDUP(+G43/C44,2) &amp; " CUB"</f>
        <v>1,31 CUB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ht="19.5" customHeight="1" x14ac:dyDescent="0.25">
      <c r="A45" s="8"/>
      <c r="B45" s="8"/>
      <c r="C45" s="16"/>
      <c r="D45" s="16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9" ht="19.5" customHeight="1" x14ac:dyDescent="0.25">
      <c r="A46" s="8"/>
      <c r="B46" s="8"/>
      <c r="C46" s="16"/>
      <c r="D46" s="1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9" ht="19.5" customHeight="1" x14ac:dyDescent="0.25">
      <c r="A47" s="8"/>
      <c r="B47" s="8"/>
      <c r="C47" s="16"/>
      <c r="D47" s="16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9" ht="19.5" customHeight="1" x14ac:dyDescent="0.25">
      <c r="A48" s="8"/>
      <c r="B48" s="8"/>
      <c r="C48" s="16"/>
      <c r="D48" s="1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ht="19.5" customHeight="1" x14ac:dyDescent="0.25">
      <c r="A49" s="8"/>
      <c r="B49" s="8"/>
      <c r="C49" s="16"/>
      <c r="D49" s="16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ht="19.5" customHeight="1" x14ac:dyDescent="0.25">
      <c r="A50" s="8"/>
      <c r="B50" s="8"/>
      <c r="C50" s="16"/>
      <c r="D50" s="1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ht="19.5" customHeight="1" x14ac:dyDescent="0.25">
      <c r="A51" s="8"/>
      <c r="B51" s="8"/>
      <c r="C51" s="16"/>
      <c r="D51" s="16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ht="19.5" customHeight="1" x14ac:dyDescent="0.25">
      <c r="A52" s="8"/>
      <c r="B52" s="8"/>
      <c r="C52" s="16"/>
      <c r="D52" s="16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ht="19.5" customHeight="1" x14ac:dyDescent="0.25">
      <c r="A53" s="8"/>
      <c r="B53" s="8"/>
      <c r="C53" s="16"/>
      <c r="D53" s="16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ht="19.5" customHeight="1" x14ac:dyDescent="0.25">
      <c r="A54" s="8"/>
      <c r="B54" s="8"/>
      <c r="C54" s="16"/>
      <c r="D54" s="16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ht="19.5" customHeight="1" x14ac:dyDescent="0.25">
      <c r="A55" s="8"/>
      <c r="B55" s="8"/>
      <c r="C55" s="16"/>
      <c r="D55" s="16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ht="19.5" customHeight="1" x14ac:dyDescent="0.25">
      <c r="A56" s="8"/>
      <c r="B56" s="8"/>
      <c r="C56" s="16"/>
      <c r="D56" s="16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ht="19.5" customHeight="1" x14ac:dyDescent="0.25">
      <c r="A57" s="8"/>
      <c r="B57" s="8"/>
      <c r="C57" s="16"/>
      <c r="D57" s="16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9.5" customHeight="1" x14ac:dyDescent="0.25">
      <c r="A58" s="8"/>
      <c r="B58" s="8"/>
      <c r="C58" s="16"/>
      <c r="D58" s="16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ht="19.5" customHeight="1" x14ac:dyDescent="0.25">
      <c r="A59" s="8"/>
      <c r="B59" s="8"/>
      <c r="C59" s="16"/>
      <c r="D59" s="16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ht="19.5" customHeight="1" x14ac:dyDescent="0.25">
      <c r="A60" s="8"/>
      <c r="B60" s="8"/>
      <c r="C60" s="16"/>
      <c r="D60" s="16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ht="19.5" customHeight="1" x14ac:dyDescent="0.25">
      <c r="A61" s="8"/>
      <c r="B61" s="8"/>
      <c r="C61" s="16"/>
      <c r="D61" s="16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ht="19.5" customHeight="1" x14ac:dyDescent="0.25">
      <c r="A62" s="8"/>
      <c r="B62" s="8"/>
      <c r="C62" s="16"/>
      <c r="D62" s="16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ht="19.5" customHeight="1" x14ac:dyDescent="0.25">
      <c r="A63" s="8"/>
      <c r="B63" s="8"/>
      <c r="C63" s="16"/>
      <c r="D63" s="16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ht="19.5" customHeight="1" x14ac:dyDescent="0.25">
      <c r="A64" s="8"/>
      <c r="B64" s="8"/>
      <c r="C64" s="16"/>
      <c r="D64" s="16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ht="19.5" customHeight="1" x14ac:dyDescent="0.25">
      <c r="A65" s="8"/>
      <c r="B65" s="8"/>
      <c r="C65" s="16"/>
      <c r="D65" s="16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ht="19.5" customHeight="1" x14ac:dyDescent="0.25">
      <c r="A66" s="8"/>
      <c r="B66" s="8"/>
      <c r="C66" s="16"/>
      <c r="D66" s="16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ht="19.5" customHeight="1" x14ac:dyDescent="0.25">
      <c r="A67" s="8"/>
      <c r="B67" s="8"/>
      <c r="C67" s="16"/>
      <c r="D67" s="16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ht="19.5" customHeight="1" x14ac:dyDescent="0.25">
      <c r="A68" s="8"/>
      <c r="B68" s="8"/>
      <c r="C68" s="16"/>
      <c r="D68" s="16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ht="19.5" customHeight="1" x14ac:dyDescent="0.25">
      <c r="A69" s="8"/>
      <c r="B69" s="8"/>
      <c r="C69" s="16"/>
      <c r="D69" s="16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ht="19.5" customHeight="1" x14ac:dyDescent="0.25">
      <c r="A70" s="8"/>
      <c r="B70" s="8"/>
      <c r="C70" s="16"/>
      <c r="D70" s="16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ht="19.5" customHeight="1" x14ac:dyDescent="0.25">
      <c r="A71" s="8"/>
      <c r="B71" s="8"/>
      <c r="C71" s="16"/>
      <c r="D71" s="16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ht="19.5" customHeight="1" x14ac:dyDescent="0.25">
      <c r="A72" s="8"/>
      <c r="B72" s="8"/>
      <c r="C72" s="16"/>
      <c r="D72" s="16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ht="19.5" customHeight="1" x14ac:dyDescent="0.25">
      <c r="A73" s="8"/>
      <c r="B73" s="8"/>
      <c r="C73" s="16"/>
      <c r="D73" s="16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ht="19.5" customHeight="1" x14ac:dyDescent="0.25">
      <c r="A74" s="8"/>
      <c r="B74" s="8"/>
      <c r="C74" s="16"/>
      <c r="D74" s="16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ht="19.5" customHeight="1" x14ac:dyDescent="0.25">
      <c r="A75" s="8"/>
      <c r="B75" s="8"/>
      <c r="C75" s="16"/>
      <c r="D75" s="16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ht="19.5" customHeight="1" x14ac:dyDescent="0.25">
      <c r="A76" s="8"/>
      <c r="B76" s="8"/>
      <c r="C76" s="16"/>
      <c r="D76" s="16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ht="19.5" customHeight="1" x14ac:dyDescent="0.25">
      <c r="A77" s="8"/>
      <c r="B77" s="8"/>
      <c r="C77" s="16"/>
      <c r="D77" s="16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ht="19.5" customHeight="1" x14ac:dyDescent="0.25">
      <c r="A78" s="8"/>
      <c r="B78" s="8"/>
      <c r="C78" s="16"/>
      <c r="D78" s="16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ht="19.5" customHeight="1" x14ac:dyDescent="0.25">
      <c r="A79" s="8"/>
      <c r="B79" s="8"/>
      <c r="C79" s="16"/>
      <c r="D79" s="16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ht="19.5" customHeight="1" x14ac:dyDescent="0.25">
      <c r="A80" s="8"/>
      <c r="B80" s="8"/>
      <c r="C80" s="16"/>
      <c r="D80" s="16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ht="19.5" customHeight="1" x14ac:dyDescent="0.25">
      <c r="A81" s="8"/>
      <c r="B81" s="8"/>
      <c r="C81" s="16"/>
      <c r="D81" s="16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ht="19.5" customHeight="1" x14ac:dyDescent="0.25">
      <c r="A82" s="8"/>
      <c r="B82" s="8"/>
      <c r="C82" s="16"/>
      <c r="D82" s="16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ht="19.5" customHeight="1" x14ac:dyDescent="0.25">
      <c r="A83" s="8"/>
      <c r="B83" s="8"/>
      <c r="C83" s="16"/>
      <c r="D83" s="16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ht="19.5" customHeight="1" x14ac:dyDescent="0.25">
      <c r="A84" s="8"/>
      <c r="B84" s="8"/>
      <c r="C84" s="16"/>
      <c r="D84" s="16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ht="19.5" customHeight="1" x14ac:dyDescent="0.25">
      <c r="A85" s="8"/>
      <c r="B85" s="8"/>
      <c r="C85" s="16"/>
      <c r="D85" s="16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ht="19.5" customHeight="1" x14ac:dyDescent="0.25">
      <c r="A86" s="8"/>
      <c r="B86" s="8"/>
      <c r="C86" s="16"/>
      <c r="D86" s="16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ht="19.5" customHeight="1" x14ac:dyDescent="0.25">
      <c r="A87" s="8"/>
      <c r="B87" s="8"/>
      <c r="C87" s="16"/>
      <c r="D87" s="16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ht="19.5" customHeight="1" x14ac:dyDescent="0.25">
      <c r="A88" s="8"/>
      <c r="B88" s="8"/>
      <c r="C88" s="16"/>
      <c r="D88" s="16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ht="19.5" customHeight="1" x14ac:dyDescent="0.25">
      <c r="A89" s="8"/>
      <c r="B89" s="8"/>
      <c r="C89" s="16"/>
      <c r="D89" s="16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ht="19.5" customHeight="1" x14ac:dyDescent="0.25">
      <c r="A90" s="8"/>
      <c r="B90" s="8"/>
      <c r="C90" s="16"/>
      <c r="D90" s="16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ht="19.5" customHeight="1" x14ac:dyDescent="0.25">
      <c r="A91" s="8"/>
      <c r="B91" s="8"/>
      <c r="C91" s="16"/>
      <c r="D91" s="16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ht="19.5" customHeight="1" x14ac:dyDescent="0.25">
      <c r="A92" s="8"/>
      <c r="B92" s="8"/>
      <c r="C92" s="16"/>
      <c r="D92" s="16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ht="19.5" customHeight="1" x14ac:dyDescent="0.25">
      <c r="A93" s="8"/>
      <c r="B93" s="8"/>
      <c r="C93" s="16"/>
      <c r="D93" s="16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ht="19.5" customHeight="1" x14ac:dyDescent="0.25">
      <c r="A94" s="8"/>
      <c r="B94" s="8"/>
      <c r="C94" s="16"/>
      <c r="D94" s="16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ht="19.5" customHeight="1" x14ac:dyDescent="0.25">
      <c r="A95" s="8"/>
      <c r="B95" s="8"/>
      <c r="C95" s="16"/>
      <c r="D95" s="16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ht="19.5" customHeight="1" x14ac:dyDescent="0.25">
      <c r="A96" s="8"/>
      <c r="B96" s="8"/>
      <c r="C96" s="16"/>
      <c r="D96" s="16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ht="19.5" customHeight="1" x14ac:dyDescent="0.25">
      <c r="A97" s="8"/>
      <c r="B97" s="8"/>
      <c r="C97" s="16"/>
      <c r="D97" s="16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ht="19.5" customHeight="1" x14ac:dyDescent="0.25">
      <c r="A98" s="8"/>
      <c r="B98" s="8"/>
      <c r="C98" s="16"/>
      <c r="D98" s="16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ht="19.5" customHeight="1" x14ac:dyDescent="0.25">
      <c r="A99" s="8"/>
      <c r="B99" s="8"/>
      <c r="C99" s="16"/>
      <c r="D99" s="16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ht="19.5" customHeight="1" x14ac:dyDescent="0.25">
      <c r="A100" s="8"/>
      <c r="B100" s="8"/>
      <c r="C100" s="16"/>
      <c r="D100" s="16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 ht="19.5" customHeight="1" x14ac:dyDescent="0.25">
      <c r="A101" s="8"/>
      <c r="B101" s="8"/>
      <c r="C101" s="16"/>
      <c r="D101" s="16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ht="19.5" customHeight="1" x14ac:dyDescent="0.25">
      <c r="A102" s="8"/>
      <c r="B102" s="8"/>
      <c r="C102" s="16"/>
      <c r="D102" s="16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 ht="19.5" customHeight="1" x14ac:dyDescent="0.25">
      <c r="A103" s="8"/>
      <c r="B103" s="8"/>
      <c r="C103" s="16"/>
      <c r="D103" s="16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1:16" ht="19.5" customHeight="1" x14ac:dyDescent="0.25">
      <c r="A104" s="8"/>
      <c r="B104" s="8"/>
      <c r="C104" s="16"/>
      <c r="D104" s="16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1:16" ht="19.5" customHeight="1" x14ac:dyDescent="0.25">
      <c r="A105" s="8"/>
      <c r="B105" s="8"/>
      <c r="C105" s="16"/>
      <c r="D105" s="16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1:16" ht="19.5" customHeight="1" x14ac:dyDescent="0.25">
      <c r="A106" s="8"/>
      <c r="B106" s="8"/>
      <c r="C106" s="16"/>
      <c r="D106" s="16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 ht="19.5" customHeight="1" x14ac:dyDescent="0.25">
      <c r="A107" s="8"/>
      <c r="B107" s="8"/>
      <c r="C107" s="16"/>
      <c r="D107" s="16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1:16" ht="19.5" customHeight="1" x14ac:dyDescent="0.25">
      <c r="A108" s="8"/>
      <c r="B108" s="8"/>
      <c r="C108" s="16"/>
      <c r="D108" s="16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1:16" ht="19.5" customHeight="1" x14ac:dyDescent="0.25">
      <c r="A109" s="8"/>
      <c r="B109" s="8"/>
      <c r="C109" s="16"/>
      <c r="D109" s="16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 ht="19.5" customHeight="1" x14ac:dyDescent="0.25">
      <c r="A110" s="8"/>
      <c r="B110" s="8"/>
      <c r="C110" s="16"/>
      <c r="D110" s="16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 ht="19.5" customHeight="1" x14ac:dyDescent="0.25">
      <c r="A111" s="8"/>
      <c r="B111" s="8"/>
      <c r="C111" s="16"/>
      <c r="D111" s="16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ht="19.5" customHeight="1" x14ac:dyDescent="0.25">
      <c r="A112" s="8"/>
      <c r="B112" s="8"/>
      <c r="C112" s="16"/>
      <c r="D112" s="16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ht="19.5" customHeight="1" x14ac:dyDescent="0.25">
      <c r="A113" s="8"/>
      <c r="B113" s="8"/>
      <c r="C113" s="16"/>
      <c r="D113" s="16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1:16" ht="19.5" customHeight="1" x14ac:dyDescent="0.25">
      <c r="A114" s="8"/>
      <c r="B114" s="8"/>
      <c r="C114" s="16"/>
      <c r="D114" s="16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1:16" ht="19.5" customHeight="1" x14ac:dyDescent="0.25">
      <c r="A115" s="8"/>
      <c r="B115" s="8"/>
      <c r="C115" s="16"/>
      <c r="D115" s="16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spans="1:16" ht="19.5" customHeight="1" x14ac:dyDescent="0.25">
      <c r="A116" s="8"/>
      <c r="B116" s="8"/>
      <c r="C116" s="16"/>
      <c r="D116" s="16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1:16" ht="19.5" customHeight="1" x14ac:dyDescent="0.25">
      <c r="A117" s="8"/>
      <c r="B117" s="8"/>
      <c r="C117" s="16"/>
      <c r="D117" s="16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1:16" ht="19.5" customHeight="1" x14ac:dyDescent="0.25">
      <c r="A118" s="8"/>
      <c r="B118" s="8"/>
      <c r="C118" s="16"/>
      <c r="D118" s="16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1:16" ht="19.5" customHeight="1" x14ac:dyDescent="0.25">
      <c r="A119" s="8"/>
      <c r="B119" s="8"/>
      <c r="C119" s="16"/>
      <c r="D119" s="16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 ht="19.5" customHeight="1" x14ac:dyDescent="0.25">
      <c r="A120" s="8"/>
      <c r="B120" s="8"/>
      <c r="C120" s="16"/>
      <c r="D120" s="16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1:16" ht="19.5" customHeight="1" x14ac:dyDescent="0.25">
      <c r="A121" s="8"/>
      <c r="B121" s="8"/>
      <c r="C121" s="16"/>
      <c r="D121" s="16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1:16" ht="19.5" customHeight="1" x14ac:dyDescent="0.25">
      <c r="A122" s="8"/>
      <c r="B122" s="8"/>
      <c r="C122" s="16"/>
      <c r="D122" s="16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 ht="19.5" customHeight="1" x14ac:dyDescent="0.25">
      <c r="A123" s="8"/>
      <c r="B123" s="8"/>
      <c r="C123" s="16"/>
      <c r="D123" s="16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 ht="19.5" customHeight="1" x14ac:dyDescent="0.25">
      <c r="A124" s="8"/>
      <c r="B124" s="8"/>
      <c r="C124" s="16"/>
      <c r="D124" s="16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16" ht="19.5" customHeight="1" x14ac:dyDescent="0.25">
      <c r="A125" s="8"/>
      <c r="B125" s="8"/>
      <c r="C125" s="16"/>
      <c r="D125" s="16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 ht="19.5" customHeight="1" x14ac:dyDescent="0.25">
      <c r="A126" s="8"/>
      <c r="B126" s="8"/>
      <c r="C126" s="16"/>
      <c r="D126" s="16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1:16" ht="19.5" customHeight="1" x14ac:dyDescent="0.25">
      <c r="A127" s="8"/>
      <c r="B127" s="8"/>
      <c r="C127" s="16"/>
      <c r="D127" s="16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 ht="19.5" customHeight="1" x14ac:dyDescent="0.25">
      <c r="A128" s="8"/>
      <c r="B128" s="8"/>
      <c r="C128" s="16"/>
      <c r="D128" s="16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ht="19.5" customHeight="1" x14ac:dyDescent="0.25">
      <c r="A129" s="8"/>
      <c r="B129" s="8"/>
      <c r="C129" s="16"/>
      <c r="D129" s="1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 ht="19.5" customHeight="1" x14ac:dyDescent="0.25">
      <c r="A130" s="8"/>
      <c r="B130" s="8"/>
      <c r="C130" s="16"/>
      <c r="D130" s="16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 ht="19.5" customHeight="1" x14ac:dyDescent="0.25">
      <c r="A131" s="8"/>
      <c r="B131" s="8"/>
      <c r="C131" s="16"/>
      <c r="D131" s="16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 ht="19.5" customHeight="1" x14ac:dyDescent="0.25">
      <c r="A132" s="8"/>
      <c r="B132" s="8"/>
      <c r="C132" s="16"/>
      <c r="D132" s="16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1:16" ht="19.5" customHeight="1" x14ac:dyDescent="0.25">
      <c r="A133" s="8"/>
      <c r="B133" s="8"/>
      <c r="C133" s="16"/>
      <c r="D133" s="16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1:16" ht="19.5" customHeight="1" x14ac:dyDescent="0.25">
      <c r="A134" s="8"/>
      <c r="B134" s="8"/>
      <c r="C134" s="16"/>
      <c r="D134" s="16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1:16" ht="19.5" customHeight="1" x14ac:dyDescent="0.25">
      <c r="A135" s="8"/>
      <c r="B135" s="8"/>
      <c r="C135" s="16"/>
      <c r="D135" s="16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1:16" ht="19.5" customHeight="1" x14ac:dyDescent="0.25">
      <c r="A136" s="8"/>
      <c r="B136" s="8"/>
      <c r="C136" s="16"/>
      <c r="D136" s="16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1:16" ht="19.5" customHeight="1" x14ac:dyDescent="0.25">
      <c r="A137" s="8"/>
      <c r="B137" s="8"/>
      <c r="C137" s="16"/>
      <c r="D137" s="16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1:16" ht="19.5" customHeight="1" x14ac:dyDescent="0.25">
      <c r="A138" s="8"/>
      <c r="B138" s="8"/>
      <c r="C138" s="16"/>
      <c r="D138" s="16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1:16" ht="19.5" customHeight="1" x14ac:dyDescent="0.25">
      <c r="A139" s="8"/>
      <c r="B139" s="8"/>
      <c r="C139" s="16"/>
      <c r="D139" s="16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ht="19.5" customHeight="1" x14ac:dyDescent="0.25">
      <c r="A140" s="8"/>
      <c r="B140" s="8"/>
      <c r="C140" s="16"/>
      <c r="D140" s="16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 ht="19.5" customHeight="1" x14ac:dyDescent="0.25">
      <c r="A141" s="8"/>
      <c r="B141" s="8"/>
      <c r="C141" s="16"/>
      <c r="D141" s="16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 ht="19.5" customHeight="1" x14ac:dyDescent="0.25">
      <c r="A142" s="8"/>
      <c r="B142" s="8"/>
      <c r="C142" s="16"/>
      <c r="D142" s="16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 ht="19.5" customHeight="1" x14ac:dyDescent="0.25">
      <c r="A143" s="8"/>
      <c r="B143" s="8"/>
      <c r="C143" s="16"/>
      <c r="D143" s="16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spans="1:16" ht="19.5" customHeight="1" x14ac:dyDescent="0.25">
      <c r="A144" s="8"/>
      <c r="B144" s="8"/>
      <c r="C144" s="16"/>
      <c r="D144" s="16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spans="1:16" ht="19.5" customHeight="1" x14ac:dyDescent="0.25">
      <c r="A145" s="8"/>
      <c r="B145" s="8"/>
      <c r="C145" s="16"/>
      <c r="D145" s="16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spans="1:16" ht="19.5" customHeight="1" x14ac:dyDescent="0.25">
      <c r="A146" s="8"/>
      <c r="B146" s="8"/>
      <c r="C146" s="16"/>
      <c r="D146" s="16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1:16" ht="19.5" customHeight="1" x14ac:dyDescent="0.25">
      <c r="A147" s="8"/>
      <c r="B147" s="8"/>
      <c r="C147" s="16"/>
      <c r="D147" s="16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spans="1:16" ht="19.5" customHeight="1" x14ac:dyDescent="0.25">
      <c r="A148" s="8"/>
      <c r="B148" s="8"/>
      <c r="C148" s="16"/>
      <c r="D148" s="16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spans="1:16" ht="19.5" customHeight="1" x14ac:dyDescent="0.25">
      <c r="A149" s="8"/>
      <c r="B149" s="8"/>
      <c r="C149" s="16"/>
      <c r="D149" s="16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spans="1:16" ht="19.5" customHeight="1" x14ac:dyDescent="0.25">
      <c r="A150" s="8"/>
      <c r="B150" s="8"/>
      <c r="C150" s="16"/>
      <c r="D150" s="16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spans="1:16" ht="19.5" customHeight="1" x14ac:dyDescent="0.25">
      <c r="A151" s="8"/>
      <c r="B151" s="8"/>
      <c r="C151" s="16"/>
      <c r="D151" s="16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spans="1:16" ht="19.5" customHeight="1" x14ac:dyDescent="0.25">
      <c r="A152" s="8"/>
      <c r="B152" s="8"/>
      <c r="C152" s="16"/>
      <c r="D152" s="16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spans="1:16" ht="19.5" customHeight="1" x14ac:dyDescent="0.25">
      <c r="A153" s="8"/>
      <c r="B153" s="8"/>
      <c r="C153" s="16"/>
      <c r="D153" s="16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spans="1:16" ht="19.5" customHeight="1" x14ac:dyDescent="0.25">
      <c r="A154" s="8"/>
      <c r="B154" s="8"/>
      <c r="C154" s="16"/>
      <c r="D154" s="16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1:16" ht="19.5" customHeight="1" x14ac:dyDescent="0.25">
      <c r="A155" s="8"/>
      <c r="B155" s="8"/>
      <c r="C155" s="16"/>
      <c r="D155" s="16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spans="1:16" ht="19.5" customHeight="1" x14ac:dyDescent="0.25">
      <c r="A156" s="8"/>
      <c r="B156" s="8"/>
      <c r="C156" s="16"/>
      <c r="D156" s="16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spans="1:16" ht="19.5" customHeight="1" x14ac:dyDescent="0.25">
      <c r="A157" s="8"/>
      <c r="B157" s="8"/>
      <c r="C157" s="16"/>
      <c r="D157" s="16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spans="1:16" ht="19.5" customHeight="1" x14ac:dyDescent="0.25">
      <c r="A158" s="8"/>
      <c r="B158" s="8"/>
      <c r="C158" s="16"/>
      <c r="D158" s="16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spans="1:16" ht="19.5" customHeight="1" x14ac:dyDescent="0.25">
      <c r="A159" s="8"/>
      <c r="B159" s="8"/>
      <c r="C159" s="16"/>
      <c r="D159" s="16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spans="1:16" ht="19.5" customHeight="1" x14ac:dyDescent="0.25">
      <c r="A160" s="8"/>
      <c r="B160" s="8"/>
      <c r="C160" s="16"/>
      <c r="D160" s="16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 spans="1:16" ht="19.5" customHeight="1" x14ac:dyDescent="0.25">
      <c r="A161" s="8"/>
      <c r="B161" s="8"/>
      <c r="C161" s="16"/>
      <c r="D161" s="16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 spans="1:16" ht="19.5" customHeight="1" x14ac:dyDescent="0.25">
      <c r="A162" s="8"/>
      <c r="B162" s="8"/>
      <c r="C162" s="16"/>
      <c r="D162" s="16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spans="1:16" ht="19.5" customHeight="1" x14ac:dyDescent="0.25">
      <c r="A163" s="8"/>
      <c r="B163" s="8"/>
      <c r="C163" s="16"/>
      <c r="D163" s="16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spans="1:16" ht="19.5" customHeight="1" x14ac:dyDescent="0.25">
      <c r="A164" s="8"/>
      <c r="B164" s="8"/>
      <c r="C164" s="16"/>
      <c r="D164" s="16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spans="1:16" ht="19.5" customHeight="1" x14ac:dyDescent="0.25">
      <c r="A165" s="8"/>
      <c r="B165" s="8"/>
      <c r="C165" s="16"/>
      <c r="D165" s="16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spans="1:16" ht="19.5" customHeight="1" x14ac:dyDescent="0.25">
      <c r="A166" s="8"/>
      <c r="B166" s="8"/>
      <c r="C166" s="16"/>
      <c r="D166" s="16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spans="1:16" ht="19.5" customHeight="1" x14ac:dyDescent="0.25">
      <c r="A167" s="8"/>
      <c r="B167" s="8"/>
      <c r="C167" s="16"/>
      <c r="D167" s="16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spans="1:16" ht="19.5" customHeight="1" x14ac:dyDescent="0.25">
      <c r="A168" s="8"/>
      <c r="B168" s="8"/>
      <c r="C168" s="16"/>
      <c r="D168" s="16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spans="1:16" ht="19.5" customHeight="1" x14ac:dyDescent="0.25">
      <c r="A169" s="8"/>
      <c r="B169" s="8"/>
      <c r="C169" s="16"/>
      <c r="D169" s="16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 spans="1:16" ht="19.5" customHeight="1" x14ac:dyDescent="0.25">
      <c r="A170" s="8"/>
      <c r="B170" s="8"/>
      <c r="C170" s="16"/>
      <c r="D170" s="16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1:16" ht="19.5" customHeight="1" x14ac:dyDescent="0.25">
      <c r="A171" s="8"/>
      <c r="B171" s="8"/>
      <c r="C171" s="16"/>
      <c r="D171" s="16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1:16" ht="19.5" customHeight="1" x14ac:dyDescent="0.25">
      <c r="A172" s="8"/>
      <c r="B172" s="8"/>
      <c r="C172" s="16"/>
      <c r="D172" s="16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spans="1:16" ht="19.5" customHeight="1" x14ac:dyDescent="0.25">
      <c r="A173" s="8"/>
      <c r="B173" s="8"/>
      <c r="C173" s="16"/>
      <c r="D173" s="16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1:16" ht="19.5" customHeight="1" x14ac:dyDescent="0.25">
      <c r="A174" s="8"/>
      <c r="B174" s="8"/>
      <c r="C174" s="16"/>
      <c r="D174" s="16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spans="1:16" ht="19.5" customHeight="1" x14ac:dyDescent="0.25">
      <c r="A175" s="8"/>
      <c r="B175" s="8"/>
      <c r="C175" s="16"/>
      <c r="D175" s="16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spans="1:16" ht="19.5" customHeight="1" x14ac:dyDescent="0.25">
      <c r="A176" s="8"/>
      <c r="B176" s="8"/>
      <c r="C176" s="16"/>
      <c r="D176" s="16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spans="1:16" ht="19.5" customHeight="1" x14ac:dyDescent="0.25">
      <c r="A177" s="8"/>
      <c r="B177" s="8"/>
      <c r="C177" s="16"/>
      <c r="D177" s="16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spans="1:16" ht="19.5" customHeight="1" x14ac:dyDescent="0.25">
      <c r="A178" s="8"/>
      <c r="B178" s="8"/>
      <c r="C178" s="16"/>
      <c r="D178" s="16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spans="1:16" ht="19.5" customHeight="1" x14ac:dyDescent="0.25">
      <c r="A179" s="8"/>
      <c r="B179" s="8"/>
      <c r="C179" s="16"/>
      <c r="D179" s="16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spans="1:16" ht="19.5" customHeight="1" x14ac:dyDescent="0.25">
      <c r="A180" s="8"/>
      <c r="B180" s="8"/>
      <c r="C180" s="16"/>
      <c r="D180" s="16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spans="1:16" ht="19.5" customHeight="1" x14ac:dyDescent="0.25">
      <c r="A181" s="8"/>
      <c r="B181" s="8"/>
      <c r="C181" s="16"/>
      <c r="D181" s="16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spans="1:16" ht="19.5" customHeight="1" x14ac:dyDescent="0.25">
      <c r="A182" s="8"/>
      <c r="B182" s="8"/>
      <c r="C182" s="16"/>
      <c r="D182" s="16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spans="1:16" ht="19.5" customHeight="1" x14ac:dyDescent="0.25">
      <c r="A183" s="8"/>
      <c r="B183" s="8"/>
      <c r="C183" s="16"/>
      <c r="D183" s="16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spans="1:16" ht="19.5" customHeight="1" x14ac:dyDescent="0.25">
      <c r="A184" s="8"/>
      <c r="B184" s="8"/>
      <c r="C184" s="16"/>
      <c r="D184" s="16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spans="1:16" ht="19.5" customHeight="1" x14ac:dyDescent="0.25">
      <c r="A185" s="8"/>
      <c r="B185" s="8"/>
      <c r="C185" s="16"/>
      <c r="D185" s="16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spans="1:16" ht="19.5" customHeight="1" x14ac:dyDescent="0.25">
      <c r="A186" s="8"/>
      <c r="B186" s="8"/>
      <c r="C186" s="16"/>
      <c r="D186" s="16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spans="1:16" ht="19.5" customHeight="1" x14ac:dyDescent="0.25">
      <c r="A187" s="8"/>
      <c r="B187" s="8"/>
      <c r="C187" s="16"/>
      <c r="D187" s="16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spans="1:16" ht="19.5" customHeight="1" x14ac:dyDescent="0.25">
      <c r="A188" s="8"/>
      <c r="B188" s="8"/>
      <c r="C188" s="16"/>
      <c r="D188" s="1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spans="1:16" ht="19.5" customHeight="1" x14ac:dyDescent="0.25">
      <c r="A189" s="8"/>
      <c r="B189" s="8"/>
      <c r="C189" s="16"/>
      <c r="D189" s="16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spans="1:16" ht="19.5" customHeight="1" x14ac:dyDescent="0.25">
      <c r="A190" s="8"/>
      <c r="B190" s="8"/>
      <c r="C190" s="16"/>
      <c r="D190" s="16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spans="1:16" ht="19.5" customHeight="1" x14ac:dyDescent="0.25">
      <c r="A191" s="8"/>
      <c r="B191" s="8"/>
      <c r="C191" s="16"/>
      <c r="D191" s="16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spans="1:16" ht="19.5" customHeight="1" x14ac:dyDescent="0.25">
      <c r="A192" s="8"/>
      <c r="B192" s="8"/>
      <c r="C192" s="16"/>
      <c r="D192" s="16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1:16" ht="19.5" customHeight="1" x14ac:dyDescent="0.25">
      <c r="A193" s="8"/>
      <c r="B193" s="8"/>
      <c r="C193" s="16"/>
      <c r="D193" s="16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1:16" ht="19.5" customHeight="1" x14ac:dyDescent="0.25">
      <c r="A194" s="8"/>
      <c r="B194" s="8"/>
      <c r="C194" s="16"/>
      <c r="D194" s="16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spans="1:16" ht="19.5" customHeight="1" x14ac:dyDescent="0.25">
      <c r="A195" s="8"/>
      <c r="B195" s="8"/>
      <c r="C195" s="16"/>
      <c r="D195" s="16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spans="1:16" ht="19.5" customHeight="1" x14ac:dyDescent="0.25">
      <c r="A196" s="8"/>
      <c r="B196" s="8"/>
      <c r="C196" s="16"/>
      <c r="D196" s="16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1:16" ht="19.5" customHeight="1" x14ac:dyDescent="0.25">
      <c r="A197" s="8"/>
      <c r="B197" s="8"/>
      <c r="C197" s="16"/>
      <c r="D197" s="16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spans="1:16" ht="19.5" customHeight="1" x14ac:dyDescent="0.25">
      <c r="A198" s="8"/>
      <c r="B198" s="8"/>
      <c r="C198" s="16"/>
      <c r="D198" s="16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 spans="1:16" ht="19.5" customHeight="1" x14ac:dyDescent="0.25">
      <c r="A199" s="8"/>
      <c r="B199" s="8"/>
      <c r="C199" s="16"/>
      <c r="D199" s="16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 spans="1:16" ht="19.5" customHeight="1" x14ac:dyDescent="0.25">
      <c r="A200" s="8"/>
      <c r="B200" s="8"/>
      <c r="C200" s="16"/>
      <c r="D200" s="16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 spans="1:16" ht="19.5" customHeight="1" x14ac:dyDescent="0.25">
      <c r="A201" s="8"/>
      <c r="B201" s="8"/>
      <c r="C201" s="16"/>
      <c r="D201" s="16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 spans="1:16" ht="19.5" customHeight="1" x14ac:dyDescent="0.25">
      <c r="A202" s="8"/>
      <c r="B202" s="8"/>
      <c r="C202" s="16"/>
      <c r="D202" s="16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 spans="1:16" ht="19.5" customHeight="1" x14ac:dyDescent="0.25">
      <c r="A203" s="8"/>
      <c r="B203" s="8"/>
      <c r="C203" s="16"/>
      <c r="D203" s="16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spans="1:16" ht="19.5" customHeight="1" x14ac:dyDescent="0.25">
      <c r="A204" s="8"/>
      <c r="B204" s="8"/>
      <c r="C204" s="16"/>
      <c r="D204" s="16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spans="1:16" ht="19.5" customHeight="1" x14ac:dyDescent="0.25">
      <c r="A205" s="8"/>
      <c r="B205" s="8"/>
      <c r="C205" s="16"/>
      <c r="D205" s="16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 spans="1:16" ht="19.5" customHeight="1" x14ac:dyDescent="0.25">
      <c r="A206" s="8"/>
      <c r="B206" s="8"/>
      <c r="C206" s="16"/>
      <c r="D206" s="16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1:16" ht="19.5" customHeight="1" x14ac:dyDescent="0.25">
      <c r="A207" s="8"/>
      <c r="B207" s="8"/>
      <c r="C207" s="16"/>
      <c r="D207" s="16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spans="1:16" ht="19.5" customHeight="1" x14ac:dyDescent="0.25">
      <c r="A208" s="8"/>
      <c r="B208" s="8"/>
      <c r="C208" s="16"/>
      <c r="D208" s="16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spans="1:16" ht="19.5" customHeight="1" x14ac:dyDescent="0.25">
      <c r="A209" s="8"/>
      <c r="B209" s="8"/>
      <c r="C209" s="16"/>
      <c r="D209" s="16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spans="1:16" ht="19.5" customHeight="1" x14ac:dyDescent="0.25">
      <c r="A210" s="8"/>
      <c r="B210" s="8"/>
      <c r="C210" s="16"/>
      <c r="D210" s="16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spans="1:16" ht="19.5" customHeight="1" x14ac:dyDescent="0.25">
      <c r="A211" s="8"/>
      <c r="B211" s="8"/>
      <c r="C211" s="16"/>
      <c r="D211" s="16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spans="1:16" ht="19.5" customHeight="1" x14ac:dyDescent="0.25">
      <c r="A212" s="8"/>
      <c r="B212" s="8"/>
      <c r="C212" s="16"/>
      <c r="D212" s="16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spans="1:16" ht="19.5" customHeight="1" x14ac:dyDescent="0.25">
      <c r="A213" s="8"/>
      <c r="B213" s="8"/>
      <c r="C213" s="16"/>
      <c r="D213" s="16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spans="1:16" ht="19.5" customHeight="1" x14ac:dyDescent="0.25">
      <c r="A214" s="8"/>
      <c r="B214" s="8"/>
      <c r="C214" s="16"/>
      <c r="D214" s="16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1:16" ht="19.5" customHeight="1" x14ac:dyDescent="0.25">
      <c r="A215" s="8"/>
      <c r="B215" s="8"/>
      <c r="C215" s="16"/>
      <c r="D215" s="16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1:16" ht="19.5" customHeight="1" x14ac:dyDescent="0.25">
      <c r="A216" s="8"/>
      <c r="B216" s="8"/>
      <c r="C216" s="16"/>
      <c r="D216" s="16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spans="1:16" ht="19.5" customHeight="1" x14ac:dyDescent="0.25">
      <c r="A217" s="8"/>
      <c r="B217" s="8"/>
      <c r="C217" s="16"/>
      <c r="D217" s="16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spans="1:16" ht="19.5" customHeight="1" x14ac:dyDescent="0.25">
      <c r="A218" s="8"/>
      <c r="B218" s="8"/>
      <c r="C218" s="16"/>
      <c r="D218" s="16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1:16" ht="19.5" customHeight="1" x14ac:dyDescent="0.25">
      <c r="A219" s="8"/>
      <c r="B219" s="8"/>
      <c r="C219" s="16"/>
      <c r="D219" s="16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spans="1:16" ht="19.5" customHeight="1" x14ac:dyDescent="0.25">
      <c r="A220" s="8"/>
      <c r="B220" s="8"/>
      <c r="C220" s="16"/>
      <c r="D220" s="16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 spans="1:16" ht="19.5" customHeight="1" x14ac:dyDescent="0.25">
      <c r="A221" s="8"/>
      <c r="B221" s="8"/>
      <c r="C221" s="16"/>
      <c r="D221" s="16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 spans="1:16" ht="19.5" customHeight="1" x14ac:dyDescent="0.25">
      <c r="A222" s="8"/>
      <c r="B222" s="8"/>
      <c r="C222" s="16"/>
      <c r="D222" s="16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 spans="1:16" ht="19.5" customHeight="1" x14ac:dyDescent="0.25">
      <c r="A223" s="8"/>
      <c r="B223" s="8"/>
      <c r="C223" s="16"/>
      <c r="D223" s="16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 spans="1:16" ht="19.5" customHeight="1" x14ac:dyDescent="0.25">
      <c r="A224" s="8"/>
      <c r="B224" s="8"/>
      <c r="C224" s="16"/>
      <c r="D224" s="16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 spans="1:16" ht="19.5" customHeight="1" x14ac:dyDescent="0.25">
      <c r="A225" s="8"/>
      <c r="B225" s="8"/>
      <c r="C225" s="16"/>
      <c r="D225" s="16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 spans="1:16" ht="19.5" customHeight="1" x14ac:dyDescent="0.25">
      <c r="A226" s="8"/>
      <c r="B226" s="8"/>
      <c r="C226" s="16"/>
      <c r="D226" s="16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 spans="1:16" ht="19.5" customHeight="1" x14ac:dyDescent="0.25">
      <c r="A227" s="8"/>
      <c r="B227" s="8"/>
      <c r="C227" s="16"/>
      <c r="D227" s="16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 spans="1:16" ht="19.5" customHeight="1" x14ac:dyDescent="0.25">
      <c r="A228" s="8"/>
      <c r="B228" s="8"/>
      <c r="C228" s="16"/>
      <c r="D228" s="16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spans="1:16" ht="19.5" customHeight="1" x14ac:dyDescent="0.25">
      <c r="A229" s="8"/>
      <c r="B229" s="8"/>
      <c r="C229" s="16"/>
      <c r="D229" s="16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spans="1:16" ht="19.5" customHeight="1" x14ac:dyDescent="0.25">
      <c r="A230" s="8"/>
      <c r="B230" s="8"/>
      <c r="C230" s="16"/>
      <c r="D230" s="16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spans="1:16" ht="19.5" customHeight="1" x14ac:dyDescent="0.25">
      <c r="A231" s="8"/>
      <c r="B231" s="8"/>
      <c r="C231" s="16"/>
      <c r="D231" s="16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1:16" ht="19.5" customHeight="1" x14ac:dyDescent="0.25">
      <c r="A232" s="8"/>
      <c r="B232" s="8"/>
      <c r="C232" s="16"/>
      <c r="D232" s="16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1:16" ht="19.5" customHeight="1" x14ac:dyDescent="0.25">
      <c r="A233" s="8"/>
      <c r="B233" s="8"/>
      <c r="C233" s="16"/>
      <c r="D233" s="16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spans="1:16" ht="19.5" customHeight="1" x14ac:dyDescent="0.25">
      <c r="A234" s="8"/>
      <c r="B234" s="8"/>
      <c r="C234" s="16"/>
      <c r="D234" s="16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spans="1:16" ht="19.5" customHeight="1" x14ac:dyDescent="0.25">
      <c r="A235" s="8"/>
      <c r="B235" s="8"/>
      <c r="C235" s="16"/>
      <c r="D235" s="16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spans="1:16" ht="19.5" customHeight="1" x14ac:dyDescent="0.25">
      <c r="A236" s="8"/>
      <c r="B236" s="8"/>
      <c r="C236" s="16"/>
      <c r="D236" s="16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1:16" ht="19.5" customHeight="1" x14ac:dyDescent="0.25">
      <c r="A237" s="8"/>
      <c r="B237" s="8"/>
      <c r="C237" s="16"/>
      <c r="D237" s="16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1:16" ht="19.5" customHeight="1" x14ac:dyDescent="0.25">
      <c r="A238" s="8"/>
      <c r="B238" s="8"/>
      <c r="C238" s="16"/>
      <c r="D238" s="16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spans="1:16" ht="19.5" customHeight="1" x14ac:dyDescent="0.25">
      <c r="A239" s="8"/>
      <c r="B239" s="8"/>
      <c r="C239" s="16"/>
      <c r="D239" s="16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1:16" ht="19.5" customHeight="1" x14ac:dyDescent="0.25">
      <c r="A240" s="8"/>
      <c r="B240" s="8"/>
      <c r="C240" s="16"/>
      <c r="D240" s="16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spans="1:16" ht="19.5" customHeight="1" x14ac:dyDescent="0.25">
      <c r="A241" s="8"/>
      <c r="B241" s="8"/>
      <c r="C241" s="16"/>
      <c r="D241" s="16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spans="1:16" ht="19.5" customHeight="1" x14ac:dyDescent="0.25">
      <c r="A242" s="8"/>
      <c r="B242" s="8"/>
      <c r="C242" s="16"/>
      <c r="D242" s="16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spans="1:16" ht="19.5" customHeight="1" x14ac:dyDescent="0.25">
      <c r="A243" s="8"/>
      <c r="B243" s="8"/>
      <c r="C243" s="16"/>
      <c r="D243" s="16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spans="1:16" ht="19.5" customHeight="1" x14ac:dyDescent="0.25">
      <c r="A244" s="8"/>
      <c r="B244" s="8"/>
      <c r="C244" s="16"/>
      <c r="D244" s="16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spans="1:16" ht="19.5" customHeight="1" x14ac:dyDescent="0.25">
      <c r="A245" s="8"/>
      <c r="B245" s="8"/>
      <c r="C245" s="16"/>
      <c r="D245" s="16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spans="1:16" ht="19.5" customHeight="1" x14ac:dyDescent="0.25">
      <c r="A246" s="8"/>
      <c r="B246" s="8"/>
      <c r="C246" s="16"/>
      <c r="D246" s="16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spans="1:16" ht="19.5" customHeight="1" x14ac:dyDescent="0.25">
      <c r="A247" s="8"/>
      <c r="B247" s="8"/>
      <c r="C247" s="16"/>
      <c r="D247" s="16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spans="1:16" ht="19.5" customHeight="1" x14ac:dyDescent="0.25">
      <c r="A248" s="8"/>
      <c r="B248" s="8"/>
      <c r="C248" s="16"/>
      <c r="D248" s="16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spans="1:16" ht="19.5" customHeight="1" x14ac:dyDescent="0.25">
      <c r="A249" s="8"/>
      <c r="B249" s="8"/>
      <c r="C249" s="16"/>
      <c r="D249" s="16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spans="1:16" ht="19.5" customHeight="1" x14ac:dyDescent="0.25">
      <c r="A250" s="8"/>
      <c r="B250" s="8"/>
      <c r="C250" s="16"/>
      <c r="D250" s="16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spans="1:16" ht="19.5" customHeight="1" x14ac:dyDescent="0.25">
      <c r="A251" s="8"/>
      <c r="B251" s="8"/>
      <c r="C251" s="16"/>
      <c r="D251" s="16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spans="1:16" ht="19.5" customHeight="1" x14ac:dyDescent="0.25">
      <c r="A252" s="8"/>
      <c r="B252" s="8"/>
      <c r="C252" s="16"/>
      <c r="D252" s="16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spans="1:16" ht="19.5" customHeight="1" x14ac:dyDescent="0.25">
      <c r="A253" s="8"/>
      <c r="B253" s="8"/>
      <c r="C253" s="16"/>
      <c r="D253" s="16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spans="1:16" ht="19.5" customHeight="1" x14ac:dyDescent="0.25">
      <c r="A254" s="8"/>
      <c r="B254" s="8"/>
      <c r="C254" s="16"/>
      <c r="D254" s="16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spans="1:16" ht="19.5" customHeight="1" x14ac:dyDescent="0.25">
      <c r="A255" s="8"/>
      <c r="B255" s="8"/>
      <c r="C255" s="16"/>
      <c r="D255" s="16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spans="1:16" ht="19.5" customHeight="1" x14ac:dyDescent="0.25">
      <c r="A256" s="8"/>
      <c r="B256" s="8"/>
      <c r="C256" s="16"/>
      <c r="D256" s="16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spans="1:16" ht="19.5" customHeight="1" x14ac:dyDescent="0.25">
      <c r="A257" s="8"/>
      <c r="B257" s="8"/>
      <c r="C257" s="16"/>
      <c r="D257" s="16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spans="1:16" ht="19.5" customHeight="1" x14ac:dyDescent="0.25">
      <c r="A258" s="8"/>
      <c r="B258" s="8"/>
      <c r="C258" s="16"/>
      <c r="D258" s="16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spans="1:16" ht="19.5" customHeight="1" x14ac:dyDescent="0.25">
      <c r="A259" s="8"/>
      <c r="B259" s="8"/>
      <c r="C259" s="16"/>
      <c r="D259" s="16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spans="1:16" ht="19.5" customHeight="1" x14ac:dyDescent="0.25">
      <c r="A260" s="8"/>
      <c r="B260" s="8"/>
      <c r="C260" s="16"/>
      <c r="D260" s="16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spans="1:16" ht="19.5" customHeight="1" x14ac:dyDescent="0.25">
      <c r="A261" s="8"/>
      <c r="B261" s="8"/>
      <c r="C261" s="16"/>
      <c r="D261" s="16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spans="1:16" ht="19.5" customHeight="1" x14ac:dyDescent="0.25">
      <c r="A262" s="8"/>
      <c r="B262" s="8"/>
      <c r="C262" s="16"/>
      <c r="D262" s="16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spans="1:16" ht="19.5" customHeight="1" x14ac:dyDescent="0.25">
      <c r="A263" s="8"/>
      <c r="B263" s="8"/>
      <c r="C263" s="16"/>
      <c r="D263" s="16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spans="1:16" ht="19.5" customHeight="1" x14ac:dyDescent="0.25">
      <c r="A264" s="8"/>
      <c r="B264" s="8"/>
      <c r="C264" s="16"/>
      <c r="D264" s="16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spans="1:16" ht="19.5" customHeight="1" x14ac:dyDescent="0.25">
      <c r="A265" s="8"/>
      <c r="B265" s="8"/>
      <c r="C265" s="16"/>
      <c r="D265" s="16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spans="1:16" ht="19.5" customHeight="1" x14ac:dyDescent="0.25">
      <c r="A266" s="8"/>
      <c r="B266" s="8"/>
      <c r="C266" s="16"/>
      <c r="D266" s="16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1:16" ht="19.5" customHeight="1" x14ac:dyDescent="0.25">
      <c r="A267" s="8"/>
      <c r="B267" s="8"/>
      <c r="C267" s="16"/>
      <c r="D267" s="16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spans="1:16" ht="19.5" customHeight="1" x14ac:dyDescent="0.25">
      <c r="A268" s="8"/>
      <c r="B268" s="8"/>
      <c r="C268" s="16"/>
      <c r="D268" s="16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spans="1:16" ht="19.5" customHeight="1" x14ac:dyDescent="0.25">
      <c r="A269" s="8"/>
      <c r="B269" s="8"/>
      <c r="C269" s="16"/>
      <c r="D269" s="16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spans="1:16" ht="19.5" customHeight="1" x14ac:dyDescent="0.25">
      <c r="A270" s="8"/>
      <c r="B270" s="8"/>
      <c r="C270" s="16"/>
      <c r="D270" s="16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spans="1:16" ht="19.5" customHeight="1" x14ac:dyDescent="0.25">
      <c r="A271" s="8"/>
      <c r="B271" s="8"/>
      <c r="C271" s="16"/>
      <c r="D271" s="16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spans="1:16" ht="19.5" customHeight="1" x14ac:dyDescent="0.25">
      <c r="A272" s="8"/>
      <c r="B272" s="8"/>
      <c r="C272" s="16"/>
      <c r="D272" s="16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spans="1:16" ht="19.5" customHeight="1" x14ac:dyDescent="0.25">
      <c r="A273" s="8"/>
      <c r="B273" s="8"/>
      <c r="C273" s="16"/>
      <c r="D273" s="16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spans="1:16" ht="19.5" customHeight="1" x14ac:dyDescent="0.25">
      <c r="A274" s="8"/>
      <c r="B274" s="8"/>
      <c r="C274" s="16"/>
      <c r="D274" s="16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spans="1:16" ht="19.5" customHeight="1" x14ac:dyDescent="0.25">
      <c r="A275" s="8"/>
      <c r="B275" s="8"/>
      <c r="C275" s="16"/>
      <c r="D275" s="16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spans="1:16" ht="19.5" customHeight="1" x14ac:dyDescent="0.25">
      <c r="A276" s="8"/>
      <c r="B276" s="8"/>
      <c r="C276" s="16"/>
      <c r="D276" s="16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1:16" ht="19.5" customHeight="1" x14ac:dyDescent="0.25">
      <c r="A277" s="8"/>
      <c r="B277" s="8"/>
      <c r="C277" s="16"/>
      <c r="D277" s="16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spans="1:16" ht="19.5" customHeight="1" x14ac:dyDescent="0.25">
      <c r="A278" s="8"/>
      <c r="B278" s="8"/>
      <c r="C278" s="16"/>
      <c r="D278" s="16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spans="1:16" ht="19.5" customHeight="1" x14ac:dyDescent="0.25">
      <c r="A279" s="8"/>
      <c r="B279" s="8"/>
      <c r="C279" s="16"/>
      <c r="D279" s="16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spans="1:16" ht="19.5" customHeight="1" x14ac:dyDescent="0.25">
      <c r="A280" s="8"/>
      <c r="B280" s="8"/>
      <c r="C280" s="16"/>
      <c r="D280" s="16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spans="1:16" ht="19.5" customHeight="1" x14ac:dyDescent="0.25">
      <c r="A281" s="8"/>
      <c r="B281" s="8"/>
      <c r="C281" s="16"/>
      <c r="D281" s="16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spans="1:16" ht="19.5" customHeight="1" x14ac:dyDescent="0.25">
      <c r="A282" s="8"/>
      <c r="B282" s="8"/>
      <c r="C282" s="16"/>
      <c r="D282" s="16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spans="1:16" ht="19.5" customHeight="1" x14ac:dyDescent="0.25">
      <c r="A283" s="8"/>
      <c r="B283" s="8"/>
      <c r="C283" s="16"/>
      <c r="D283" s="16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spans="1:16" ht="19.5" customHeight="1" x14ac:dyDescent="0.25">
      <c r="A284" s="8"/>
      <c r="B284" s="8"/>
      <c r="C284" s="16"/>
      <c r="D284" s="16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spans="1:16" ht="19.5" customHeight="1" x14ac:dyDescent="0.25">
      <c r="A285" s="8"/>
      <c r="B285" s="8"/>
      <c r="C285" s="16"/>
      <c r="D285" s="16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spans="1:16" ht="19.5" customHeight="1" x14ac:dyDescent="0.25">
      <c r="A286" s="8"/>
      <c r="B286" s="8"/>
      <c r="C286" s="16"/>
      <c r="D286" s="16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spans="1:16" ht="19.5" customHeight="1" x14ac:dyDescent="0.25">
      <c r="A287" s="8"/>
      <c r="B287" s="8"/>
      <c r="C287" s="16"/>
      <c r="D287" s="16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spans="1:16" ht="19.5" customHeight="1" x14ac:dyDescent="0.25">
      <c r="A288" s="8"/>
      <c r="B288" s="8"/>
      <c r="C288" s="16"/>
      <c r="D288" s="16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spans="1:16" ht="19.5" customHeight="1" x14ac:dyDescent="0.25">
      <c r="A289" s="8"/>
      <c r="B289" s="8"/>
      <c r="C289" s="16"/>
      <c r="D289" s="16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1:16" ht="19.5" customHeight="1" x14ac:dyDescent="0.25">
      <c r="A290" s="8"/>
      <c r="B290" s="8"/>
      <c r="C290" s="16"/>
      <c r="D290" s="16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spans="1:16" ht="19.5" customHeight="1" x14ac:dyDescent="0.25">
      <c r="A291" s="8"/>
      <c r="B291" s="8"/>
      <c r="C291" s="16"/>
      <c r="D291" s="16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spans="1:16" ht="19.5" customHeight="1" x14ac:dyDescent="0.25">
      <c r="A292" s="8"/>
      <c r="B292" s="8"/>
      <c r="C292" s="16"/>
      <c r="D292" s="16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1:16" ht="19.5" customHeight="1" x14ac:dyDescent="0.25">
      <c r="A293" s="8"/>
      <c r="B293" s="8"/>
      <c r="C293" s="16"/>
      <c r="D293" s="16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spans="1:16" ht="19.5" customHeight="1" x14ac:dyDescent="0.25">
      <c r="A294" s="8"/>
      <c r="B294" s="8"/>
      <c r="C294" s="16"/>
      <c r="D294" s="16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spans="1:16" ht="19.5" customHeight="1" x14ac:dyDescent="0.25">
      <c r="A295" s="8"/>
      <c r="B295" s="8"/>
      <c r="C295" s="16"/>
      <c r="D295" s="16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spans="1:16" ht="19.5" customHeight="1" x14ac:dyDescent="0.25">
      <c r="A296" s="8"/>
      <c r="B296" s="8"/>
      <c r="C296" s="16"/>
      <c r="D296" s="16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spans="1:16" ht="19.5" customHeight="1" x14ac:dyDescent="0.25">
      <c r="A297" s="8"/>
      <c r="B297" s="8"/>
      <c r="C297" s="16"/>
      <c r="D297" s="16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spans="1:16" ht="19.5" customHeight="1" x14ac:dyDescent="0.25">
      <c r="A298" s="8"/>
      <c r="B298" s="8"/>
      <c r="C298" s="16"/>
      <c r="D298" s="16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spans="1:16" ht="19.5" customHeight="1" x14ac:dyDescent="0.25">
      <c r="A299" s="8"/>
      <c r="B299" s="8"/>
      <c r="C299" s="16"/>
      <c r="D299" s="16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spans="1:16" ht="19.5" customHeight="1" x14ac:dyDescent="0.25">
      <c r="A300" s="8"/>
      <c r="B300" s="8"/>
      <c r="C300" s="16"/>
      <c r="D300" s="16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1:16" ht="19.5" customHeight="1" x14ac:dyDescent="0.25">
      <c r="A301" s="8"/>
      <c r="B301" s="8"/>
      <c r="C301" s="16"/>
      <c r="D301" s="16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spans="1:16" ht="19.5" customHeight="1" x14ac:dyDescent="0.25">
      <c r="A302" s="8"/>
      <c r="B302" s="8"/>
      <c r="C302" s="16"/>
      <c r="D302" s="16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spans="1:16" ht="19.5" customHeight="1" x14ac:dyDescent="0.25">
      <c r="A303" s="8"/>
      <c r="B303" s="8"/>
      <c r="C303" s="16"/>
      <c r="D303" s="16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spans="1:16" ht="19.5" customHeight="1" x14ac:dyDescent="0.25">
      <c r="A304" s="8"/>
      <c r="B304" s="8"/>
      <c r="C304" s="16"/>
      <c r="D304" s="16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spans="1:16" ht="19.5" customHeight="1" x14ac:dyDescent="0.25">
      <c r="A305" s="8"/>
      <c r="B305" s="8"/>
      <c r="C305" s="16"/>
      <c r="D305" s="16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1:16" ht="19.5" customHeight="1" x14ac:dyDescent="0.25">
      <c r="A306" s="8"/>
      <c r="B306" s="8"/>
      <c r="C306" s="16"/>
      <c r="D306" s="16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spans="1:16" ht="19.5" customHeight="1" x14ac:dyDescent="0.25">
      <c r="A307" s="8"/>
      <c r="B307" s="8"/>
      <c r="C307" s="16"/>
      <c r="D307" s="16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spans="1:16" ht="19.5" customHeight="1" x14ac:dyDescent="0.25">
      <c r="A308" s="8"/>
      <c r="B308" s="8"/>
      <c r="C308" s="16"/>
      <c r="D308" s="16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spans="1:16" ht="19.5" customHeight="1" x14ac:dyDescent="0.25">
      <c r="A309" s="8"/>
      <c r="B309" s="8"/>
      <c r="C309" s="16"/>
      <c r="D309" s="16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1:16" ht="19.5" customHeight="1" x14ac:dyDescent="0.25">
      <c r="A310" s="8"/>
      <c r="B310" s="8"/>
      <c r="C310" s="16"/>
      <c r="D310" s="16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spans="1:16" ht="19.5" customHeight="1" x14ac:dyDescent="0.25">
      <c r="A311" s="8"/>
      <c r="B311" s="8"/>
      <c r="C311" s="16"/>
      <c r="D311" s="16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spans="1:16" ht="19.5" customHeight="1" x14ac:dyDescent="0.25">
      <c r="A312" s="8"/>
      <c r="B312" s="8"/>
      <c r="C312" s="16"/>
      <c r="D312" s="16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1:16" ht="19.5" customHeight="1" x14ac:dyDescent="0.25">
      <c r="A313" s="8"/>
      <c r="B313" s="8"/>
      <c r="C313" s="16"/>
      <c r="D313" s="16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spans="1:16" ht="19.5" customHeight="1" x14ac:dyDescent="0.25">
      <c r="A314" s="8"/>
      <c r="B314" s="8"/>
      <c r="C314" s="16"/>
      <c r="D314" s="16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1:16" ht="19.5" customHeight="1" x14ac:dyDescent="0.25">
      <c r="A315" s="8"/>
      <c r="B315" s="8"/>
      <c r="C315" s="16"/>
      <c r="D315" s="16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spans="1:16" ht="19.5" customHeight="1" x14ac:dyDescent="0.25">
      <c r="A316" s="8"/>
      <c r="B316" s="8"/>
      <c r="C316" s="16"/>
      <c r="D316" s="16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spans="1:16" ht="19.5" customHeight="1" x14ac:dyDescent="0.25">
      <c r="A317" s="8"/>
      <c r="B317" s="8"/>
      <c r="C317" s="16"/>
      <c r="D317" s="16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spans="1:16" ht="19.5" customHeight="1" x14ac:dyDescent="0.25">
      <c r="A318" s="8"/>
      <c r="B318" s="8"/>
      <c r="C318" s="16"/>
      <c r="D318" s="16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1:16" ht="19.5" customHeight="1" x14ac:dyDescent="0.25">
      <c r="A319" s="8"/>
      <c r="B319" s="8"/>
      <c r="C319" s="16"/>
      <c r="D319" s="16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1:16" ht="19.5" customHeight="1" x14ac:dyDescent="0.25">
      <c r="A320" s="8"/>
      <c r="B320" s="8"/>
      <c r="C320" s="16"/>
      <c r="D320" s="16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spans="1:16" ht="19.5" customHeight="1" x14ac:dyDescent="0.25">
      <c r="A321" s="8"/>
      <c r="B321" s="8"/>
      <c r="C321" s="16"/>
      <c r="D321" s="16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spans="1:16" ht="19.5" customHeight="1" x14ac:dyDescent="0.25">
      <c r="A322" s="8"/>
      <c r="B322" s="8"/>
      <c r="C322" s="16"/>
      <c r="D322" s="16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1:16" ht="19.5" customHeight="1" x14ac:dyDescent="0.25">
      <c r="A323" s="8"/>
      <c r="B323" s="8"/>
      <c r="C323" s="16"/>
      <c r="D323" s="16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1:16" ht="19.5" customHeight="1" x14ac:dyDescent="0.25">
      <c r="A324" s="8"/>
      <c r="B324" s="8"/>
      <c r="C324" s="16"/>
      <c r="D324" s="16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spans="1:16" ht="19.5" customHeight="1" x14ac:dyDescent="0.25">
      <c r="A325" s="8"/>
      <c r="B325" s="8"/>
      <c r="C325" s="16"/>
      <c r="D325" s="16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spans="1:16" ht="19.5" customHeight="1" x14ac:dyDescent="0.25">
      <c r="A326" s="8"/>
      <c r="B326" s="8"/>
      <c r="C326" s="16"/>
      <c r="D326" s="16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spans="1:16" ht="19.5" customHeight="1" x14ac:dyDescent="0.25">
      <c r="A327" s="8"/>
      <c r="B327" s="8"/>
      <c r="C327" s="16"/>
      <c r="D327" s="16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spans="1:16" ht="19.5" customHeight="1" x14ac:dyDescent="0.25">
      <c r="A328" s="8"/>
      <c r="B328" s="8"/>
      <c r="C328" s="16"/>
      <c r="D328" s="16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spans="1:16" ht="19.5" customHeight="1" x14ac:dyDescent="0.25">
      <c r="A329" s="8"/>
      <c r="B329" s="8"/>
      <c r="C329" s="16"/>
      <c r="D329" s="16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1:16" ht="19.5" customHeight="1" x14ac:dyDescent="0.25">
      <c r="A330" s="8"/>
      <c r="B330" s="8"/>
      <c r="C330" s="16"/>
      <c r="D330" s="16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spans="1:16" ht="19.5" customHeight="1" x14ac:dyDescent="0.25">
      <c r="A331" s="8"/>
      <c r="B331" s="8"/>
      <c r="C331" s="16"/>
      <c r="D331" s="16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spans="1:16" ht="19.5" customHeight="1" x14ac:dyDescent="0.25">
      <c r="A332" s="8"/>
      <c r="B332" s="8"/>
      <c r="C332" s="16"/>
      <c r="D332" s="16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1:16" ht="19.5" customHeight="1" x14ac:dyDescent="0.25">
      <c r="A333" s="8"/>
      <c r="B333" s="8"/>
      <c r="C333" s="16"/>
      <c r="D333" s="16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spans="1:16" ht="19.5" customHeight="1" x14ac:dyDescent="0.25">
      <c r="A334" s="8"/>
      <c r="B334" s="8"/>
      <c r="C334" s="16"/>
      <c r="D334" s="16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spans="1:16" ht="19.5" customHeight="1" x14ac:dyDescent="0.25">
      <c r="A335" s="8"/>
      <c r="B335" s="8"/>
      <c r="C335" s="16"/>
      <c r="D335" s="16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1:16" ht="19.5" customHeight="1" x14ac:dyDescent="0.25">
      <c r="A336" s="8"/>
      <c r="B336" s="8"/>
      <c r="C336" s="16"/>
      <c r="D336" s="16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spans="1:16" ht="19.5" customHeight="1" x14ac:dyDescent="0.25">
      <c r="A337" s="8"/>
      <c r="B337" s="8"/>
      <c r="C337" s="16"/>
      <c r="D337" s="16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spans="1:16" ht="19.5" customHeight="1" x14ac:dyDescent="0.25">
      <c r="A338" s="8"/>
      <c r="B338" s="8"/>
      <c r="C338" s="16"/>
      <c r="D338" s="16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spans="1:16" ht="19.5" customHeight="1" x14ac:dyDescent="0.25">
      <c r="A339" s="8"/>
      <c r="B339" s="8"/>
      <c r="C339" s="16"/>
      <c r="D339" s="16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spans="1:16" ht="19.5" customHeight="1" x14ac:dyDescent="0.25">
      <c r="A340" s="8"/>
      <c r="B340" s="8"/>
      <c r="C340" s="16"/>
      <c r="D340" s="16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spans="1:16" ht="19.5" customHeight="1" x14ac:dyDescent="0.25">
      <c r="A341" s="8"/>
      <c r="B341" s="8"/>
      <c r="C341" s="16"/>
      <c r="D341" s="16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spans="1:16" ht="19.5" customHeight="1" x14ac:dyDescent="0.25">
      <c r="A342" s="8"/>
      <c r="B342" s="8"/>
      <c r="C342" s="16"/>
      <c r="D342" s="16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spans="1:16" ht="19.5" customHeight="1" x14ac:dyDescent="0.25">
      <c r="A343" s="8"/>
      <c r="B343" s="8"/>
      <c r="C343" s="16"/>
      <c r="D343" s="16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spans="1:16" ht="19.5" customHeight="1" x14ac:dyDescent="0.25">
      <c r="A344" s="8"/>
      <c r="B344" s="8"/>
      <c r="C344" s="16"/>
      <c r="D344" s="16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spans="1:16" ht="19.5" customHeight="1" x14ac:dyDescent="0.25">
      <c r="A345" s="8"/>
      <c r="B345" s="8"/>
      <c r="C345" s="16"/>
      <c r="D345" s="16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spans="1:16" ht="19.5" customHeight="1" x14ac:dyDescent="0.25">
      <c r="A346" s="8"/>
      <c r="B346" s="8"/>
      <c r="C346" s="16"/>
      <c r="D346" s="16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spans="1:16" ht="19.5" customHeight="1" x14ac:dyDescent="0.25">
      <c r="A347" s="8"/>
      <c r="B347" s="8"/>
      <c r="C347" s="16"/>
      <c r="D347" s="16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spans="1:16" ht="19.5" customHeight="1" x14ac:dyDescent="0.25">
      <c r="A348" s="8"/>
      <c r="B348" s="8"/>
      <c r="C348" s="16"/>
      <c r="D348" s="16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1:16" ht="19.5" customHeight="1" x14ac:dyDescent="0.25">
      <c r="A349" s="8"/>
      <c r="B349" s="8"/>
      <c r="C349" s="16"/>
      <c r="D349" s="16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spans="1:16" ht="19.5" customHeight="1" x14ac:dyDescent="0.25">
      <c r="A350" s="8"/>
      <c r="B350" s="8"/>
      <c r="C350" s="16"/>
      <c r="D350" s="16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spans="1:16" ht="19.5" customHeight="1" x14ac:dyDescent="0.25">
      <c r="A351" s="8"/>
      <c r="B351" s="8"/>
      <c r="C351" s="16"/>
      <c r="D351" s="16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spans="1:16" ht="19.5" customHeight="1" x14ac:dyDescent="0.25">
      <c r="A352" s="8"/>
      <c r="B352" s="8"/>
      <c r="C352" s="16"/>
      <c r="D352" s="16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spans="1:16" ht="19.5" customHeight="1" x14ac:dyDescent="0.25">
      <c r="A353" s="8"/>
      <c r="B353" s="8"/>
      <c r="C353" s="16"/>
      <c r="D353" s="16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spans="1:16" ht="19.5" customHeight="1" x14ac:dyDescent="0.25">
      <c r="A354" s="8"/>
      <c r="B354" s="8"/>
      <c r="C354" s="16"/>
      <c r="D354" s="16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spans="1:16" ht="19.5" customHeight="1" x14ac:dyDescent="0.25">
      <c r="A355" s="8"/>
      <c r="B355" s="8"/>
      <c r="C355" s="16"/>
      <c r="D355" s="16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spans="1:16" ht="19.5" customHeight="1" x14ac:dyDescent="0.25">
      <c r="A356" s="8"/>
      <c r="B356" s="8"/>
      <c r="C356" s="16"/>
      <c r="D356" s="16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spans="1:16" ht="19.5" customHeight="1" x14ac:dyDescent="0.25">
      <c r="A357" s="8"/>
      <c r="B357" s="8"/>
      <c r="C357" s="16"/>
      <c r="D357" s="16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spans="1:16" ht="19.5" customHeight="1" x14ac:dyDescent="0.25">
      <c r="A358" s="8"/>
      <c r="B358" s="8"/>
      <c r="C358" s="16"/>
      <c r="D358" s="16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spans="1:16" ht="19.5" customHeight="1" x14ac:dyDescent="0.25">
      <c r="A359" s="8"/>
      <c r="B359" s="8"/>
      <c r="C359" s="16"/>
      <c r="D359" s="16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spans="1:16" ht="19.5" customHeight="1" x14ac:dyDescent="0.25">
      <c r="A360" s="8"/>
      <c r="B360" s="8"/>
      <c r="C360" s="16"/>
      <c r="D360" s="16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spans="1:16" ht="19.5" customHeight="1" x14ac:dyDescent="0.25">
      <c r="A361" s="8"/>
      <c r="B361" s="8"/>
      <c r="C361" s="16"/>
      <c r="D361" s="16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spans="1:16" ht="19.5" customHeight="1" x14ac:dyDescent="0.25">
      <c r="A362" s="8"/>
      <c r="B362" s="8"/>
      <c r="C362" s="16"/>
      <c r="D362" s="16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spans="1:16" ht="19.5" customHeight="1" x14ac:dyDescent="0.25">
      <c r="A363" s="8"/>
      <c r="B363" s="8"/>
      <c r="C363" s="16"/>
      <c r="D363" s="16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1:16" ht="19.5" customHeight="1" x14ac:dyDescent="0.25">
      <c r="A364" s="8"/>
      <c r="B364" s="8"/>
      <c r="C364" s="16"/>
      <c r="D364" s="16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spans="1:16" ht="19.5" customHeight="1" x14ac:dyDescent="0.25">
      <c r="A365" s="8"/>
      <c r="B365" s="8"/>
      <c r="C365" s="16"/>
      <c r="D365" s="16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spans="1:16" ht="19.5" customHeight="1" x14ac:dyDescent="0.25">
      <c r="A366" s="8"/>
      <c r="B366" s="8"/>
      <c r="C366" s="16"/>
      <c r="D366" s="16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1:16" ht="19.5" customHeight="1" x14ac:dyDescent="0.25">
      <c r="A367" s="8"/>
      <c r="B367" s="8"/>
      <c r="C367" s="16"/>
      <c r="D367" s="16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spans="1:16" ht="19.5" customHeight="1" x14ac:dyDescent="0.25">
      <c r="A368" s="8"/>
      <c r="B368" s="8"/>
      <c r="C368" s="16"/>
      <c r="D368" s="16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spans="1:16" ht="19.5" customHeight="1" x14ac:dyDescent="0.25">
      <c r="A369" s="8"/>
      <c r="B369" s="8"/>
      <c r="C369" s="16"/>
      <c r="D369" s="16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spans="1:16" ht="19.5" customHeight="1" x14ac:dyDescent="0.25">
      <c r="A370" s="8"/>
      <c r="B370" s="8"/>
      <c r="C370" s="16"/>
      <c r="D370" s="16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1:16" ht="19.5" customHeight="1" x14ac:dyDescent="0.25">
      <c r="A371" s="8"/>
      <c r="B371" s="8"/>
      <c r="C371" s="16"/>
      <c r="D371" s="16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spans="1:16" ht="19.5" customHeight="1" x14ac:dyDescent="0.25">
      <c r="A372" s="8"/>
      <c r="B372" s="8"/>
      <c r="C372" s="16"/>
      <c r="D372" s="16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spans="1:16" ht="19.5" customHeight="1" x14ac:dyDescent="0.25">
      <c r="A373" s="8"/>
      <c r="B373" s="8"/>
      <c r="C373" s="16"/>
      <c r="D373" s="16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spans="1:16" ht="19.5" customHeight="1" x14ac:dyDescent="0.25">
      <c r="A374" s="8"/>
      <c r="B374" s="8"/>
      <c r="C374" s="16"/>
      <c r="D374" s="16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spans="1:16" ht="19.5" customHeight="1" x14ac:dyDescent="0.25">
      <c r="A375" s="8"/>
      <c r="B375" s="8"/>
      <c r="C375" s="16"/>
      <c r="D375" s="16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spans="1:16" ht="19.5" customHeight="1" x14ac:dyDescent="0.25">
      <c r="A376" s="8"/>
      <c r="B376" s="8"/>
      <c r="C376" s="16"/>
      <c r="D376" s="16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1:16" ht="19.5" customHeight="1" x14ac:dyDescent="0.25">
      <c r="A377" s="8"/>
      <c r="B377" s="8"/>
      <c r="C377" s="16"/>
      <c r="D377" s="16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spans="1:16" ht="19.5" customHeight="1" x14ac:dyDescent="0.25">
      <c r="A378" s="8"/>
      <c r="B378" s="8"/>
      <c r="C378" s="16"/>
      <c r="D378" s="16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spans="1:16" ht="19.5" customHeight="1" x14ac:dyDescent="0.25">
      <c r="A379" s="8"/>
      <c r="B379" s="8"/>
      <c r="C379" s="16"/>
      <c r="D379" s="16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spans="1:16" ht="19.5" customHeight="1" x14ac:dyDescent="0.25">
      <c r="A380" s="8"/>
      <c r="B380" s="8"/>
      <c r="C380" s="16"/>
      <c r="D380" s="16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spans="1:16" ht="19.5" customHeight="1" x14ac:dyDescent="0.25">
      <c r="A381" s="8"/>
      <c r="B381" s="8"/>
      <c r="C381" s="16"/>
      <c r="D381" s="16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spans="1:16" ht="19.5" customHeight="1" x14ac:dyDescent="0.25">
      <c r="A382" s="8"/>
      <c r="B382" s="8"/>
      <c r="C382" s="16"/>
      <c r="D382" s="16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spans="1:16" ht="19.5" customHeight="1" x14ac:dyDescent="0.25">
      <c r="A383" s="8"/>
      <c r="B383" s="8"/>
      <c r="C383" s="16"/>
      <c r="D383" s="16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spans="1:16" ht="19.5" customHeight="1" x14ac:dyDescent="0.25">
      <c r="A384" s="8"/>
      <c r="B384" s="8"/>
      <c r="C384" s="16"/>
      <c r="D384" s="16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spans="1:16" ht="19.5" customHeight="1" x14ac:dyDescent="0.25">
      <c r="A385" s="8"/>
      <c r="B385" s="8"/>
      <c r="C385" s="16"/>
      <c r="D385" s="16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spans="1:16" ht="19.5" customHeight="1" x14ac:dyDescent="0.25">
      <c r="A386" s="8"/>
      <c r="B386" s="8"/>
      <c r="C386" s="16"/>
      <c r="D386" s="16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1:16" ht="19.5" customHeight="1" x14ac:dyDescent="0.25">
      <c r="A387" s="8"/>
      <c r="B387" s="8"/>
      <c r="C387" s="16"/>
      <c r="D387" s="16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spans="1:16" ht="19.5" customHeight="1" x14ac:dyDescent="0.25">
      <c r="A388" s="8"/>
      <c r="B388" s="8"/>
      <c r="C388" s="16"/>
      <c r="D388" s="16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1:16" ht="19.5" customHeight="1" x14ac:dyDescent="0.25">
      <c r="A389" s="8"/>
      <c r="B389" s="8"/>
      <c r="C389" s="16"/>
      <c r="D389" s="16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spans="1:16" ht="19.5" customHeight="1" x14ac:dyDescent="0.25">
      <c r="A390" s="8"/>
      <c r="B390" s="8"/>
      <c r="C390" s="16"/>
      <c r="D390" s="16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1:16" ht="19.5" customHeight="1" x14ac:dyDescent="0.25">
      <c r="A391" s="8"/>
      <c r="B391" s="8"/>
      <c r="C391" s="16"/>
      <c r="D391" s="16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1:16" ht="19.5" customHeight="1" x14ac:dyDescent="0.25">
      <c r="A392" s="8"/>
      <c r="B392" s="8"/>
      <c r="C392" s="16"/>
      <c r="D392" s="16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spans="1:16" ht="19.5" customHeight="1" x14ac:dyDescent="0.25">
      <c r="A393" s="8"/>
      <c r="B393" s="8"/>
      <c r="C393" s="16"/>
      <c r="D393" s="16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spans="1:16" ht="19.5" customHeight="1" x14ac:dyDescent="0.25">
      <c r="A394" s="8"/>
      <c r="B394" s="8"/>
      <c r="C394" s="16"/>
      <c r="D394" s="16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spans="1:16" ht="19.5" customHeight="1" x14ac:dyDescent="0.25">
      <c r="A395" s="8"/>
      <c r="B395" s="8"/>
      <c r="C395" s="16"/>
      <c r="D395" s="16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1:16" ht="19.5" customHeight="1" x14ac:dyDescent="0.25">
      <c r="A396" s="8"/>
      <c r="B396" s="8"/>
      <c r="C396" s="16"/>
      <c r="D396" s="16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spans="1:16" ht="19.5" customHeight="1" x14ac:dyDescent="0.25">
      <c r="A397" s="8"/>
      <c r="B397" s="8"/>
      <c r="C397" s="16"/>
      <c r="D397" s="16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spans="1:16" ht="19.5" customHeight="1" x14ac:dyDescent="0.25">
      <c r="A398" s="8"/>
      <c r="B398" s="8"/>
      <c r="C398" s="16"/>
      <c r="D398" s="16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spans="1:16" ht="19.5" customHeight="1" x14ac:dyDescent="0.25">
      <c r="A399" s="8"/>
      <c r="B399" s="8"/>
      <c r="C399" s="16"/>
      <c r="D399" s="16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spans="1:16" ht="19.5" customHeight="1" x14ac:dyDescent="0.25">
      <c r="A400" s="8"/>
      <c r="B400" s="8"/>
      <c r="C400" s="16"/>
      <c r="D400" s="16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spans="1:16" ht="19.5" customHeight="1" x14ac:dyDescent="0.25">
      <c r="A401" s="8"/>
      <c r="B401" s="8"/>
      <c r="C401" s="16"/>
      <c r="D401" s="16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spans="1:16" ht="19.5" customHeight="1" x14ac:dyDescent="0.25">
      <c r="A402" s="8"/>
      <c r="B402" s="8"/>
      <c r="C402" s="16"/>
      <c r="D402" s="16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spans="1:16" ht="19.5" customHeight="1" x14ac:dyDescent="0.25">
      <c r="A403" s="8"/>
      <c r="B403" s="8"/>
      <c r="C403" s="16"/>
      <c r="D403" s="16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spans="1:16" ht="19.5" customHeight="1" x14ac:dyDescent="0.25">
      <c r="A404" s="8"/>
      <c r="B404" s="8"/>
      <c r="C404" s="16"/>
      <c r="D404" s="16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spans="1:16" ht="19.5" customHeight="1" x14ac:dyDescent="0.25">
      <c r="A405" s="8"/>
      <c r="B405" s="8"/>
      <c r="C405" s="16"/>
      <c r="D405" s="16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spans="1:16" ht="19.5" customHeight="1" x14ac:dyDescent="0.25">
      <c r="A406" s="8"/>
      <c r="B406" s="8"/>
      <c r="C406" s="16"/>
      <c r="D406" s="16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spans="1:16" ht="19.5" customHeight="1" x14ac:dyDescent="0.25">
      <c r="A407" s="8"/>
      <c r="B407" s="8"/>
      <c r="C407" s="16"/>
      <c r="D407" s="16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spans="1:16" ht="19.5" customHeight="1" x14ac:dyDescent="0.25">
      <c r="A408" s="8"/>
      <c r="B408" s="8"/>
      <c r="C408" s="16"/>
      <c r="D408" s="16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spans="1:16" ht="19.5" customHeight="1" x14ac:dyDescent="0.25">
      <c r="A409" s="8"/>
      <c r="B409" s="8"/>
      <c r="C409" s="16"/>
      <c r="D409" s="16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spans="1:16" ht="19.5" customHeight="1" x14ac:dyDescent="0.25">
      <c r="A410" s="8"/>
      <c r="B410" s="8"/>
      <c r="C410" s="16"/>
      <c r="D410" s="16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spans="1:16" ht="19.5" customHeight="1" x14ac:dyDescent="0.25">
      <c r="A411" s="8"/>
      <c r="B411" s="8"/>
      <c r="C411" s="16"/>
      <c r="D411" s="16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spans="1:16" ht="19.5" customHeight="1" x14ac:dyDescent="0.25">
      <c r="A412" s="8"/>
      <c r="B412" s="8"/>
      <c r="C412" s="16"/>
      <c r="D412" s="16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1:16" ht="19.5" customHeight="1" x14ac:dyDescent="0.25">
      <c r="A413" s="8"/>
      <c r="B413" s="8"/>
      <c r="C413" s="16"/>
      <c r="D413" s="16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spans="1:16" ht="19.5" customHeight="1" x14ac:dyDescent="0.25">
      <c r="A414" s="8"/>
      <c r="B414" s="8"/>
      <c r="C414" s="16"/>
      <c r="D414" s="16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spans="1:16" ht="19.5" customHeight="1" x14ac:dyDescent="0.25">
      <c r="A415" s="8"/>
      <c r="B415" s="8"/>
      <c r="C415" s="16"/>
      <c r="D415" s="16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spans="1:16" ht="19.5" customHeight="1" x14ac:dyDescent="0.25">
      <c r="A416" s="8"/>
      <c r="B416" s="8"/>
      <c r="C416" s="16"/>
      <c r="D416" s="16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spans="1:16" ht="19.5" customHeight="1" x14ac:dyDescent="0.25">
      <c r="A417" s="8"/>
      <c r="B417" s="8"/>
      <c r="C417" s="16"/>
      <c r="D417" s="16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spans="1:16" ht="19.5" customHeight="1" x14ac:dyDescent="0.25">
      <c r="A418" s="8"/>
      <c r="B418" s="8"/>
      <c r="C418" s="16"/>
      <c r="D418" s="16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spans="1:16" ht="19.5" customHeight="1" x14ac:dyDescent="0.25">
      <c r="A419" s="8"/>
      <c r="B419" s="8"/>
      <c r="C419" s="16"/>
      <c r="D419" s="16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spans="1:16" ht="19.5" customHeight="1" x14ac:dyDescent="0.25">
      <c r="A420" s="8"/>
      <c r="B420" s="8"/>
      <c r="C420" s="16"/>
      <c r="D420" s="16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spans="1:16" ht="19.5" customHeight="1" x14ac:dyDescent="0.25">
      <c r="A421" s="8"/>
      <c r="B421" s="8"/>
      <c r="C421" s="16"/>
      <c r="D421" s="16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spans="1:16" ht="19.5" customHeight="1" x14ac:dyDescent="0.25">
      <c r="A422" s="8"/>
      <c r="B422" s="8"/>
      <c r="C422" s="16"/>
      <c r="D422" s="16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1:16" ht="19.5" customHeight="1" x14ac:dyDescent="0.25">
      <c r="A423" s="8"/>
      <c r="B423" s="8"/>
      <c r="C423" s="16"/>
      <c r="D423" s="16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spans="1:16" ht="19.5" customHeight="1" x14ac:dyDescent="0.25">
      <c r="A424" s="8"/>
      <c r="B424" s="8"/>
      <c r="C424" s="16"/>
      <c r="D424" s="16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spans="1:16" ht="19.5" customHeight="1" x14ac:dyDescent="0.25">
      <c r="A425" s="8"/>
      <c r="B425" s="8"/>
      <c r="C425" s="16"/>
      <c r="D425" s="16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spans="1:16" ht="19.5" customHeight="1" x14ac:dyDescent="0.25">
      <c r="A426" s="8"/>
      <c r="B426" s="8"/>
      <c r="C426" s="16"/>
      <c r="D426" s="16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spans="1:16" ht="19.5" customHeight="1" x14ac:dyDescent="0.25">
      <c r="A427" s="8"/>
      <c r="B427" s="8"/>
      <c r="C427" s="16"/>
      <c r="D427" s="16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spans="1:16" ht="19.5" customHeight="1" x14ac:dyDescent="0.25">
      <c r="A428" s="8"/>
      <c r="B428" s="8"/>
      <c r="C428" s="16"/>
      <c r="D428" s="16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spans="1:16" ht="19.5" customHeight="1" x14ac:dyDescent="0.25">
      <c r="A429" s="8"/>
      <c r="B429" s="8"/>
      <c r="C429" s="16"/>
      <c r="D429" s="16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spans="1:16" ht="19.5" customHeight="1" x14ac:dyDescent="0.25">
      <c r="A430" s="8"/>
      <c r="B430" s="8"/>
      <c r="C430" s="16"/>
      <c r="D430" s="16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spans="1:16" ht="19.5" customHeight="1" x14ac:dyDescent="0.25">
      <c r="A431" s="8"/>
      <c r="B431" s="8"/>
      <c r="C431" s="16"/>
      <c r="D431" s="16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spans="1:16" ht="19.5" customHeight="1" x14ac:dyDescent="0.25">
      <c r="A432" s="8"/>
      <c r="B432" s="8"/>
      <c r="C432" s="16"/>
      <c r="D432" s="16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spans="1:16" ht="19.5" customHeight="1" x14ac:dyDescent="0.25">
      <c r="A433" s="8"/>
      <c r="B433" s="8"/>
      <c r="C433" s="16"/>
      <c r="D433" s="16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spans="1:16" ht="19.5" customHeight="1" x14ac:dyDescent="0.25">
      <c r="A434" s="8"/>
      <c r="B434" s="8"/>
      <c r="C434" s="16"/>
      <c r="D434" s="16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spans="1:16" ht="19.5" customHeight="1" x14ac:dyDescent="0.25">
      <c r="A435" s="8"/>
      <c r="B435" s="8"/>
      <c r="C435" s="16"/>
      <c r="D435" s="16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1:16" ht="19.5" customHeight="1" x14ac:dyDescent="0.25">
      <c r="A436" s="8"/>
      <c r="B436" s="8"/>
      <c r="C436" s="16"/>
      <c r="D436" s="16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spans="1:16" ht="19.5" customHeight="1" x14ac:dyDescent="0.25">
      <c r="A437" s="8"/>
      <c r="B437" s="8"/>
      <c r="C437" s="16"/>
      <c r="D437" s="16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spans="1:16" ht="19.5" customHeight="1" x14ac:dyDescent="0.25">
      <c r="A438" s="8"/>
      <c r="B438" s="8"/>
      <c r="C438" s="16"/>
      <c r="D438" s="16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spans="1:16" ht="19.5" customHeight="1" x14ac:dyDescent="0.25">
      <c r="A439" s="8"/>
      <c r="B439" s="8"/>
      <c r="C439" s="16"/>
      <c r="D439" s="16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spans="1:16" ht="19.5" customHeight="1" x14ac:dyDescent="0.25">
      <c r="A440" s="8"/>
      <c r="B440" s="8"/>
      <c r="C440" s="16"/>
      <c r="D440" s="16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spans="1:16" ht="19.5" customHeight="1" x14ac:dyDescent="0.25">
      <c r="A441" s="8"/>
      <c r="B441" s="8"/>
      <c r="C441" s="16"/>
      <c r="D441" s="16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spans="1:16" ht="19.5" customHeight="1" x14ac:dyDescent="0.25">
      <c r="A442" s="8"/>
      <c r="B442" s="8"/>
      <c r="C442" s="16"/>
      <c r="D442" s="16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1:16" ht="19.5" customHeight="1" x14ac:dyDescent="0.25">
      <c r="A443" s="8"/>
      <c r="B443" s="8"/>
      <c r="C443" s="16"/>
      <c r="D443" s="16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spans="1:16" ht="19.5" customHeight="1" x14ac:dyDescent="0.25">
      <c r="A444" s="8"/>
      <c r="B444" s="8"/>
      <c r="C444" s="16"/>
      <c r="D444" s="16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spans="1:16" ht="19.5" customHeight="1" x14ac:dyDescent="0.25">
      <c r="A445" s="8"/>
      <c r="B445" s="8"/>
      <c r="C445" s="16"/>
      <c r="D445" s="16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spans="1:16" ht="19.5" customHeight="1" x14ac:dyDescent="0.25">
      <c r="A446" s="8"/>
      <c r="B446" s="8"/>
      <c r="C446" s="16"/>
      <c r="D446" s="16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spans="1:16" ht="19.5" customHeight="1" x14ac:dyDescent="0.25">
      <c r="A447" s="8"/>
      <c r="B447" s="8"/>
      <c r="C447" s="16"/>
      <c r="D447" s="16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spans="1:16" ht="19.5" customHeight="1" x14ac:dyDescent="0.25">
      <c r="A448" s="8"/>
      <c r="B448" s="8"/>
      <c r="C448" s="16"/>
      <c r="D448" s="16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spans="1:16" ht="19.5" customHeight="1" x14ac:dyDescent="0.25">
      <c r="A449" s="8"/>
      <c r="B449" s="8"/>
      <c r="C449" s="16"/>
      <c r="D449" s="16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spans="1:16" ht="19.5" customHeight="1" x14ac:dyDescent="0.25">
      <c r="A450" s="8"/>
      <c r="B450" s="8"/>
      <c r="C450" s="16"/>
      <c r="D450" s="16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spans="1:16" ht="19.5" customHeight="1" x14ac:dyDescent="0.25">
      <c r="A451" s="8"/>
      <c r="B451" s="8"/>
      <c r="C451" s="16"/>
      <c r="D451" s="16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spans="1:16" ht="19.5" customHeight="1" x14ac:dyDescent="0.25">
      <c r="A452" s="8"/>
      <c r="B452" s="8"/>
      <c r="C452" s="16"/>
      <c r="D452" s="16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spans="1:16" ht="19.5" customHeight="1" x14ac:dyDescent="0.25">
      <c r="A453" s="8"/>
      <c r="B453" s="8"/>
      <c r="C453" s="16"/>
      <c r="D453" s="16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spans="1:16" ht="19.5" customHeight="1" x14ac:dyDescent="0.25">
      <c r="A454" s="8"/>
      <c r="B454" s="8"/>
      <c r="C454" s="16"/>
      <c r="D454" s="16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spans="1:16" ht="19.5" customHeight="1" x14ac:dyDescent="0.25">
      <c r="A455" s="8"/>
      <c r="B455" s="8"/>
      <c r="C455" s="16"/>
      <c r="D455" s="16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spans="1:16" ht="19.5" customHeight="1" x14ac:dyDescent="0.25">
      <c r="A456" s="8"/>
      <c r="B456" s="8"/>
      <c r="C456" s="16"/>
      <c r="D456" s="16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spans="1:16" ht="19.5" customHeight="1" x14ac:dyDescent="0.25">
      <c r="A457" s="8"/>
      <c r="B457" s="8"/>
      <c r="C457" s="16"/>
      <c r="D457" s="16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spans="1:16" ht="19.5" customHeight="1" x14ac:dyDescent="0.25">
      <c r="A458" s="8"/>
      <c r="B458" s="8"/>
      <c r="C458" s="16"/>
      <c r="D458" s="16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spans="1:16" ht="19.5" customHeight="1" x14ac:dyDescent="0.25">
      <c r="A459" s="8"/>
      <c r="B459" s="8"/>
      <c r="C459" s="16"/>
      <c r="D459" s="16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spans="1:16" ht="19.5" customHeight="1" x14ac:dyDescent="0.25">
      <c r="A460" s="8"/>
      <c r="B460" s="8"/>
      <c r="C460" s="16"/>
      <c r="D460" s="16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spans="1:16" ht="19.5" customHeight="1" x14ac:dyDescent="0.25">
      <c r="A461" s="8"/>
      <c r="B461" s="8"/>
      <c r="C461" s="16"/>
      <c r="D461" s="16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spans="1:16" ht="19.5" customHeight="1" x14ac:dyDescent="0.25">
      <c r="A462" s="8"/>
      <c r="B462" s="8"/>
      <c r="C462" s="16"/>
      <c r="D462" s="16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spans="1:16" ht="19.5" customHeight="1" x14ac:dyDescent="0.25">
      <c r="A463" s="8"/>
      <c r="B463" s="8"/>
      <c r="C463" s="16"/>
      <c r="D463" s="16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1:16" ht="19.5" customHeight="1" x14ac:dyDescent="0.25">
      <c r="A464" s="8"/>
      <c r="B464" s="8"/>
      <c r="C464" s="16"/>
      <c r="D464" s="16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spans="1:16" ht="19.5" customHeight="1" x14ac:dyDescent="0.25">
      <c r="A465" s="8"/>
      <c r="B465" s="8"/>
      <c r="C465" s="16"/>
      <c r="D465" s="16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spans="1:16" ht="19.5" customHeight="1" x14ac:dyDescent="0.25">
      <c r="A466" s="8"/>
      <c r="B466" s="8"/>
      <c r="C466" s="16"/>
      <c r="D466" s="16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spans="1:16" ht="19.5" customHeight="1" x14ac:dyDescent="0.25">
      <c r="A467" s="8"/>
      <c r="B467" s="8"/>
      <c r="C467" s="16"/>
      <c r="D467" s="16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spans="1:16" ht="19.5" customHeight="1" x14ac:dyDescent="0.25">
      <c r="A468" s="8"/>
      <c r="B468" s="8"/>
      <c r="C468" s="16"/>
      <c r="D468" s="16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spans="1:16" ht="19.5" customHeight="1" x14ac:dyDescent="0.25">
      <c r="A469" s="8"/>
      <c r="B469" s="8"/>
      <c r="C469" s="16"/>
      <c r="D469" s="16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spans="1:16" ht="19.5" customHeight="1" x14ac:dyDescent="0.25">
      <c r="A470" s="8"/>
      <c r="B470" s="8"/>
      <c r="C470" s="16"/>
      <c r="D470" s="16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spans="1:16" ht="19.5" customHeight="1" x14ac:dyDescent="0.25">
      <c r="A471" s="8"/>
      <c r="B471" s="8"/>
      <c r="C471" s="16"/>
      <c r="D471" s="16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spans="1:16" ht="19.5" customHeight="1" x14ac:dyDescent="0.25">
      <c r="A472" s="8"/>
      <c r="B472" s="8"/>
      <c r="C472" s="16"/>
      <c r="D472" s="16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1:16" ht="19.5" customHeight="1" x14ac:dyDescent="0.25">
      <c r="A473" s="8"/>
      <c r="B473" s="8"/>
      <c r="C473" s="16"/>
      <c r="D473" s="16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spans="1:16" ht="19.5" customHeight="1" x14ac:dyDescent="0.25">
      <c r="A474" s="8"/>
      <c r="B474" s="8"/>
      <c r="C474" s="16"/>
      <c r="D474" s="16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1:16" ht="19.5" customHeight="1" x14ac:dyDescent="0.25">
      <c r="A475" s="8"/>
      <c r="B475" s="8"/>
      <c r="C475" s="16"/>
      <c r="D475" s="16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spans="1:16" ht="19.5" customHeight="1" x14ac:dyDescent="0.25">
      <c r="A476" s="8"/>
      <c r="B476" s="8"/>
      <c r="C476" s="16"/>
      <c r="D476" s="16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spans="1:16" ht="19.5" customHeight="1" x14ac:dyDescent="0.25">
      <c r="A477" s="8"/>
      <c r="B477" s="8"/>
      <c r="C477" s="16"/>
      <c r="D477" s="16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spans="1:16" ht="19.5" customHeight="1" x14ac:dyDescent="0.25">
      <c r="A478" s="8"/>
      <c r="B478" s="8"/>
      <c r="C478" s="16"/>
      <c r="D478" s="16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spans="1:16" ht="19.5" customHeight="1" x14ac:dyDescent="0.25">
      <c r="A479" s="8"/>
      <c r="B479" s="8"/>
      <c r="C479" s="16"/>
      <c r="D479" s="16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spans="1:16" ht="19.5" customHeight="1" x14ac:dyDescent="0.25">
      <c r="A480" s="8"/>
      <c r="B480" s="8"/>
      <c r="C480" s="16"/>
      <c r="D480" s="16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spans="1:16" ht="19.5" customHeight="1" x14ac:dyDescent="0.25">
      <c r="A481" s="8"/>
      <c r="B481" s="8"/>
      <c r="C481" s="16"/>
      <c r="D481" s="16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spans="1:16" ht="19.5" customHeight="1" x14ac:dyDescent="0.25">
      <c r="A482" s="8"/>
      <c r="B482" s="8"/>
      <c r="C482" s="16"/>
      <c r="D482" s="16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spans="1:16" ht="19.5" customHeight="1" x14ac:dyDescent="0.25">
      <c r="A483" s="8"/>
      <c r="B483" s="8"/>
      <c r="C483" s="16"/>
      <c r="D483" s="16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1:16" ht="19.5" customHeight="1" x14ac:dyDescent="0.25">
      <c r="A484" s="8"/>
      <c r="B484" s="8"/>
      <c r="C484" s="16"/>
      <c r="D484" s="16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spans="1:16" ht="19.5" customHeight="1" x14ac:dyDescent="0.25">
      <c r="A485" s="8"/>
      <c r="B485" s="8"/>
      <c r="C485" s="16"/>
      <c r="D485" s="16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spans="1:16" ht="19.5" customHeight="1" x14ac:dyDescent="0.25">
      <c r="A486" s="8"/>
      <c r="B486" s="8"/>
      <c r="C486" s="16"/>
      <c r="D486" s="16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spans="1:16" ht="19.5" customHeight="1" x14ac:dyDescent="0.25">
      <c r="A487" s="8"/>
      <c r="B487" s="8"/>
      <c r="C487" s="16"/>
      <c r="D487" s="16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spans="1:16" ht="19.5" customHeight="1" x14ac:dyDescent="0.25">
      <c r="A488" s="8"/>
      <c r="B488" s="8"/>
      <c r="C488" s="16"/>
      <c r="D488" s="16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spans="1:16" ht="19.5" customHeight="1" x14ac:dyDescent="0.25">
      <c r="A489" s="8"/>
      <c r="B489" s="8"/>
      <c r="C489" s="16"/>
      <c r="D489" s="16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spans="1:16" ht="19.5" customHeight="1" x14ac:dyDescent="0.25">
      <c r="A490" s="8"/>
      <c r="B490" s="8"/>
      <c r="C490" s="16"/>
      <c r="D490" s="16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spans="1:16" ht="19.5" customHeight="1" x14ac:dyDescent="0.25">
      <c r="A491" s="8"/>
      <c r="B491" s="8"/>
      <c r="C491" s="16"/>
      <c r="D491" s="16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spans="1:16" ht="19.5" customHeight="1" x14ac:dyDescent="0.25">
      <c r="A492" s="8"/>
      <c r="B492" s="8"/>
      <c r="C492" s="16"/>
      <c r="D492" s="16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spans="1:16" ht="19.5" customHeight="1" x14ac:dyDescent="0.25">
      <c r="A493" s="8"/>
      <c r="B493" s="8"/>
      <c r="C493" s="16"/>
      <c r="D493" s="16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spans="1:16" ht="19.5" customHeight="1" x14ac:dyDescent="0.25">
      <c r="A494" s="8"/>
      <c r="B494" s="8"/>
      <c r="C494" s="16"/>
      <c r="D494" s="16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spans="1:16" ht="19.5" customHeight="1" x14ac:dyDescent="0.25">
      <c r="A495" s="8"/>
      <c r="B495" s="8"/>
      <c r="C495" s="16"/>
      <c r="D495" s="16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spans="1:16" ht="19.5" customHeight="1" x14ac:dyDescent="0.25">
      <c r="A496" s="8"/>
      <c r="B496" s="8"/>
      <c r="C496" s="16"/>
      <c r="D496" s="16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spans="1:16" ht="19.5" customHeight="1" x14ac:dyDescent="0.25">
      <c r="A497" s="8"/>
      <c r="B497" s="8"/>
      <c r="C497" s="16"/>
      <c r="D497" s="16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spans="1:16" ht="19.5" customHeight="1" x14ac:dyDescent="0.25">
      <c r="A498" s="8"/>
      <c r="B498" s="8"/>
      <c r="C498" s="16"/>
      <c r="D498" s="16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spans="1:16" ht="19.5" customHeight="1" x14ac:dyDescent="0.25">
      <c r="A499" s="8"/>
      <c r="B499" s="8"/>
      <c r="C499" s="16"/>
      <c r="D499" s="16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spans="1:16" ht="19.5" customHeight="1" x14ac:dyDescent="0.25">
      <c r="A500" s="8"/>
      <c r="B500" s="8"/>
      <c r="C500" s="16"/>
      <c r="D500" s="16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spans="1:16" ht="19.5" customHeight="1" x14ac:dyDescent="0.25">
      <c r="A501" s="8"/>
      <c r="B501" s="8"/>
      <c r="C501" s="16"/>
      <c r="D501" s="16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spans="1:16" ht="19.5" customHeight="1" x14ac:dyDescent="0.25">
      <c r="A502" s="8"/>
      <c r="B502" s="8"/>
      <c r="C502" s="16"/>
      <c r="D502" s="16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 spans="1:16" ht="19.5" customHeight="1" x14ac:dyDescent="0.25">
      <c r="A503" s="8"/>
      <c r="B503" s="8"/>
      <c r="C503" s="16"/>
      <c r="D503" s="16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spans="1:16" ht="19.5" customHeight="1" x14ac:dyDescent="0.25">
      <c r="A504" s="8"/>
      <c r="B504" s="8"/>
      <c r="C504" s="16"/>
      <c r="D504" s="16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 spans="1:16" ht="19.5" customHeight="1" x14ac:dyDescent="0.25">
      <c r="A505" s="8"/>
      <c r="B505" s="8"/>
      <c r="C505" s="16"/>
      <c r="D505" s="16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 spans="1:16" ht="19.5" customHeight="1" x14ac:dyDescent="0.25">
      <c r="A506" s="8"/>
      <c r="B506" s="8"/>
      <c r="C506" s="16"/>
      <c r="D506" s="16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 spans="1:16" ht="19.5" customHeight="1" x14ac:dyDescent="0.25">
      <c r="A507" s="8"/>
      <c r="B507" s="8"/>
      <c r="C507" s="16"/>
      <c r="D507" s="16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spans="1:16" ht="19.5" customHeight="1" x14ac:dyDescent="0.25">
      <c r="A508" s="8"/>
      <c r="B508" s="8"/>
      <c r="C508" s="16"/>
      <c r="D508" s="16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 spans="1:16" ht="19.5" customHeight="1" x14ac:dyDescent="0.25">
      <c r="A509" s="8"/>
      <c r="B509" s="8"/>
      <c r="C509" s="16"/>
      <c r="D509" s="16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 spans="1:16" ht="19.5" customHeight="1" x14ac:dyDescent="0.25">
      <c r="A510" s="8"/>
      <c r="B510" s="8"/>
      <c r="C510" s="16"/>
      <c r="D510" s="16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 spans="1:16" ht="19.5" customHeight="1" x14ac:dyDescent="0.25">
      <c r="A511" s="8"/>
      <c r="B511" s="8"/>
      <c r="C511" s="16"/>
      <c r="D511" s="16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 spans="1:16" ht="19.5" customHeight="1" x14ac:dyDescent="0.25">
      <c r="A512" s="8"/>
      <c r="B512" s="8"/>
      <c r="C512" s="16"/>
      <c r="D512" s="16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 spans="1:16" ht="19.5" customHeight="1" x14ac:dyDescent="0.25">
      <c r="A513" s="8"/>
      <c r="B513" s="8"/>
      <c r="C513" s="16"/>
      <c r="D513" s="16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1:16" ht="19.5" customHeight="1" x14ac:dyDescent="0.25">
      <c r="A514" s="8"/>
      <c r="B514" s="8"/>
      <c r="C514" s="16"/>
      <c r="D514" s="16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spans="1:16" ht="19.5" customHeight="1" x14ac:dyDescent="0.25">
      <c r="A515" s="8"/>
      <c r="B515" s="8"/>
      <c r="C515" s="16"/>
      <c r="D515" s="16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 spans="1:16" ht="19.5" customHeight="1" x14ac:dyDescent="0.25">
      <c r="A516" s="8"/>
      <c r="B516" s="8"/>
      <c r="C516" s="16"/>
      <c r="D516" s="16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 spans="1:16" ht="19.5" customHeight="1" x14ac:dyDescent="0.25">
      <c r="A517" s="8"/>
      <c r="B517" s="8"/>
      <c r="C517" s="16"/>
      <c r="D517" s="16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 spans="1:16" ht="19.5" customHeight="1" x14ac:dyDescent="0.25">
      <c r="A518" s="8"/>
      <c r="B518" s="8"/>
      <c r="C518" s="16"/>
      <c r="D518" s="16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 spans="1:16" ht="19.5" customHeight="1" x14ac:dyDescent="0.25">
      <c r="A519" s="8"/>
      <c r="B519" s="8"/>
      <c r="C519" s="16"/>
      <c r="D519" s="16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 spans="1:16" ht="19.5" customHeight="1" x14ac:dyDescent="0.25">
      <c r="A520" s="8"/>
      <c r="B520" s="8"/>
      <c r="C520" s="16"/>
      <c r="D520" s="16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 spans="1:16" ht="19.5" customHeight="1" x14ac:dyDescent="0.25">
      <c r="A521" s="8"/>
      <c r="B521" s="8"/>
      <c r="C521" s="16"/>
      <c r="D521" s="16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1:16" ht="19.5" customHeight="1" x14ac:dyDescent="0.25">
      <c r="A522" s="8"/>
      <c r="B522" s="8"/>
      <c r="C522" s="16"/>
      <c r="D522" s="16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spans="1:16" ht="19.5" customHeight="1" x14ac:dyDescent="0.25">
      <c r="A523" s="8"/>
      <c r="B523" s="8"/>
      <c r="C523" s="16"/>
      <c r="D523" s="16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 spans="1:16" ht="19.5" customHeight="1" x14ac:dyDescent="0.25">
      <c r="A524" s="8"/>
      <c r="B524" s="8"/>
      <c r="C524" s="16"/>
      <c r="D524" s="16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1:16" ht="19.5" customHeight="1" x14ac:dyDescent="0.25">
      <c r="A525" s="8"/>
      <c r="B525" s="8"/>
      <c r="C525" s="16"/>
      <c r="D525" s="16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 spans="1:16" ht="19.5" customHeight="1" x14ac:dyDescent="0.25">
      <c r="A526" s="8"/>
      <c r="B526" s="8"/>
      <c r="C526" s="16"/>
      <c r="D526" s="16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 spans="1:16" ht="19.5" customHeight="1" x14ac:dyDescent="0.25">
      <c r="A527" s="8"/>
      <c r="B527" s="8"/>
      <c r="C527" s="16"/>
      <c r="D527" s="16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 spans="1:16" ht="19.5" customHeight="1" x14ac:dyDescent="0.25">
      <c r="A528" s="8"/>
      <c r="B528" s="8"/>
      <c r="C528" s="16"/>
      <c r="D528" s="16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 spans="1:16" ht="19.5" customHeight="1" x14ac:dyDescent="0.25">
      <c r="A529" s="8"/>
      <c r="B529" s="8"/>
      <c r="C529" s="16"/>
      <c r="D529" s="16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 spans="1:16" ht="19.5" customHeight="1" x14ac:dyDescent="0.25">
      <c r="A530" s="8"/>
      <c r="B530" s="8"/>
      <c r="C530" s="16"/>
      <c r="D530" s="16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 spans="1:16" ht="19.5" customHeight="1" x14ac:dyDescent="0.25">
      <c r="A531" s="8"/>
      <c r="B531" s="8"/>
      <c r="C531" s="16"/>
      <c r="D531" s="16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 spans="1:16" ht="19.5" customHeight="1" x14ac:dyDescent="0.25">
      <c r="A532" s="8"/>
      <c r="B532" s="8"/>
      <c r="C532" s="16"/>
      <c r="D532" s="16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 spans="1:16" ht="19.5" customHeight="1" x14ac:dyDescent="0.25">
      <c r="A533" s="8"/>
      <c r="B533" s="8"/>
      <c r="C533" s="16"/>
      <c r="D533" s="16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 spans="1:16" ht="19.5" customHeight="1" x14ac:dyDescent="0.25">
      <c r="A534" s="8"/>
      <c r="B534" s="8"/>
      <c r="C534" s="16"/>
      <c r="D534" s="16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 spans="1:16" ht="19.5" customHeight="1" x14ac:dyDescent="0.25">
      <c r="A535" s="8"/>
      <c r="B535" s="8"/>
      <c r="C535" s="16"/>
      <c r="D535" s="16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 spans="1:16" ht="19.5" customHeight="1" x14ac:dyDescent="0.25">
      <c r="A536" s="8"/>
      <c r="B536" s="8"/>
      <c r="C536" s="16"/>
      <c r="D536" s="16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1:16" ht="19.5" customHeight="1" x14ac:dyDescent="0.25">
      <c r="A537" s="8"/>
      <c r="B537" s="8"/>
      <c r="C537" s="16"/>
      <c r="D537" s="16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 spans="1:16" ht="19.5" customHeight="1" x14ac:dyDescent="0.25">
      <c r="A538" s="8"/>
      <c r="B538" s="8"/>
      <c r="C538" s="16"/>
      <c r="D538" s="16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 spans="1:16" ht="19.5" customHeight="1" x14ac:dyDescent="0.25">
      <c r="A539" s="8"/>
      <c r="B539" s="8"/>
      <c r="C539" s="16"/>
      <c r="D539" s="16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 spans="1:16" ht="19.5" customHeight="1" x14ac:dyDescent="0.25">
      <c r="A540" s="8"/>
      <c r="B540" s="8"/>
      <c r="C540" s="16"/>
      <c r="D540" s="16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 spans="1:16" ht="19.5" customHeight="1" x14ac:dyDescent="0.25">
      <c r="A541" s="8"/>
      <c r="B541" s="8"/>
      <c r="C541" s="16"/>
      <c r="D541" s="16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 spans="1:16" ht="19.5" customHeight="1" x14ac:dyDescent="0.25">
      <c r="A542" s="8"/>
      <c r="B542" s="8"/>
      <c r="C542" s="16"/>
      <c r="D542" s="16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 spans="1:16" ht="19.5" customHeight="1" x14ac:dyDescent="0.25">
      <c r="A543" s="8"/>
      <c r="B543" s="8"/>
      <c r="C543" s="16"/>
      <c r="D543" s="16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 spans="1:16" ht="19.5" customHeight="1" x14ac:dyDescent="0.25">
      <c r="A544" s="8"/>
      <c r="B544" s="8"/>
      <c r="C544" s="16"/>
      <c r="D544" s="16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 spans="1:16" ht="19.5" customHeight="1" x14ac:dyDescent="0.25">
      <c r="A545" s="8"/>
      <c r="B545" s="8"/>
      <c r="C545" s="16"/>
      <c r="D545" s="16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1:16" ht="19.5" customHeight="1" x14ac:dyDescent="0.25">
      <c r="A546" s="8"/>
      <c r="B546" s="8"/>
      <c r="C546" s="16"/>
      <c r="D546" s="16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spans="1:16" ht="19.5" customHeight="1" x14ac:dyDescent="0.25">
      <c r="A547" s="8"/>
      <c r="B547" s="8"/>
      <c r="C547" s="16"/>
      <c r="D547" s="16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 spans="1:16" ht="19.5" customHeight="1" x14ac:dyDescent="0.25">
      <c r="A548" s="8"/>
      <c r="B548" s="8"/>
      <c r="C548" s="16"/>
      <c r="D548" s="16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1:16" ht="19.5" customHeight="1" x14ac:dyDescent="0.25">
      <c r="A549" s="8"/>
      <c r="B549" s="8"/>
      <c r="C549" s="16"/>
      <c r="D549" s="16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1:16" ht="19.5" customHeight="1" x14ac:dyDescent="0.25">
      <c r="A550" s="8"/>
      <c r="B550" s="8"/>
      <c r="C550" s="16"/>
      <c r="D550" s="16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1:16" ht="19.5" customHeight="1" x14ac:dyDescent="0.25">
      <c r="A551" s="8"/>
      <c r="B551" s="8"/>
      <c r="C551" s="16"/>
      <c r="D551" s="16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spans="1:16" ht="19.5" customHeight="1" x14ac:dyDescent="0.25">
      <c r="A552" s="8"/>
      <c r="B552" s="8"/>
      <c r="C552" s="16"/>
      <c r="D552" s="16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1:16" ht="19.5" customHeight="1" x14ac:dyDescent="0.25">
      <c r="A553" s="8"/>
      <c r="B553" s="8"/>
      <c r="C553" s="16"/>
      <c r="D553" s="16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1:16" ht="19.5" customHeight="1" x14ac:dyDescent="0.25">
      <c r="A554" s="8"/>
      <c r="B554" s="8"/>
      <c r="C554" s="16"/>
      <c r="D554" s="16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spans="1:16" ht="19.5" customHeight="1" x14ac:dyDescent="0.25">
      <c r="A555" s="8"/>
      <c r="B555" s="8"/>
      <c r="C555" s="16"/>
      <c r="D555" s="16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 spans="1:16" ht="19.5" customHeight="1" x14ac:dyDescent="0.25">
      <c r="A556" s="8"/>
      <c r="B556" s="8"/>
      <c r="C556" s="16"/>
      <c r="D556" s="16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 spans="1:16" ht="19.5" customHeight="1" x14ac:dyDescent="0.25">
      <c r="A557" s="8"/>
      <c r="B557" s="8"/>
      <c r="C557" s="16"/>
      <c r="D557" s="16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 spans="1:16" ht="19.5" customHeight="1" x14ac:dyDescent="0.25">
      <c r="A558" s="8"/>
      <c r="B558" s="8"/>
      <c r="C558" s="16"/>
      <c r="D558" s="16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 spans="1:16" ht="19.5" customHeight="1" x14ac:dyDescent="0.25">
      <c r="A559" s="8"/>
      <c r="B559" s="8"/>
      <c r="C559" s="16"/>
      <c r="D559" s="16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 spans="1:16" ht="19.5" customHeight="1" x14ac:dyDescent="0.25">
      <c r="A560" s="8"/>
      <c r="B560" s="8"/>
      <c r="C560" s="16"/>
      <c r="D560" s="16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 spans="1:16" ht="19.5" customHeight="1" x14ac:dyDescent="0.25">
      <c r="A561" s="8"/>
      <c r="B561" s="8"/>
      <c r="C561" s="16"/>
      <c r="D561" s="16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 spans="1:16" ht="19.5" customHeight="1" x14ac:dyDescent="0.25">
      <c r="A562" s="8"/>
      <c r="B562" s="8"/>
      <c r="C562" s="16"/>
      <c r="D562" s="16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 spans="1:16" ht="19.5" customHeight="1" x14ac:dyDescent="0.25">
      <c r="A563" s="8"/>
      <c r="B563" s="8"/>
      <c r="C563" s="16"/>
      <c r="D563" s="16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 spans="1:16" ht="19.5" customHeight="1" x14ac:dyDescent="0.25">
      <c r="A564" s="8"/>
      <c r="B564" s="8"/>
      <c r="C564" s="16"/>
      <c r="D564" s="16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 spans="1:16" ht="19.5" customHeight="1" x14ac:dyDescent="0.25">
      <c r="A565" s="8"/>
      <c r="B565" s="8"/>
      <c r="C565" s="16"/>
      <c r="D565" s="16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 spans="1:16" ht="19.5" customHeight="1" x14ac:dyDescent="0.25">
      <c r="A566" s="8"/>
      <c r="B566" s="8"/>
      <c r="C566" s="16"/>
      <c r="D566" s="16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 spans="1:16" ht="19.5" customHeight="1" x14ac:dyDescent="0.25">
      <c r="A567" s="8"/>
      <c r="B567" s="8"/>
      <c r="C567" s="16"/>
      <c r="D567" s="16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1:16" ht="19.5" customHeight="1" x14ac:dyDescent="0.25">
      <c r="A568" s="8"/>
      <c r="B568" s="8"/>
      <c r="C568" s="16"/>
      <c r="D568" s="16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spans="1:16" ht="19.5" customHeight="1" x14ac:dyDescent="0.25">
      <c r="A569" s="8"/>
      <c r="B569" s="8"/>
      <c r="C569" s="16"/>
      <c r="D569" s="16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1:16" ht="19.5" customHeight="1" x14ac:dyDescent="0.25">
      <c r="A570" s="8"/>
      <c r="B570" s="8"/>
      <c r="C570" s="16"/>
      <c r="D570" s="16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1:16" ht="19.5" customHeight="1" x14ac:dyDescent="0.25">
      <c r="A571" s="8"/>
      <c r="B571" s="8"/>
      <c r="C571" s="16"/>
      <c r="D571" s="16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spans="1:16" ht="19.5" customHeight="1" x14ac:dyDescent="0.25">
      <c r="A572" s="8"/>
      <c r="B572" s="8"/>
      <c r="C572" s="16"/>
      <c r="D572" s="16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 spans="1:16" ht="19.5" customHeight="1" x14ac:dyDescent="0.25">
      <c r="A573" s="8"/>
      <c r="B573" s="8"/>
      <c r="C573" s="16"/>
      <c r="D573" s="16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 spans="1:16" ht="19.5" customHeight="1" x14ac:dyDescent="0.25">
      <c r="A574" s="8"/>
      <c r="B574" s="8"/>
      <c r="C574" s="16"/>
      <c r="D574" s="16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1:16" ht="19.5" customHeight="1" x14ac:dyDescent="0.25">
      <c r="A575" s="8"/>
      <c r="B575" s="8"/>
      <c r="C575" s="16"/>
      <c r="D575" s="16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spans="1:16" ht="19.5" customHeight="1" x14ac:dyDescent="0.25">
      <c r="A576" s="8"/>
      <c r="B576" s="8"/>
      <c r="C576" s="16"/>
      <c r="D576" s="16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1:16" ht="19.5" customHeight="1" x14ac:dyDescent="0.25">
      <c r="A577" s="8"/>
      <c r="B577" s="8"/>
      <c r="C577" s="16"/>
      <c r="D577" s="16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spans="1:16" ht="19.5" customHeight="1" x14ac:dyDescent="0.25">
      <c r="A578" s="8"/>
      <c r="B578" s="8"/>
      <c r="C578" s="16"/>
      <c r="D578" s="16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 spans="1:16" ht="19.5" customHeight="1" x14ac:dyDescent="0.25">
      <c r="A579" s="8"/>
      <c r="B579" s="8"/>
      <c r="C579" s="16"/>
      <c r="D579" s="16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 spans="1:16" ht="19.5" customHeight="1" x14ac:dyDescent="0.25">
      <c r="A580" s="8"/>
      <c r="B580" s="8"/>
      <c r="C580" s="16"/>
      <c r="D580" s="16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1:16" ht="19.5" customHeight="1" x14ac:dyDescent="0.25">
      <c r="A581" s="8"/>
      <c r="B581" s="8"/>
      <c r="C581" s="16"/>
      <c r="D581" s="16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spans="1:16" ht="19.5" customHeight="1" x14ac:dyDescent="0.25">
      <c r="A582" s="8"/>
      <c r="B582" s="8"/>
      <c r="C582" s="16"/>
      <c r="D582" s="16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 spans="1:16" ht="19.5" customHeight="1" x14ac:dyDescent="0.25">
      <c r="A583" s="8"/>
      <c r="B583" s="8"/>
      <c r="C583" s="16"/>
      <c r="D583" s="16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 spans="1:16" ht="19.5" customHeight="1" x14ac:dyDescent="0.25">
      <c r="A584" s="8"/>
      <c r="B584" s="8"/>
      <c r="C584" s="16"/>
      <c r="D584" s="16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1:16" ht="19.5" customHeight="1" x14ac:dyDescent="0.25">
      <c r="A585" s="8"/>
      <c r="B585" s="8"/>
      <c r="C585" s="16"/>
      <c r="D585" s="16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spans="1:16" ht="19.5" customHeight="1" x14ac:dyDescent="0.25">
      <c r="A586" s="8"/>
      <c r="B586" s="8"/>
      <c r="C586" s="16"/>
      <c r="D586" s="16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 spans="1:16" ht="19.5" customHeight="1" x14ac:dyDescent="0.25">
      <c r="A587" s="8"/>
      <c r="B587" s="8"/>
      <c r="C587" s="16"/>
      <c r="D587" s="16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 spans="1:16" ht="19.5" customHeight="1" x14ac:dyDescent="0.25">
      <c r="A588" s="8"/>
      <c r="B588" s="8"/>
      <c r="C588" s="16"/>
      <c r="D588" s="16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 spans="1:16" ht="19.5" customHeight="1" x14ac:dyDescent="0.25">
      <c r="A589" s="8"/>
      <c r="B589" s="8"/>
      <c r="C589" s="16"/>
      <c r="D589" s="16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 spans="1:16" ht="19.5" customHeight="1" x14ac:dyDescent="0.25">
      <c r="A590" s="8"/>
      <c r="B590" s="8"/>
      <c r="C590" s="16"/>
      <c r="D590" s="16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1:16" ht="19.5" customHeight="1" x14ac:dyDescent="0.25">
      <c r="A591" s="8"/>
      <c r="B591" s="8"/>
      <c r="C591" s="16"/>
      <c r="D591" s="16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spans="1:16" ht="19.5" customHeight="1" x14ac:dyDescent="0.25">
      <c r="A592" s="8"/>
      <c r="B592" s="8"/>
      <c r="C592" s="16"/>
      <c r="D592" s="16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 spans="1:16" ht="19.5" customHeight="1" x14ac:dyDescent="0.25">
      <c r="A593" s="8"/>
      <c r="B593" s="8"/>
      <c r="C593" s="16"/>
      <c r="D593" s="16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1:16" ht="19.5" customHeight="1" x14ac:dyDescent="0.25">
      <c r="A594" s="8"/>
      <c r="B594" s="8"/>
      <c r="C594" s="16"/>
      <c r="D594" s="16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 spans="1:16" ht="19.5" customHeight="1" x14ac:dyDescent="0.25">
      <c r="A595" s="8"/>
      <c r="B595" s="8"/>
      <c r="C595" s="16"/>
      <c r="D595" s="16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 spans="1:16" ht="19.5" customHeight="1" x14ac:dyDescent="0.25">
      <c r="A596" s="8"/>
      <c r="B596" s="8"/>
      <c r="C596" s="16"/>
      <c r="D596" s="16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 spans="1:16" ht="19.5" customHeight="1" x14ac:dyDescent="0.25">
      <c r="A597" s="8"/>
      <c r="B597" s="8"/>
      <c r="C597" s="16"/>
      <c r="D597" s="16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 spans="1:16" ht="19.5" customHeight="1" x14ac:dyDescent="0.25">
      <c r="A598" s="8"/>
      <c r="B598" s="8"/>
      <c r="C598" s="16"/>
      <c r="D598" s="16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 spans="1:16" ht="19.5" customHeight="1" x14ac:dyDescent="0.25">
      <c r="A599" s="8"/>
      <c r="B599" s="8"/>
      <c r="C599" s="16"/>
      <c r="D599" s="16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 spans="1:16" ht="19.5" customHeight="1" x14ac:dyDescent="0.25">
      <c r="A600" s="8"/>
      <c r="B600" s="8"/>
      <c r="C600" s="16"/>
      <c r="D600" s="16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 spans="1:16" ht="19.5" customHeight="1" x14ac:dyDescent="0.25">
      <c r="A601" s="8"/>
      <c r="B601" s="8"/>
      <c r="C601" s="16"/>
      <c r="D601" s="16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 spans="1:16" ht="19.5" customHeight="1" x14ac:dyDescent="0.25">
      <c r="A602" s="8"/>
      <c r="B602" s="8"/>
      <c r="C602" s="16"/>
      <c r="D602" s="16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 spans="1:16" ht="19.5" customHeight="1" x14ac:dyDescent="0.25">
      <c r="A603" s="8"/>
      <c r="B603" s="8"/>
      <c r="C603" s="16"/>
      <c r="D603" s="16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 spans="1:16" ht="19.5" customHeight="1" x14ac:dyDescent="0.25">
      <c r="A604" s="8"/>
      <c r="B604" s="8"/>
      <c r="C604" s="16"/>
      <c r="D604" s="16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 spans="1:16" ht="19.5" customHeight="1" x14ac:dyDescent="0.25">
      <c r="A605" s="8"/>
      <c r="B605" s="8"/>
      <c r="C605" s="16"/>
      <c r="D605" s="16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 spans="1:16" ht="19.5" customHeight="1" x14ac:dyDescent="0.25">
      <c r="A606" s="8"/>
      <c r="B606" s="8"/>
      <c r="C606" s="16"/>
      <c r="D606" s="16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 spans="1:16" ht="19.5" customHeight="1" x14ac:dyDescent="0.25">
      <c r="A607" s="8"/>
      <c r="B607" s="8"/>
      <c r="C607" s="16"/>
      <c r="D607" s="16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 spans="1:16" ht="19.5" customHeight="1" x14ac:dyDescent="0.25">
      <c r="A608" s="8"/>
      <c r="B608" s="8"/>
      <c r="C608" s="16"/>
      <c r="D608" s="16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 spans="1:16" ht="19.5" customHeight="1" x14ac:dyDescent="0.25">
      <c r="A609" s="8"/>
      <c r="B609" s="8"/>
      <c r="C609" s="16"/>
      <c r="D609" s="16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1:16" ht="19.5" customHeight="1" x14ac:dyDescent="0.25">
      <c r="A610" s="8"/>
      <c r="B610" s="8"/>
      <c r="C610" s="16"/>
      <c r="D610" s="16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spans="1:16" ht="19.5" customHeight="1" x14ac:dyDescent="0.25">
      <c r="A611" s="8"/>
      <c r="B611" s="8"/>
      <c r="C611" s="16"/>
      <c r="D611" s="16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 spans="1:16" ht="19.5" customHeight="1" x14ac:dyDescent="0.25">
      <c r="A612" s="8"/>
      <c r="B612" s="8"/>
      <c r="C612" s="16"/>
      <c r="D612" s="16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 spans="1:16" ht="19.5" customHeight="1" x14ac:dyDescent="0.25">
      <c r="A613" s="8"/>
      <c r="B613" s="8"/>
      <c r="C613" s="16"/>
      <c r="D613" s="16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 spans="1:16" ht="19.5" customHeight="1" x14ac:dyDescent="0.25">
      <c r="A614" s="8"/>
      <c r="B614" s="8"/>
      <c r="C614" s="16"/>
      <c r="D614" s="16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 spans="1:16" ht="19.5" customHeight="1" x14ac:dyDescent="0.25">
      <c r="A615" s="8"/>
      <c r="B615" s="8"/>
      <c r="C615" s="16"/>
      <c r="D615" s="16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 spans="1:16" ht="19.5" customHeight="1" x14ac:dyDescent="0.25">
      <c r="A616" s="8"/>
      <c r="B616" s="8"/>
      <c r="C616" s="16"/>
      <c r="D616" s="16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 spans="1:16" ht="19.5" customHeight="1" x14ac:dyDescent="0.25">
      <c r="A617" s="8"/>
      <c r="B617" s="8"/>
      <c r="C617" s="16"/>
      <c r="D617" s="16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 spans="1:16" ht="19.5" customHeight="1" x14ac:dyDescent="0.25">
      <c r="A618" s="8"/>
      <c r="B618" s="8"/>
      <c r="C618" s="16"/>
      <c r="D618" s="16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 spans="1:16" ht="19.5" customHeight="1" x14ac:dyDescent="0.25">
      <c r="A619" s="8"/>
      <c r="B619" s="8"/>
      <c r="C619" s="16"/>
      <c r="D619" s="16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1:16" ht="19.5" customHeight="1" x14ac:dyDescent="0.25">
      <c r="A620" s="8"/>
      <c r="B620" s="8"/>
      <c r="C620" s="16"/>
      <c r="D620" s="16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 spans="1:16" ht="19.5" customHeight="1" x14ac:dyDescent="0.25">
      <c r="A621" s="8"/>
      <c r="B621" s="8"/>
      <c r="C621" s="16"/>
      <c r="D621" s="16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 spans="1:16" ht="19.5" customHeight="1" x14ac:dyDescent="0.25">
      <c r="A622" s="8"/>
      <c r="B622" s="8"/>
      <c r="C622" s="16"/>
      <c r="D622" s="16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1:16" ht="19.5" customHeight="1" x14ac:dyDescent="0.25">
      <c r="A623" s="8"/>
      <c r="B623" s="8"/>
      <c r="C623" s="16"/>
      <c r="D623" s="16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 spans="1:16" ht="19.5" customHeight="1" x14ac:dyDescent="0.25">
      <c r="A624" s="8"/>
      <c r="B624" s="8"/>
      <c r="C624" s="16"/>
      <c r="D624" s="16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1:16" ht="19.5" customHeight="1" x14ac:dyDescent="0.25">
      <c r="A625" s="8"/>
      <c r="B625" s="8"/>
      <c r="C625" s="16"/>
      <c r="D625" s="16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 spans="1:16" ht="19.5" customHeight="1" x14ac:dyDescent="0.25">
      <c r="A626" s="8"/>
      <c r="B626" s="8"/>
      <c r="C626" s="16"/>
      <c r="D626" s="16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 spans="1:16" ht="19.5" customHeight="1" x14ac:dyDescent="0.25">
      <c r="A627" s="8"/>
      <c r="B627" s="8"/>
      <c r="C627" s="16"/>
      <c r="D627" s="16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 spans="1:16" ht="19.5" customHeight="1" x14ac:dyDescent="0.25">
      <c r="A628" s="8"/>
      <c r="B628" s="8"/>
      <c r="C628" s="16"/>
      <c r="D628" s="16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 spans="1:16" ht="19.5" customHeight="1" x14ac:dyDescent="0.25">
      <c r="A629" s="8"/>
      <c r="B629" s="8"/>
      <c r="C629" s="16"/>
      <c r="D629" s="16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 spans="1:16" ht="19.5" customHeight="1" x14ac:dyDescent="0.25">
      <c r="A630" s="8"/>
      <c r="B630" s="8"/>
      <c r="C630" s="16"/>
      <c r="D630" s="16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 spans="1:16" ht="19.5" customHeight="1" x14ac:dyDescent="0.25">
      <c r="A631" s="8"/>
      <c r="B631" s="8"/>
      <c r="C631" s="16"/>
      <c r="D631" s="16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 spans="1:16" ht="19.5" customHeight="1" x14ac:dyDescent="0.25">
      <c r="A632" s="8"/>
      <c r="B632" s="8"/>
      <c r="C632" s="16"/>
      <c r="D632" s="16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1:16" ht="19.5" customHeight="1" x14ac:dyDescent="0.25">
      <c r="A633" s="8"/>
      <c r="B633" s="8"/>
      <c r="C633" s="16"/>
      <c r="D633" s="16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spans="1:16" ht="19.5" customHeight="1" x14ac:dyDescent="0.25">
      <c r="A634" s="8"/>
      <c r="B634" s="8"/>
      <c r="C634" s="16"/>
      <c r="D634" s="16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 spans="1:16" ht="19.5" customHeight="1" x14ac:dyDescent="0.25">
      <c r="A635" s="8"/>
      <c r="B635" s="8"/>
      <c r="C635" s="16"/>
      <c r="D635" s="16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spans="1:16" ht="19.5" customHeight="1" x14ac:dyDescent="0.25">
      <c r="A636" s="8"/>
      <c r="B636" s="8"/>
      <c r="C636" s="16"/>
      <c r="D636" s="16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 spans="1:16" ht="19.5" customHeight="1" x14ac:dyDescent="0.25">
      <c r="A637" s="8"/>
      <c r="B637" s="8"/>
      <c r="C637" s="16"/>
      <c r="D637" s="16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 spans="1:16" ht="19.5" customHeight="1" x14ac:dyDescent="0.25">
      <c r="A638" s="8"/>
      <c r="B638" s="8"/>
      <c r="C638" s="16"/>
      <c r="D638" s="16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 spans="1:16" ht="19.5" customHeight="1" x14ac:dyDescent="0.25">
      <c r="A639" s="8"/>
      <c r="B639" s="8"/>
      <c r="C639" s="16"/>
      <c r="D639" s="16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 spans="1:16" ht="19.5" customHeight="1" x14ac:dyDescent="0.25">
      <c r="A640" s="8"/>
      <c r="B640" s="8"/>
      <c r="C640" s="16"/>
      <c r="D640" s="16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 spans="1:16" ht="19.5" customHeight="1" x14ac:dyDescent="0.25">
      <c r="A641" s="8"/>
      <c r="B641" s="8"/>
      <c r="C641" s="16"/>
      <c r="D641" s="16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 spans="1:16" ht="19.5" customHeight="1" x14ac:dyDescent="0.25">
      <c r="A642" s="8"/>
      <c r="B642" s="8"/>
      <c r="C642" s="16"/>
      <c r="D642" s="16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 spans="1:16" ht="19.5" customHeight="1" x14ac:dyDescent="0.25">
      <c r="A643" s="8"/>
      <c r="B643" s="8"/>
      <c r="C643" s="16"/>
      <c r="D643" s="16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 spans="1:16" ht="19.5" customHeight="1" x14ac:dyDescent="0.25">
      <c r="A644" s="8"/>
      <c r="B644" s="8"/>
      <c r="C644" s="16"/>
      <c r="D644" s="16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 spans="1:16" ht="19.5" customHeight="1" x14ac:dyDescent="0.25">
      <c r="A645" s="8"/>
      <c r="B645" s="8"/>
      <c r="C645" s="16"/>
      <c r="D645" s="16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 spans="1:16" ht="19.5" customHeight="1" x14ac:dyDescent="0.25">
      <c r="A646" s="8"/>
      <c r="B646" s="8"/>
      <c r="C646" s="16"/>
      <c r="D646" s="16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1:16" ht="19.5" customHeight="1" x14ac:dyDescent="0.25">
      <c r="A647" s="8"/>
      <c r="B647" s="8"/>
      <c r="C647" s="16"/>
      <c r="D647" s="16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spans="1:16" ht="19.5" customHeight="1" x14ac:dyDescent="0.25">
      <c r="A648" s="8"/>
      <c r="B648" s="8"/>
      <c r="C648" s="16"/>
      <c r="D648" s="16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 spans="1:16" ht="19.5" customHeight="1" x14ac:dyDescent="0.25">
      <c r="A649" s="8"/>
      <c r="B649" s="8"/>
      <c r="C649" s="16"/>
      <c r="D649" s="16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 spans="1:16" ht="19.5" customHeight="1" x14ac:dyDescent="0.25">
      <c r="A650" s="8"/>
      <c r="B650" s="8"/>
      <c r="C650" s="16"/>
      <c r="D650" s="16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 spans="1:16" ht="19.5" customHeight="1" x14ac:dyDescent="0.25">
      <c r="A651" s="8"/>
      <c r="B651" s="8"/>
      <c r="C651" s="16"/>
      <c r="D651" s="16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 spans="1:16" ht="19.5" customHeight="1" x14ac:dyDescent="0.25">
      <c r="A652" s="8"/>
      <c r="B652" s="8"/>
      <c r="C652" s="16"/>
      <c r="D652" s="16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 spans="1:16" ht="19.5" customHeight="1" x14ac:dyDescent="0.25">
      <c r="A653" s="8"/>
      <c r="B653" s="8"/>
      <c r="C653" s="16"/>
      <c r="D653" s="16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1:16" ht="19.5" customHeight="1" x14ac:dyDescent="0.25">
      <c r="A654" s="8"/>
      <c r="B654" s="8"/>
      <c r="C654" s="16"/>
      <c r="D654" s="16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 spans="1:16" ht="19.5" customHeight="1" x14ac:dyDescent="0.25">
      <c r="A655" s="8"/>
      <c r="B655" s="8"/>
      <c r="C655" s="16"/>
      <c r="D655" s="16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 spans="1:16" ht="19.5" customHeight="1" x14ac:dyDescent="0.25">
      <c r="A656" s="8"/>
      <c r="B656" s="8"/>
      <c r="C656" s="16"/>
      <c r="D656" s="16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 spans="1:16" ht="19.5" customHeight="1" x14ac:dyDescent="0.25">
      <c r="A657" s="8"/>
      <c r="B657" s="8"/>
      <c r="C657" s="16"/>
      <c r="D657" s="16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 spans="1:16" ht="19.5" customHeight="1" x14ac:dyDescent="0.25">
      <c r="A658" s="8"/>
      <c r="B658" s="8"/>
      <c r="C658" s="16"/>
      <c r="D658" s="16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 spans="1:16" ht="19.5" customHeight="1" x14ac:dyDescent="0.25">
      <c r="A659" s="8"/>
      <c r="B659" s="8"/>
      <c r="C659" s="16"/>
      <c r="D659" s="16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 spans="1:16" ht="19.5" customHeight="1" x14ac:dyDescent="0.25">
      <c r="A660" s="8"/>
      <c r="B660" s="8"/>
      <c r="C660" s="16"/>
      <c r="D660" s="16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 spans="1:16" ht="19.5" customHeight="1" x14ac:dyDescent="0.25">
      <c r="A661" s="8"/>
      <c r="B661" s="8"/>
      <c r="C661" s="16"/>
      <c r="D661" s="16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 spans="1:16" ht="19.5" customHeight="1" x14ac:dyDescent="0.25">
      <c r="A662" s="8"/>
      <c r="B662" s="8"/>
      <c r="C662" s="16"/>
      <c r="D662" s="16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 spans="1:16" ht="19.5" customHeight="1" x14ac:dyDescent="0.25">
      <c r="A663" s="8"/>
      <c r="B663" s="8"/>
      <c r="C663" s="16"/>
      <c r="D663" s="16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 spans="1:16" ht="19.5" customHeight="1" x14ac:dyDescent="0.25">
      <c r="A664" s="8"/>
      <c r="B664" s="8"/>
      <c r="C664" s="16"/>
      <c r="D664" s="16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 spans="1:16" ht="19.5" customHeight="1" x14ac:dyDescent="0.25">
      <c r="A665" s="8"/>
      <c r="B665" s="8"/>
      <c r="C665" s="16"/>
      <c r="D665" s="16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 spans="1:16" ht="19.5" customHeight="1" x14ac:dyDescent="0.25">
      <c r="A666" s="8"/>
      <c r="B666" s="8"/>
      <c r="C666" s="16"/>
      <c r="D666" s="16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 spans="1:16" ht="19.5" customHeight="1" x14ac:dyDescent="0.25">
      <c r="A667" s="8"/>
      <c r="B667" s="8"/>
      <c r="C667" s="16"/>
      <c r="D667" s="16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 spans="1:16" ht="19.5" customHeight="1" x14ac:dyDescent="0.25">
      <c r="A668" s="8"/>
      <c r="B668" s="8"/>
      <c r="C668" s="16"/>
      <c r="D668" s="16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 spans="1:16" ht="19.5" customHeight="1" x14ac:dyDescent="0.25">
      <c r="A669" s="8"/>
      <c r="B669" s="8"/>
      <c r="C669" s="16"/>
      <c r="D669" s="16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 spans="1:16" ht="19.5" customHeight="1" x14ac:dyDescent="0.25">
      <c r="A670" s="8"/>
      <c r="B670" s="8"/>
      <c r="C670" s="16"/>
      <c r="D670" s="16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 spans="1:16" ht="19.5" customHeight="1" x14ac:dyDescent="0.25">
      <c r="A671" s="8"/>
      <c r="B671" s="8"/>
      <c r="C671" s="16"/>
      <c r="D671" s="16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 spans="1:16" ht="19.5" customHeight="1" x14ac:dyDescent="0.25">
      <c r="A672" s="8"/>
      <c r="B672" s="8"/>
      <c r="C672" s="16"/>
      <c r="D672" s="16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 spans="1:16" ht="19.5" customHeight="1" x14ac:dyDescent="0.25">
      <c r="A673" s="8"/>
      <c r="B673" s="8"/>
      <c r="C673" s="16"/>
      <c r="D673" s="16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 spans="1:16" ht="19.5" customHeight="1" x14ac:dyDescent="0.25">
      <c r="A674" s="8"/>
      <c r="B674" s="8"/>
      <c r="C674" s="16"/>
      <c r="D674" s="16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 spans="1:16" ht="19.5" customHeight="1" x14ac:dyDescent="0.25">
      <c r="A675" s="8"/>
      <c r="B675" s="8"/>
      <c r="C675" s="16"/>
      <c r="D675" s="16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 spans="1:16" ht="19.5" customHeight="1" x14ac:dyDescent="0.25">
      <c r="A676" s="8"/>
      <c r="B676" s="8"/>
      <c r="C676" s="16"/>
      <c r="D676" s="16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 spans="1:16" ht="19.5" customHeight="1" x14ac:dyDescent="0.25">
      <c r="A677" s="8"/>
      <c r="B677" s="8"/>
      <c r="C677" s="16"/>
      <c r="D677" s="16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 spans="1:16" ht="19.5" customHeight="1" x14ac:dyDescent="0.25">
      <c r="A678" s="8"/>
      <c r="B678" s="8"/>
      <c r="C678" s="16"/>
      <c r="D678" s="16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 spans="1:16" ht="19.5" customHeight="1" x14ac:dyDescent="0.25">
      <c r="A679" s="8"/>
      <c r="B679" s="8"/>
      <c r="C679" s="16"/>
      <c r="D679" s="16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 spans="1:16" ht="19.5" customHeight="1" x14ac:dyDescent="0.25">
      <c r="A680" s="8"/>
      <c r="B680" s="8"/>
      <c r="C680" s="16"/>
      <c r="D680" s="16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 spans="1:16" ht="19.5" customHeight="1" x14ac:dyDescent="0.25">
      <c r="A681" s="8"/>
      <c r="B681" s="8"/>
      <c r="C681" s="16"/>
      <c r="D681" s="16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 spans="1:16" ht="19.5" customHeight="1" x14ac:dyDescent="0.25">
      <c r="A682" s="8"/>
      <c r="B682" s="8"/>
      <c r="C682" s="16"/>
      <c r="D682" s="16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 spans="1:16" ht="19.5" customHeight="1" x14ac:dyDescent="0.25">
      <c r="A683" s="8"/>
      <c r="B683" s="8"/>
      <c r="C683" s="16"/>
      <c r="D683" s="16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 spans="1:16" ht="19.5" customHeight="1" x14ac:dyDescent="0.25">
      <c r="A684" s="8"/>
      <c r="B684" s="8"/>
      <c r="C684" s="16"/>
      <c r="D684" s="16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 spans="1:16" ht="19.5" customHeight="1" x14ac:dyDescent="0.25">
      <c r="A685" s="8"/>
      <c r="B685" s="8"/>
      <c r="C685" s="16"/>
      <c r="D685" s="16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 spans="1:16" ht="19.5" customHeight="1" x14ac:dyDescent="0.25">
      <c r="A686" s="8"/>
      <c r="B686" s="8"/>
      <c r="C686" s="16"/>
      <c r="D686" s="16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 spans="1:16" ht="19.5" customHeight="1" x14ac:dyDescent="0.25">
      <c r="A687" s="8"/>
      <c r="B687" s="8"/>
      <c r="C687" s="16"/>
      <c r="D687" s="16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spans="1:16" ht="19.5" customHeight="1" x14ac:dyDescent="0.25">
      <c r="A688" s="8"/>
      <c r="B688" s="8"/>
      <c r="C688" s="16"/>
      <c r="D688" s="16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 spans="1:16" ht="19.5" customHeight="1" x14ac:dyDescent="0.25">
      <c r="A689" s="8"/>
      <c r="B689" s="8"/>
      <c r="C689" s="16"/>
      <c r="D689" s="16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 spans="1:16" ht="19.5" customHeight="1" x14ac:dyDescent="0.25">
      <c r="A690" s="8"/>
      <c r="B690" s="8"/>
      <c r="C690" s="16"/>
      <c r="D690" s="16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 spans="1:16" ht="19.5" customHeight="1" x14ac:dyDescent="0.25">
      <c r="A691" s="8"/>
      <c r="B691" s="8"/>
      <c r="C691" s="16"/>
      <c r="D691" s="16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spans="1:16" ht="19.5" customHeight="1" x14ac:dyDescent="0.25">
      <c r="A692" s="8"/>
      <c r="B692" s="8"/>
      <c r="C692" s="16"/>
      <c r="D692" s="16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 spans="1:16" ht="19.5" customHeight="1" x14ac:dyDescent="0.25">
      <c r="A693" s="8"/>
      <c r="B693" s="8"/>
      <c r="C693" s="16"/>
      <c r="D693" s="16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 spans="1:16" ht="19.5" customHeight="1" x14ac:dyDescent="0.25">
      <c r="A694" s="8"/>
      <c r="B694" s="8"/>
      <c r="C694" s="16"/>
      <c r="D694" s="16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 spans="1:16" ht="19.5" customHeight="1" x14ac:dyDescent="0.25">
      <c r="A695" s="8"/>
      <c r="B695" s="8"/>
      <c r="C695" s="16"/>
      <c r="D695" s="16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 spans="1:16" ht="19.5" customHeight="1" x14ac:dyDescent="0.25">
      <c r="A696" s="8"/>
      <c r="B696" s="8"/>
      <c r="C696" s="16"/>
      <c r="D696" s="16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 spans="1:16" ht="19.5" customHeight="1" x14ac:dyDescent="0.25">
      <c r="A697" s="8"/>
      <c r="B697" s="8"/>
      <c r="C697" s="16"/>
      <c r="D697" s="16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 spans="1:16" ht="19.5" customHeight="1" x14ac:dyDescent="0.25">
      <c r="A698" s="8"/>
      <c r="B698" s="8"/>
      <c r="C698" s="16"/>
      <c r="D698" s="16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 spans="1:16" ht="19.5" customHeight="1" x14ac:dyDescent="0.25">
      <c r="A699" s="8"/>
      <c r="B699" s="8"/>
      <c r="C699" s="16"/>
      <c r="D699" s="16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 spans="1:16" ht="19.5" customHeight="1" x14ac:dyDescent="0.25">
      <c r="A700" s="8"/>
      <c r="B700" s="8"/>
      <c r="C700" s="16"/>
      <c r="D700" s="16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 spans="1:16" ht="19.5" customHeight="1" x14ac:dyDescent="0.25">
      <c r="A701" s="8"/>
      <c r="B701" s="8"/>
      <c r="C701" s="16"/>
      <c r="D701" s="16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 spans="1:16" ht="19.5" customHeight="1" x14ac:dyDescent="0.25">
      <c r="A702" s="8"/>
      <c r="B702" s="8"/>
      <c r="C702" s="16"/>
      <c r="D702" s="16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 spans="1:16" ht="19.5" customHeight="1" x14ac:dyDescent="0.25">
      <c r="A703" s="8"/>
      <c r="B703" s="8"/>
      <c r="C703" s="16"/>
      <c r="D703" s="16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 spans="1:16" ht="19.5" customHeight="1" x14ac:dyDescent="0.25">
      <c r="A704" s="8"/>
      <c r="B704" s="8"/>
      <c r="C704" s="16"/>
      <c r="D704" s="16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spans="1:16" ht="19.5" customHeight="1" x14ac:dyDescent="0.25">
      <c r="A705" s="8"/>
      <c r="B705" s="8"/>
      <c r="C705" s="16"/>
      <c r="D705" s="16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 spans="1:16" ht="19.5" customHeight="1" x14ac:dyDescent="0.25">
      <c r="A706" s="8"/>
      <c r="B706" s="8"/>
      <c r="C706" s="16"/>
      <c r="D706" s="16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 spans="1:16" ht="19.5" customHeight="1" x14ac:dyDescent="0.25">
      <c r="A707" s="8"/>
      <c r="B707" s="8"/>
      <c r="C707" s="16"/>
      <c r="D707" s="16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 spans="1:16" ht="19.5" customHeight="1" x14ac:dyDescent="0.25">
      <c r="A708" s="8"/>
      <c r="B708" s="8"/>
      <c r="C708" s="16"/>
      <c r="D708" s="16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 spans="1:16" ht="19.5" customHeight="1" x14ac:dyDescent="0.25">
      <c r="A709" s="8"/>
      <c r="B709" s="8"/>
      <c r="C709" s="16"/>
      <c r="D709" s="16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 spans="1:16" ht="19.5" customHeight="1" x14ac:dyDescent="0.25">
      <c r="A710" s="8"/>
      <c r="B710" s="8"/>
      <c r="C710" s="16"/>
      <c r="D710" s="16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spans="1:16" ht="19.5" customHeight="1" x14ac:dyDescent="0.25">
      <c r="A711" s="8"/>
      <c r="B711" s="8"/>
      <c r="C711" s="16"/>
      <c r="D711" s="16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1:16" ht="19.5" customHeight="1" x14ac:dyDescent="0.25">
      <c r="A712" s="8"/>
      <c r="B712" s="8"/>
      <c r="C712" s="16"/>
      <c r="D712" s="16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 spans="1:16" ht="19.5" customHeight="1" x14ac:dyDescent="0.25">
      <c r="A713" s="8"/>
      <c r="B713" s="8"/>
      <c r="C713" s="16"/>
      <c r="D713" s="16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 spans="1:16" ht="19.5" customHeight="1" x14ac:dyDescent="0.25">
      <c r="A714" s="8"/>
      <c r="B714" s="8"/>
      <c r="C714" s="16"/>
      <c r="D714" s="16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 spans="1:16" ht="19.5" customHeight="1" x14ac:dyDescent="0.25">
      <c r="A715" s="8"/>
      <c r="B715" s="8"/>
      <c r="C715" s="16"/>
      <c r="D715" s="16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 spans="1:16" ht="19.5" customHeight="1" x14ac:dyDescent="0.25">
      <c r="A716" s="8"/>
      <c r="B716" s="8"/>
      <c r="C716" s="16"/>
      <c r="D716" s="16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 spans="1:16" ht="19.5" customHeight="1" x14ac:dyDescent="0.25">
      <c r="A717" s="8"/>
      <c r="B717" s="8"/>
      <c r="C717" s="16"/>
      <c r="D717" s="16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spans="1:16" ht="19.5" customHeight="1" x14ac:dyDescent="0.25">
      <c r="A718" s="8"/>
      <c r="B718" s="8"/>
      <c r="C718" s="16"/>
      <c r="D718" s="16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 spans="1:16" ht="19.5" customHeight="1" x14ac:dyDescent="0.25">
      <c r="A719" s="8"/>
      <c r="B719" s="8"/>
      <c r="C719" s="16"/>
      <c r="D719" s="16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 spans="1:16" ht="19.5" customHeight="1" x14ac:dyDescent="0.25">
      <c r="A720" s="8"/>
      <c r="B720" s="8"/>
      <c r="C720" s="16"/>
      <c r="D720" s="16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 spans="1:16" ht="19.5" customHeight="1" x14ac:dyDescent="0.25">
      <c r="A721" s="8"/>
      <c r="B721" s="8"/>
      <c r="C721" s="16"/>
      <c r="D721" s="16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 spans="1:16" ht="19.5" customHeight="1" x14ac:dyDescent="0.25">
      <c r="A722" s="8"/>
      <c r="B722" s="8"/>
      <c r="C722" s="16"/>
      <c r="D722" s="16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 spans="1:16" ht="19.5" customHeight="1" x14ac:dyDescent="0.25">
      <c r="A723" s="8"/>
      <c r="B723" s="8"/>
      <c r="C723" s="16"/>
      <c r="D723" s="16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spans="1:16" ht="19.5" customHeight="1" x14ac:dyDescent="0.25">
      <c r="A724" s="8"/>
      <c r="B724" s="8"/>
      <c r="C724" s="16"/>
      <c r="D724" s="16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 spans="1:16" ht="19.5" customHeight="1" x14ac:dyDescent="0.25">
      <c r="A725" s="8"/>
      <c r="B725" s="8"/>
      <c r="C725" s="16"/>
      <c r="D725" s="16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spans="1:16" ht="19.5" customHeight="1" x14ac:dyDescent="0.25">
      <c r="A726" s="8"/>
      <c r="B726" s="8"/>
      <c r="C726" s="16"/>
      <c r="D726" s="16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 spans="1:16" ht="19.5" customHeight="1" x14ac:dyDescent="0.25">
      <c r="A727" s="8"/>
      <c r="B727" s="8"/>
      <c r="C727" s="16"/>
      <c r="D727" s="16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 spans="1:16" ht="19.5" customHeight="1" x14ac:dyDescent="0.25">
      <c r="A728" s="8"/>
      <c r="B728" s="8"/>
      <c r="C728" s="16"/>
      <c r="D728" s="16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 spans="1:16" ht="19.5" customHeight="1" x14ac:dyDescent="0.25">
      <c r="A729" s="8"/>
      <c r="B729" s="8"/>
      <c r="C729" s="16"/>
      <c r="D729" s="16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 spans="1:16" ht="19.5" customHeight="1" x14ac:dyDescent="0.25">
      <c r="A730" s="8"/>
      <c r="B730" s="8"/>
      <c r="C730" s="16"/>
      <c r="D730" s="16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 spans="1:16" ht="19.5" customHeight="1" x14ac:dyDescent="0.25">
      <c r="A731" s="8"/>
      <c r="B731" s="8"/>
      <c r="C731" s="16"/>
      <c r="D731" s="16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 spans="1:16" ht="19.5" customHeight="1" x14ac:dyDescent="0.25">
      <c r="A732" s="8"/>
      <c r="B732" s="8"/>
      <c r="C732" s="16"/>
      <c r="D732" s="16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 spans="1:16" ht="19.5" customHeight="1" x14ac:dyDescent="0.25">
      <c r="A733" s="8"/>
      <c r="B733" s="8"/>
      <c r="C733" s="16"/>
      <c r="D733" s="16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 spans="1:16" ht="19.5" customHeight="1" x14ac:dyDescent="0.25">
      <c r="A734" s="8"/>
      <c r="B734" s="8"/>
      <c r="C734" s="16"/>
      <c r="D734" s="16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 spans="1:16" ht="19.5" customHeight="1" x14ac:dyDescent="0.25">
      <c r="A735" s="8"/>
      <c r="B735" s="8"/>
      <c r="C735" s="16"/>
      <c r="D735" s="16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spans="1:16" ht="19.5" customHeight="1" x14ac:dyDescent="0.25">
      <c r="A736" s="8"/>
      <c r="B736" s="8"/>
      <c r="C736" s="16"/>
      <c r="D736" s="16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 spans="1:16" ht="19.5" customHeight="1" x14ac:dyDescent="0.25">
      <c r="A737" s="8"/>
      <c r="B737" s="8"/>
      <c r="C737" s="16"/>
      <c r="D737" s="16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 spans="1:16" ht="19.5" customHeight="1" x14ac:dyDescent="0.25">
      <c r="A738" s="8"/>
      <c r="B738" s="8"/>
      <c r="C738" s="16"/>
      <c r="D738" s="16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 spans="1:16" ht="19.5" customHeight="1" x14ac:dyDescent="0.25">
      <c r="A739" s="8"/>
      <c r="B739" s="8"/>
      <c r="C739" s="16"/>
      <c r="D739" s="16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 spans="1:16" ht="19.5" customHeight="1" x14ac:dyDescent="0.25">
      <c r="A740" s="8"/>
      <c r="B740" s="8"/>
      <c r="C740" s="16"/>
      <c r="D740" s="16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 spans="1:16" ht="19.5" customHeight="1" x14ac:dyDescent="0.25">
      <c r="A741" s="8"/>
      <c r="B741" s="8"/>
      <c r="C741" s="16"/>
      <c r="D741" s="16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 spans="1:16" ht="19.5" customHeight="1" x14ac:dyDescent="0.25">
      <c r="A742" s="8"/>
      <c r="B742" s="8"/>
      <c r="C742" s="16"/>
      <c r="D742" s="16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 spans="1:16" ht="19.5" customHeight="1" x14ac:dyDescent="0.25">
      <c r="A743" s="8"/>
      <c r="B743" s="8"/>
      <c r="C743" s="16"/>
      <c r="D743" s="16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 spans="1:16" ht="19.5" customHeight="1" x14ac:dyDescent="0.25">
      <c r="A744" s="8"/>
      <c r="B744" s="8"/>
      <c r="C744" s="16"/>
      <c r="D744" s="16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 spans="1:16" ht="19.5" customHeight="1" x14ac:dyDescent="0.25">
      <c r="A745" s="8"/>
      <c r="B745" s="8"/>
      <c r="C745" s="16"/>
      <c r="D745" s="16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 spans="1:16" ht="19.5" customHeight="1" x14ac:dyDescent="0.25">
      <c r="A746" s="8"/>
      <c r="B746" s="8"/>
      <c r="C746" s="16"/>
      <c r="D746" s="16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 spans="1:16" ht="19.5" customHeight="1" x14ac:dyDescent="0.25">
      <c r="A747" s="8"/>
      <c r="B747" s="8"/>
      <c r="C747" s="16"/>
      <c r="D747" s="16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 spans="1:16" ht="19.5" customHeight="1" x14ac:dyDescent="0.25">
      <c r="A748" s="8"/>
      <c r="B748" s="8"/>
      <c r="C748" s="16"/>
      <c r="D748" s="16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 spans="1:16" ht="19.5" customHeight="1" x14ac:dyDescent="0.25">
      <c r="A749" s="8"/>
      <c r="B749" s="8"/>
      <c r="C749" s="16"/>
      <c r="D749" s="16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 spans="1:16" ht="19.5" customHeight="1" x14ac:dyDescent="0.25">
      <c r="A750" s="8"/>
      <c r="B750" s="8"/>
      <c r="C750" s="16"/>
      <c r="D750" s="16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 spans="1:16" ht="19.5" customHeight="1" x14ac:dyDescent="0.25">
      <c r="A751" s="8"/>
      <c r="B751" s="8"/>
      <c r="C751" s="16"/>
      <c r="D751" s="16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 spans="1:16" ht="19.5" customHeight="1" x14ac:dyDescent="0.25">
      <c r="A752" s="8"/>
      <c r="B752" s="8"/>
      <c r="C752" s="16"/>
      <c r="D752" s="16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 spans="1:16" ht="19.5" customHeight="1" x14ac:dyDescent="0.25">
      <c r="A753" s="8"/>
      <c r="B753" s="8"/>
      <c r="C753" s="16"/>
      <c r="D753" s="16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 spans="1:16" ht="19.5" customHeight="1" x14ac:dyDescent="0.25">
      <c r="A754" s="8"/>
      <c r="B754" s="8"/>
      <c r="C754" s="16"/>
      <c r="D754" s="16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spans="1:16" ht="19.5" customHeight="1" x14ac:dyDescent="0.25">
      <c r="A755" s="8"/>
      <c r="B755" s="8"/>
      <c r="C755" s="16"/>
      <c r="D755" s="16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 spans="1:16" ht="19.5" customHeight="1" x14ac:dyDescent="0.25">
      <c r="A756" s="8"/>
      <c r="B756" s="8"/>
      <c r="C756" s="16"/>
      <c r="D756" s="16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 spans="1:16" ht="19.5" customHeight="1" x14ac:dyDescent="0.25">
      <c r="A757" s="8"/>
      <c r="B757" s="8"/>
      <c r="C757" s="16"/>
      <c r="D757" s="16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spans="1:16" ht="19.5" customHeight="1" x14ac:dyDescent="0.25">
      <c r="A758" s="8"/>
      <c r="B758" s="8"/>
      <c r="C758" s="16"/>
      <c r="D758" s="16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 spans="1:16" ht="19.5" customHeight="1" x14ac:dyDescent="0.25">
      <c r="A759" s="8"/>
      <c r="B759" s="8"/>
      <c r="C759" s="16"/>
      <c r="D759" s="16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 spans="1:16" ht="19.5" customHeight="1" x14ac:dyDescent="0.25">
      <c r="A760" s="8"/>
      <c r="B760" s="8"/>
      <c r="C760" s="16"/>
      <c r="D760" s="16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 spans="1:16" ht="19.5" customHeight="1" x14ac:dyDescent="0.25">
      <c r="A761" s="8"/>
      <c r="B761" s="8"/>
      <c r="C761" s="16"/>
      <c r="D761" s="16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 spans="1:16" ht="19.5" customHeight="1" x14ac:dyDescent="0.25">
      <c r="A762" s="8"/>
      <c r="B762" s="8"/>
      <c r="C762" s="16"/>
      <c r="D762" s="16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spans="1:16" ht="19.5" customHeight="1" x14ac:dyDescent="0.25">
      <c r="A763" s="8"/>
      <c r="B763" s="8"/>
      <c r="C763" s="16"/>
      <c r="D763" s="16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 spans="1:16" ht="19.5" customHeight="1" x14ac:dyDescent="0.25">
      <c r="A764" s="8"/>
      <c r="B764" s="8"/>
      <c r="C764" s="16"/>
      <c r="D764" s="16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 spans="1:16" ht="19.5" customHeight="1" x14ac:dyDescent="0.25">
      <c r="A765" s="8"/>
      <c r="B765" s="8"/>
      <c r="C765" s="16"/>
      <c r="D765" s="16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 spans="1:16" ht="19.5" customHeight="1" x14ac:dyDescent="0.25">
      <c r="A766" s="8"/>
      <c r="B766" s="8"/>
      <c r="C766" s="16"/>
      <c r="D766" s="16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 spans="1:16" ht="19.5" customHeight="1" x14ac:dyDescent="0.25">
      <c r="A767" s="8"/>
      <c r="B767" s="8"/>
      <c r="C767" s="16"/>
      <c r="D767" s="16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spans="1:16" ht="19.5" customHeight="1" x14ac:dyDescent="0.25">
      <c r="A768" s="8"/>
      <c r="B768" s="8"/>
      <c r="C768" s="16"/>
      <c r="D768" s="16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 spans="1:16" ht="19.5" customHeight="1" x14ac:dyDescent="0.25">
      <c r="A769" s="8"/>
      <c r="B769" s="8"/>
      <c r="C769" s="16"/>
      <c r="D769" s="16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 spans="1:16" ht="19.5" customHeight="1" x14ac:dyDescent="0.25">
      <c r="A770" s="8"/>
      <c r="B770" s="8"/>
      <c r="C770" s="16"/>
      <c r="D770" s="16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 spans="1:16" ht="19.5" customHeight="1" x14ac:dyDescent="0.25">
      <c r="A771" s="8"/>
      <c r="B771" s="8"/>
      <c r="C771" s="16"/>
      <c r="D771" s="16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 spans="1:16" ht="19.5" customHeight="1" x14ac:dyDescent="0.25">
      <c r="A772" s="8"/>
      <c r="B772" s="8"/>
      <c r="C772" s="16"/>
      <c r="D772" s="16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spans="1:16" ht="19.5" customHeight="1" x14ac:dyDescent="0.25">
      <c r="A773" s="8"/>
      <c r="B773" s="8"/>
      <c r="C773" s="16"/>
      <c r="D773" s="16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 spans="1:16" ht="19.5" customHeight="1" x14ac:dyDescent="0.25">
      <c r="A774" s="8"/>
      <c r="B774" s="8"/>
      <c r="C774" s="16"/>
      <c r="D774" s="16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 spans="1:16" ht="19.5" customHeight="1" x14ac:dyDescent="0.25">
      <c r="A775" s="8"/>
      <c r="B775" s="8"/>
      <c r="C775" s="16"/>
      <c r="D775" s="16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 spans="1:16" ht="19.5" customHeight="1" x14ac:dyDescent="0.25">
      <c r="A776" s="8"/>
      <c r="B776" s="8"/>
      <c r="C776" s="16"/>
      <c r="D776" s="16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 spans="1:16" ht="19.5" customHeight="1" x14ac:dyDescent="0.25">
      <c r="A777" s="8"/>
      <c r="B777" s="8"/>
      <c r="C777" s="16"/>
      <c r="D777" s="16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 spans="1:16" ht="19.5" customHeight="1" x14ac:dyDescent="0.25">
      <c r="A778" s="8"/>
      <c r="B778" s="8"/>
      <c r="C778" s="16"/>
      <c r="D778" s="16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 spans="1:16" ht="19.5" customHeight="1" x14ac:dyDescent="0.25">
      <c r="A779" s="8"/>
      <c r="B779" s="8"/>
      <c r="C779" s="16"/>
      <c r="D779" s="16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 spans="1:16" ht="19.5" customHeight="1" x14ac:dyDescent="0.25">
      <c r="A780" s="8"/>
      <c r="B780" s="8"/>
      <c r="C780" s="16"/>
      <c r="D780" s="16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spans="1:16" ht="19.5" customHeight="1" x14ac:dyDescent="0.25">
      <c r="A781" s="8"/>
      <c r="B781" s="8"/>
      <c r="C781" s="16"/>
      <c r="D781" s="16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1:16" ht="19.5" customHeight="1" x14ac:dyDescent="0.25">
      <c r="A782" s="8"/>
      <c r="B782" s="8"/>
      <c r="C782" s="16"/>
      <c r="D782" s="16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 spans="1:16" ht="19.5" customHeight="1" x14ac:dyDescent="0.25">
      <c r="A783" s="8"/>
      <c r="B783" s="8"/>
      <c r="C783" s="16"/>
      <c r="D783" s="16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 spans="1:16" ht="19.5" customHeight="1" x14ac:dyDescent="0.25">
      <c r="A784" s="8"/>
      <c r="B784" s="8"/>
      <c r="C784" s="16"/>
      <c r="D784" s="16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 spans="1:16" ht="19.5" customHeight="1" x14ac:dyDescent="0.25">
      <c r="A785" s="8"/>
      <c r="B785" s="8"/>
      <c r="C785" s="16"/>
      <c r="D785" s="16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 spans="1:16" ht="19.5" customHeight="1" x14ac:dyDescent="0.25">
      <c r="A786" s="8"/>
      <c r="B786" s="8"/>
      <c r="C786" s="16"/>
      <c r="D786" s="16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 spans="1:16" ht="19.5" customHeight="1" x14ac:dyDescent="0.25">
      <c r="A787" s="8"/>
      <c r="B787" s="8"/>
      <c r="C787" s="16"/>
      <c r="D787" s="16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 spans="1:16" ht="19.5" customHeight="1" x14ac:dyDescent="0.25">
      <c r="A788" s="8"/>
      <c r="B788" s="8"/>
      <c r="C788" s="16"/>
      <c r="D788" s="16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 spans="1:16" ht="19.5" customHeight="1" x14ac:dyDescent="0.25">
      <c r="A789" s="8"/>
      <c r="B789" s="8"/>
      <c r="C789" s="16"/>
      <c r="D789" s="16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 spans="1:16" ht="19.5" customHeight="1" x14ac:dyDescent="0.25">
      <c r="A790" s="8"/>
      <c r="B790" s="8"/>
      <c r="C790" s="16"/>
      <c r="D790" s="16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 spans="1:16" ht="19.5" customHeight="1" x14ac:dyDescent="0.25">
      <c r="A791" s="8"/>
      <c r="B791" s="8"/>
      <c r="C791" s="16"/>
      <c r="D791" s="16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 spans="1:16" ht="19.5" customHeight="1" x14ac:dyDescent="0.25">
      <c r="A792" s="8"/>
      <c r="B792" s="8"/>
      <c r="C792" s="16"/>
      <c r="D792" s="16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 spans="1:16" ht="19.5" customHeight="1" x14ac:dyDescent="0.25">
      <c r="A793" s="8"/>
      <c r="B793" s="8"/>
      <c r="C793" s="16"/>
      <c r="D793" s="16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 spans="1:16" ht="19.5" customHeight="1" x14ac:dyDescent="0.25">
      <c r="A794" s="8"/>
      <c r="B794" s="8"/>
      <c r="C794" s="16"/>
      <c r="D794" s="16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 spans="1:16" ht="19.5" customHeight="1" x14ac:dyDescent="0.25">
      <c r="A795" s="8"/>
      <c r="B795" s="8"/>
      <c r="C795" s="16"/>
      <c r="D795" s="16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spans="1:16" ht="19.5" customHeight="1" x14ac:dyDescent="0.25">
      <c r="A796" s="8"/>
      <c r="B796" s="8"/>
      <c r="C796" s="16"/>
      <c r="D796" s="16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1:16" ht="19.5" customHeight="1" x14ac:dyDescent="0.25">
      <c r="A797" s="8"/>
      <c r="B797" s="8"/>
      <c r="C797" s="16"/>
      <c r="D797" s="16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 spans="1:16" ht="19.5" customHeight="1" x14ac:dyDescent="0.25">
      <c r="A798" s="8"/>
      <c r="B798" s="8"/>
      <c r="C798" s="16"/>
      <c r="D798" s="16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 spans="1:16" ht="19.5" customHeight="1" x14ac:dyDescent="0.25">
      <c r="A799" s="8"/>
      <c r="B799" s="8"/>
      <c r="C799" s="16"/>
      <c r="D799" s="16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 spans="1:16" ht="19.5" customHeight="1" x14ac:dyDescent="0.25">
      <c r="A800" s="8"/>
      <c r="B800" s="8"/>
      <c r="C800" s="16"/>
      <c r="D800" s="16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 spans="1:16" ht="19.5" customHeight="1" x14ac:dyDescent="0.25">
      <c r="A801" s="8"/>
      <c r="B801" s="8"/>
      <c r="C801" s="16"/>
      <c r="D801" s="16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 spans="1:16" ht="19.5" customHeight="1" x14ac:dyDescent="0.25">
      <c r="A802" s="8"/>
      <c r="B802" s="8"/>
      <c r="C802" s="16"/>
      <c r="D802" s="16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 spans="1:16" ht="19.5" customHeight="1" x14ac:dyDescent="0.25">
      <c r="A803" s="8"/>
      <c r="B803" s="8"/>
      <c r="C803" s="16"/>
      <c r="D803" s="16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 spans="1:16" ht="19.5" customHeight="1" x14ac:dyDescent="0.25">
      <c r="A804" s="8"/>
      <c r="B804" s="8"/>
      <c r="C804" s="16"/>
      <c r="D804" s="16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 spans="1:16" ht="19.5" customHeight="1" x14ac:dyDescent="0.25">
      <c r="A805" s="8"/>
      <c r="B805" s="8"/>
      <c r="C805" s="16"/>
      <c r="D805" s="16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spans="1:16" ht="19.5" customHeight="1" x14ac:dyDescent="0.25">
      <c r="A806" s="8"/>
      <c r="B806" s="8"/>
      <c r="C806" s="16"/>
      <c r="D806" s="16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 spans="1:16" ht="19.5" customHeight="1" x14ac:dyDescent="0.25">
      <c r="A807" s="8"/>
      <c r="B807" s="8"/>
      <c r="C807" s="16"/>
      <c r="D807" s="16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 spans="1:16" ht="19.5" customHeight="1" x14ac:dyDescent="0.25">
      <c r="A808" s="8"/>
      <c r="B808" s="8"/>
      <c r="C808" s="16"/>
      <c r="D808" s="16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spans="1:16" ht="19.5" customHeight="1" x14ac:dyDescent="0.25">
      <c r="A809" s="8"/>
      <c r="B809" s="8"/>
      <c r="C809" s="16"/>
      <c r="D809" s="16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 spans="1:16" ht="19.5" customHeight="1" x14ac:dyDescent="0.25">
      <c r="A810" s="8"/>
      <c r="B810" s="8"/>
      <c r="C810" s="16"/>
      <c r="D810" s="16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 spans="1:16" ht="19.5" customHeight="1" x14ac:dyDescent="0.25">
      <c r="A811" s="8"/>
      <c r="B811" s="8"/>
      <c r="C811" s="16"/>
      <c r="D811" s="16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 spans="1:16" ht="19.5" customHeight="1" x14ac:dyDescent="0.25">
      <c r="A812" s="8"/>
      <c r="B812" s="8"/>
      <c r="C812" s="16"/>
      <c r="D812" s="16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 spans="1:16" ht="19.5" customHeight="1" x14ac:dyDescent="0.25">
      <c r="A813" s="8"/>
      <c r="B813" s="8"/>
      <c r="C813" s="16"/>
      <c r="D813" s="16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 spans="1:16" ht="19.5" customHeight="1" x14ac:dyDescent="0.25">
      <c r="A814" s="8"/>
      <c r="B814" s="8"/>
      <c r="C814" s="16"/>
      <c r="D814" s="16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 spans="1:16" ht="19.5" customHeight="1" x14ac:dyDescent="0.25">
      <c r="A815" s="8"/>
      <c r="B815" s="8"/>
      <c r="C815" s="16"/>
      <c r="D815" s="16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 spans="1:16" ht="19.5" customHeight="1" x14ac:dyDescent="0.25">
      <c r="A816" s="8"/>
      <c r="B816" s="8"/>
      <c r="C816" s="16"/>
      <c r="D816" s="16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spans="1:16" ht="19.5" customHeight="1" x14ac:dyDescent="0.25">
      <c r="A817" s="8"/>
      <c r="B817" s="8"/>
      <c r="C817" s="16"/>
      <c r="D817" s="16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 spans="1:16" ht="19.5" customHeight="1" x14ac:dyDescent="0.25">
      <c r="A818" s="8"/>
      <c r="B818" s="8"/>
      <c r="C818" s="16"/>
      <c r="D818" s="16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spans="1:16" ht="19.5" customHeight="1" x14ac:dyDescent="0.25">
      <c r="A819" s="8"/>
      <c r="B819" s="8"/>
      <c r="C819" s="16"/>
      <c r="D819" s="16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 spans="1:16" ht="19.5" customHeight="1" x14ac:dyDescent="0.25">
      <c r="A820" s="8"/>
      <c r="B820" s="8"/>
      <c r="C820" s="16"/>
      <c r="D820" s="16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 spans="1:16" ht="19.5" customHeight="1" x14ac:dyDescent="0.25">
      <c r="A821" s="8"/>
      <c r="B821" s="8"/>
      <c r="C821" s="16"/>
      <c r="D821" s="16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 spans="1:16" ht="19.5" customHeight="1" x14ac:dyDescent="0.25">
      <c r="A822" s="8"/>
      <c r="B822" s="8"/>
      <c r="C822" s="16"/>
      <c r="D822" s="16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 spans="1:16" ht="19.5" customHeight="1" x14ac:dyDescent="0.25">
      <c r="A823" s="8"/>
      <c r="B823" s="8"/>
      <c r="C823" s="16"/>
      <c r="D823" s="16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 spans="1:16" ht="19.5" customHeight="1" x14ac:dyDescent="0.25">
      <c r="A824" s="8"/>
      <c r="B824" s="8"/>
      <c r="C824" s="16"/>
      <c r="D824" s="16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 spans="1:16" ht="19.5" customHeight="1" x14ac:dyDescent="0.25">
      <c r="A825" s="8"/>
      <c r="B825" s="8"/>
      <c r="C825" s="16"/>
      <c r="D825" s="16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 spans="1:16" ht="19.5" customHeight="1" x14ac:dyDescent="0.25">
      <c r="A826" s="8"/>
      <c r="B826" s="8"/>
      <c r="C826" s="16"/>
      <c r="D826" s="16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 spans="1:16" ht="19.5" customHeight="1" x14ac:dyDescent="0.25">
      <c r="A827" s="8"/>
      <c r="B827" s="8"/>
      <c r="C827" s="16"/>
      <c r="D827" s="16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 spans="1:16" ht="19.5" customHeight="1" x14ac:dyDescent="0.25">
      <c r="A828" s="8"/>
      <c r="B828" s="8"/>
      <c r="C828" s="16"/>
      <c r="D828" s="16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 spans="1:16" ht="19.5" customHeight="1" x14ac:dyDescent="0.25">
      <c r="A829" s="8"/>
      <c r="B829" s="8"/>
      <c r="C829" s="16"/>
      <c r="D829" s="16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 spans="1:16" ht="19.5" customHeight="1" x14ac:dyDescent="0.25">
      <c r="A830" s="8"/>
      <c r="B830" s="8"/>
      <c r="C830" s="16"/>
      <c r="D830" s="16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 spans="1:16" ht="19.5" customHeight="1" x14ac:dyDescent="0.25">
      <c r="A831" s="8"/>
      <c r="B831" s="8"/>
      <c r="C831" s="16"/>
      <c r="D831" s="16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 spans="1:16" ht="19.5" customHeight="1" x14ac:dyDescent="0.25">
      <c r="A832" s="8"/>
      <c r="B832" s="8"/>
      <c r="C832" s="16"/>
      <c r="D832" s="16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 spans="1:16" ht="19.5" customHeight="1" x14ac:dyDescent="0.25">
      <c r="A833" s="8"/>
      <c r="B833" s="8"/>
      <c r="C833" s="16"/>
      <c r="D833" s="16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 spans="1:16" ht="19.5" customHeight="1" x14ac:dyDescent="0.25">
      <c r="A834" s="8"/>
      <c r="B834" s="8"/>
      <c r="C834" s="16"/>
      <c r="D834" s="16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spans="1:16" ht="19.5" customHeight="1" x14ac:dyDescent="0.25">
      <c r="A835" s="8"/>
      <c r="B835" s="8"/>
      <c r="C835" s="16"/>
      <c r="D835" s="16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 spans="1:16" ht="19.5" customHeight="1" x14ac:dyDescent="0.25">
      <c r="A836" s="8"/>
      <c r="B836" s="8"/>
      <c r="C836" s="16"/>
      <c r="D836" s="16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 spans="1:16" ht="19.5" customHeight="1" x14ac:dyDescent="0.25">
      <c r="A837" s="8"/>
      <c r="B837" s="8"/>
      <c r="C837" s="16"/>
      <c r="D837" s="16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 spans="1:16" ht="19.5" customHeight="1" x14ac:dyDescent="0.25">
      <c r="A838" s="8"/>
      <c r="B838" s="8"/>
      <c r="C838" s="16"/>
      <c r="D838" s="16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 spans="1:16" ht="19.5" customHeight="1" x14ac:dyDescent="0.25">
      <c r="A839" s="8"/>
      <c r="B839" s="8"/>
      <c r="C839" s="16"/>
      <c r="D839" s="16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 spans="1:16" ht="19.5" customHeight="1" x14ac:dyDescent="0.25">
      <c r="A840" s="8"/>
      <c r="B840" s="8"/>
      <c r="C840" s="16"/>
      <c r="D840" s="16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 spans="1:16" ht="19.5" customHeight="1" x14ac:dyDescent="0.25">
      <c r="A841" s="8"/>
      <c r="B841" s="8"/>
      <c r="C841" s="16"/>
      <c r="D841" s="16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 spans="1:16" ht="19.5" customHeight="1" x14ac:dyDescent="0.25">
      <c r="A842" s="8"/>
      <c r="B842" s="8"/>
      <c r="C842" s="16"/>
      <c r="D842" s="16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 spans="1:16" ht="19.5" customHeight="1" x14ac:dyDescent="0.25">
      <c r="A843" s="8"/>
      <c r="B843" s="8"/>
      <c r="C843" s="16"/>
      <c r="D843" s="16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 spans="1:16" ht="19.5" customHeight="1" x14ac:dyDescent="0.25">
      <c r="A844" s="8"/>
      <c r="B844" s="8"/>
      <c r="C844" s="16"/>
      <c r="D844" s="16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spans="1:16" ht="19.5" customHeight="1" x14ac:dyDescent="0.25">
      <c r="A845" s="8"/>
      <c r="B845" s="8"/>
      <c r="C845" s="16"/>
      <c r="D845" s="16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1:16" ht="19.5" customHeight="1" x14ac:dyDescent="0.25">
      <c r="A846" s="8"/>
      <c r="B846" s="8"/>
      <c r="C846" s="16"/>
      <c r="D846" s="16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1:16" ht="19.5" customHeight="1" x14ac:dyDescent="0.25">
      <c r="A847" s="8"/>
      <c r="B847" s="8"/>
      <c r="C847" s="16"/>
      <c r="D847" s="16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 spans="1:16" ht="19.5" customHeight="1" x14ac:dyDescent="0.25">
      <c r="A848" s="8"/>
      <c r="B848" s="8"/>
      <c r="C848" s="16"/>
      <c r="D848" s="16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spans="1:16" ht="19.5" customHeight="1" x14ac:dyDescent="0.25">
      <c r="A849" s="8"/>
      <c r="B849" s="8"/>
      <c r="C849" s="16"/>
      <c r="D849" s="16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1:16" ht="19.5" customHeight="1" x14ac:dyDescent="0.25">
      <c r="A850" s="8"/>
      <c r="B850" s="8"/>
      <c r="C850" s="16"/>
      <c r="D850" s="16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 spans="1:16" ht="19.5" customHeight="1" x14ac:dyDescent="0.25">
      <c r="A851" s="8"/>
      <c r="B851" s="8"/>
      <c r="C851" s="16"/>
      <c r="D851" s="16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spans="1:16" ht="19.5" customHeight="1" x14ac:dyDescent="0.25">
      <c r="A852" s="8"/>
      <c r="B852" s="8"/>
      <c r="C852" s="16"/>
      <c r="D852" s="16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1:16" ht="19.5" customHeight="1" x14ac:dyDescent="0.25">
      <c r="A853" s="8"/>
      <c r="B853" s="8"/>
      <c r="C853" s="16"/>
      <c r="D853" s="16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1:16" ht="19.5" customHeight="1" x14ac:dyDescent="0.25">
      <c r="A854" s="8"/>
      <c r="B854" s="8"/>
      <c r="C854" s="16"/>
      <c r="D854" s="16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1:16" ht="19.5" customHeight="1" x14ac:dyDescent="0.25">
      <c r="A855" s="8"/>
      <c r="B855" s="8"/>
      <c r="C855" s="16"/>
      <c r="D855" s="16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1:16" ht="19.5" customHeight="1" x14ac:dyDescent="0.25">
      <c r="A856" s="8"/>
      <c r="B856" s="8"/>
      <c r="C856" s="16"/>
      <c r="D856" s="16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1:16" ht="19.5" customHeight="1" x14ac:dyDescent="0.25">
      <c r="A857" s="8"/>
      <c r="B857" s="8"/>
      <c r="C857" s="16"/>
      <c r="D857" s="16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1:16" ht="19.5" customHeight="1" x14ac:dyDescent="0.25">
      <c r="A858" s="8"/>
      <c r="B858" s="8"/>
      <c r="C858" s="16"/>
      <c r="D858" s="16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1:16" ht="19.5" customHeight="1" x14ac:dyDescent="0.25">
      <c r="A859" s="8"/>
      <c r="B859" s="8"/>
      <c r="C859" s="16"/>
      <c r="D859" s="16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1:16" ht="19.5" customHeight="1" x14ac:dyDescent="0.25">
      <c r="A860" s="8"/>
      <c r="B860" s="8"/>
      <c r="C860" s="16"/>
      <c r="D860" s="16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1:16" ht="19.5" customHeight="1" x14ac:dyDescent="0.25">
      <c r="A861" s="8"/>
      <c r="B861" s="8"/>
      <c r="C861" s="16"/>
      <c r="D861" s="16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1:16" ht="19.5" customHeight="1" x14ac:dyDescent="0.25">
      <c r="A862" s="8"/>
      <c r="B862" s="8"/>
      <c r="C862" s="16"/>
      <c r="D862" s="16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1:16" ht="19.5" customHeight="1" x14ac:dyDescent="0.25">
      <c r="A863" s="8"/>
      <c r="B863" s="8"/>
      <c r="C863" s="16"/>
      <c r="D863" s="16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1:16" ht="19.5" customHeight="1" x14ac:dyDescent="0.25">
      <c r="A864" s="8"/>
      <c r="B864" s="8"/>
      <c r="C864" s="16"/>
      <c r="D864" s="16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1:16" ht="19.5" customHeight="1" x14ac:dyDescent="0.25">
      <c r="A865" s="8"/>
      <c r="B865" s="8"/>
      <c r="C865" s="16"/>
      <c r="D865" s="16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1:16" ht="19.5" customHeight="1" x14ac:dyDescent="0.25">
      <c r="A866" s="8"/>
      <c r="B866" s="8"/>
      <c r="C866" s="16"/>
      <c r="D866" s="16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1:16" ht="19.5" customHeight="1" x14ac:dyDescent="0.25">
      <c r="A867" s="8"/>
      <c r="B867" s="8"/>
      <c r="C867" s="16"/>
      <c r="D867" s="16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1:16" ht="19.5" customHeight="1" x14ac:dyDescent="0.25">
      <c r="A868" s="8"/>
      <c r="B868" s="8"/>
      <c r="C868" s="16"/>
      <c r="D868" s="16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1:16" ht="19.5" customHeight="1" x14ac:dyDescent="0.25">
      <c r="A869" s="8"/>
      <c r="B869" s="8"/>
      <c r="C869" s="16"/>
      <c r="D869" s="16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1:16" ht="19.5" customHeight="1" x14ac:dyDescent="0.25">
      <c r="A870" s="8"/>
      <c r="B870" s="8"/>
      <c r="C870" s="16"/>
      <c r="D870" s="16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1:16" ht="19.5" customHeight="1" x14ac:dyDescent="0.25">
      <c r="A871" s="8"/>
      <c r="B871" s="8"/>
      <c r="C871" s="16"/>
      <c r="D871" s="16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1:16" ht="19.5" customHeight="1" x14ac:dyDescent="0.25">
      <c r="A872" s="8"/>
      <c r="B872" s="8"/>
      <c r="C872" s="16"/>
      <c r="D872" s="16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1:16" ht="19.5" customHeight="1" x14ac:dyDescent="0.25">
      <c r="A873" s="8"/>
      <c r="B873" s="8"/>
      <c r="C873" s="16"/>
      <c r="D873" s="16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1:16" ht="19.5" customHeight="1" x14ac:dyDescent="0.25">
      <c r="A874" s="8"/>
      <c r="B874" s="8"/>
      <c r="C874" s="16"/>
      <c r="D874" s="16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1:16" ht="19.5" customHeight="1" x14ac:dyDescent="0.25">
      <c r="A875" s="8"/>
      <c r="B875" s="8"/>
      <c r="C875" s="16"/>
      <c r="D875" s="16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 spans="1:16" ht="19.5" customHeight="1" x14ac:dyDescent="0.25">
      <c r="A876" s="8"/>
      <c r="B876" s="8"/>
      <c r="C876" s="16"/>
      <c r="D876" s="16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spans="1:16" ht="19.5" customHeight="1" x14ac:dyDescent="0.25">
      <c r="A877" s="8"/>
      <c r="B877" s="8"/>
      <c r="C877" s="16"/>
      <c r="D877" s="16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1:16" ht="19.5" customHeight="1" x14ac:dyDescent="0.25">
      <c r="A878" s="8"/>
      <c r="B878" s="8"/>
      <c r="C878" s="16"/>
      <c r="D878" s="16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1:16" ht="19.5" customHeight="1" x14ac:dyDescent="0.25">
      <c r="A879" s="8"/>
      <c r="B879" s="8"/>
      <c r="C879" s="16"/>
      <c r="D879" s="16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 spans="1:16" ht="19.5" customHeight="1" x14ac:dyDescent="0.25">
      <c r="A880" s="8"/>
      <c r="B880" s="8"/>
      <c r="C880" s="16"/>
      <c r="D880" s="16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spans="1:16" ht="19.5" customHeight="1" x14ac:dyDescent="0.25">
      <c r="A881" s="8"/>
      <c r="B881" s="8"/>
      <c r="C881" s="16"/>
      <c r="D881" s="16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1:16" ht="19.5" customHeight="1" x14ac:dyDescent="0.25">
      <c r="A882" s="8"/>
      <c r="B882" s="8"/>
      <c r="C882" s="16"/>
      <c r="D882" s="16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1:16" ht="19.5" customHeight="1" x14ac:dyDescent="0.25">
      <c r="A883" s="8"/>
      <c r="B883" s="8"/>
      <c r="C883" s="16"/>
      <c r="D883" s="16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1:16" ht="19.5" customHeight="1" x14ac:dyDescent="0.25">
      <c r="A884" s="8"/>
      <c r="B884" s="8"/>
      <c r="C884" s="16"/>
      <c r="D884" s="16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1:16" ht="19.5" customHeight="1" x14ac:dyDescent="0.25">
      <c r="A885" s="8"/>
      <c r="B885" s="8"/>
      <c r="C885" s="16"/>
      <c r="D885" s="16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1:16" ht="19.5" customHeight="1" x14ac:dyDescent="0.25">
      <c r="A886" s="8"/>
      <c r="B886" s="8"/>
      <c r="C886" s="16"/>
      <c r="D886" s="16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 spans="1:16" ht="19.5" customHeight="1" x14ac:dyDescent="0.25">
      <c r="A887" s="8"/>
      <c r="B887" s="8"/>
      <c r="C887" s="16"/>
      <c r="D887" s="16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spans="1:16" ht="19.5" customHeight="1" x14ac:dyDescent="0.25">
      <c r="A888" s="8"/>
      <c r="B888" s="8"/>
      <c r="C888" s="16"/>
      <c r="D888" s="16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1:16" ht="19.5" customHeight="1" x14ac:dyDescent="0.25">
      <c r="A889" s="8"/>
      <c r="B889" s="8"/>
      <c r="C889" s="16"/>
      <c r="D889" s="16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1:16" ht="19.5" customHeight="1" x14ac:dyDescent="0.25">
      <c r="A890" s="8"/>
      <c r="B890" s="8"/>
      <c r="C890" s="16"/>
      <c r="D890" s="16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 spans="1:16" ht="19.5" customHeight="1" x14ac:dyDescent="0.25">
      <c r="A891" s="8"/>
      <c r="B891" s="8"/>
      <c r="C891" s="16"/>
      <c r="D891" s="16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spans="1:16" ht="19.5" customHeight="1" x14ac:dyDescent="0.25">
      <c r="A892" s="8"/>
      <c r="B892" s="8"/>
      <c r="C892" s="16"/>
      <c r="D892" s="16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1:16" ht="19.5" customHeight="1" x14ac:dyDescent="0.25">
      <c r="A893" s="8"/>
      <c r="B893" s="8"/>
      <c r="C893" s="16"/>
      <c r="D893" s="16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1:16" ht="19.5" customHeight="1" x14ac:dyDescent="0.25">
      <c r="A894" s="8"/>
      <c r="B894" s="8"/>
      <c r="C894" s="16"/>
      <c r="D894" s="16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1:16" ht="19.5" customHeight="1" x14ac:dyDescent="0.25">
      <c r="A895" s="8"/>
      <c r="B895" s="8"/>
      <c r="C895" s="16"/>
      <c r="D895" s="16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1:16" ht="19.5" customHeight="1" x14ac:dyDescent="0.25">
      <c r="A896" s="8"/>
      <c r="B896" s="8"/>
      <c r="C896" s="16"/>
      <c r="D896" s="16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1:16" ht="19.5" customHeight="1" x14ac:dyDescent="0.25">
      <c r="A897" s="8"/>
      <c r="B897" s="8"/>
      <c r="C897" s="16"/>
      <c r="D897" s="16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1:16" ht="19.5" customHeight="1" x14ac:dyDescent="0.25">
      <c r="A898" s="8"/>
      <c r="B898" s="8"/>
      <c r="C898" s="16"/>
      <c r="D898" s="16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1:16" ht="19.5" customHeight="1" x14ac:dyDescent="0.25">
      <c r="A899" s="8"/>
      <c r="B899" s="8"/>
      <c r="C899" s="16"/>
      <c r="D899" s="16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1:16" ht="19.5" customHeight="1" x14ac:dyDescent="0.25">
      <c r="A900" s="8"/>
      <c r="B900" s="8"/>
      <c r="C900" s="16"/>
      <c r="D900" s="16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1:16" ht="19.5" customHeight="1" x14ac:dyDescent="0.25">
      <c r="A901" s="8"/>
      <c r="B901" s="8"/>
      <c r="C901" s="16"/>
      <c r="D901" s="16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1:16" ht="19.5" customHeight="1" x14ac:dyDescent="0.25">
      <c r="A902" s="8"/>
      <c r="B902" s="8"/>
      <c r="C902" s="16"/>
      <c r="D902" s="16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1:16" ht="19.5" customHeight="1" x14ac:dyDescent="0.25">
      <c r="A903" s="8"/>
      <c r="B903" s="8"/>
      <c r="C903" s="16"/>
      <c r="D903" s="16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1:16" ht="19.5" customHeight="1" x14ac:dyDescent="0.25">
      <c r="A904" s="8"/>
      <c r="B904" s="8"/>
      <c r="C904" s="16"/>
      <c r="D904" s="16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1:16" ht="19.5" customHeight="1" x14ac:dyDescent="0.25">
      <c r="A905" s="8"/>
      <c r="B905" s="8"/>
      <c r="C905" s="16"/>
      <c r="D905" s="16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1:16" ht="19.5" customHeight="1" x14ac:dyDescent="0.25">
      <c r="A906" s="8"/>
      <c r="B906" s="8"/>
      <c r="C906" s="16"/>
      <c r="D906" s="16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1:16" ht="19.5" customHeight="1" x14ac:dyDescent="0.25">
      <c r="A907" s="8"/>
      <c r="B907" s="8"/>
      <c r="C907" s="16"/>
      <c r="D907" s="16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1:16" ht="19.5" customHeight="1" x14ac:dyDescent="0.25">
      <c r="A908" s="8"/>
      <c r="B908" s="8"/>
      <c r="C908" s="16"/>
      <c r="D908" s="16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1:16" ht="19.5" customHeight="1" x14ac:dyDescent="0.25">
      <c r="A909" s="8"/>
      <c r="B909" s="8"/>
      <c r="C909" s="16"/>
      <c r="D909" s="16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1:16" ht="19.5" customHeight="1" x14ac:dyDescent="0.25">
      <c r="A910" s="8"/>
      <c r="B910" s="8"/>
      <c r="C910" s="16"/>
      <c r="D910" s="16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 spans="1:16" ht="19.5" customHeight="1" x14ac:dyDescent="0.25">
      <c r="A911" s="8"/>
      <c r="B911" s="8"/>
      <c r="C911" s="16"/>
      <c r="D911" s="16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spans="1:16" ht="19.5" customHeight="1" x14ac:dyDescent="0.25">
      <c r="A912" s="8"/>
      <c r="B912" s="8"/>
      <c r="C912" s="16"/>
      <c r="D912" s="16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1:16" ht="19.5" customHeight="1" x14ac:dyDescent="0.25">
      <c r="A913" s="8"/>
      <c r="B913" s="8"/>
      <c r="C913" s="16"/>
      <c r="D913" s="16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 spans="1:16" ht="19.5" customHeight="1" x14ac:dyDescent="0.25">
      <c r="A914" s="8"/>
      <c r="B914" s="8"/>
      <c r="C914" s="16"/>
      <c r="D914" s="16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 spans="1:16" ht="19.5" customHeight="1" x14ac:dyDescent="0.25">
      <c r="A915" s="8"/>
      <c r="B915" s="8"/>
      <c r="C915" s="16"/>
      <c r="D915" s="16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 spans="1:16" ht="19.5" customHeight="1" x14ac:dyDescent="0.25">
      <c r="A916" s="8"/>
      <c r="B916" s="8"/>
      <c r="C916" s="16"/>
      <c r="D916" s="16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spans="1:16" ht="19.5" customHeight="1" x14ac:dyDescent="0.25">
      <c r="A917" s="8"/>
      <c r="B917" s="8"/>
      <c r="C917" s="16"/>
      <c r="D917" s="16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1:16" ht="19.5" customHeight="1" x14ac:dyDescent="0.25">
      <c r="A918" s="8"/>
      <c r="B918" s="8"/>
      <c r="C918" s="16"/>
      <c r="D918" s="16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1:16" ht="19.5" customHeight="1" x14ac:dyDescent="0.25">
      <c r="A919" s="8"/>
      <c r="B919" s="8"/>
      <c r="C919" s="16"/>
      <c r="D919" s="16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1:16" ht="19.5" customHeight="1" x14ac:dyDescent="0.25">
      <c r="A920" s="8"/>
      <c r="B920" s="8"/>
      <c r="C920" s="16"/>
      <c r="D920" s="16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1:16" ht="19.5" customHeight="1" x14ac:dyDescent="0.25">
      <c r="A921" s="8"/>
      <c r="B921" s="8"/>
      <c r="C921" s="16"/>
      <c r="D921" s="16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1:16" ht="19.5" customHeight="1" x14ac:dyDescent="0.25">
      <c r="A922" s="8"/>
      <c r="B922" s="8"/>
      <c r="C922" s="16"/>
      <c r="D922" s="16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1:16" ht="19.5" customHeight="1" x14ac:dyDescent="0.25">
      <c r="A923" s="8"/>
      <c r="B923" s="8"/>
      <c r="C923" s="16"/>
      <c r="D923" s="16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1:16" ht="19.5" customHeight="1" x14ac:dyDescent="0.25">
      <c r="A924" s="8"/>
      <c r="B924" s="8"/>
      <c r="C924" s="16"/>
      <c r="D924" s="16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1:16" ht="19.5" customHeight="1" x14ac:dyDescent="0.25">
      <c r="A925" s="8"/>
      <c r="B925" s="8"/>
      <c r="C925" s="16"/>
      <c r="D925" s="16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1:16" ht="19.5" customHeight="1" x14ac:dyDescent="0.25">
      <c r="A926" s="8"/>
      <c r="B926" s="8"/>
      <c r="C926" s="16"/>
      <c r="D926" s="16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 spans="1:16" ht="19.5" customHeight="1" x14ac:dyDescent="0.25">
      <c r="A927" s="8"/>
      <c r="B927" s="8"/>
      <c r="C927" s="16"/>
      <c r="D927" s="16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spans="1:16" ht="19.5" customHeight="1" x14ac:dyDescent="0.25">
      <c r="A928" s="8"/>
      <c r="B928" s="8"/>
      <c r="C928" s="16"/>
      <c r="D928" s="16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1:16" ht="19.5" customHeight="1" x14ac:dyDescent="0.25">
      <c r="A929" s="8"/>
      <c r="B929" s="8"/>
      <c r="C929" s="16"/>
      <c r="D929" s="16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1:16" ht="19.5" customHeight="1" x14ac:dyDescent="0.25">
      <c r="A930" s="8"/>
      <c r="B930" s="8"/>
      <c r="C930" s="16"/>
      <c r="D930" s="16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1:16" ht="19.5" customHeight="1" x14ac:dyDescent="0.25">
      <c r="A931" s="8"/>
      <c r="B931" s="8"/>
      <c r="C931" s="16"/>
      <c r="D931" s="16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1:16" ht="19.5" customHeight="1" x14ac:dyDescent="0.25">
      <c r="A932" s="8"/>
      <c r="B932" s="8"/>
      <c r="C932" s="16"/>
      <c r="D932" s="16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 spans="1:16" ht="19.5" customHeight="1" x14ac:dyDescent="0.25">
      <c r="A933" s="8"/>
      <c r="B933" s="8"/>
      <c r="C933" s="16"/>
      <c r="D933" s="16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 spans="1:16" ht="19.5" customHeight="1" x14ac:dyDescent="0.25">
      <c r="A934" s="8"/>
      <c r="B934" s="8"/>
      <c r="C934" s="16"/>
      <c r="D934" s="16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spans="1:16" ht="19.5" customHeight="1" x14ac:dyDescent="0.25">
      <c r="A935" s="8"/>
      <c r="B935" s="8"/>
      <c r="C935" s="16"/>
      <c r="D935" s="16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1:16" ht="19.5" customHeight="1" x14ac:dyDescent="0.25">
      <c r="A936" s="8"/>
      <c r="B936" s="8"/>
      <c r="C936" s="16"/>
      <c r="D936" s="16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 spans="1:16" ht="19.5" customHeight="1" x14ac:dyDescent="0.25">
      <c r="A937" s="8"/>
      <c r="B937" s="8"/>
      <c r="C937" s="16"/>
      <c r="D937" s="16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spans="1:16" ht="19.5" customHeight="1" x14ac:dyDescent="0.25">
      <c r="A938" s="8"/>
      <c r="B938" s="8"/>
      <c r="C938" s="16"/>
      <c r="D938" s="16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1:16" ht="19.5" customHeight="1" x14ac:dyDescent="0.25">
      <c r="A939" s="8"/>
      <c r="B939" s="8"/>
      <c r="C939" s="16"/>
      <c r="D939" s="16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1:16" ht="19.5" customHeight="1" x14ac:dyDescent="0.25">
      <c r="A940" s="8"/>
      <c r="B940" s="8"/>
      <c r="C940" s="16"/>
      <c r="D940" s="16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1:16" ht="19.5" customHeight="1" x14ac:dyDescent="0.25">
      <c r="A941" s="8"/>
      <c r="B941" s="8"/>
      <c r="C941" s="16"/>
      <c r="D941" s="16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1:16" ht="19.5" customHeight="1" x14ac:dyDescent="0.25">
      <c r="A942" s="8"/>
      <c r="B942" s="8"/>
      <c r="C942" s="16"/>
      <c r="D942" s="16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1:16" ht="19.5" customHeight="1" x14ac:dyDescent="0.25">
      <c r="A943" s="8"/>
      <c r="B943" s="8"/>
      <c r="C943" s="16"/>
      <c r="D943" s="16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1:16" ht="19.5" customHeight="1" x14ac:dyDescent="0.25">
      <c r="A944" s="8"/>
      <c r="B944" s="8"/>
      <c r="C944" s="16"/>
      <c r="D944" s="16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1:16" ht="19.5" customHeight="1" x14ac:dyDescent="0.25">
      <c r="A945" s="8"/>
      <c r="B945" s="8"/>
      <c r="C945" s="16"/>
      <c r="D945" s="16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1:16" ht="19.5" customHeight="1" x14ac:dyDescent="0.25">
      <c r="A946" s="8"/>
      <c r="B946" s="8"/>
      <c r="C946" s="16"/>
      <c r="D946" s="16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1:16" ht="19.5" customHeight="1" x14ac:dyDescent="0.25">
      <c r="A947" s="8"/>
      <c r="B947" s="8"/>
      <c r="C947" s="16"/>
      <c r="D947" s="16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1:16" ht="19.5" customHeight="1" x14ac:dyDescent="0.25">
      <c r="A948" s="8"/>
      <c r="B948" s="8"/>
      <c r="C948" s="16"/>
      <c r="D948" s="16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 spans="1:16" ht="19.5" customHeight="1" x14ac:dyDescent="0.25">
      <c r="A949" s="8"/>
      <c r="B949" s="8"/>
      <c r="C949" s="16"/>
      <c r="D949" s="16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spans="1:16" ht="19.5" customHeight="1" x14ac:dyDescent="0.25">
      <c r="A950" s="8"/>
      <c r="B950" s="8"/>
      <c r="C950" s="16"/>
      <c r="D950" s="16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1:16" ht="19.5" customHeight="1" x14ac:dyDescent="0.25">
      <c r="A951" s="8"/>
      <c r="B951" s="8"/>
      <c r="C951" s="16"/>
      <c r="D951" s="16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1:16" ht="19.5" customHeight="1" x14ac:dyDescent="0.25">
      <c r="A952" s="8"/>
      <c r="B952" s="8"/>
      <c r="C952" s="16"/>
      <c r="D952" s="16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1:16" ht="19.5" customHeight="1" x14ac:dyDescent="0.25">
      <c r="A953" s="8"/>
      <c r="B953" s="8"/>
      <c r="C953" s="16"/>
      <c r="D953" s="16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1:16" ht="19.5" customHeight="1" x14ac:dyDescent="0.25">
      <c r="A954" s="8"/>
      <c r="B954" s="8"/>
      <c r="C954" s="16"/>
      <c r="D954" s="16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 spans="1:16" ht="19.5" customHeight="1" x14ac:dyDescent="0.25">
      <c r="A955" s="8"/>
      <c r="B955" s="8"/>
      <c r="C955" s="16"/>
      <c r="D955" s="16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spans="1:16" ht="19.5" customHeight="1" x14ac:dyDescent="0.25">
      <c r="A956" s="8"/>
      <c r="B956" s="8"/>
      <c r="C956" s="16"/>
      <c r="D956" s="16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1:16" ht="19.5" customHeight="1" x14ac:dyDescent="0.25">
      <c r="A957" s="8"/>
      <c r="B957" s="8"/>
      <c r="C957" s="16"/>
      <c r="D957" s="16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 spans="1:16" ht="19.5" customHeight="1" x14ac:dyDescent="0.25">
      <c r="A958" s="8"/>
      <c r="B958" s="8"/>
      <c r="C958" s="16"/>
      <c r="D958" s="16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spans="1:16" ht="19.5" customHeight="1" x14ac:dyDescent="0.25">
      <c r="A959" s="8"/>
      <c r="B959" s="8"/>
      <c r="C959" s="16"/>
      <c r="D959" s="16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 spans="1:16" ht="19.5" customHeight="1" x14ac:dyDescent="0.25">
      <c r="A960" s="8"/>
      <c r="B960" s="8"/>
      <c r="C960" s="16"/>
      <c r="D960" s="16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spans="1:16" ht="19.5" customHeight="1" x14ac:dyDescent="0.25">
      <c r="A961" s="8"/>
      <c r="B961" s="8"/>
      <c r="C961" s="16"/>
      <c r="D961" s="16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1:16" ht="19.5" customHeight="1" x14ac:dyDescent="0.25">
      <c r="A962" s="8"/>
      <c r="B962" s="8"/>
      <c r="C962" s="16"/>
      <c r="D962" s="16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1:16" ht="19.5" customHeight="1" x14ac:dyDescent="0.25">
      <c r="A963" s="8"/>
      <c r="B963" s="8"/>
      <c r="C963" s="16"/>
      <c r="D963" s="16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1:16" ht="19.5" customHeight="1" x14ac:dyDescent="0.25">
      <c r="A964" s="8"/>
      <c r="B964" s="8"/>
      <c r="C964" s="16"/>
      <c r="D964" s="16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1:16" ht="19.5" customHeight="1" x14ac:dyDescent="0.25">
      <c r="A965" s="8"/>
      <c r="B965" s="8"/>
      <c r="C965" s="16"/>
      <c r="D965" s="16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 spans="1:16" ht="19.5" customHeight="1" x14ac:dyDescent="0.25">
      <c r="A966" s="8"/>
      <c r="B966" s="8"/>
      <c r="C966" s="16"/>
      <c r="D966" s="16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spans="1:16" ht="19.5" customHeight="1" x14ac:dyDescent="0.25">
      <c r="A967" s="8"/>
      <c r="B967" s="8"/>
      <c r="C967" s="16"/>
      <c r="D967" s="16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1:16" ht="19.5" customHeight="1" x14ac:dyDescent="0.25">
      <c r="A968" s="8"/>
      <c r="B968" s="8"/>
      <c r="C968" s="16"/>
      <c r="D968" s="16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1:16" ht="19.5" customHeight="1" x14ac:dyDescent="0.25">
      <c r="A969" s="8"/>
      <c r="B969" s="8"/>
      <c r="C969" s="16"/>
      <c r="D969" s="16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1:16" ht="19.5" customHeight="1" x14ac:dyDescent="0.25">
      <c r="A970" s="8"/>
      <c r="B970" s="8"/>
      <c r="C970" s="16"/>
      <c r="D970" s="16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1:16" ht="19.5" customHeight="1" x14ac:dyDescent="0.25">
      <c r="A971" s="8"/>
      <c r="B971" s="8"/>
      <c r="C971" s="16"/>
      <c r="D971" s="16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1:16" ht="19.5" customHeight="1" x14ac:dyDescent="0.25">
      <c r="A972" s="8"/>
      <c r="B972" s="8"/>
      <c r="C972" s="16"/>
      <c r="D972" s="16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 spans="1:16" ht="19.5" customHeight="1" x14ac:dyDescent="0.25">
      <c r="A973" s="8"/>
      <c r="B973" s="8"/>
      <c r="C973" s="16"/>
      <c r="D973" s="16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spans="1:16" ht="19.5" customHeight="1" x14ac:dyDescent="0.25">
      <c r="A974" s="8"/>
      <c r="B974" s="8"/>
      <c r="C974" s="16"/>
      <c r="D974" s="16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 spans="1:16" ht="19.5" customHeight="1" x14ac:dyDescent="0.25">
      <c r="A975" s="8"/>
      <c r="B975" s="8"/>
      <c r="C975" s="16"/>
      <c r="D975" s="16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spans="1:16" ht="19.5" customHeight="1" x14ac:dyDescent="0.25">
      <c r="A976" s="8"/>
      <c r="B976" s="8"/>
      <c r="C976" s="16"/>
      <c r="D976" s="16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1:16" ht="19.5" customHeight="1" x14ac:dyDescent="0.25">
      <c r="A977" s="8"/>
      <c r="B977" s="8"/>
      <c r="C977" s="16"/>
      <c r="D977" s="16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1:16" ht="19.5" customHeight="1" x14ac:dyDescent="0.25">
      <c r="A978" s="8"/>
      <c r="B978" s="8"/>
      <c r="C978" s="16"/>
      <c r="D978" s="16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 spans="1:16" ht="19.5" customHeight="1" x14ac:dyDescent="0.25">
      <c r="A979" s="8"/>
      <c r="B979" s="8"/>
      <c r="C979" s="16"/>
      <c r="D979" s="16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spans="1:16" ht="19.5" customHeight="1" x14ac:dyDescent="0.25">
      <c r="A980" s="8"/>
      <c r="B980" s="8"/>
      <c r="C980" s="16"/>
      <c r="D980" s="16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1:16" ht="19.5" customHeight="1" x14ac:dyDescent="0.25">
      <c r="A981" s="8"/>
      <c r="B981" s="8"/>
      <c r="C981" s="16"/>
      <c r="D981" s="16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1:16" ht="19.5" customHeight="1" x14ac:dyDescent="0.25">
      <c r="A982" s="8"/>
      <c r="B982" s="8"/>
      <c r="C982" s="16"/>
      <c r="D982" s="16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1:16" ht="19.5" customHeight="1" x14ac:dyDescent="0.25">
      <c r="A983" s="8"/>
      <c r="B983" s="8"/>
      <c r="C983" s="16"/>
      <c r="D983" s="16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1:16" ht="19.5" customHeight="1" x14ac:dyDescent="0.25">
      <c r="A984" s="8"/>
      <c r="B984" s="8"/>
      <c r="C984" s="16"/>
      <c r="D984" s="16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1:16" ht="19.5" customHeight="1" x14ac:dyDescent="0.25">
      <c r="A985" s="8"/>
      <c r="B985" s="8"/>
      <c r="C985" s="16"/>
      <c r="D985" s="16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 spans="1:16" ht="19.5" customHeight="1" x14ac:dyDescent="0.25">
      <c r="A986" s="8"/>
      <c r="B986" s="8"/>
      <c r="C986" s="16"/>
      <c r="D986" s="16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spans="1:16" ht="19.5" customHeight="1" x14ac:dyDescent="0.25">
      <c r="A987" s="8"/>
      <c r="B987" s="8"/>
      <c r="C987" s="16"/>
      <c r="D987" s="16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 spans="1:16" ht="19.5" customHeight="1" x14ac:dyDescent="0.25">
      <c r="A988" s="8"/>
      <c r="B988" s="8"/>
      <c r="C988" s="16"/>
      <c r="D988" s="16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 spans="1:16" ht="19.5" customHeight="1" x14ac:dyDescent="0.25">
      <c r="A989" s="8"/>
      <c r="B989" s="8"/>
      <c r="C989" s="16"/>
      <c r="D989" s="16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  <row r="990" spans="1:16" ht="19.5" customHeight="1" x14ac:dyDescent="0.25">
      <c r="A990" s="8"/>
      <c r="B990" s="8"/>
      <c r="C990" s="16"/>
      <c r="D990" s="16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spans="1:16" ht="19.5" customHeight="1" x14ac:dyDescent="0.25">
      <c r="A991" s="8"/>
      <c r="B991" s="8"/>
      <c r="C991" s="16"/>
      <c r="D991" s="16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1:16" ht="19.5" customHeight="1" x14ac:dyDescent="0.25">
      <c r="A992" s="8"/>
      <c r="B992" s="8"/>
      <c r="C992" s="16"/>
      <c r="D992" s="16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 spans="1:16" ht="19.5" customHeight="1" x14ac:dyDescent="0.25">
      <c r="A993" s="8"/>
      <c r="B993" s="8"/>
      <c r="C993" s="16"/>
      <c r="D993" s="16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spans="1:16" ht="19.5" customHeight="1" x14ac:dyDescent="0.25">
      <c r="A994" s="8"/>
      <c r="B994" s="8"/>
      <c r="C994" s="16"/>
      <c r="D994" s="16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1:16" ht="19.5" customHeight="1" x14ac:dyDescent="0.25">
      <c r="A995" s="8"/>
      <c r="B995" s="8"/>
      <c r="C995" s="16"/>
      <c r="D995" s="16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1:16" ht="19.5" customHeight="1" x14ac:dyDescent="0.25">
      <c r="A996" s="8"/>
      <c r="B996" s="8"/>
      <c r="C996" s="16"/>
      <c r="D996" s="16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1:16" ht="19.5" customHeight="1" x14ac:dyDescent="0.25">
      <c r="A997" s="8"/>
      <c r="B997" s="8"/>
      <c r="C997" s="16"/>
      <c r="D997" s="16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1:16" ht="19.5" customHeight="1" x14ac:dyDescent="0.25">
      <c r="A998" s="8"/>
      <c r="B998" s="8"/>
      <c r="C998" s="16"/>
      <c r="D998" s="16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1:16" ht="19.5" customHeight="1" x14ac:dyDescent="0.25">
      <c r="A999" s="8"/>
      <c r="B999" s="8"/>
      <c r="C999" s="16"/>
      <c r="D999" s="16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1:16" ht="19.5" customHeight="1" x14ac:dyDescent="0.25">
      <c r="A1000" s="8"/>
      <c r="B1000" s="8"/>
      <c r="C1000" s="16"/>
      <c r="D1000" s="16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</sheetData>
  <sortState xmlns:xlrd2="http://schemas.microsoft.com/office/spreadsheetml/2017/richdata2" ref="A24:C40">
    <sortCondition descending="1" ref="C24:C40"/>
  </sortState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2"/>
  <sheetViews>
    <sheetView tabSelected="1" zoomScale="85" zoomScaleNormal="85" workbookViewId="0">
      <selection sqref="A1:D19"/>
    </sheetView>
  </sheetViews>
  <sheetFormatPr defaultColWidth="14.42578125" defaultRowHeight="15" customHeight="1" x14ac:dyDescent="0.25"/>
  <cols>
    <col min="1" max="1" width="66.28515625" customWidth="1"/>
    <col min="2" max="2" width="22.28515625" customWidth="1"/>
    <col min="3" max="3" width="16.85546875" customWidth="1"/>
    <col min="4" max="4" width="24.140625" style="56" customWidth="1"/>
    <col min="5" max="5" width="10.85546875" customWidth="1"/>
    <col min="6" max="6" width="10.5703125" bestFit="1" customWidth="1"/>
    <col min="7" max="7" width="16" bestFit="1" customWidth="1"/>
    <col min="8" max="8" width="39.5703125" bestFit="1" customWidth="1"/>
    <col min="9" max="9" width="10.5703125" bestFit="1" customWidth="1"/>
    <col min="10" max="10" width="11.7109375" customWidth="1"/>
    <col min="11" max="11" width="13.5703125" bestFit="1" customWidth="1"/>
    <col min="12" max="12" width="9.140625" customWidth="1"/>
    <col min="13" max="13" width="10.85546875" customWidth="1"/>
    <col min="14" max="25" width="9.140625" customWidth="1"/>
  </cols>
  <sheetData>
    <row r="1" spans="1:25" ht="16.5" customHeight="1" x14ac:dyDescent="0.6">
      <c r="A1" s="122" t="s">
        <v>0</v>
      </c>
      <c r="B1" s="124" t="s">
        <v>51</v>
      </c>
      <c r="C1" s="125"/>
      <c r="D1" s="88" t="s">
        <v>1</v>
      </c>
      <c r="E1" s="1"/>
      <c r="F1" s="1"/>
      <c r="G1" s="1">
        <f>ORÇAMENTO_EXECUTIVO!$G$2</f>
        <v>1943.23</v>
      </c>
      <c r="H1" s="86">
        <f>G10*G1</f>
        <v>19682.210574999994</v>
      </c>
      <c r="I1" s="126" t="str">
        <f>CÁLCULO_MÉDIAS!L6</f>
        <v>MÉDIAS</v>
      </c>
      <c r="J1" s="12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5" customHeight="1" x14ac:dyDescent="0.6">
      <c r="A2" s="123"/>
      <c r="B2" s="89" t="s">
        <v>2</v>
      </c>
      <c r="C2" s="90" t="s">
        <v>3</v>
      </c>
      <c r="D2" s="91" t="s">
        <v>3</v>
      </c>
      <c r="E2" s="1"/>
      <c r="F2" s="1"/>
      <c r="G2" s="1"/>
      <c r="H2" s="1"/>
      <c r="I2" s="57" t="str">
        <f>CÁLCULO_MÉDIAS!L7</f>
        <v>MÍNIMA</v>
      </c>
      <c r="J2" s="57" t="str">
        <f>CÁLCULO_MÉDIAS!M7</f>
        <v>MÁXIMA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9.5" customHeight="1" x14ac:dyDescent="0.6">
      <c r="A3" s="92" t="str">
        <f>ORÇAMENTO_EXECUTIVO!A2</f>
        <v>GERENCIAMENTO TÉCNICO E ADMINISTRATIVO</v>
      </c>
      <c r="B3" s="93">
        <f>ORÇAMENTO_EXECUTIVO!B2</f>
        <v>728402.36797331506</v>
      </c>
      <c r="C3" s="94">
        <f>ORÇAMENTO_EXECUTIVO!D2</f>
        <v>374.84104710884202</v>
      </c>
      <c r="D3" s="95" t="str">
        <f>FIXED(CÁLCULO_MÉDIAS!L8,2,FALSE)&amp;" "&amp;"-"&amp;FIXED(CÁLCULO_MÉDIAS!M8,2,FALSE)</f>
        <v>510,00 -550,00</v>
      </c>
      <c r="E3" s="3" t="str" cm="1">
        <f t="array" ref="E3">IFERROR(_xlfn.IFS(F3&gt;J3,"Maior",F3&lt;I3,"Menor"),"ok")</f>
        <v>Menor</v>
      </c>
      <c r="F3" s="81">
        <f>ANÁLISE_CUSTOS!C3</f>
        <v>374.84104710884202</v>
      </c>
      <c r="G3" s="83" cm="1">
        <f t="array" ref="G3">_xlfn.IFS(E3="Maior",F3-J3,E3="Menor",F3-I3,E3="ok","")</f>
        <v>-135.15895289115798</v>
      </c>
      <c r="H3" s="87" t="s">
        <v>59</v>
      </c>
      <c r="I3" s="58">
        <f>CÁLCULO_MÉDIAS!L8</f>
        <v>510</v>
      </c>
      <c r="J3" s="58">
        <f>CÁLCULO_MÉDIAS!M8</f>
        <v>550</v>
      </c>
      <c r="K3" s="86"/>
      <c r="L3" s="1" t="s">
        <v>56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x14ac:dyDescent="0.6">
      <c r="A4" s="92" t="str">
        <f>ORÇAMENTO_EXECUTIVO!A3</f>
        <v>MOVIMENTAÇÃO DE TERRA</v>
      </c>
      <c r="B4" s="93">
        <f>ORÇAMENTO_EXECUTIVO!B3</f>
        <v>145568.64503694739</v>
      </c>
      <c r="C4" s="94">
        <f>ORÇAMENTO_EXECUTIVO!D3</f>
        <v>74.91066164939167</v>
      </c>
      <c r="D4" s="95" t="str">
        <f>FIXED(CÁLCULO_MÉDIAS!L9,2,FALSE)&amp;" "&amp;"-"&amp;FIXED(CÁLCULO_MÉDIAS!M9,2,FALSE)</f>
        <v>16,00 -28,00</v>
      </c>
      <c r="E4" s="3" t="str" cm="1">
        <f t="array" ref="E4">IFERROR(_xlfn.IFS(F4&gt;J4,"Maior",F4&lt;I4,"Menor"),"ok")</f>
        <v>Maior</v>
      </c>
      <c r="F4" s="81">
        <f>ANÁLISE_CUSTOS!C4</f>
        <v>74.91066164939167</v>
      </c>
      <c r="G4" s="83" cm="1">
        <f t="array" ref="G4">_xlfn.IFS(E4="Maior",F4-J4,E4="Menor",F4-I4,E4="ok","")</f>
        <v>46.91066164939167</v>
      </c>
      <c r="H4" s="83" t="s">
        <v>61</v>
      </c>
      <c r="I4" s="58">
        <f>CÁLCULO_MÉDIAS!L9</f>
        <v>16</v>
      </c>
      <c r="J4" s="58">
        <f>CÁLCULO_MÉDIAS!M9</f>
        <v>28</v>
      </c>
      <c r="K4" s="8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6">
      <c r="A5" s="96" t="str">
        <f>ORÇAMENTO_EXECUTIVO!A4</f>
        <v>INFRAESTRUTURA</v>
      </c>
      <c r="B5" s="97">
        <f>ORÇAMENTO_EXECUTIVO!B4</f>
        <v>502193.3223563052</v>
      </c>
      <c r="C5" s="98">
        <f>ORÇAMENTO_EXECUTIVO!D4</f>
        <v>258.43226090391011</v>
      </c>
      <c r="D5" s="99" t="str">
        <f>FIXED(CÁLCULO_MÉDIAS!L10,2,FALSE)&amp;" "&amp;"-"&amp;FIXED(CÁLCULO_MÉDIAS!M10,2,FALSE)</f>
        <v>160,00 -230,00</v>
      </c>
      <c r="E5" s="3" t="str" cm="1">
        <f t="array" ref="E5">IFERROR(_xlfn.IFS(F5&gt;J5,"Maior",F5&lt;I5,"Menor"),"ok")</f>
        <v>Maior</v>
      </c>
      <c r="F5" s="81">
        <f>ANÁLISE_CUSTOS!C5</f>
        <v>258.43226090391011</v>
      </c>
      <c r="G5" s="83" cm="1">
        <f t="array" ref="G5">_xlfn.IFS(E5="Maior",F5-J5,E5="Menor",F5-I5,E5="ok","")</f>
        <v>28.432260903910105</v>
      </c>
      <c r="H5" s="83" t="s">
        <v>61</v>
      </c>
      <c r="I5" s="58">
        <f>CÁLCULO_MÉDIAS!L10</f>
        <v>160</v>
      </c>
      <c r="J5" s="58">
        <f>CÁLCULO_MÉDIAS!M10</f>
        <v>230</v>
      </c>
      <c r="K5" s="86"/>
      <c r="L5" s="4"/>
      <c r="M5" s="4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9.5" customHeight="1" x14ac:dyDescent="0.6">
      <c r="A6" s="100" t="str">
        <f>ORÇAMENTO_EXECUTIVO!A5</f>
        <v>SUPRAESTRUTURA</v>
      </c>
      <c r="B6" s="101">
        <f>ORÇAMENTO_EXECUTIVO!B5</f>
        <v>1352590.9531058811</v>
      </c>
      <c r="C6" s="102">
        <f>ORÇAMENTO_EXECUTIVO!D5</f>
        <v>696.05293923307124</v>
      </c>
      <c r="D6" s="103" t="str">
        <f>FIXED(CÁLCULO_MÉDIAS!L11,2,FALSE)&amp;" "&amp;"-"&amp;FIXED(CÁLCULO_MÉDIAS!M11,2,FALSE)</f>
        <v>610,00 -770,00</v>
      </c>
      <c r="E6" s="3" t="str" cm="1">
        <f t="array" ref="E6">IFERROR(_xlfn.IFS(F6&gt;J6,"Maior",F6&lt;I6,"Menor"),"ok")</f>
        <v>ok</v>
      </c>
      <c r="F6" s="81">
        <f>ANÁLISE_CUSTOS!C6</f>
        <v>696.05293923307124</v>
      </c>
      <c r="G6" s="83" t="str" cm="1">
        <f t="array" ref="G6">_xlfn.IFS(E6="Maior",F6-J6,E6="Menor",F6-I6,E6="ok","")</f>
        <v/>
      </c>
      <c r="H6" s="83" t="s">
        <v>61</v>
      </c>
      <c r="I6" s="58">
        <f>CÁLCULO_MÉDIAS!L11</f>
        <v>610</v>
      </c>
      <c r="J6" s="58">
        <f>CÁLCULO_MÉDIAS!M11</f>
        <v>770</v>
      </c>
      <c r="K6" s="8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9.5" customHeight="1" x14ac:dyDescent="0.6">
      <c r="A7" s="96" t="str">
        <f>ORÇAMENTO_EXECUTIVO!A6</f>
        <v>ALVENARIA</v>
      </c>
      <c r="B7" s="97">
        <f>ORÇAMENTO_EXECUTIVO!B6</f>
        <v>261393.66178810003</v>
      </c>
      <c r="C7" s="98">
        <f>ORÇAMENTO_EXECUTIVO!D6</f>
        <v>134.51504031334429</v>
      </c>
      <c r="D7" s="99" t="str">
        <f>FIXED(CÁLCULO_MÉDIAS!L12,2,FALSE)&amp;" "&amp;"-"&amp;FIXED(CÁLCULO_MÉDIAS!M12,2,FALSE)</f>
        <v>115,00 -135,00</v>
      </c>
      <c r="E7" s="3" t="str" cm="1">
        <f t="array" ref="E7">IFERROR(_xlfn.IFS(F7&gt;J7,"Maior",F7&lt;I7,"Menor"),"ok")</f>
        <v>ok</v>
      </c>
      <c r="F7" s="81">
        <f>ANÁLISE_CUSTOS!C7</f>
        <v>134.51504031334429</v>
      </c>
      <c r="G7" s="83" t="str" cm="1">
        <f t="array" ref="G7">_xlfn.IFS(E7="Maior",F7-J7,E7="Menor",F7-I7,E7="ok","")</f>
        <v/>
      </c>
      <c r="H7" s="83" t="s">
        <v>61</v>
      </c>
      <c r="I7" s="58">
        <f>CÁLCULO_MÉDIAS!L12</f>
        <v>115</v>
      </c>
      <c r="J7" s="58">
        <f>CÁLCULO_MÉDIAS!M12</f>
        <v>135</v>
      </c>
      <c r="K7" s="8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9.5" customHeight="1" x14ac:dyDescent="0.6">
      <c r="A8" s="100" t="str">
        <f>ORÇAMENTO_EXECUTIVO!A7</f>
        <v>INSTALAÇÕES ELÉTRICAS, HIDRÁULICAS, GLP E PREVENTIVAS</v>
      </c>
      <c r="B8" s="101">
        <f>ORÇAMENTO_EXECUTIVO!B7</f>
        <v>641270.51250748651</v>
      </c>
      <c r="C8" s="102">
        <f>ORÇAMENTO_EXECUTIVO!D7</f>
        <v>330.00237362920831</v>
      </c>
      <c r="D8" s="103" t="str">
        <f>FIXED(CÁLCULO_MÉDIAS!L13,2,FALSE)&amp;" "&amp;"-"&amp;FIXED(CÁLCULO_MÉDIAS!M13,2,FALSE)</f>
        <v>300,00 -330,00</v>
      </c>
      <c r="E8" s="3" t="str" cm="1">
        <f t="array" ref="E8">IFERROR(_xlfn.IFS(F8&gt;J8,"Maior",F8&lt;I8,"Menor"),"ok")</f>
        <v>Maior</v>
      </c>
      <c r="F8" s="81">
        <f>ANÁLISE_CUSTOS!C8</f>
        <v>330.00237362920831</v>
      </c>
      <c r="G8" s="83" cm="1">
        <f t="array" ref="G8">_xlfn.IFS(E8="Maior",F8-J8,E8="Menor",F8-I8,E8="ok","")</f>
        <v>2.373629208307193E-3</v>
      </c>
      <c r="H8" s="83" t="s">
        <v>61</v>
      </c>
      <c r="I8" s="58">
        <f>CÁLCULO_MÉDIAS!L13</f>
        <v>300</v>
      </c>
      <c r="J8" s="58">
        <f>CÁLCULO_MÉDIAS!M13</f>
        <v>330</v>
      </c>
      <c r="K8" s="8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9.5" customHeight="1" x14ac:dyDescent="0.6">
      <c r="A9" s="96" t="str">
        <f>ORÇAMENTO_EXECUTIVO!A8</f>
        <v>EQUIPAMENTOS E SISTEMAS ESPECIAIS</v>
      </c>
      <c r="B9" s="104">
        <f>ORÇAMENTO_EXECUTIVO!B8</f>
        <v>323614.15000000002</v>
      </c>
      <c r="C9" s="98">
        <f>ORÇAMENTO_EXECUTIVO!D8</f>
        <v>166.53414675565941</v>
      </c>
      <c r="D9" s="99" t="str">
        <f>FIXED(CÁLCULO_MÉDIAS!L14,2,FALSE)&amp;" "&amp;"-"&amp;FIXED(CÁLCULO_MÉDIAS!M14,2,FALSE)</f>
        <v>170,00 -210,00</v>
      </c>
      <c r="E9" s="3" t="str" cm="1">
        <f t="array" ref="E9">IFERROR(_xlfn.IFS(F9&gt;J9,"Maior",F9&lt;I9,"Menor"),"ok")</f>
        <v>Menor</v>
      </c>
      <c r="F9" s="81">
        <f>ANÁLISE_CUSTOS!C9</f>
        <v>166.53414675565941</v>
      </c>
      <c r="G9" s="83" cm="1">
        <f t="array" ref="G9">_xlfn.IFS(E9="Maior",F9-J9,E9="Menor",F9-I9,E9="ok","")</f>
        <v>-3.4658532443405932</v>
      </c>
      <c r="H9" s="83" t="s">
        <v>61</v>
      </c>
      <c r="I9" s="58">
        <f>CÁLCULO_MÉDIAS!L14</f>
        <v>170</v>
      </c>
      <c r="J9" s="58">
        <f>CÁLCULO_MÉDIAS!M14</f>
        <v>210</v>
      </c>
      <c r="K9" s="86"/>
      <c r="L9" s="3" t="s">
        <v>57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9.5" customHeight="1" x14ac:dyDescent="0.6">
      <c r="A10" s="100" t="str">
        <f>ORÇAMENTO_EXECUTIVO!A9</f>
        <v>IMPERMEABILIZAÇÃO</v>
      </c>
      <c r="B10" s="101">
        <f>ORÇAMENTO_EXECUTIVO!B9</f>
        <v>175140.610575</v>
      </c>
      <c r="C10" s="102">
        <f>ORÇAMENTO_EXECUTIVO!D9</f>
        <v>90.128605762055955</v>
      </c>
      <c r="D10" s="103" t="str">
        <f>FIXED(CÁLCULO_MÉDIAS!L15,2,FALSE)&amp;" "&amp;"-"&amp;FIXED(CÁLCULO_MÉDIAS!M15,2,FALSE)</f>
        <v>50,00 -80,00</v>
      </c>
      <c r="E10" s="3" t="str" cm="1">
        <f t="array" ref="E10">IFERROR(_xlfn.IFS(F10&gt;J10,"Maior",F10&lt;I10,"Menor"),"ok")</f>
        <v>Maior</v>
      </c>
      <c r="F10" s="81">
        <f>ANÁLISE_CUSTOS!C10</f>
        <v>90.128605762055955</v>
      </c>
      <c r="G10" s="83" cm="1">
        <f t="array" ref="G10">_xlfn.IFS(E10="Maior",F10-J10,E10="Menor",F10-I10,E10="ok","")</f>
        <v>10.128605762055955</v>
      </c>
      <c r="H10" s="83" t="s">
        <v>61</v>
      </c>
      <c r="I10" s="58">
        <f>CÁLCULO_MÉDIAS!L15</f>
        <v>50</v>
      </c>
      <c r="J10" s="58">
        <f>CÁLCULO_MÉDIAS!M15</f>
        <v>80</v>
      </c>
      <c r="K10" s="8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9.5" customHeight="1" x14ac:dyDescent="0.6">
      <c r="A11" s="96" t="s">
        <v>36</v>
      </c>
      <c r="B11" s="97">
        <f>[1]Resumo_Parede!$K$1</f>
        <v>399462.74618800008</v>
      </c>
      <c r="C11" s="98">
        <f>B11/$G$1</f>
        <v>205.56637463810259</v>
      </c>
      <c r="D11" s="99" t="str">
        <f>FIXED(CÁLCULO_MÉDIAS!L16,2,FALSE)&amp;" "&amp;"-"&amp;FIXED(CÁLCULO_MÉDIAS!M16,2,FALSE)</f>
        <v>160,00 -200,00</v>
      </c>
      <c r="E11" s="3" t="str" cm="1">
        <f t="array" ref="E11">IFERROR(_xlfn.IFS(F11&gt;J11,"Maior",F11&lt;I11,"Menor"),"ok")</f>
        <v>Maior</v>
      </c>
      <c r="F11" s="81">
        <f>ANÁLISE_CUSTOS!C11</f>
        <v>205.56637463810259</v>
      </c>
      <c r="G11" s="83" cm="1">
        <f t="array" ref="G11">_xlfn.IFS(E11="Maior",F11-J11,E11="Menor",F11-I11,E11="ok","")</f>
        <v>5.5663746381025874</v>
      </c>
      <c r="H11" s="83" t="s">
        <v>61</v>
      </c>
      <c r="I11" s="58">
        <f>CÁLCULO_MÉDIAS!L16</f>
        <v>160</v>
      </c>
      <c r="J11" s="58">
        <f>CÁLCULO_MÉDIAS!M16</f>
        <v>200</v>
      </c>
      <c r="K11" s="8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9.5" customHeight="1" x14ac:dyDescent="0.6">
      <c r="A12" s="100" t="str">
        <f>ORÇAMENTO_EXECUTIVO!A11</f>
        <v>REVESTIMENTOS E ACABAMENTOS INTERNOS EM TETO</v>
      </c>
      <c r="B12" s="101">
        <f>ORÇAMENTO_EXECUTIVO!B11</f>
        <v>128940.65852424</v>
      </c>
      <c r="C12" s="102">
        <f>ORÇAMENTO_EXECUTIVO!D11</f>
        <v>66.353781345615289</v>
      </c>
      <c r="D12" s="103" t="str">
        <f>FIXED(CÁLCULO_MÉDIAS!L17,2,FALSE)&amp;" "&amp;"-"&amp;FIXED(CÁLCULO_MÉDIAS!M17,2,FALSE)</f>
        <v>40,00 -70,00</v>
      </c>
      <c r="E12" s="3" t="str" cm="1">
        <f t="array" ref="E12">IFERROR(_xlfn.IFS(F12&gt;J12,"Maior",F12&lt;I12,"Menor"),"ok")</f>
        <v>ok</v>
      </c>
      <c r="F12" s="81">
        <f>ANÁLISE_CUSTOS!C12</f>
        <v>66.353781345615289</v>
      </c>
      <c r="G12" s="83" t="str" cm="1">
        <f t="array" ref="G12">_xlfn.IFS(E12="Maior",F12-J12,E12="Menor",F12-I12,E12="ok","")</f>
        <v/>
      </c>
      <c r="H12" s="83" t="s">
        <v>61</v>
      </c>
      <c r="I12" s="58">
        <f>CÁLCULO_MÉDIAS!L17</f>
        <v>40</v>
      </c>
      <c r="J12" s="58">
        <f>CÁLCULO_MÉDIAS!M17</f>
        <v>70</v>
      </c>
      <c r="K12" s="8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9.5" customHeight="1" x14ac:dyDescent="0.6">
      <c r="A13" s="96" t="s">
        <v>10</v>
      </c>
      <c r="B13" s="97">
        <f>[1]Resumo_Parede!$K$2</f>
        <v>444162.30797547527</v>
      </c>
      <c r="C13" s="98">
        <f>B13/$G$1</f>
        <v>228.56908753748925</v>
      </c>
      <c r="D13" s="99" t="str">
        <f>FIXED(CÁLCULO_MÉDIAS!L18,2,FALSE)&amp;" "&amp;"-"&amp;FIXED(CÁLCULO_MÉDIAS!M18,2,FALSE)</f>
        <v>140,00 -230,00</v>
      </c>
      <c r="E13" s="3" t="str" cm="1">
        <f t="array" ref="E13">IFERROR(_xlfn.IFS(F13&gt;J13,"Maior",F13&lt;I13,"Menor"),"ok")</f>
        <v>ok</v>
      </c>
      <c r="F13" s="81">
        <f>ANÁLISE_CUSTOS!C13</f>
        <v>228.56908753748925</v>
      </c>
      <c r="G13" s="83" t="str" cm="1">
        <f t="array" ref="G13">_xlfn.IFS(E13="Maior",F13-J13,E13="Menor",F13-I13,E13="ok","")</f>
        <v/>
      </c>
      <c r="H13" s="83" t="s">
        <v>61</v>
      </c>
      <c r="I13" s="58">
        <f>CÁLCULO_MÉDIAS!L18</f>
        <v>140</v>
      </c>
      <c r="J13" s="58">
        <f>CÁLCULO_MÉDIAS!M18</f>
        <v>230</v>
      </c>
      <c r="K13" s="8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9.5" customHeight="1" x14ac:dyDescent="0.6">
      <c r="A14" s="100" t="str">
        <f>ORÇAMENTO_EXECUTIVO!A13</f>
        <v>PINTURA INTERNA</v>
      </c>
      <c r="B14" s="101">
        <f>ORÇAMENTO_EXECUTIVO!B13</f>
        <v>303208.12447620806</v>
      </c>
      <c r="C14" s="102">
        <f>ORÇAMENTO_EXECUTIVO!D13</f>
        <v>156.03306066508239</v>
      </c>
      <c r="D14" s="103" t="str">
        <f>FIXED(CÁLCULO_MÉDIAS!L19,2,FALSE)&amp;" "&amp;"-"&amp;FIXED(CÁLCULO_MÉDIAS!M19,2,FALSE)</f>
        <v>130,00 -160,00</v>
      </c>
      <c r="E14" s="3" t="str" cm="1">
        <f t="array" ref="E14">IFERROR(_xlfn.IFS(F14&gt;J14,"Maior",F14&lt;I14,"Menor"),"ok")</f>
        <v>ok</v>
      </c>
      <c r="F14" s="81">
        <f>ANÁLISE_CUSTOS!C14</f>
        <v>156.03306066508239</v>
      </c>
      <c r="G14" s="83" t="str" cm="1">
        <f t="array" ref="G14">_xlfn.IFS(E14="Maior",F14-J14,E14="Menor",F14-I14,E14="ok","")</f>
        <v/>
      </c>
      <c r="H14" s="83" t="s">
        <v>61</v>
      </c>
      <c r="I14" s="58">
        <f>CÁLCULO_MÉDIAS!L19</f>
        <v>130</v>
      </c>
      <c r="J14" s="58">
        <f>CÁLCULO_MÉDIAS!M19</f>
        <v>160</v>
      </c>
      <c r="K14" s="8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9.5" customHeight="1" x14ac:dyDescent="0.6">
      <c r="A15" s="96" t="str">
        <f>ORÇAMENTO_EXECUTIVO!A14</f>
        <v>ESQUADRIAS, VIDROS E FERRAGENS</v>
      </c>
      <c r="B15" s="97">
        <f>ORÇAMENTO_EXECUTIVO!B14</f>
        <v>578274.82909065823</v>
      </c>
      <c r="C15" s="98">
        <f>ORÇAMENTO_EXECUTIVO!D14</f>
        <v>297.584346212573</v>
      </c>
      <c r="D15" s="99" t="str">
        <f>FIXED(CÁLCULO_MÉDIAS!L20,2,FALSE)&amp;" "&amp;"-"&amp;FIXED(CÁLCULO_MÉDIAS!M20,2,FALSE)</f>
        <v>280,00 -540,00</v>
      </c>
      <c r="E15" s="3" t="str" cm="1">
        <f t="array" ref="E15">IFERROR(_xlfn.IFS(F15&gt;J15,"Maior",F15&lt;I15,"Menor"),"ok")</f>
        <v>ok</v>
      </c>
      <c r="F15" s="81">
        <f>ANÁLISE_CUSTOS!C15</f>
        <v>297.584346212573</v>
      </c>
      <c r="G15" s="83" t="str" cm="1">
        <f t="array" ref="G15">_xlfn.IFS(E15="Maior",F15-J15,E15="Menor",F15-I15,E15="ok","")</f>
        <v/>
      </c>
      <c r="H15" s="83" t="s">
        <v>61</v>
      </c>
      <c r="I15" s="58">
        <f>CÁLCULO_MÉDIAS!L20</f>
        <v>280</v>
      </c>
      <c r="J15" s="58">
        <f>CÁLCULO_MÉDIAS!M20</f>
        <v>540</v>
      </c>
      <c r="K15" s="8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9.5" customHeight="1" x14ac:dyDescent="0.6">
      <c r="A16" s="100" t="str">
        <f>ORÇAMENTO_EXECUTIVO!A15</f>
        <v>COBERTURA</v>
      </c>
      <c r="B16" s="101">
        <f>ORÇAMENTO_EXECUTIVO!B15</f>
        <v>38853.540965000007</v>
      </c>
      <c r="C16" s="102">
        <f>ORÇAMENTO_EXECUTIVO!D15</f>
        <v>19.994308941813376</v>
      </c>
      <c r="D16" s="103" t="str">
        <f>FIXED(CÁLCULO_MÉDIAS!L21,2,FALSE)&amp;" "&amp;"-"&amp;FIXED(CÁLCULO_MÉDIAS!M21,2,FALSE)</f>
        <v>14,00 -20,00</v>
      </c>
      <c r="E16" s="3" t="str" cm="1">
        <f t="array" ref="E16">IFERROR(_xlfn.IFS(F16&gt;J16,"Maior",F16&lt;I16,"Menor"),"ok")</f>
        <v>ok</v>
      </c>
      <c r="F16" s="81">
        <f>ANÁLISE_CUSTOS!C16</f>
        <v>19.994308941813376</v>
      </c>
      <c r="G16" s="83" t="str" cm="1">
        <f t="array" ref="G16">_xlfn.IFS(E16="Maior",F16-J16,E16="Menor",F16-I16,E16="ok","")</f>
        <v/>
      </c>
      <c r="H16" s="83" t="s">
        <v>61</v>
      </c>
      <c r="I16" s="58">
        <f>CÁLCULO_MÉDIAS!L21</f>
        <v>14</v>
      </c>
      <c r="J16" s="58">
        <f>CÁLCULO_MÉDIAS!M21</f>
        <v>20</v>
      </c>
      <c r="K16" s="8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9.5" customHeight="1" x14ac:dyDescent="0.6">
      <c r="A17" s="96" t="str">
        <f>ORÇAMENTO_EXECUTIVO!A16</f>
        <v>REVESTIMENTOS E ACABAMENTOS DE FACHADA</v>
      </c>
      <c r="B17" s="97">
        <f>ORÇAMENTO_EXECUTIVO!B16</f>
        <v>365385.57022599998</v>
      </c>
      <c r="C17" s="98">
        <f>ORÇAMENTO_EXECUTIVO!D16</f>
        <v>188.03001714979698</v>
      </c>
      <c r="D17" s="99" t="str">
        <f>FIXED(CÁLCULO_MÉDIAS!L22,2,FALSE)&amp;" "&amp;"-"&amp;FIXED(CÁLCULO_MÉDIAS!M22,2,FALSE)</f>
        <v>140,00 -190,00</v>
      </c>
      <c r="E17" s="3" t="str" cm="1">
        <f t="array" ref="E17">IFERROR(_xlfn.IFS(F17&gt;J17,"Maior",F17&lt;I17,"Menor"),"ok")</f>
        <v>ok</v>
      </c>
      <c r="F17" s="81">
        <f>ANÁLISE_CUSTOS!C17</f>
        <v>188.03001714979698</v>
      </c>
      <c r="G17" s="83" t="str" cm="1">
        <f t="array" ref="G17">_xlfn.IFS(E17="Maior",F17-J17,E17="Menor",F17-I17,E17="ok","")</f>
        <v/>
      </c>
      <c r="H17" s="83" t="s">
        <v>61</v>
      </c>
      <c r="I17" s="58">
        <f>CÁLCULO_MÉDIAS!L22</f>
        <v>140</v>
      </c>
      <c r="J17" s="58">
        <f>CÁLCULO_MÉDIAS!M22</f>
        <v>190</v>
      </c>
      <c r="K17" s="8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9.5" customHeight="1" thickBot="1" x14ac:dyDescent="0.65">
      <c r="A18" s="105" t="str">
        <f>ORÇAMENTO_EXECUTIVO!A17</f>
        <v>SERVIÇOS COMPLEMENTARES</v>
      </c>
      <c r="B18" s="106">
        <f>ORÇAMENTO_EXECUTIVO!B17+ORÇAMENTO_EXECUTIVO!B18</f>
        <v>582165.02861344104</v>
      </c>
      <c r="C18" s="107">
        <f>ORÇAMENTO_EXECUTIVO!D17+ORÇAMENTO_EXECUTIVO!D18</f>
        <v>299.58627059763438</v>
      </c>
      <c r="D18" s="108" t="str">
        <f>FIXED(CÁLCULO_MÉDIAS!L23,2,FALSE)&amp;" "&amp;"-"&amp;FIXED(CÁLCULO_MÉDIAS!M23,2,FALSE)</f>
        <v>120,00 -230,00</v>
      </c>
      <c r="E18" s="3" t="str" cm="1">
        <f t="array" ref="E18">IFERROR(_xlfn.IFS(F18&gt;J18,"Maior",F18&lt;I18,"Menor"),"ok")</f>
        <v>Maior</v>
      </c>
      <c r="F18" s="81">
        <f>ANÁLISE_CUSTOS!C18</f>
        <v>299.58627059763438</v>
      </c>
      <c r="G18" s="83" cm="1">
        <f t="array" ref="G18">_xlfn.IFS(E18="Maior",F18-J18,E18="Menor",F18-I18,E18="ok","")</f>
        <v>69.586270597634382</v>
      </c>
      <c r="H18" s="83" t="s">
        <v>61</v>
      </c>
      <c r="I18" s="58">
        <f>CÁLCULO_MÉDIAS!L23</f>
        <v>120</v>
      </c>
      <c r="J18" s="58">
        <f>CÁLCULO_MÉDIAS!M23</f>
        <v>230</v>
      </c>
      <c r="K18" s="8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9.5" customHeight="1" thickBot="1" x14ac:dyDescent="0.3">
      <c r="A19" s="109" t="s">
        <v>15</v>
      </c>
      <c r="B19" s="110">
        <f>SUM(B3:B18)</f>
        <v>6970627.0294020586</v>
      </c>
      <c r="C19" s="111">
        <f>SUM(C3:C18)</f>
        <v>3587.1343224435905</v>
      </c>
      <c r="D19" s="112" t="str">
        <f>FIXED(CÁLCULO_MÉDIAS!L24,2,FALSE)&amp;" "&amp;"-"&amp;FIXED(CÁLCULO_MÉDIAS!M24,2,FALSE)</f>
        <v>2.955,00 -3.973,00</v>
      </c>
      <c r="E19" s="3"/>
      <c r="F19" s="3"/>
      <c r="G19" s="3"/>
      <c r="H19" s="3"/>
      <c r="I19" s="59">
        <f>CÁLCULO_MÉDIAS!L24</f>
        <v>2955</v>
      </c>
      <c r="J19" s="59">
        <f>CÁLCULO_MÉDIAS!M24</f>
        <v>3973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.75" customHeight="1" x14ac:dyDescent="0.6">
      <c r="A20" s="1"/>
      <c r="B20" s="5"/>
      <c r="C20" s="86">
        <f>B19/38</f>
        <v>183437.55340531733</v>
      </c>
      <c r="D20" s="60">
        <v>38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.75" customHeight="1" x14ac:dyDescent="0.6">
      <c r="A21" s="1"/>
      <c r="B21" s="5"/>
      <c r="C21" s="86">
        <f>B19/(D21*D20)</f>
        <v>7331.6368267512926</v>
      </c>
      <c r="D21" s="60">
        <v>25.02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.75" customHeight="1" x14ac:dyDescent="0.6">
      <c r="A22" s="1"/>
      <c r="B22" s="5"/>
      <c r="C22" s="86">
        <f>B19/G1</f>
        <v>3587.1343224435905</v>
      </c>
      <c r="D22" s="6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.75" hidden="1" customHeight="1" x14ac:dyDescent="0.6">
      <c r="A23" s="1"/>
      <c r="B23" s="5">
        <v>2007.57</v>
      </c>
      <c r="C23" s="1"/>
      <c r="D23" s="6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.75" hidden="1" customHeight="1" x14ac:dyDescent="0.6">
      <c r="A24" s="1"/>
      <c r="B24" s="5">
        <v>2461.35</v>
      </c>
      <c r="C24" s="1"/>
      <c r="D24" s="60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.75" hidden="1" customHeight="1" x14ac:dyDescent="0.6">
      <c r="A25" s="1"/>
      <c r="B25" s="5">
        <f>B24/B23</f>
        <v>1.2260344595705255</v>
      </c>
      <c r="C25" s="1"/>
      <c r="D25" s="6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.75" hidden="1" customHeight="1" x14ac:dyDescent="0.6">
      <c r="A26" s="1"/>
      <c r="B26" s="5"/>
      <c r="C26" s="1"/>
      <c r="D26" s="60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.75" hidden="1" customHeight="1" x14ac:dyDescent="0.6">
      <c r="A27" s="1"/>
      <c r="B27" s="5"/>
      <c r="C27" s="1"/>
      <c r="D27" s="60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.75" hidden="1" customHeight="1" x14ac:dyDescent="0.6">
      <c r="A28" s="1"/>
      <c r="B28" s="5"/>
      <c r="C28" s="1">
        <v>1.1023000000000001</v>
      </c>
      <c r="D28" s="60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.75" hidden="1" customHeight="1" x14ac:dyDescent="0.6">
      <c r="A29" s="1"/>
      <c r="B29" s="5"/>
      <c r="C29" s="1"/>
      <c r="D29" s="6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.75" hidden="1" customHeight="1" x14ac:dyDescent="0.6">
      <c r="A30" s="6" t="s">
        <v>16</v>
      </c>
      <c r="B30" s="5">
        <v>900</v>
      </c>
      <c r="C30" s="5"/>
      <c r="D30" s="6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.75" hidden="1" customHeight="1" x14ac:dyDescent="0.6">
      <c r="A31" s="7" t="s">
        <v>17</v>
      </c>
      <c r="B31" s="5">
        <v>25</v>
      </c>
      <c r="C31" s="5"/>
      <c r="D31" s="6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.75" hidden="1" customHeight="1" x14ac:dyDescent="0.6">
      <c r="A32" s="6" t="s">
        <v>18</v>
      </c>
      <c r="B32" s="5">
        <v>15</v>
      </c>
      <c r="C32" s="5"/>
      <c r="D32" s="6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.75" hidden="1" customHeight="1" x14ac:dyDescent="0.6">
      <c r="A33" s="7" t="s">
        <v>19</v>
      </c>
      <c r="B33" s="5">
        <v>150</v>
      </c>
      <c r="C33" s="5"/>
      <c r="D33" s="6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.75" hidden="1" customHeight="1" x14ac:dyDescent="0.6">
      <c r="A34" s="6" t="s">
        <v>20</v>
      </c>
      <c r="B34" s="5">
        <v>440</v>
      </c>
      <c r="C34" s="5"/>
      <c r="D34" s="6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.75" hidden="1" customHeight="1" x14ac:dyDescent="0.6">
      <c r="A35" s="7" t="s">
        <v>21</v>
      </c>
      <c r="B35" s="5"/>
      <c r="C35" s="5"/>
      <c r="D35" s="6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.75" hidden="1" customHeight="1" x14ac:dyDescent="0.6">
      <c r="A36" s="6" t="s">
        <v>22</v>
      </c>
      <c r="B36" s="5">
        <v>55</v>
      </c>
      <c r="C36" s="5"/>
      <c r="D36" s="6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.75" hidden="1" customHeight="1" x14ac:dyDescent="0.6">
      <c r="A37" s="7" t="s">
        <v>23</v>
      </c>
      <c r="B37" s="5">
        <v>170</v>
      </c>
      <c r="C37" s="5"/>
      <c r="D37" s="6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.75" hidden="1" customHeight="1" x14ac:dyDescent="0.6">
      <c r="A38" s="6" t="s">
        <v>24</v>
      </c>
      <c r="B38" s="5">
        <v>165</v>
      </c>
      <c r="C38" s="5"/>
      <c r="D38" s="6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.75" hidden="1" customHeight="1" x14ac:dyDescent="0.6">
      <c r="A39" s="7" t="s">
        <v>25</v>
      </c>
      <c r="B39" s="5">
        <v>40</v>
      </c>
      <c r="C39" s="5"/>
      <c r="D39" s="6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.75" hidden="1" customHeight="1" x14ac:dyDescent="0.6">
      <c r="A40" s="6" t="s">
        <v>26</v>
      </c>
      <c r="B40" s="5">
        <v>55</v>
      </c>
      <c r="C40" s="5"/>
      <c r="D40" s="6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.75" hidden="1" customHeight="1" x14ac:dyDescent="0.6">
      <c r="A41" s="7" t="s">
        <v>27</v>
      </c>
      <c r="B41" s="5">
        <v>35</v>
      </c>
      <c r="C41" s="5"/>
      <c r="D41" s="6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.75" hidden="1" customHeight="1" x14ac:dyDescent="0.6">
      <c r="A42" s="6" t="s">
        <v>28</v>
      </c>
      <c r="B42" s="5">
        <v>130</v>
      </c>
      <c r="C42" s="5"/>
      <c r="D42" s="6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.75" hidden="1" customHeight="1" x14ac:dyDescent="0.6">
      <c r="A43" s="7" t="s">
        <v>29</v>
      </c>
      <c r="B43" s="5">
        <v>35</v>
      </c>
      <c r="C43" s="5"/>
      <c r="D43" s="6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.75" hidden="1" customHeight="1" x14ac:dyDescent="0.6">
      <c r="A44" s="6" t="s">
        <v>30</v>
      </c>
      <c r="B44" s="5">
        <v>35</v>
      </c>
      <c r="C44" s="5"/>
      <c r="D44" s="6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.75" hidden="1" customHeight="1" x14ac:dyDescent="0.6">
      <c r="A45" s="7" t="s">
        <v>31</v>
      </c>
      <c r="B45" s="5">
        <v>430</v>
      </c>
      <c r="C45" s="5"/>
      <c r="D45" s="6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.75" hidden="1" customHeight="1" x14ac:dyDescent="0.6">
      <c r="A46" s="6" t="s">
        <v>27</v>
      </c>
      <c r="B46" s="5">
        <v>35</v>
      </c>
      <c r="C46" s="5"/>
      <c r="D46" s="6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.75" hidden="1" customHeight="1" x14ac:dyDescent="0.6">
      <c r="A47" s="7" t="s">
        <v>32</v>
      </c>
      <c r="B47" s="5">
        <v>150</v>
      </c>
      <c r="C47" s="5"/>
      <c r="D47" s="6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.75" hidden="1" customHeight="1" x14ac:dyDescent="0.6">
      <c r="A48" s="1"/>
      <c r="B48" s="5"/>
      <c r="C48" s="1"/>
      <c r="D48" s="60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.75" hidden="1" customHeight="1" x14ac:dyDescent="0.6">
      <c r="A49" s="1"/>
      <c r="B49" s="5"/>
      <c r="C49" s="1"/>
      <c r="D49" s="6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.75" hidden="1" customHeight="1" x14ac:dyDescent="0.6">
      <c r="A50" s="1"/>
      <c r="B50" s="5"/>
      <c r="C50" s="1"/>
      <c r="D50" s="6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.75" hidden="1" customHeight="1" x14ac:dyDescent="0.6">
      <c r="A51" s="1"/>
      <c r="B51" s="5"/>
      <c r="C51" s="1"/>
      <c r="D51" s="6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.75" hidden="1" customHeight="1" x14ac:dyDescent="0.6">
      <c r="A52" s="1"/>
      <c r="B52" s="5"/>
      <c r="C52" s="1"/>
      <c r="D52" s="6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.75" hidden="1" customHeight="1" x14ac:dyDescent="0.6">
      <c r="A53" s="1"/>
      <c r="B53" s="5"/>
      <c r="C53" s="1"/>
      <c r="D53" s="6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.75" hidden="1" customHeight="1" x14ac:dyDescent="0.6">
      <c r="A54" s="1"/>
      <c r="B54" s="5"/>
      <c r="C54" s="1"/>
      <c r="D54" s="60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.75" hidden="1" customHeight="1" x14ac:dyDescent="0.6">
      <c r="A55" s="1"/>
      <c r="B55" s="5"/>
      <c r="C55" s="1"/>
      <c r="D55" s="60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.75" hidden="1" customHeight="1" x14ac:dyDescent="0.6">
      <c r="A56" s="1"/>
      <c r="B56" s="5"/>
      <c r="C56" s="1"/>
      <c r="D56" s="60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.75" hidden="1" customHeight="1" x14ac:dyDescent="0.6">
      <c r="A57" s="1"/>
      <c r="B57" s="5"/>
      <c r="C57" s="1"/>
      <c r="D57" s="6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.75" hidden="1" customHeight="1" x14ac:dyDescent="0.6">
      <c r="A58" s="1"/>
      <c r="B58" s="5"/>
      <c r="C58" s="1"/>
      <c r="D58" s="60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.75" hidden="1" customHeight="1" x14ac:dyDescent="0.6">
      <c r="A59" s="1"/>
      <c r="B59" s="5"/>
      <c r="C59" s="1"/>
      <c r="D59" s="60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.75" hidden="1" customHeight="1" x14ac:dyDescent="0.6">
      <c r="A60" s="1"/>
      <c r="B60" s="5"/>
      <c r="C60" s="1"/>
      <c r="D60" s="6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.75" hidden="1" customHeight="1" x14ac:dyDescent="0.6">
      <c r="A61" s="1"/>
      <c r="B61" s="5"/>
      <c r="C61" s="1"/>
      <c r="D61" s="60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.75" hidden="1" customHeight="1" x14ac:dyDescent="0.6">
      <c r="A62" s="1"/>
      <c r="B62" s="5"/>
      <c r="C62" s="1"/>
      <c r="D62" s="60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.75" hidden="1" customHeight="1" x14ac:dyDescent="0.6">
      <c r="A63" s="1"/>
      <c r="B63" s="5"/>
      <c r="C63" s="1"/>
      <c r="D63" s="60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.75" hidden="1" customHeight="1" x14ac:dyDescent="0.6">
      <c r="A64" s="1"/>
      <c r="B64" s="5"/>
      <c r="C64" s="1"/>
      <c r="D64" s="60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.75" hidden="1" customHeight="1" x14ac:dyDescent="0.6">
      <c r="A65" s="1"/>
      <c r="B65" s="5"/>
      <c r="C65" s="1"/>
      <c r="D65" s="6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.75" hidden="1" customHeight="1" x14ac:dyDescent="0.6">
      <c r="A66" s="1"/>
      <c r="B66" s="5"/>
      <c r="C66" s="1"/>
      <c r="D66" s="6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.75" hidden="1" customHeight="1" x14ac:dyDescent="0.6">
      <c r="A67" s="1"/>
      <c r="B67" s="5"/>
      <c r="C67" s="1"/>
      <c r="D67" s="60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.75" hidden="1" customHeight="1" x14ac:dyDescent="0.6">
      <c r="A68" s="1"/>
      <c r="B68" s="5"/>
      <c r="C68" s="1"/>
      <c r="D68" s="60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.75" hidden="1" customHeight="1" x14ac:dyDescent="0.6">
      <c r="A69" s="1"/>
      <c r="B69" s="5"/>
      <c r="C69" s="1"/>
      <c r="D69" s="60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.75" hidden="1" customHeight="1" x14ac:dyDescent="0.6">
      <c r="A70" s="1"/>
      <c r="B70" s="5"/>
      <c r="C70" s="1"/>
      <c r="D70" s="60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.75" hidden="1" customHeight="1" x14ac:dyDescent="0.6">
      <c r="A71" s="1"/>
      <c r="B71" s="5"/>
      <c r="C71" s="1"/>
      <c r="D71" s="60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.75" hidden="1" customHeight="1" x14ac:dyDescent="0.6">
      <c r="A72" s="1"/>
      <c r="B72" s="5"/>
      <c r="C72" s="1"/>
      <c r="D72" s="6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.75" hidden="1" customHeight="1" x14ac:dyDescent="0.6">
      <c r="A73" s="1"/>
      <c r="B73" s="5"/>
      <c r="C73" s="1"/>
      <c r="D73" s="6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.75" hidden="1" customHeight="1" x14ac:dyDescent="0.6">
      <c r="A74" s="1"/>
      <c r="B74" s="5"/>
      <c r="C74" s="1"/>
      <c r="D74" s="6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.75" hidden="1" customHeight="1" x14ac:dyDescent="0.6">
      <c r="A75" s="1"/>
      <c r="B75" s="5"/>
      <c r="C75" s="1"/>
      <c r="D75" s="6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.75" customHeight="1" x14ac:dyDescent="0.6">
      <c r="A76" s="1"/>
      <c r="B76" s="5"/>
      <c r="C76" s="1"/>
      <c r="D76" s="6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.75" customHeight="1" x14ac:dyDescent="0.6">
      <c r="A77" s="1"/>
      <c r="B77" s="5"/>
      <c r="C77" s="1"/>
      <c r="D77" s="6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.75" customHeight="1" x14ac:dyDescent="0.6">
      <c r="A78" s="1"/>
      <c r="B78" s="5"/>
      <c r="C78" s="1"/>
      <c r="D78" s="60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.75" customHeight="1" x14ac:dyDescent="0.6">
      <c r="A79" s="1"/>
      <c r="B79" s="5"/>
      <c r="C79" s="1"/>
      <c r="D79" s="60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.75" customHeight="1" x14ac:dyDescent="0.6">
      <c r="A80" s="1"/>
      <c r="B80" s="5"/>
      <c r="C80" s="1"/>
      <c r="D80" s="60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.75" customHeight="1" x14ac:dyDescent="0.6">
      <c r="A81" s="1"/>
      <c r="B81" s="5"/>
      <c r="C81" s="1"/>
      <c r="D81" s="60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.75" customHeight="1" x14ac:dyDescent="0.6">
      <c r="A82" s="1"/>
      <c r="B82" s="5"/>
      <c r="C82" s="1"/>
      <c r="D82" s="60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.75" customHeight="1" x14ac:dyDescent="0.6">
      <c r="A83" s="1"/>
      <c r="B83" s="5"/>
      <c r="C83" s="1"/>
      <c r="D83" s="60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.75" customHeight="1" x14ac:dyDescent="0.6">
      <c r="A84" s="1"/>
      <c r="B84" s="5"/>
      <c r="C84" s="1"/>
      <c r="D84" s="60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.75" customHeight="1" x14ac:dyDescent="0.6">
      <c r="A85" s="1"/>
      <c r="B85" s="5"/>
      <c r="C85" s="1"/>
      <c r="D85" s="60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.75" customHeight="1" x14ac:dyDescent="0.6">
      <c r="A86" s="1"/>
      <c r="B86" s="5"/>
      <c r="C86" s="1"/>
      <c r="D86" s="60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.75" customHeight="1" x14ac:dyDescent="0.6">
      <c r="A87" s="1"/>
      <c r="B87" s="5"/>
      <c r="C87" s="1"/>
      <c r="D87" s="60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.75" customHeight="1" x14ac:dyDescent="0.6">
      <c r="A88" s="1"/>
      <c r="B88" s="5"/>
      <c r="C88" s="1"/>
      <c r="D88" s="60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.75" customHeight="1" x14ac:dyDescent="0.6">
      <c r="A89" s="1"/>
      <c r="B89" s="5"/>
      <c r="C89" s="1"/>
      <c r="D89" s="60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.75" customHeight="1" x14ac:dyDescent="0.6">
      <c r="A90" s="1"/>
      <c r="B90" s="5"/>
      <c r="C90" s="1"/>
      <c r="D90" s="60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.75" customHeight="1" x14ac:dyDescent="0.6">
      <c r="A91" s="1"/>
      <c r="B91" s="5"/>
      <c r="C91" s="1"/>
      <c r="D91" s="60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.75" customHeight="1" x14ac:dyDescent="0.6">
      <c r="A92" s="1"/>
      <c r="B92" s="5"/>
      <c r="C92" s="1"/>
      <c r="D92" s="60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.75" customHeight="1" x14ac:dyDescent="0.6">
      <c r="A93" s="1"/>
      <c r="B93" s="5"/>
      <c r="C93" s="1"/>
      <c r="D93" s="60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.75" customHeight="1" x14ac:dyDescent="0.6">
      <c r="A94" s="1"/>
      <c r="B94" s="5"/>
      <c r="C94" s="1"/>
      <c r="D94" s="60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.75" customHeight="1" x14ac:dyDescent="0.6">
      <c r="A95" s="1"/>
      <c r="B95" s="5"/>
      <c r="C95" s="1"/>
      <c r="D95" s="60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.75" customHeight="1" x14ac:dyDescent="0.6">
      <c r="A96" s="1"/>
      <c r="B96" s="5"/>
      <c r="C96" s="1"/>
      <c r="D96" s="60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.75" customHeight="1" x14ac:dyDescent="0.6">
      <c r="A97" s="1"/>
      <c r="B97" s="5"/>
      <c r="C97" s="1"/>
      <c r="D97" s="60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.75" customHeight="1" x14ac:dyDescent="0.6">
      <c r="A98" s="1"/>
      <c r="B98" s="5"/>
      <c r="C98" s="1"/>
      <c r="D98" s="60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.75" customHeight="1" x14ac:dyDescent="0.6">
      <c r="A99" s="1"/>
      <c r="B99" s="5"/>
      <c r="C99" s="1"/>
      <c r="D99" s="60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.75" customHeight="1" x14ac:dyDescent="0.6">
      <c r="A100" s="1"/>
      <c r="B100" s="5"/>
      <c r="C100" s="1"/>
      <c r="D100" s="60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.75" customHeight="1" x14ac:dyDescent="0.6">
      <c r="A101" s="1"/>
      <c r="B101" s="5"/>
      <c r="C101" s="1"/>
      <c r="D101" s="60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.75" customHeight="1" x14ac:dyDescent="0.6">
      <c r="A102" s="1"/>
      <c r="B102" s="5"/>
      <c r="C102" s="1"/>
      <c r="D102" s="60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.75" customHeight="1" x14ac:dyDescent="0.6">
      <c r="A103" s="1"/>
      <c r="B103" s="5"/>
      <c r="C103" s="1"/>
      <c r="D103" s="60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.75" customHeight="1" x14ac:dyDescent="0.6">
      <c r="A104" s="1"/>
      <c r="B104" s="5"/>
      <c r="C104" s="1"/>
      <c r="D104" s="60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.75" customHeight="1" x14ac:dyDescent="0.6">
      <c r="A105" s="1"/>
      <c r="B105" s="5"/>
      <c r="C105" s="1"/>
      <c r="D105" s="60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.75" customHeight="1" x14ac:dyDescent="0.6">
      <c r="A106" s="1"/>
      <c r="B106" s="5"/>
      <c r="C106" s="1"/>
      <c r="D106" s="60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.75" customHeight="1" x14ac:dyDescent="0.6">
      <c r="A107" s="1"/>
      <c r="B107" s="5"/>
      <c r="C107" s="1"/>
      <c r="D107" s="60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.75" customHeight="1" x14ac:dyDescent="0.6">
      <c r="A108" s="1"/>
      <c r="B108" s="5"/>
      <c r="C108" s="1"/>
      <c r="D108" s="60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.75" customHeight="1" x14ac:dyDescent="0.6">
      <c r="A109" s="1"/>
      <c r="B109" s="5"/>
      <c r="C109" s="1"/>
      <c r="D109" s="60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.75" customHeight="1" x14ac:dyDescent="0.6">
      <c r="A110" s="1"/>
      <c r="B110" s="5"/>
      <c r="C110" s="1"/>
      <c r="D110" s="60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.75" customHeight="1" x14ac:dyDescent="0.6">
      <c r="A111" s="1"/>
      <c r="B111" s="5"/>
      <c r="C111" s="1"/>
      <c r="D111" s="60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.75" customHeight="1" x14ac:dyDescent="0.6">
      <c r="A112" s="1"/>
      <c r="B112" s="5"/>
      <c r="C112" s="1"/>
      <c r="D112" s="60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.75" customHeight="1" x14ac:dyDescent="0.6">
      <c r="A113" s="1"/>
      <c r="B113" s="5"/>
      <c r="C113" s="1"/>
      <c r="D113" s="60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.75" customHeight="1" x14ac:dyDescent="0.6">
      <c r="A114" s="1"/>
      <c r="B114" s="5"/>
      <c r="C114" s="1"/>
      <c r="D114" s="60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.75" customHeight="1" x14ac:dyDescent="0.6">
      <c r="A115" s="1"/>
      <c r="B115" s="5"/>
      <c r="C115" s="1"/>
      <c r="D115" s="60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.75" customHeight="1" x14ac:dyDescent="0.6">
      <c r="A116" s="1"/>
      <c r="B116" s="5"/>
      <c r="C116" s="1"/>
      <c r="D116" s="60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.75" customHeight="1" x14ac:dyDescent="0.6">
      <c r="A117" s="1"/>
      <c r="B117" s="5"/>
      <c r="C117" s="1"/>
      <c r="D117" s="60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.75" customHeight="1" x14ac:dyDescent="0.6">
      <c r="A118" s="1"/>
      <c r="B118" s="5"/>
      <c r="C118" s="1"/>
      <c r="D118" s="60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.75" customHeight="1" x14ac:dyDescent="0.6">
      <c r="A119" s="1"/>
      <c r="B119" s="5"/>
      <c r="C119" s="1"/>
      <c r="D119" s="60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.75" customHeight="1" x14ac:dyDescent="0.6">
      <c r="A120" s="1"/>
      <c r="B120" s="5"/>
      <c r="C120" s="1"/>
      <c r="D120" s="60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.75" customHeight="1" x14ac:dyDescent="0.6">
      <c r="A121" s="1"/>
      <c r="B121" s="5"/>
      <c r="C121" s="1"/>
      <c r="D121" s="60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.75" customHeight="1" x14ac:dyDescent="0.6">
      <c r="A122" s="1"/>
      <c r="B122" s="5"/>
      <c r="C122" s="1"/>
      <c r="D122" s="60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.75" customHeight="1" x14ac:dyDescent="0.6">
      <c r="A123" s="1"/>
      <c r="B123" s="5"/>
      <c r="C123" s="1"/>
      <c r="D123" s="60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.75" customHeight="1" x14ac:dyDescent="0.6">
      <c r="A124" s="1"/>
      <c r="B124" s="5"/>
      <c r="C124" s="1"/>
      <c r="D124" s="60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.75" customHeight="1" x14ac:dyDescent="0.6">
      <c r="A125" s="1"/>
      <c r="B125" s="5"/>
      <c r="C125" s="1"/>
      <c r="D125" s="60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.75" customHeight="1" x14ac:dyDescent="0.6">
      <c r="A126" s="1"/>
      <c r="B126" s="5"/>
      <c r="C126" s="1"/>
      <c r="D126" s="60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.75" customHeight="1" x14ac:dyDescent="0.6">
      <c r="A127" s="1"/>
      <c r="B127" s="5"/>
      <c r="C127" s="1"/>
      <c r="D127" s="60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.75" customHeight="1" x14ac:dyDescent="0.6">
      <c r="A128" s="1"/>
      <c r="B128" s="5"/>
      <c r="C128" s="1"/>
      <c r="D128" s="60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.75" customHeight="1" x14ac:dyDescent="0.6">
      <c r="A129" s="1"/>
      <c r="B129" s="5"/>
      <c r="C129" s="1"/>
      <c r="D129" s="60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.75" customHeight="1" x14ac:dyDescent="0.6">
      <c r="A130" s="1"/>
      <c r="B130" s="5"/>
      <c r="C130" s="1"/>
      <c r="D130" s="60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.75" customHeight="1" x14ac:dyDescent="0.6">
      <c r="A131" s="1"/>
      <c r="B131" s="5"/>
      <c r="C131" s="1"/>
      <c r="D131" s="60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.75" customHeight="1" x14ac:dyDescent="0.6">
      <c r="A132" s="1"/>
      <c r="B132" s="5"/>
      <c r="C132" s="1"/>
      <c r="D132" s="60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.75" customHeight="1" x14ac:dyDescent="0.6">
      <c r="A133" s="1"/>
      <c r="B133" s="5"/>
      <c r="C133" s="1"/>
      <c r="D133" s="60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.75" customHeight="1" x14ac:dyDescent="0.6">
      <c r="A134" s="1"/>
      <c r="B134" s="5"/>
      <c r="C134" s="1"/>
      <c r="D134" s="60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.75" customHeight="1" x14ac:dyDescent="0.6">
      <c r="A135" s="1"/>
      <c r="B135" s="5"/>
      <c r="C135" s="1"/>
      <c r="D135" s="60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.75" customHeight="1" x14ac:dyDescent="0.6">
      <c r="A136" s="1"/>
      <c r="B136" s="5"/>
      <c r="C136" s="1"/>
      <c r="D136" s="60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.75" customHeight="1" x14ac:dyDescent="0.6">
      <c r="A137" s="1"/>
      <c r="B137" s="5"/>
      <c r="C137" s="1"/>
      <c r="D137" s="60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.75" customHeight="1" x14ac:dyDescent="0.6">
      <c r="A138" s="1"/>
      <c r="B138" s="5"/>
      <c r="C138" s="1"/>
      <c r="D138" s="60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.75" customHeight="1" x14ac:dyDescent="0.6">
      <c r="A139" s="1"/>
      <c r="B139" s="5"/>
      <c r="C139" s="1"/>
      <c r="D139" s="60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.75" customHeight="1" x14ac:dyDescent="0.6">
      <c r="A140" s="1"/>
      <c r="B140" s="5"/>
      <c r="C140" s="1"/>
      <c r="D140" s="60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.75" customHeight="1" x14ac:dyDescent="0.6">
      <c r="A141" s="1"/>
      <c r="B141" s="5"/>
      <c r="C141" s="1"/>
      <c r="D141" s="60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.75" customHeight="1" x14ac:dyDescent="0.6">
      <c r="A142" s="1"/>
      <c r="B142" s="5"/>
      <c r="C142" s="1"/>
      <c r="D142" s="60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.75" customHeight="1" x14ac:dyDescent="0.6">
      <c r="A143" s="1"/>
      <c r="B143" s="5"/>
      <c r="C143" s="1"/>
      <c r="D143" s="60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.75" customHeight="1" x14ac:dyDescent="0.6">
      <c r="A144" s="1"/>
      <c r="B144" s="5"/>
      <c r="C144" s="1"/>
      <c r="D144" s="60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.75" customHeight="1" x14ac:dyDescent="0.6">
      <c r="A145" s="1"/>
      <c r="B145" s="5"/>
      <c r="C145" s="1"/>
      <c r="D145" s="60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.75" customHeight="1" x14ac:dyDescent="0.6">
      <c r="A146" s="1"/>
      <c r="B146" s="5"/>
      <c r="C146" s="1"/>
      <c r="D146" s="60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.75" customHeight="1" x14ac:dyDescent="0.6">
      <c r="A147" s="1"/>
      <c r="B147" s="5"/>
      <c r="C147" s="1"/>
      <c r="D147" s="60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.75" customHeight="1" x14ac:dyDescent="0.6">
      <c r="A148" s="1"/>
      <c r="B148" s="5"/>
      <c r="C148" s="1"/>
      <c r="D148" s="60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.75" customHeight="1" x14ac:dyDescent="0.6">
      <c r="A149" s="1"/>
      <c r="B149" s="5"/>
      <c r="C149" s="1"/>
      <c r="D149" s="60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.75" customHeight="1" x14ac:dyDescent="0.6">
      <c r="A150" s="1"/>
      <c r="B150" s="5"/>
      <c r="C150" s="1"/>
      <c r="D150" s="60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.75" customHeight="1" x14ac:dyDescent="0.6">
      <c r="A151" s="1"/>
      <c r="B151" s="5"/>
      <c r="C151" s="1"/>
      <c r="D151" s="60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.75" customHeight="1" x14ac:dyDescent="0.6">
      <c r="A152" s="1"/>
      <c r="B152" s="5"/>
      <c r="C152" s="1"/>
      <c r="D152" s="60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.75" customHeight="1" x14ac:dyDescent="0.6">
      <c r="A153" s="1"/>
      <c r="B153" s="5"/>
      <c r="C153" s="1"/>
      <c r="D153" s="60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.75" customHeight="1" x14ac:dyDescent="0.6">
      <c r="A154" s="1"/>
      <c r="B154" s="5"/>
      <c r="C154" s="1"/>
      <c r="D154" s="60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.75" customHeight="1" x14ac:dyDescent="0.6">
      <c r="A155" s="1"/>
      <c r="B155" s="5"/>
      <c r="C155" s="1"/>
      <c r="D155" s="60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.75" customHeight="1" x14ac:dyDescent="0.6">
      <c r="A156" s="1"/>
      <c r="B156" s="5"/>
      <c r="C156" s="1"/>
      <c r="D156" s="60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.75" customHeight="1" x14ac:dyDescent="0.6">
      <c r="A157" s="1"/>
      <c r="B157" s="5"/>
      <c r="C157" s="1"/>
      <c r="D157" s="60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.75" customHeight="1" x14ac:dyDescent="0.6">
      <c r="A158" s="1"/>
      <c r="B158" s="5"/>
      <c r="C158" s="1"/>
      <c r="D158" s="60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.75" customHeight="1" x14ac:dyDescent="0.6">
      <c r="A159" s="1"/>
      <c r="B159" s="5"/>
      <c r="C159" s="1"/>
      <c r="D159" s="60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.75" customHeight="1" x14ac:dyDescent="0.6">
      <c r="A160" s="1"/>
      <c r="B160" s="5"/>
      <c r="C160" s="1"/>
      <c r="D160" s="60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.75" customHeight="1" x14ac:dyDescent="0.6">
      <c r="A161" s="1"/>
      <c r="B161" s="5"/>
      <c r="C161" s="1"/>
      <c r="D161" s="60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.75" customHeight="1" x14ac:dyDescent="0.6">
      <c r="A162" s="1"/>
      <c r="B162" s="5"/>
      <c r="C162" s="1"/>
      <c r="D162" s="60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.75" customHeight="1" x14ac:dyDescent="0.6">
      <c r="A163" s="1"/>
      <c r="B163" s="5"/>
      <c r="C163" s="1"/>
      <c r="D163" s="60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.75" customHeight="1" x14ac:dyDescent="0.6">
      <c r="A164" s="1"/>
      <c r="B164" s="5"/>
      <c r="C164" s="1"/>
      <c r="D164" s="60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.75" customHeight="1" x14ac:dyDescent="0.6">
      <c r="A165" s="1"/>
      <c r="B165" s="5"/>
      <c r="C165" s="1"/>
      <c r="D165" s="60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.75" customHeight="1" x14ac:dyDescent="0.6">
      <c r="A166" s="1"/>
      <c r="B166" s="5"/>
      <c r="C166" s="1"/>
      <c r="D166" s="60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.75" customHeight="1" x14ac:dyDescent="0.6">
      <c r="A167" s="1"/>
      <c r="B167" s="5"/>
      <c r="C167" s="1"/>
      <c r="D167" s="60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.75" customHeight="1" x14ac:dyDescent="0.6">
      <c r="A168" s="1"/>
      <c r="B168" s="5"/>
      <c r="C168" s="1"/>
      <c r="D168" s="60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.75" customHeight="1" x14ac:dyDescent="0.6">
      <c r="A169" s="1"/>
      <c r="B169" s="5"/>
      <c r="C169" s="1"/>
      <c r="D169" s="60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.75" customHeight="1" x14ac:dyDescent="0.6">
      <c r="A170" s="1"/>
      <c r="B170" s="5"/>
      <c r="C170" s="1"/>
      <c r="D170" s="60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.75" customHeight="1" x14ac:dyDescent="0.6">
      <c r="A171" s="1"/>
      <c r="B171" s="5"/>
      <c r="C171" s="1"/>
      <c r="D171" s="60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.75" customHeight="1" x14ac:dyDescent="0.6">
      <c r="A172" s="1"/>
      <c r="B172" s="5"/>
      <c r="C172" s="1"/>
      <c r="D172" s="60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.75" customHeight="1" x14ac:dyDescent="0.6">
      <c r="A173" s="1"/>
      <c r="B173" s="5"/>
      <c r="C173" s="1"/>
      <c r="D173" s="60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.75" customHeight="1" x14ac:dyDescent="0.6">
      <c r="A174" s="1"/>
      <c r="B174" s="5"/>
      <c r="C174" s="1"/>
      <c r="D174" s="60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.75" customHeight="1" x14ac:dyDescent="0.6">
      <c r="A175" s="1"/>
      <c r="B175" s="5"/>
      <c r="C175" s="1"/>
      <c r="D175" s="60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.75" customHeight="1" x14ac:dyDescent="0.6">
      <c r="A176" s="1"/>
      <c r="B176" s="5"/>
      <c r="C176" s="1"/>
      <c r="D176" s="60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.75" customHeight="1" x14ac:dyDescent="0.6">
      <c r="A177" s="1"/>
      <c r="B177" s="5"/>
      <c r="C177" s="1"/>
      <c r="D177" s="60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.75" customHeight="1" x14ac:dyDescent="0.6">
      <c r="A178" s="1"/>
      <c r="B178" s="5"/>
      <c r="C178" s="1"/>
      <c r="D178" s="60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.75" customHeight="1" x14ac:dyDescent="0.6">
      <c r="A179" s="1"/>
      <c r="B179" s="5"/>
      <c r="C179" s="1"/>
      <c r="D179" s="60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.75" customHeight="1" x14ac:dyDescent="0.6">
      <c r="A180" s="1"/>
      <c r="B180" s="5"/>
      <c r="C180" s="1"/>
      <c r="D180" s="60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.75" customHeight="1" x14ac:dyDescent="0.6">
      <c r="A181" s="1"/>
      <c r="B181" s="5"/>
      <c r="C181" s="1"/>
      <c r="D181" s="60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.75" customHeight="1" x14ac:dyDescent="0.6">
      <c r="A182" s="1"/>
      <c r="B182" s="5"/>
      <c r="C182" s="1"/>
      <c r="D182" s="60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.75" customHeight="1" x14ac:dyDescent="0.6">
      <c r="A183" s="1"/>
      <c r="B183" s="5"/>
      <c r="C183" s="1"/>
      <c r="D183" s="60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.75" customHeight="1" x14ac:dyDescent="0.6">
      <c r="A184" s="1"/>
      <c r="B184" s="5"/>
      <c r="C184" s="1"/>
      <c r="D184" s="60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.75" customHeight="1" x14ac:dyDescent="0.6">
      <c r="A185" s="1"/>
      <c r="B185" s="5"/>
      <c r="C185" s="1"/>
      <c r="D185" s="60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.75" customHeight="1" x14ac:dyDescent="0.6">
      <c r="A186" s="1"/>
      <c r="B186" s="5"/>
      <c r="C186" s="1"/>
      <c r="D186" s="60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.75" customHeight="1" x14ac:dyDescent="0.6">
      <c r="A187" s="1"/>
      <c r="B187" s="5"/>
      <c r="C187" s="1"/>
      <c r="D187" s="60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.75" customHeight="1" x14ac:dyDescent="0.6">
      <c r="A188" s="1"/>
      <c r="B188" s="5"/>
      <c r="C188" s="1"/>
      <c r="D188" s="60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.75" customHeight="1" x14ac:dyDescent="0.6">
      <c r="A189" s="1"/>
      <c r="B189" s="5"/>
      <c r="C189" s="1"/>
      <c r="D189" s="60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.75" customHeight="1" x14ac:dyDescent="0.6">
      <c r="A190" s="1"/>
      <c r="B190" s="5"/>
      <c r="C190" s="1"/>
      <c r="D190" s="60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.75" customHeight="1" x14ac:dyDescent="0.6">
      <c r="A191" s="1"/>
      <c r="B191" s="5"/>
      <c r="C191" s="1"/>
      <c r="D191" s="60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.75" customHeight="1" x14ac:dyDescent="0.6">
      <c r="A192" s="1"/>
      <c r="B192" s="5"/>
      <c r="C192" s="1"/>
      <c r="D192" s="60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.75" customHeight="1" x14ac:dyDescent="0.6">
      <c r="A193" s="1"/>
      <c r="B193" s="5"/>
      <c r="C193" s="1"/>
      <c r="D193" s="60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.75" customHeight="1" x14ac:dyDescent="0.6">
      <c r="A194" s="1"/>
      <c r="B194" s="5"/>
      <c r="C194" s="1"/>
      <c r="D194" s="60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.75" customHeight="1" x14ac:dyDescent="0.6">
      <c r="A195" s="1"/>
      <c r="B195" s="5"/>
      <c r="C195" s="1"/>
      <c r="D195" s="60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.75" customHeight="1" x14ac:dyDescent="0.6">
      <c r="A196" s="1"/>
      <c r="B196" s="5"/>
      <c r="C196" s="1"/>
      <c r="D196" s="60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.75" customHeight="1" x14ac:dyDescent="0.6">
      <c r="A197" s="1"/>
      <c r="B197" s="5"/>
      <c r="C197" s="1"/>
      <c r="D197" s="60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.75" customHeight="1" x14ac:dyDescent="0.6">
      <c r="A198" s="1"/>
      <c r="B198" s="5"/>
      <c r="C198" s="1"/>
      <c r="D198" s="60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.75" customHeight="1" x14ac:dyDescent="0.6">
      <c r="A199" s="1"/>
      <c r="B199" s="5"/>
      <c r="C199" s="1"/>
      <c r="D199" s="60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.75" customHeight="1" x14ac:dyDescent="0.6">
      <c r="A200" s="1"/>
      <c r="B200" s="5"/>
      <c r="C200" s="1"/>
      <c r="D200" s="60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.75" customHeight="1" x14ac:dyDescent="0.6">
      <c r="A201" s="1"/>
      <c r="B201" s="5"/>
      <c r="C201" s="1"/>
      <c r="D201" s="60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.75" customHeight="1" x14ac:dyDescent="0.6">
      <c r="A202" s="1"/>
      <c r="B202" s="5"/>
      <c r="C202" s="1"/>
      <c r="D202" s="60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.75" customHeight="1" x14ac:dyDescent="0.6">
      <c r="A203" s="1"/>
      <c r="B203" s="5"/>
      <c r="C203" s="1"/>
      <c r="D203" s="60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.75" customHeight="1" x14ac:dyDescent="0.6">
      <c r="A204" s="1"/>
      <c r="B204" s="5"/>
      <c r="C204" s="1"/>
      <c r="D204" s="60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.75" customHeight="1" x14ac:dyDescent="0.6">
      <c r="A205" s="1"/>
      <c r="B205" s="5"/>
      <c r="C205" s="1"/>
      <c r="D205" s="60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.75" customHeight="1" x14ac:dyDescent="0.6">
      <c r="A206" s="1"/>
      <c r="B206" s="5"/>
      <c r="C206" s="1"/>
      <c r="D206" s="60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.75" customHeight="1" x14ac:dyDescent="0.6">
      <c r="A207" s="1"/>
      <c r="B207" s="5"/>
      <c r="C207" s="1"/>
      <c r="D207" s="60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.75" customHeight="1" x14ac:dyDescent="0.6">
      <c r="A208" s="1"/>
      <c r="B208" s="5"/>
      <c r="C208" s="1"/>
      <c r="D208" s="60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.75" customHeight="1" x14ac:dyDescent="0.6">
      <c r="A209" s="1"/>
      <c r="B209" s="5"/>
      <c r="C209" s="1"/>
      <c r="D209" s="60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.75" customHeight="1" x14ac:dyDescent="0.6">
      <c r="A210" s="1"/>
      <c r="B210" s="5"/>
      <c r="C210" s="1"/>
      <c r="D210" s="60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.75" customHeight="1" x14ac:dyDescent="0.6">
      <c r="A211" s="1"/>
      <c r="B211" s="5"/>
      <c r="C211" s="1"/>
      <c r="D211" s="60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.75" customHeight="1" x14ac:dyDescent="0.6">
      <c r="A212" s="1"/>
      <c r="B212" s="5"/>
      <c r="C212" s="1"/>
      <c r="D212" s="60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.75" customHeight="1" x14ac:dyDescent="0.6">
      <c r="A213" s="1"/>
      <c r="B213" s="5"/>
      <c r="C213" s="1"/>
      <c r="D213" s="60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.75" customHeight="1" x14ac:dyDescent="0.6">
      <c r="A214" s="1"/>
      <c r="B214" s="5"/>
      <c r="C214" s="1"/>
      <c r="D214" s="60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.75" customHeight="1" x14ac:dyDescent="0.6">
      <c r="A215" s="1"/>
      <c r="B215" s="5"/>
      <c r="C215" s="1"/>
      <c r="D215" s="60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.75" customHeight="1" x14ac:dyDescent="0.6">
      <c r="A216" s="1"/>
      <c r="B216" s="5"/>
      <c r="C216" s="1"/>
      <c r="D216" s="60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.75" customHeight="1" x14ac:dyDescent="0.6">
      <c r="A217" s="1"/>
      <c r="B217" s="5"/>
      <c r="C217" s="1"/>
      <c r="D217" s="60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.75" customHeight="1" x14ac:dyDescent="0.6">
      <c r="A218" s="1"/>
      <c r="B218" s="5"/>
      <c r="C218" s="1"/>
      <c r="D218" s="60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.75" customHeight="1" x14ac:dyDescent="0.6">
      <c r="A219" s="1"/>
      <c r="B219" s="5"/>
      <c r="C219" s="1"/>
      <c r="D219" s="60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.75" customHeight="1" x14ac:dyDescent="0.6">
      <c r="A220" s="1"/>
      <c r="B220" s="5"/>
      <c r="C220" s="1"/>
      <c r="D220" s="60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.75" customHeight="1" x14ac:dyDescent="0.6">
      <c r="A221" s="1"/>
      <c r="B221" s="5"/>
      <c r="C221" s="1"/>
      <c r="D221" s="60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.75" customHeight="1" x14ac:dyDescent="0.6">
      <c r="A222" s="1"/>
      <c r="B222" s="5"/>
      <c r="C222" s="1"/>
      <c r="D222" s="60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.75" customHeight="1" x14ac:dyDescent="0.6">
      <c r="A223" s="1"/>
      <c r="B223" s="5"/>
      <c r="C223" s="1"/>
      <c r="D223" s="60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.75" customHeight="1" x14ac:dyDescent="0.6">
      <c r="A224" s="1"/>
      <c r="B224" s="5"/>
      <c r="C224" s="1"/>
      <c r="D224" s="60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.75" customHeight="1" x14ac:dyDescent="0.6">
      <c r="A225" s="1"/>
      <c r="B225" s="5"/>
      <c r="C225" s="1"/>
      <c r="D225" s="60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.75" customHeight="1" x14ac:dyDescent="0.6">
      <c r="A226" s="1"/>
      <c r="B226" s="5"/>
      <c r="C226" s="1"/>
      <c r="D226" s="60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.75" customHeight="1" x14ac:dyDescent="0.6">
      <c r="A227" s="1"/>
      <c r="B227" s="5"/>
      <c r="C227" s="1"/>
      <c r="D227" s="60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.75" customHeight="1" x14ac:dyDescent="0.6">
      <c r="A228" s="1"/>
      <c r="B228" s="5"/>
      <c r="C228" s="1"/>
      <c r="D228" s="60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.75" customHeight="1" x14ac:dyDescent="0.6">
      <c r="A229" s="1"/>
      <c r="B229" s="5"/>
      <c r="C229" s="1"/>
      <c r="D229" s="60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.75" customHeight="1" x14ac:dyDescent="0.6">
      <c r="A230" s="1"/>
      <c r="B230" s="5"/>
      <c r="C230" s="1"/>
      <c r="D230" s="60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.75" customHeight="1" x14ac:dyDescent="0.6">
      <c r="A231" s="1"/>
      <c r="B231" s="5"/>
      <c r="C231" s="1"/>
      <c r="D231" s="60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.75" customHeight="1" x14ac:dyDescent="0.6">
      <c r="A232" s="1"/>
      <c r="B232" s="5"/>
      <c r="C232" s="1"/>
      <c r="D232" s="60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.75" customHeight="1" x14ac:dyDescent="0.6">
      <c r="A233" s="1"/>
      <c r="B233" s="5"/>
      <c r="C233" s="1"/>
      <c r="D233" s="60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.75" customHeight="1" x14ac:dyDescent="0.6">
      <c r="A234" s="1"/>
      <c r="B234" s="5"/>
      <c r="C234" s="1"/>
      <c r="D234" s="60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.75" customHeight="1" x14ac:dyDescent="0.6">
      <c r="A235" s="1"/>
      <c r="B235" s="5"/>
      <c r="C235" s="1"/>
      <c r="D235" s="60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.75" customHeight="1" x14ac:dyDescent="0.6">
      <c r="A236" s="1"/>
      <c r="B236" s="5"/>
      <c r="C236" s="1"/>
      <c r="D236" s="60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.75" customHeight="1" x14ac:dyDescent="0.6">
      <c r="A237" s="1"/>
      <c r="B237" s="5"/>
      <c r="C237" s="1"/>
      <c r="D237" s="60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.75" customHeight="1" x14ac:dyDescent="0.6">
      <c r="A238" s="1"/>
      <c r="B238" s="5"/>
      <c r="C238" s="1"/>
      <c r="D238" s="60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.75" customHeight="1" x14ac:dyDescent="0.6">
      <c r="A239" s="1"/>
      <c r="B239" s="5"/>
      <c r="C239" s="1"/>
      <c r="D239" s="60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.75" customHeight="1" x14ac:dyDescent="0.6">
      <c r="A240" s="1"/>
      <c r="B240" s="5"/>
      <c r="C240" s="1"/>
      <c r="D240" s="60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.75" customHeight="1" x14ac:dyDescent="0.6">
      <c r="A241" s="1"/>
      <c r="B241" s="5"/>
      <c r="C241" s="1"/>
      <c r="D241" s="60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.75" customHeight="1" x14ac:dyDescent="0.6">
      <c r="A242" s="1"/>
      <c r="B242" s="5"/>
      <c r="C242" s="1"/>
      <c r="D242" s="60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.75" customHeight="1" x14ac:dyDescent="0.6">
      <c r="A243" s="1"/>
      <c r="B243" s="5"/>
      <c r="C243" s="1"/>
      <c r="D243" s="60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.75" customHeight="1" x14ac:dyDescent="0.6">
      <c r="A244" s="1"/>
      <c r="B244" s="5"/>
      <c r="C244" s="1"/>
      <c r="D244" s="60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.75" customHeight="1" x14ac:dyDescent="0.6">
      <c r="A245" s="1"/>
      <c r="B245" s="5"/>
      <c r="C245" s="1"/>
      <c r="D245" s="60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.75" customHeight="1" x14ac:dyDescent="0.6">
      <c r="A246" s="1"/>
      <c r="B246" s="5"/>
      <c r="C246" s="1"/>
      <c r="D246" s="60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.75" customHeight="1" x14ac:dyDescent="0.6">
      <c r="A247" s="1"/>
      <c r="B247" s="5"/>
      <c r="C247" s="1"/>
      <c r="D247" s="60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.75" customHeight="1" x14ac:dyDescent="0.6">
      <c r="A248" s="1"/>
      <c r="B248" s="5"/>
      <c r="C248" s="1"/>
      <c r="D248" s="60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.75" customHeight="1" x14ac:dyDescent="0.6">
      <c r="A249" s="1"/>
      <c r="B249" s="5"/>
      <c r="C249" s="1"/>
      <c r="D249" s="60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.75" customHeight="1" x14ac:dyDescent="0.6">
      <c r="A250" s="1"/>
      <c r="B250" s="5"/>
      <c r="C250" s="1"/>
      <c r="D250" s="60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.75" customHeight="1" x14ac:dyDescent="0.6">
      <c r="A251" s="1"/>
      <c r="B251" s="5"/>
      <c r="C251" s="1"/>
      <c r="D251" s="60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.75" customHeight="1" x14ac:dyDescent="0.6">
      <c r="A252" s="1"/>
      <c r="B252" s="5"/>
      <c r="C252" s="1"/>
      <c r="D252" s="60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.75" customHeight="1" x14ac:dyDescent="0.6">
      <c r="A253" s="1"/>
      <c r="B253" s="5"/>
      <c r="C253" s="1"/>
      <c r="D253" s="60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.75" customHeight="1" x14ac:dyDescent="0.6">
      <c r="A254" s="1"/>
      <c r="B254" s="5"/>
      <c r="C254" s="1"/>
      <c r="D254" s="60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.75" customHeight="1" x14ac:dyDescent="0.6">
      <c r="A255" s="1"/>
      <c r="B255" s="5"/>
      <c r="C255" s="1"/>
      <c r="D255" s="60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.75" customHeight="1" x14ac:dyDescent="0.6">
      <c r="A256" s="1"/>
      <c r="B256" s="5"/>
      <c r="C256" s="1"/>
      <c r="D256" s="60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.75" customHeight="1" x14ac:dyDescent="0.6">
      <c r="A257" s="1"/>
      <c r="B257" s="5"/>
      <c r="C257" s="1"/>
      <c r="D257" s="60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.75" customHeight="1" x14ac:dyDescent="0.6">
      <c r="A258" s="1"/>
      <c r="B258" s="5"/>
      <c r="C258" s="1"/>
      <c r="D258" s="60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.75" customHeight="1" x14ac:dyDescent="0.6">
      <c r="A259" s="1"/>
      <c r="B259" s="5"/>
      <c r="C259" s="1"/>
      <c r="D259" s="60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.75" customHeight="1" x14ac:dyDescent="0.6">
      <c r="A260" s="1"/>
      <c r="B260" s="5"/>
      <c r="C260" s="1"/>
      <c r="D260" s="60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.75" customHeight="1" x14ac:dyDescent="0.6">
      <c r="A261" s="1"/>
      <c r="B261" s="5"/>
      <c r="C261" s="1"/>
      <c r="D261" s="60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.75" customHeight="1" x14ac:dyDescent="0.6">
      <c r="A262" s="1"/>
      <c r="B262" s="5"/>
      <c r="C262" s="1"/>
      <c r="D262" s="60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.75" customHeight="1" x14ac:dyDescent="0.6">
      <c r="A263" s="1"/>
      <c r="B263" s="5"/>
      <c r="C263" s="1"/>
      <c r="D263" s="60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.75" customHeight="1" x14ac:dyDescent="0.6">
      <c r="A264" s="1"/>
      <c r="B264" s="5"/>
      <c r="C264" s="1"/>
      <c r="D264" s="60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.75" customHeight="1" x14ac:dyDescent="0.6">
      <c r="A265" s="1"/>
      <c r="B265" s="5"/>
      <c r="C265" s="1"/>
      <c r="D265" s="60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.75" customHeight="1" x14ac:dyDescent="0.6">
      <c r="A266" s="1"/>
      <c r="B266" s="5"/>
      <c r="C266" s="1"/>
      <c r="D266" s="60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.75" customHeight="1" x14ac:dyDescent="0.6">
      <c r="A267" s="1"/>
      <c r="B267" s="5"/>
      <c r="C267" s="1"/>
      <c r="D267" s="60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.75" customHeight="1" x14ac:dyDescent="0.6">
      <c r="A268" s="1"/>
      <c r="B268" s="5"/>
      <c r="C268" s="1"/>
      <c r="D268" s="60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.75" customHeight="1" x14ac:dyDescent="0.6">
      <c r="A269" s="1"/>
      <c r="B269" s="5"/>
      <c r="C269" s="1"/>
      <c r="D269" s="60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.75" customHeight="1" x14ac:dyDescent="0.6">
      <c r="A270" s="1"/>
      <c r="B270" s="5"/>
      <c r="C270" s="1"/>
      <c r="D270" s="60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.75" customHeight="1" x14ac:dyDescent="0.6">
      <c r="A271" s="1"/>
      <c r="B271" s="5"/>
      <c r="C271" s="1"/>
      <c r="D271" s="60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.75" customHeight="1" x14ac:dyDescent="0.6">
      <c r="A272" s="1"/>
      <c r="B272" s="5"/>
      <c r="C272" s="1"/>
      <c r="D272" s="60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.75" customHeight="1" x14ac:dyDescent="0.6">
      <c r="A273" s="1"/>
      <c r="B273" s="5"/>
      <c r="C273" s="1"/>
      <c r="D273" s="60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.75" customHeight="1" x14ac:dyDescent="0.6">
      <c r="A274" s="1"/>
      <c r="B274" s="5"/>
      <c r="C274" s="1"/>
      <c r="D274" s="60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.75" customHeight="1" x14ac:dyDescent="0.6">
      <c r="A275" s="1"/>
      <c r="B275" s="5"/>
      <c r="C275" s="1"/>
      <c r="D275" s="60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.75" customHeight="1" x14ac:dyDescent="0.6">
      <c r="A276" s="1"/>
      <c r="B276" s="5"/>
      <c r="C276" s="1"/>
      <c r="D276" s="60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.75" customHeight="1" x14ac:dyDescent="0.6">
      <c r="A277" s="1"/>
      <c r="B277" s="5"/>
      <c r="C277" s="1"/>
      <c r="D277" s="60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.75" customHeight="1" x14ac:dyDescent="0.6">
      <c r="A278" s="1"/>
      <c r="B278" s="5"/>
      <c r="C278" s="1"/>
      <c r="D278" s="60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.75" customHeight="1" x14ac:dyDescent="0.6">
      <c r="A279" s="1"/>
      <c r="B279" s="5"/>
      <c r="C279" s="1"/>
      <c r="D279" s="60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.75" customHeight="1" x14ac:dyDescent="0.6">
      <c r="A280" s="1"/>
      <c r="B280" s="5"/>
      <c r="C280" s="1"/>
      <c r="D280" s="60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.75" customHeight="1" x14ac:dyDescent="0.6">
      <c r="A281" s="1"/>
      <c r="B281" s="5"/>
      <c r="C281" s="1"/>
      <c r="D281" s="60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.75" customHeight="1" x14ac:dyDescent="0.6">
      <c r="A282" s="1"/>
      <c r="B282" s="5"/>
      <c r="C282" s="1"/>
      <c r="D282" s="60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.75" customHeight="1" x14ac:dyDescent="0.6">
      <c r="A283" s="1"/>
      <c r="B283" s="5"/>
      <c r="C283" s="1"/>
      <c r="D283" s="60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.75" customHeight="1" x14ac:dyDescent="0.6">
      <c r="A284" s="1"/>
      <c r="B284" s="5"/>
      <c r="C284" s="1"/>
      <c r="D284" s="60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.75" customHeight="1" x14ac:dyDescent="0.6">
      <c r="A285" s="1"/>
      <c r="B285" s="5"/>
      <c r="C285" s="1"/>
      <c r="D285" s="60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.75" customHeight="1" x14ac:dyDescent="0.6">
      <c r="A286" s="1"/>
      <c r="B286" s="5"/>
      <c r="C286" s="1"/>
      <c r="D286" s="60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.75" customHeight="1" x14ac:dyDescent="0.6">
      <c r="A287" s="1"/>
      <c r="B287" s="5"/>
      <c r="C287" s="1"/>
      <c r="D287" s="60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.75" customHeight="1" x14ac:dyDescent="0.6">
      <c r="A288" s="1"/>
      <c r="B288" s="5"/>
      <c r="C288" s="1"/>
      <c r="D288" s="60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.75" customHeight="1" x14ac:dyDescent="0.6">
      <c r="A289" s="1"/>
      <c r="B289" s="5"/>
      <c r="C289" s="1"/>
      <c r="D289" s="60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.75" customHeight="1" x14ac:dyDescent="0.6">
      <c r="A290" s="1"/>
      <c r="B290" s="5"/>
      <c r="C290" s="1"/>
      <c r="D290" s="60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.75" customHeight="1" x14ac:dyDescent="0.6">
      <c r="A291" s="1"/>
      <c r="B291" s="5"/>
      <c r="C291" s="1"/>
      <c r="D291" s="60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.75" customHeight="1" x14ac:dyDescent="0.6">
      <c r="A292" s="1"/>
      <c r="B292" s="5"/>
      <c r="C292" s="1"/>
      <c r="D292" s="60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.75" customHeight="1" x14ac:dyDescent="0.6">
      <c r="A293" s="1"/>
      <c r="B293" s="5"/>
      <c r="C293" s="1"/>
      <c r="D293" s="60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.75" customHeight="1" x14ac:dyDescent="0.6">
      <c r="A294" s="1"/>
      <c r="B294" s="5"/>
      <c r="C294" s="1"/>
      <c r="D294" s="60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.75" customHeight="1" x14ac:dyDescent="0.6">
      <c r="A295" s="1"/>
      <c r="B295" s="5"/>
      <c r="C295" s="1"/>
      <c r="D295" s="60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.75" customHeight="1" x14ac:dyDescent="0.6">
      <c r="A296" s="1"/>
      <c r="B296" s="5"/>
      <c r="C296" s="1"/>
      <c r="D296" s="60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.75" customHeight="1" x14ac:dyDescent="0.6">
      <c r="A297" s="1"/>
      <c r="B297" s="5"/>
      <c r="C297" s="1"/>
      <c r="D297" s="60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.75" customHeight="1" x14ac:dyDescent="0.6">
      <c r="A298" s="1"/>
      <c r="B298" s="5"/>
      <c r="C298" s="1"/>
      <c r="D298" s="60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.75" customHeight="1" x14ac:dyDescent="0.6">
      <c r="A299" s="1"/>
      <c r="B299" s="5"/>
      <c r="C299" s="1"/>
      <c r="D299" s="60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.75" customHeight="1" x14ac:dyDescent="0.6">
      <c r="A300" s="1"/>
      <c r="B300" s="5"/>
      <c r="C300" s="1"/>
      <c r="D300" s="60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.75" customHeight="1" x14ac:dyDescent="0.6">
      <c r="A301" s="1"/>
      <c r="B301" s="5"/>
      <c r="C301" s="1"/>
      <c r="D301" s="60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.75" customHeight="1" x14ac:dyDescent="0.6">
      <c r="A302" s="1"/>
      <c r="B302" s="5"/>
      <c r="C302" s="1"/>
      <c r="D302" s="60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.75" customHeight="1" x14ac:dyDescent="0.6">
      <c r="A303" s="1"/>
      <c r="B303" s="5"/>
      <c r="C303" s="1"/>
      <c r="D303" s="60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.75" customHeight="1" x14ac:dyDescent="0.6">
      <c r="A304" s="1"/>
      <c r="B304" s="5"/>
      <c r="C304" s="1"/>
      <c r="D304" s="60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.75" customHeight="1" x14ac:dyDescent="0.6">
      <c r="A305" s="1"/>
      <c r="B305" s="5"/>
      <c r="C305" s="1"/>
      <c r="D305" s="60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.75" customHeight="1" x14ac:dyDescent="0.6">
      <c r="A306" s="1"/>
      <c r="B306" s="5"/>
      <c r="C306" s="1"/>
      <c r="D306" s="60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.75" customHeight="1" x14ac:dyDescent="0.6">
      <c r="A307" s="1"/>
      <c r="B307" s="5"/>
      <c r="C307" s="1"/>
      <c r="D307" s="60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.75" customHeight="1" x14ac:dyDescent="0.6">
      <c r="A308" s="1"/>
      <c r="B308" s="5"/>
      <c r="C308" s="1"/>
      <c r="D308" s="60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.75" customHeight="1" x14ac:dyDescent="0.6">
      <c r="A309" s="1"/>
      <c r="B309" s="5"/>
      <c r="C309" s="1"/>
      <c r="D309" s="60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.75" customHeight="1" x14ac:dyDescent="0.6">
      <c r="A310" s="1"/>
      <c r="B310" s="5"/>
      <c r="C310" s="1"/>
      <c r="D310" s="60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.75" customHeight="1" x14ac:dyDescent="0.6">
      <c r="A311" s="1"/>
      <c r="B311" s="5"/>
      <c r="C311" s="1"/>
      <c r="D311" s="60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.75" customHeight="1" x14ac:dyDescent="0.6">
      <c r="A312" s="1"/>
      <c r="B312" s="5"/>
      <c r="C312" s="1"/>
      <c r="D312" s="60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.75" customHeight="1" x14ac:dyDescent="0.6">
      <c r="A313" s="1"/>
      <c r="B313" s="5"/>
      <c r="C313" s="1"/>
      <c r="D313" s="60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.75" customHeight="1" x14ac:dyDescent="0.6">
      <c r="A314" s="1"/>
      <c r="B314" s="5"/>
      <c r="C314" s="1"/>
      <c r="D314" s="60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.75" customHeight="1" x14ac:dyDescent="0.6">
      <c r="A315" s="1"/>
      <c r="B315" s="5"/>
      <c r="C315" s="1"/>
      <c r="D315" s="60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.75" customHeight="1" x14ac:dyDescent="0.6">
      <c r="A316" s="1"/>
      <c r="B316" s="5"/>
      <c r="C316" s="1"/>
      <c r="D316" s="60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.75" customHeight="1" x14ac:dyDescent="0.6">
      <c r="A317" s="1"/>
      <c r="B317" s="5"/>
      <c r="C317" s="1"/>
      <c r="D317" s="60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.75" customHeight="1" x14ac:dyDescent="0.6">
      <c r="A318" s="1"/>
      <c r="B318" s="5"/>
      <c r="C318" s="1"/>
      <c r="D318" s="60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.75" customHeight="1" x14ac:dyDescent="0.6">
      <c r="A319" s="1"/>
      <c r="B319" s="5"/>
      <c r="C319" s="1"/>
      <c r="D319" s="60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.75" customHeight="1" x14ac:dyDescent="0.6">
      <c r="A320" s="1"/>
      <c r="B320" s="5"/>
      <c r="C320" s="1"/>
      <c r="D320" s="60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.75" customHeight="1" x14ac:dyDescent="0.6">
      <c r="A321" s="1"/>
      <c r="B321" s="5"/>
      <c r="C321" s="1"/>
      <c r="D321" s="60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.75" customHeight="1" x14ac:dyDescent="0.6">
      <c r="A322" s="1"/>
      <c r="B322" s="5"/>
      <c r="C322" s="1"/>
      <c r="D322" s="60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.75" customHeight="1" x14ac:dyDescent="0.6">
      <c r="A323" s="1"/>
      <c r="B323" s="5"/>
      <c r="C323" s="1"/>
      <c r="D323" s="60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.75" customHeight="1" x14ac:dyDescent="0.6">
      <c r="A324" s="1"/>
      <c r="B324" s="5"/>
      <c r="C324" s="1"/>
      <c r="D324" s="60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.75" customHeight="1" x14ac:dyDescent="0.6">
      <c r="A325" s="1"/>
      <c r="B325" s="5"/>
      <c r="C325" s="1"/>
      <c r="D325" s="60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.75" customHeight="1" x14ac:dyDescent="0.6">
      <c r="A326" s="1"/>
      <c r="B326" s="5"/>
      <c r="C326" s="1"/>
      <c r="D326" s="60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.75" customHeight="1" x14ac:dyDescent="0.6">
      <c r="A327" s="1"/>
      <c r="B327" s="5"/>
      <c r="C327" s="1"/>
      <c r="D327" s="60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.75" customHeight="1" x14ac:dyDescent="0.6">
      <c r="A328" s="1"/>
      <c r="B328" s="5"/>
      <c r="C328" s="1"/>
      <c r="D328" s="60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.75" customHeight="1" x14ac:dyDescent="0.6">
      <c r="A329" s="1"/>
      <c r="B329" s="5"/>
      <c r="C329" s="1"/>
      <c r="D329" s="60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.75" customHeight="1" x14ac:dyDescent="0.6">
      <c r="A330" s="1"/>
      <c r="B330" s="5"/>
      <c r="C330" s="1"/>
      <c r="D330" s="60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.75" customHeight="1" x14ac:dyDescent="0.6">
      <c r="A331" s="1"/>
      <c r="B331" s="5"/>
      <c r="C331" s="1"/>
      <c r="D331" s="60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.75" customHeight="1" x14ac:dyDescent="0.6">
      <c r="A332" s="1"/>
      <c r="B332" s="5"/>
      <c r="C332" s="1"/>
      <c r="D332" s="60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.75" customHeight="1" x14ac:dyDescent="0.6">
      <c r="A333" s="1"/>
      <c r="B333" s="5"/>
      <c r="C333" s="1"/>
      <c r="D333" s="60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.75" customHeight="1" x14ac:dyDescent="0.6">
      <c r="A334" s="1"/>
      <c r="B334" s="5"/>
      <c r="C334" s="1"/>
      <c r="D334" s="60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.75" customHeight="1" x14ac:dyDescent="0.6">
      <c r="A335" s="1"/>
      <c r="B335" s="5"/>
      <c r="C335" s="1"/>
      <c r="D335" s="60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.75" customHeight="1" x14ac:dyDescent="0.6">
      <c r="A336" s="1"/>
      <c r="B336" s="5"/>
      <c r="C336" s="1"/>
      <c r="D336" s="60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.75" customHeight="1" x14ac:dyDescent="0.6">
      <c r="A337" s="1"/>
      <c r="B337" s="5"/>
      <c r="C337" s="1"/>
      <c r="D337" s="60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.75" customHeight="1" x14ac:dyDescent="0.6">
      <c r="A338" s="1"/>
      <c r="B338" s="5"/>
      <c r="C338" s="1"/>
      <c r="D338" s="60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.75" customHeight="1" x14ac:dyDescent="0.6">
      <c r="A339" s="1"/>
      <c r="B339" s="5"/>
      <c r="C339" s="1"/>
      <c r="D339" s="60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.75" customHeight="1" x14ac:dyDescent="0.6">
      <c r="A340" s="1"/>
      <c r="B340" s="5"/>
      <c r="C340" s="1"/>
      <c r="D340" s="60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.75" customHeight="1" x14ac:dyDescent="0.6">
      <c r="A341" s="1"/>
      <c r="B341" s="5"/>
      <c r="C341" s="1"/>
      <c r="D341" s="60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.75" customHeight="1" x14ac:dyDescent="0.6">
      <c r="A342" s="1"/>
      <c r="B342" s="5"/>
      <c r="C342" s="1"/>
      <c r="D342" s="60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.75" customHeight="1" x14ac:dyDescent="0.6">
      <c r="A343" s="1"/>
      <c r="B343" s="5"/>
      <c r="C343" s="1"/>
      <c r="D343" s="60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.75" customHeight="1" x14ac:dyDescent="0.6">
      <c r="A344" s="1"/>
      <c r="B344" s="5"/>
      <c r="C344" s="1"/>
      <c r="D344" s="60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.75" customHeight="1" x14ac:dyDescent="0.6">
      <c r="A345" s="1"/>
      <c r="B345" s="5"/>
      <c r="C345" s="1"/>
      <c r="D345" s="60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.75" customHeight="1" x14ac:dyDescent="0.6">
      <c r="A346" s="1"/>
      <c r="B346" s="5"/>
      <c r="C346" s="1"/>
      <c r="D346" s="60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.75" customHeight="1" x14ac:dyDescent="0.6">
      <c r="A347" s="1"/>
      <c r="B347" s="5"/>
      <c r="C347" s="1"/>
      <c r="D347" s="60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.75" customHeight="1" x14ac:dyDescent="0.6">
      <c r="A348" s="1"/>
      <c r="B348" s="5"/>
      <c r="C348" s="1"/>
      <c r="D348" s="60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.75" customHeight="1" x14ac:dyDescent="0.6">
      <c r="A349" s="1"/>
      <c r="B349" s="5"/>
      <c r="C349" s="1"/>
      <c r="D349" s="60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.75" customHeight="1" x14ac:dyDescent="0.6">
      <c r="A350" s="1"/>
      <c r="B350" s="5"/>
      <c r="C350" s="1"/>
      <c r="D350" s="60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.75" customHeight="1" x14ac:dyDescent="0.6">
      <c r="A351" s="1"/>
      <c r="B351" s="5"/>
      <c r="C351" s="1"/>
      <c r="D351" s="60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.75" customHeight="1" x14ac:dyDescent="0.6">
      <c r="A352" s="1"/>
      <c r="B352" s="5"/>
      <c r="C352" s="1"/>
      <c r="D352" s="60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.75" customHeight="1" x14ac:dyDescent="0.6">
      <c r="A353" s="1"/>
      <c r="B353" s="5"/>
      <c r="C353" s="1"/>
      <c r="D353" s="60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.75" customHeight="1" x14ac:dyDescent="0.6">
      <c r="A354" s="1"/>
      <c r="B354" s="5"/>
      <c r="C354" s="1"/>
      <c r="D354" s="60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.75" customHeight="1" x14ac:dyDescent="0.6">
      <c r="A355" s="1"/>
      <c r="B355" s="5"/>
      <c r="C355" s="1"/>
      <c r="D355" s="60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.75" customHeight="1" x14ac:dyDescent="0.6">
      <c r="A356" s="1"/>
      <c r="B356" s="5"/>
      <c r="C356" s="1"/>
      <c r="D356" s="60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.75" customHeight="1" x14ac:dyDescent="0.6">
      <c r="A357" s="1"/>
      <c r="B357" s="5"/>
      <c r="C357" s="1"/>
      <c r="D357" s="60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.75" customHeight="1" x14ac:dyDescent="0.6">
      <c r="A358" s="1"/>
      <c r="B358" s="5"/>
      <c r="C358" s="1"/>
      <c r="D358" s="60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.75" customHeight="1" x14ac:dyDescent="0.6">
      <c r="A359" s="1"/>
      <c r="B359" s="5"/>
      <c r="C359" s="1"/>
      <c r="D359" s="60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.75" customHeight="1" x14ac:dyDescent="0.6">
      <c r="A360" s="1"/>
      <c r="B360" s="5"/>
      <c r="C360" s="1"/>
      <c r="D360" s="60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.75" customHeight="1" x14ac:dyDescent="0.6">
      <c r="A361" s="1"/>
      <c r="B361" s="5"/>
      <c r="C361" s="1"/>
      <c r="D361" s="60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.75" customHeight="1" x14ac:dyDescent="0.6">
      <c r="A362" s="1"/>
      <c r="B362" s="5"/>
      <c r="C362" s="1"/>
      <c r="D362" s="60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.75" customHeight="1" x14ac:dyDescent="0.6">
      <c r="A363" s="1"/>
      <c r="B363" s="5"/>
      <c r="C363" s="1"/>
      <c r="D363" s="60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.75" customHeight="1" x14ac:dyDescent="0.6">
      <c r="A364" s="1"/>
      <c r="B364" s="5"/>
      <c r="C364" s="1"/>
      <c r="D364" s="60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.75" customHeight="1" x14ac:dyDescent="0.6">
      <c r="A365" s="1"/>
      <c r="B365" s="5"/>
      <c r="C365" s="1"/>
      <c r="D365" s="60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.75" customHeight="1" x14ac:dyDescent="0.6">
      <c r="A366" s="1"/>
      <c r="B366" s="5"/>
      <c r="C366" s="1"/>
      <c r="D366" s="60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.75" customHeight="1" x14ac:dyDescent="0.6">
      <c r="A367" s="1"/>
      <c r="B367" s="5"/>
      <c r="C367" s="1"/>
      <c r="D367" s="60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.75" customHeight="1" x14ac:dyDescent="0.6">
      <c r="A368" s="1"/>
      <c r="B368" s="5"/>
      <c r="C368" s="1"/>
      <c r="D368" s="60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.75" customHeight="1" x14ac:dyDescent="0.6">
      <c r="A369" s="1"/>
      <c r="B369" s="5"/>
      <c r="C369" s="1"/>
      <c r="D369" s="60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.75" customHeight="1" x14ac:dyDescent="0.6">
      <c r="A370" s="1"/>
      <c r="B370" s="5"/>
      <c r="C370" s="1"/>
      <c r="D370" s="60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.75" customHeight="1" x14ac:dyDescent="0.6">
      <c r="A371" s="1"/>
      <c r="B371" s="5"/>
      <c r="C371" s="1"/>
      <c r="D371" s="60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.75" customHeight="1" x14ac:dyDescent="0.6">
      <c r="A372" s="1"/>
      <c r="B372" s="5"/>
      <c r="C372" s="1"/>
      <c r="D372" s="60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.75" customHeight="1" x14ac:dyDescent="0.6">
      <c r="A373" s="1"/>
      <c r="B373" s="5"/>
      <c r="C373" s="1"/>
      <c r="D373" s="60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.75" customHeight="1" x14ac:dyDescent="0.6">
      <c r="A374" s="1"/>
      <c r="B374" s="5"/>
      <c r="C374" s="1"/>
      <c r="D374" s="60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.75" customHeight="1" x14ac:dyDescent="0.6">
      <c r="A375" s="1"/>
      <c r="B375" s="5"/>
      <c r="C375" s="1"/>
      <c r="D375" s="60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.75" customHeight="1" x14ac:dyDescent="0.6">
      <c r="A376" s="1"/>
      <c r="B376" s="5"/>
      <c r="C376" s="1"/>
      <c r="D376" s="60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.75" customHeight="1" x14ac:dyDescent="0.6">
      <c r="A377" s="1"/>
      <c r="B377" s="5"/>
      <c r="C377" s="1"/>
      <c r="D377" s="60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.75" customHeight="1" x14ac:dyDescent="0.6">
      <c r="A378" s="1"/>
      <c r="B378" s="5"/>
      <c r="C378" s="1"/>
      <c r="D378" s="60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.75" customHeight="1" x14ac:dyDescent="0.6">
      <c r="A379" s="1"/>
      <c r="B379" s="5"/>
      <c r="C379" s="1"/>
      <c r="D379" s="60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.75" customHeight="1" x14ac:dyDescent="0.6">
      <c r="A380" s="1"/>
      <c r="B380" s="5"/>
      <c r="C380" s="1"/>
      <c r="D380" s="60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.75" customHeight="1" x14ac:dyDescent="0.6">
      <c r="A381" s="1"/>
      <c r="B381" s="5"/>
      <c r="C381" s="1"/>
      <c r="D381" s="60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.75" customHeight="1" x14ac:dyDescent="0.6">
      <c r="A382" s="1"/>
      <c r="B382" s="5"/>
      <c r="C382" s="1"/>
      <c r="D382" s="60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.75" customHeight="1" x14ac:dyDescent="0.6">
      <c r="A383" s="1"/>
      <c r="B383" s="5"/>
      <c r="C383" s="1"/>
      <c r="D383" s="60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.75" customHeight="1" x14ac:dyDescent="0.6">
      <c r="A384" s="1"/>
      <c r="B384" s="5"/>
      <c r="C384" s="1"/>
      <c r="D384" s="60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.75" customHeight="1" x14ac:dyDescent="0.6">
      <c r="A385" s="1"/>
      <c r="B385" s="5"/>
      <c r="C385" s="1"/>
      <c r="D385" s="60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.75" customHeight="1" x14ac:dyDescent="0.6">
      <c r="A386" s="1"/>
      <c r="B386" s="5"/>
      <c r="C386" s="1"/>
      <c r="D386" s="60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.75" customHeight="1" x14ac:dyDescent="0.6">
      <c r="A387" s="1"/>
      <c r="B387" s="5"/>
      <c r="C387" s="1"/>
      <c r="D387" s="60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.75" customHeight="1" x14ac:dyDescent="0.6">
      <c r="A388" s="1"/>
      <c r="B388" s="5"/>
      <c r="C388" s="1"/>
      <c r="D388" s="60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.75" customHeight="1" x14ac:dyDescent="0.6">
      <c r="A389" s="1"/>
      <c r="B389" s="5"/>
      <c r="C389" s="1"/>
      <c r="D389" s="60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.75" customHeight="1" x14ac:dyDescent="0.6">
      <c r="A390" s="1"/>
      <c r="B390" s="5"/>
      <c r="C390" s="1"/>
      <c r="D390" s="60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.75" customHeight="1" x14ac:dyDescent="0.6">
      <c r="A391" s="1"/>
      <c r="B391" s="5"/>
      <c r="C391" s="1"/>
      <c r="D391" s="60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.75" customHeight="1" x14ac:dyDescent="0.6">
      <c r="A392" s="1"/>
      <c r="B392" s="5"/>
      <c r="C392" s="1"/>
      <c r="D392" s="60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.75" customHeight="1" x14ac:dyDescent="0.6">
      <c r="A393" s="1"/>
      <c r="B393" s="5"/>
      <c r="C393" s="1"/>
      <c r="D393" s="60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.75" customHeight="1" x14ac:dyDescent="0.6">
      <c r="A394" s="1"/>
      <c r="B394" s="5"/>
      <c r="C394" s="1"/>
      <c r="D394" s="60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.75" customHeight="1" x14ac:dyDescent="0.6">
      <c r="A395" s="1"/>
      <c r="B395" s="5"/>
      <c r="C395" s="1"/>
      <c r="D395" s="60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.75" customHeight="1" x14ac:dyDescent="0.6">
      <c r="A396" s="1"/>
      <c r="B396" s="5"/>
      <c r="C396" s="1"/>
      <c r="D396" s="60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.75" customHeight="1" x14ac:dyDescent="0.6">
      <c r="A397" s="1"/>
      <c r="B397" s="5"/>
      <c r="C397" s="1"/>
      <c r="D397" s="60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.75" customHeight="1" x14ac:dyDescent="0.6">
      <c r="A398" s="1"/>
      <c r="B398" s="5"/>
      <c r="C398" s="1"/>
      <c r="D398" s="60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.75" customHeight="1" x14ac:dyDescent="0.6">
      <c r="A399" s="1"/>
      <c r="B399" s="5"/>
      <c r="C399" s="1"/>
      <c r="D399" s="60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.75" customHeight="1" x14ac:dyDescent="0.6">
      <c r="A400" s="1"/>
      <c r="B400" s="5"/>
      <c r="C400" s="1"/>
      <c r="D400" s="60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.75" customHeight="1" x14ac:dyDescent="0.6">
      <c r="A401" s="1"/>
      <c r="B401" s="5"/>
      <c r="C401" s="1"/>
      <c r="D401" s="60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.75" customHeight="1" x14ac:dyDescent="0.6">
      <c r="A402" s="1"/>
      <c r="B402" s="5"/>
      <c r="C402" s="1"/>
      <c r="D402" s="60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.75" customHeight="1" x14ac:dyDescent="0.6">
      <c r="A403" s="1"/>
      <c r="B403" s="5"/>
      <c r="C403" s="1"/>
      <c r="D403" s="60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.75" customHeight="1" x14ac:dyDescent="0.6">
      <c r="A404" s="1"/>
      <c r="B404" s="5"/>
      <c r="C404" s="1"/>
      <c r="D404" s="60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.75" customHeight="1" x14ac:dyDescent="0.6">
      <c r="A405" s="1"/>
      <c r="B405" s="5"/>
      <c r="C405" s="1"/>
      <c r="D405" s="60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.75" customHeight="1" x14ac:dyDescent="0.6">
      <c r="A406" s="1"/>
      <c r="B406" s="5"/>
      <c r="C406" s="1"/>
      <c r="D406" s="60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.75" customHeight="1" x14ac:dyDescent="0.6">
      <c r="A407" s="1"/>
      <c r="B407" s="5"/>
      <c r="C407" s="1"/>
      <c r="D407" s="60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.75" customHeight="1" x14ac:dyDescent="0.6">
      <c r="A408" s="1"/>
      <c r="B408" s="5"/>
      <c r="C408" s="1"/>
      <c r="D408" s="60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.75" customHeight="1" x14ac:dyDescent="0.6">
      <c r="A409" s="1"/>
      <c r="B409" s="5"/>
      <c r="C409" s="1"/>
      <c r="D409" s="60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.75" customHeight="1" x14ac:dyDescent="0.6">
      <c r="A410" s="1"/>
      <c r="B410" s="5"/>
      <c r="C410" s="1"/>
      <c r="D410" s="60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.75" customHeight="1" x14ac:dyDescent="0.6">
      <c r="A411" s="1"/>
      <c r="B411" s="5"/>
      <c r="C411" s="1"/>
      <c r="D411" s="60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.75" customHeight="1" x14ac:dyDescent="0.6">
      <c r="A412" s="1"/>
      <c r="B412" s="5"/>
      <c r="C412" s="1"/>
      <c r="D412" s="60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.75" customHeight="1" x14ac:dyDescent="0.6">
      <c r="A413" s="1"/>
      <c r="B413" s="5"/>
      <c r="C413" s="1"/>
      <c r="D413" s="60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.75" customHeight="1" x14ac:dyDescent="0.6">
      <c r="A414" s="1"/>
      <c r="B414" s="5"/>
      <c r="C414" s="1"/>
      <c r="D414" s="60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.75" customHeight="1" x14ac:dyDescent="0.6">
      <c r="A415" s="1"/>
      <c r="B415" s="5"/>
      <c r="C415" s="1"/>
      <c r="D415" s="60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.75" customHeight="1" x14ac:dyDescent="0.6">
      <c r="A416" s="1"/>
      <c r="B416" s="5"/>
      <c r="C416" s="1"/>
      <c r="D416" s="60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.75" customHeight="1" x14ac:dyDescent="0.6">
      <c r="A417" s="1"/>
      <c r="B417" s="5"/>
      <c r="C417" s="1"/>
      <c r="D417" s="60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.75" customHeight="1" x14ac:dyDescent="0.6">
      <c r="A418" s="1"/>
      <c r="B418" s="5"/>
      <c r="C418" s="1"/>
      <c r="D418" s="60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.75" customHeight="1" x14ac:dyDescent="0.6">
      <c r="A419" s="1"/>
      <c r="B419" s="5"/>
      <c r="C419" s="1"/>
      <c r="D419" s="60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.75" customHeight="1" x14ac:dyDescent="0.6">
      <c r="A420" s="1"/>
      <c r="B420" s="5"/>
      <c r="C420" s="1"/>
      <c r="D420" s="60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.75" customHeight="1" x14ac:dyDescent="0.6">
      <c r="A421" s="1"/>
      <c r="B421" s="5"/>
      <c r="C421" s="1"/>
      <c r="D421" s="60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.75" customHeight="1" x14ac:dyDescent="0.6">
      <c r="A422" s="1"/>
      <c r="B422" s="5"/>
      <c r="C422" s="1"/>
      <c r="D422" s="60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.75" customHeight="1" x14ac:dyDescent="0.6">
      <c r="A423" s="1"/>
      <c r="B423" s="5"/>
      <c r="C423" s="1"/>
      <c r="D423" s="60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.75" customHeight="1" x14ac:dyDescent="0.6">
      <c r="A424" s="1"/>
      <c r="B424" s="5"/>
      <c r="C424" s="1"/>
      <c r="D424" s="60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.75" customHeight="1" x14ac:dyDescent="0.6">
      <c r="A425" s="1"/>
      <c r="B425" s="5"/>
      <c r="C425" s="1"/>
      <c r="D425" s="60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.75" customHeight="1" x14ac:dyDescent="0.6">
      <c r="A426" s="1"/>
      <c r="B426" s="5"/>
      <c r="C426" s="1"/>
      <c r="D426" s="60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.75" customHeight="1" x14ac:dyDescent="0.6">
      <c r="A427" s="1"/>
      <c r="B427" s="5"/>
      <c r="C427" s="1"/>
      <c r="D427" s="60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.75" customHeight="1" x14ac:dyDescent="0.6">
      <c r="A428" s="1"/>
      <c r="B428" s="5"/>
      <c r="C428" s="1"/>
      <c r="D428" s="60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.75" customHeight="1" x14ac:dyDescent="0.6">
      <c r="A429" s="1"/>
      <c r="B429" s="5"/>
      <c r="C429" s="1"/>
      <c r="D429" s="60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.75" customHeight="1" x14ac:dyDescent="0.6">
      <c r="A430" s="1"/>
      <c r="B430" s="5"/>
      <c r="C430" s="1"/>
      <c r="D430" s="60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.75" customHeight="1" x14ac:dyDescent="0.6">
      <c r="A431" s="1"/>
      <c r="B431" s="5"/>
      <c r="C431" s="1"/>
      <c r="D431" s="60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.75" customHeight="1" x14ac:dyDescent="0.6">
      <c r="A432" s="1"/>
      <c r="B432" s="5"/>
      <c r="C432" s="1"/>
      <c r="D432" s="60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.75" customHeight="1" x14ac:dyDescent="0.6">
      <c r="A433" s="1"/>
      <c r="B433" s="5"/>
      <c r="C433" s="1"/>
      <c r="D433" s="60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.75" customHeight="1" x14ac:dyDescent="0.6">
      <c r="A434" s="1"/>
      <c r="B434" s="5"/>
      <c r="C434" s="1"/>
      <c r="D434" s="60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.75" customHeight="1" x14ac:dyDescent="0.6">
      <c r="A435" s="1"/>
      <c r="B435" s="5"/>
      <c r="C435" s="1"/>
      <c r="D435" s="60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.75" customHeight="1" x14ac:dyDescent="0.6">
      <c r="A436" s="1"/>
      <c r="B436" s="5"/>
      <c r="C436" s="1"/>
      <c r="D436" s="60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.75" customHeight="1" x14ac:dyDescent="0.6">
      <c r="A437" s="1"/>
      <c r="B437" s="5"/>
      <c r="C437" s="1"/>
      <c r="D437" s="60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.75" customHeight="1" x14ac:dyDescent="0.6">
      <c r="A438" s="1"/>
      <c r="B438" s="5"/>
      <c r="C438" s="1"/>
      <c r="D438" s="60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.75" customHeight="1" x14ac:dyDescent="0.6">
      <c r="A439" s="1"/>
      <c r="B439" s="5"/>
      <c r="C439" s="1"/>
      <c r="D439" s="60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.75" customHeight="1" x14ac:dyDescent="0.6">
      <c r="A440" s="1"/>
      <c r="B440" s="5"/>
      <c r="C440" s="1"/>
      <c r="D440" s="60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.75" customHeight="1" x14ac:dyDescent="0.6">
      <c r="A441" s="1"/>
      <c r="B441" s="5"/>
      <c r="C441" s="1"/>
      <c r="D441" s="60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.75" customHeight="1" x14ac:dyDescent="0.6">
      <c r="A442" s="1"/>
      <c r="B442" s="5"/>
      <c r="C442" s="1"/>
      <c r="D442" s="60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.75" customHeight="1" x14ac:dyDescent="0.6">
      <c r="A443" s="1"/>
      <c r="B443" s="5"/>
      <c r="C443" s="1"/>
      <c r="D443" s="60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.75" customHeight="1" x14ac:dyDescent="0.6">
      <c r="A444" s="1"/>
      <c r="B444" s="5"/>
      <c r="C444" s="1"/>
      <c r="D444" s="60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.75" customHeight="1" x14ac:dyDescent="0.6">
      <c r="A445" s="1"/>
      <c r="B445" s="5"/>
      <c r="C445" s="1"/>
      <c r="D445" s="60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.75" customHeight="1" x14ac:dyDescent="0.6">
      <c r="A446" s="1"/>
      <c r="B446" s="5"/>
      <c r="C446" s="1"/>
      <c r="D446" s="60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.75" customHeight="1" x14ac:dyDescent="0.6">
      <c r="A447" s="1"/>
      <c r="B447" s="5"/>
      <c r="C447" s="1"/>
      <c r="D447" s="60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.75" customHeight="1" x14ac:dyDescent="0.6">
      <c r="A448" s="1"/>
      <c r="B448" s="5"/>
      <c r="C448" s="1"/>
      <c r="D448" s="60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.75" customHeight="1" x14ac:dyDescent="0.6">
      <c r="A449" s="1"/>
      <c r="B449" s="5"/>
      <c r="C449" s="1"/>
      <c r="D449" s="60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.75" customHeight="1" x14ac:dyDescent="0.6">
      <c r="A450" s="1"/>
      <c r="B450" s="5"/>
      <c r="C450" s="1"/>
      <c r="D450" s="60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.75" customHeight="1" x14ac:dyDescent="0.6">
      <c r="A451" s="1"/>
      <c r="B451" s="5"/>
      <c r="C451" s="1"/>
      <c r="D451" s="60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.75" customHeight="1" x14ac:dyDescent="0.6">
      <c r="A452" s="1"/>
      <c r="B452" s="5"/>
      <c r="C452" s="1"/>
      <c r="D452" s="60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.75" customHeight="1" x14ac:dyDescent="0.6">
      <c r="A453" s="1"/>
      <c r="B453" s="5"/>
      <c r="C453" s="1"/>
      <c r="D453" s="60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.75" customHeight="1" x14ac:dyDescent="0.6">
      <c r="A454" s="1"/>
      <c r="B454" s="5"/>
      <c r="C454" s="1"/>
      <c r="D454" s="60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.75" customHeight="1" x14ac:dyDescent="0.6">
      <c r="A455" s="1"/>
      <c r="B455" s="5"/>
      <c r="C455" s="1"/>
      <c r="D455" s="60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.75" customHeight="1" x14ac:dyDescent="0.6">
      <c r="A456" s="1"/>
      <c r="B456" s="5"/>
      <c r="C456" s="1"/>
      <c r="D456" s="60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.75" customHeight="1" x14ac:dyDescent="0.6">
      <c r="A457" s="1"/>
      <c r="B457" s="5"/>
      <c r="C457" s="1"/>
      <c r="D457" s="60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.75" customHeight="1" x14ac:dyDescent="0.6">
      <c r="A458" s="1"/>
      <c r="B458" s="5"/>
      <c r="C458" s="1"/>
      <c r="D458" s="60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.75" customHeight="1" x14ac:dyDescent="0.6">
      <c r="A459" s="1"/>
      <c r="B459" s="5"/>
      <c r="C459" s="1"/>
      <c r="D459" s="60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.75" customHeight="1" x14ac:dyDescent="0.6">
      <c r="A460" s="1"/>
      <c r="B460" s="5"/>
      <c r="C460" s="1"/>
      <c r="D460" s="60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.75" customHeight="1" x14ac:dyDescent="0.6">
      <c r="A461" s="1"/>
      <c r="B461" s="5"/>
      <c r="C461" s="1"/>
      <c r="D461" s="60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.75" customHeight="1" x14ac:dyDescent="0.6">
      <c r="A462" s="1"/>
      <c r="B462" s="5"/>
      <c r="C462" s="1"/>
      <c r="D462" s="60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.75" customHeight="1" x14ac:dyDescent="0.6">
      <c r="A463" s="1"/>
      <c r="B463" s="5"/>
      <c r="C463" s="1"/>
      <c r="D463" s="60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.75" customHeight="1" x14ac:dyDescent="0.6">
      <c r="A464" s="1"/>
      <c r="B464" s="5"/>
      <c r="C464" s="1"/>
      <c r="D464" s="60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.75" customHeight="1" x14ac:dyDescent="0.6">
      <c r="A465" s="1"/>
      <c r="B465" s="5"/>
      <c r="C465" s="1"/>
      <c r="D465" s="60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.75" customHeight="1" x14ac:dyDescent="0.6">
      <c r="A466" s="1"/>
      <c r="B466" s="5"/>
      <c r="C466" s="1"/>
      <c r="D466" s="60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.75" customHeight="1" x14ac:dyDescent="0.6">
      <c r="A467" s="1"/>
      <c r="B467" s="5"/>
      <c r="C467" s="1"/>
      <c r="D467" s="60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.75" customHeight="1" x14ac:dyDescent="0.6">
      <c r="A468" s="1"/>
      <c r="B468" s="5"/>
      <c r="C468" s="1"/>
      <c r="D468" s="60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.75" customHeight="1" x14ac:dyDescent="0.6">
      <c r="A469" s="1"/>
      <c r="B469" s="5"/>
      <c r="C469" s="1"/>
      <c r="D469" s="60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.75" customHeight="1" x14ac:dyDescent="0.6">
      <c r="A470" s="1"/>
      <c r="B470" s="5"/>
      <c r="C470" s="1"/>
      <c r="D470" s="60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.75" customHeight="1" x14ac:dyDescent="0.6">
      <c r="A471" s="1"/>
      <c r="B471" s="5"/>
      <c r="C471" s="1"/>
      <c r="D471" s="60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.75" customHeight="1" x14ac:dyDescent="0.6">
      <c r="A472" s="1"/>
      <c r="B472" s="5"/>
      <c r="C472" s="1"/>
      <c r="D472" s="60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.75" customHeight="1" x14ac:dyDescent="0.6">
      <c r="A473" s="1"/>
      <c r="B473" s="5"/>
      <c r="C473" s="1"/>
      <c r="D473" s="60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.75" customHeight="1" x14ac:dyDescent="0.6">
      <c r="A474" s="1"/>
      <c r="B474" s="5"/>
      <c r="C474" s="1"/>
      <c r="D474" s="60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.75" customHeight="1" x14ac:dyDescent="0.6">
      <c r="A475" s="1"/>
      <c r="B475" s="5"/>
      <c r="C475" s="1"/>
      <c r="D475" s="60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.75" customHeight="1" x14ac:dyDescent="0.6">
      <c r="A476" s="1"/>
      <c r="B476" s="5"/>
      <c r="C476" s="1"/>
      <c r="D476" s="60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.75" customHeight="1" x14ac:dyDescent="0.6">
      <c r="A477" s="1"/>
      <c r="B477" s="5"/>
      <c r="C477" s="1"/>
      <c r="D477" s="60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.75" customHeight="1" x14ac:dyDescent="0.6">
      <c r="A478" s="1"/>
      <c r="B478" s="5"/>
      <c r="C478" s="1"/>
      <c r="D478" s="60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.75" customHeight="1" x14ac:dyDescent="0.6">
      <c r="A479" s="1"/>
      <c r="B479" s="5"/>
      <c r="C479" s="1"/>
      <c r="D479" s="60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.75" customHeight="1" x14ac:dyDescent="0.6">
      <c r="A480" s="1"/>
      <c r="B480" s="5"/>
      <c r="C480" s="1"/>
      <c r="D480" s="60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.75" customHeight="1" x14ac:dyDescent="0.6">
      <c r="A481" s="1"/>
      <c r="B481" s="5"/>
      <c r="C481" s="1"/>
      <c r="D481" s="60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.75" customHeight="1" x14ac:dyDescent="0.6">
      <c r="A482" s="1"/>
      <c r="B482" s="5"/>
      <c r="C482" s="1"/>
      <c r="D482" s="60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.75" customHeight="1" x14ac:dyDescent="0.6">
      <c r="A483" s="1"/>
      <c r="B483" s="5"/>
      <c r="C483" s="1"/>
      <c r="D483" s="60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.75" customHeight="1" x14ac:dyDescent="0.6">
      <c r="A484" s="1"/>
      <c r="B484" s="5"/>
      <c r="C484" s="1"/>
      <c r="D484" s="60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.75" customHeight="1" x14ac:dyDescent="0.6">
      <c r="A485" s="1"/>
      <c r="B485" s="5"/>
      <c r="C485" s="1"/>
      <c r="D485" s="60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.75" customHeight="1" x14ac:dyDescent="0.6">
      <c r="A486" s="1"/>
      <c r="B486" s="5"/>
      <c r="C486" s="1"/>
      <c r="D486" s="60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.75" customHeight="1" x14ac:dyDescent="0.6">
      <c r="A487" s="1"/>
      <c r="B487" s="5"/>
      <c r="C487" s="1"/>
      <c r="D487" s="60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.75" customHeight="1" x14ac:dyDescent="0.6">
      <c r="A488" s="1"/>
      <c r="B488" s="5"/>
      <c r="C488" s="1"/>
      <c r="D488" s="60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.75" customHeight="1" x14ac:dyDescent="0.6">
      <c r="A489" s="1"/>
      <c r="B489" s="5"/>
      <c r="C489" s="1"/>
      <c r="D489" s="60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.75" customHeight="1" x14ac:dyDescent="0.6">
      <c r="A490" s="1"/>
      <c r="B490" s="5"/>
      <c r="C490" s="1"/>
      <c r="D490" s="60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.75" customHeight="1" x14ac:dyDescent="0.6">
      <c r="A491" s="1"/>
      <c r="B491" s="5"/>
      <c r="C491" s="1"/>
      <c r="D491" s="60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.75" customHeight="1" x14ac:dyDescent="0.6">
      <c r="A492" s="1"/>
      <c r="B492" s="5"/>
      <c r="C492" s="1"/>
      <c r="D492" s="60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.75" customHeight="1" x14ac:dyDescent="0.6">
      <c r="A493" s="1"/>
      <c r="B493" s="5"/>
      <c r="C493" s="1"/>
      <c r="D493" s="60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.75" customHeight="1" x14ac:dyDescent="0.6">
      <c r="A494" s="1"/>
      <c r="B494" s="5"/>
      <c r="C494" s="1"/>
      <c r="D494" s="60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.75" customHeight="1" x14ac:dyDescent="0.6">
      <c r="A495" s="1"/>
      <c r="B495" s="5"/>
      <c r="C495" s="1"/>
      <c r="D495" s="60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.75" customHeight="1" x14ac:dyDescent="0.6">
      <c r="A496" s="1"/>
      <c r="B496" s="5"/>
      <c r="C496" s="1"/>
      <c r="D496" s="60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.75" customHeight="1" x14ac:dyDescent="0.6">
      <c r="A497" s="1"/>
      <c r="B497" s="5"/>
      <c r="C497" s="1"/>
      <c r="D497" s="60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.75" customHeight="1" x14ac:dyDescent="0.6">
      <c r="A498" s="1"/>
      <c r="B498" s="5"/>
      <c r="C498" s="1"/>
      <c r="D498" s="60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.75" customHeight="1" x14ac:dyDescent="0.6">
      <c r="A499" s="1"/>
      <c r="B499" s="5"/>
      <c r="C499" s="1"/>
      <c r="D499" s="60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.75" customHeight="1" x14ac:dyDescent="0.6">
      <c r="A500" s="1"/>
      <c r="B500" s="5"/>
      <c r="C500" s="1"/>
      <c r="D500" s="60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.75" customHeight="1" x14ac:dyDescent="0.6">
      <c r="A501" s="1"/>
      <c r="B501" s="5"/>
      <c r="C501" s="1"/>
      <c r="D501" s="60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.75" customHeight="1" x14ac:dyDescent="0.6">
      <c r="A502" s="1"/>
      <c r="B502" s="5"/>
      <c r="C502" s="1"/>
      <c r="D502" s="60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.75" customHeight="1" x14ac:dyDescent="0.6">
      <c r="A503" s="1"/>
      <c r="B503" s="5"/>
      <c r="C503" s="1"/>
      <c r="D503" s="60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.75" customHeight="1" x14ac:dyDescent="0.6">
      <c r="A504" s="1"/>
      <c r="B504" s="5"/>
      <c r="C504" s="1"/>
      <c r="D504" s="60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.75" customHeight="1" x14ac:dyDescent="0.6">
      <c r="A505" s="1"/>
      <c r="B505" s="5"/>
      <c r="C505" s="1"/>
      <c r="D505" s="60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.75" customHeight="1" x14ac:dyDescent="0.6">
      <c r="A506" s="1"/>
      <c r="B506" s="5"/>
      <c r="C506" s="1"/>
      <c r="D506" s="60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.75" customHeight="1" x14ac:dyDescent="0.6">
      <c r="A507" s="1"/>
      <c r="B507" s="5"/>
      <c r="C507" s="1"/>
      <c r="D507" s="60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.75" customHeight="1" x14ac:dyDescent="0.6">
      <c r="A508" s="1"/>
      <c r="B508" s="5"/>
      <c r="C508" s="1"/>
      <c r="D508" s="60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.75" customHeight="1" x14ac:dyDescent="0.6">
      <c r="A509" s="1"/>
      <c r="B509" s="5"/>
      <c r="C509" s="1"/>
      <c r="D509" s="60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.75" customHeight="1" x14ac:dyDescent="0.6">
      <c r="A510" s="1"/>
      <c r="B510" s="5"/>
      <c r="C510" s="1"/>
      <c r="D510" s="60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.75" customHeight="1" x14ac:dyDescent="0.6">
      <c r="A511" s="1"/>
      <c r="B511" s="5"/>
      <c r="C511" s="1"/>
      <c r="D511" s="60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.75" customHeight="1" x14ac:dyDescent="0.6">
      <c r="A512" s="1"/>
      <c r="B512" s="5"/>
      <c r="C512" s="1"/>
      <c r="D512" s="60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.75" customHeight="1" x14ac:dyDescent="0.6">
      <c r="A513" s="1"/>
      <c r="B513" s="5"/>
      <c r="C513" s="1"/>
      <c r="D513" s="60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.75" customHeight="1" x14ac:dyDescent="0.6">
      <c r="A514" s="1"/>
      <c r="B514" s="5"/>
      <c r="C514" s="1"/>
      <c r="D514" s="60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.75" customHeight="1" x14ac:dyDescent="0.6">
      <c r="A515" s="1"/>
      <c r="B515" s="5"/>
      <c r="C515" s="1"/>
      <c r="D515" s="60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.75" customHeight="1" x14ac:dyDescent="0.6">
      <c r="A516" s="1"/>
      <c r="B516" s="5"/>
      <c r="C516" s="1"/>
      <c r="D516" s="60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.75" customHeight="1" x14ac:dyDescent="0.6">
      <c r="A517" s="1"/>
      <c r="B517" s="5"/>
      <c r="C517" s="1"/>
      <c r="D517" s="60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.75" customHeight="1" x14ac:dyDescent="0.6">
      <c r="A518" s="1"/>
      <c r="B518" s="5"/>
      <c r="C518" s="1"/>
      <c r="D518" s="60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.75" customHeight="1" x14ac:dyDescent="0.6">
      <c r="A519" s="1"/>
      <c r="B519" s="5"/>
      <c r="C519" s="1"/>
      <c r="D519" s="60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.75" customHeight="1" x14ac:dyDescent="0.6">
      <c r="A520" s="1"/>
      <c r="B520" s="5"/>
      <c r="C520" s="1"/>
      <c r="D520" s="60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.75" customHeight="1" x14ac:dyDescent="0.6">
      <c r="A521" s="1"/>
      <c r="B521" s="5"/>
      <c r="C521" s="1"/>
      <c r="D521" s="60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.75" customHeight="1" x14ac:dyDescent="0.6">
      <c r="A522" s="1"/>
      <c r="B522" s="5"/>
      <c r="C522" s="1"/>
      <c r="D522" s="60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.75" customHeight="1" x14ac:dyDescent="0.6">
      <c r="A523" s="1"/>
      <c r="B523" s="5"/>
      <c r="C523" s="1"/>
      <c r="D523" s="60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.75" customHeight="1" x14ac:dyDescent="0.6">
      <c r="A524" s="1"/>
      <c r="B524" s="5"/>
      <c r="C524" s="1"/>
      <c r="D524" s="60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.75" customHeight="1" x14ac:dyDescent="0.6">
      <c r="A525" s="1"/>
      <c r="B525" s="5"/>
      <c r="C525" s="1"/>
      <c r="D525" s="60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.75" customHeight="1" x14ac:dyDescent="0.6">
      <c r="A526" s="1"/>
      <c r="B526" s="5"/>
      <c r="C526" s="1"/>
      <c r="D526" s="60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.75" customHeight="1" x14ac:dyDescent="0.6">
      <c r="A527" s="1"/>
      <c r="B527" s="5"/>
      <c r="C527" s="1"/>
      <c r="D527" s="60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.75" customHeight="1" x14ac:dyDescent="0.6">
      <c r="A528" s="1"/>
      <c r="B528" s="5"/>
      <c r="C528" s="1"/>
      <c r="D528" s="60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.75" customHeight="1" x14ac:dyDescent="0.6">
      <c r="A529" s="1"/>
      <c r="B529" s="5"/>
      <c r="C529" s="1"/>
      <c r="D529" s="60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.75" customHeight="1" x14ac:dyDescent="0.6">
      <c r="A530" s="1"/>
      <c r="B530" s="5"/>
      <c r="C530" s="1"/>
      <c r="D530" s="60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.75" customHeight="1" x14ac:dyDescent="0.6">
      <c r="A531" s="1"/>
      <c r="B531" s="5"/>
      <c r="C531" s="1"/>
      <c r="D531" s="60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.75" customHeight="1" x14ac:dyDescent="0.6">
      <c r="A532" s="1"/>
      <c r="B532" s="5"/>
      <c r="C532" s="1"/>
      <c r="D532" s="60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.75" customHeight="1" x14ac:dyDescent="0.6">
      <c r="A533" s="1"/>
      <c r="B533" s="5"/>
      <c r="C533" s="1"/>
      <c r="D533" s="60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.75" customHeight="1" x14ac:dyDescent="0.6">
      <c r="A534" s="1"/>
      <c r="B534" s="5"/>
      <c r="C534" s="1"/>
      <c r="D534" s="60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.75" customHeight="1" x14ac:dyDescent="0.6">
      <c r="A535" s="1"/>
      <c r="B535" s="5"/>
      <c r="C535" s="1"/>
      <c r="D535" s="60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.75" customHeight="1" x14ac:dyDescent="0.6">
      <c r="A536" s="1"/>
      <c r="B536" s="5"/>
      <c r="C536" s="1"/>
      <c r="D536" s="60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.75" customHeight="1" x14ac:dyDescent="0.6">
      <c r="A537" s="1"/>
      <c r="B537" s="5"/>
      <c r="C537" s="1"/>
      <c r="D537" s="60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.75" customHeight="1" x14ac:dyDescent="0.6">
      <c r="A538" s="1"/>
      <c r="B538" s="5"/>
      <c r="C538" s="1"/>
      <c r="D538" s="60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.75" customHeight="1" x14ac:dyDescent="0.6">
      <c r="A539" s="1"/>
      <c r="B539" s="5"/>
      <c r="C539" s="1"/>
      <c r="D539" s="60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.75" customHeight="1" x14ac:dyDescent="0.6">
      <c r="A540" s="1"/>
      <c r="B540" s="5"/>
      <c r="C540" s="1"/>
      <c r="D540" s="60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.75" customHeight="1" x14ac:dyDescent="0.6">
      <c r="A541" s="1"/>
      <c r="B541" s="5"/>
      <c r="C541" s="1"/>
      <c r="D541" s="60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.75" customHeight="1" x14ac:dyDescent="0.6">
      <c r="A542" s="1"/>
      <c r="B542" s="5"/>
      <c r="C542" s="1"/>
      <c r="D542" s="60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.75" customHeight="1" x14ac:dyDescent="0.6">
      <c r="A543" s="1"/>
      <c r="B543" s="5"/>
      <c r="C543" s="1"/>
      <c r="D543" s="60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.75" customHeight="1" x14ac:dyDescent="0.6">
      <c r="A544" s="1"/>
      <c r="B544" s="5"/>
      <c r="C544" s="1"/>
      <c r="D544" s="60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.75" customHeight="1" x14ac:dyDescent="0.6">
      <c r="A545" s="1"/>
      <c r="B545" s="5"/>
      <c r="C545" s="1"/>
      <c r="D545" s="60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.75" customHeight="1" x14ac:dyDescent="0.6">
      <c r="A546" s="1"/>
      <c r="B546" s="5"/>
      <c r="C546" s="1"/>
      <c r="D546" s="60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.75" customHeight="1" x14ac:dyDescent="0.6">
      <c r="A547" s="1"/>
      <c r="B547" s="5"/>
      <c r="C547" s="1"/>
      <c r="D547" s="60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.75" customHeight="1" x14ac:dyDescent="0.6">
      <c r="A548" s="1"/>
      <c r="B548" s="5"/>
      <c r="C548" s="1"/>
      <c r="D548" s="60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.75" customHeight="1" x14ac:dyDescent="0.6">
      <c r="A549" s="1"/>
      <c r="B549" s="5"/>
      <c r="C549" s="1"/>
      <c r="D549" s="60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.75" customHeight="1" x14ac:dyDescent="0.6">
      <c r="A550" s="1"/>
      <c r="B550" s="5"/>
      <c r="C550" s="1"/>
      <c r="D550" s="60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.75" customHeight="1" x14ac:dyDescent="0.6">
      <c r="A551" s="1"/>
      <c r="B551" s="5"/>
      <c r="C551" s="1"/>
      <c r="D551" s="60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.75" customHeight="1" x14ac:dyDescent="0.6">
      <c r="A552" s="1"/>
      <c r="B552" s="5"/>
      <c r="C552" s="1"/>
      <c r="D552" s="60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.75" customHeight="1" x14ac:dyDescent="0.6">
      <c r="A553" s="1"/>
      <c r="B553" s="5"/>
      <c r="C553" s="1"/>
      <c r="D553" s="60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.75" customHeight="1" x14ac:dyDescent="0.6">
      <c r="A554" s="1"/>
      <c r="B554" s="5"/>
      <c r="C554" s="1"/>
      <c r="D554" s="60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.75" customHeight="1" x14ac:dyDescent="0.6">
      <c r="A555" s="1"/>
      <c r="B555" s="5"/>
      <c r="C555" s="1"/>
      <c r="D555" s="60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.75" customHeight="1" x14ac:dyDescent="0.6">
      <c r="A556" s="1"/>
      <c r="B556" s="5"/>
      <c r="C556" s="1"/>
      <c r="D556" s="60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.75" customHeight="1" x14ac:dyDescent="0.6">
      <c r="A557" s="1"/>
      <c r="B557" s="5"/>
      <c r="C557" s="1"/>
      <c r="D557" s="60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.75" customHeight="1" x14ac:dyDescent="0.6">
      <c r="A558" s="1"/>
      <c r="B558" s="5"/>
      <c r="C558" s="1"/>
      <c r="D558" s="60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.75" customHeight="1" x14ac:dyDescent="0.6">
      <c r="A559" s="1"/>
      <c r="B559" s="5"/>
      <c r="C559" s="1"/>
      <c r="D559" s="60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.75" customHeight="1" x14ac:dyDescent="0.6">
      <c r="A560" s="1"/>
      <c r="B560" s="5"/>
      <c r="C560" s="1"/>
      <c r="D560" s="60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.75" customHeight="1" x14ac:dyDescent="0.6">
      <c r="A561" s="1"/>
      <c r="B561" s="5"/>
      <c r="C561" s="1"/>
      <c r="D561" s="60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.75" customHeight="1" x14ac:dyDescent="0.6">
      <c r="A562" s="1"/>
      <c r="B562" s="5"/>
      <c r="C562" s="1"/>
      <c r="D562" s="60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.75" customHeight="1" x14ac:dyDescent="0.6">
      <c r="A563" s="1"/>
      <c r="B563" s="5"/>
      <c r="C563" s="1"/>
      <c r="D563" s="60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.75" customHeight="1" x14ac:dyDescent="0.6">
      <c r="A564" s="1"/>
      <c r="B564" s="5"/>
      <c r="C564" s="1"/>
      <c r="D564" s="60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.75" customHeight="1" x14ac:dyDescent="0.6">
      <c r="A565" s="1"/>
      <c r="B565" s="5"/>
      <c r="C565" s="1"/>
      <c r="D565" s="60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.75" customHeight="1" x14ac:dyDescent="0.6">
      <c r="A566" s="1"/>
      <c r="B566" s="5"/>
      <c r="C566" s="1"/>
      <c r="D566" s="60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.75" customHeight="1" x14ac:dyDescent="0.6">
      <c r="A567" s="1"/>
      <c r="B567" s="5"/>
      <c r="C567" s="1"/>
      <c r="D567" s="60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.75" customHeight="1" x14ac:dyDescent="0.6">
      <c r="A568" s="1"/>
      <c r="B568" s="5"/>
      <c r="C568" s="1"/>
      <c r="D568" s="60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.75" customHeight="1" x14ac:dyDescent="0.6">
      <c r="A569" s="1"/>
      <c r="B569" s="5"/>
      <c r="C569" s="1"/>
      <c r="D569" s="60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.75" customHeight="1" x14ac:dyDescent="0.6">
      <c r="A570" s="1"/>
      <c r="B570" s="5"/>
      <c r="C570" s="1"/>
      <c r="D570" s="60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.75" customHeight="1" x14ac:dyDescent="0.6">
      <c r="A571" s="1"/>
      <c r="B571" s="5"/>
      <c r="C571" s="1"/>
      <c r="D571" s="60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.75" customHeight="1" x14ac:dyDescent="0.6">
      <c r="A572" s="1"/>
      <c r="B572" s="5"/>
      <c r="C572" s="1"/>
      <c r="D572" s="60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.75" customHeight="1" x14ac:dyDescent="0.6">
      <c r="A573" s="1"/>
      <c r="B573" s="5"/>
      <c r="C573" s="1"/>
      <c r="D573" s="60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.75" customHeight="1" x14ac:dyDescent="0.6">
      <c r="A574" s="1"/>
      <c r="B574" s="5"/>
      <c r="C574" s="1"/>
      <c r="D574" s="60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.75" customHeight="1" x14ac:dyDescent="0.6">
      <c r="A575" s="1"/>
      <c r="B575" s="5"/>
      <c r="C575" s="1"/>
      <c r="D575" s="60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.75" customHeight="1" x14ac:dyDescent="0.6">
      <c r="A576" s="1"/>
      <c r="B576" s="5"/>
      <c r="C576" s="1"/>
      <c r="D576" s="60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.75" customHeight="1" x14ac:dyDescent="0.6">
      <c r="A577" s="1"/>
      <c r="B577" s="5"/>
      <c r="C577" s="1"/>
      <c r="D577" s="60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.75" customHeight="1" x14ac:dyDescent="0.6">
      <c r="A578" s="1"/>
      <c r="B578" s="5"/>
      <c r="C578" s="1"/>
      <c r="D578" s="60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.75" customHeight="1" x14ac:dyDescent="0.6">
      <c r="A579" s="1"/>
      <c r="B579" s="5"/>
      <c r="C579" s="1"/>
      <c r="D579" s="60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.75" customHeight="1" x14ac:dyDescent="0.6">
      <c r="A580" s="1"/>
      <c r="B580" s="5"/>
      <c r="C580" s="1"/>
      <c r="D580" s="60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.75" customHeight="1" x14ac:dyDescent="0.6">
      <c r="A581" s="1"/>
      <c r="B581" s="5"/>
      <c r="C581" s="1"/>
      <c r="D581" s="60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.75" customHeight="1" x14ac:dyDescent="0.6">
      <c r="A582" s="1"/>
      <c r="B582" s="5"/>
      <c r="C582" s="1"/>
      <c r="D582" s="60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.75" customHeight="1" x14ac:dyDescent="0.6">
      <c r="A583" s="1"/>
      <c r="B583" s="5"/>
      <c r="C583" s="1"/>
      <c r="D583" s="60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.75" customHeight="1" x14ac:dyDescent="0.6">
      <c r="A584" s="1"/>
      <c r="B584" s="5"/>
      <c r="C584" s="1"/>
      <c r="D584" s="60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.75" customHeight="1" x14ac:dyDescent="0.6">
      <c r="A585" s="1"/>
      <c r="B585" s="5"/>
      <c r="C585" s="1"/>
      <c r="D585" s="60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.75" customHeight="1" x14ac:dyDescent="0.6">
      <c r="A586" s="1"/>
      <c r="B586" s="5"/>
      <c r="C586" s="1"/>
      <c r="D586" s="60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.75" customHeight="1" x14ac:dyDescent="0.6">
      <c r="A587" s="1"/>
      <c r="B587" s="5"/>
      <c r="C587" s="1"/>
      <c r="D587" s="60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.75" customHeight="1" x14ac:dyDescent="0.6">
      <c r="A588" s="1"/>
      <c r="B588" s="5"/>
      <c r="C588" s="1"/>
      <c r="D588" s="60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.75" customHeight="1" x14ac:dyDescent="0.6">
      <c r="A589" s="1"/>
      <c r="B589" s="5"/>
      <c r="C589" s="1"/>
      <c r="D589" s="60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.75" customHeight="1" x14ac:dyDescent="0.6">
      <c r="A590" s="1"/>
      <c r="B590" s="5"/>
      <c r="C590" s="1"/>
      <c r="D590" s="60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.75" customHeight="1" x14ac:dyDescent="0.6">
      <c r="A591" s="1"/>
      <c r="B591" s="5"/>
      <c r="C591" s="1"/>
      <c r="D591" s="60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.75" customHeight="1" x14ac:dyDescent="0.6">
      <c r="A592" s="1"/>
      <c r="B592" s="5"/>
      <c r="C592" s="1"/>
      <c r="D592" s="60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.75" customHeight="1" x14ac:dyDescent="0.6">
      <c r="A593" s="1"/>
      <c r="B593" s="5"/>
      <c r="C593" s="1"/>
      <c r="D593" s="60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.75" customHeight="1" x14ac:dyDescent="0.6">
      <c r="A594" s="1"/>
      <c r="B594" s="5"/>
      <c r="C594" s="1"/>
      <c r="D594" s="60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.75" customHeight="1" x14ac:dyDescent="0.6">
      <c r="A595" s="1"/>
      <c r="B595" s="5"/>
      <c r="C595" s="1"/>
      <c r="D595" s="60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.75" customHeight="1" x14ac:dyDescent="0.6">
      <c r="A596" s="1"/>
      <c r="B596" s="5"/>
      <c r="C596" s="1"/>
      <c r="D596" s="60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.75" customHeight="1" x14ac:dyDescent="0.6">
      <c r="A597" s="1"/>
      <c r="B597" s="5"/>
      <c r="C597" s="1"/>
      <c r="D597" s="60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.75" customHeight="1" x14ac:dyDescent="0.6">
      <c r="A598" s="1"/>
      <c r="B598" s="5"/>
      <c r="C598" s="1"/>
      <c r="D598" s="60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.75" customHeight="1" x14ac:dyDescent="0.6">
      <c r="A599" s="1"/>
      <c r="B599" s="5"/>
      <c r="C599" s="1"/>
      <c r="D599" s="60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.75" customHeight="1" x14ac:dyDescent="0.6">
      <c r="A600" s="1"/>
      <c r="B600" s="5"/>
      <c r="C600" s="1"/>
      <c r="D600" s="60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.75" customHeight="1" x14ac:dyDescent="0.6">
      <c r="A601" s="1"/>
      <c r="B601" s="5"/>
      <c r="C601" s="1"/>
      <c r="D601" s="60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.75" customHeight="1" x14ac:dyDescent="0.6">
      <c r="A602" s="1"/>
      <c r="B602" s="5"/>
      <c r="C602" s="1"/>
      <c r="D602" s="60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.75" customHeight="1" x14ac:dyDescent="0.6">
      <c r="A603" s="1"/>
      <c r="B603" s="5"/>
      <c r="C603" s="1"/>
      <c r="D603" s="60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.75" customHeight="1" x14ac:dyDescent="0.6">
      <c r="A604" s="1"/>
      <c r="B604" s="5"/>
      <c r="C604" s="1"/>
      <c r="D604" s="60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.75" customHeight="1" x14ac:dyDescent="0.6">
      <c r="A605" s="1"/>
      <c r="B605" s="5"/>
      <c r="C605" s="1"/>
      <c r="D605" s="60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.75" customHeight="1" x14ac:dyDescent="0.6">
      <c r="A606" s="1"/>
      <c r="B606" s="5"/>
      <c r="C606" s="1"/>
      <c r="D606" s="60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.75" customHeight="1" x14ac:dyDescent="0.6">
      <c r="A607" s="1"/>
      <c r="B607" s="5"/>
      <c r="C607" s="1"/>
      <c r="D607" s="60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.75" customHeight="1" x14ac:dyDescent="0.6">
      <c r="A608" s="1"/>
      <c r="B608" s="5"/>
      <c r="C608" s="1"/>
      <c r="D608" s="60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.75" customHeight="1" x14ac:dyDescent="0.6">
      <c r="A609" s="1"/>
      <c r="B609" s="5"/>
      <c r="C609" s="1"/>
      <c r="D609" s="60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.75" customHeight="1" x14ac:dyDescent="0.6">
      <c r="A610" s="1"/>
      <c r="B610" s="5"/>
      <c r="C610" s="1"/>
      <c r="D610" s="60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.75" customHeight="1" x14ac:dyDescent="0.6">
      <c r="A611" s="1"/>
      <c r="B611" s="5"/>
      <c r="C611" s="1"/>
      <c r="D611" s="60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.75" customHeight="1" x14ac:dyDescent="0.6">
      <c r="A612" s="1"/>
      <c r="B612" s="5"/>
      <c r="C612" s="1"/>
      <c r="D612" s="60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.75" customHeight="1" x14ac:dyDescent="0.6">
      <c r="A613" s="1"/>
      <c r="B613" s="5"/>
      <c r="C613" s="1"/>
      <c r="D613" s="60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.75" customHeight="1" x14ac:dyDescent="0.6">
      <c r="A614" s="1"/>
      <c r="B614" s="5"/>
      <c r="C614" s="1"/>
      <c r="D614" s="60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.75" customHeight="1" x14ac:dyDescent="0.6">
      <c r="A615" s="1"/>
      <c r="B615" s="5"/>
      <c r="C615" s="1"/>
      <c r="D615" s="60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.75" customHeight="1" x14ac:dyDescent="0.6">
      <c r="A616" s="1"/>
      <c r="B616" s="5"/>
      <c r="C616" s="1"/>
      <c r="D616" s="60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.75" customHeight="1" x14ac:dyDescent="0.6">
      <c r="A617" s="1"/>
      <c r="B617" s="5"/>
      <c r="C617" s="1"/>
      <c r="D617" s="60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.75" customHeight="1" x14ac:dyDescent="0.6">
      <c r="A618" s="1"/>
      <c r="B618" s="5"/>
      <c r="C618" s="1"/>
      <c r="D618" s="60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.75" customHeight="1" x14ac:dyDescent="0.6">
      <c r="A619" s="1"/>
      <c r="B619" s="5"/>
      <c r="C619" s="1"/>
      <c r="D619" s="60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.75" customHeight="1" x14ac:dyDescent="0.6">
      <c r="A620" s="1"/>
      <c r="B620" s="5"/>
      <c r="C620" s="1"/>
      <c r="D620" s="60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.75" customHeight="1" x14ac:dyDescent="0.6">
      <c r="A621" s="1"/>
      <c r="B621" s="5"/>
      <c r="C621" s="1"/>
      <c r="D621" s="60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.75" customHeight="1" x14ac:dyDescent="0.6">
      <c r="A622" s="1"/>
      <c r="B622" s="5"/>
      <c r="C622" s="1"/>
      <c r="D622" s="60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.75" customHeight="1" x14ac:dyDescent="0.6">
      <c r="A623" s="1"/>
      <c r="B623" s="5"/>
      <c r="C623" s="1"/>
      <c r="D623" s="60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.75" customHeight="1" x14ac:dyDescent="0.6">
      <c r="A624" s="1"/>
      <c r="B624" s="5"/>
      <c r="C624" s="1"/>
      <c r="D624" s="60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.75" customHeight="1" x14ac:dyDescent="0.6">
      <c r="A625" s="1"/>
      <c r="B625" s="5"/>
      <c r="C625" s="1"/>
      <c r="D625" s="60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.75" customHeight="1" x14ac:dyDescent="0.6">
      <c r="A626" s="1"/>
      <c r="B626" s="5"/>
      <c r="C626" s="1"/>
      <c r="D626" s="60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.75" customHeight="1" x14ac:dyDescent="0.6">
      <c r="A627" s="1"/>
      <c r="B627" s="5"/>
      <c r="C627" s="1"/>
      <c r="D627" s="60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.75" customHeight="1" x14ac:dyDescent="0.6">
      <c r="A628" s="1"/>
      <c r="B628" s="5"/>
      <c r="C628" s="1"/>
      <c r="D628" s="60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.75" customHeight="1" x14ac:dyDescent="0.6">
      <c r="A629" s="1"/>
      <c r="B629" s="5"/>
      <c r="C629" s="1"/>
      <c r="D629" s="60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.75" customHeight="1" x14ac:dyDescent="0.6">
      <c r="A630" s="1"/>
      <c r="B630" s="5"/>
      <c r="C630" s="1"/>
      <c r="D630" s="60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.75" customHeight="1" x14ac:dyDescent="0.6">
      <c r="A631" s="1"/>
      <c r="B631" s="5"/>
      <c r="C631" s="1"/>
      <c r="D631" s="60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.75" customHeight="1" x14ac:dyDescent="0.6">
      <c r="A632" s="1"/>
      <c r="B632" s="5"/>
      <c r="C632" s="1"/>
      <c r="D632" s="60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.75" customHeight="1" x14ac:dyDescent="0.6">
      <c r="A633" s="1"/>
      <c r="B633" s="5"/>
      <c r="C633" s="1"/>
      <c r="D633" s="60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.75" customHeight="1" x14ac:dyDescent="0.6">
      <c r="A634" s="1"/>
      <c r="B634" s="5"/>
      <c r="C634" s="1"/>
      <c r="D634" s="60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.75" customHeight="1" x14ac:dyDescent="0.6">
      <c r="A635" s="1"/>
      <c r="B635" s="5"/>
      <c r="C635" s="1"/>
      <c r="D635" s="60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.75" customHeight="1" x14ac:dyDescent="0.6">
      <c r="A636" s="1"/>
      <c r="B636" s="5"/>
      <c r="C636" s="1"/>
      <c r="D636" s="60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.75" customHeight="1" x14ac:dyDescent="0.6">
      <c r="A637" s="1"/>
      <c r="B637" s="5"/>
      <c r="C637" s="1"/>
      <c r="D637" s="60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.75" customHeight="1" x14ac:dyDescent="0.6">
      <c r="A638" s="1"/>
      <c r="B638" s="5"/>
      <c r="C638" s="1"/>
      <c r="D638" s="60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.75" customHeight="1" x14ac:dyDescent="0.6">
      <c r="A639" s="1"/>
      <c r="B639" s="5"/>
      <c r="C639" s="1"/>
      <c r="D639" s="60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.75" customHeight="1" x14ac:dyDescent="0.6">
      <c r="A640" s="1"/>
      <c r="B640" s="5"/>
      <c r="C640" s="1"/>
      <c r="D640" s="60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.75" customHeight="1" x14ac:dyDescent="0.6">
      <c r="A641" s="1"/>
      <c r="B641" s="5"/>
      <c r="C641" s="1"/>
      <c r="D641" s="60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.75" customHeight="1" x14ac:dyDescent="0.6">
      <c r="A642" s="1"/>
      <c r="B642" s="5"/>
      <c r="C642" s="1"/>
      <c r="D642" s="60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.75" customHeight="1" x14ac:dyDescent="0.6">
      <c r="A643" s="1"/>
      <c r="B643" s="5"/>
      <c r="C643" s="1"/>
      <c r="D643" s="60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.75" customHeight="1" x14ac:dyDescent="0.6">
      <c r="A644" s="1"/>
      <c r="B644" s="5"/>
      <c r="C644" s="1"/>
      <c r="D644" s="60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.75" customHeight="1" x14ac:dyDescent="0.6">
      <c r="A645" s="1"/>
      <c r="B645" s="5"/>
      <c r="C645" s="1"/>
      <c r="D645" s="60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.75" customHeight="1" x14ac:dyDescent="0.6">
      <c r="A646" s="1"/>
      <c r="B646" s="5"/>
      <c r="C646" s="1"/>
      <c r="D646" s="60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.75" customHeight="1" x14ac:dyDescent="0.6">
      <c r="A647" s="1"/>
      <c r="B647" s="5"/>
      <c r="C647" s="1"/>
      <c r="D647" s="60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.75" customHeight="1" x14ac:dyDescent="0.6">
      <c r="A648" s="1"/>
      <c r="B648" s="5"/>
      <c r="C648" s="1"/>
      <c r="D648" s="60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.75" customHeight="1" x14ac:dyDescent="0.6">
      <c r="A649" s="1"/>
      <c r="B649" s="5"/>
      <c r="C649" s="1"/>
      <c r="D649" s="60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.75" customHeight="1" x14ac:dyDescent="0.6">
      <c r="A650" s="1"/>
      <c r="B650" s="5"/>
      <c r="C650" s="1"/>
      <c r="D650" s="60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.75" customHeight="1" x14ac:dyDescent="0.6">
      <c r="A651" s="1"/>
      <c r="B651" s="5"/>
      <c r="C651" s="1"/>
      <c r="D651" s="60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.75" customHeight="1" x14ac:dyDescent="0.6">
      <c r="A652" s="1"/>
      <c r="B652" s="5"/>
      <c r="C652" s="1"/>
      <c r="D652" s="60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.75" customHeight="1" x14ac:dyDescent="0.6">
      <c r="A653" s="1"/>
      <c r="B653" s="5"/>
      <c r="C653" s="1"/>
      <c r="D653" s="60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.75" customHeight="1" x14ac:dyDescent="0.6">
      <c r="A654" s="1"/>
      <c r="B654" s="5"/>
      <c r="C654" s="1"/>
      <c r="D654" s="60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.75" customHeight="1" x14ac:dyDescent="0.6">
      <c r="A655" s="1"/>
      <c r="B655" s="5"/>
      <c r="C655" s="1"/>
      <c r="D655" s="60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.75" customHeight="1" x14ac:dyDescent="0.6">
      <c r="A656" s="1"/>
      <c r="B656" s="5"/>
      <c r="C656" s="1"/>
      <c r="D656" s="60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.75" customHeight="1" x14ac:dyDescent="0.6">
      <c r="A657" s="1"/>
      <c r="B657" s="5"/>
      <c r="C657" s="1"/>
      <c r="D657" s="60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.75" customHeight="1" x14ac:dyDescent="0.6">
      <c r="A658" s="1"/>
      <c r="B658" s="5"/>
      <c r="C658" s="1"/>
      <c r="D658" s="60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.75" customHeight="1" x14ac:dyDescent="0.6">
      <c r="A659" s="1"/>
      <c r="B659" s="5"/>
      <c r="C659" s="1"/>
      <c r="D659" s="60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.75" customHeight="1" x14ac:dyDescent="0.6">
      <c r="A660" s="1"/>
      <c r="B660" s="5"/>
      <c r="C660" s="1"/>
      <c r="D660" s="60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.75" customHeight="1" x14ac:dyDescent="0.6">
      <c r="A661" s="1"/>
      <c r="B661" s="5"/>
      <c r="C661" s="1"/>
      <c r="D661" s="60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.75" customHeight="1" x14ac:dyDescent="0.6">
      <c r="A662" s="1"/>
      <c r="B662" s="5"/>
      <c r="C662" s="1"/>
      <c r="D662" s="60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.75" customHeight="1" x14ac:dyDescent="0.6">
      <c r="A663" s="1"/>
      <c r="B663" s="5"/>
      <c r="C663" s="1"/>
      <c r="D663" s="60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.75" customHeight="1" x14ac:dyDescent="0.6">
      <c r="A664" s="1"/>
      <c r="B664" s="5"/>
      <c r="C664" s="1"/>
      <c r="D664" s="60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.75" customHeight="1" x14ac:dyDescent="0.6">
      <c r="A665" s="1"/>
      <c r="B665" s="5"/>
      <c r="C665" s="1"/>
      <c r="D665" s="60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.75" customHeight="1" x14ac:dyDescent="0.6">
      <c r="A666" s="1"/>
      <c r="B666" s="5"/>
      <c r="C666" s="1"/>
      <c r="D666" s="60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.75" customHeight="1" x14ac:dyDescent="0.6">
      <c r="A667" s="1"/>
      <c r="B667" s="5"/>
      <c r="C667" s="1"/>
      <c r="D667" s="60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.75" customHeight="1" x14ac:dyDescent="0.6">
      <c r="A668" s="1"/>
      <c r="B668" s="5"/>
      <c r="C668" s="1"/>
      <c r="D668" s="60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.75" customHeight="1" x14ac:dyDescent="0.6">
      <c r="A669" s="1"/>
      <c r="B669" s="5"/>
      <c r="C669" s="1"/>
      <c r="D669" s="60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.75" customHeight="1" x14ac:dyDescent="0.6">
      <c r="A670" s="1"/>
      <c r="B670" s="5"/>
      <c r="C670" s="1"/>
      <c r="D670" s="60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.75" customHeight="1" x14ac:dyDescent="0.6">
      <c r="A671" s="1"/>
      <c r="B671" s="5"/>
      <c r="C671" s="1"/>
      <c r="D671" s="60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.75" customHeight="1" x14ac:dyDescent="0.6">
      <c r="A672" s="1"/>
      <c r="B672" s="5"/>
      <c r="C672" s="1"/>
      <c r="D672" s="60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.75" customHeight="1" x14ac:dyDescent="0.6">
      <c r="A673" s="1"/>
      <c r="B673" s="5"/>
      <c r="C673" s="1"/>
      <c r="D673" s="60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.75" customHeight="1" x14ac:dyDescent="0.6">
      <c r="A674" s="1"/>
      <c r="B674" s="5"/>
      <c r="C674" s="1"/>
      <c r="D674" s="60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.75" customHeight="1" x14ac:dyDescent="0.6">
      <c r="A675" s="1"/>
      <c r="B675" s="5"/>
      <c r="C675" s="1"/>
      <c r="D675" s="60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.75" customHeight="1" x14ac:dyDescent="0.6">
      <c r="A676" s="1"/>
      <c r="B676" s="5"/>
      <c r="C676" s="1"/>
      <c r="D676" s="60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.75" customHeight="1" x14ac:dyDescent="0.6">
      <c r="A677" s="1"/>
      <c r="B677" s="5"/>
      <c r="C677" s="1"/>
      <c r="D677" s="60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.75" customHeight="1" x14ac:dyDescent="0.6">
      <c r="A678" s="1"/>
      <c r="B678" s="5"/>
      <c r="C678" s="1"/>
      <c r="D678" s="60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.75" customHeight="1" x14ac:dyDescent="0.6">
      <c r="A679" s="1"/>
      <c r="B679" s="5"/>
      <c r="C679" s="1"/>
      <c r="D679" s="60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.75" customHeight="1" x14ac:dyDescent="0.6">
      <c r="A680" s="1"/>
      <c r="B680" s="5"/>
      <c r="C680" s="1"/>
      <c r="D680" s="60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.75" customHeight="1" x14ac:dyDescent="0.6">
      <c r="A681" s="1"/>
      <c r="B681" s="5"/>
      <c r="C681" s="1"/>
      <c r="D681" s="60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.75" customHeight="1" x14ac:dyDescent="0.6">
      <c r="A682" s="1"/>
      <c r="B682" s="5"/>
      <c r="C682" s="1"/>
      <c r="D682" s="60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.75" customHeight="1" x14ac:dyDescent="0.6">
      <c r="A683" s="1"/>
      <c r="B683" s="5"/>
      <c r="C683" s="1"/>
      <c r="D683" s="60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.75" customHeight="1" x14ac:dyDescent="0.6">
      <c r="A684" s="1"/>
      <c r="B684" s="5"/>
      <c r="C684" s="1"/>
      <c r="D684" s="60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.75" customHeight="1" x14ac:dyDescent="0.6">
      <c r="A685" s="1"/>
      <c r="B685" s="5"/>
      <c r="C685" s="1"/>
      <c r="D685" s="60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.75" customHeight="1" x14ac:dyDescent="0.6">
      <c r="A686" s="1"/>
      <c r="B686" s="5"/>
      <c r="C686" s="1"/>
      <c r="D686" s="60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.75" customHeight="1" x14ac:dyDescent="0.6">
      <c r="A687" s="1"/>
      <c r="B687" s="5"/>
      <c r="C687" s="1"/>
      <c r="D687" s="60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.75" customHeight="1" x14ac:dyDescent="0.6">
      <c r="A688" s="1"/>
      <c r="B688" s="5"/>
      <c r="C688" s="1"/>
      <c r="D688" s="60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.75" customHeight="1" x14ac:dyDescent="0.6">
      <c r="A689" s="1"/>
      <c r="B689" s="5"/>
      <c r="C689" s="1"/>
      <c r="D689" s="60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.75" customHeight="1" x14ac:dyDescent="0.6">
      <c r="A690" s="1"/>
      <c r="B690" s="5"/>
      <c r="C690" s="1"/>
      <c r="D690" s="60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.75" customHeight="1" x14ac:dyDescent="0.6">
      <c r="A691" s="1"/>
      <c r="B691" s="5"/>
      <c r="C691" s="1"/>
      <c r="D691" s="60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.75" customHeight="1" x14ac:dyDescent="0.6">
      <c r="A692" s="1"/>
      <c r="B692" s="5"/>
      <c r="C692" s="1"/>
      <c r="D692" s="60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.75" customHeight="1" x14ac:dyDescent="0.6">
      <c r="A693" s="1"/>
      <c r="B693" s="5"/>
      <c r="C693" s="1"/>
      <c r="D693" s="60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.75" customHeight="1" x14ac:dyDescent="0.6">
      <c r="A694" s="1"/>
      <c r="B694" s="5"/>
      <c r="C694" s="1"/>
      <c r="D694" s="60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.75" customHeight="1" x14ac:dyDescent="0.6">
      <c r="A695" s="1"/>
      <c r="B695" s="5"/>
      <c r="C695" s="1"/>
      <c r="D695" s="60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.75" customHeight="1" x14ac:dyDescent="0.6">
      <c r="A696" s="1"/>
      <c r="B696" s="5"/>
      <c r="C696" s="1"/>
      <c r="D696" s="60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.75" customHeight="1" x14ac:dyDescent="0.6">
      <c r="A697" s="1"/>
      <c r="B697" s="5"/>
      <c r="C697" s="1"/>
      <c r="D697" s="60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.75" customHeight="1" x14ac:dyDescent="0.6">
      <c r="A698" s="1"/>
      <c r="B698" s="5"/>
      <c r="C698" s="1"/>
      <c r="D698" s="60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.75" customHeight="1" x14ac:dyDescent="0.6">
      <c r="A699" s="1"/>
      <c r="B699" s="5"/>
      <c r="C699" s="1"/>
      <c r="D699" s="60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.75" customHeight="1" x14ac:dyDescent="0.6">
      <c r="A700" s="1"/>
      <c r="B700" s="5"/>
      <c r="C700" s="1"/>
      <c r="D700" s="60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.75" customHeight="1" x14ac:dyDescent="0.6">
      <c r="A701" s="1"/>
      <c r="B701" s="5"/>
      <c r="C701" s="1"/>
      <c r="D701" s="60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.75" customHeight="1" x14ac:dyDescent="0.6">
      <c r="A702" s="1"/>
      <c r="B702" s="5"/>
      <c r="C702" s="1"/>
      <c r="D702" s="60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.75" customHeight="1" x14ac:dyDescent="0.6">
      <c r="A703" s="1"/>
      <c r="B703" s="5"/>
      <c r="C703" s="1"/>
      <c r="D703" s="60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.75" customHeight="1" x14ac:dyDescent="0.6">
      <c r="A704" s="1"/>
      <c r="B704" s="5"/>
      <c r="C704" s="1"/>
      <c r="D704" s="60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.75" customHeight="1" x14ac:dyDescent="0.6">
      <c r="A705" s="1"/>
      <c r="B705" s="5"/>
      <c r="C705" s="1"/>
      <c r="D705" s="60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.75" customHeight="1" x14ac:dyDescent="0.6">
      <c r="A706" s="1"/>
      <c r="B706" s="5"/>
      <c r="C706" s="1"/>
      <c r="D706" s="60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.75" customHeight="1" x14ac:dyDescent="0.6">
      <c r="A707" s="1"/>
      <c r="B707" s="5"/>
      <c r="C707" s="1"/>
      <c r="D707" s="60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.75" customHeight="1" x14ac:dyDescent="0.6">
      <c r="A708" s="1"/>
      <c r="B708" s="5"/>
      <c r="C708" s="1"/>
      <c r="D708" s="60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.75" customHeight="1" x14ac:dyDescent="0.6">
      <c r="A709" s="1"/>
      <c r="B709" s="5"/>
      <c r="C709" s="1"/>
      <c r="D709" s="60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.75" customHeight="1" x14ac:dyDescent="0.6">
      <c r="A710" s="1"/>
      <c r="B710" s="5"/>
      <c r="C710" s="1"/>
      <c r="D710" s="60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.75" customHeight="1" x14ac:dyDescent="0.6">
      <c r="A711" s="1"/>
      <c r="B711" s="5"/>
      <c r="C711" s="1"/>
      <c r="D711" s="60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.75" customHeight="1" x14ac:dyDescent="0.6">
      <c r="A712" s="1"/>
      <c r="B712" s="5"/>
      <c r="C712" s="1"/>
      <c r="D712" s="60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.75" customHeight="1" x14ac:dyDescent="0.6">
      <c r="A713" s="1"/>
      <c r="B713" s="5"/>
      <c r="C713" s="1"/>
      <c r="D713" s="60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.75" customHeight="1" x14ac:dyDescent="0.6">
      <c r="A714" s="1"/>
      <c r="B714" s="5"/>
      <c r="C714" s="1"/>
      <c r="D714" s="60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.75" customHeight="1" x14ac:dyDescent="0.6">
      <c r="A715" s="1"/>
      <c r="B715" s="5"/>
      <c r="C715" s="1"/>
      <c r="D715" s="60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.75" customHeight="1" x14ac:dyDescent="0.6">
      <c r="A716" s="1"/>
      <c r="B716" s="5"/>
      <c r="C716" s="1"/>
      <c r="D716" s="60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.75" customHeight="1" x14ac:dyDescent="0.6">
      <c r="A717" s="1"/>
      <c r="B717" s="5"/>
      <c r="C717" s="1"/>
      <c r="D717" s="60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.75" customHeight="1" x14ac:dyDescent="0.6">
      <c r="A718" s="1"/>
      <c r="B718" s="5"/>
      <c r="C718" s="1"/>
      <c r="D718" s="60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.75" customHeight="1" x14ac:dyDescent="0.6">
      <c r="A719" s="1"/>
      <c r="B719" s="5"/>
      <c r="C719" s="1"/>
      <c r="D719" s="60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.75" customHeight="1" x14ac:dyDescent="0.6">
      <c r="A720" s="1"/>
      <c r="B720" s="5"/>
      <c r="C720" s="1"/>
      <c r="D720" s="60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.75" customHeight="1" x14ac:dyDescent="0.6">
      <c r="A721" s="1"/>
      <c r="B721" s="5"/>
      <c r="C721" s="1"/>
      <c r="D721" s="60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.75" customHeight="1" x14ac:dyDescent="0.6">
      <c r="A722" s="1"/>
      <c r="B722" s="5"/>
      <c r="C722" s="1"/>
      <c r="D722" s="60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.75" customHeight="1" x14ac:dyDescent="0.6">
      <c r="A723" s="1"/>
      <c r="B723" s="5"/>
      <c r="C723" s="1"/>
      <c r="D723" s="60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.75" customHeight="1" x14ac:dyDescent="0.6">
      <c r="A724" s="1"/>
      <c r="B724" s="5"/>
      <c r="C724" s="1"/>
      <c r="D724" s="60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.75" customHeight="1" x14ac:dyDescent="0.6">
      <c r="A725" s="1"/>
      <c r="B725" s="5"/>
      <c r="C725" s="1"/>
      <c r="D725" s="60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.75" customHeight="1" x14ac:dyDescent="0.6">
      <c r="A726" s="1"/>
      <c r="B726" s="5"/>
      <c r="C726" s="1"/>
      <c r="D726" s="60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.75" customHeight="1" x14ac:dyDescent="0.6">
      <c r="A727" s="1"/>
      <c r="B727" s="5"/>
      <c r="C727" s="1"/>
      <c r="D727" s="60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.75" customHeight="1" x14ac:dyDescent="0.6">
      <c r="A728" s="1"/>
      <c r="B728" s="5"/>
      <c r="C728" s="1"/>
      <c r="D728" s="60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.75" customHeight="1" x14ac:dyDescent="0.6">
      <c r="A729" s="1"/>
      <c r="B729" s="5"/>
      <c r="C729" s="1"/>
      <c r="D729" s="60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.75" customHeight="1" x14ac:dyDescent="0.6">
      <c r="A730" s="1"/>
      <c r="B730" s="5"/>
      <c r="C730" s="1"/>
      <c r="D730" s="60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.75" customHeight="1" x14ac:dyDescent="0.6">
      <c r="A731" s="1"/>
      <c r="B731" s="5"/>
      <c r="C731" s="1"/>
      <c r="D731" s="60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.75" customHeight="1" x14ac:dyDescent="0.6">
      <c r="A732" s="1"/>
      <c r="B732" s="5"/>
      <c r="C732" s="1"/>
      <c r="D732" s="60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.75" customHeight="1" x14ac:dyDescent="0.6">
      <c r="A733" s="1"/>
      <c r="B733" s="5"/>
      <c r="C733" s="1"/>
      <c r="D733" s="60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.75" customHeight="1" x14ac:dyDescent="0.6">
      <c r="A734" s="1"/>
      <c r="B734" s="5"/>
      <c r="C734" s="1"/>
      <c r="D734" s="60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.75" customHeight="1" x14ac:dyDescent="0.6">
      <c r="A735" s="1"/>
      <c r="B735" s="5"/>
      <c r="C735" s="1"/>
      <c r="D735" s="60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.75" customHeight="1" x14ac:dyDescent="0.6">
      <c r="A736" s="1"/>
      <c r="B736" s="5"/>
      <c r="C736" s="1"/>
      <c r="D736" s="60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.75" customHeight="1" x14ac:dyDescent="0.6">
      <c r="A737" s="1"/>
      <c r="B737" s="5"/>
      <c r="C737" s="1"/>
      <c r="D737" s="60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.75" customHeight="1" x14ac:dyDescent="0.6">
      <c r="A738" s="1"/>
      <c r="B738" s="5"/>
      <c r="C738" s="1"/>
      <c r="D738" s="60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.75" customHeight="1" x14ac:dyDescent="0.6">
      <c r="A739" s="1"/>
      <c r="B739" s="5"/>
      <c r="C739" s="1"/>
      <c r="D739" s="60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.75" customHeight="1" x14ac:dyDescent="0.6">
      <c r="A740" s="1"/>
      <c r="B740" s="5"/>
      <c r="C740" s="1"/>
      <c r="D740" s="60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.75" customHeight="1" x14ac:dyDescent="0.6">
      <c r="A741" s="1"/>
      <c r="B741" s="5"/>
      <c r="C741" s="1"/>
      <c r="D741" s="60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.75" customHeight="1" x14ac:dyDescent="0.6">
      <c r="A742" s="1"/>
      <c r="B742" s="5"/>
      <c r="C742" s="1"/>
      <c r="D742" s="60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.75" customHeight="1" x14ac:dyDescent="0.6">
      <c r="A743" s="1"/>
      <c r="B743" s="5"/>
      <c r="C743" s="1"/>
      <c r="D743" s="60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.75" customHeight="1" x14ac:dyDescent="0.6">
      <c r="A744" s="1"/>
      <c r="B744" s="5"/>
      <c r="C744" s="1"/>
      <c r="D744" s="60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.75" customHeight="1" x14ac:dyDescent="0.6">
      <c r="A745" s="1"/>
      <c r="B745" s="5"/>
      <c r="C745" s="1"/>
      <c r="D745" s="60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.75" customHeight="1" x14ac:dyDescent="0.6">
      <c r="A746" s="1"/>
      <c r="B746" s="5"/>
      <c r="C746" s="1"/>
      <c r="D746" s="60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.75" customHeight="1" x14ac:dyDescent="0.6">
      <c r="A747" s="1"/>
      <c r="B747" s="5"/>
      <c r="C747" s="1"/>
      <c r="D747" s="60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.75" customHeight="1" x14ac:dyDescent="0.6">
      <c r="A748" s="1"/>
      <c r="B748" s="5"/>
      <c r="C748" s="1"/>
      <c r="D748" s="60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.75" customHeight="1" x14ac:dyDescent="0.6">
      <c r="A749" s="1"/>
      <c r="B749" s="5"/>
      <c r="C749" s="1"/>
      <c r="D749" s="60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.75" customHeight="1" x14ac:dyDescent="0.6">
      <c r="A750" s="1"/>
      <c r="B750" s="5"/>
      <c r="C750" s="1"/>
      <c r="D750" s="60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.75" customHeight="1" x14ac:dyDescent="0.6">
      <c r="A751" s="1"/>
      <c r="B751" s="5"/>
      <c r="C751" s="1"/>
      <c r="D751" s="60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.75" customHeight="1" x14ac:dyDescent="0.6">
      <c r="A752" s="1"/>
      <c r="B752" s="5"/>
      <c r="C752" s="1"/>
      <c r="D752" s="60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.75" customHeight="1" x14ac:dyDescent="0.6">
      <c r="A753" s="1"/>
      <c r="B753" s="5"/>
      <c r="C753" s="1"/>
      <c r="D753" s="60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.75" customHeight="1" x14ac:dyDescent="0.6">
      <c r="A754" s="1"/>
      <c r="B754" s="5"/>
      <c r="C754" s="1"/>
      <c r="D754" s="60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.75" customHeight="1" x14ac:dyDescent="0.6">
      <c r="A755" s="1"/>
      <c r="B755" s="5"/>
      <c r="C755" s="1"/>
      <c r="D755" s="60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.75" customHeight="1" x14ac:dyDescent="0.6">
      <c r="A756" s="1"/>
      <c r="B756" s="5"/>
      <c r="C756" s="1"/>
      <c r="D756" s="60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.75" customHeight="1" x14ac:dyDescent="0.6">
      <c r="A757" s="1"/>
      <c r="B757" s="5"/>
      <c r="C757" s="1"/>
      <c r="D757" s="60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.75" customHeight="1" x14ac:dyDescent="0.6">
      <c r="A758" s="1"/>
      <c r="B758" s="5"/>
      <c r="C758" s="1"/>
      <c r="D758" s="60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.75" customHeight="1" x14ac:dyDescent="0.6">
      <c r="A759" s="1"/>
      <c r="B759" s="5"/>
      <c r="C759" s="1"/>
      <c r="D759" s="60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.75" customHeight="1" x14ac:dyDescent="0.6">
      <c r="A760" s="1"/>
      <c r="B760" s="5"/>
      <c r="C760" s="1"/>
      <c r="D760" s="60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.75" customHeight="1" x14ac:dyDescent="0.6">
      <c r="A761" s="1"/>
      <c r="B761" s="5"/>
      <c r="C761" s="1"/>
      <c r="D761" s="60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.75" customHeight="1" x14ac:dyDescent="0.6">
      <c r="A762" s="1"/>
      <c r="B762" s="5"/>
      <c r="C762" s="1"/>
      <c r="D762" s="60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.75" customHeight="1" x14ac:dyDescent="0.6">
      <c r="A763" s="1"/>
      <c r="B763" s="5"/>
      <c r="C763" s="1"/>
      <c r="D763" s="60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.75" customHeight="1" x14ac:dyDescent="0.6">
      <c r="A764" s="1"/>
      <c r="B764" s="5"/>
      <c r="C764" s="1"/>
      <c r="D764" s="60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.75" customHeight="1" x14ac:dyDescent="0.6">
      <c r="A765" s="1"/>
      <c r="B765" s="5"/>
      <c r="C765" s="1"/>
      <c r="D765" s="60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.75" customHeight="1" x14ac:dyDescent="0.6">
      <c r="A766" s="1"/>
      <c r="B766" s="5"/>
      <c r="C766" s="1"/>
      <c r="D766" s="60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.75" customHeight="1" x14ac:dyDescent="0.6">
      <c r="A767" s="1"/>
      <c r="B767" s="5"/>
      <c r="C767" s="1"/>
      <c r="D767" s="60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.75" customHeight="1" x14ac:dyDescent="0.6">
      <c r="A768" s="1"/>
      <c r="B768" s="5"/>
      <c r="C768" s="1"/>
      <c r="D768" s="60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.75" customHeight="1" x14ac:dyDescent="0.6">
      <c r="A769" s="1"/>
      <c r="B769" s="5"/>
      <c r="C769" s="1"/>
      <c r="D769" s="60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.75" customHeight="1" x14ac:dyDescent="0.6">
      <c r="A770" s="1"/>
      <c r="B770" s="5"/>
      <c r="C770" s="1"/>
      <c r="D770" s="60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.75" customHeight="1" x14ac:dyDescent="0.6">
      <c r="A771" s="1"/>
      <c r="B771" s="5"/>
      <c r="C771" s="1"/>
      <c r="D771" s="60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.75" customHeight="1" x14ac:dyDescent="0.6">
      <c r="A772" s="1"/>
      <c r="B772" s="5"/>
      <c r="C772" s="1"/>
      <c r="D772" s="60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.75" customHeight="1" x14ac:dyDescent="0.6">
      <c r="A773" s="1"/>
      <c r="B773" s="5"/>
      <c r="C773" s="1"/>
      <c r="D773" s="60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.75" customHeight="1" x14ac:dyDescent="0.6">
      <c r="A774" s="1"/>
      <c r="B774" s="5"/>
      <c r="C774" s="1"/>
      <c r="D774" s="60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.75" customHeight="1" x14ac:dyDescent="0.6">
      <c r="A775" s="1"/>
      <c r="B775" s="5"/>
      <c r="C775" s="1"/>
      <c r="D775" s="60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.75" customHeight="1" x14ac:dyDescent="0.6">
      <c r="A776" s="1"/>
      <c r="B776" s="5"/>
      <c r="C776" s="1"/>
      <c r="D776" s="60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.75" customHeight="1" x14ac:dyDescent="0.6">
      <c r="A777" s="1"/>
      <c r="B777" s="5"/>
      <c r="C777" s="1"/>
      <c r="D777" s="60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.75" customHeight="1" x14ac:dyDescent="0.6">
      <c r="A778" s="1"/>
      <c r="B778" s="5"/>
      <c r="C778" s="1"/>
      <c r="D778" s="60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.75" customHeight="1" x14ac:dyDescent="0.6">
      <c r="A779" s="1"/>
      <c r="B779" s="5"/>
      <c r="C779" s="1"/>
      <c r="D779" s="60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.75" customHeight="1" x14ac:dyDescent="0.6">
      <c r="A780" s="1"/>
      <c r="B780" s="5"/>
      <c r="C780" s="1"/>
      <c r="D780" s="60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.75" customHeight="1" x14ac:dyDescent="0.6">
      <c r="A781" s="1"/>
      <c r="B781" s="5"/>
      <c r="C781" s="1"/>
      <c r="D781" s="60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.75" customHeight="1" x14ac:dyDescent="0.6">
      <c r="A782" s="1"/>
      <c r="B782" s="5"/>
      <c r="C782" s="1"/>
      <c r="D782" s="60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.75" customHeight="1" x14ac:dyDescent="0.6">
      <c r="A783" s="1"/>
      <c r="B783" s="5"/>
      <c r="C783" s="1"/>
      <c r="D783" s="60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.75" customHeight="1" x14ac:dyDescent="0.6">
      <c r="A784" s="1"/>
      <c r="B784" s="5"/>
      <c r="C784" s="1"/>
      <c r="D784" s="60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.75" customHeight="1" x14ac:dyDescent="0.6">
      <c r="A785" s="1"/>
      <c r="B785" s="5"/>
      <c r="C785" s="1"/>
      <c r="D785" s="60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.75" customHeight="1" x14ac:dyDescent="0.6">
      <c r="A786" s="1"/>
      <c r="B786" s="5"/>
      <c r="C786" s="1"/>
      <c r="D786" s="60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.75" customHeight="1" x14ac:dyDescent="0.6">
      <c r="A787" s="1"/>
      <c r="B787" s="5"/>
      <c r="C787" s="1"/>
      <c r="D787" s="60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.75" customHeight="1" x14ac:dyDescent="0.6">
      <c r="A788" s="1"/>
      <c r="B788" s="5"/>
      <c r="C788" s="1"/>
      <c r="D788" s="60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.75" customHeight="1" x14ac:dyDescent="0.6">
      <c r="A789" s="1"/>
      <c r="B789" s="5"/>
      <c r="C789" s="1"/>
      <c r="D789" s="60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.75" customHeight="1" x14ac:dyDescent="0.6">
      <c r="A790" s="1"/>
      <c r="B790" s="5"/>
      <c r="C790" s="1"/>
      <c r="D790" s="60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.75" customHeight="1" x14ac:dyDescent="0.6">
      <c r="A791" s="1"/>
      <c r="B791" s="5"/>
      <c r="C791" s="1"/>
      <c r="D791" s="60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.75" customHeight="1" x14ac:dyDescent="0.6">
      <c r="A792" s="1"/>
      <c r="B792" s="5"/>
      <c r="C792" s="1"/>
      <c r="D792" s="60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.75" customHeight="1" x14ac:dyDescent="0.6">
      <c r="A793" s="1"/>
      <c r="B793" s="5"/>
      <c r="C793" s="1"/>
      <c r="D793" s="60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.75" customHeight="1" x14ac:dyDescent="0.6">
      <c r="A794" s="1"/>
      <c r="B794" s="5"/>
      <c r="C794" s="1"/>
      <c r="D794" s="60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.75" customHeight="1" x14ac:dyDescent="0.6">
      <c r="A795" s="1"/>
      <c r="B795" s="5"/>
      <c r="C795" s="1"/>
      <c r="D795" s="60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.75" customHeight="1" x14ac:dyDescent="0.6">
      <c r="A796" s="1"/>
      <c r="B796" s="5"/>
      <c r="C796" s="1"/>
      <c r="D796" s="60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.75" customHeight="1" x14ac:dyDescent="0.6">
      <c r="A797" s="1"/>
      <c r="B797" s="5"/>
      <c r="C797" s="1"/>
      <c r="D797" s="60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.75" customHeight="1" x14ac:dyDescent="0.6">
      <c r="A798" s="1"/>
      <c r="B798" s="5"/>
      <c r="C798" s="1"/>
      <c r="D798" s="60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.75" customHeight="1" x14ac:dyDescent="0.6">
      <c r="A799" s="1"/>
      <c r="B799" s="5"/>
      <c r="C799" s="1"/>
      <c r="D799" s="60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.75" customHeight="1" x14ac:dyDescent="0.6">
      <c r="A800" s="1"/>
      <c r="B800" s="5"/>
      <c r="C800" s="1"/>
      <c r="D800" s="60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.75" customHeight="1" x14ac:dyDescent="0.6">
      <c r="A801" s="1"/>
      <c r="B801" s="5"/>
      <c r="C801" s="1"/>
      <c r="D801" s="60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.75" customHeight="1" x14ac:dyDescent="0.6">
      <c r="A802" s="1"/>
      <c r="B802" s="5"/>
      <c r="C802" s="1"/>
      <c r="D802" s="60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.75" customHeight="1" x14ac:dyDescent="0.6">
      <c r="A803" s="1"/>
      <c r="B803" s="5"/>
      <c r="C803" s="1"/>
      <c r="D803" s="60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.75" customHeight="1" x14ac:dyDescent="0.6">
      <c r="A804" s="1"/>
      <c r="B804" s="5"/>
      <c r="C804" s="1"/>
      <c r="D804" s="60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.75" customHeight="1" x14ac:dyDescent="0.6">
      <c r="A805" s="1"/>
      <c r="B805" s="5"/>
      <c r="C805" s="1"/>
      <c r="D805" s="60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.75" customHeight="1" x14ac:dyDescent="0.6">
      <c r="A806" s="1"/>
      <c r="B806" s="5"/>
      <c r="C806" s="1"/>
      <c r="D806" s="60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.75" customHeight="1" x14ac:dyDescent="0.6">
      <c r="A807" s="1"/>
      <c r="B807" s="5"/>
      <c r="C807" s="1"/>
      <c r="D807" s="60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.75" customHeight="1" x14ac:dyDescent="0.6">
      <c r="A808" s="1"/>
      <c r="B808" s="5"/>
      <c r="C808" s="1"/>
      <c r="D808" s="60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.75" customHeight="1" x14ac:dyDescent="0.6">
      <c r="A809" s="1"/>
      <c r="B809" s="5"/>
      <c r="C809" s="1"/>
      <c r="D809" s="60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.75" customHeight="1" x14ac:dyDescent="0.6">
      <c r="A810" s="1"/>
      <c r="B810" s="5"/>
      <c r="C810" s="1"/>
      <c r="D810" s="60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.75" customHeight="1" x14ac:dyDescent="0.6">
      <c r="A811" s="1"/>
      <c r="B811" s="5"/>
      <c r="C811" s="1"/>
      <c r="D811" s="60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.75" customHeight="1" x14ac:dyDescent="0.6">
      <c r="A812" s="1"/>
      <c r="B812" s="5"/>
      <c r="C812" s="1"/>
      <c r="D812" s="60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.75" customHeight="1" x14ac:dyDescent="0.6">
      <c r="A813" s="1"/>
      <c r="B813" s="5"/>
      <c r="C813" s="1"/>
      <c r="D813" s="60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.75" customHeight="1" x14ac:dyDescent="0.6">
      <c r="A814" s="1"/>
      <c r="B814" s="5"/>
      <c r="C814" s="1"/>
      <c r="D814" s="60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.75" customHeight="1" x14ac:dyDescent="0.6">
      <c r="A815" s="1"/>
      <c r="B815" s="5"/>
      <c r="C815" s="1"/>
      <c r="D815" s="60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.75" customHeight="1" x14ac:dyDescent="0.6">
      <c r="A816" s="1"/>
      <c r="B816" s="5"/>
      <c r="C816" s="1"/>
      <c r="D816" s="60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.75" customHeight="1" x14ac:dyDescent="0.6">
      <c r="A817" s="1"/>
      <c r="B817" s="5"/>
      <c r="C817" s="1"/>
      <c r="D817" s="60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.75" customHeight="1" x14ac:dyDescent="0.6">
      <c r="A818" s="1"/>
      <c r="B818" s="5"/>
      <c r="C818" s="1"/>
      <c r="D818" s="60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.75" customHeight="1" x14ac:dyDescent="0.6">
      <c r="A819" s="1"/>
      <c r="B819" s="5"/>
      <c r="C819" s="1"/>
      <c r="D819" s="60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.75" customHeight="1" x14ac:dyDescent="0.6">
      <c r="A820" s="1"/>
      <c r="B820" s="5"/>
      <c r="C820" s="1"/>
      <c r="D820" s="60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.75" customHeight="1" x14ac:dyDescent="0.6">
      <c r="A821" s="1"/>
      <c r="B821" s="5"/>
      <c r="C821" s="1"/>
      <c r="D821" s="60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.75" customHeight="1" x14ac:dyDescent="0.6">
      <c r="A822" s="1"/>
      <c r="B822" s="5"/>
      <c r="C822" s="1"/>
      <c r="D822" s="60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.75" customHeight="1" x14ac:dyDescent="0.6">
      <c r="A823" s="1"/>
      <c r="B823" s="5"/>
      <c r="C823" s="1"/>
      <c r="D823" s="60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.75" customHeight="1" x14ac:dyDescent="0.6">
      <c r="A824" s="1"/>
      <c r="B824" s="5"/>
      <c r="C824" s="1"/>
      <c r="D824" s="60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.75" customHeight="1" x14ac:dyDescent="0.6">
      <c r="A825" s="1"/>
      <c r="B825" s="5"/>
      <c r="C825" s="1"/>
      <c r="D825" s="60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.75" customHeight="1" x14ac:dyDescent="0.6">
      <c r="A826" s="1"/>
      <c r="B826" s="5"/>
      <c r="C826" s="1"/>
      <c r="D826" s="60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.75" customHeight="1" x14ac:dyDescent="0.6">
      <c r="A827" s="1"/>
      <c r="B827" s="5"/>
      <c r="C827" s="1"/>
      <c r="D827" s="60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.75" customHeight="1" x14ac:dyDescent="0.6">
      <c r="A828" s="1"/>
      <c r="B828" s="5"/>
      <c r="C828" s="1"/>
      <c r="D828" s="60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.75" customHeight="1" x14ac:dyDescent="0.6">
      <c r="A829" s="1"/>
      <c r="B829" s="5"/>
      <c r="C829" s="1"/>
      <c r="D829" s="60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.75" customHeight="1" x14ac:dyDescent="0.6">
      <c r="A830" s="1"/>
      <c r="B830" s="5"/>
      <c r="C830" s="1"/>
      <c r="D830" s="60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.75" customHeight="1" x14ac:dyDescent="0.6">
      <c r="A831" s="1"/>
      <c r="B831" s="5"/>
      <c r="C831" s="1"/>
      <c r="D831" s="60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.75" customHeight="1" x14ac:dyDescent="0.6">
      <c r="A832" s="1"/>
      <c r="B832" s="5"/>
      <c r="C832" s="1"/>
      <c r="D832" s="60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.75" customHeight="1" x14ac:dyDescent="0.6">
      <c r="A833" s="1"/>
      <c r="B833" s="5"/>
      <c r="C833" s="1"/>
      <c r="D833" s="60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.75" customHeight="1" x14ac:dyDescent="0.6">
      <c r="A834" s="1"/>
      <c r="B834" s="5"/>
      <c r="C834" s="1"/>
      <c r="D834" s="60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.75" customHeight="1" x14ac:dyDescent="0.6">
      <c r="A835" s="1"/>
      <c r="B835" s="5"/>
      <c r="C835" s="1"/>
      <c r="D835" s="60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.75" customHeight="1" x14ac:dyDescent="0.6">
      <c r="A836" s="1"/>
      <c r="B836" s="5"/>
      <c r="C836" s="1"/>
      <c r="D836" s="60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.75" customHeight="1" x14ac:dyDescent="0.6">
      <c r="A837" s="1"/>
      <c r="B837" s="5"/>
      <c r="C837" s="1"/>
      <c r="D837" s="60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.75" customHeight="1" x14ac:dyDescent="0.6">
      <c r="A838" s="1"/>
      <c r="B838" s="5"/>
      <c r="C838" s="1"/>
      <c r="D838" s="60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.75" customHeight="1" x14ac:dyDescent="0.6">
      <c r="A839" s="1"/>
      <c r="B839" s="5"/>
      <c r="C839" s="1"/>
      <c r="D839" s="60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.75" customHeight="1" x14ac:dyDescent="0.6">
      <c r="A840" s="1"/>
      <c r="B840" s="5"/>
      <c r="C840" s="1"/>
      <c r="D840" s="60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.75" customHeight="1" x14ac:dyDescent="0.6">
      <c r="A841" s="1"/>
      <c r="B841" s="5"/>
      <c r="C841" s="1"/>
      <c r="D841" s="60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.75" customHeight="1" x14ac:dyDescent="0.6">
      <c r="A842" s="1"/>
      <c r="B842" s="5"/>
      <c r="C842" s="1"/>
      <c r="D842" s="60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.75" customHeight="1" x14ac:dyDescent="0.6">
      <c r="A843" s="1"/>
      <c r="B843" s="5"/>
      <c r="C843" s="1"/>
      <c r="D843" s="60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.75" customHeight="1" x14ac:dyDescent="0.6">
      <c r="A844" s="1"/>
      <c r="B844" s="5"/>
      <c r="C844" s="1"/>
      <c r="D844" s="60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.75" customHeight="1" x14ac:dyDescent="0.6">
      <c r="A845" s="1"/>
      <c r="B845" s="5"/>
      <c r="C845" s="1"/>
      <c r="D845" s="60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.75" customHeight="1" x14ac:dyDescent="0.6">
      <c r="A846" s="1"/>
      <c r="B846" s="5"/>
      <c r="C846" s="1"/>
      <c r="D846" s="60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.75" customHeight="1" x14ac:dyDescent="0.6">
      <c r="A847" s="1"/>
      <c r="B847" s="5"/>
      <c r="C847" s="1"/>
      <c r="D847" s="60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.75" customHeight="1" x14ac:dyDescent="0.6">
      <c r="A848" s="1"/>
      <c r="B848" s="5"/>
      <c r="C848" s="1"/>
      <c r="D848" s="60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.75" customHeight="1" x14ac:dyDescent="0.6">
      <c r="A849" s="1"/>
      <c r="B849" s="5"/>
      <c r="C849" s="1"/>
      <c r="D849" s="60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.75" customHeight="1" x14ac:dyDescent="0.6">
      <c r="A850" s="1"/>
      <c r="B850" s="5"/>
      <c r="C850" s="1"/>
      <c r="D850" s="60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.75" customHeight="1" x14ac:dyDescent="0.6">
      <c r="A851" s="1"/>
      <c r="B851" s="5"/>
      <c r="C851" s="1"/>
      <c r="D851" s="60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.75" customHeight="1" x14ac:dyDescent="0.6">
      <c r="A852" s="1"/>
      <c r="B852" s="5"/>
      <c r="C852" s="1"/>
      <c r="D852" s="60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.75" customHeight="1" x14ac:dyDescent="0.6">
      <c r="A853" s="1"/>
      <c r="B853" s="5"/>
      <c r="C853" s="1"/>
      <c r="D853" s="60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.75" customHeight="1" x14ac:dyDescent="0.6">
      <c r="A854" s="1"/>
      <c r="B854" s="5"/>
      <c r="C854" s="1"/>
      <c r="D854" s="60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.75" customHeight="1" x14ac:dyDescent="0.6">
      <c r="A855" s="1"/>
      <c r="B855" s="5"/>
      <c r="C855" s="1"/>
      <c r="D855" s="60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.75" customHeight="1" x14ac:dyDescent="0.6">
      <c r="A856" s="1"/>
      <c r="B856" s="5"/>
      <c r="C856" s="1"/>
      <c r="D856" s="60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.75" customHeight="1" x14ac:dyDescent="0.6">
      <c r="A857" s="1"/>
      <c r="B857" s="5"/>
      <c r="C857" s="1"/>
      <c r="D857" s="60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.75" customHeight="1" x14ac:dyDescent="0.6">
      <c r="A858" s="1"/>
      <c r="B858" s="5"/>
      <c r="C858" s="1"/>
      <c r="D858" s="60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.75" customHeight="1" x14ac:dyDescent="0.6">
      <c r="A859" s="1"/>
      <c r="B859" s="5"/>
      <c r="C859" s="1"/>
      <c r="D859" s="60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.75" customHeight="1" x14ac:dyDescent="0.6">
      <c r="A860" s="1"/>
      <c r="B860" s="5"/>
      <c r="C860" s="1"/>
      <c r="D860" s="60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.75" customHeight="1" x14ac:dyDescent="0.6">
      <c r="A861" s="1"/>
      <c r="B861" s="5"/>
      <c r="C861" s="1"/>
      <c r="D861" s="60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.75" customHeight="1" x14ac:dyDescent="0.6">
      <c r="A862" s="1"/>
      <c r="B862" s="5"/>
      <c r="C862" s="1"/>
      <c r="D862" s="60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.75" customHeight="1" x14ac:dyDescent="0.6">
      <c r="A863" s="1"/>
      <c r="B863" s="5"/>
      <c r="C863" s="1"/>
      <c r="D863" s="60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.75" customHeight="1" x14ac:dyDescent="0.6">
      <c r="A864" s="1"/>
      <c r="B864" s="5"/>
      <c r="C864" s="1"/>
      <c r="D864" s="60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.75" customHeight="1" x14ac:dyDescent="0.6">
      <c r="A865" s="1"/>
      <c r="B865" s="5"/>
      <c r="C865" s="1"/>
      <c r="D865" s="60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.75" customHeight="1" x14ac:dyDescent="0.6">
      <c r="A866" s="1"/>
      <c r="B866" s="5"/>
      <c r="C866" s="1"/>
      <c r="D866" s="60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.75" customHeight="1" x14ac:dyDescent="0.6">
      <c r="A867" s="1"/>
      <c r="B867" s="5"/>
      <c r="C867" s="1"/>
      <c r="D867" s="60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.75" customHeight="1" x14ac:dyDescent="0.6">
      <c r="A868" s="1"/>
      <c r="B868" s="5"/>
      <c r="C868" s="1"/>
      <c r="D868" s="60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.75" customHeight="1" x14ac:dyDescent="0.6">
      <c r="A869" s="1"/>
      <c r="B869" s="5"/>
      <c r="C869" s="1"/>
      <c r="D869" s="60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.75" customHeight="1" x14ac:dyDescent="0.6">
      <c r="A870" s="1"/>
      <c r="B870" s="5"/>
      <c r="C870" s="1"/>
      <c r="D870" s="60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.75" customHeight="1" x14ac:dyDescent="0.6">
      <c r="A871" s="1"/>
      <c r="B871" s="5"/>
      <c r="C871" s="1"/>
      <c r="D871" s="60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.75" customHeight="1" x14ac:dyDescent="0.6">
      <c r="A872" s="1"/>
      <c r="B872" s="5"/>
      <c r="C872" s="1"/>
      <c r="D872" s="60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.75" customHeight="1" x14ac:dyDescent="0.6">
      <c r="A873" s="1"/>
      <c r="B873" s="5"/>
      <c r="C873" s="1"/>
      <c r="D873" s="60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.75" customHeight="1" x14ac:dyDescent="0.6">
      <c r="A874" s="1"/>
      <c r="B874" s="5"/>
      <c r="C874" s="1"/>
      <c r="D874" s="60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.75" customHeight="1" x14ac:dyDescent="0.6">
      <c r="A875" s="1"/>
      <c r="B875" s="5"/>
      <c r="C875" s="1"/>
      <c r="D875" s="60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.75" customHeight="1" x14ac:dyDescent="0.6">
      <c r="A876" s="1"/>
      <c r="B876" s="5"/>
      <c r="C876" s="1"/>
      <c r="D876" s="60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.75" customHeight="1" x14ac:dyDescent="0.6">
      <c r="A877" s="1"/>
      <c r="B877" s="5"/>
      <c r="C877" s="1"/>
      <c r="D877" s="60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.75" customHeight="1" x14ac:dyDescent="0.6">
      <c r="A878" s="1"/>
      <c r="B878" s="5"/>
      <c r="C878" s="1"/>
      <c r="D878" s="60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.75" customHeight="1" x14ac:dyDescent="0.6">
      <c r="A879" s="1"/>
      <c r="B879" s="5"/>
      <c r="C879" s="1"/>
      <c r="D879" s="60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.75" customHeight="1" x14ac:dyDescent="0.6">
      <c r="A880" s="1"/>
      <c r="B880" s="5"/>
      <c r="C880" s="1"/>
      <c r="D880" s="60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.75" customHeight="1" x14ac:dyDescent="0.6">
      <c r="A881" s="1"/>
      <c r="B881" s="5"/>
      <c r="C881" s="1"/>
      <c r="D881" s="60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.75" customHeight="1" x14ac:dyDescent="0.6">
      <c r="A882" s="1"/>
      <c r="B882" s="5"/>
      <c r="C882" s="1"/>
      <c r="D882" s="60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.75" customHeight="1" x14ac:dyDescent="0.6">
      <c r="A883" s="1"/>
      <c r="B883" s="5"/>
      <c r="C883" s="1"/>
      <c r="D883" s="60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.75" customHeight="1" x14ac:dyDescent="0.6">
      <c r="A884" s="1"/>
      <c r="B884" s="5"/>
      <c r="C884" s="1"/>
      <c r="D884" s="60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.75" customHeight="1" x14ac:dyDescent="0.6">
      <c r="A885" s="1"/>
      <c r="B885" s="5"/>
      <c r="C885" s="1"/>
      <c r="D885" s="60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.75" customHeight="1" x14ac:dyDescent="0.6">
      <c r="A886" s="1"/>
      <c r="B886" s="5"/>
      <c r="C886" s="1"/>
      <c r="D886" s="60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.75" customHeight="1" x14ac:dyDescent="0.6">
      <c r="A887" s="1"/>
      <c r="B887" s="5"/>
      <c r="C887" s="1"/>
      <c r="D887" s="60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.75" customHeight="1" x14ac:dyDescent="0.6">
      <c r="A888" s="1"/>
      <c r="B888" s="5"/>
      <c r="C888" s="1"/>
      <c r="D888" s="60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.75" customHeight="1" x14ac:dyDescent="0.6">
      <c r="A889" s="1"/>
      <c r="B889" s="5"/>
      <c r="C889" s="1"/>
      <c r="D889" s="60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.75" customHeight="1" x14ac:dyDescent="0.6">
      <c r="A890" s="1"/>
      <c r="B890" s="5"/>
      <c r="C890" s="1"/>
      <c r="D890" s="60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.75" customHeight="1" x14ac:dyDescent="0.6">
      <c r="A891" s="1"/>
      <c r="B891" s="5"/>
      <c r="C891" s="1"/>
      <c r="D891" s="60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.75" customHeight="1" x14ac:dyDescent="0.6">
      <c r="A892" s="1"/>
      <c r="B892" s="5"/>
      <c r="C892" s="1"/>
      <c r="D892" s="60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.75" customHeight="1" x14ac:dyDescent="0.6">
      <c r="A893" s="1"/>
      <c r="B893" s="5"/>
      <c r="C893" s="1"/>
      <c r="D893" s="60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.75" customHeight="1" x14ac:dyDescent="0.6">
      <c r="A894" s="1"/>
      <c r="B894" s="5"/>
      <c r="C894" s="1"/>
      <c r="D894" s="60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.75" customHeight="1" x14ac:dyDescent="0.6">
      <c r="A895" s="1"/>
      <c r="B895" s="5"/>
      <c r="C895" s="1"/>
      <c r="D895" s="60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.75" customHeight="1" x14ac:dyDescent="0.6">
      <c r="A896" s="1"/>
      <c r="B896" s="5"/>
      <c r="C896" s="1"/>
      <c r="D896" s="60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.75" customHeight="1" x14ac:dyDescent="0.6">
      <c r="A897" s="1"/>
      <c r="B897" s="5"/>
      <c r="C897" s="1"/>
      <c r="D897" s="60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.75" customHeight="1" x14ac:dyDescent="0.6">
      <c r="A898" s="1"/>
      <c r="B898" s="5"/>
      <c r="C898" s="1"/>
      <c r="D898" s="60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.75" customHeight="1" x14ac:dyDescent="0.6">
      <c r="A899" s="1"/>
      <c r="B899" s="5"/>
      <c r="C899" s="1"/>
      <c r="D899" s="60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.75" customHeight="1" x14ac:dyDescent="0.6">
      <c r="A900" s="1"/>
      <c r="B900" s="5"/>
      <c r="C900" s="1"/>
      <c r="D900" s="60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.75" customHeight="1" x14ac:dyDescent="0.6">
      <c r="A901" s="1"/>
      <c r="B901" s="5"/>
      <c r="C901" s="1"/>
      <c r="D901" s="60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.75" customHeight="1" x14ac:dyDescent="0.6">
      <c r="A902" s="1"/>
      <c r="B902" s="5"/>
      <c r="C902" s="1"/>
      <c r="D902" s="60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.75" customHeight="1" x14ac:dyDescent="0.6">
      <c r="A903" s="1"/>
      <c r="B903" s="5"/>
      <c r="C903" s="1"/>
      <c r="D903" s="60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.75" customHeight="1" x14ac:dyDescent="0.6">
      <c r="A904" s="1"/>
      <c r="B904" s="5"/>
      <c r="C904" s="1"/>
      <c r="D904" s="60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.75" customHeight="1" x14ac:dyDescent="0.6">
      <c r="A905" s="1"/>
      <c r="B905" s="5"/>
      <c r="C905" s="1"/>
      <c r="D905" s="60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.75" customHeight="1" x14ac:dyDescent="0.6">
      <c r="A906" s="1"/>
      <c r="B906" s="5"/>
      <c r="C906" s="1"/>
      <c r="D906" s="60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.75" customHeight="1" x14ac:dyDescent="0.6">
      <c r="A907" s="1"/>
      <c r="B907" s="5"/>
      <c r="C907" s="1"/>
      <c r="D907" s="60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.75" customHeight="1" x14ac:dyDescent="0.6">
      <c r="A908" s="1"/>
      <c r="B908" s="5"/>
      <c r="C908" s="1"/>
      <c r="D908" s="60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.75" customHeight="1" x14ac:dyDescent="0.6">
      <c r="A909" s="1"/>
      <c r="B909" s="5"/>
      <c r="C909" s="1"/>
      <c r="D909" s="60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.75" customHeight="1" x14ac:dyDescent="0.6">
      <c r="A910" s="1"/>
      <c r="B910" s="5"/>
      <c r="C910" s="1"/>
      <c r="D910" s="60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.75" customHeight="1" x14ac:dyDescent="0.6">
      <c r="A911" s="1"/>
      <c r="B911" s="5"/>
      <c r="C911" s="1"/>
      <c r="D911" s="60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.75" customHeight="1" x14ac:dyDescent="0.6">
      <c r="A912" s="1"/>
      <c r="B912" s="5"/>
      <c r="C912" s="1"/>
      <c r="D912" s="60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.75" customHeight="1" x14ac:dyDescent="0.6">
      <c r="A913" s="1"/>
      <c r="B913" s="5"/>
      <c r="C913" s="1"/>
      <c r="D913" s="60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.75" customHeight="1" x14ac:dyDescent="0.6">
      <c r="A914" s="1"/>
      <c r="B914" s="5"/>
      <c r="C914" s="1"/>
      <c r="D914" s="60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.75" customHeight="1" x14ac:dyDescent="0.6">
      <c r="A915" s="1"/>
      <c r="B915" s="5"/>
      <c r="C915" s="1"/>
      <c r="D915" s="60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.75" customHeight="1" x14ac:dyDescent="0.6">
      <c r="A916" s="1"/>
      <c r="B916" s="5"/>
      <c r="C916" s="1"/>
      <c r="D916" s="60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.75" customHeight="1" x14ac:dyDescent="0.6">
      <c r="A917" s="1"/>
      <c r="B917" s="5"/>
      <c r="C917" s="1"/>
      <c r="D917" s="60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.75" customHeight="1" x14ac:dyDescent="0.6">
      <c r="A918" s="1"/>
      <c r="B918" s="5"/>
      <c r="C918" s="1"/>
      <c r="D918" s="60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.75" customHeight="1" x14ac:dyDescent="0.6">
      <c r="A919" s="1"/>
      <c r="B919" s="5"/>
      <c r="C919" s="1"/>
      <c r="D919" s="60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.75" customHeight="1" x14ac:dyDescent="0.6">
      <c r="A920" s="1"/>
      <c r="B920" s="5"/>
      <c r="C920" s="1"/>
      <c r="D920" s="60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.75" customHeight="1" x14ac:dyDescent="0.6">
      <c r="A921" s="1"/>
      <c r="B921" s="5"/>
      <c r="C921" s="1"/>
      <c r="D921" s="60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.75" customHeight="1" x14ac:dyDescent="0.6">
      <c r="A922" s="1"/>
      <c r="B922" s="5"/>
      <c r="C922" s="1"/>
      <c r="D922" s="60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.75" customHeight="1" x14ac:dyDescent="0.6">
      <c r="A923" s="1"/>
      <c r="B923" s="5"/>
      <c r="C923" s="1"/>
      <c r="D923" s="60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.75" customHeight="1" x14ac:dyDescent="0.6">
      <c r="A924" s="1"/>
      <c r="B924" s="5"/>
      <c r="C924" s="1"/>
      <c r="D924" s="60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.75" customHeight="1" x14ac:dyDescent="0.6">
      <c r="A925" s="1"/>
      <c r="B925" s="5"/>
      <c r="C925" s="1"/>
      <c r="D925" s="60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.75" customHeight="1" x14ac:dyDescent="0.6">
      <c r="A926" s="1"/>
      <c r="B926" s="5"/>
      <c r="C926" s="1"/>
      <c r="D926" s="60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.75" customHeight="1" x14ac:dyDescent="0.6">
      <c r="A927" s="1"/>
      <c r="B927" s="5"/>
      <c r="C927" s="1"/>
      <c r="D927" s="60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.75" customHeight="1" x14ac:dyDescent="0.6">
      <c r="A928" s="1"/>
      <c r="B928" s="5"/>
      <c r="C928" s="1"/>
      <c r="D928" s="60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.75" customHeight="1" x14ac:dyDescent="0.6">
      <c r="A929" s="1"/>
      <c r="B929" s="5"/>
      <c r="C929" s="1"/>
      <c r="D929" s="60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.75" customHeight="1" x14ac:dyDescent="0.6">
      <c r="A930" s="1"/>
      <c r="B930" s="5"/>
      <c r="C930" s="1"/>
      <c r="D930" s="60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.75" customHeight="1" x14ac:dyDescent="0.6">
      <c r="A931" s="1"/>
      <c r="B931" s="5"/>
      <c r="C931" s="1"/>
      <c r="D931" s="60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.75" customHeight="1" x14ac:dyDescent="0.6">
      <c r="A932" s="1"/>
      <c r="B932" s="5"/>
      <c r="C932" s="1"/>
      <c r="D932" s="60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.75" customHeight="1" x14ac:dyDescent="0.6">
      <c r="A933" s="1"/>
      <c r="B933" s="5"/>
      <c r="C933" s="1"/>
      <c r="D933" s="60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.75" customHeight="1" x14ac:dyDescent="0.6">
      <c r="A934" s="1"/>
      <c r="B934" s="5"/>
      <c r="C934" s="1"/>
      <c r="D934" s="60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.75" customHeight="1" x14ac:dyDescent="0.6">
      <c r="A935" s="1"/>
      <c r="B935" s="5"/>
      <c r="C935" s="1"/>
      <c r="D935" s="60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.75" customHeight="1" x14ac:dyDescent="0.6">
      <c r="A936" s="1"/>
      <c r="B936" s="5"/>
      <c r="C936" s="1"/>
      <c r="D936" s="60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.75" customHeight="1" x14ac:dyDescent="0.6">
      <c r="A937" s="1"/>
      <c r="B937" s="5"/>
      <c r="C937" s="1"/>
      <c r="D937" s="60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.75" customHeight="1" x14ac:dyDescent="0.6">
      <c r="A938" s="1"/>
      <c r="B938" s="5"/>
      <c r="C938" s="1"/>
      <c r="D938" s="60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.75" customHeight="1" x14ac:dyDescent="0.6">
      <c r="A939" s="1"/>
      <c r="B939" s="5"/>
      <c r="C939" s="1"/>
      <c r="D939" s="60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.75" customHeight="1" x14ac:dyDescent="0.6">
      <c r="A940" s="1"/>
      <c r="B940" s="5"/>
      <c r="C940" s="1"/>
      <c r="D940" s="60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.75" customHeight="1" x14ac:dyDescent="0.6">
      <c r="A941" s="1"/>
      <c r="B941" s="5"/>
      <c r="C941" s="1"/>
      <c r="D941" s="60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.75" customHeight="1" x14ac:dyDescent="0.6">
      <c r="A942" s="1"/>
      <c r="B942" s="5"/>
      <c r="C942" s="1"/>
      <c r="D942" s="60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.75" customHeight="1" x14ac:dyDescent="0.6">
      <c r="A943" s="1"/>
      <c r="B943" s="5"/>
      <c r="C943" s="1"/>
      <c r="D943" s="60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.75" customHeight="1" x14ac:dyDescent="0.6">
      <c r="A944" s="1"/>
      <c r="B944" s="5"/>
      <c r="C944" s="1"/>
      <c r="D944" s="60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.75" customHeight="1" x14ac:dyDescent="0.6">
      <c r="A945" s="1"/>
      <c r="B945" s="5"/>
      <c r="C945" s="1"/>
      <c r="D945" s="60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.75" customHeight="1" x14ac:dyDescent="0.6">
      <c r="A946" s="1"/>
      <c r="B946" s="5"/>
      <c r="C946" s="1"/>
      <c r="D946" s="60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.75" customHeight="1" x14ac:dyDescent="0.6">
      <c r="A947" s="1"/>
      <c r="B947" s="5"/>
      <c r="C947" s="1"/>
      <c r="D947" s="60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.75" customHeight="1" x14ac:dyDescent="0.6">
      <c r="A948" s="1"/>
      <c r="B948" s="5"/>
      <c r="C948" s="1"/>
      <c r="D948" s="60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.75" customHeight="1" x14ac:dyDescent="0.6">
      <c r="A949" s="1"/>
      <c r="B949" s="5"/>
      <c r="C949" s="1"/>
      <c r="D949" s="60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.75" customHeight="1" x14ac:dyDescent="0.6">
      <c r="A950" s="1"/>
      <c r="B950" s="5"/>
      <c r="C950" s="1"/>
      <c r="D950" s="60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.75" customHeight="1" x14ac:dyDescent="0.6">
      <c r="A951" s="1"/>
      <c r="B951" s="5"/>
      <c r="C951" s="1"/>
      <c r="D951" s="60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.75" customHeight="1" x14ac:dyDescent="0.6">
      <c r="A952" s="1"/>
      <c r="B952" s="5"/>
      <c r="C952" s="1"/>
      <c r="D952" s="60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.75" customHeight="1" x14ac:dyDescent="0.6">
      <c r="A953" s="1"/>
      <c r="B953" s="5"/>
      <c r="C953" s="1"/>
      <c r="D953" s="60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.75" customHeight="1" x14ac:dyDescent="0.6">
      <c r="A954" s="1"/>
      <c r="B954" s="5"/>
      <c r="C954" s="1"/>
      <c r="D954" s="60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.75" customHeight="1" x14ac:dyDescent="0.6">
      <c r="A955" s="1"/>
      <c r="B955" s="5"/>
      <c r="C955" s="1"/>
      <c r="D955" s="60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.75" customHeight="1" x14ac:dyDescent="0.6">
      <c r="A956" s="1"/>
      <c r="B956" s="5"/>
      <c r="C956" s="1"/>
      <c r="D956" s="60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.75" customHeight="1" x14ac:dyDescent="0.6">
      <c r="A957" s="1"/>
      <c r="B957" s="5"/>
      <c r="C957" s="1"/>
      <c r="D957" s="60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.75" customHeight="1" x14ac:dyDescent="0.6">
      <c r="A958" s="1"/>
      <c r="B958" s="5"/>
      <c r="C958" s="1"/>
      <c r="D958" s="60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.75" customHeight="1" x14ac:dyDescent="0.6">
      <c r="A959" s="1"/>
      <c r="B959" s="5"/>
      <c r="C959" s="1"/>
      <c r="D959" s="60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.75" customHeight="1" x14ac:dyDescent="0.6">
      <c r="A960" s="1"/>
      <c r="B960" s="5"/>
      <c r="C960" s="1"/>
      <c r="D960" s="60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.75" customHeight="1" x14ac:dyDescent="0.6">
      <c r="A961" s="1"/>
      <c r="B961" s="5"/>
      <c r="C961" s="1"/>
      <c r="D961" s="60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.75" customHeight="1" x14ac:dyDescent="0.6">
      <c r="A962" s="1"/>
      <c r="B962" s="5"/>
      <c r="C962" s="1"/>
      <c r="D962" s="60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.75" customHeight="1" x14ac:dyDescent="0.6">
      <c r="A963" s="1"/>
      <c r="B963" s="5"/>
      <c r="C963" s="1"/>
      <c r="D963" s="60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.75" customHeight="1" x14ac:dyDescent="0.6">
      <c r="A964" s="1"/>
      <c r="B964" s="5"/>
      <c r="C964" s="1"/>
      <c r="D964" s="60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.75" customHeight="1" x14ac:dyDescent="0.6">
      <c r="A965" s="1"/>
      <c r="B965" s="5"/>
      <c r="C965" s="1"/>
      <c r="D965" s="60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.75" customHeight="1" x14ac:dyDescent="0.6">
      <c r="A966" s="1"/>
      <c r="B966" s="5"/>
      <c r="C966" s="1"/>
      <c r="D966" s="60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.75" customHeight="1" x14ac:dyDescent="0.6">
      <c r="A967" s="1"/>
      <c r="B967" s="5"/>
      <c r="C967" s="1"/>
      <c r="D967" s="60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.75" customHeight="1" x14ac:dyDescent="0.6">
      <c r="A968" s="1"/>
      <c r="B968" s="5"/>
      <c r="C968" s="1"/>
      <c r="D968" s="60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.75" customHeight="1" x14ac:dyDescent="0.6">
      <c r="A969" s="1"/>
      <c r="B969" s="5"/>
      <c r="C969" s="1"/>
      <c r="D969" s="60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.75" customHeight="1" x14ac:dyDescent="0.6">
      <c r="A970" s="1"/>
      <c r="B970" s="5"/>
      <c r="C970" s="1"/>
      <c r="D970" s="60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.75" customHeight="1" x14ac:dyDescent="0.6">
      <c r="A971" s="1"/>
      <c r="B971" s="5"/>
      <c r="C971" s="1"/>
      <c r="D971" s="60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.75" customHeight="1" x14ac:dyDescent="0.6">
      <c r="A972" s="1"/>
      <c r="B972" s="5"/>
      <c r="C972" s="1"/>
      <c r="D972" s="60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.75" customHeight="1" x14ac:dyDescent="0.6">
      <c r="A973" s="1"/>
      <c r="B973" s="5"/>
      <c r="C973" s="1"/>
      <c r="D973" s="60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.75" customHeight="1" x14ac:dyDescent="0.6">
      <c r="A974" s="1"/>
      <c r="B974" s="5"/>
      <c r="C974" s="1"/>
      <c r="D974" s="60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.75" customHeight="1" x14ac:dyDescent="0.6">
      <c r="A975" s="1"/>
      <c r="B975" s="5"/>
      <c r="C975" s="1"/>
      <c r="D975" s="60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.75" customHeight="1" x14ac:dyDescent="0.6">
      <c r="A976" s="1"/>
      <c r="B976" s="5"/>
      <c r="C976" s="1"/>
      <c r="D976" s="60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.75" customHeight="1" x14ac:dyDescent="0.6">
      <c r="A977" s="1"/>
      <c r="B977" s="5"/>
      <c r="C977" s="1"/>
      <c r="D977" s="60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.75" customHeight="1" x14ac:dyDescent="0.6">
      <c r="A978" s="1"/>
      <c r="B978" s="5"/>
      <c r="C978" s="1"/>
      <c r="D978" s="60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.75" customHeight="1" x14ac:dyDescent="0.6">
      <c r="A979" s="1"/>
      <c r="B979" s="5"/>
      <c r="C979" s="1"/>
      <c r="D979" s="60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.75" customHeight="1" x14ac:dyDescent="0.6">
      <c r="A980" s="1"/>
      <c r="B980" s="5"/>
      <c r="C980" s="1"/>
      <c r="D980" s="60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.75" customHeight="1" x14ac:dyDescent="0.6">
      <c r="A981" s="1"/>
      <c r="B981" s="5"/>
      <c r="C981" s="1"/>
      <c r="D981" s="60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.75" customHeight="1" x14ac:dyDescent="0.6">
      <c r="A982" s="1"/>
      <c r="B982" s="5"/>
      <c r="C982" s="1"/>
      <c r="D982" s="60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.75" customHeight="1" x14ac:dyDescent="0.6">
      <c r="A983" s="1"/>
      <c r="B983" s="5"/>
      <c r="C983" s="1"/>
      <c r="D983" s="60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.75" customHeight="1" x14ac:dyDescent="0.6">
      <c r="A984" s="1"/>
      <c r="B984" s="5"/>
      <c r="C984" s="1"/>
      <c r="D984" s="60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.75" customHeight="1" x14ac:dyDescent="0.6">
      <c r="A985" s="1"/>
      <c r="B985" s="5"/>
      <c r="C985" s="1"/>
      <c r="D985" s="60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.75" customHeight="1" x14ac:dyDescent="0.6">
      <c r="A986" s="1"/>
      <c r="B986" s="5"/>
      <c r="C986" s="1"/>
      <c r="D986" s="60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.75" customHeight="1" x14ac:dyDescent="0.6">
      <c r="A987" s="1"/>
      <c r="B987" s="5"/>
      <c r="C987" s="1"/>
      <c r="D987" s="60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.75" customHeight="1" x14ac:dyDescent="0.6">
      <c r="A988" s="1"/>
      <c r="B988" s="5"/>
      <c r="C988" s="1"/>
      <c r="D988" s="60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.75" customHeight="1" x14ac:dyDescent="0.6">
      <c r="A989" s="1"/>
      <c r="B989" s="5"/>
      <c r="C989" s="1"/>
      <c r="D989" s="60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.75" customHeight="1" x14ac:dyDescent="0.6">
      <c r="A990" s="1"/>
      <c r="B990" s="5"/>
      <c r="C990" s="1"/>
      <c r="D990" s="60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.75" customHeight="1" x14ac:dyDescent="0.6">
      <c r="A991" s="1"/>
      <c r="B991" s="5"/>
      <c r="C991" s="1"/>
      <c r="D991" s="60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.75" customHeight="1" x14ac:dyDescent="0.6">
      <c r="A992" s="1"/>
      <c r="B992" s="5"/>
      <c r="C992" s="1"/>
      <c r="D992" s="60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.75" customHeight="1" x14ac:dyDescent="0.6">
      <c r="A993" s="1"/>
      <c r="B993" s="5"/>
      <c r="C993" s="1"/>
      <c r="D993" s="60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.75" customHeight="1" x14ac:dyDescent="0.6">
      <c r="A994" s="1"/>
      <c r="B994" s="5"/>
      <c r="C994" s="1"/>
      <c r="D994" s="60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.75" customHeight="1" x14ac:dyDescent="0.6">
      <c r="A995" s="1"/>
      <c r="B995" s="5"/>
      <c r="C995" s="1"/>
      <c r="D995" s="60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.75" customHeight="1" x14ac:dyDescent="0.6">
      <c r="A996" s="1"/>
      <c r="B996" s="5"/>
      <c r="C996" s="1"/>
      <c r="D996" s="60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.75" customHeight="1" x14ac:dyDescent="0.6">
      <c r="A997" s="1"/>
      <c r="B997" s="5"/>
      <c r="C997" s="1"/>
      <c r="D997" s="60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.75" customHeight="1" x14ac:dyDescent="0.6">
      <c r="A998" s="1"/>
      <c r="B998" s="5"/>
      <c r="C998" s="1"/>
      <c r="D998" s="60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.75" customHeight="1" x14ac:dyDescent="0.6">
      <c r="A999" s="1"/>
      <c r="B999" s="5"/>
      <c r="C999" s="1"/>
      <c r="D999" s="60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.75" customHeight="1" x14ac:dyDescent="0.6">
      <c r="A1000" s="1"/>
      <c r="B1000" s="5"/>
      <c r="C1000" s="1"/>
      <c r="D1000" s="60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.75" customHeight="1" x14ac:dyDescent="0.6">
      <c r="A1001" s="1"/>
      <c r="B1001" s="5"/>
      <c r="C1001" s="1"/>
      <c r="D1001" s="60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21.75" customHeight="1" x14ac:dyDescent="0.6">
      <c r="A1002" s="1"/>
      <c r="B1002" s="5"/>
      <c r="C1002" s="1"/>
      <c r="D1002" s="60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3">
    <mergeCell ref="A1:A2"/>
    <mergeCell ref="B1:C1"/>
    <mergeCell ref="I1:J1"/>
  </mergeCells>
  <conditionalFormatting sqref="F3:F18">
    <cfRule type="cellIs" dxfId="2" priority="1" operator="between">
      <formula>$I3</formula>
      <formula>$J3</formula>
    </cfRule>
    <cfRule type="cellIs" dxfId="1" priority="2" operator="lessThan">
      <formula>$I3</formula>
    </cfRule>
    <cfRule type="cellIs" dxfId="0" priority="3" operator="greaterThan">
      <formula>$J3</formula>
    </cfRule>
  </conditionalFormatting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U27"/>
  <sheetViews>
    <sheetView zoomScale="90" zoomScaleNormal="90" workbookViewId="0">
      <pane xSplit="2" ySplit="7" topLeftCell="C11" activePane="bottomRight" state="frozen"/>
      <selection pane="topRight" activeCell="C1" sqref="C1"/>
      <selection pane="bottomLeft" activeCell="A8" sqref="A8"/>
      <selection pane="bottomRight" activeCell="B16" sqref="B16"/>
    </sheetView>
  </sheetViews>
  <sheetFormatPr defaultRowHeight="15" x14ac:dyDescent="0.25"/>
  <cols>
    <col min="2" max="2" width="66.140625" customWidth="1"/>
    <col min="3" max="3" width="23.5703125" hidden="1" customWidth="1"/>
    <col min="4" max="4" width="24" customWidth="1"/>
    <col min="5" max="5" width="23.5703125" hidden="1" customWidth="1"/>
    <col min="6" max="6" width="20.28515625" bestFit="1" customWidth="1"/>
    <col min="7" max="7" width="23.5703125" hidden="1" customWidth="1"/>
    <col min="8" max="8" width="21.28515625" bestFit="1" customWidth="1"/>
    <col min="9" max="9" width="23.5703125" hidden="1" customWidth="1"/>
    <col min="10" max="10" width="21.28515625" bestFit="1" customWidth="1"/>
    <col min="11" max="11" width="1.5703125" customWidth="1"/>
    <col min="12" max="13" width="17" style="56" customWidth="1"/>
    <col min="14" max="14" width="9.7109375" bestFit="1" customWidth="1"/>
    <col min="15" max="15" width="10.140625" bestFit="1" customWidth="1"/>
    <col min="16" max="16" width="9.7109375" bestFit="1" customWidth="1"/>
    <col min="17" max="17" width="10.140625" bestFit="1" customWidth="1"/>
  </cols>
  <sheetData>
    <row r="1" spans="2:21" ht="13.9" customHeight="1" x14ac:dyDescent="0.25"/>
    <row r="2" spans="2:21" ht="13.9" customHeight="1" thickBot="1" x14ac:dyDescent="0.3"/>
    <row r="3" spans="2:21" ht="13.9" customHeight="1" x14ac:dyDescent="0.25">
      <c r="C3" s="54" t="s">
        <v>42</v>
      </c>
      <c r="D3" s="77">
        <v>45139</v>
      </c>
      <c r="E3" s="54" t="s">
        <v>42</v>
      </c>
      <c r="F3" s="77">
        <v>44682</v>
      </c>
      <c r="G3" s="54" t="s">
        <v>42</v>
      </c>
      <c r="H3" s="77">
        <v>44927</v>
      </c>
      <c r="I3" s="54" t="s">
        <v>42</v>
      </c>
      <c r="J3" s="76">
        <v>45017</v>
      </c>
    </row>
    <row r="4" spans="2:21" ht="13.9" customHeight="1" thickBot="1" x14ac:dyDescent="0.3">
      <c r="C4" s="55" t="s">
        <v>52</v>
      </c>
      <c r="D4" s="84">
        <v>2750.52</v>
      </c>
      <c r="E4" s="55" t="s">
        <v>45</v>
      </c>
      <c r="F4" s="49">
        <v>2470.83</v>
      </c>
      <c r="G4" s="55" t="s">
        <v>45</v>
      </c>
      <c r="H4" s="49">
        <v>2651.17</v>
      </c>
      <c r="I4" s="55" t="s">
        <v>52</v>
      </c>
      <c r="J4" s="49">
        <v>2680.84</v>
      </c>
    </row>
    <row r="5" spans="2:21" ht="13.9" customHeight="1" thickBot="1" x14ac:dyDescent="0.3"/>
    <row r="6" spans="2:21" ht="19.149999999999999" customHeight="1" thickBot="1" x14ac:dyDescent="0.3">
      <c r="C6" s="127" t="s">
        <v>60</v>
      </c>
      <c r="D6" s="128"/>
      <c r="E6" s="127" t="s">
        <v>54</v>
      </c>
      <c r="F6" s="128"/>
      <c r="G6" s="127" t="s">
        <v>53</v>
      </c>
      <c r="H6" s="129"/>
      <c r="I6" s="129" t="s">
        <v>55</v>
      </c>
      <c r="J6" s="128"/>
      <c r="L6" s="126" t="s">
        <v>48</v>
      </c>
      <c r="M6" s="126"/>
    </row>
    <row r="7" spans="2:21" ht="19.149999999999999" customHeight="1" thickBot="1" x14ac:dyDescent="0.3">
      <c r="B7" s="21"/>
      <c r="C7" s="52" t="s">
        <v>46</v>
      </c>
      <c r="D7" s="52" t="s">
        <v>47</v>
      </c>
      <c r="E7" s="52" t="s">
        <v>46</v>
      </c>
      <c r="F7" s="52" t="s">
        <v>47</v>
      </c>
      <c r="G7" s="52" t="s">
        <v>46</v>
      </c>
      <c r="H7" s="52" t="s">
        <v>47</v>
      </c>
      <c r="I7" s="52" t="s">
        <v>46</v>
      </c>
      <c r="J7" s="52" t="s">
        <v>47</v>
      </c>
      <c r="L7" s="57" t="s">
        <v>49</v>
      </c>
      <c r="M7" s="57" t="s">
        <v>50</v>
      </c>
    </row>
    <row r="8" spans="2:21" ht="19.149999999999999" customHeight="1" x14ac:dyDescent="0.25">
      <c r="B8" s="37" t="s">
        <v>41</v>
      </c>
      <c r="C8" s="42">
        <v>521.70769502407381</v>
      </c>
      <c r="D8" s="79">
        <f>ORÇAMENTO_EXECUTIVO!$B$20/CÁLCULO_MÉDIAS!D$4*C8</f>
        <v>523.21372264739273</v>
      </c>
      <c r="E8" s="43">
        <v>428.34509633582582</v>
      </c>
      <c r="F8" s="79">
        <f>ORÇAMENTO_EXECUTIVO!$B$20/CÁLCULO_MÉDIAS!F$4*E8</f>
        <v>478.20886683362363</v>
      </c>
      <c r="G8" s="53">
        <v>507.78</v>
      </c>
      <c r="H8" s="74">
        <f>ORÇAMENTO_EXECUTIVO!$B$20/CÁLCULO_MÉDIAS!H$4*G8</f>
        <v>528.32931075713736</v>
      </c>
      <c r="I8" s="44">
        <v>540.45029136603932</v>
      </c>
      <c r="J8" s="80">
        <f>ORÇAMENTO_EXECUTIVO!$B$20/CÁLCULO_MÉDIAS!J$4*I8</f>
        <v>556.09827916681525</v>
      </c>
      <c r="L8" s="58">
        <v>510</v>
      </c>
      <c r="M8" s="58">
        <v>550</v>
      </c>
      <c r="N8" s="82"/>
      <c r="O8" s="56"/>
      <c r="P8" s="56"/>
      <c r="Q8" s="56"/>
      <c r="R8" s="82"/>
      <c r="S8" s="82"/>
      <c r="T8" s="82"/>
      <c r="U8" s="82"/>
    </row>
    <row r="9" spans="2:21" ht="19.149999999999999" customHeight="1" x14ac:dyDescent="0.25">
      <c r="B9" s="38" t="s">
        <v>4</v>
      </c>
      <c r="C9" s="22">
        <v>16.838658622789897</v>
      </c>
      <c r="D9" s="79">
        <f>ORÇAMENTO_EXECUTIVO!$B$20/CÁLCULO_MÉDIAS!D$4*C9</f>
        <v>16.887267231149391</v>
      </c>
      <c r="E9" s="25">
        <v>2.4231330085942107</v>
      </c>
      <c r="F9" s="79">
        <f>ORÇAMENTO_EXECUTIVO!$B$20/CÁLCULO_MÉDIAS!F$4*E9</f>
        <v>2.7052105887037099</v>
      </c>
      <c r="G9" s="22">
        <v>27.52</v>
      </c>
      <c r="H9" s="74">
        <f>ORÇAMENTO_EXECUTIVO!$B$20/CÁLCULO_MÉDIAS!H$4*G9</f>
        <v>28.633704817118481</v>
      </c>
      <c r="I9" s="45">
        <v>11.408929736976733</v>
      </c>
      <c r="J9" s="80">
        <f>ORÇAMENTO_EXECUTIVO!$B$20/CÁLCULO_MÉDIAS!J$4*I9</f>
        <v>11.739259456834738</v>
      </c>
      <c r="L9" s="58">
        <v>16</v>
      </c>
      <c r="M9" s="58">
        <v>28</v>
      </c>
      <c r="N9" s="82"/>
      <c r="O9" s="56"/>
      <c r="P9" s="56"/>
      <c r="Q9" s="56"/>
      <c r="R9" s="82"/>
      <c r="S9" s="82"/>
      <c r="T9" s="82"/>
      <c r="U9" s="82"/>
    </row>
    <row r="10" spans="2:21" ht="19.149999999999999" customHeight="1" x14ac:dyDescent="0.25">
      <c r="B10" s="39" t="s">
        <v>5</v>
      </c>
      <c r="C10" s="22">
        <v>343.9846380771163</v>
      </c>
      <c r="D10" s="79">
        <f>ORÇAMENTO_EXECUTIVO!$B$20/CÁLCULO_MÉDIAS!D$4*C10</f>
        <v>344.97762777591231</v>
      </c>
      <c r="E10" s="25">
        <v>146.44486984580064</v>
      </c>
      <c r="F10" s="79">
        <f>ORÇAMENTO_EXECUTIVO!$B$20/CÁLCULO_MÉDIAS!F$4*E10</f>
        <v>163.49255743003255</v>
      </c>
      <c r="G10" s="22">
        <v>176.17906718669892</v>
      </c>
      <c r="H10" s="74">
        <f>ORÇAMENTO_EXECUTIVO!$B$20/CÁLCULO_MÉDIAS!H$4*G10</f>
        <v>183.30884465040774</v>
      </c>
      <c r="I10" s="45">
        <v>230.92547380057744</v>
      </c>
      <c r="J10" s="80">
        <f>ORÇAMENTO_EXECUTIVO!$B$20/CÁLCULO_MÉDIAS!J$4*I10</f>
        <v>237.61160026705841</v>
      </c>
      <c r="L10" s="58">
        <v>160</v>
      </c>
      <c r="M10" s="58">
        <v>230</v>
      </c>
      <c r="N10" s="82"/>
      <c r="O10" s="56"/>
      <c r="P10" s="56"/>
      <c r="Q10" s="56"/>
      <c r="R10" s="82"/>
      <c r="S10" s="82"/>
      <c r="T10" s="82"/>
      <c r="U10" s="82"/>
    </row>
    <row r="11" spans="2:21" ht="19.149999999999999" customHeight="1" x14ac:dyDescent="0.25">
      <c r="B11" s="38" t="s">
        <v>6</v>
      </c>
      <c r="C11" s="22">
        <v>484.52747020846209</v>
      </c>
      <c r="D11" s="79">
        <f>ORÇAMENTO_EXECUTIVO!$B$20/CÁLCULO_MÉDIAS!D$4*C11</f>
        <v>485.9261686776444</v>
      </c>
      <c r="E11" s="25">
        <v>506.89276162700509</v>
      </c>
      <c r="F11" s="79">
        <f>ORÇAMENTO_EXECUTIVO!$B$20/CÁLCULO_MÉDIAS!F$4*E11</f>
        <v>565.90028744900644</v>
      </c>
      <c r="G11" s="22">
        <v>601.70733907445504</v>
      </c>
      <c r="H11" s="74">
        <f>ORÇAMENTO_EXECUTIVO!$B$20/CÁLCULO_MÉDIAS!H$4*G11</f>
        <v>626.05778827586357</v>
      </c>
      <c r="I11" s="45">
        <v>769.34732243136295</v>
      </c>
      <c r="J11" s="80">
        <f>ORÇAMENTO_EXECUTIVO!$B$20/CÁLCULO_MÉDIAS!J$4*I11</f>
        <v>791.62270595560256</v>
      </c>
      <c r="L11" s="58">
        <v>610</v>
      </c>
      <c r="M11" s="58">
        <v>770</v>
      </c>
      <c r="N11" s="82"/>
      <c r="O11" s="56"/>
      <c r="P11" s="56"/>
      <c r="Q11" s="56"/>
      <c r="R11" s="82"/>
      <c r="S11" s="82"/>
      <c r="T11" s="82"/>
      <c r="U11" s="82"/>
    </row>
    <row r="12" spans="2:21" ht="19.149999999999999" customHeight="1" x14ac:dyDescent="0.25">
      <c r="B12" s="40" t="s">
        <v>7</v>
      </c>
      <c r="C12" s="22">
        <v>117.11122940897954</v>
      </c>
      <c r="D12" s="79">
        <f>ORÇAMENTO_EXECUTIVO!$B$20/CÁLCULO_MÉDIAS!D$4*C12</f>
        <v>117.44929754209885</v>
      </c>
      <c r="E12" s="25">
        <v>125.20191120349975</v>
      </c>
      <c r="F12" s="79">
        <f>ORÇAMENTO_EXECUTIVO!$B$20/CÁLCULO_MÉDIAS!F$4*E12</f>
        <v>139.77670012846127</v>
      </c>
      <c r="G12" s="22">
        <v>128.62893187880044</v>
      </c>
      <c r="H12" s="74">
        <f>ORÇAMENTO_EXECUTIVO!$B$20/CÁLCULO_MÉDIAS!H$4*G12</f>
        <v>133.83440648106154</v>
      </c>
      <c r="I12" s="45">
        <v>125.31751547973963</v>
      </c>
      <c r="J12" s="80">
        <f>ORÇAMENTO_EXECUTIVO!$B$20/CÁLCULO_MÉDIAS!J$4*I12</f>
        <v>128.945910143926</v>
      </c>
      <c r="L12" s="58">
        <v>115</v>
      </c>
      <c r="M12" s="58">
        <v>135</v>
      </c>
      <c r="N12" s="82"/>
      <c r="O12" s="56"/>
      <c r="P12" s="56"/>
      <c r="Q12" s="56"/>
      <c r="R12" s="82"/>
      <c r="S12" s="82"/>
      <c r="T12" s="82"/>
      <c r="U12" s="82"/>
    </row>
    <row r="13" spans="2:21" ht="19.149999999999999" customHeight="1" x14ac:dyDescent="0.25">
      <c r="B13" s="38" t="s">
        <v>8</v>
      </c>
      <c r="C13" s="22">
        <v>305.07520258743716</v>
      </c>
      <c r="D13" s="79">
        <f>ORÇAMENTO_EXECUTIVO!$B$20/CÁLCULO_MÉDIAS!D$4*C13</f>
        <v>305.95587137317381</v>
      </c>
      <c r="E13" s="25">
        <v>367.37491235146291</v>
      </c>
      <c r="F13" s="79">
        <f>ORÇAMENTO_EXECUTIVO!$B$20/CÁLCULO_MÉDIAS!F$4*E13</f>
        <v>410.14112695936853</v>
      </c>
      <c r="G13" s="22">
        <v>321.44125300954613</v>
      </c>
      <c r="H13" s="74">
        <f>ORÇAMENTO_EXECUTIVO!$B$20/CÁLCULO_MÉDIAS!H$4*G13</f>
        <v>334.44963498255964</v>
      </c>
      <c r="I13" s="45">
        <v>320.13387549173535</v>
      </c>
      <c r="J13" s="80">
        <f>ORÇAMENTO_EXECUTIVO!$B$20/CÁLCULO_MÉDIAS!J$4*I13</f>
        <v>329.4029073681877</v>
      </c>
      <c r="L13" s="58">
        <v>300</v>
      </c>
      <c r="M13" s="58">
        <v>330</v>
      </c>
      <c r="N13" s="82"/>
      <c r="O13" s="56"/>
      <c r="P13" s="56"/>
      <c r="Q13" s="56"/>
      <c r="R13" s="82"/>
      <c r="S13" s="82"/>
      <c r="T13" s="82"/>
      <c r="U13" s="82"/>
    </row>
    <row r="14" spans="2:21" ht="19.149999999999999" customHeight="1" x14ac:dyDescent="0.25">
      <c r="B14" s="40" t="s">
        <v>40</v>
      </c>
      <c r="C14" s="22">
        <v>171.78230184099266</v>
      </c>
      <c r="D14" s="79">
        <f>ORÇAMENTO_EXECUTIVO!$B$20/CÁLCULO_MÉDIAS!D$4*C14</f>
        <v>172.27819042810256</v>
      </c>
      <c r="E14" s="25">
        <v>292.94778319009652</v>
      </c>
      <c r="F14" s="79">
        <f>ORÇAMENTO_EXECUTIVO!$B$20/CÁLCULO_MÉDIAS!F$4*E14</f>
        <v>327.04991521818732</v>
      </c>
      <c r="G14" s="22">
        <v>177.07278072332943</v>
      </c>
      <c r="H14" s="74">
        <f>ORÇAMENTO_EXECUTIVO!$B$20/CÁLCULO_MÉDIAS!H$4*G14</f>
        <v>184.23872581315996</v>
      </c>
      <c r="I14" s="46">
        <v>212.11555853487869</v>
      </c>
      <c r="J14" s="80">
        <f>ORÇAMENTO_EXECUTIVO!$B$20/CÁLCULO_MÉDIAS!J$4*I14</f>
        <v>218.25707002138191</v>
      </c>
      <c r="L14" s="58">
        <v>170</v>
      </c>
      <c r="M14" s="58">
        <v>210</v>
      </c>
      <c r="N14" s="82"/>
      <c r="O14" s="56"/>
      <c r="P14" s="56"/>
      <c r="Q14" s="56"/>
      <c r="R14" s="82"/>
      <c r="S14" s="82"/>
      <c r="T14" s="82"/>
      <c r="U14" s="82"/>
    </row>
    <row r="15" spans="2:21" ht="19.149999999999999" customHeight="1" x14ac:dyDescent="0.25">
      <c r="B15" s="40" t="s">
        <v>9</v>
      </c>
      <c r="C15" s="22">
        <v>66.93912825841474</v>
      </c>
      <c r="D15" s="79">
        <f>ORÇAMENTO_EXECUTIVO!$B$20/CÁLCULO_MÉDIAS!D$4*C15</f>
        <v>67.132363238844562</v>
      </c>
      <c r="E15" s="25">
        <v>49.030442741460085</v>
      </c>
      <c r="F15" s="79">
        <f>ORÇAMENTO_EXECUTIVO!$B$20/CÁLCULO_MÉDIAS!F$4*E15</f>
        <v>54.738090068765558</v>
      </c>
      <c r="G15" s="22">
        <v>128.04192273497173</v>
      </c>
      <c r="H15" s="74">
        <f>ORÇAMENTO_EXECUTIVO!$B$20/CÁLCULO_MÉDIAS!H$4*G15</f>
        <v>133.22364170819304</v>
      </c>
      <c r="I15" s="45">
        <v>61.388460611192457</v>
      </c>
      <c r="J15" s="80">
        <f>ORÇAMENTO_EXECUTIVO!$B$20/CÁLCULO_MÉDIAS!J$4*I15</f>
        <v>63.165878253663017</v>
      </c>
      <c r="L15" s="58">
        <v>50</v>
      </c>
      <c r="M15" s="58">
        <v>80</v>
      </c>
      <c r="N15" s="82"/>
      <c r="O15" s="56"/>
      <c r="P15" s="56"/>
      <c r="Q15" s="56"/>
      <c r="R15" s="82"/>
      <c r="S15" s="82"/>
      <c r="T15" s="82"/>
      <c r="U15" s="82"/>
    </row>
    <row r="16" spans="2:21" ht="19.149999999999999" customHeight="1" x14ac:dyDescent="0.25">
      <c r="B16" s="38" t="s">
        <v>36</v>
      </c>
      <c r="C16" s="22">
        <v>163.27143728421353</v>
      </c>
      <c r="D16" s="79">
        <f>ORÇAMENTO_EXECUTIVO!$B$20/CÁLCULO_MÉDIAS!D$4*C16</f>
        <v>163.74275732989096</v>
      </c>
      <c r="E16" s="25">
        <v>179.25884397009094</v>
      </c>
      <c r="F16" s="79">
        <f>ORÇAMENTO_EXECUTIVO!$B$20/CÁLCULO_MÉDIAS!F$4*E16</f>
        <v>200.12641530891932</v>
      </c>
      <c r="G16" s="22">
        <v>192.52393684333484</v>
      </c>
      <c r="H16" s="74">
        <f>ORÇAMENTO_EXECUTIVO!$B$20/CÁLCULO_MÉDIAS!H$4*G16</f>
        <v>200.31517361197714</v>
      </c>
      <c r="I16" s="45">
        <v>166.08162365268933</v>
      </c>
      <c r="J16" s="80">
        <f>ORÇAMENTO_EXECUTIVO!$B$20/CÁLCULO_MÉDIAS!J$4*I16</f>
        <v>170.89028647028448</v>
      </c>
      <c r="L16" s="58">
        <v>160</v>
      </c>
      <c r="M16" s="58">
        <v>200</v>
      </c>
      <c r="N16" s="82"/>
      <c r="O16" s="56"/>
      <c r="P16" s="56"/>
      <c r="Q16" s="56"/>
      <c r="R16" s="82"/>
      <c r="S16" s="82"/>
      <c r="T16" s="82"/>
      <c r="U16" s="82"/>
    </row>
    <row r="17" spans="2:21" ht="19.149999999999999" customHeight="1" x14ac:dyDescent="0.25">
      <c r="B17" s="40" t="s">
        <v>37</v>
      </c>
      <c r="C17" s="22">
        <v>41.996743008362493</v>
      </c>
      <c r="D17" s="79">
        <f>ORÇAMENTO_EXECUTIVO!$B$20/CÁLCULO_MÉDIAS!D$4*C17</f>
        <v>42.117976135002699</v>
      </c>
      <c r="E17" s="25">
        <v>114.72652415376501</v>
      </c>
      <c r="F17" s="79">
        <f>ORÇAMENTO_EXECUTIVO!$B$20/CÁLCULO_MÉDIAS!F$4*E17</f>
        <v>128.08187039059533</v>
      </c>
      <c r="G17" s="22">
        <v>66.141025225026439</v>
      </c>
      <c r="H17" s="74">
        <f>ORÇAMENTO_EXECUTIVO!$B$20/CÁLCULO_MÉDIAS!H$4*G17</f>
        <v>68.817681416969279</v>
      </c>
      <c r="I17" s="45">
        <v>70.692445651854342</v>
      </c>
      <c r="J17" s="80">
        <f>ORÇAMENTO_EXECUTIVO!$B$20/CÁLCULO_MÉDIAS!J$4*I17</f>
        <v>72.739247263101916</v>
      </c>
      <c r="L17" s="58">
        <v>40</v>
      </c>
      <c r="M17" s="58">
        <v>70</v>
      </c>
      <c r="N17" s="82"/>
      <c r="O17" s="56"/>
      <c r="P17" s="56"/>
      <c r="Q17" s="56"/>
      <c r="R17" s="82"/>
      <c r="S17" s="82"/>
      <c r="T17" s="82"/>
      <c r="U17" s="82"/>
    </row>
    <row r="18" spans="2:21" ht="19.149999999999999" customHeight="1" x14ac:dyDescent="0.25">
      <c r="B18" s="38" t="s">
        <v>10</v>
      </c>
      <c r="C18" s="22">
        <v>142.74532217193564</v>
      </c>
      <c r="D18" s="79">
        <f>ORÇAMENTO_EXECUTIVO!$B$20/CÁLCULO_MÉDIAS!D$4*C18</f>
        <v>143.15738892951066</v>
      </c>
      <c r="E18" s="25">
        <v>185.67446867922186</v>
      </c>
      <c r="F18" s="79">
        <f>ORÇAMENTO_EXECUTIVO!$B$20/CÁLCULO_MÉDIAS!F$4*E18</f>
        <v>207.28888465531276</v>
      </c>
      <c r="G18" s="22">
        <v>187.43824184096619</v>
      </c>
      <c r="H18" s="74">
        <f>ORÇAMENTO_EXECUTIVO!$B$20/CÁLCULO_MÉDIAS!H$4*G18</f>
        <v>195.02366599977807</v>
      </c>
      <c r="I18" s="45">
        <v>233.4876250286662</v>
      </c>
      <c r="J18" s="80">
        <f>ORÇAMENTO_EXECUTIVO!$B$20/CÁLCULO_MÉDIAS!J$4*I18</f>
        <v>240.24793502654936</v>
      </c>
      <c r="L18" s="58">
        <v>140</v>
      </c>
      <c r="M18" s="58">
        <v>230</v>
      </c>
      <c r="N18" s="82"/>
      <c r="O18" s="56"/>
      <c r="P18" s="56"/>
      <c r="Q18" s="56"/>
      <c r="R18" s="82"/>
      <c r="S18" s="82"/>
      <c r="T18" s="82"/>
      <c r="U18" s="82"/>
    </row>
    <row r="19" spans="2:21" ht="19.149999999999999" customHeight="1" x14ac:dyDescent="0.25">
      <c r="B19" s="40" t="s">
        <v>11</v>
      </c>
      <c r="C19" s="22">
        <v>142.71918182325408</v>
      </c>
      <c r="D19" s="79">
        <f>ORÇAMENTO_EXECUTIVO!$B$20/CÁLCULO_MÉDIAS!D$4*C19</f>
        <v>143.13117312078205</v>
      </c>
      <c r="E19" s="25">
        <v>147.81828674257702</v>
      </c>
      <c r="F19" s="79">
        <f>ORÇAMENTO_EXECUTIVO!$B$20/CÁLCULO_MÉDIAS!F$4*E19</f>
        <v>165.02585416557557</v>
      </c>
      <c r="G19" s="22">
        <v>135.4755699480184</v>
      </c>
      <c r="H19" s="74">
        <f>ORÇAMENTO_EXECUTIVO!$B$20/CÁLCULO_MÉDIAS!H$4*G19</f>
        <v>140.95812063308307</v>
      </c>
      <c r="I19" s="45">
        <v>147.78933441529804</v>
      </c>
      <c r="J19" s="80">
        <f>ORÇAMENTO_EXECUTIVO!$B$20/CÁLCULO_MÉDIAS!J$4*I19</f>
        <v>152.06836939586961</v>
      </c>
      <c r="L19" s="58">
        <v>130</v>
      </c>
      <c r="M19" s="58">
        <v>160</v>
      </c>
      <c r="N19" s="82"/>
      <c r="O19" s="56"/>
      <c r="P19" s="56"/>
      <c r="Q19" s="56"/>
      <c r="R19" s="82"/>
      <c r="S19" s="82"/>
      <c r="T19" s="82"/>
      <c r="U19" s="82"/>
    </row>
    <row r="20" spans="2:21" ht="19.149999999999999" customHeight="1" x14ac:dyDescent="0.25">
      <c r="B20" s="38" t="s">
        <v>12</v>
      </c>
      <c r="C20" s="22">
        <v>237.46921884205523</v>
      </c>
      <c r="D20" s="79">
        <f>ORÇAMENTO_EXECUTIVO!$B$20/CÁLCULO_MÉDIAS!D$4*C20</f>
        <v>238.1547276177071</v>
      </c>
      <c r="E20" s="25">
        <v>660.96994198132245</v>
      </c>
      <c r="F20" s="79">
        <f>ORÇAMENTO_EXECUTIVO!$B$20/CÁLCULO_MÉDIAS!F$4*E20</f>
        <v>737.91363475342257</v>
      </c>
      <c r="G20" s="22">
        <v>269.57661931431016</v>
      </c>
      <c r="H20" s="74">
        <f>ORÇAMENTO_EXECUTIVO!$B$20/CÁLCULO_MÉDIAS!H$4*G20</f>
        <v>280.48609531405077</v>
      </c>
      <c r="I20" s="47">
        <v>540.8960020228036</v>
      </c>
      <c r="J20" s="80">
        <f>ORÇAMENTO_EXECUTIVO!$B$20/CÁLCULO_MÉDIAS!J$4*I20</f>
        <v>556.55689475680117</v>
      </c>
      <c r="L20" s="58">
        <v>280</v>
      </c>
      <c r="M20" s="58">
        <v>540</v>
      </c>
      <c r="N20" s="82"/>
      <c r="O20" s="56"/>
      <c r="P20" s="56"/>
      <c r="Q20" s="56"/>
      <c r="R20" s="82"/>
      <c r="S20" s="82"/>
      <c r="T20" s="82"/>
      <c r="U20" s="82"/>
    </row>
    <row r="21" spans="2:21" ht="19.149999999999999" customHeight="1" x14ac:dyDescent="0.25">
      <c r="B21" s="40" t="s">
        <v>39</v>
      </c>
      <c r="C21" s="22">
        <v>15.039700338767545</v>
      </c>
      <c r="D21" s="79">
        <f>ORÇAMENTO_EXECUTIVO!$B$20/CÁLCULO_MÉDIAS!D$4*C21</f>
        <v>15.083115845904311</v>
      </c>
      <c r="E21" s="25">
        <v>16.604138872514042</v>
      </c>
      <c r="F21" s="79">
        <f>ORÇAMENTO_EXECUTIVO!$B$20/CÁLCULO_MÉDIAS!F$4*E21</f>
        <v>18.537031246291768</v>
      </c>
      <c r="G21" s="22">
        <v>29.42</v>
      </c>
      <c r="H21" s="74">
        <f>ORÇAMENTO_EXECUTIVO!$B$20/CÁLCULO_MÉDIAS!H$4*G21</f>
        <v>30.610595774695703</v>
      </c>
      <c r="I21" s="47">
        <v>14.47634672264658</v>
      </c>
      <c r="J21" s="80">
        <f>ORÇAMENTO_EXECUTIVO!$B$20/CÁLCULO_MÉDIAS!J$4*I21</f>
        <v>14.895489242383615</v>
      </c>
      <c r="L21" s="58">
        <v>14</v>
      </c>
      <c r="M21" s="58">
        <v>20</v>
      </c>
      <c r="N21" s="82"/>
      <c r="O21" s="56"/>
      <c r="P21" s="56"/>
      <c r="Q21" s="56"/>
      <c r="R21" s="82"/>
      <c r="S21" s="82"/>
      <c r="T21" s="82"/>
      <c r="U21" s="82"/>
    </row>
    <row r="22" spans="2:21" ht="19.149999999999999" customHeight="1" x14ac:dyDescent="0.25">
      <c r="B22" s="38" t="s">
        <v>13</v>
      </c>
      <c r="C22" s="22">
        <v>123.4283008273575</v>
      </c>
      <c r="D22" s="79">
        <f>ORÇAMENTO_EXECUTIVO!$B$20/CÁLCULO_MÉDIAS!D$4*C22</f>
        <v>123.78460462030183</v>
      </c>
      <c r="E22" s="25">
        <v>134.24254289348764</v>
      </c>
      <c r="F22" s="79">
        <f>ORÇAMENTO_EXECUTIVO!$B$20/CÁLCULO_MÉDIAS!F$4*E22</f>
        <v>149.86975424046574</v>
      </c>
      <c r="G22" s="22">
        <v>187.55719597905161</v>
      </c>
      <c r="H22" s="74">
        <f>ORÇAMENTO_EXECUTIVO!$B$20/CÁLCULO_MÉDIAS!H$4*G22</f>
        <v>195.14743408396095</v>
      </c>
      <c r="I22" s="45">
        <v>149.4185145330205</v>
      </c>
      <c r="J22" s="80">
        <f>ORÇAMENTO_EXECUTIVO!$B$20/CÁLCULO_MÉDIAS!J$4*I22</f>
        <v>153.74472016187306</v>
      </c>
      <c r="L22" s="58">
        <v>140</v>
      </c>
      <c r="M22" s="58">
        <v>190</v>
      </c>
      <c r="N22" s="82"/>
      <c r="O22" s="56"/>
      <c r="P22" s="56"/>
      <c r="Q22" s="56"/>
      <c r="R22" s="82"/>
      <c r="S22" s="82"/>
      <c r="T22" s="82"/>
      <c r="U22" s="82"/>
    </row>
    <row r="23" spans="2:21" ht="19.149999999999999" customHeight="1" thickBot="1" x14ac:dyDescent="0.3">
      <c r="B23" s="41" t="s">
        <v>14</v>
      </c>
      <c r="C23" s="23">
        <v>241.24935828179949</v>
      </c>
      <c r="D23" s="79">
        <f>ORÇAMENTO_EXECUTIVO!$B$20/CÁLCULO_MÉDIAS!D$4*C23</f>
        <v>241.94577928755751</v>
      </c>
      <c r="E23" s="26">
        <v>222.14638081350253</v>
      </c>
      <c r="F23" s="79">
        <f>ORÇAMENTO_EXECUTIVO!$B$20/CÁLCULO_MÉDIAS!F$4*E23</f>
        <v>248.00650211419412</v>
      </c>
      <c r="G23" s="23">
        <v>81.265858929347857</v>
      </c>
      <c r="H23" s="74">
        <f>ORÇAMENTO_EXECUTIVO!$B$20/CÁLCULO_MÉDIAS!H$4*G23</f>
        <v>84.554600882723065</v>
      </c>
      <c r="I23" s="48">
        <v>249.08</v>
      </c>
      <c r="J23" s="80">
        <f>ORÇAMENTO_EXECUTIVO!$B$20/CÁLCULO_MÉDIAS!J$4*I23</f>
        <v>256.29176556601664</v>
      </c>
      <c r="L23" s="58">
        <v>120</v>
      </c>
      <c r="M23" s="58">
        <v>230</v>
      </c>
      <c r="N23" s="82"/>
      <c r="O23" s="56"/>
      <c r="P23" s="56"/>
      <c r="Q23" s="56"/>
      <c r="R23" s="82"/>
      <c r="S23" s="82"/>
      <c r="T23" s="82"/>
      <c r="U23" s="82"/>
    </row>
    <row r="24" spans="2:21" ht="19.149999999999999" customHeight="1" thickBot="1" x14ac:dyDescent="0.3">
      <c r="B24" s="50" t="s">
        <v>15</v>
      </c>
      <c r="C24" s="51">
        <f t="shared" ref="C24:J24" si="0">SUM(C8:C23)</f>
        <v>3135.8855866060121</v>
      </c>
      <c r="D24" s="85">
        <f t="shared" si="0"/>
        <v>3144.9380318009748</v>
      </c>
      <c r="E24" s="51">
        <f t="shared" si="0"/>
        <v>3580.1020384102262</v>
      </c>
      <c r="F24" s="75">
        <f t="shared" si="0"/>
        <v>3996.862701550926</v>
      </c>
      <c r="G24" s="51">
        <f t="shared" si="0"/>
        <v>3217.7697426878581</v>
      </c>
      <c r="H24" s="75">
        <f t="shared" si="0"/>
        <v>3347.9894252027393</v>
      </c>
      <c r="I24" s="51">
        <f t="shared" si="0"/>
        <v>3843.0093194794813</v>
      </c>
      <c r="J24" s="75">
        <f t="shared" si="0"/>
        <v>3954.2783185163489</v>
      </c>
      <c r="L24" s="59">
        <f>SUM(L8:L23)</f>
        <v>2955</v>
      </c>
      <c r="M24" s="59">
        <f>SUM(M8:M23)</f>
        <v>3973</v>
      </c>
    </row>
    <row r="25" spans="2:21" x14ac:dyDescent="0.25">
      <c r="C25" s="56"/>
      <c r="E25" s="56"/>
    </row>
    <row r="26" spans="2:21" x14ac:dyDescent="0.25">
      <c r="B26" s="24"/>
      <c r="C26" s="27"/>
      <c r="E26" s="24"/>
      <c r="F26" s="27"/>
      <c r="I26" s="24"/>
      <c r="J26" s="27"/>
    </row>
    <row r="27" spans="2:21" x14ac:dyDescent="0.25">
      <c r="C27" s="27"/>
      <c r="F27" s="27"/>
      <c r="J27" s="27"/>
    </row>
  </sheetData>
  <mergeCells count="5">
    <mergeCell ref="C6:D6"/>
    <mergeCell ref="E6:F6"/>
    <mergeCell ref="G6:H6"/>
    <mergeCell ref="I6:J6"/>
    <mergeCell ref="L6:M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ORÇAMENTO_EXECUTIVO</vt:lpstr>
      <vt:lpstr>ANÁLISE_CUSTOS</vt:lpstr>
      <vt:lpstr>CÁLCULO_MÉDIAS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Valquira Vansquelhe</cp:lastModifiedBy>
  <dcterms:created xsi:type="dcterms:W3CDTF">2021-06-30T18:49:34Z</dcterms:created>
  <dcterms:modified xsi:type="dcterms:W3CDTF">2024-08-05T18:49:19Z</dcterms:modified>
</cp:coreProperties>
</file>