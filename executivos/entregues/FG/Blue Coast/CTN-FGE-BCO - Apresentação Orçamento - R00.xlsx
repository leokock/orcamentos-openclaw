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FG Empreendimentos\2025.07 - Blue Coast\04. Custo\04.3 Custo - Executivo\02 - Elaboração\Apresentação\"/>
    </mc:Choice>
  </mc:AlternateContent>
  <xr:revisionPtr revIDLastSave="0" documentId="13_ncr:1_{B5E46E3B-CE33-4397-847F-9E750EDB523A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Versões" sheetId="9" r:id="rId1"/>
    <sheet name="ORÇAMENTO_COMPARATIVO" sheetId="2" r:id="rId2"/>
    <sheet name="ORÇAMENTO_EXECUTIVO" sheetId="10" r:id="rId3"/>
    <sheet name="ANÁLISE_CUSTOS" sheetId="1" r:id="rId4"/>
    <sheet name="AREAS PRIVATIVAS" sheetId="8" r:id="rId5"/>
    <sheet name="CÁLCULO_MÉDIAS" sheetId="5" r:id="rId6"/>
  </sheets>
  <externalReferences>
    <externalReference r:id="rId7"/>
    <externalReference r:id="rId8"/>
    <externalReference r:id="rId9"/>
    <externalReference r:id="rId10"/>
    <externalReference r:id="rId11"/>
  </externalReferenc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6" i="10" l="1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N3" i="2"/>
  <c r="N18" i="2"/>
  <c r="O18" i="2" s="1"/>
  <c r="N17" i="2"/>
  <c r="O17" i="2" s="1"/>
  <c r="N16" i="2"/>
  <c r="N15" i="2"/>
  <c r="N14" i="2"/>
  <c r="O14" i="2" s="1"/>
  <c r="N13" i="2"/>
  <c r="O13" i="2" s="1"/>
  <c r="N12" i="2"/>
  <c r="O12" i="2" s="1"/>
  <c r="N10" i="2"/>
  <c r="O10" i="2" s="1"/>
  <c r="N11" i="2"/>
  <c r="O11" i="2" s="1"/>
  <c r="N9" i="2"/>
  <c r="O9" i="2" s="1"/>
  <c r="N8" i="2"/>
  <c r="O8" i="2" s="1"/>
  <c r="N7" i="2"/>
  <c r="O7" i="2" s="1"/>
  <c r="N6" i="2"/>
  <c r="O6" i="2" s="1"/>
  <c r="N5" i="2"/>
  <c r="O5" i="2" s="1"/>
  <c r="N4" i="2"/>
  <c r="O4" i="2" s="1"/>
  <c r="O16" i="2"/>
  <c r="O15" i="2"/>
  <c r="O3" i="2" l="1"/>
  <c r="O19" i="2" s="1"/>
  <c r="B18" i="2" l="1"/>
  <c r="F18" i="2" s="1"/>
  <c r="B17" i="2"/>
  <c r="F17" i="2" s="1"/>
  <c r="B16" i="2"/>
  <c r="F16" i="2" s="1"/>
  <c r="B15" i="2"/>
  <c r="F15" i="2" s="1"/>
  <c r="B14" i="2"/>
  <c r="F14" i="2" s="1"/>
  <c r="B13" i="2"/>
  <c r="B12" i="2"/>
  <c r="B11" i="2"/>
  <c r="B10" i="2"/>
  <c r="F10" i="2" s="1"/>
  <c r="B9" i="2"/>
  <c r="F9" i="2" s="1"/>
  <c r="B8" i="2"/>
  <c r="F8" i="2" s="1"/>
  <c r="B7" i="2"/>
  <c r="B6" i="2"/>
  <c r="F6" i="2" s="1"/>
  <c r="B5" i="2"/>
  <c r="F5" i="2" s="1"/>
  <c r="B4" i="2"/>
  <c r="B3" i="2"/>
  <c r="E18" i="2"/>
  <c r="E17" i="2"/>
  <c r="E10" i="2"/>
  <c r="E9" i="2"/>
  <c r="E8" i="2"/>
  <c r="D18" i="2"/>
  <c r="D8" i="2"/>
  <c r="D17" i="10"/>
  <c r="E11" i="2" l="1"/>
  <c r="F11" i="2"/>
  <c r="E4" i="2"/>
  <c r="F4" i="2"/>
  <c r="I14" i="2"/>
  <c r="H14" i="2"/>
  <c r="E3" i="2"/>
  <c r="F3" i="2"/>
  <c r="I15" i="2"/>
  <c r="H15" i="2"/>
  <c r="E13" i="2"/>
  <c r="F13" i="2"/>
  <c r="I16" i="2"/>
  <c r="H16" i="2"/>
  <c r="E12" i="2"/>
  <c r="F12" i="2"/>
  <c r="I6" i="2"/>
  <c r="H6" i="2"/>
  <c r="E7" i="2"/>
  <c r="F7" i="2"/>
  <c r="I9" i="2"/>
  <c r="H9" i="2"/>
  <c r="I17" i="2"/>
  <c r="H17" i="2"/>
  <c r="I5" i="2"/>
  <c r="H5" i="2"/>
  <c r="I8" i="2"/>
  <c r="H8" i="2"/>
  <c r="I10" i="2"/>
  <c r="H10" i="2"/>
  <c r="I18" i="2"/>
  <c r="H18" i="2"/>
  <c r="E6" i="2"/>
  <c r="E15" i="2"/>
  <c r="E16" i="2"/>
  <c r="E14" i="2"/>
  <c r="E5" i="2"/>
  <c r="D3" i="2"/>
  <c r="I7" i="2" l="1"/>
  <c r="H7" i="2"/>
  <c r="G7" i="2"/>
  <c r="I4" i="2"/>
  <c r="H4" i="2"/>
  <c r="G4" i="2"/>
  <c r="I12" i="2"/>
  <c r="H12" i="2"/>
  <c r="I13" i="2"/>
  <c r="H13" i="2"/>
  <c r="G13" i="2"/>
  <c r="H11" i="2"/>
  <c r="I11" i="2"/>
  <c r="G11" i="2"/>
  <c r="I3" i="2"/>
  <c r="H3" i="2"/>
  <c r="F19" i="2"/>
  <c r="G3" i="2"/>
  <c r="E19" i="2"/>
  <c r="I19" i="2" l="1"/>
  <c r="G17" i="2"/>
  <c r="G16" i="2"/>
  <c r="G18" i="2"/>
  <c r="G9" i="2"/>
  <c r="G15" i="2"/>
  <c r="G8" i="2"/>
  <c r="G10" i="2"/>
  <c r="G6" i="2"/>
  <c r="G14" i="2"/>
  <c r="G5" i="2"/>
  <c r="G19" i="2" s="1"/>
  <c r="H19" i="2"/>
  <c r="H20" i="2" s="1"/>
  <c r="G12" i="2"/>
  <c r="D8" i="10"/>
  <c r="D9" i="2" l="1"/>
  <c r="D7" i="10" l="1"/>
  <c r="D10" i="10" l="1"/>
  <c r="D13" i="10"/>
  <c r="D15" i="10"/>
  <c r="D9" i="10"/>
  <c r="D10" i="2" l="1"/>
  <c r="D16" i="2"/>
  <c r="D14" i="2"/>
  <c r="D11" i="10"/>
  <c r="D11" i="2"/>
  <c r="D12" i="2" l="1"/>
  <c r="J8" i="2" l="1"/>
  <c r="J11" i="2"/>
  <c r="J6" i="2"/>
  <c r="J16" i="2"/>
  <c r="J9" i="2"/>
  <c r="J17" i="2"/>
  <c r="J12" i="2"/>
  <c r="J14" i="2"/>
  <c r="D14" i="10" l="1"/>
  <c r="D16" i="10"/>
  <c r="D6" i="10"/>
  <c r="D3" i="10"/>
  <c r="D5" i="10"/>
  <c r="J15" i="2"/>
  <c r="J13" i="2"/>
  <c r="J7" i="2"/>
  <c r="J18" i="2"/>
  <c r="M18" i="2" s="1"/>
  <c r="J10" i="2" l="1"/>
  <c r="J5" i="2"/>
  <c r="J4" i="2"/>
  <c r="D12" i="10"/>
  <c r="D17" i="2"/>
  <c r="D15" i="2"/>
  <c r="D6" i="2"/>
  <c r="D4" i="2"/>
  <c r="D7" i="2"/>
  <c r="D4" i="10"/>
  <c r="D13" i="2" l="1"/>
  <c r="D5" i="2"/>
  <c r="B18" i="10" l="1"/>
  <c r="J3" i="2"/>
  <c r="D2" i="10" l="1"/>
  <c r="D18" i="10" s="1"/>
  <c r="D19" i="10" s="1"/>
  <c r="B19" i="2"/>
  <c r="D19" i="2"/>
  <c r="D20" i="2" s="1"/>
  <c r="C17" i="10"/>
  <c r="C14" i="10"/>
  <c r="C13" i="10"/>
  <c r="C16" i="10"/>
  <c r="C11" i="10"/>
  <c r="C15" i="10"/>
  <c r="C12" i="10"/>
  <c r="C8" i="10"/>
  <c r="C7" i="10"/>
  <c r="C9" i="10"/>
  <c r="C10" i="10"/>
  <c r="C6" i="10"/>
  <c r="C3" i="10"/>
  <c r="C5" i="10"/>
  <c r="C4" i="10"/>
  <c r="C2" i="10"/>
  <c r="C18" i="2" l="1"/>
  <c r="C11" i="2"/>
  <c r="C13" i="2"/>
  <c r="C8" i="2"/>
  <c r="C10" i="2"/>
  <c r="C12" i="2"/>
  <c r="C15" i="2"/>
  <c r="C17" i="2"/>
  <c r="C14" i="2"/>
  <c r="C16" i="2"/>
  <c r="C9" i="2"/>
  <c r="C7" i="2"/>
  <c r="C6" i="2"/>
  <c r="C4" i="2"/>
  <c r="C5" i="2"/>
  <c r="C3" i="2"/>
  <c r="C18" i="10"/>
  <c r="C19" i="2" l="1"/>
  <c r="E21" i="9" l="1"/>
  <c r="B2" i="9" l="1"/>
  <c r="C2" i="9" s="1"/>
  <c r="B3" i="9"/>
  <c r="B4" i="9"/>
  <c r="B5" i="9"/>
  <c r="C5" i="9" s="1"/>
  <c r="B6" i="9"/>
  <c r="B7" i="9"/>
  <c r="B8" i="9"/>
  <c r="B9" i="9"/>
  <c r="B10" i="9"/>
  <c r="B11" i="9"/>
  <c r="B12" i="9"/>
  <c r="B13" i="9"/>
  <c r="B14" i="9"/>
  <c r="B15" i="9"/>
  <c r="B16" i="9"/>
  <c r="B17" i="9"/>
  <c r="M26" i="5" l="1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R26" i="5"/>
  <c r="S26" i="5"/>
  <c r="N26" i="5" l="1"/>
  <c r="D19" i="1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L24" i="5"/>
  <c r="L23" i="5"/>
  <c r="L22" i="5"/>
  <c r="L21" i="5"/>
  <c r="L20" i="5"/>
  <c r="L19" i="5"/>
  <c r="L18" i="5"/>
  <c r="L17" i="5"/>
  <c r="L16" i="5"/>
  <c r="L14" i="5"/>
  <c r="L13" i="5"/>
  <c r="L12" i="5"/>
  <c r="L11" i="5"/>
  <c r="L10" i="5"/>
  <c r="J25" i="5"/>
  <c r="J24" i="5"/>
  <c r="J23" i="5"/>
  <c r="J22" i="5"/>
  <c r="J21" i="5"/>
  <c r="J20" i="5"/>
  <c r="J19" i="5"/>
  <c r="J18" i="5"/>
  <c r="J17" i="5"/>
  <c r="J16" i="5"/>
  <c r="J14" i="5"/>
  <c r="J13" i="5"/>
  <c r="J12" i="5"/>
  <c r="J11" i="5"/>
  <c r="J10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D3" i="1"/>
  <c r="A3" i="1"/>
  <c r="A18" i="1"/>
  <c r="D2" i="9" l="1"/>
  <c r="C3" i="9"/>
  <c r="D3" i="9" s="1"/>
  <c r="C11" i="9"/>
  <c r="D11" i="9" s="1"/>
  <c r="C12" i="9"/>
  <c r="D12" i="9" s="1"/>
  <c r="C13" i="9"/>
  <c r="D13" i="9" s="1"/>
  <c r="C6" i="9"/>
  <c r="D6" i="9" s="1"/>
  <c r="C14" i="9"/>
  <c r="D14" i="9" s="1"/>
  <c r="C10" i="9"/>
  <c r="D10" i="9" s="1"/>
  <c r="C4" i="9"/>
  <c r="D4" i="9" s="1"/>
  <c r="D5" i="9"/>
  <c r="C7" i="9"/>
  <c r="D7" i="9" s="1"/>
  <c r="C15" i="9"/>
  <c r="D15" i="9" s="1"/>
  <c r="C8" i="9"/>
  <c r="D8" i="9" s="1"/>
  <c r="C16" i="9"/>
  <c r="D16" i="9" s="1"/>
  <c r="C9" i="9"/>
  <c r="D9" i="9" s="1"/>
  <c r="D17" i="1" l="1"/>
  <c r="P26" i="5" l="1"/>
  <c r="O26" i="5"/>
  <c r="I15" i="5" l="1"/>
  <c r="J15" i="5" s="1"/>
  <c r="I26" i="5" l="1"/>
  <c r="K15" i="5"/>
  <c r="L15" i="5" s="1"/>
  <c r="K25" i="5"/>
  <c r="L25" i="5" s="1"/>
  <c r="J26" i="5" l="1"/>
  <c r="C26" i="5" l="1"/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E26" i="5"/>
  <c r="G26" i="5"/>
  <c r="K26" i="5"/>
  <c r="L26" i="5" l="1"/>
  <c r="H26" i="5"/>
  <c r="F26" i="5"/>
  <c r="D26" i="5"/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4" i="1"/>
  <c r="B25" i="1" l="1"/>
  <c r="B17" i="8" l="1"/>
  <c r="D17" i="8" s="1"/>
  <c r="B18" i="1"/>
  <c r="L18" i="2"/>
  <c r="C18" i="1" s="1"/>
  <c r="M9" i="2" l="1"/>
  <c r="B8" i="8" l="1"/>
  <c r="D8" i="8" s="1"/>
  <c r="L9" i="2"/>
  <c r="C9" i="1" s="1"/>
  <c r="B9" i="1"/>
  <c r="M8" i="2" l="1"/>
  <c r="L8" i="2" l="1"/>
  <c r="C8" i="1" s="1"/>
  <c r="B8" i="1"/>
  <c r="B7" i="8"/>
  <c r="D7" i="8" s="1"/>
  <c r="M12" i="2" l="1"/>
  <c r="M16" i="2" l="1"/>
  <c r="B11" i="8"/>
  <c r="D11" i="8" s="1"/>
  <c r="L12" i="2"/>
  <c r="C12" i="1" s="1"/>
  <c r="B12" i="1"/>
  <c r="B13" i="8" l="1"/>
  <c r="D13" i="8" s="1"/>
  <c r="M14" i="2"/>
  <c r="B9" i="8"/>
  <c r="D9" i="8" s="1"/>
  <c r="M10" i="2"/>
  <c r="M11" i="2"/>
  <c r="L10" i="2"/>
  <c r="C10" i="1" s="1"/>
  <c r="B10" i="1"/>
  <c r="B14" i="1"/>
  <c r="L14" i="2"/>
  <c r="C14" i="1" s="1"/>
  <c r="L16" i="2"/>
  <c r="C16" i="1" s="1"/>
  <c r="B15" i="8"/>
  <c r="D15" i="8" s="1"/>
  <c r="B16" i="1"/>
  <c r="M4" i="2" l="1"/>
  <c r="M7" i="2"/>
  <c r="E10" i="9"/>
  <c r="M17" i="2"/>
  <c r="M15" i="2"/>
  <c r="E9" i="9"/>
  <c r="E5" i="9"/>
  <c r="M6" i="2"/>
  <c r="E15" i="9"/>
  <c r="E7" i="9"/>
  <c r="E8" i="9"/>
  <c r="E16" i="9"/>
  <c r="E3" i="9"/>
  <c r="E11" i="9"/>
  <c r="E13" i="9"/>
  <c r="E4" i="9" l="1"/>
  <c r="H15" i="9"/>
  <c r="G15" i="9"/>
  <c r="H8" i="9"/>
  <c r="G8" i="9"/>
  <c r="G16" i="9"/>
  <c r="H16" i="9"/>
  <c r="G7" i="9"/>
  <c r="H7" i="9"/>
  <c r="H13" i="9"/>
  <c r="G13" i="9"/>
  <c r="H11" i="9"/>
  <c r="G11" i="9"/>
  <c r="G9" i="9"/>
  <c r="H9" i="9"/>
  <c r="B15" i="1"/>
  <c r="L15" i="2"/>
  <c r="C15" i="1" s="1"/>
  <c r="B14" i="8"/>
  <c r="D14" i="8" s="1"/>
  <c r="L17" i="2"/>
  <c r="C17" i="1" s="1"/>
  <c r="B16" i="8"/>
  <c r="D16" i="8" s="1"/>
  <c r="B17" i="1"/>
  <c r="E12" i="9"/>
  <c r="B7" i="1"/>
  <c r="L7" i="2"/>
  <c r="C7" i="1" s="1"/>
  <c r="B6" i="8"/>
  <c r="D6" i="8" s="1"/>
  <c r="B6" i="1"/>
  <c r="B5" i="8"/>
  <c r="D5" i="8" s="1"/>
  <c r="L6" i="2"/>
  <c r="C6" i="1" s="1"/>
  <c r="B3" i="8"/>
  <c r="D3" i="8" s="1"/>
  <c r="L4" i="2"/>
  <c r="C4" i="1" s="1"/>
  <c r="B4" i="1"/>
  <c r="M5" i="2"/>
  <c r="M13" i="2"/>
  <c r="J7" i="9" l="1"/>
  <c r="I7" i="9"/>
  <c r="G12" i="9"/>
  <c r="H12" i="9"/>
  <c r="E14" i="9"/>
  <c r="J9" i="9"/>
  <c r="I9" i="9"/>
  <c r="I16" i="9"/>
  <c r="J16" i="9"/>
  <c r="J11" i="9"/>
  <c r="I11" i="9"/>
  <c r="J8" i="9"/>
  <c r="I8" i="9"/>
  <c r="E6" i="9"/>
  <c r="H6" i="9" s="1"/>
  <c r="E17" i="9"/>
  <c r="G17" i="9" s="1"/>
  <c r="J13" i="9"/>
  <c r="I13" i="9"/>
  <c r="J15" i="9"/>
  <c r="I15" i="9"/>
  <c r="B12" i="8"/>
  <c r="D12" i="8" s="1"/>
  <c r="B13" i="1"/>
  <c r="L13" i="2"/>
  <c r="C13" i="1" s="1"/>
  <c r="H5" i="9"/>
  <c r="G5" i="9"/>
  <c r="B5" i="1"/>
  <c r="B4" i="8"/>
  <c r="D4" i="8" s="1"/>
  <c r="L5" i="2"/>
  <c r="C5" i="1" s="1"/>
  <c r="G3" i="9"/>
  <c r="H3" i="9"/>
  <c r="G14" i="9" l="1"/>
  <c r="H14" i="9"/>
  <c r="G6" i="9"/>
  <c r="J12" i="9"/>
  <c r="I12" i="9"/>
  <c r="L11" i="2"/>
  <c r="C11" i="1" s="1"/>
  <c r="B11" i="1"/>
  <c r="B10" i="8"/>
  <c r="D10" i="8" s="1"/>
  <c r="J6" i="9"/>
  <c r="I6" i="9"/>
  <c r="J5" i="9"/>
  <c r="I5" i="9"/>
  <c r="H4" i="9"/>
  <c r="G4" i="9"/>
  <c r="I3" i="9"/>
  <c r="J3" i="9"/>
  <c r="J14" i="9" l="1"/>
  <c r="I14" i="9"/>
  <c r="H10" i="9"/>
  <c r="G10" i="9"/>
  <c r="J4" i="9"/>
  <c r="I4" i="9"/>
  <c r="M3" i="2"/>
  <c r="I10" i="9" l="1"/>
  <c r="J10" i="9"/>
  <c r="B2" i="8"/>
  <c r="L3" i="2"/>
  <c r="B3" i="1"/>
  <c r="B19" i="1" s="1"/>
  <c r="J19" i="2"/>
  <c r="E2" i="9"/>
  <c r="K14" i="2" l="1"/>
  <c r="K18" i="2"/>
  <c r="K7" i="2"/>
  <c r="K17" i="2"/>
  <c r="K11" i="2"/>
  <c r="K4" i="2"/>
  <c r="K12" i="2"/>
  <c r="K9" i="2"/>
  <c r="K16" i="2"/>
  <c r="K6" i="2"/>
  <c r="K13" i="2"/>
  <c r="K15" i="2"/>
  <c r="K5" i="2"/>
  <c r="K10" i="2"/>
  <c r="K8" i="2"/>
  <c r="H2" i="9"/>
  <c r="G2" i="9"/>
  <c r="G18" i="9" s="1"/>
  <c r="G19" i="9" s="1"/>
  <c r="E18" i="9"/>
  <c r="F2" i="9" s="1"/>
  <c r="K3" i="2"/>
  <c r="C3" i="1"/>
  <c r="C19" i="1" s="1"/>
  <c r="L19" i="2"/>
  <c r="L20" i="2" s="1"/>
  <c r="D2" i="8"/>
  <c r="D18" i="8" s="1"/>
  <c r="B18" i="8"/>
  <c r="M19" i="2" l="1"/>
  <c r="J2" i="9"/>
  <c r="I2" i="9"/>
  <c r="C14" i="8"/>
  <c r="C12" i="8"/>
  <c r="C7" i="8"/>
  <c r="C8" i="8"/>
  <c r="C15" i="8"/>
  <c r="C6" i="8"/>
  <c r="C10" i="8"/>
  <c r="C5" i="8"/>
  <c r="C4" i="8"/>
  <c r="C16" i="8"/>
  <c r="C9" i="8"/>
  <c r="C13" i="8"/>
  <c r="C11" i="8"/>
  <c r="C3" i="8"/>
  <c r="K19" i="2"/>
  <c r="F16" i="9"/>
  <c r="F9" i="9"/>
  <c r="F12" i="9"/>
  <c r="F7" i="9"/>
  <c r="F3" i="9"/>
  <c r="F11" i="9"/>
  <c r="F5" i="9"/>
  <c r="F4" i="9"/>
  <c r="F10" i="9"/>
  <c r="F14" i="9"/>
  <c r="F15" i="9"/>
  <c r="F8" i="9"/>
  <c r="F17" i="9"/>
  <c r="F13" i="9"/>
  <c r="F6" i="9"/>
  <c r="C2" i="8"/>
  <c r="B18" i="9" l="1"/>
  <c r="C17" i="9"/>
  <c r="F18" i="9"/>
  <c r="C18" i="8"/>
  <c r="D17" i="9" l="1"/>
  <c r="D18" i="9" s="1"/>
  <c r="D19" i="9" s="1"/>
  <c r="C18" i="9"/>
  <c r="H17" i="9"/>
  <c r="J17" i="9" l="1"/>
  <c r="I17" i="9"/>
  <c r="I18" i="9" s="1"/>
  <c r="H18" i="9"/>
  <c r="J18" i="9" s="1"/>
</calcChain>
</file>

<file path=xl/sharedStrings.xml><?xml version="1.0" encoding="utf-8"?>
<sst xmlns="http://schemas.openxmlformats.org/spreadsheetml/2006/main" count="224" uniqueCount="123">
  <si>
    <t>ETAPA</t>
  </si>
  <si>
    <t>OBRA SIMILAR</t>
  </si>
  <si>
    <t>VALOR / m²</t>
  </si>
  <si>
    <t>MOVIMENTAÇÃO DE TERRA</t>
  </si>
  <si>
    <t>INFRAESTRUTURA</t>
  </si>
  <si>
    <t>SUPRAESTRUTURA</t>
  </si>
  <si>
    <t>ALVENARIA</t>
  </si>
  <si>
    <t>INSTALAÇÕES ELÉTRICAS, HIDRÁULICAS, GLP E PREVENTIVAS</t>
  </si>
  <si>
    <t>IMPERMEABILIZAÇÃO</t>
  </si>
  <si>
    <t>ACABAMENTOS EM PISO E PAREDE</t>
  </si>
  <si>
    <t>PINTURA INTERNA</t>
  </si>
  <si>
    <t>ESQUADRIAS, VIDROS E FERRAGENS</t>
  </si>
  <si>
    <t>REVESTIMENTOS E ACABAMENTOS DE FACHADA</t>
  </si>
  <si>
    <t>SERVIÇOS COMPLEMENTARES</t>
  </si>
  <si>
    <t>TOTAL</t>
  </si>
  <si>
    <t>900,00 - 1100</t>
  </si>
  <si>
    <t>25,00 - 30,00</t>
  </si>
  <si>
    <t>15,00 - 22,00</t>
  </si>
  <si>
    <t>150,00 - 200,00</t>
  </si>
  <si>
    <t>440,00 - 510,00</t>
  </si>
  <si>
    <t>-</t>
  </si>
  <si>
    <t>55,00 - 70,00</t>
  </si>
  <si>
    <t>170,00 - 200,00</t>
  </si>
  <si>
    <t>165,00 - 230,00</t>
  </si>
  <si>
    <t>40,00 - 70,00</t>
  </si>
  <si>
    <t>55,00 - 77,00</t>
  </si>
  <si>
    <t>35,00 - 50,00</t>
  </si>
  <si>
    <t>130,00 - 175,00</t>
  </si>
  <si>
    <t>35,00 - 65,00</t>
  </si>
  <si>
    <t>35,00 - 55,00</t>
  </si>
  <si>
    <t>430,00 - 550,00</t>
  </si>
  <si>
    <t>150,00 - 220,00</t>
  </si>
  <si>
    <t>VALOR ORÇADO</t>
  </si>
  <si>
    <t>%</t>
  </si>
  <si>
    <t>GERENCIAMENTO TÉCNICO E ADMINISTRATIVO</t>
  </si>
  <si>
    <t>REVESTIMENTOS INTERNOS EM PISO E PAREDE</t>
  </si>
  <si>
    <t>REVESTIMENTOS E ACABAMENTOS INTERNOS EM TETO</t>
  </si>
  <si>
    <t>IMPREVISTOS E CONTINGENCIAS</t>
  </si>
  <si>
    <t>COBERTURA</t>
  </si>
  <si>
    <t>EQUIPAMENTOS E SISTEMAS ESPECIAIS</t>
  </si>
  <si>
    <t>GERENCIAMENTO TECNICO E ADMINISTRATIVO</t>
  </si>
  <si>
    <t>DATA BASE</t>
  </si>
  <si>
    <t>ÁREA CONSTRUÍDA</t>
  </si>
  <si>
    <t>CUB</t>
  </si>
  <si>
    <t>VALOR / M2</t>
  </si>
  <si>
    <t>INDEXADO</t>
  </si>
  <si>
    <t>MÉDIAS</t>
  </si>
  <si>
    <t>MÍNIMA</t>
  </si>
  <si>
    <t>MÁXIMA</t>
  </si>
  <si>
    <t>DOM</t>
  </si>
  <si>
    <t>CUB/SC</t>
  </si>
  <si>
    <t>M VILLAGE</t>
  </si>
  <si>
    <t>LUMIS</t>
  </si>
  <si>
    <t>SANTORINI</t>
  </si>
  <si>
    <t>NAUTILUS</t>
  </si>
  <si>
    <t>MARIO LAGO</t>
  </si>
  <si>
    <t>M2</t>
  </si>
  <si>
    <t>PAVIMENTOS</t>
  </si>
  <si>
    <t>13 TIPO</t>
  </si>
  <si>
    <t>AREA CONSTRUÍDA</t>
  </si>
  <si>
    <t>Nº PAVIMENTOS</t>
  </si>
  <si>
    <t>ÁREA PRIVATIVA</t>
  </si>
  <si>
    <t>m²</t>
  </si>
  <si>
    <t>VALOR / AP</t>
  </si>
  <si>
    <t>VALOR DIRETO</t>
  </si>
  <si>
    <t>Mês Referência</t>
  </si>
  <si>
    <t>Diferença 
R$/M2</t>
  </si>
  <si>
    <t>Diferença
R$</t>
  </si>
  <si>
    <t>Diferença 
%</t>
  </si>
  <si>
    <t>Redentor</t>
  </si>
  <si>
    <t>ORÇAMENTO EXECUTIVO R00 
INDEXADO</t>
  </si>
  <si>
    <t xml:space="preserve">ORÇAMENTO EXECUTIVO R00 </t>
  </si>
  <si>
    <t>CUSTOS PRELIMINARES, ADMINISTRATIVOS E OPERAÇÕES</t>
  </si>
  <si>
    <t>EQUIPAMENTOS DE GRANDE PORTE</t>
  </si>
  <si>
    <t>INFRA ESTRUTURA</t>
  </si>
  <si>
    <t>SUPRA ESTRUTURA</t>
  </si>
  <si>
    <t>PAREDES E DIVISÓRIAS</t>
  </si>
  <si>
    <t>INSTALAÇÕES HIDROSSANITÁRIAS</t>
  </si>
  <si>
    <t>INSTALAÇÕES ELÉTRICAS, LÓGICAS E TELEFÔNICAS</t>
  </si>
  <si>
    <t>REVESTIMENTOS EM ARGAMASSA DE PISO, PAREDE E TETO</t>
  </si>
  <si>
    <t>FORRO</t>
  </si>
  <si>
    <t>IMPERMEABILIZAÇÕES</t>
  </si>
  <si>
    <t>PINTURA</t>
  </si>
  <si>
    <t>ACABAMENTOS DE PISO E PAREDE</t>
  </si>
  <si>
    <t>ESQUADRIAS</t>
  </si>
  <si>
    <t>SISTEMAS E INSTALAÇÕES ESPECIAIS</t>
  </si>
  <si>
    <t>DECORAÇÃO E MOBILIÁRIO ÁREA COMUM</t>
  </si>
  <si>
    <t>ORÇAMENTO EXECUTIVO R01 AUDITORIA</t>
  </si>
  <si>
    <t>Custo de PPCI tem Sprinclers que eleca o custo geral dessa etapa</t>
  </si>
  <si>
    <t xml:space="preserve">*Considerar com o mercado </t>
  </si>
  <si>
    <t>*O Drywall orçamento anteriormente está com custo muito abaixo do praticado do mercado e quantidade está inferior ao modelado atualmente</t>
  </si>
  <si>
    <t>OBRA</t>
  </si>
  <si>
    <t>*Considerando nuances de cores e textura e pintura</t>
  </si>
  <si>
    <t>* Os empreendimentos de mesmo porte não utilizaram facahada ventilada tem o Redentor que tem ACM e alguns detalhaes, mas nada perto de fachada Ventilada</t>
  </si>
  <si>
    <t>Relação do aço por m3 de concreto está acima das obras de mesmo porte Cerca de 139kg/m2 sendo que o Scenarium deu 55kg/m3. 32% do Custo da Supra é somente para o aço.</t>
  </si>
  <si>
    <t>* Quase não tem argamassados de Parede</t>
  </si>
  <si>
    <t>*Detalhamento bem específico dos acabamentos com peças bem diversificadas</t>
  </si>
  <si>
    <t>*Fachabada muito imponete com muita esquadria</t>
  </si>
  <si>
    <t>VALOR / CUB</t>
  </si>
  <si>
    <t>VALOR / M²</t>
  </si>
  <si>
    <t>ORÇAMENTO CARTESIAN R01</t>
  </si>
  <si>
    <t>ORÇAMENTO R00</t>
  </si>
  <si>
    <t>CUSTO APROPRIADO</t>
  </si>
  <si>
    <t>ALVENARIAS E VEDAÇÕES</t>
  </si>
  <si>
    <t>SISTEMAS E INSTALAÇÕES HIDROSSANITÁRIAS E DRENAGEM</t>
  </si>
  <si>
    <t>SISTEMAS E INSTALAÇÕES ELÉTRICAS</t>
  </si>
  <si>
    <t>IMPERMEABILIZAÇÃO E TRATAMENTOS</t>
  </si>
  <si>
    <t>SERVIÇOS COMPLEMENTARES E FINAIS</t>
  </si>
  <si>
    <t>OBSERVAÇÕES</t>
  </si>
  <si>
    <t>* Consideração do orçamento Cartesian, utilizou quantidades extraídas dos projetos e com preços cotados recentemente no mercado inclusive a mão de obra para execução da Supraestrutura, observando que alguns itens como os de mão de obra e aço foram apropriados com um custo muito mais elevado, dos empreendimentos de mesmo porte.</t>
  </si>
  <si>
    <t>*Para considerações para Custos indiretos o Orçamento Cartesian considerou a premisas alinhadas no Senarium para elaboração, divergindo em alguns pontos do Orçamento R00</t>
  </si>
  <si>
    <t>*Orçamento Cartesian considerou temnpo dos equipamentos de orbras de mesmo porte e para os custo de locação consideramos o que tem praticado atualmente no mercado</t>
  </si>
  <si>
    <t>*Consideração do orçamento R01 levou em contra quantitativos de projetos e cotações recentes do mercado. Observamos que Mão de Obra para execução da infra estava mais elevada que o praticado arualmente</t>
  </si>
  <si>
    <t>* O orçamento R00 não traz detalhamentos da extração de quantidades para confrontarmos as considerações, porém no orçamento R01 consideramos as quantidades do modelo elaborado e vinculamos as quantidades a composições consolidadas com preços praticados atualmente e ficou equivalente ao custo apropriado nesta etapa.</t>
  </si>
  <si>
    <t>*O orçamento R01 considerou a lista de quantidades fornecidas para precificação do Material, considerando custos praticados na atualidade, não foi possível identificar as diferenças do orçamento R00, nem do apropriado.</t>
  </si>
  <si>
    <t>*Os quantitativos considerados no orçamento R01 foram extraídos do modelo elaborado considerando as premissas que validamos em conjunto, consideramos também os cunstos praticados recentemente no mercado.</t>
  </si>
  <si>
    <t>*Considerações de quantidades foam validadas com o modelo e os custos cotados atualmente</t>
  </si>
  <si>
    <t>*O orçamento R01 considerou praticas atuais no mercado considerando as quantidades extraídas do modelo eleraborado, não sendo possível confrontar com o orçamento anterior as práticas devido ausência de alguns detalhamentos</t>
  </si>
  <si>
    <t>*Orçamento Cartesian considerou quantidades do modelo elaborado e os custos considerados são praticados atualmente.</t>
  </si>
  <si>
    <t>*O orçamento R00 tem algumas incompatibilidades com o Orçamento Cartesian, acreditamos que possa ser divido alinhamento dos acabamentos.
Ná análise de apropriações tem alguns custos localizados que não condiz com a etapa apropriada.</t>
  </si>
  <si>
    <t>*Orçamento Cartesian considerou proprostas recentes coletadas no mercado, verificamos que o custo orçado Cartesian e o custo apropriado está próximo.</t>
  </si>
  <si>
    <t>*Os custos de mobiliários foram detalhado no Orçamento Cartesian de acordo com material recebido. O custo aproproado condiz com o orçado Cartesian e não sendo possível analisar o orçamento R00 | O apropriado tem apenas um item que não condiz com a Etapa apropriada.</t>
  </si>
  <si>
    <t>ORÇAMENTO R00 INDEXADO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</si>
</sst>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_-&quot;R$&quot;\ * #,##0.00_-;\-&quot;R$&quot;\ * #,##0.00_-;_-&quot;R$&quot;\ * &quot;-&quot;??_-;_-@"/>
    <numFmt numFmtId="166" formatCode="_-* #.##0.00_-;\-* #.##0.00_-;_-* &quot;-&quot;??_-;_-@_-"/>
    <numFmt numFmtId="167" formatCode="_(&quot;R$&quot;* #,##0.00_);_(&quot;R$&quot;* \(#,##0.00\);_(&quot;R$&quot;* &quot;-&quot;??_);_(@_)"/>
    <numFmt numFmtId="168" formatCode="[$-416]mmm\-yy;@"/>
    <numFmt numFmtId="169" formatCode="_(&quot;R$&quot;* #,##0.000_);_(&quot;R$&quot;* \(#,##0.000\);_(&quot;R$&quot;* &quot;-&quot;??_);_(@_)"/>
  </numFmts>
  <fonts count="2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Poppins"/>
    </font>
    <font>
      <b/>
      <sz val="11"/>
      <color rgb="FFF5F5F5"/>
      <name val="Poppins"/>
    </font>
    <font>
      <sz val="11"/>
      <name val="Calibri"/>
      <family val="2"/>
    </font>
    <font>
      <sz val="11"/>
      <color theme="1"/>
      <name val="Poppins"/>
    </font>
    <font>
      <sz val="10"/>
      <color theme="1"/>
      <name val="Poppins"/>
    </font>
    <font>
      <sz val="11"/>
      <color theme="1"/>
      <name val="Calibri"/>
      <family val="2"/>
    </font>
    <font>
      <sz val="10"/>
      <color rgb="FF121212"/>
      <name val="Poppins"/>
    </font>
    <font>
      <sz val="8"/>
      <color theme="1"/>
      <name val="Poppins"/>
    </font>
    <font>
      <sz val="11"/>
      <color theme="1"/>
      <name val="Calibri"/>
      <family val="2"/>
      <scheme val="minor"/>
    </font>
    <font>
      <sz val="10"/>
      <color rgb="FF19212D"/>
      <name val="Arial"/>
      <family val="2"/>
    </font>
    <font>
      <sz val="11"/>
      <color theme="1"/>
      <name val="Calibri"/>
      <family val="2"/>
      <scheme val="minor"/>
    </font>
    <font>
      <sz val="11"/>
      <name val="Poppins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Poppins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0000"/>
      <name val="Poppins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rgb="FFDCDCDC"/>
        <bgColor rgb="FFDCDCDC"/>
      </patternFill>
    </fill>
    <fill>
      <patternFill patternType="solid">
        <fgColor rgb="FF12121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21212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rgb="FF255AE5"/>
        <bgColor indexed="64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808183"/>
      </left>
      <right style="medium">
        <color rgb="FF000000"/>
      </right>
      <top style="hair">
        <color rgb="FF646464"/>
      </top>
      <bottom style="hair">
        <color rgb="FF646464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646464"/>
      </left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4" fontId="14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4" fillId="0" borderId="5"/>
    <xf numFmtId="9" fontId="4" fillId="0" borderId="5" applyFont="0" applyFill="0" applyBorder="0" applyAlignment="0" applyProtection="0"/>
    <xf numFmtId="9" fontId="23" fillId="0" borderId="0" applyFont="0" applyFill="0" applyBorder="0" applyAlignment="0" applyProtection="0"/>
    <xf numFmtId="167" fontId="25" fillId="0" borderId="5" applyFont="0" applyFill="0" applyBorder="0" applyAlignment="0" applyProtection="0"/>
    <xf numFmtId="0" fontId="25" fillId="0" borderId="5" applyNumberFormat="0" applyFont="0" applyFill="0" applyBorder="0" applyAlignment="0" applyProtection="0"/>
  </cellStyleXfs>
  <cellXfs count="172">
    <xf numFmtId="0" fontId="0" fillId="0" borderId="0" xfId="0"/>
    <xf numFmtId="0" fontId="9" fillId="0" borderId="0" xfId="0" applyFont="1"/>
    <xf numFmtId="0" fontId="9" fillId="3" borderId="1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164" fontId="9" fillId="0" borderId="0" xfId="0" applyNumberFormat="1" applyFont="1" applyAlignment="1">
      <alignment vertical="center"/>
    </xf>
    <xf numFmtId="4" fontId="9" fillId="0" borderId="0" xfId="0" applyNumberFormat="1" applyFont="1" applyAlignment="1">
      <alignment vertical="center"/>
    </xf>
    <xf numFmtId="164" fontId="9" fillId="0" borderId="0" xfId="0" applyNumberFormat="1" applyFont="1"/>
    <xf numFmtId="164" fontId="9" fillId="4" borderId="2" xfId="0" applyNumberFormat="1" applyFont="1" applyFill="1" applyBorder="1" applyAlignment="1">
      <alignment horizontal="center"/>
    </xf>
    <xf numFmtId="164" fontId="9" fillId="3" borderId="2" xfId="0" applyNumberFormat="1" applyFont="1" applyFill="1" applyBorder="1" applyAlignment="1">
      <alignment horizontal="center"/>
    </xf>
    <xf numFmtId="0" fontId="10" fillId="0" borderId="0" xfId="0" applyFont="1" applyAlignment="1">
      <alignment vertical="center"/>
    </xf>
    <xf numFmtId="0" fontId="9" fillId="4" borderId="1" xfId="0" applyFont="1" applyFill="1" applyBorder="1" applyAlignment="1">
      <alignment horizontal="left" vertical="center"/>
    </xf>
    <xf numFmtId="10" fontId="9" fillId="4" borderId="3" xfId="0" applyNumberFormat="1" applyFont="1" applyFill="1" applyBorder="1" applyAlignment="1">
      <alignment horizontal="center" vertical="center"/>
    </xf>
    <xf numFmtId="10" fontId="9" fillId="3" borderId="3" xfId="0" applyNumberFormat="1" applyFont="1" applyFill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/>
    </xf>
    <xf numFmtId="4" fontId="11" fillId="0" borderId="0" xfId="0" applyNumberFormat="1" applyFont="1"/>
    <xf numFmtId="165" fontId="13" fillId="0" borderId="0" xfId="0" applyNumberFormat="1" applyFont="1" applyAlignment="1">
      <alignment horizontal="left"/>
    </xf>
    <xf numFmtId="165" fontId="10" fillId="0" borderId="0" xfId="0" applyNumberFormat="1" applyFont="1" applyAlignment="1">
      <alignment vertical="center"/>
    </xf>
    <xf numFmtId="4" fontId="10" fillId="0" borderId="0" xfId="0" applyNumberFormat="1" applyFont="1" applyAlignment="1">
      <alignment vertical="center"/>
    </xf>
    <xf numFmtId="164" fontId="9" fillId="3" borderId="3" xfId="0" applyNumberFormat="1" applyFont="1" applyFill="1" applyBorder="1" applyAlignment="1">
      <alignment horizontal="center" vertical="center"/>
    </xf>
    <xf numFmtId="0" fontId="0" fillId="0" borderId="5" xfId="0" applyBorder="1"/>
    <xf numFmtId="44" fontId="0" fillId="0" borderId="8" xfId="1" applyFont="1" applyBorder="1"/>
    <xf numFmtId="44" fontId="0" fillId="0" borderId="10" xfId="1" applyFont="1" applyBorder="1"/>
    <xf numFmtId="0" fontId="15" fillId="0" borderId="0" xfId="0" applyFont="1"/>
    <xf numFmtId="44" fontId="0" fillId="0" borderId="8" xfId="1" applyFont="1" applyFill="1" applyBorder="1"/>
    <xf numFmtId="0" fontId="5" fillId="0" borderId="0" xfId="0" applyFont="1"/>
    <xf numFmtId="166" fontId="10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12" fillId="0" borderId="0" xfId="0" applyFont="1" applyAlignment="1">
      <alignment vertical="center"/>
    </xf>
    <xf numFmtId="164" fontId="12" fillId="0" borderId="5" xfId="0" applyNumberFormat="1" applyFont="1" applyBorder="1" applyAlignment="1">
      <alignment vertical="center"/>
    </xf>
    <xf numFmtId="0" fontId="2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0" fillId="0" borderId="18" xfId="0" applyFont="1" applyBorder="1" applyAlignment="1">
      <alignment horizontal="center" vertical="center"/>
    </xf>
    <xf numFmtId="0" fontId="9" fillId="4" borderId="19" xfId="0" applyFont="1" applyFill="1" applyBorder="1" applyAlignment="1">
      <alignment horizontal="left" vertical="center"/>
    </xf>
    <xf numFmtId="0" fontId="9" fillId="3" borderId="19" xfId="0" applyFont="1" applyFill="1" applyBorder="1" applyAlignment="1">
      <alignment horizontal="left" vertical="center"/>
    </xf>
    <xf numFmtId="0" fontId="9" fillId="4" borderId="20" xfId="0" applyFont="1" applyFill="1" applyBorder="1" applyAlignment="1">
      <alignment horizontal="left" vertical="center"/>
    </xf>
    <xf numFmtId="0" fontId="9" fillId="3" borderId="21" xfId="0" applyFont="1" applyFill="1" applyBorder="1" applyAlignment="1">
      <alignment horizontal="left" vertical="center"/>
    </xf>
    <xf numFmtId="0" fontId="9" fillId="4" borderId="21" xfId="0" applyFont="1" applyFill="1" applyBorder="1" applyAlignment="1">
      <alignment horizontal="left" vertical="center"/>
    </xf>
    <xf numFmtId="44" fontId="0" fillId="0" borderId="22" xfId="1" applyFont="1" applyBorder="1"/>
    <xf numFmtId="44" fontId="0" fillId="0" borderId="22" xfId="1" applyFont="1" applyFill="1" applyBorder="1"/>
    <xf numFmtId="44" fontId="0" fillId="0" borderId="26" xfId="1" applyFont="1" applyBorder="1"/>
    <xf numFmtId="44" fontId="0" fillId="0" borderId="27" xfId="1" applyFont="1" applyBorder="1"/>
    <xf numFmtId="44" fontId="18" fillId="0" borderId="27" xfId="1" applyFont="1" applyBorder="1"/>
    <xf numFmtId="44" fontId="3" fillId="0" borderId="27" xfId="1" applyFont="1" applyBorder="1"/>
    <xf numFmtId="0" fontId="0" fillId="0" borderId="11" xfId="0" applyBorder="1"/>
    <xf numFmtId="0" fontId="6" fillId="7" borderId="15" xfId="0" applyFont="1" applyFill="1" applyBorder="1" applyAlignment="1">
      <alignment horizontal="left" vertical="center"/>
    </xf>
    <xf numFmtId="44" fontId="19" fillId="5" borderId="24" xfId="0" applyNumberFormat="1" applyFont="1" applyFill="1" applyBorder="1"/>
    <xf numFmtId="44" fontId="19" fillId="5" borderId="24" xfId="0" applyNumberFormat="1" applyFont="1" applyFill="1" applyBorder="1" applyAlignment="1">
      <alignment horizontal="center"/>
    </xf>
    <xf numFmtId="44" fontId="19" fillId="5" borderId="29" xfId="0" applyNumberFormat="1" applyFont="1" applyFill="1" applyBorder="1" applyAlignment="1">
      <alignment horizontal="center"/>
    </xf>
    <xf numFmtId="44" fontId="19" fillId="5" borderId="25" xfId="0" applyNumberFormat="1" applyFont="1" applyFill="1" applyBorder="1" applyAlignment="1">
      <alignment horizontal="center"/>
    </xf>
    <xf numFmtId="0" fontId="19" fillId="5" borderId="6" xfId="0" applyFont="1" applyFill="1" applyBorder="1"/>
    <xf numFmtId="0" fontId="19" fillId="5" borderId="10" xfId="0" applyFont="1" applyFill="1" applyBorder="1"/>
    <xf numFmtId="43" fontId="0" fillId="0" borderId="0" xfId="2" applyFont="1"/>
    <xf numFmtId="43" fontId="19" fillId="5" borderId="12" xfId="2" applyFont="1" applyFill="1" applyBorder="1" applyAlignment="1">
      <alignment horizontal="center"/>
    </xf>
    <xf numFmtId="43" fontId="9" fillId="0" borderId="0" xfId="2" applyFont="1" applyAlignment="1">
      <alignment horizontal="center"/>
    </xf>
    <xf numFmtId="43" fontId="9" fillId="0" borderId="0" xfId="2" applyFont="1"/>
    <xf numFmtId="0" fontId="9" fillId="4" borderId="31" xfId="0" applyFont="1" applyFill="1" applyBorder="1" applyAlignment="1">
      <alignment horizontal="left" vertical="center"/>
    </xf>
    <xf numFmtId="10" fontId="9" fillId="4" borderId="32" xfId="0" applyNumberFormat="1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center" vertical="center"/>
    </xf>
    <xf numFmtId="9" fontId="6" fillId="2" borderId="12" xfId="0" applyNumberFormat="1" applyFont="1" applyFill="1" applyBorder="1" applyAlignment="1">
      <alignment horizontal="center" vertical="center"/>
    </xf>
    <xf numFmtId="164" fontId="6" fillId="2" borderId="12" xfId="0" applyNumberFormat="1" applyFont="1" applyFill="1" applyBorder="1" applyAlignment="1">
      <alignment horizontal="center" vertical="center"/>
    </xf>
    <xf numFmtId="17" fontId="6" fillId="2" borderId="12" xfId="0" applyNumberFormat="1" applyFont="1" applyFill="1" applyBorder="1" applyAlignment="1">
      <alignment horizontal="center" vertical="center"/>
    </xf>
    <xf numFmtId="164" fontId="9" fillId="4" borderId="32" xfId="0" applyNumberFormat="1" applyFont="1" applyFill="1" applyBorder="1" applyAlignment="1">
      <alignment horizontal="center" vertical="center"/>
    </xf>
    <xf numFmtId="44" fontId="0" fillId="6" borderId="23" xfId="1" applyFont="1" applyFill="1" applyBorder="1"/>
    <xf numFmtId="44" fontId="0" fillId="6" borderId="28" xfId="1" applyFont="1" applyFill="1" applyBorder="1"/>
    <xf numFmtId="44" fontId="19" fillId="6" borderId="24" xfId="0" applyNumberFormat="1" applyFont="1" applyFill="1" applyBorder="1"/>
    <xf numFmtId="43" fontId="6" fillId="2" borderId="7" xfId="2" applyFont="1" applyFill="1" applyBorder="1" applyAlignment="1">
      <alignment horizontal="center" vertical="center"/>
    </xf>
    <xf numFmtId="43" fontId="6" fillId="2" borderId="9" xfId="2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right"/>
    </xf>
    <xf numFmtId="164" fontId="6" fillId="2" borderId="14" xfId="0" applyNumberFormat="1" applyFont="1" applyFill="1" applyBorder="1" applyAlignment="1">
      <alignment horizontal="center"/>
    </xf>
    <xf numFmtId="43" fontId="7" fillId="2" borderId="11" xfId="2" applyFont="1" applyFill="1" applyBorder="1" applyAlignment="1">
      <alignment horizontal="center"/>
    </xf>
    <xf numFmtId="0" fontId="2" fillId="0" borderId="7" xfId="0" applyFont="1" applyBorder="1"/>
    <xf numFmtId="44" fontId="5" fillId="0" borderId="22" xfId="1" applyFont="1" applyBorder="1"/>
    <xf numFmtId="44" fontId="18" fillId="0" borderId="8" xfId="1" applyFont="1" applyBorder="1"/>
    <xf numFmtId="44" fontId="21" fillId="0" borderId="8" xfId="1" applyFont="1" applyBorder="1"/>
    <xf numFmtId="44" fontId="21" fillId="0" borderId="8" xfId="1" applyFont="1" applyFill="1" applyBorder="1"/>
    <xf numFmtId="44" fontId="22" fillId="0" borderId="27" xfId="1" applyFont="1" applyBorder="1"/>
    <xf numFmtId="17" fontId="0" fillId="0" borderId="7" xfId="0" applyNumberFormat="1" applyBorder="1"/>
    <xf numFmtId="44" fontId="21" fillId="0" borderId="27" xfId="1" applyFont="1" applyBorder="1"/>
    <xf numFmtId="2" fontId="0" fillId="0" borderId="12" xfId="2" applyNumberFormat="1" applyFont="1" applyBorder="1" applyAlignment="1">
      <alignment horizontal="center"/>
    </xf>
    <xf numFmtId="2" fontId="0" fillId="0" borderId="30" xfId="2" applyNumberFormat="1" applyFont="1" applyBorder="1" applyAlignment="1">
      <alignment horizontal="center"/>
    </xf>
    <xf numFmtId="44" fontId="22" fillId="0" borderId="8" xfId="1" applyFont="1" applyBorder="1"/>
    <xf numFmtId="0" fontId="19" fillId="5" borderId="5" xfId="0" applyFont="1" applyFill="1" applyBorder="1"/>
    <xf numFmtId="0" fontId="1" fillId="0" borderId="0" xfId="0" applyFont="1"/>
    <xf numFmtId="43" fontId="19" fillId="5" borderId="24" xfId="2" applyFont="1" applyFill="1" applyBorder="1" applyAlignment="1">
      <alignment horizontal="center" vertical="center"/>
    </xf>
    <xf numFmtId="2" fontId="10" fillId="0" borderId="17" xfId="0" applyNumberFormat="1" applyFont="1" applyBorder="1" applyAlignment="1">
      <alignment vertical="center"/>
    </xf>
    <xf numFmtId="44" fontId="6" fillId="2" borderId="12" xfId="1" applyFont="1" applyFill="1" applyBorder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vertical="center"/>
    </xf>
    <xf numFmtId="44" fontId="9" fillId="4" borderId="3" xfId="1" applyFont="1" applyFill="1" applyBorder="1" applyAlignment="1">
      <alignment horizontal="left" vertical="center"/>
    </xf>
    <xf numFmtId="44" fontId="9" fillId="3" borderId="3" xfId="1" applyFont="1" applyFill="1" applyBorder="1" applyAlignment="1">
      <alignment horizontal="left" vertical="center"/>
    </xf>
    <xf numFmtId="44" fontId="6" fillId="2" borderId="12" xfId="1" applyFont="1" applyFill="1" applyBorder="1" applyAlignment="1">
      <alignment horizontal="left" vertical="center"/>
    </xf>
    <xf numFmtId="44" fontId="9" fillId="4" borderId="4" xfId="1" applyFont="1" applyFill="1" applyBorder="1" applyAlignment="1">
      <alignment horizontal="center" vertical="center"/>
    </xf>
    <xf numFmtId="44" fontId="9" fillId="3" borderId="4" xfId="1" applyFont="1" applyFill="1" applyBorder="1" applyAlignment="1">
      <alignment horizontal="center" vertical="center"/>
    </xf>
    <xf numFmtId="44" fontId="10" fillId="0" borderId="0" xfId="1" applyFont="1" applyAlignment="1">
      <alignment horizontal="center" vertical="center"/>
    </xf>
    <xf numFmtId="44" fontId="17" fillId="4" borderId="3" xfId="1" applyFont="1" applyFill="1" applyBorder="1" applyAlignment="1">
      <alignment horizontal="left" vertical="center"/>
    </xf>
    <xf numFmtId="4" fontId="6" fillId="2" borderId="12" xfId="0" applyNumberFormat="1" applyFont="1" applyFill="1" applyBorder="1" applyAlignment="1">
      <alignment horizontal="center" vertical="center"/>
    </xf>
    <xf numFmtId="44" fontId="17" fillId="4" borderId="32" xfId="1" applyFont="1" applyFill="1" applyBorder="1" applyAlignment="1">
      <alignment horizontal="left" vertical="center"/>
    </xf>
    <xf numFmtId="44" fontId="6" fillId="2" borderId="14" xfId="1" applyFont="1" applyFill="1" applyBorder="1" applyAlignment="1">
      <alignment horizontal="right"/>
    </xf>
    <xf numFmtId="44" fontId="9" fillId="4" borderId="32" xfId="1" applyFont="1" applyFill="1" applyBorder="1" applyAlignment="1">
      <alignment horizontal="left" vertical="center"/>
    </xf>
    <xf numFmtId="17" fontId="10" fillId="0" borderId="0" xfId="0" applyNumberFormat="1" applyFont="1" applyAlignment="1">
      <alignment vertical="center"/>
    </xf>
    <xf numFmtId="0" fontId="6" fillId="2" borderId="12" xfId="0" applyFont="1" applyFill="1" applyBorder="1" applyAlignment="1">
      <alignment horizontal="center" vertical="center" wrapText="1"/>
    </xf>
    <xf numFmtId="43" fontId="10" fillId="0" borderId="0" xfId="0" applyNumberFormat="1" applyFont="1" applyAlignment="1">
      <alignment vertical="center"/>
    </xf>
    <xf numFmtId="44" fontId="10" fillId="0" borderId="0" xfId="0" applyNumberFormat="1" applyFont="1" applyAlignment="1">
      <alignment vertical="center"/>
    </xf>
    <xf numFmtId="9" fontId="9" fillId="4" borderId="32" xfId="5" applyFont="1" applyFill="1" applyBorder="1" applyAlignment="1">
      <alignment vertical="center"/>
    </xf>
    <xf numFmtId="9" fontId="9" fillId="3" borderId="3" xfId="5" applyFont="1" applyFill="1" applyBorder="1" applyAlignment="1">
      <alignment vertical="center"/>
    </xf>
    <xf numFmtId="10" fontId="6" fillId="2" borderId="12" xfId="5" applyNumberFormat="1" applyFont="1" applyFill="1" applyBorder="1" applyAlignment="1">
      <alignment horizontal="center" vertical="center"/>
    </xf>
    <xf numFmtId="4" fontId="6" fillId="2" borderId="27" xfId="0" applyNumberFormat="1" applyFont="1" applyFill="1" applyBorder="1" applyAlignment="1">
      <alignment horizontal="center" vertical="center"/>
    </xf>
    <xf numFmtId="164" fontId="6" fillId="2" borderId="33" xfId="0" applyNumberFormat="1" applyFont="1" applyFill="1" applyBorder="1" applyAlignment="1">
      <alignment horizontal="center" vertical="center"/>
    </xf>
    <xf numFmtId="167" fontId="6" fillId="2" borderId="12" xfId="6" applyFont="1" applyFill="1" applyBorder="1" applyAlignment="1">
      <alignment horizontal="center" vertical="center"/>
    </xf>
    <xf numFmtId="44" fontId="9" fillId="0" borderId="0" xfId="1" applyFont="1" applyAlignment="1">
      <alignment horizontal="left" vertical="center"/>
    </xf>
    <xf numFmtId="44" fontId="9" fillId="3" borderId="3" xfId="1" applyFont="1" applyFill="1" applyBorder="1" applyAlignment="1">
      <alignment horizontal="left" vertical="center" wrapText="1"/>
    </xf>
    <xf numFmtId="43" fontId="10" fillId="0" borderId="0" xfId="0" applyNumberFormat="1" applyFont="1" applyAlignment="1">
      <alignment horizontal="center" vertical="center"/>
    </xf>
    <xf numFmtId="44" fontId="0" fillId="0" borderId="0" xfId="0" applyNumberFormat="1"/>
    <xf numFmtId="0" fontId="6" fillId="2" borderId="12" xfId="0" applyFont="1" applyFill="1" applyBorder="1" applyAlignment="1">
      <alignment horizontal="left" vertical="top"/>
    </xf>
    <xf numFmtId="44" fontId="6" fillId="2" borderId="12" xfId="1" applyFont="1" applyFill="1" applyBorder="1" applyAlignment="1">
      <alignment horizontal="left" vertical="top"/>
    </xf>
    <xf numFmtId="9" fontId="6" fillId="2" borderId="12" xfId="0" applyNumberFormat="1" applyFont="1" applyFill="1" applyBorder="1" applyAlignment="1">
      <alignment horizontal="center" vertical="top"/>
    </xf>
    <xf numFmtId="44" fontId="6" fillId="2" borderId="12" xfId="1" applyFont="1" applyFill="1" applyBorder="1" applyAlignment="1">
      <alignment horizontal="center" vertical="top"/>
    </xf>
    <xf numFmtId="167" fontId="6" fillId="2" borderId="14" xfId="6" applyFont="1" applyFill="1" applyBorder="1" applyAlignment="1">
      <alignment horizontal="left" vertical="top"/>
    </xf>
    <xf numFmtId="168" fontId="6" fillId="2" borderId="14" xfId="7" applyNumberFormat="1" applyFont="1" applyFill="1" applyBorder="1" applyAlignment="1">
      <alignment horizontal="center" vertical="top"/>
    </xf>
    <xf numFmtId="44" fontId="9" fillId="8" borderId="3" xfId="1" applyFont="1" applyFill="1" applyBorder="1" applyAlignment="1">
      <alignment horizontal="left" vertical="center"/>
    </xf>
    <xf numFmtId="9" fontId="9" fillId="8" borderId="3" xfId="5" applyFont="1" applyFill="1" applyBorder="1" applyAlignment="1">
      <alignment vertical="center"/>
    </xf>
    <xf numFmtId="9" fontId="0" fillId="0" borderId="0" xfId="5" applyNumberFormat="1" applyFont="1"/>
    <xf numFmtId="164" fontId="9" fillId="8" borderId="3" xfId="0" applyNumberFormat="1" applyFont="1" applyFill="1" applyBorder="1" applyAlignment="1">
      <alignment horizontal="center" vertical="center"/>
    </xf>
    <xf numFmtId="169" fontId="6" fillId="2" borderId="12" xfId="6" applyNumberFormat="1" applyFont="1" applyFill="1" applyBorder="1" applyAlignment="1">
      <alignment horizontal="center" vertical="top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44" fontId="9" fillId="4" borderId="19" xfId="1" applyFont="1" applyFill="1" applyBorder="1" applyAlignment="1">
      <alignment horizontal="left" vertical="center"/>
    </xf>
    <xf numFmtId="44" fontId="9" fillId="4" borderId="38" xfId="1" applyFont="1" applyFill="1" applyBorder="1" applyAlignment="1">
      <alignment horizontal="center" vertical="center"/>
    </xf>
    <xf numFmtId="44" fontId="9" fillId="3" borderId="19" xfId="1" applyFont="1" applyFill="1" applyBorder="1" applyAlignment="1">
      <alignment horizontal="left" vertical="center"/>
    </xf>
    <xf numFmtId="44" fontId="9" fillId="3" borderId="38" xfId="1" applyFont="1" applyFill="1" applyBorder="1" applyAlignment="1">
      <alignment horizontal="center" vertical="center"/>
    </xf>
    <xf numFmtId="44" fontId="17" fillId="4" borderId="19" xfId="1" applyFont="1" applyFill="1" applyBorder="1" applyAlignment="1">
      <alignment horizontal="left" vertical="center"/>
    </xf>
    <xf numFmtId="44" fontId="6" fillId="2" borderId="8" xfId="1" applyFont="1" applyFill="1" applyBorder="1" applyAlignment="1">
      <alignment horizontal="left" vertical="top"/>
    </xf>
    <xf numFmtId="44" fontId="6" fillId="2" borderId="9" xfId="1" applyNumberFormat="1" applyFont="1" applyFill="1" applyBorder="1" applyAlignment="1">
      <alignment horizontal="center" vertical="top"/>
    </xf>
    <xf numFmtId="167" fontId="6" fillId="2" borderId="10" xfId="6" applyFont="1" applyFill="1" applyBorder="1" applyAlignment="1">
      <alignment horizontal="left" vertical="top"/>
    </xf>
    <xf numFmtId="169" fontId="6" fillId="2" borderId="14" xfId="6" applyNumberFormat="1" applyFont="1" applyFill="1" applyBorder="1" applyAlignment="1">
      <alignment horizontal="center" vertical="top"/>
    </xf>
    <xf numFmtId="169" fontId="6" fillId="2" borderId="11" xfId="6" applyNumberFormat="1" applyFont="1" applyFill="1" applyBorder="1" applyAlignment="1">
      <alignment horizontal="center" vertical="top"/>
    </xf>
    <xf numFmtId="0" fontId="9" fillId="4" borderId="41" xfId="0" applyFont="1" applyFill="1" applyBorder="1" applyAlignment="1">
      <alignment horizontal="left" vertical="center"/>
    </xf>
    <xf numFmtId="0" fontId="6" fillId="2" borderId="42" xfId="0" applyFont="1" applyFill="1" applyBorder="1" applyAlignment="1">
      <alignment horizontal="left" vertical="top"/>
    </xf>
    <xf numFmtId="0" fontId="6" fillId="2" borderId="43" xfId="0" applyFont="1" applyFill="1" applyBorder="1" applyAlignment="1">
      <alignment horizontal="left" vertical="top"/>
    </xf>
    <xf numFmtId="44" fontId="6" fillId="2" borderId="9" xfId="1" applyFont="1" applyFill="1" applyBorder="1" applyAlignment="1">
      <alignment horizontal="center" vertical="top"/>
    </xf>
    <xf numFmtId="0" fontId="6" fillId="2" borderId="34" xfId="0" applyFont="1" applyFill="1" applyBorder="1" applyAlignment="1">
      <alignment horizontal="center" vertical="center"/>
    </xf>
    <xf numFmtId="44" fontId="9" fillId="4" borderId="44" xfId="1" applyFont="1" applyFill="1" applyBorder="1" applyAlignment="1">
      <alignment horizontal="center" vertical="center"/>
    </xf>
    <xf numFmtId="44" fontId="9" fillId="3" borderId="44" xfId="1" applyFont="1" applyFill="1" applyBorder="1" applyAlignment="1">
      <alignment horizontal="center" vertical="center"/>
    </xf>
    <xf numFmtId="44" fontId="6" fillId="2" borderId="34" xfId="1" applyFont="1" applyFill="1" applyBorder="1" applyAlignment="1">
      <alignment horizontal="center" vertical="top"/>
    </xf>
    <xf numFmtId="169" fontId="6" fillId="2" borderId="45" xfId="6" applyNumberFormat="1" applyFont="1" applyFill="1" applyBorder="1" applyAlignment="1">
      <alignment horizontal="center" vertical="top"/>
    </xf>
    <xf numFmtId="44" fontId="9" fillId="4" borderId="46" xfId="1" applyFont="1" applyFill="1" applyBorder="1" applyAlignment="1">
      <alignment horizontal="center" vertical="center"/>
    </xf>
    <xf numFmtId="44" fontId="9" fillId="3" borderId="46" xfId="1" applyFont="1" applyFill="1" applyBorder="1" applyAlignment="1">
      <alignment horizontal="center" vertical="center"/>
    </xf>
    <xf numFmtId="44" fontId="6" fillId="2" borderId="42" xfId="1" applyFont="1" applyFill="1" applyBorder="1" applyAlignment="1">
      <alignment horizontal="center" vertical="top"/>
    </xf>
    <xf numFmtId="169" fontId="6" fillId="2" borderId="43" xfId="6" applyNumberFormat="1" applyFont="1" applyFill="1" applyBorder="1" applyAlignment="1">
      <alignment horizontal="center" vertical="top"/>
    </xf>
    <xf numFmtId="44" fontId="9" fillId="4" borderId="21" xfId="1" applyFont="1" applyFill="1" applyBorder="1" applyAlignment="1">
      <alignment horizontal="left" vertical="center"/>
    </xf>
    <xf numFmtId="44" fontId="9" fillId="3" borderId="21" xfId="1" applyFont="1" applyFill="1" applyBorder="1" applyAlignment="1">
      <alignment horizontal="left" vertical="center"/>
    </xf>
    <xf numFmtId="0" fontId="6" fillId="2" borderId="39" xfId="0" applyFont="1" applyFill="1" applyBorder="1" applyAlignment="1">
      <alignment horizontal="center" vertical="center"/>
    </xf>
    <xf numFmtId="0" fontId="6" fillId="2" borderId="41" xfId="0" applyFont="1" applyFill="1" applyBorder="1" applyAlignment="1">
      <alignment horizontal="center" vertical="center"/>
    </xf>
    <xf numFmtId="0" fontId="19" fillId="9" borderId="35" xfId="0" applyFont="1" applyFill="1" applyBorder="1" applyAlignment="1">
      <alignment horizontal="center"/>
    </xf>
    <xf numFmtId="0" fontId="19" fillId="9" borderId="36" xfId="0" applyFont="1" applyFill="1" applyBorder="1" applyAlignment="1">
      <alignment horizontal="center"/>
    </xf>
    <xf numFmtId="0" fontId="19" fillId="9" borderId="37" xfId="0" applyFont="1" applyFill="1" applyBorder="1" applyAlignment="1">
      <alignment horizontal="center"/>
    </xf>
    <xf numFmtId="0" fontId="6" fillId="2" borderId="40" xfId="0" applyFont="1" applyFill="1" applyBorder="1" applyAlignment="1">
      <alignment horizontal="center" vertical="center"/>
    </xf>
    <xf numFmtId="0" fontId="6" fillId="2" borderId="4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48" xfId="0" applyFont="1" applyFill="1" applyBorder="1" applyAlignment="1">
      <alignment horizontal="center" vertical="center"/>
    </xf>
    <xf numFmtId="0" fontId="6" fillId="2" borderId="49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0" borderId="8" xfId="0" applyFont="1" applyBorder="1"/>
    <xf numFmtId="0" fontId="7" fillId="2" borderId="13" xfId="0" applyFont="1" applyFill="1" applyBorder="1" applyAlignment="1">
      <alignment horizontal="center" vertical="center"/>
    </xf>
    <xf numFmtId="0" fontId="8" fillId="0" borderId="13" xfId="0" applyFont="1" applyBorder="1"/>
    <xf numFmtId="0" fontId="6" fillId="2" borderId="29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43" fontId="6" fillId="2" borderId="12" xfId="2" applyFont="1" applyFill="1" applyBorder="1" applyAlignment="1">
      <alignment horizontal="center" vertical="center"/>
    </xf>
  </cellXfs>
  <cellStyles count="8">
    <cellStyle name="Moeda" xfId="1" builtinId="4"/>
    <cellStyle name="Moeda 9" xfId="6" xr:uid="{08EC0ED7-F8C6-4481-AA54-86BEE641140E}"/>
    <cellStyle name="Normal" xfId="0" builtinId="0"/>
    <cellStyle name="Normal 2" xfId="3" xr:uid="{89934119-66BE-4554-8D7F-F4FDAB4F0E33}"/>
    <cellStyle name="Normal 2 4" xfId="7" xr:uid="{54FFD2AD-E9E9-45CB-A6B9-68E012DFB09A}"/>
    <cellStyle name="Porcentagem" xfId="5" builtinId="5"/>
    <cellStyle name="Porcentagem 2" xfId="4" xr:uid="{910739D4-B953-4402-8BEC-DCBA788BEB45}"/>
    <cellStyle name="Vírgula" xfId="2" builtinId="3"/>
  </cellStyles>
  <dxfs count="0"/>
  <tableStyles count="0" defaultTableStyle="TableStyleMedium2" defaultPivotStyle="PivotStyleLight16"/>
  <colors>
    <mruColors>
      <color rgb="FF255AE5"/>
      <color rgb="FF1212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/.shortcut-targets-by-id/16oaQUYgx8kiowDwLhg-oO1zGZ777DJUb/2.%20Projetos%20em%20Andamento/FG%20Empreendimentos/2025.07%20-%20Blue%20Coast/04.%20Custo/04.1%20Custo%20-%20Auditoria/R01/Or&#231;amento%20Base%20V24%20-%20Blue%20Coast_R29_Nova%20estrutura%20-%20Vers&#227;o%20aprovada%20-%20v%20x%20D.xls?36E1755C" TargetMode="External"/><Relationship Id="rId1" Type="http://schemas.openxmlformats.org/officeDocument/2006/relationships/externalLinkPath" Target="file:///\\36E1755C\Or&#231;amento%20Base%20V24%20-%20Blue%20Coast_R29_Nova%20estrutura%20-%20Vers&#227;o%20aprovada%20-%20v%20x%20D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/.shortcut-targets-by-id/16oaQUYgx8kiowDwLhg-oO1zGZ777DJUb/2.%20Projetos%20em%20Andamento/FG%20Empreendimentos/2025.07%20-%20Blue%20Coast/04.%20Custo/04.3%20Custo%20-%20Executivo/02%20-%20Elabora&#231;&#227;o/CTN-FGE-BCO%20-%20Or&#231;amento%20Executivo.xlsbR00.1.xlsx?E9EA13A4" TargetMode="External"/><Relationship Id="rId1" Type="http://schemas.openxmlformats.org/officeDocument/2006/relationships/externalLinkPath" Target="file:///\\E9EA13A4\CTN-FGE-BCO%20-%20Or&#231;amento%20Executivo.xlsbR00.1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/.shortcut-targets-by-id/16oaQUYgx8kiowDwLhg-oO1zGZ777DJUb/2.%20Projetos%20em%20Andamento/FG%20Empreendimentos/2025.07%20-%20Blue%20Coast/04.%20Custo/04.3%20Custo%20-%20Executivo/02%20-%20Elabora&#231;&#227;o/Or&#231;amento%20Base%20V24%20-%20Blue%20Coast_R29_Nova%20estrutura%20-%20Vers&#227;o%20aprovada%20-%20v%20x%20D.xls?E9EA13A4" TargetMode="External"/><Relationship Id="rId1" Type="http://schemas.openxmlformats.org/officeDocument/2006/relationships/externalLinkPath" Target="file:///\\E9EA13A4\Or&#231;amento%20Base%20V24%20-%20Blue%20Coast_R29_Nova%20estrutura%20-%20Vers&#227;o%20aprovada%20-%20v%20x%20D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FG%20Empreendimentos/2025.07%20-%20Blue%20Coast/04.%20Custo/04.3%20Custo%20-%20Executivo/02%20-%20Elabora&#231;&#227;o/relatorio%20-%202025-09-09T110824.168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microsoft.com/office/2019/04/relationships/externalLinkLongPath" Target="/.shortcut-targets-by-id/16oaQUYgx8kiowDwLhg-oO1zGZ777DJUb/2.%20Projetos%20em%20Andamento/FG%20Empreendimentos/2025.07%20-%20Blue%20Coast/04.%20Custo/04.3%20Custo%20-%20Executivo/02%20-%20Elabora&#231;&#227;o/CTN-FGE-BCO%20-%20Or&#231;amento%20Executivo.xlsbR00.1.xlsx?370EC72D" TargetMode="External"/><Relationship Id="rId1" Type="http://schemas.openxmlformats.org/officeDocument/2006/relationships/externalLinkPath" Target="file:///\\370EC72D\CTN-FGE-BCO%20-%20Or&#231;amento%20Executivo.xlsbR00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Ç. SINTÉTICO (comparativo)"/>
      <sheetName val="ORÇ. SINTÉTICO"/>
      <sheetName val="ORÇAMENTO"/>
      <sheetName val="composições"/>
      <sheetName val="Curva ABC Insumos"/>
      <sheetName val="ABC de Serviços"/>
      <sheetName val="Curva ABC Insumos (APOIO)"/>
      <sheetName val="insumos suprimentos"/>
      <sheetName val="Curva ABC Serviços (APOIO)"/>
      <sheetName val="Curva ABC Serviços"/>
      <sheetName val="insumos"/>
      <sheetName val="índice"/>
      <sheetName val="suprimentos 27-10"/>
    </sheetNames>
    <sheetDataSet>
      <sheetData sheetId="0"/>
      <sheetData sheetId="1">
        <row r="11">
          <cell r="C11">
            <v>4093306.9302509101</v>
          </cell>
        </row>
        <row r="12">
          <cell r="C12">
            <v>902031.98</v>
          </cell>
        </row>
        <row r="13">
          <cell r="C13">
            <v>3476955.0600000005</v>
          </cell>
        </row>
        <row r="14">
          <cell r="C14">
            <v>13952878.795776438</v>
          </cell>
        </row>
        <row r="15">
          <cell r="C15">
            <v>2048261.9584429765</v>
          </cell>
        </row>
        <row r="16">
          <cell r="C16">
            <v>1193599.7694999999</v>
          </cell>
        </row>
        <row r="17">
          <cell r="C17">
            <v>1897027.0510000002</v>
          </cell>
        </row>
        <row r="18">
          <cell r="C18">
            <v>1208325.2723073896</v>
          </cell>
        </row>
        <row r="19">
          <cell r="C19">
            <v>660504.84722351003</v>
          </cell>
        </row>
        <row r="20">
          <cell r="C20">
            <v>409814.65496934619</v>
          </cell>
        </row>
        <row r="21">
          <cell r="C21">
            <v>1359989.058240701</v>
          </cell>
        </row>
        <row r="22">
          <cell r="C22">
            <v>6140827.6209519608</v>
          </cell>
        </row>
        <row r="23">
          <cell r="C23">
            <v>5702498.4569536168</v>
          </cell>
        </row>
        <row r="24">
          <cell r="C24">
            <v>3876049.6143179997</v>
          </cell>
        </row>
        <row r="25">
          <cell r="C25">
            <v>1993733.5240692603</v>
          </cell>
        </row>
        <row r="26">
          <cell r="C26">
            <v>1625998.0344886766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umos"/>
      <sheetName val="CPU"/>
      <sheetName val="Versões"/>
      <sheetName val="Obra "/>
      <sheetName val="Ger_Executivo"/>
      <sheetName val="Planilha1"/>
      <sheetName val="LOUÇAS E METAIS"/>
      <sheetName val="ARQUITETURA"/>
      <sheetName val="ELÉTRICO"/>
      <sheetName val="HIDROSSANITÁRIO"/>
      <sheetName val="Exautão e Climatização"/>
      <sheetName val="Escoramento"/>
      <sheetName val="Supraestrutura"/>
      <sheetName val="Estacas"/>
      <sheetName val="Fundação Rasa"/>
      <sheetName val="Canteiro"/>
      <sheetName val="EPC's"/>
      <sheetName val="PCI"/>
      <sheetName val="TELEFONE"/>
      <sheetName val="GÁS"/>
      <sheetName val="MOBILIÁRIO"/>
      <sheetName val="Controle Tecnológico"/>
    </sheetNames>
    <sheetDataSet>
      <sheetData sheetId="0" refreshError="1"/>
      <sheetData sheetId="1" refreshError="1"/>
      <sheetData sheetId="2" refreshError="1"/>
      <sheetData sheetId="3" refreshError="1">
        <row r="34">
          <cell r="C34">
            <v>8753722.8527303897</v>
          </cell>
        </row>
        <row r="35">
          <cell r="C35">
            <v>1428510.0333333334</v>
          </cell>
        </row>
        <row r="36">
          <cell r="C36">
            <v>4472521.2797970148</v>
          </cell>
        </row>
        <row r="37">
          <cell r="C37">
            <v>16569702.13624531</v>
          </cell>
        </row>
        <row r="38">
          <cell r="C38">
            <v>4429172.1571696931</v>
          </cell>
        </row>
        <row r="39">
          <cell r="C39">
            <v>1649879.2174833333</v>
          </cell>
        </row>
        <row r="40">
          <cell r="C40">
            <v>2108723.0697037145</v>
          </cell>
        </row>
        <row r="41">
          <cell r="C41">
            <v>1898258.4656083335</v>
          </cell>
        </row>
        <row r="42">
          <cell r="C42">
            <v>736663.29528736509</v>
          </cell>
        </row>
        <row r="43">
          <cell r="C43">
            <v>1214123.3285218002</v>
          </cell>
        </row>
        <row r="44">
          <cell r="C44">
            <v>2370480.0312116882</v>
          </cell>
        </row>
        <row r="45">
          <cell r="C45">
            <v>7112920.8864441477</v>
          </cell>
        </row>
        <row r="46">
          <cell r="C46">
            <v>8730804.6296780538</v>
          </cell>
        </row>
        <row r="47">
          <cell r="C47">
            <v>6911114.4359607538</v>
          </cell>
        </row>
        <row r="48">
          <cell r="C48">
            <v>1932915.8613456555</v>
          </cell>
        </row>
        <row r="49">
          <cell r="C49">
            <v>1820015.3354999991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Ç. SINTÉTICO (comparativo)"/>
      <sheetName val="ORÇ. SINTÉTICO"/>
      <sheetName val="ORÇAMENTO"/>
      <sheetName val="composições"/>
      <sheetName val="Curva ABC Insumos"/>
      <sheetName val="ABC de Serviços"/>
      <sheetName val="Curva ABC Insumos (APOIO)"/>
      <sheetName val="insumos suprimentos"/>
      <sheetName val="Curva ABC Serviços (APOIO)"/>
      <sheetName val="Curva ABC Serviços"/>
      <sheetName val="insumos"/>
      <sheetName val="índice"/>
      <sheetName val="suprimentos 27-10"/>
    </sheetNames>
    <sheetDataSet>
      <sheetData sheetId="0"/>
      <sheetData sheetId="1"/>
      <sheetData sheetId="2">
        <row r="13">
          <cell r="J13">
            <v>4923771.1849529874</v>
          </cell>
        </row>
        <row r="74">
          <cell r="J74">
            <v>902031.98</v>
          </cell>
        </row>
        <row r="82">
          <cell r="J82">
            <v>3374468.284</v>
          </cell>
        </row>
        <row r="126">
          <cell r="J126">
            <v>14553687.840428583</v>
          </cell>
        </row>
        <row r="172">
          <cell r="J172">
            <v>2260687.9256399921</v>
          </cell>
        </row>
        <row r="256">
          <cell r="J256">
            <v>1824838.4789800001</v>
          </cell>
        </row>
        <row r="272">
          <cell r="J272">
            <v>2301980.472875</v>
          </cell>
        </row>
        <row r="289">
          <cell r="J289">
            <v>1514636.6074222643</v>
          </cell>
        </row>
        <row r="355">
          <cell r="J355">
            <v>660504.84722351003</v>
          </cell>
        </row>
        <row r="400">
          <cell r="J400">
            <v>459516.61332934618</v>
          </cell>
        </row>
        <row r="440">
          <cell r="J440">
            <v>1359989.0582407012</v>
          </cell>
        </row>
        <row r="520">
          <cell r="J520">
            <v>5475281.637836867</v>
          </cell>
        </row>
        <row r="737">
          <cell r="J737">
            <v>5717398.7211114885</v>
          </cell>
        </row>
        <row r="859">
          <cell r="J859">
            <v>3839958.5339713567</v>
          </cell>
        </row>
        <row r="904">
          <cell r="J904">
            <v>2005774.3340692604</v>
          </cell>
        </row>
        <row r="993">
          <cell r="J993">
            <v>1625998.0344886768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tório"/>
    </sheetNames>
    <sheetDataSet>
      <sheetData sheetId="0">
        <row r="13">
          <cell r="T13">
            <v>3312.54</v>
          </cell>
        </row>
        <row r="31">
          <cell r="T31">
            <v>581.16</v>
          </cell>
        </row>
        <row r="36">
          <cell r="T36">
            <v>1555.51</v>
          </cell>
        </row>
        <row r="46">
          <cell r="T46">
            <v>8693.73</v>
          </cell>
        </row>
        <row r="63">
          <cell r="T63">
            <v>1434.95</v>
          </cell>
        </row>
        <row r="79">
          <cell r="T79">
            <v>1110.26</v>
          </cell>
        </row>
        <row r="86">
          <cell r="T86">
            <v>1474.67</v>
          </cell>
        </row>
        <row r="93">
          <cell r="T93">
            <v>760.67</v>
          </cell>
        </row>
        <row r="109">
          <cell r="T109">
            <v>380.82</v>
          </cell>
        </row>
        <row r="119">
          <cell r="T119">
            <v>191.96</v>
          </cell>
        </row>
        <row r="129">
          <cell r="T129">
            <v>656.83</v>
          </cell>
        </row>
        <row r="139">
          <cell r="T139">
            <v>2875.58</v>
          </cell>
        </row>
        <row r="152">
          <cell r="T152">
            <v>1819.66</v>
          </cell>
        </row>
        <row r="166">
          <cell r="T166">
            <v>3255.6</v>
          </cell>
        </row>
        <row r="183">
          <cell r="T183">
            <v>2128.77</v>
          </cell>
        </row>
        <row r="202">
          <cell r="T202">
            <v>917.54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umos"/>
      <sheetName val="CPU"/>
      <sheetName val="Versões"/>
      <sheetName val="Obra "/>
      <sheetName val="Ger_Executivo"/>
      <sheetName val="ARQUITETURA"/>
      <sheetName val="LOUÇAS E METAIS"/>
      <sheetName val="ELÉTRICO"/>
      <sheetName val="HIDROSSANITÁRIO"/>
      <sheetName val="Exautão e Climatização"/>
      <sheetName val="Escoramento"/>
      <sheetName val="Supraestrutura"/>
      <sheetName val="Estacas"/>
      <sheetName val="Fundação Rasa"/>
      <sheetName val="Canteiro"/>
      <sheetName val="EPC's"/>
      <sheetName val="PCI"/>
      <sheetName val="TELEFONE"/>
      <sheetName val="GÁS"/>
      <sheetName val="MOBILIÁRIO"/>
    </sheetNames>
    <sheetDataSet>
      <sheetData sheetId="0"/>
      <sheetData sheetId="1"/>
      <sheetData sheetId="2">
        <row r="3">
          <cell r="B3">
            <v>10189225.534325795</v>
          </cell>
        </row>
        <row r="4">
          <cell r="B4">
            <v>242339.35498296877</v>
          </cell>
        </row>
        <row r="5">
          <cell r="B5">
            <v>4343181.9248140464</v>
          </cell>
        </row>
        <row r="6">
          <cell r="B6">
            <v>16234649.890552735</v>
          </cell>
        </row>
        <row r="7">
          <cell r="B7">
            <v>3717189.5221696962</v>
          </cell>
        </row>
        <row r="8">
          <cell r="B8">
            <v>10773485.281303754</v>
          </cell>
        </row>
        <row r="9">
          <cell r="B9">
            <v>4512186.783565891</v>
          </cell>
        </row>
        <row r="10">
          <cell r="B10">
            <v>1201137.6234466999</v>
          </cell>
        </row>
        <row r="11">
          <cell r="B11">
            <v>555928.76</v>
          </cell>
        </row>
        <row r="12">
          <cell r="B12">
            <v>109852.76761666668</v>
          </cell>
        </row>
        <row r="13">
          <cell r="B13">
            <v>1211404.0715620001</v>
          </cell>
        </row>
        <row r="14">
          <cell r="B14">
            <v>1744069.1786587506</v>
          </cell>
        </row>
        <row r="15">
          <cell r="B15">
            <v>1996773.6808368289</v>
          </cell>
        </row>
        <row r="16">
          <cell r="B16">
            <v>840363.0299968652</v>
          </cell>
        </row>
        <row r="17">
          <cell r="B17">
            <v>2553763.5097692157</v>
          </cell>
        </row>
        <row r="18">
          <cell r="B18">
            <v>291693.70344180008</v>
          </cell>
        </row>
        <row r="19">
          <cell r="B19">
            <v>3886433.1980413334</v>
          </cell>
        </row>
        <row r="20">
          <cell r="B20">
            <v>12643362.326551691</v>
          </cell>
        </row>
        <row r="21">
          <cell r="B21">
            <v>2969.5121999999997</v>
          </cell>
        </row>
        <row r="22">
          <cell r="B22">
            <v>2811224.7054999992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293CF-E6D7-4458-9B29-19C495A46E65}">
  <dimension ref="A1:X999"/>
  <sheetViews>
    <sheetView zoomScale="70" zoomScaleNormal="70" workbookViewId="0">
      <selection activeCell="E23" sqref="E23"/>
    </sheetView>
  </sheetViews>
  <sheetFormatPr defaultColWidth="14.42578125" defaultRowHeight="15" customHeight="1" x14ac:dyDescent="0.25"/>
  <cols>
    <col min="1" max="1" width="62" bestFit="1" customWidth="1"/>
    <col min="2" max="2" width="30" hidden="1" customWidth="1"/>
    <col min="3" max="3" width="23.85546875" customWidth="1"/>
    <col min="4" max="4" width="17.85546875" style="28" customWidth="1"/>
    <col min="5" max="5" width="24.5703125" bestFit="1" customWidth="1"/>
    <col min="6" max="6" width="10.28515625" style="28" customWidth="1"/>
    <col min="7" max="7" width="18.28515625" style="28" bestFit="1" customWidth="1"/>
    <col min="8" max="8" width="23.140625" bestFit="1" customWidth="1"/>
    <col min="9" max="9" width="15.85546875" customWidth="1"/>
    <col min="10" max="10" width="12.5703125" bestFit="1" customWidth="1"/>
    <col min="11" max="11" width="55.85546875" customWidth="1"/>
    <col min="12" max="12" width="17.7109375" customWidth="1"/>
    <col min="13" max="13" width="19.28515625" bestFit="1" customWidth="1"/>
    <col min="14" max="14" width="14.28515625" customWidth="1"/>
    <col min="15" max="24" width="9.140625" customWidth="1"/>
  </cols>
  <sheetData>
    <row r="1" spans="1:24" ht="66" thickBot="1" x14ac:dyDescent="0.3">
      <c r="A1" s="59" t="s">
        <v>0</v>
      </c>
      <c r="B1" s="103" t="s">
        <v>71</v>
      </c>
      <c r="C1" s="103" t="s">
        <v>70</v>
      </c>
      <c r="D1" s="60" t="s">
        <v>2</v>
      </c>
      <c r="E1" s="103" t="s">
        <v>87</v>
      </c>
      <c r="F1" s="60" t="s">
        <v>33</v>
      </c>
      <c r="G1" s="60" t="s">
        <v>2</v>
      </c>
      <c r="H1" s="103" t="s">
        <v>67</v>
      </c>
      <c r="I1" s="103" t="s">
        <v>66</v>
      </c>
      <c r="J1" s="103" t="s">
        <v>68</v>
      </c>
      <c r="K1" s="60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ht="22.5" customHeight="1" thickBot="1" x14ac:dyDescent="0.3">
      <c r="A2" s="57" t="s">
        <v>72</v>
      </c>
      <c r="B2" s="91">
        <f>'[1]ORÇ. SINTÉTICO'!C11</f>
        <v>4093306.9302509101</v>
      </c>
      <c r="C2" s="101">
        <f t="shared" ref="C2:C17" si="0">($E$19/$C$19)*B2</f>
        <v>5654314.609228434</v>
      </c>
      <c r="D2" s="94">
        <f>C2/Versões!$N$2</f>
        <v>338.01841656858261</v>
      </c>
      <c r="E2" s="101">
        <f>'[2]Obra '!C34</f>
        <v>8753722.8527303897</v>
      </c>
      <c r="F2" s="58">
        <f>E2/E$18</f>
        <v>0.12134433388766717</v>
      </c>
      <c r="G2" s="94">
        <f>E2/Versões!N$2</f>
        <v>523.30295398329542</v>
      </c>
      <c r="H2" s="101">
        <f t="shared" ref="H2:H17" si="1">E2-C2</f>
        <v>3099408.2435019556</v>
      </c>
      <c r="I2" s="101">
        <f>H2/$N$2</f>
        <v>185.28453741471282</v>
      </c>
      <c r="J2" s="106">
        <f t="shared" ref="J2:J18" si="2">H2/C2</f>
        <v>0.54814923783041658</v>
      </c>
      <c r="K2" s="101"/>
      <c r="L2" s="9"/>
      <c r="M2" s="31" t="s">
        <v>42</v>
      </c>
      <c r="N2" s="32">
        <v>16727.830000000002</v>
      </c>
      <c r="O2" s="33"/>
      <c r="P2" s="9"/>
      <c r="Q2" s="9"/>
      <c r="R2" s="9"/>
      <c r="S2" s="9"/>
      <c r="T2" s="9"/>
      <c r="U2" s="9"/>
      <c r="V2" s="9"/>
      <c r="W2" s="9"/>
      <c r="X2" s="9"/>
    </row>
    <row r="3" spans="1:24" ht="19.5" customHeight="1" x14ac:dyDescent="0.25">
      <c r="A3" s="2" t="s">
        <v>73</v>
      </c>
      <c r="B3" s="92">
        <f>'[1]ORÇ. SINTÉTICO'!C12</f>
        <v>902031.98</v>
      </c>
      <c r="C3" s="92">
        <f t="shared" si="0"/>
        <v>1246027.4026391199</v>
      </c>
      <c r="D3" s="95">
        <f>C3/Versões!$N$2</f>
        <v>74.488287042558412</v>
      </c>
      <c r="E3" s="92">
        <f>'[2]Obra '!C35</f>
        <v>1428510.0333333334</v>
      </c>
      <c r="F3" s="12">
        <f t="shared" ref="F3:F17" si="3">E3/E$18</f>
        <v>1.9802043240678482E-2</v>
      </c>
      <c r="G3" s="95">
        <f>E3/Versões!N$2</f>
        <v>85.397211313920167</v>
      </c>
      <c r="H3" s="122">
        <f t="shared" si="1"/>
        <v>182482.63069421356</v>
      </c>
      <c r="I3" s="122">
        <f>H3/$N$2</f>
        <v>10.908924271361769</v>
      </c>
      <c r="J3" s="123">
        <f t="shared" si="2"/>
        <v>0.14645153895308433</v>
      </c>
      <c r="K3" s="92" t="s">
        <v>89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ht="21.75" x14ac:dyDescent="0.25">
      <c r="A4" s="10" t="s">
        <v>74</v>
      </c>
      <c r="B4" s="91">
        <f>'[1]ORÇ. SINTÉTICO'!C13</f>
        <v>3476955.0600000005</v>
      </c>
      <c r="C4" s="101">
        <f t="shared" si="0"/>
        <v>4802913.1766533889</v>
      </c>
      <c r="D4" s="94">
        <f>C4/Versões!$N$2</f>
        <v>287.12111353674618</v>
      </c>
      <c r="E4" s="101">
        <f>'[2]Obra '!C36</f>
        <v>4472521.2797970148</v>
      </c>
      <c r="F4" s="58">
        <f t="shared" si="3"/>
        <v>6.199820632042357E-2</v>
      </c>
      <c r="G4" s="94">
        <f>E4/Versões!N$2</f>
        <v>267.37008206067458</v>
      </c>
      <c r="H4" s="101">
        <f t="shared" si="1"/>
        <v>-330391.89685637411</v>
      </c>
      <c r="I4" s="101">
        <f>H4/$N$2</f>
        <v>-19.751031476071557</v>
      </c>
      <c r="J4" s="106">
        <f t="shared" si="2"/>
        <v>-6.8789895778750498E-2</v>
      </c>
      <c r="K4" s="101"/>
      <c r="L4" s="9"/>
      <c r="M4" s="13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 ht="19.5" customHeight="1" x14ac:dyDescent="0.25">
      <c r="A5" s="2" t="s">
        <v>75</v>
      </c>
      <c r="B5" s="92">
        <f>'[1]ORÇ. SINTÉTICO'!C14</f>
        <v>13952878.795776438</v>
      </c>
      <c r="C5" s="92">
        <f t="shared" si="0"/>
        <v>19273894.618724898</v>
      </c>
      <c r="D5" s="95">
        <f>C5/Versões!$N$2</f>
        <v>1152.2053140619491</v>
      </c>
      <c r="E5" s="92">
        <f>'[2]Obra '!C37</f>
        <v>16569702.13624531</v>
      </c>
      <c r="F5" s="12">
        <f t="shared" si="3"/>
        <v>0.22968964202614672</v>
      </c>
      <c r="G5" s="95">
        <f>E5/Versões!N$2</f>
        <v>990.54701872539999</v>
      </c>
      <c r="H5" s="92">
        <f t="shared" si="1"/>
        <v>-2704192.4824795872</v>
      </c>
      <c r="I5" s="92">
        <f t="shared" ref="I5:I17" si="4">H5/$N$2</f>
        <v>-161.65829533654914</v>
      </c>
      <c r="J5" s="107">
        <f t="shared" si="2"/>
        <v>-0.14030337593796019</v>
      </c>
      <c r="K5" s="92"/>
      <c r="L5" s="9"/>
      <c r="M5" s="8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spans="1:24" ht="19.5" customHeight="1" x14ac:dyDescent="0.25">
      <c r="A6" s="10" t="s">
        <v>76</v>
      </c>
      <c r="B6" s="91">
        <f>'[1]ORÇ. SINTÉTICO'!C15</f>
        <v>2048261.9584429765</v>
      </c>
      <c r="C6" s="101">
        <f t="shared" si="0"/>
        <v>2829379.2067141775</v>
      </c>
      <c r="D6" s="94">
        <f>C6/Versões!$N$2</f>
        <v>169.14203496294363</v>
      </c>
      <c r="E6" s="101">
        <f>'[2]Obra '!C38</f>
        <v>4429172.1571696931</v>
      </c>
      <c r="F6" s="58">
        <f t="shared" si="3"/>
        <v>6.1397299654959922E-2</v>
      </c>
      <c r="G6" s="94">
        <f>E6/Versões!N$2</f>
        <v>264.77864475964265</v>
      </c>
      <c r="H6" s="101">
        <f t="shared" si="1"/>
        <v>1599792.9504555156</v>
      </c>
      <c r="I6" s="101">
        <f t="shared" si="4"/>
        <v>95.636609796699005</v>
      </c>
      <c r="J6" s="106">
        <f t="shared" si="2"/>
        <v>0.56542189419473099</v>
      </c>
      <c r="K6" s="101" t="s">
        <v>90</v>
      </c>
      <c r="L6" s="9"/>
      <c r="M6" s="90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spans="1:24" ht="19.5" customHeight="1" x14ac:dyDescent="0.25">
      <c r="A7" s="2" t="s">
        <v>77</v>
      </c>
      <c r="B7" s="92">
        <f>'[1]ORÇ. SINTÉTICO'!C16</f>
        <v>1193599.7694999999</v>
      </c>
      <c r="C7" s="92">
        <f t="shared" si="0"/>
        <v>1648786.3552029908</v>
      </c>
      <c r="D7" s="95">
        <f>C7/Versões!$N$2</f>
        <v>98.565465765911696</v>
      </c>
      <c r="E7" s="92">
        <f>'[2]Obra '!C39</f>
        <v>1649879.2174833333</v>
      </c>
      <c r="F7" s="12">
        <f t="shared" si="3"/>
        <v>2.2870668629653361E-2</v>
      </c>
      <c r="G7" s="95">
        <f>E7/Versões!N$2</f>
        <v>98.630797747426485</v>
      </c>
      <c r="H7" s="92">
        <f t="shared" si="1"/>
        <v>1092.8622803424951</v>
      </c>
      <c r="I7" s="92">
        <f t="shared" si="4"/>
        <v>6.5331981514786738E-2</v>
      </c>
      <c r="J7" s="107">
        <f t="shared" si="2"/>
        <v>6.6282831422870855E-4</v>
      </c>
      <c r="K7" s="92"/>
      <c r="L7" s="9"/>
      <c r="M7" s="15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spans="1:24" ht="19.5" customHeight="1" x14ac:dyDescent="0.25">
      <c r="A8" s="10" t="s">
        <v>78</v>
      </c>
      <c r="B8" s="97">
        <f>'[1]ORÇ. SINTÉTICO'!C17</f>
        <v>1897027.0510000002</v>
      </c>
      <c r="C8" s="101">
        <f t="shared" si="0"/>
        <v>2620469.9406485339</v>
      </c>
      <c r="D8" s="94">
        <f>C8/Versões!$N$2</f>
        <v>156.6533101214284</v>
      </c>
      <c r="E8" s="101">
        <f>'[2]Obra '!C40</f>
        <v>2108723.0697037145</v>
      </c>
      <c r="F8" s="58">
        <f t="shared" si="3"/>
        <v>2.9231174044645643E-2</v>
      </c>
      <c r="G8" s="94">
        <f>E8/Versões!N$2</f>
        <v>126.06076638175509</v>
      </c>
      <c r="H8" s="101">
        <f t="shared" si="1"/>
        <v>-511746.87094481941</v>
      </c>
      <c r="I8" s="101">
        <f t="shared" si="4"/>
        <v>-30.59254373967331</v>
      </c>
      <c r="J8" s="106">
        <f t="shared" si="2"/>
        <v>-0.19528820499202842</v>
      </c>
      <c r="K8" s="101"/>
      <c r="L8" s="27"/>
      <c r="M8" s="16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spans="1:24" ht="19.5" customHeight="1" x14ac:dyDescent="0.25">
      <c r="A9" s="2" t="s">
        <v>79</v>
      </c>
      <c r="B9" s="92">
        <f>'[1]ORÇ. SINTÉTICO'!C18</f>
        <v>1208325.2723073896</v>
      </c>
      <c r="C9" s="92">
        <f t="shared" si="0"/>
        <v>1669127.5187342959</v>
      </c>
      <c r="D9" s="95">
        <f>C9/Versões!$N$2</f>
        <v>99.781473074170151</v>
      </c>
      <c r="E9" s="92">
        <f>'[2]Obra '!C41</f>
        <v>1898258.4656083335</v>
      </c>
      <c r="F9" s="12">
        <f t="shared" si="3"/>
        <v>2.6313708228039422E-2</v>
      </c>
      <c r="G9" s="95">
        <f>E9/Versões!N$2</f>
        <v>113.47906247303645</v>
      </c>
      <c r="H9" s="92">
        <f t="shared" si="1"/>
        <v>229130.94687403762</v>
      </c>
      <c r="I9" s="92">
        <f t="shared" si="4"/>
        <v>13.697589398866295</v>
      </c>
      <c r="J9" s="107">
        <f t="shared" si="2"/>
        <v>0.13727587874639335</v>
      </c>
      <c r="K9" s="92"/>
      <c r="L9" s="9"/>
      <c r="M9" s="15"/>
      <c r="N9" s="29"/>
      <c r="O9" s="9"/>
      <c r="P9" s="9"/>
      <c r="Q9" s="9"/>
      <c r="R9" s="9"/>
      <c r="S9" s="9"/>
      <c r="T9" s="9"/>
      <c r="U9" s="9"/>
      <c r="V9" s="9"/>
      <c r="W9" s="9"/>
      <c r="X9" s="9"/>
    </row>
    <row r="10" spans="1:24" ht="19.5" customHeight="1" x14ac:dyDescent="0.25">
      <c r="A10" s="10" t="s">
        <v>80</v>
      </c>
      <c r="B10" s="91">
        <f>'[1]ORÇ. SINTÉTICO'!C19</f>
        <v>660504.84722351003</v>
      </c>
      <c r="C10" s="101">
        <f t="shared" si="0"/>
        <v>912392.41785691329</v>
      </c>
      <c r="D10" s="94">
        <f>C10/Versões!$N$2</f>
        <v>54.54338176899892</v>
      </c>
      <c r="E10" s="101">
        <f>'[2]Obra '!C42</f>
        <v>736663.29528736509</v>
      </c>
      <c r="F10" s="58">
        <f t="shared" si="3"/>
        <v>1.0211645761466782E-2</v>
      </c>
      <c r="G10" s="94">
        <f>E10/Versões!N$2</f>
        <v>44.038186380861418</v>
      </c>
      <c r="H10" s="101">
        <f t="shared" si="1"/>
        <v>-175729.1225695482</v>
      </c>
      <c r="I10" s="101">
        <f t="shared" si="4"/>
        <v>-10.505195388137503</v>
      </c>
      <c r="J10" s="106">
        <f t="shared" si="2"/>
        <v>-0.19260256785376648</v>
      </c>
      <c r="K10" s="101"/>
      <c r="L10" s="9"/>
      <c r="M10" s="14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spans="1:24" ht="19.5" customHeight="1" x14ac:dyDescent="0.25">
      <c r="A11" s="2" t="s">
        <v>81</v>
      </c>
      <c r="B11" s="92">
        <f>'[1]ORÇ. SINTÉTICO'!C20</f>
        <v>409814.65496934619</v>
      </c>
      <c r="C11" s="92">
        <f t="shared" si="0"/>
        <v>566099.98471994477</v>
      </c>
      <c r="D11" s="95">
        <f>C11/Versões!$N$2</f>
        <v>33.841806421989268</v>
      </c>
      <c r="E11" s="92">
        <f>'[2]Obra '!C43</f>
        <v>1214123.3285218002</v>
      </c>
      <c r="F11" s="12">
        <f t="shared" si="3"/>
        <v>1.6830209161922703E-2</v>
      </c>
      <c r="G11" s="95">
        <f>E11/Versões!N$2</f>
        <v>72.581041804095335</v>
      </c>
      <c r="H11" s="92">
        <f t="shared" si="1"/>
        <v>648023.34380185546</v>
      </c>
      <c r="I11" s="92">
        <f t="shared" si="4"/>
        <v>38.739235382106074</v>
      </c>
      <c r="J11" s="107">
        <f t="shared" si="2"/>
        <v>1.1447153529291101</v>
      </c>
      <c r="K11" s="92"/>
      <c r="L11" s="9"/>
      <c r="M11" s="9"/>
      <c r="N11" s="30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spans="1:24" ht="19.5" customHeight="1" x14ac:dyDescent="0.25">
      <c r="A12" s="10" t="s">
        <v>82</v>
      </c>
      <c r="B12" s="91">
        <f>'[1]ORÇ. SINTÉTICO'!C21</f>
        <v>1359989.058240701</v>
      </c>
      <c r="C12" s="101">
        <f t="shared" si="0"/>
        <v>1878629.2187304527</v>
      </c>
      <c r="D12" s="94">
        <f>C12/Versões!$N$2</f>
        <v>112.30561398163734</v>
      </c>
      <c r="E12" s="101">
        <f>'[2]Obra '!C44</f>
        <v>2370480.0312116882</v>
      </c>
      <c r="F12" s="58">
        <f t="shared" si="3"/>
        <v>3.2859655853929526E-2</v>
      </c>
      <c r="G12" s="94">
        <f>E12/Versões!N$2</f>
        <v>141.70875906867107</v>
      </c>
      <c r="H12" s="101">
        <f t="shared" si="1"/>
        <v>491850.81248123548</v>
      </c>
      <c r="I12" s="101">
        <f t="shared" si="4"/>
        <v>29.403145087033728</v>
      </c>
      <c r="J12" s="106">
        <f t="shared" si="2"/>
        <v>0.26181367114774268</v>
      </c>
      <c r="K12" s="101"/>
      <c r="L12" s="9"/>
      <c r="M12" s="9"/>
      <c r="N12" s="14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spans="1:24" ht="19.5" customHeight="1" x14ac:dyDescent="0.25">
      <c r="A13" s="2" t="s">
        <v>83</v>
      </c>
      <c r="B13" s="92">
        <f>'[1]ORÇ. SINTÉTICO'!C22</f>
        <v>6140827.6209519608</v>
      </c>
      <c r="C13" s="92">
        <f t="shared" si="0"/>
        <v>8482669.8612052947</v>
      </c>
      <c r="D13" s="95">
        <f>C13/Versões!$N$2</f>
        <v>507.0992388854558</v>
      </c>
      <c r="E13" s="92">
        <f>'[2]Obra '!C45</f>
        <v>7112920.8864441477</v>
      </c>
      <c r="F13" s="12">
        <f t="shared" si="3"/>
        <v>9.8599494350226677E-2</v>
      </c>
      <c r="G13" s="95">
        <f>E13/Versões!N$2</f>
        <v>425.21479991392471</v>
      </c>
      <c r="H13" s="92">
        <f t="shared" si="1"/>
        <v>-1369748.9747611471</v>
      </c>
      <c r="I13" s="92">
        <f t="shared" si="4"/>
        <v>-81.884438971531097</v>
      </c>
      <c r="J13" s="107">
        <f t="shared" si="2"/>
        <v>-0.16147616224292391</v>
      </c>
      <c r="K13" s="92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spans="1:24" ht="19.5" customHeight="1" x14ac:dyDescent="0.25">
      <c r="A14" s="10" t="s">
        <v>84</v>
      </c>
      <c r="B14" s="91">
        <f>'[1]ORÇ. SINTÉTICO'!C23</f>
        <v>5702498.4569536168</v>
      </c>
      <c r="C14" s="101">
        <f t="shared" si="0"/>
        <v>7877181.1847197525</v>
      </c>
      <c r="D14" s="94">
        <f>C14/Versões!$N$2</f>
        <v>470.90275216329621</v>
      </c>
      <c r="E14" s="101">
        <f>'[2]Obra '!C46</f>
        <v>8730804.6296780538</v>
      </c>
      <c r="F14" s="58">
        <f t="shared" si="3"/>
        <v>0.12102664088356353</v>
      </c>
      <c r="G14" s="94">
        <f>E14/Versões!N$2</f>
        <v>521.93288846658845</v>
      </c>
      <c r="H14" s="101">
        <f t="shared" si="1"/>
        <v>853623.44495830126</v>
      </c>
      <c r="I14" s="101">
        <f t="shared" si="4"/>
        <v>51.030136303292245</v>
      </c>
      <c r="J14" s="106">
        <f t="shared" si="2"/>
        <v>0.10836661299782845</v>
      </c>
      <c r="K14" s="101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1:24" ht="19.5" customHeight="1" x14ac:dyDescent="0.25">
      <c r="A15" s="2" t="s">
        <v>85</v>
      </c>
      <c r="B15" s="92">
        <f>'[1]ORÇ. SINTÉTICO'!C24</f>
        <v>3876049.6143179997</v>
      </c>
      <c r="C15" s="92">
        <f t="shared" si="0"/>
        <v>5354204.8846527804</v>
      </c>
      <c r="D15" s="95">
        <f>C15/Versões!$N$2</f>
        <v>320.07767203832054</v>
      </c>
      <c r="E15" s="92">
        <f>'[2]Obra '!C47</f>
        <v>6911114.4359607538</v>
      </c>
      <c r="F15" s="12">
        <f t="shared" si="3"/>
        <v>9.5802048084206989E-2</v>
      </c>
      <c r="G15" s="95">
        <f>E15/Versões!N$2</f>
        <v>413.15068577100277</v>
      </c>
      <c r="H15" s="92">
        <f t="shared" si="1"/>
        <v>1556909.5513079735</v>
      </c>
      <c r="I15" s="92">
        <f t="shared" si="4"/>
        <v>93.073013732682199</v>
      </c>
      <c r="J15" s="107">
        <f t="shared" si="2"/>
        <v>0.29078258767621645</v>
      </c>
      <c r="K15" s="113" t="s">
        <v>88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1:24" ht="19.5" customHeight="1" x14ac:dyDescent="0.25">
      <c r="A16" s="10" t="s">
        <v>13</v>
      </c>
      <c r="B16" s="91">
        <f>'[1]ORÇ. SINTÉTICO'!C25</f>
        <v>1993733.5240692603</v>
      </c>
      <c r="C16" s="101">
        <f t="shared" si="0"/>
        <v>2754056.0197772142</v>
      </c>
      <c r="D16" s="94">
        <f>C16/Versões!$N$2</f>
        <v>164.63916836656122</v>
      </c>
      <c r="E16" s="101">
        <f>'[2]Obra '!C48</f>
        <v>1932915.8613456555</v>
      </c>
      <c r="F16" s="58">
        <f t="shared" si="3"/>
        <v>2.6794129949263428E-2</v>
      </c>
      <c r="G16" s="94">
        <f>E16/Versões!N$2</f>
        <v>115.55090297699435</v>
      </c>
      <c r="H16" s="101">
        <f t="shared" si="1"/>
        <v>-821140.15843155864</v>
      </c>
      <c r="I16" s="101">
        <f t="shared" si="4"/>
        <v>-49.088265389566878</v>
      </c>
      <c r="J16" s="106">
        <f t="shared" si="2"/>
        <v>-0.29815666512767003</v>
      </c>
      <c r="K16" s="101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1:24" ht="19.5" customHeight="1" x14ac:dyDescent="0.25">
      <c r="A17" s="2" t="s">
        <v>86</v>
      </c>
      <c r="B17" s="92">
        <f>'[1]ORÇ. SINTÉTICO'!C26</f>
        <v>1625998.0344886766</v>
      </c>
      <c r="C17" s="92">
        <f t="shared" si="0"/>
        <v>2246082.3480008324</v>
      </c>
      <c r="D17" s="95">
        <f>C17/Versões!$N$2</f>
        <v>134.27218880158586</v>
      </c>
      <c r="E17" s="92">
        <f>'[2]Obra '!C49</f>
        <v>1820015.3354999991</v>
      </c>
      <c r="F17" s="12">
        <f t="shared" si="3"/>
        <v>2.5229099923205954E-2</v>
      </c>
      <c r="G17" s="95">
        <f>E17/Versões!N$2</f>
        <v>108.80163987199768</v>
      </c>
      <c r="H17" s="92">
        <f t="shared" si="1"/>
        <v>-426067.01250083325</v>
      </c>
      <c r="I17" s="92">
        <f t="shared" si="4"/>
        <v>-25.47054892958819</v>
      </c>
      <c r="J17" s="107">
        <f t="shared" si="2"/>
        <v>-0.18969340678005958</v>
      </c>
      <c r="K17" s="92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spans="1:24" ht="19.5" customHeight="1" x14ac:dyDescent="0.25">
      <c r="A18" s="59" t="s">
        <v>14</v>
      </c>
      <c r="B18" s="93">
        <f t="shared" ref="B18:H18" si="5">SUM(B2:B17)</f>
        <v>50541802.628492773</v>
      </c>
      <c r="C18" s="93">
        <f t="shared" si="5"/>
        <v>69816228.748209029</v>
      </c>
      <c r="D18" s="88">
        <f t="shared" si="5"/>
        <v>4173.6572375621354</v>
      </c>
      <c r="E18" s="93">
        <f t="shared" si="5"/>
        <v>72139527.016020596</v>
      </c>
      <c r="F18" s="61">
        <f t="shared" si="5"/>
        <v>0.99999999999999989</v>
      </c>
      <c r="G18" s="88">
        <f t="shared" si="5"/>
        <v>4312.5454416992861</v>
      </c>
      <c r="H18" s="88">
        <f t="shared" si="5"/>
        <v>2323298.2678115624</v>
      </c>
      <c r="I18" s="88">
        <f>SUM(I2:I17)</f>
        <v>138.88820413715126</v>
      </c>
      <c r="J18" s="108">
        <f t="shared" si="2"/>
        <v>3.3277338370574207E-2</v>
      </c>
      <c r="K18" s="93"/>
      <c r="L18" s="14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1:24" ht="19.5" customHeight="1" x14ac:dyDescent="0.25">
      <c r="A19" s="59" t="s">
        <v>50</v>
      </c>
      <c r="B19" s="98">
        <v>2171.33</v>
      </c>
      <c r="C19" s="98">
        <v>2171.33</v>
      </c>
      <c r="D19" s="111" t="str">
        <f>ROUNDUP(+D18/B19,2)&amp;" CUB"</f>
        <v>1,93 CUB</v>
      </c>
      <c r="E19" s="98">
        <v>2999.38</v>
      </c>
      <c r="F19" s="63"/>
      <c r="G19" s="111" t="str">
        <f>ROUNDUP(+G18/E19,2)&amp;" CUB"</f>
        <v>1,44 CUB</v>
      </c>
      <c r="H19" s="109"/>
      <c r="I19" s="98"/>
      <c r="J19" s="98"/>
      <c r="K19" s="98"/>
      <c r="L19" s="14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1:24" ht="22.5" customHeight="1" x14ac:dyDescent="0.25">
      <c r="A20" s="59" t="s">
        <v>65</v>
      </c>
      <c r="B20" s="63">
        <v>44287</v>
      </c>
      <c r="C20" s="63">
        <v>44287</v>
      </c>
      <c r="D20" s="110"/>
      <c r="E20" s="63">
        <v>45931</v>
      </c>
      <c r="F20" s="63"/>
      <c r="G20" s="110"/>
      <c r="H20" s="63"/>
      <c r="I20" s="98"/>
      <c r="J20" s="98"/>
      <c r="K20" s="98"/>
      <c r="L20" s="14"/>
      <c r="M20" s="14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spans="1:24" ht="22.5" customHeight="1" x14ac:dyDescent="0.25">
      <c r="A21" s="9"/>
      <c r="B21" s="14"/>
      <c r="C21" s="115"/>
      <c r="E21" s="124">
        <f>E19/C19-1</f>
        <v>0.38135612735051794</v>
      </c>
      <c r="H21" s="114"/>
      <c r="I21" s="14"/>
      <c r="J21" s="14"/>
      <c r="K21" s="14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spans="1:24" ht="15" customHeight="1" x14ac:dyDescent="0.25">
      <c r="A22" s="9"/>
      <c r="B22" s="9"/>
      <c r="C22" s="14"/>
      <c r="D22" s="15"/>
      <c r="E22" s="14"/>
      <c r="G22" s="15"/>
      <c r="H22" s="114"/>
      <c r="I22" s="9"/>
      <c r="J22" s="9"/>
      <c r="K22" s="9"/>
      <c r="L22" s="9"/>
      <c r="M22" s="14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spans="1:24" ht="19.5" customHeight="1" x14ac:dyDescent="0.25">
      <c r="A23" s="9"/>
      <c r="B23" s="9"/>
      <c r="C23" s="105"/>
      <c r="D23" s="15"/>
      <c r="E23" s="9"/>
      <c r="F23" s="15"/>
      <c r="G23" s="15"/>
      <c r="H23" s="9"/>
      <c r="I23" s="9"/>
      <c r="J23" s="9"/>
      <c r="K23" s="9"/>
      <c r="L23" s="16"/>
      <c r="M23" s="9"/>
      <c r="N23" s="14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spans="1:24" ht="19.5" customHeight="1" x14ac:dyDescent="0.45">
      <c r="A24" s="9"/>
      <c r="B24" s="9"/>
      <c r="C24" s="9"/>
      <c r="D24" s="15"/>
      <c r="E24" s="9"/>
      <c r="F24" s="15"/>
      <c r="G24" s="15"/>
      <c r="H24" s="9"/>
      <c r="I24" s="9"/>
      <c r="J24" s="9"/>
      <c r="K24" s="9"/>
      <c r="L24" s="17"/>
      <c r="M24" s="14"/>
      <c r="N24" s="14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1:24" ht="19.5" customHeight="1" x14ac:dyDescent="0.25">
      <c r="A25" s="9"/>
      <c r="B25" s="9"/>
      <c r="C25" s="9"/>
      <c r="D25" s="15"/>
      <c r="E25" s="9"/>
      <c r="F25" s="15"/>
      <c r="G25" s="15"/>
      <c r="H25" s="9"/>
      <c r="I25" s="9"/>
      <c r="J25" s="9"/>
      <c r="K25" s="9"/>
      <c r="L25" s="18"/>
      <c r="M25" s="1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1:24" ht="19.5" customHeight="1" x14ac:dyDescent="0.25">
      <c r="A26" s="9"/>
      <c r="B26" s="9"/>
      <c r="C26" s="9"/>
      <c r="D26" s="15"/>
      <c r="E26" s="9"/>
      <c r="F26" s="15"/>
      <c r="G26" s="15"/>
      <c r="H26" s="9"/>
      <c r="I26" s="9"/>
      <c r="J26" s="9"/>
      <c r="K26" s="9"/>
      <c r="L26" s="9"/>
      <c r="M26" s="1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1:24" ht="19.5" customHeight="1" x14ac:dyDescent="0.25">
      <c r="A27" s="9"/>
      <c r="B27" s="9"/>
      <c r="C27" s="9"/>
      <c r="D27" s="15"/>
      <c r="E27" s="9"/>
      <c r="F27" s="15"/>
      <c r="G27" s="15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spans="1:24" ht="19.5" customHeight="1" x14ac:dyDescent="0.25">
      <c r="A28" s="9"/>
      <c r="B28" s="9"/>
      <c r="C28" s="9"/>
      <c r="D28" s="15"/>
      <c r="E28" s="9"/>
      <c r="F28" s="15"/>
      <c r="G28" s="15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1:24" ht="19.5" customHeight="1" x14ac:dyDescent="0.25">
      <c r="A29" s="9"/>
      <c r="B29" s="9"/>
      <c r="C29" s="9"/>
      <c r="D29" s="15"/>
      <c r="E29" s="9"/>
      <c r="F29" s="15"/>
      <c r="G29" s="15"/>
      <c r="H29" s="9"/>
      <c r="I29" s="9"/>
      <c r="J29" s="9"/>
      <c r="K29" s="9"/>
      <c r="L29" s="9"/>
      <c r="M29" s="14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spans="1:24" ht="19.5" customHeight="1" x14ac:dyDescent="0.25">
      <c r="A30" s="9"/>
      <c r="B30" s="9"/>
      <c r="C30" s="9"/>
      <c r="D30" s="15"/>
      <c r="E30" s="9"/>
      <c r="F30" s="15"/>
      <c r="G30" s="15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spans="1:24" ht="19.5" customHeight="1" x14ac:dyDescent="0.25">
      <c r="A31" s="9"/>
      <c r="B31" s="9"/>
      <c r="C31" s="9"/>
      <c r="D31" s="15"/>
      <c r="E31" s="9"/>
      <c r="F31" s="15"/>
      <c r="G31" s="15"/>
      <c r="H31" s="9"/>
      <c r="I31" s="9"/>
      <c r="J31" s="9"/>
      <c r="K31" s="9"/>
      <c r="L31" s="9"/>
      <c r="M31" s="14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spans="1:24" ht="19.5" customHeight="1" x14ac:dyDescent="0.25">
      <c r="A32" s="9"/>
      <c r="B32" s="9"/>
      <c r="C32" s="9"/>
      <c r="D32" s="15"/>
      <c r="E32" s="9"/>
      <c r="F32" s="15"/>
      <c r="G32" s="15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spans="1:24" ht="19.5" customHeight="1" x14ac:dyDescent="0.25">
      <c r="A33" s="9"/>
      <c r="B33" s="9"/>
      <c r="C33" s="9"/>
      <c r="D33" s="15"/>
      <c r="E33" s="9"/>
      <c r="F33" s="15"/>
      <c r="G33" s="15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spans="1:24" ht="19.5" customHeight="1" x14ac:dyDescent="0.25">
      <c r="A34" s="9"/>
      <c r="B34" s="9"/>
      <c r="C34" s="9"/>
      <c r="D34" s="15"/>
      <c r="E34" s="9"/>
      <c r="F34" s="15"/>
      <c r="G34" s="15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spans="1:24" ht="19.5" customHeight="1" x14ac:dyDescent="0.25">
      <c r="A35" s="9"/>
      <c r="B35" s="9"/>
      <c r="C35" s="9"/>
      <c r="D35" s="15"/>
      <c r="E35" s="9"/>
      <c r="F35" s="15"/>
      <c r="G35" s="15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spans="1:24" ht="19.5" customHeight="1" x14ac:dyDescent="0.25">
      <c r="A36" s="9"/>
      <c r="B36" s="9"/>
      <c r="C36" s="9"/>
      <c r="D36" s="15"/>
      <c r="E36" s="9"/>
      <c r="F36" s="15"/>
      <c r="G36" s="15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spans="1:24" ht="19.5" customHeight="1" x14ac:dyDescent="0.25">
      <c r="A37" s="9"/>
      <c r="B37" s="9"/>
      <c r="C37" s="9"/>
      <c r="D37" s="15"/>
      <c r="E37" s="9"/>
      <c r="F37" s="15"/>
      <c r="G37" s="15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spans="1:24" ht="19.5" customHeight="1" x14ac:dyDescent="0.25">
      <c r="A38" s="9"/>
      <c r="B38" s="9"/>
      <c r="C38" s="9"/>
      <c r="D38" s="15"/>
      <c r="E38" s="9"/>
      <c r="F38" s="15"/>
      <c r="G38" s="15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spans="1:24" ht="19.5" customHeight="1" x14ac:dyDescent="0.25">
      <c r="A39" s="9"/>
      <c r="B39" s="9"/>
      <c r="C39" s="9"/>
      <c r="D39" s="15"/>
      <c r="E39" s="9"/>
      <c r="F39" s="15"/>
      <c r="G39" s="15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spans="1:24" ht="19.5" customHeight="1" x14ac:dyDescent="0.25">
      <c r="A40" s="9"/>
      <c r="B40" s="9"/>
      <c r="C40" s="9"/>
      <c r="D40" s="15"/>
      <c r="E40" s="9"/>
      <c r="F40" s="15"/>
      <c r="G40" s="15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spans="1:24" ht="19.5" customHeight="1" x14ac:dyDescent="0.25">
      <c r="A41" s="9"/>
      <c r="B41" s="9"/>
      <c r="C41" s="9"/>
      <c r="D41" s="15"/>
      <c r="E41" s="9"/>
      <c r="F41" s="15"/>
      <c r="G41" s="15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spans="1:24" ht="19.5" customHeight="1" x14ac:dyDescent="0.25">
      <c r="A42" s="9"/>
      <c r="B42" s="9"/>
      <c r="C42" s="9"/>
      <c r="D42" s="15"/>
      <c r="E42" s="9"/>
      <c r="F42" s="15"/>
      <c r="G42" s="15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spans="1:24" ht="19.5" customHeight="1" x14ac:dyDescent="0.25">
      <c r="A43" s="9"/>
      <c r="B43" s="9"/>
      <c r="C43" s="9"/>
      <c r="D43" s="15"/>
      <c r="E43" s="9"/>
      <c r="F43" s="15"/>
      <c r="G43" s="15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spans="1:24" ht="19.5" customHeight="1" x14ac:dyDescent="0.25">
      <c r="A44" s="9"/>
      <c r="B44" s="9"/>
      <c r="C44" s="9"/>
      <c r="D44" s="15"/>
      <c r="E44" s="9"/>
      <c r="F44" s="15"/>
      <c r="G44" s="15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spans="1:24" ht="19.5" customHeight="1" x14ac:dyDescent="0.25">
      <c r="A45" s="9"/>
      <c r="B45" s="9"/>
      <c r="C45" s="9"/>
      <c r="D45" s="15"/>
      <c r="E45" s="9"/>
      <c r="F45" s="15"/>
      <c r="G45" s="15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spans="1:24" ht="19.5" customHeight="1" x14ac:dyDescent="0.25">
      <c r="A46" s="9"/>
      <c r="B46" s="9"/>
      <c r="C46" s="9"/>
      <c r="D46" s="15"/>
      <c r="E46" s="9"/>
      <c r="F46" s="15"/>
      <c r="G46" s="15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spans="1:24" ht="19.5" customHeight="1" x14ac:dyDescent="0.25">
      <c r="A47" s="9"/>
      <c r="B47" s="9"/>
      <c r="C47" s="9"/>
      <c r="D47" s="15"/>
      <c r="E47" s="9"/>
      <c r="F47" s="15"/>
      <c r="G47" s="15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spans="1:24" ht="19.5" customHeight="1" x14ac:dyDescent="0.25">
      <c r="A48" s="9"/>
      <c r="B48" s="9"/>
      <c r="C48" s="9"/>
      <c r="D48" s="15"/>
      <c r="E48" s="9"/>
      <c r="F48" s="15"/>
      <c r="G48" s="15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spans="1:24" ht="19.5" customHeight="1" x14ac:dyDescent="0.25">
      <c r="A49" s="9"/>
      <c r="B49" s="9"/>
      <c r="C49" s="9"/>
      <c r="D49" s="15"/>
      <c r="E49" s="9"/>
      <c r="F49" s="15"/>
      <c r="G49" s="15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spans="1:24" ht="19.5" customHeight="1" x14ac:dyDescent="0.25">
      <c r="A50" s="9"/>
      <c r="B50" s="9"/>
      <c r="C50" s="9"/>
      <c r="D50" s="15"/>
      <c r="E50" s="9"/>
      <c r="F50" s="15"/>
      <c r="G50" s="15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spans="1:24" ht="19.5" customHeight="1" x14ac:dyDescent="0.25">
      <c r="A51" s="9"/>
      <c r="B51" s="9"/>
      <c r="C51" s="9"/>
      <c r="D51" s="15"/>
      <c r="E51" s="9"/>
      <c r="F51" s="15"/>
      <c r="G51" s="15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spans="1:24" ht="19.5" customHeight="1" x14ac:dyDescent="0.25">
      <c r="A52" s="9"/>
      <c r="B52" s="9"/>
      <c r="C52" s="9"/>
      <c r="D52" s="15"/>
      <c r="E52" s="9"/>
      <c r="F52" s="15"/>
      <c r="G52" s="15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spans="1:24" ht="19.5" customHeight="1" x14ac:dyDescent="0.25">
      <c r="A53" s="9"/>
      <c r="B53" s="9"/>
      <c r="C53" s="9"/>
      <c r="D53" s="15"/>
      <c r="E53" s="9"/>
      <c r="F53" s="15"/>
      <c r="G53" s="15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spans="1:24" ht="19.5" customHeight="1" x14ac:dyDescent="0.25">
      <c r="A54" s="9"/>
      <c r="B54" s="9"/>
      <c r="C54" s="9"/>
      <c r="D54" s="15"/>
      <c r="E54" s="9"/>
      <c r="F54" s="15"/>
      <c r="G54" s="15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spans="1:24" ht="19.5" customHeight="1" x14ac:dyDescent="0.25">
      <c r="A55" s="9"/>
      <c r="B55" s="9"/>
      <c r="C55" s="9"/>
      <c r="D55" s="15"/>
      <c r="E55" s="9"/>
      <c r="F55" s="15"/>
      <c r="G55" s="15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spans="1:24" ht="19.5" customHeight="1" x14ac:dyDescent="0.25">
      <c r="A56" s="9"/>
      <c r="B56" s="9"/>
      <c r="C56" s="9"/>
      <c r="D56" s="15"/>
      <c r="E56" s="9"/>
      <c r="F56" s="15"/>
      <c r="G56" s="15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spans="1:24" ht="19.5" customHeight="1" x14ac:dyDescent="0.25">
      <c r="A57" s="9"/>
      <c r="B57" s="9"/>
      <c r="C57" s="9"/>
      <c r="D57" s="15"/>
      <c r="E57" s="9"/>
      <c r="F57" s="15"/>
      <c r="G57" s="15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spans="1:24" ht="19.5" customHeight="1" x14ac:dyDescent="0.25">
      <c r="A58" s="9"/>
      <c r="B58" s="9"/>
      <c r="C58" s="9"/>
      <c r="D58" s="15"/>
      <c r="E58" s="9"/>
      <c r="F58" s="15"/>
      <c r="G58" s="15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spans="1:24" ht="19.5" customHeight="1" x14ac:dyDescent="0.25">
      <c r="A59" s="9"/>
      <c r="B59" s="9"/>
      <c r="C59" s="9"/>
      <c r="D59" s="15"/>
      <c r="E59" s="9"/>
      <c r="F59" s="15"/>
      <c r="G59" s="15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spans="1:24" ht="19.5" customHeight="1" x14ac:dyDescent="0.25">
      <c r="A60" s="9"/>
      <c r="B60" s="9"/>
      <c r="C60" s="9"/>
      <c r="D60" s="15"/>
      <c r="E60" s="9"/>
      <c r="F60" s="15"/>
      <c r="G60" s="15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spans="1:24" ht="19.5" customHeight="1" x14ac:dyDescent="0.25">
      <c r="A61" s="9"/>
      <c r="B61" s="9"/>
      <c r="C61" s="9"/>
      <c r="D61" s="15"/>
      <c r="E61" s="9"/>
      <c r="F61" s="15"/>
      <c r="G61" s="15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spans="1:24" ht="19.5" customHeight="1" x14ac:dyDescent="0.25">
      <c r="A62" s="9"/>
      <c r="B62" s="9"/>
      <c r="C62" s="9"/>
      <c r="D62" s="15"/>
      <c r="E62" s="9"/>
      <c r="F62" s="15"/>
      <c r="G62" s="15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spans="1:24" ht="19.5" customHeight="1" x14ac:dyDescent="0.25">
      <c r="A63" s="9"/>
      <c r="B63" s="9"/>
      <c r="C63" s="9"/>
      <c r="D63" s="15"/>
      <c r="E63" s="9"/>
      <c r="F63" s="15"/>
      <c r="G63" s="15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spans="1:24" ht="19.5" customHeight="1" x14ac:dyDescent="0.25">
      <c r="A64" s="9"/>
      <c r="B64" s="9"/>
      <c r="C64" s="9"/>
      <c r="D64" s="15"/>
      <c r="E64" s="9"/>
      <c r="F64" s="15"/>
      <c r="G64" s="15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spans="1:24" ht="19.5" customHeight="1" x14ac:dyDescent="0.25">
      <c r="A65" s="9"/>
      <c r="B65" s="9"/>
      <c r="C65" s="9"/>
      <c r="D65" s="15"/>
      <c r="E65" s="9"/>
      <c r="F65" s="15"/>
      <c r="G65" s="15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spans="1:24" ht="19.5" customHeight="1" x14ac:dyDescent="0.25">
      <c r="A66" s="9"/>
      <c r="B66" s="9"/>
      <c r="C66" s="9"/>
      <c r="D66" s="15"/>
      <c r="E66" s="9"/>
      <c r="F66" s="15"/>
      <c r="G66" s="15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spans="1:24" ht="19.5" customHeight="1" x14ac:dyDescent="0.25">
      <c r="A67" s="9"/>
      <c r="B67" s="9"/>
      <c r="C67" s="9"/>
      <c r="D67" s="15"/>
      <c r="E67" s="9"/>
      <c r="F67" s="15"/>
      <c r="G67" s="15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spans="1:24" ht="19.5" customHeight="1" x14ac:dyDescent="0.25">
      <c r="A68" s="9"/>
      <c r="B68" s="9"/>
      <c r="C68" s="9"/>
      <c r="D68" s="15"/>
      <c r="E68" s="9"/>
      <c r="F68" s="15"/>
      <c r="G68" s="15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spans="1:24" ht="19.5" customHeight="1" x14ac:dyDescent="0.25">
      <c r="A69" s="9"/>
      <c r="B69" s="9"/>
      <c r="C69" s="9"/>
      <c r="D69" s="15"/>
      <c r="E69" s="9"/>
      <c r="F69" s="15"/>
      <c r="G69" s="15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spans="1:24" ht="19.5" customHeight="1" x14ac:dyDescent="0.25">
      <c r="A70" s="9"/>
      <c r="B70" s="9"/>
      <c r="C70" s="9"/>
      <c r="D70" s="15"/>
      <c r="E70" s="9"/>
      <c r="F70" s="15"/>
      <c r="G70" s="15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spans="1:24" ht="19.5" customHeight="1" x14ac:dyDescent="0.25">
      <c r="A71" s="9"/>
      <c r="B71" s="9"/>
      <c r="C71" s="9"/>
      <c r="D71" s="15"/>
      <c r="E71" s="9"/>
      <c r="F71" s="15"/>
      <c r="G71" s="15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spans="1:24" ht="19.5" customHeight="1" x14ac:dyDescent="0.25">
      <c r="A72" s="9"/>
      <c r="B72" s="9"/>
      <c r="C72" s="9"/>
      <c r="D72" s="15"/>
      <c r="E72" s="9"/>
      <c r="F72" s="15"/>
      <c r="G72" s="15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spans="1:24" ht="19.5" customHeight="1" x14ac:dyDescent="0.25">
      <c r="A73" s="9"/>
      <c r="B73" s="9"/>
      <c r="C73" s="9"/>
      <c r="D73" s="15"/>
      <c r="E73" s="9"/>
      <c r="F73" s="15"/>
      <c r="G73" s="15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spans="1:24" ht="19.5" customHeight="1" x14ac:dyDescent="0.25">
      <c r="A74" s="9"/>
      <c r="B74" s="9"/>
      <c r="C74" s="9"/>
      <c r="D74" s="15"/>
      <c r="E74" s="9"/>
      <c r="F74" s="15"/>
      <c r="G74" s="15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spans="1:24" ht="19.5" customHeight="1" x14ac:dyDescent="0.25">
      <c r="A75" s="9"/>
      <c r="B75" s="9"/>
      <c r="C75" s="9"/>
      <c r="D75" s="15"/>
      <c r="E75" s="9"/>
      <c r="F75" s="15"/>
      <c r="G75" s="15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spans="1:24" ht="19.5" customHeight="1" x14ac:dyDescent="0.25">
      <c r="A76" s="9"/>
      <c r="B76" s="9"/>
      <c r="C76" s="9"/>
      <c r="D76" s="15"/>
      <c r="E76" s="9"/>
      <c r="F76" s="15"/>
      <c r="G76" s="15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spans="1:24" ht="19.5" customHeight="1" x14ac:dyDescent="0.25">
      <c r="A77" s="9"/>
      <c r="B77" s="9"/>
      <c r="C77" s="9"/>
      <c r="D77" s="15"/>
      <c r="E77" s="9"/>
      <c r="F77" s="15"/>
      <c r="G77" s="15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spans="1:24" ht="19.5" customHeight="1" x14ac:dyDescent="0.25">
      <c r="A78" s="9"/>
      <c r="B78" s="9"/>
      <c r="C78" s="9"/>
      <c r="D78" s="15"/>
      <c r="E78" s="9"/>
      <c r="F78" s="15"/>
      <c r="G78" s="15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 spans="1:24" ht="19.5" customHeight="1" x14ac:dyDescent="0.25">
      <c r="A79" s="9"/>
      <c r="B79" s="9"/>
      <c r="C79" s="9"/>
      <c r="D79" s="15"/>
      <c r="E79" s="9"/>
      <c r="F79" s="15"/>
      <c r="G79" s="15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spans="1:24" ht="19.5" customHeight="1" x14ac:dyDescent="0.25">
      <c r="A80" s="9"/>
      <c r="B80" s="9"/>
      <c r="C80" s="9"/>
      <c r="D80" s="15"/>
      <c r="E80" s="9"/>
      <c r="F80" s="15"/>
      <c r="G80" s="15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spans="1:24" ht="19.5" customHeight="1" x14ac:dyDescent="0.25">
      <c r="A81" s="9"/>
      <c r="B81" s="9"/>
      <c r="C81" s="9"/>
      <c r="D81" s="15"/>
      <c r="E81" s="9"/>
      <c r="F81" s="15"/>
      <c r="G81" s="15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spans="1:24" ht="19.5" customHeight="1" x14ac:dyDescent="0.25">
      <c r="A82" s="9"/>
      <c r="B82" s="9"/>
      <c r="C82" s="9"/>
      <c r="D82" s="15"/>
      <c r="E82" s="9"/>
      <c r="F82" s="15"/>
      <c r="G82" s="15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spans="1:24" ht="19.5" customHeight="1" x14ac:dyDescent="0.25">
      <c r="A83" s="9"/>
      <c r="B83" s="9"/>
      <c r="C83" s="9"/>
      <c r="D83" s="15"/>
      <c r="E83" s="9"/>
      <c r="F83" s="15"/>
      <c r="G83" s="15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spans="1:24" ht="19.5" customHeight="1" x14ac:dyDescent="0.25">
      <c r="A84" s="9"/>
      <c r="B84" s="9"/>
      <c r="C84" s="9"/>
      <c r="D84" s="15"/>
      <c r="E84" s="9"/>
      <c r="F84" s="15"/>
      <c r="G84" s="15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spans="1:24" ht="19.5" customHeight="1" x14ac:dyDescent="0.25">
      <c r="A85" s="9"/>
      <c r="B85" s="9"/>
      <c r="C85" s="9"/>
      <c r="D85" s="15"/>
      <c r="E85" s="9"/>
      <c r="F85" s="15"/>
      <c r="G85" s="15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spans="1:24" ht="19.5" customHeight="1" x14ac:dyDescent="0.25">
      <c r="A86" s="9"/>
      <c r="B86" s="9"/>
      <c r="C86" s="9"/>
      <c r="D86" s="15"/>
      <c r="E86" s="9"/>
      <c r="F86" s="15"/>
      <c r="G86" s="15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spans="1:24" ht="19.5" customHeight="1" x14ac:dyDescent="0.25">
      <c r="A87" s="9"/>
      <c r="B87" s="9"/>
      <c r="C87" s="9"/>
      <c r="D87" s="15"/>
      <c r="E87" s="9"/>
      <c r="F87" s="15"/>
      <c r="G87" s="15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spans="1:24" ht="19.5" customHeight="1" x14ac:dyDescent="0.25">
      <c r="A88" s="9"/>
      <c r="B88" s="9"/>
      <c r="C88" s="9"/>
      <c r="D88" s="15"/>
      <c r="E88" s="9"/>
      <c r="F88" s="15"/>
      <c r="G88" s="15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spans="1:24" ht="19.5" customHeight="1" x14ac:dyDescent="0.25">
      <c r="A89" s="9"/>
      <c r="B89" s="9"/>
      <c r="C89" s="9"/>
      <c r="D89" s="15"/>
      <c r="E89" s="9"/>
      <c r="F89" s="15"/>
      <c r="G89" s="15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spans="1:24" ht="19.5" customHeight="1" x14ac:dyDescent="0.25">
      <c r="A90" s="9"/>
      <c r="B90" s="9"/>
      <c r="C90" s="9"/>
      <c r="D90" s="15"/>
      <c r="E90" s="9"/>
      <c r="F90" s="15"/>
      <c r="G90" s="15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spans="1:24" ht="19.5" customHeight="1" x14ac:dyDescent="0.25">
      <c r="A91" s="9"/>
      <c r="B91" s="9"/>
      <c r="C91" s="9"/>
      <c r="D91" s="15"/>
      <c r="E91" s="9"/>
      <c r="F91" s="15"/>
      <c r="G91" s="15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spans="1:24" ht="19.5" customHeight="1" x14ac:dyDescent="0.25">
      <c r="A92" s="9"/>
      <c r="B92" s="9"/>
      <c r="C92" s="9"/>
      <c r="D92" s="15"/>
      <c r="E92" s="9"/>
      <c r="F92" s="15"/>
      <c r="G92" s="15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 spans="1:24" ht="19.5" customHeight="1" x14ac:dyDescent="0.25">
      <c r="A93" s="9"/>
      <c r="B93" s="9"/>
      <c r="C93" s="9"/>
      <c r="D93" s="15"/>
      <c r="E93" s="9"/>
      <c r="F93" s="15"/>
      <c r="G93" s="15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spans="1:24" ht="19.5" customHeight="1" x14ac:dyDescent="0.25">
      <c r="A94" s="9"/>
      <c r="B94" s="9"/>
      <c r="C94" s="9"/>
      <c r="D94" s="15"/>
      <c r="E94" s="9"/>
      <c r="F94" s="15"/>
      <c r="G94" s="15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 spans="1:24" ht="19.5" customHeight="1" x14ac:dyDescent="0.25">
      <c r="A95" s="9"/>
      <c r="B95" s="9"/>
      <c r="C95" s="9"/>
      <c r="D95" s="15"/>
      <c r="E95" s="9"/>
      <c r="F95" s="15"/>
      <c r="G95" s="15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 spans="1:24" ht="19.5" customHeight="1" x14ac:dyDescent="0.25">
      <c r="A96" s="9"/>
      <c r="B96" s="9"/>
      <c r="C96" s="9"/>
      <c r="D96" s="15"/>
      <c r="E96" s="9"/>
      <c r="F96" s="15"/>
      <c r="G96" s="15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 spans="1:24" ht="19.5" customHeight="1" x14ac:dyDescent="0.25">
      <c r="A97" s="9"/>
      <c r="B97" s="9"/>
      <c r="C97" s="9"/>
      <c r="D97" s="15"/>
      <c r="E97" s="9"/>
      <c r="F97" s="15"/>
      <c r="G97" s="15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spans="1:24" ht="19.5" customHeight="1" x14ac:dyDescent="0.25">
      <c r="A98" s="9"/>
      <c r="B98" s="9"/>
      <c r="C98" s="9"/>
      <c r="D98" s="15"/>
      <c r="E98" s="9"/>
      <c r="F98" s="15"/>
      <c r="G98" s="15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spans="1:24" ht="19.5" customHeight="1" x14ac:dyDescent="0.25">
      <c r="A99" s="9"/>
      <c r="B99" s="9"/>
      <c r="C99" s="9"/>
      <c r="D99" s="15"/>
      <c r="E99" s="9"/>
      <c r="F99" s="15"/>
      <c r="G99" s="15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spans="1:24" ht="19.5" customHeight="1" x14ac:dyDescent="0.25">
      <c r="A100" s="9"/>
      <c r="B100" s="9"/>
      <c r="C100" s="9"/>
      <c r="D100" s="15"/>
      <c r="E100" s="9"/>
      <c r="F100" s="15"/>
      <c r="G100" s="15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spans="1:24" ht="19.5" customHeight="1" x14ac:dyDescent="0.25">
      <c r="A101" s="9"/>
      <c r="B101" s="9"/>
      <c r="C101" s="9"/>
      <c r="D101" s="15"/>
      <c r="E101" s="9"/>
      <c r="F101" s="15"/>
      <c r="G101" s="15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spans="1:24" ht="19.5" customHeight="1" x14ac:dyDescent="0.25">
      <c r="A102" s="9"/>
      <c r="B102" s="9"/>
      <c r="C102" s="9"/>
      <c r="D102" s="15"/>
      <c r="E102" s="9"/>
      <c r="F102" s="15"/>
      <c r="G102" s="15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 spans="1:24" ht="19.5" customHeight="1" x14ac:dyDescent="0.25">
      <c r="A103" s="9"/>
      <c r="B103" s="9"/>
      <c r="C103" s="9"/>
      <c r="D103" s="15"/>
      <c r="E103" s="9"/>
      <c r="F103" s="15"/>
      <c r="G103" s="15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 spans="1:24" ht="19.5" customHeight="1" x14ac:dyDescent="0.25">
      <c r="A104" s="9"/>
      <c r="B104" s="9"/>
      <c r="C104" s="9"/>
      <c r="D104" s="15"/>
      <c r="E104" s="9"/>
      <c r="F104" s="15"/>
      <c r="G104" s="15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 spans="1:24" ht="19.5" customHeight="1" x14ac:dyDescent="0.25">
      <c r="A105" s="9"/>
      <c r="B105" s="9"/>
      <c r="C105" s="9"/>
      <c r="D105" s="15"/>
      <c r="E105" s="9"/>
      <c r="F105" s="15"/>
      <c r="G105" s="15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 spans="1:24" ht="19.5" customHeight="1" x14ac:dyDescent="0.25">
      <c r="A106" s="9"/>
      <c r="B106" s="9"/>
      <c r="C106" s="9"/>
      <c r="D106" s="15"/>
      <c r="E106" s="9"/>
      <c r="F106" s="15"/>
      <c r="G106" s="15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 spans="1:24" ht="19.5" customHeight="1" x14ac:dyDescent="0.25">
      <c r="A107" s="9"/>
      <c r="B107" s="9"/>
      <c r="C107" s="9"/>
      <c r="D107" s="15"/>
      <c r="E107" s="9"/>
      <c r="F107" s="15"/>
      <c r="G107" s="15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 spans="1:24" ht="19.5" customHeight="1" x14ac:dyDescent="0.25">
      <c r="A108" s="9"/>
      <c r="B108" s="9"/>
      <c r="C108" s="9"/>
      <c r="D108" s="15"/>
      <c r="E108" s="9"/>
      <c r="F108" s="15"/>
      <c r="G108" s="15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 spans="1:24" ht="19.5" customHeight="1" x14ac:dyDescent="0.25">
      <c r="A109" s="9"/>
      <c r="B109" s="9"/>
      <c r="C109" s="9"/>
      <c r="D109" s="15"/>
      <c r="E109" s="9"/>
      <c r="F109" s="15"/>
      <c r="G109" s="15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spans="1:24" ht="19.5" customHeight="1" x14ac:dyDescent="0.25">
      <c r="A110" s="9"/>
      <c r="B110" s="9"/>
      <c r="C110" s="9"/>
      <c r="D110" s="15"/>
      <c r="E110" s="9"/>
      <c r="F110" s="15"/>
      <c r="G110" s="15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 spans="1:24" ht="19.5" customHeight="1" x14ac:dyDescent="0.25">
      <c r="A111" s="9"/>
      <c r="B111" s="9"/>
      <c r="C111" s="9"/>
      <c r="D111" s="15"/>
      <c r="E111" s="9"/>
      <c r="F111" s="15"/>
      <c r="G111" s="15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spans="1:24" ht="19.5" customHeight="1" x14ac:dyDescent="0.25">
      <c r="A112" s="9"/>
      <c r="B112" s="9"/>
      <c r="C112" s="9"/>
      <c r="D112" s="15"/>
      <c r="E112" s="9"/>
      <c r="F112" s="15"/>
      <c r="G112" s="15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 spans="1:24" ht="19.5" customHeight="1" x14ac:dyDescent="0.25">
      <c r="A113" s="9"/>
      <c r="B113" s="9"/>
      <c r="C113" s="9"/>
      <c r="D113" s="15"/>
      <c r="E113" s="9"/>
      <c r="F113" s="15"/>
      <c r="G113" s="15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spans="1:24" ht="19.5" customHeight="1" x14ac:dyDescent="0.25">
      <c r="A114" s="9"/>
      <c r="B114" s="9"/>
      <c r="C114" s="9"/>
      <c r="D114" s="15"/>
      <c r="E114" s="9"/>
      <c r="F114" s="15"/>
      <c r="G114" s="15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spans="1:24" ht="19.5" customHeight="1" x14ac:dyDescent="0.25">
      <c r="A115" s="9"/>
      <c r="B115" s="9"/>
      <c r="C115" s="9"/>
      <c r="D115" s="15"/>
      <c r="E115" s="9"/>
      <c r="F115" s="15"/>
      <c r="G115" s="15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spans="1:24" ht="19.5" customHeight="1" x14ac:dyDescent="0.25">
      <c r="A116" s="9"/>
      <c r="B116" s="9"/>
      <c r="C116" s="9"/>
      <c r="D116" s="15"/>
      <c r="E116" s="9"/>
      <c r="F116" s="15"/>
      <c r="G116" s="15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spans="1:24" ht="19.5" customHeight="1" x14ac:dyDescent="0.25">
      <c r="A117" s="9"/>
      <c r="B117" s="9"/>
      <c r="C117" s="9"/>
      <c r="D117" s="15"/>
      <c r="E117" s="9"/>
      <c r="F117" s="15"/>
      <c r="G117" s="15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spans="1:24" ht="19.5" customHeight="1" x14ac:dyDescent="0.25">
      <c r="A118" s="9"/>
      <c r="B118" s="9"/>
      <c r="C118" s="9"/>
      <c r="D118" s="15"/>
      <c r="E118" s="9"/>
      <c r="F118" s="15"/>
      <c r="G118" s="15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spans="1:24" ht="19.5" customHeight="1" x14ac:dyDescent="0.25">
      <c r="A119" s="9"/>
      <c r="B119" s="9"/>
      <c r="C119" s="9"/>
      <c r="D119" s="15"/>
      <c r="E119" s="9"/>
      <c r="F119" s="15"/>
      <c r="G119" s="15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spans="1:24" ht="19.5" customHeight="1" x14ac:dyDescent="0.25">
      <c r="A120" s="9"/>
      <c r="B120" s="9"/>
      <c r="C120" s="9"/>
      <c r="D120" s="15"/>
      <c r="E120" s="9"/>
      <c r="F120" s="15"/>
      <c r="G120" s="15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spans="1:24" ht="19.5" customHeight="1" x14ac:dyDescent="0.25">
      <c r="A121" s="9"/>
      <c r="B121" s="9"/>
      <c r="C121" s="9"/>
      <c r="D121" s="15"/>
      <c r="E121" s="9"/>
      <c r="F121" s="15"/>
      <c r="G121" s="15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spans="1:24" ht="19.5" customHeight="1" x14ac:dyDescent="0.25">
      <c r="A122" s="9"/>
      <c r="B122" s="9"/>
      <c r="C122" s="9"/>
      <c r="D122" s="15"/>
      <c r="E122" s="9"/>
      <c r="F122" s="15"/>
      <c r="G122" s="15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spans="1:24" ht="19.5" customHeight="1" x14ac:dyDescent="0.25">
      <c r="A123" s="9"/>
      <c r="B123" s="9"/>
      <c r="C123" s="9"/>
      <c r="D123" s="15"/>
      <c r="E123" s="9"/>
      <c r="F123" s="15"/>
      <c r="G123" s="15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spans="1:24" ht="19.5" customHeight="1" x14ac:dyDescent="0.25">
      <c r="A124" s="9"/>
      <c r="B124" s="9"/>
      <c r="C124" s="9"/>
      <c r="D124" s="15"/>
      <c r="E124" s="9"/>
      <c r="F124" s="15"/>
      <c r="G124" s="15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spans="1:24" ht="19.5" customHeight="1" x14ac:dyDescent="0.25">
      <c r="A125" s="9"/>
      <c r="B125" s="9"/>
      <c r="C125" s="9"/>
      <c r="D125" s="15"/>
      <c r="E125" s="9"/>
      <c r="F125" s="15"/>
      <c r="G125" s="15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 spans="1:24" ht="19.5" customHeight="1" x14ac:dyDescent="0.25">
      <c r="A126" s="9"/>
      <c r="B126" s="9"/>
      <c r="C126" s="9"/>
      <c r="D126" s="15"/>
      <c r="E126" s="9"/>
      <c r="F126" s="15"/>
      <c r="G126" s="15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 spans="1:24" ht="19.5" customHeight="1" x14ac:dyDescent="0.25">
      <c r="A127" s="9"/>
      <c r="B127" s="9"/>
      <c r="C127" s="9"/>
      <c r="D127" s="15"/>
      <c r="E127" s="9"/>
      <c r="F127" s="15"/>
      <c r="G127" s="15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 spans="1:24" ht="19.5" customHeight="1" x14ac:dyDescent="0.25">
      <c r="A128" s="9"/>
      <c r="B128" s="9"/>
      <c r="C128" s="9"/>
      <c r="D128" s="15"/>
      <c r="E128" s="9"/>
      <c r="F128" s="15"/>
      <c r="G128" s="15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 spans="1:24" ht="19.5" customHeight="1" x14ac:dyDescent="0.25">
      <c r="A129" s="9"/>
      <c r="B129" s="9"/>
      <c r="C129" s="9"/>
      <c r="D129" s="15"/>
      <c r="E129" s="9"/>
      <c r="F129" s="15"/>
      <c r="G129" s="15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 spans="1:24" ht="19.5" customHeight="1" x14ac:dyDescent="0.25">
      <c r="A130" s="9"/>
      <c r="B130" s="9"/>
      <c r="C130" s="9"/>
      <c r="D130" s="15"/>
      <c r="E130" s="9"/>
      <c r="F130" s="15"/>
      <c r="G130" s="15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 spans="1:24" ht="19.5" customHeight="1" x14ac:dyDescent="0.25">
      <c r="A131" s="9"/>
      <c r="B131" s="9"/>
      <c r="C131" s="9"/>
      <c r="D131" s="15"/>
      <c r="E131" s="9"/>
      <c r="F131" s="15"/>
      <c r="G131" s="15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 spans="1:24" ht="19.5" customHeight="1" x14ac:dyDescent="0.25">
      <c r="A132" s="9"/>
      <c r="B132" s="9"/>
      <c r="C132" s="9"/>
      <c r="D132" s="15"/>
      <c r="E132" s="9"/>
      <c r="F132" s="15"/>
      <c r="G132" s="15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 spans="1:24" ht="19.5" customHeight="1" x14ac:dyDescent="0.25">
      <c r="A133" s="9"/>
      <c r="B133" s="9"/>
      <c r="C133" s="9"/>
      <c r="D133" s="15"/>
      <c r="E133" s="9"/>
      <c r="F133" s="15"/>
      <c r="G133" s="15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spans="1:24" ht="19.5" customHeight="1" x14ac:dyDescent="0.25">
      <c r="A134" s="9"/>
      <c r="B134" s="9"/>
      <c r="C134" s="9"/>
      <c r="D134" s="15"/>
      <c r="E134" s="9"/>
      <c r="F134" s="15"/>
      <c r="G134" s="15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 spans="1:24" ht="19.5" customHeight="1" x14ac:dyDescent="0.25">
      <c r="A135" s="9"/>
      <c r="B135" s="9"/>
      <c r="C135" s="9"/>
      <c r="D135" s="15"/>
      <c r="E135" s="9"/>
      <c r="F135" s="15"/>
      <c r="G135" s="15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 spans="1:24" ht="19.5" customHeight="1" x14ac:dyDescent="0.25">
      <c r="A136" s="9"/>
      <c r="B136" s="9"/>
      <c r="C136" s="9"/>
      <c r="D136" s="15"/>
      <c r="E136" s="9"/>
      <c r="F136" s="15"/>
      <c r="G136" s="15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 spans="1:24" ht="19.5" customHeight="1" x14ac:dyDescent="0.25">
      <c r="A137" s="9"/>
      <c r="B137" s="9"/>
      <c r="C137" s="9"/>
      <c r="D137" s="15"/>
      <c r="E137" s="9"/>
      <c r="F137" s="15"/>
      <c r="G137" s="15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spans="1:24" ht="19.5" customHeight="1" x14ac:dyDescent="0.25">
      <c r="A138" s="9"/>
      <c r="B138" s="9"/>
      <c r="C138" s="9"/>
      <c r="D138" s="15"/>
      <c r="E138" s="9"/>
      <c r="F138" s="15"/>
      <c r="G138" s="15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 spans="1:24" ht="19.5" customHeight="1" x14ac:dyDescent="0.25">
      <c r="A139" s="9"/>
      <c r="B139" s="9"/>
      <c r="C139" s="9"/>
      <c r="D139" s="15"/>
      <c r="E139" s="9"/>
      <c r="F139" s="15"/>
      <c r="G139" s="15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spans="1:24" ht="19.5" customHeight="1" x14ac:dyDescent="0.25">
      <c r="A140" s="9"/>
      <c r="B140" s="9"/>
      <c r="C140" s="9"/>
      <c r="D140" s="15"/>
      <c r="E140" s="9"/>
      <c r="F140" s="15"/>
      <c r="G140" s="15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 spans="1:24" ht="19.5" customHeight="1" x14ac:dyDescent="0.25">
      <c r="A141" s="9"/>
      <c r="B141" s="9"/>
      <c r="C141" s="9"/>
      <c r="D141" s="15"/>
      <c r="E141" s="9"/>
      <c r="F141" s="15"/>
      <c r="G141" s="15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 spans="1:24" ht="19.5" customHeight="1" x14ac:dyDescent="0.25">
      <c r="A142" s="9"/>
      <c r="B142" s="9"/>
      <c r="C142" s="9"/>
      <c r="D142" s="15"/>
      <c r="E142" s="9"/>
      <c r="F142" s="15"/>
      <c r="G142" s="15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spans="1:24" ht="19.5" customHeight="1" x14ac:dyDescent="0.25">
      <c r="A143" s="9"/>
      <c r="B143" s="9"/>
      <c r="C143" s="9"/>
      <c r="D143" s="15"/>
      <c r="E143" s="9"/>
      <c r="F143" s="15"/>
      <c r="G143" s="15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 spans="1:24" ht="19.5" customHeight="1" x14ac:dyDescent="0.25">
      <c r="A144" s="9"/>
      <c r="B144" s="9"/>
      <c r="C144" s="9"/>
      <c r="D144" s="15"/>
      <c r="E144" s="9"/>
      <c r="F144" s="15"/>
      <c r="G144" s="15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 spans="1:24" ht="19.5" customHeight="1" x14ac:dyDescent="0.25">
      <c r="A145" s="9"/>
      <c r="B145" s="9"/>
      <c r="C145" s="9"/>
      <c r="D145" s="15"/>
      <c r="E145" s="9"/>
      <c r="F145" s="15"/>
      <c r="G145" s="15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 spans="1:24" ht="19.5" customHeight="1" x14ac:dyDescent="0.25">
      <c r="A146" s="9"/>
      <c r="B146" s="9"/>
      <c r="C146" s="9"/>
      <c r="D146" s="15"/>
      <c r="E146" s="9"/>
      <c r="F146" s="15"/>
      <c r="G146" s="15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 spans="1:24" ht="19.5" customHeight="1" x14ac:dyDescent="0.25">
      <c r="A147" s="9"/>
      <c r="B147" s="9"/>
      <c r="C147" s="9"/>
      <c r="D147" s="15"/>
      <c r="E147" s="9"/>
      <c r="F147" s="15"/>
      <c r="G147" s="15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 spans="1:24" ht="19.5" customHeight="1" x14ac:dyDescent="0.25">
      <c r="A148" s="9"/>
      <c r="B148" s="9"/>
      <c r="C148" s="9"/>
      <c r="D148" s="15"/>
      <c r="E148" s="9"/>
      <c r="F148" s="15"/>
      <c r="G148" s="15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 spans="1:24" ht="19.5" customHeight="1" x14ac:dyDescent="0.25">
      <c r="A149" s="9"/>
      <c r="B149" s="9"/>
      <c r="C149" s="9"/>
      <c r="D149" s="15"/>
      <c r="E149" s="9"/>
      <c r="F149" s="15"/>
      <c r="G149" s="15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 spans="1:24" ht="19.5" customHeight="1" x14ac:dyDescent="0.25">
      <c r="A150" s="9"/>
      <c r="B150" s="9"/>
      <c r="C150" s="9"/>
      <c r="D150" s="15"/>
      <c r="E150" s="9"/>
      <c r="F150" s="15"/>
      <c r="G150" s="15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 spans="1:24" ht="19.5" customHeight="1" x14ac:dyDescent="0.25">
      <c r="A151" s="9"/>
      <c r="B151" s="9"/>
      <c r="C151" s="9"/>
      <c r="D151" s="15"/>
      <c r="E151" s="9"/>
      <c r="F151" s="15"/>
      <c r="G151" s="15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 spans="1:24" ht="19.5" customHeight="1" x14ac:dyDescent="0.25">
      <c r="A152" s="9"/>
      <c r="B152" s="9"/>
      <c r="C152" s="9"/>
      <c r="D152" s="15"/>
      <c r="E152" s="9"/>
      <c r="F152" s="15"/>
      <c r="G152" s="15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 spans="1:24" ht="19.5" customHeight="1" x14ac:dyDescent="0.25">
      <c r="A153" s="9"/>
      <c r="B153" s="9"/>
      <c r="C153" s="9"/>
      <c r="D153" s="15"/>
      <c r="E153" s="9"/>
      <c r="F153" s="15"/>
      <c r="G153" s="15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 spans="1:24" ht="19.5" customHeight="1" x14ac:dyDescent="0.25">
      <c r="A154" s="9"/>
      <c r="B154" s="9"/>
      <c r="C154" s="9"/>
      <c r="D154" s="15"/>
      <c r="E154" s="9"/>
      <c r="F154" s="15"/>
      <c r="G154" s="15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 spans="1:24" ht="19.5" customHeight="1" x14ac:dyDescent="0.25">
      <c r="A155" s="9"/>
      <c r="B155" s="9"/>
      <c r="C155" s="9"/>
      <c r="D155" s="15"/>
      <c r="E155" s="9"/>
      <c r="F155" s="15"/>
      <c r="G155" s="15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 spans="1:24" ht="19.5" customHeight="1" x14ac:dyDescent="0.25">
      <c r="A156" s="9"/>
      <c r="B156" s="9"/>
      <c r="C156" s="9"/>
      <c r="D156" s="15"/>
      <c r="E156" s="9"/>
      <c r="F156" s="15"/>
      <c r="G156" s="15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 spans="1:24" ht="19.5" customHeight="1" x14ac:dyDescent="0.25">
      <c r="A157" s="9"/>
      <c r="B157" s="9"/>
      <c r="C157" s="9"/>
      <c r="D157" s="15"/>
      <c r="E157" s="9"/>
      <c r="F157" s="15"/>
      <c r="G157" s="15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 spans="1:24" ht="19.5" customHeight="1" x14ac:dyDescent="0.25">
      <c r="A158" s="9"/>
      <c r="B158" s="9"/>
      <c r="C158" s="9"/>
      <c r="D158" s="15"/>
      <c r="E158" s="9"/>
      <c r="F158" s="15"/>
      <c r="G158" s="15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 spans="1:24" ht="19.5" customHeight="1" x14ac:dyDescent="0.25">
      <c r="A159" s="9"/>
      <c r="B159" s="9"/>
      <c r="C159" s="9"/>
      <c r="D159" s="15"/>
      <c r="E159" s="9"/>
      <c r="F159" s="15"/>
      <c r="G159" s="15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 spans="1:24" ht="19.5" customHeight="1" x14ac:dyDescent="0.25">
      <c r="A160" s="9"/>
      <c r="B160" s="9"/>
      <c r="C160" s="9"/>
      <c r="D160" s="15"/>
      <c r="E160" s="9"/>
      <c r="F160" s="15"/>
      <c r="G160" s="15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 spans="1:24" ht="19.5" customHeight="1" x14ac:dyDescent="0.25">
      <c r="A161" s="9"/>
      <c r="B161" s="9"/>
      <c r="C161" s="9"/>
      <c r="D161" s="15"/>
      <c r="E161" s="9"/>
      <c r="F161" s="15"/>
      <c r="G161" s="15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 spans="1:24" ht="19.5" customHeight="1" x14ac:dyDescent="0.25">
      <c r="A162" s="9"/>
      <c r="B162" s="9"/>
      <c r="C162" s="9"/>
      <c r="D162" s="15"/>
      <c r="E162" s="9"/>
      <c r="F162" s="15"/>
      <c r="G162" s="15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 spans="1:24" ht="19.5" customHeight="1" x14ac:dyDescent="0.25">
      <c r="A163" s="9"/>
      <c r="B163" s="9"/>
      <c r="C163" s="9"/>
      <c r="D163" s="15"/>
      <c r="E163" s="9"/>
      <c r="F163" s="15"/>
      <c r="G163" s="15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 spans="1:24" ht="19.5" customHeight="1" x14ac:dyDescent="0.25">
      <c r="A164" s="9"/>
      <c r="B164" s="9"/>
      <c r="C164" s="9"/>
      <c r="D164" s="15"/>
      <c r="E164" s="9"/>
      <c r="F164" s="15"/>
      <c r="G164" s="15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 spans="1:24" ht="19.5" customHeight="1" x14ac:dyDescent="0.25">
      <c r="A165" s="9"/>
      <c r="B165" s="9"/>
      <c r="C165" s="9"/>
      <c r="D165" s="15"/>
      <c r="E165" s="9"/>
      <c r="F165" s="15"/>
      <c r="G165" s="15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 spans="1:24" ht="19.5" customHeight="1" x14ac:dyDescent="0.25">
      <c r="A166" s="9"/>
      <c r="B166" s="9"/>
      <c r="C166" s="9"/>
      <c r="D166" s="15"/>
      <c r="E166" s="9"/>
      <c r="F166" s="15"/>
      <c r="G166" s="15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 spans="1:24" ht="19.5" customHeight="1" x14ac:dyDescent="0.25">
      <c r="A167" s="9"/>
      <c r="B167" s="9"/>
      <c r="C167" s="9"/>
      <c r="D167" s="15"/>
      <c r="E167" s="9"/>
      <c r="F167" s="15"/>
      <c r="G167" s="15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 spans="1:24" ht="19.5" customHeight="1" x14ac:dyDescent="0.25">
      <c r="A168" s="9"/>
      <c r="B168" s="9"/>
      <c r="C168" s="9"/>
      <c r="D168" s="15"/>
      <c r="E168" s="9"/>
      <c r="F168" s="15"/>
      <c r="G168" s="15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 spans="1:24" ht="19.5" customHeight="1" x14ac:dyDescent="0.25">
      <c r="A169" s="9"/>
      <c r="B169" s="9"/>
      <c r="C169" s="9"/>
      <c r="D169" s="15"/>
      <c r="E169" s="9"/>
      <c r="F169" s="15"/>
      <c r="G169" s="15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 spans="1:24" ht="19.5" customHeight="1" x14ac:dyDescent="0.25">
      <c r="A170" s="9"/>
      <c r="B170" s="9"/>
      <c r="C170" s="9"/>
      <c r="D170" s="15"/>
      <c r="E170" s="9"/>
      <c r="F170" s="15"/>
      <c r="G170" s="15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 spans="1:24" ht="19.5" customHeight="1" x14ac:dyDescent="0.25">
      <c r="A171" s="9"/>
      <c r="B171" s="9"/>
      <c r="C171" s="9"/>
      <c r="D171" s="15"/>
      <c r="E171" s="9"/>
      <c r="F171" s="15"/>
      <c r="G171" s="15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 spans="1:24" ht="19.5" customHeight="1" x14ac:dyDescent="0.25">
      <c r="A172" s="9"/>
      <c r="B172" s="9"/>
      <c r="C172" s="9"/>
      <c r="D172" s="15"/>
      <c r="E172" s="9"/>
      <c r="F172" s="15"/>
      <c r="G172" s="15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 spans="1:24" ht="19.5" customHeight="1" x14ac:dyDescent="0.25">
      <c r="A173" s="9"/>
      <c r="B173" s="9"/>
      <c r="C173" s="9"/>
      <c r="D173" s="15"/>
      <c r="E173" s="9"/>
      <c r="F173" s="15"/>
      <c r="G173" s="15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 spans="1:24" ht="19.5" customHeight="1" x14ac:dyDescent="0.25">
      <c r="A174" s="9"/>
      <c r="B174" s="9"/>
      <c r="C174" s="9"/>
      <c r="D174" s="15"/>
      <c r="E174" s="9"/>
      <c r="F174" s="15"/>
      <c r="G174" s="15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 spans="1:24" ht="19.5" customHeight="1" x14ac:dyDescent="0.25">
      <c r="A175" s="9"/>
      <c r="B175" s="9"/>
      <c r="C175" s="9"/>
      <c r="D175" s="15"/>
      <c r="E175" s="9"/>
      <c r="F175" s="15"/>
      <c r="G175" s="15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 spans="1:24" ht="19.5" customHeight="1" x14ac:dyDescent="0.25">
      <c r="A176" s="9"/>
      <c r="B176" s="9"/>
      <c r="C176" s="9"/>
      <c r="D176" s="15"/>
      <c r="E176" s="9"/>
      <c r="F176" s="15"/>
      <c r="G176" s="15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 spans="1:24" ht="19.5" customHeight="1" x14ac:dyDescent="0.25">
      <c r="A177" s="9"/>
      <c r="B177" s="9"/>
      <c r="C177" s="9"/>
      <c r="D177" s="15"/>
      <c r="E177" s="9"/>
      <c r="F177" s="15"/>
      <c r="G177" s="15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 spans="1:24" ht="19.5" customHeight="1" x14ac:dyDescent="0.25">
      <c r="A178" s="9"/>
      <c r="B178" s="9"/>
      <c r="C178" s="9"/>
      <c r="D178" s="15"/>
      <c r="E178" s="9"/>
      <c r="F178" s="15"/>
      <c r="G178" s="15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 spans="1:24" ht="19.5" customHeight="1" x14ac:dyDescent="0.25">
      <c r="A179" s="9"/>
      <c r="B179" s="9"/>
      <c r="C179" s="9"/>
      <c r="D179" s="15"/>
      <c r="E179" s="9"/>
      <c r="F179" s="15"/>
      <c r="G179" s="15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 spans="1:24" ht="19.5" customHeight="1" x14ac:dyDescent="0.25">
      <c r="A180" s="9"/>
      <c r="B180" s="9"/>
      <c r="C180" s="9"/>
      <c r="D180" s="15"/>
      <c r="E180" s="9"/>
      <c r="F180" s="15"/>
      <c r="G180" s="15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 spans="1:24" ht="19.5" customHeight="1" x14ac:dyDescent="0.25">
      <c r="A181" s="9"/>
      <c r="B181" s="9"/>
      <c r="C181" s="9"/>
      <c r="D181" s="15"/>
      <c r="E181" s="9"/>
      <c r="F181" s="15"/>
      <c r="G181" s="15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 spans="1:24" ht="19.5" customHeight="1" x14ac:dyDescent="0.25">
      <c r="A182" s="9"/>
      <c r="B182" s="9"/>
      <c r="C182" s="9"/>
      <c r="D182" s="15"/>
      <c r="E182" s="9"/>
      <c r="F182" s="15"/>
      <c r="G182" s="15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 spans="1:24" ht="19.5" customHeight="1" x14ac:dyDescent="0.25">
      <c r="A183" s="9"/>
      <c r="B183" s="9"/>
      <c r="C183" s="9"/>
      <c r="D183" s="15"/>
      <c r="E183" s="9"/>
      <c r="F183" s="15"/>
      <c r="G183" s="15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 spans="1:24" ht="19.5" customHeight="1" x14ac:dyDescent="0.25">
      <c r="A184" s="9"/>
      <c r="B184" s="9"/>
      <c r="C184" s="9"/>
      <c r="D184" s="15"/>
      <c r="E184" s="9"/>
      <c r="F184" s="15"/>
      <c r="G184" s="15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 spans="1:24" ht="19.5" customHeight="1" x14ac:dyDescent="0.25">
      <c r="A185" s="9"/>
      <c r="B185" s="9"/>
      <c r="C185" s="9"/>
      <c r="D185" s="15"/>
      <c r="E185" s="9"/>
      <c r="F185" s="15"/>
      <c r="G185" s="15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 spans="1:24" ht="19.5" customHeight="1" x14ac:dyDescent="0.25">
      <c r="A186" s="9"/>
      <c r="B186" s="9"/>
      <c r="C186" s="9"/>
      <c r="D186" s="15"/>
      <c r="E186" s="9"/>
      <c r="F186" s="15"/>
      <c r="G186" s="15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 spans="1:24" ht="19.5" customHeight="1" x14ac:dyDescent="0.25">
      <c r="A187" s="9"/>
      <c r="B187" s="9"/>
      <c r="C187" s="9"/>
      <c r="D187" s="15"/>
      <c r="E187" s="9"/>
      <c r="F187" s="15"/>
      <c r="G187" s="15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 spans="1:24" ht="19.5" customHeight="1" x14ac:dyDescent="0.25">
      <c r="A188" s="9"/>
      <c r="B188" s="9"/>
      <c r="C188" s="9"/>
      <c r="D188" s="15"/>
      <c r="E188" s="9"/>
      <c r="F188" s="15"/>
      <c r="G188" s="15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 spans="1:24" ht="19.5" customHeight="1" x14ac:dyDescent="0.25">
      <c r="A189" s="9"/>
      <c r="B189" s="9"/>
      <c r="C189" s="9"/>
      <c r="D189" s="15"/>
      <c r="E189" s="9"/>
      <c r="F189" s="15"/>
      <c r="G189" s="15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 spans="1:24" ht="19.5" customHeight="1" x14ac:dyDescent="0.25">
      <c r="A190" s="9"/>
      <c r="B190" s="9"/>
      <c r="C190" s="9"/>
      <c r="D190" s="15"/>
      <c r="E190" s="9"/>
      <c r="F190" s="15"/>
      <c r="G190" s="15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 spans="1:24" ht="19.5" customHeight="1" x14ac:dyDescent="0.25">
      <c r="A191" s="9"/>
      <c r="B191" s="9"/>
      <c r="C191" s="9"/>
      <c r="D191" s="15"/>
      <c r="E191" s="9"/>
      <c r="F191" s="15"/>
      <c r="G191" s="15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 spans="1:24" ht="19.5" customHeight="1" x14ac:dyDescent="0.25">
      <c r="A192" s="9"/>
      <c r="B192" s="9"/>
      <c r="C192" s="9"/>
      <c r="D192" s="15"/>
      <c r="E192" s="9"/>
      <c r="F192" s="15"/>
      <c r="G192" s="15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 spans="1:24" ht="19.5" customHeight="1" x14ac:dyDescent="0.25">
      <c r="A193" s="9"/>
      <c r="B193" s="9"/>
      <c r="C193" s="9"/>
      <c r="D193" s="15"/>
      <c r="E193" s="9"/>
      <c r="F193" s="15"/>
      <c r="G193" s="15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 spans="1:24" ht="19.5" customHeight="1" x14ac:dyDescent="0.25">
      <c r="A194" s="9"/>
      <c r="B194" s="9"/>
      <c r="C194" s="9"/>
      <c r="D194" s="15"/>
      <c r="E194" s="9"/>
      <c r="F194" s="15"/>
      <c r="G194" s="15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 spans="1:24" ht="19.5" customHeight="1" x14ac:dyDescent="0.25">
      <c r="A195" s="9"/>
      <c r="B195" s="9"/>
      <c r="C195" s="9"/>
      <c r="D195" s="15"/>
      <c r="E195" s="9"/>
      <c r="F195" s="15"/>
      <c r="G195" s="15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 spans="1:24" ht="19.5" customHeight="1" x14ac:dyDescent="0.25">
      <c r="A196" s="9"/>
      <c r="B196" s="9"/>
      <c r="C196" s="9"/>
      <c r="D196" s="15"/>
      <c r="E196" s="9"/>
      <c r="F196" s="15"/>
      <c r="G196" s="15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 spans="1:24" ht="19.5" customHeight="1" x14ac:dyDescent="0.25">
      <c r="A197" s="9"/>
      <c r="B197" s="9"/>
      <c r="C197" s="9"/>
      <c r="D197" s="15"/>
      <c r="E197" s="9"/>
      <c r="F197" s="15"/>
      <c r="G197" s="15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 spans="1:24" ht="19.5" customHeight="1" x14ac:dyDescent="0.25">
      <c r="A198" s="9"/>
      <c r="B198" s="9"/>
      <c r="C198" s="9"/>
      <c r="D198" s="15"/>
      <c r="E198" s="9"/>
      <c r="F198" s="15"/>
      <c r="G198" s="15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 spans="1:24" ht="19.5" customHeight="1" x14ac:dyDescent="0.25">
      <c r="A199" s="9"/>
      <c r="B199" s="9"/>
      <c r="C199" s="9"/>
      <c r="D199" s="15"/>
      <c r="E199" s="9"/>
      <c r="F199" s="15"/>
      <c r="G199" s="15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 spans="1:24" ht="19.5" customHeight="1" x14ac:dyDescent="0.25">
      <c r="A200" s="9"/>
      <c r="B200" s="9"/>
      <c r="C200" s="9"/>
      <c r="D200" s="15"/>
      <c r="E200" s="9"/>
      <c r="F200" s="15"/>
      <c r="G200" s="15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 spans="1:24" ht="19.5" customHeight="1" x14ac:dyDescent="0.25">
      <c r="A201" s="9"/>
      <c r="B201" s="9"/>
      <c r="C201" s="9"/>
      <c r="D201" s="15"/>
      <c r="E201" s="9"/>
      <c r="F201" s="15"/>
      <c r="G201" s="15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 spans="1:24" ht="19.5" customHeight="1" x14ac:dyDescent="0.25">
      <c r="A202" s="9"/>
      <c r="B202" s="9"/>
      <c r="C202" s="9"/>
      <c r="D202" s="15"/>
      <c r="E202" s="9"/>
      <c r="F202" s="15"/>
      <c r="G202" s="15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 spans="1:24" ht="19.5" customHeight="1" x14ac:dyDescent="0.25">
      <c r="A203" s="9"/>
      <c r="B203" s="9"/>
      <c r="C203" s="9"/>
      <c r="D203" s="15"/>
      <c r="E203" s="9"/>
      <c r="F203" s="15"/>
      <c r="G203" s="15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 spans="1:24" ht="19.5" customHeight="1" x14ac:dyDescent="0.25">
      <c r="A204" s="9"/>
      <c r="B204" s="9"/>
      <c r="C204" s="9"/>
      <c r="D204" s="15"/>
      <c r="E204" s="9"/>
      <c r="F204" s="15"/>
      <c r="G204" s="15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 spans="1:24" ht="19.5" customHeight="1" x14ac:dyDescent="0.25">
      <c r="A205" s="9"/>
      <c r="B205" s="9"/>
      <c r="C205" s="9"/>
      <c r="D205" s="15"/>
      <c r="E205" s="9"/>
      <c r="F205" s="15"/>
      <c r="G205" s="15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 spans="1:24" ht="19.5" customHeight="1" x14ac:dyDescent="0.25">
      <c r="A206" s="9"/>
      <c r="B206" s="9"/>
      <c r="C206" s="9"/>
      <c r="D206" s="15"/>
      <c r="E206" s="9"/>
      <c r="F206" s="15"/>
      <c r="G206" s="15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 spans="1:24" ht="19.5" customHeight="1" x14ac:dyDescent="0.25">
      <c r="A207" s="9"/>
      <c r="B207" s="9"/>
      <c r="C207" s="9"/>
      <c r="D207" s="15"/>
      <c r="E207" s="9"/>
      <c r="F207" s="15"/>
      <c r="G207" s="15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 spans="1:24" ht="19.5" customHeight="1" x14ac:dyDescent="0.25">
      <c r="A208" s="9"/>
      <c r="B208" s="9"/>
      <c r="C208" s="9"/>
      <c r="D208" s="15"/>
      <c r="E208" s="9"/>
      <c r="F208" s="15"/>
      <c r="G208" s="15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 spans="1:24" ht="19.5" customHeight="1" x14ac:dyDescent="0.25">
      <c r="A209" s="9"/>
      <c r="B209" s="9"/>
      <c r="C209" s="9"/>
      <c r="D209" s="15"/>
      <c r="E209" s="9"/>
      <c r="F209" s="15"/>
      <c r="G209" s="15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 spans="1:24" ht="19.5" customHeight="1" x14ac:dyDescent="0.25">
      <c r="A210" s="9"/>
      <c r="B210" s="9"/>
      <c r="C210" s="9"/>
      <c r="D210" s="15"/>
      <c r="E210" s="9"/>
      <c r="F210" s="15"/>
      <c r="G210" s="15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 spans="1:24" ht="19.5" customHeight="1" x14ac:dyDescent="0.25">
      <c r="A211" s="9"/>
      <c r="B211" s="9"/>
      <c r="C211" s="9"/>
      <c r="D211" s="15"/>
      <c r="E211" s="9"/>
      <c r="F211" s="15"/>
      <c r="G211" s="15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 spans="1:24" ht="19.5" customHeight="1" x14ac:dyDescent="0.25">
      <c r="A212" s="9"/>
      <c r="B212" s="9"/>
      <c r="C212" s="9"/>
      <c r="D212" s="15"/>
      <c r="E212" s="9"/>
      <c r="F212" s="15"/>
      <c r="G212" s="15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 spans="1:24" ht="19.5" customHeight="1" x14ac:dyDescent="0.25">
      <c r="A213" s="9"/>
      <c r="B213" s="9"/>
      <c r="C213" s="9"/>
      <c r="D213" s="15"/>
      <c r="E213" s="9"/>
      <c r="F213" s="15"/>
      <c r="G213" s="15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 spans="1:24" ht="19.5" customHeight="1" x14ac:dyDescent="0.25">
      <c r="A214" s="9"/>
      <c r="B214" s="9"/>
      <c r="C214" s="9"/>
      <c r="D214" s="15"/>
      <c r="E214" s="9"/>
      <c r="F214" s="15"/>
      <c r="G214" s="15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 spans="1:24" ht="19.5" customHeight="1" x14ac:dyDescent="0.25">
      <c r="A215" s="9"/>
      <c r="B215" s="9"/>
      <c r="C215" s="9"/>
      <c r="D215" s="15"/>
      <c r="E215" s="9"/>
      <c r="F215" s="15"/>
      <c r="G215" s="15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 spans="1:24" ht="19.5" customHeight="1" x14ac:dyDescent="0.25">
      <c r="A216" s="9"/>
      <c r="B216" s="9"/>
      <c r="C216" s="9"/>
      <c r="D216" s="15"/>
      <c r="E216" s="9"/>
      <c r="F216" s="15"/>
      <c r="G216" s="15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 spans="1:24" ht="19.5" customHeight="1" x14ac:dyDescent="0.25">
      <c r="A217" s="9"/>
      <c r="B217" s="9"/>
      <c r="C217" s="9"/>
      <c r="D217" s="15"/>
      <c r="E217" s="9"/>
      <c r="F217" s="15"/>
      <c r="G217" s="15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 spans="1:24" ht="19.5" customHeight="1" x14ac:dyDescent="0.25">
      <c r="A218" s="9"/>
      <c r="B218" s="9"/>
      <c r="C218" s="9"/>
      <c r="D218" s="15"/>
      <c r="E218" s="9"/>
      <c r="F218" s="15"/>
      <c r="G218" s="15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 spans="1:24" ht="19.5" customHeight="1" x14ac:dyDescent="0.25">
      <c r="A219" s="9"/>
      <c r="B219" s="9"/>
      <c r="C219" s="9"/>
      <c r="D219" s="15"/>
      <c r="E219" s="9"/>
      <c r="F219" s="15"/>
      <c r="G219" s="15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 spans="1:24" ht="19.5" customHeight="1" x14ac:dyDescent="0.25">
      <c r="A220" s="9"/>
      <c r="B220" s="9"/>
      <c r="C220" s="9"/>
      <c r="D220" s="15"/>
      <c r="E220" s="9"/>
      <c r="F220" s="15"/>
      <c r="G220" s="15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 spans="1:24" ht="19.5" customHeight="1" x14ac:dyDescent="0.25">
      <c r="A221" s="9"/>
      <c r="B221" s="9"/>
      <c r="C221" s="9"/>
      <c r="D221" s="15"/>
      <c r="E221" s="9"/>
      <c r="F221" s="15"/>
      <c r="G221" s="15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 spans="1:24" ht="19.5" customHeight="1" x14ac:dyDescent="0.25">
      <c r="A222" s="9"/>
      <c r="B222" s="9"/>
      <c r="C222" s="9"/>
      <c r="D222" s="15"/>
      <c r="E222" s="9"/>
      <c r="F222" s="15"/>
      <c r="G222" s="15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 spans="1:24" ht="19.5" customHeight="1" x14ac:dyDescent="0.25">
      <c r="A223" s="9"/>
      <c r="B223" s="9"/>
      <c r="C223" s="9"/>
      <c r="D223" s="15"/>
      <c r="E223" s="9"/>
      <c r="F223" s="15"/>
      <c r="G223" s="15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 spans="1:24" ht="19.5" customHeight="1" x14ac:dyDescent="0.25">
      <c r="A224" s="9"/>
      <c r="B224" s="9"/>
      <c r="C224" s="9"/>
      <c r="D224" s="15"/>
      <c r="E224" s="9"/>
      <c r="F224" s="15"/>
      <c r="G224" s="15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 spans="1:24" ht="19.5" customHeight="1" x14ac:dyDescent="0.25">
      <c r="A225" s="9"/>
      <c r="B225" s="9"/>
      <c r="C225" s="9"/>
      <c r="D225" s="15"/>
      <c r="E225" s="9"/>
      <c r="F225" s="15"/>
      <c r="G225" s="15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 spans="1:24" ht="19.5" customHeight="1" x14ac:dyDescent="0.25">
      <c r="A226" s="9"/>
      <c r="B226" s="9"/>
      <c r="C226" s="9"/>
      <c r="D226" s="15"/>
      <c r="E226" s="9"/>
      <c r="F226" s="15"/>
      <c r="G226" s="15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 spans="1:24" ht="19.5" customHeight="1" x14ac:dyDescent="0.25">
      <c r="A227" s="9"/>
      <c r="B227" s="9"/>
      <c r="C227" s="9"/>
      <c r="D227" s="15"/>
      <c r="E227" s="9"/>
      <c r="F227" s="15"/>
      <c r="G227" s="15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 spans="1:24" ht="19.5" customHeight="1" x14ac:dyDescent="0.25">
      <c r="A228" s="9"/>
      <c r="B228" s="9"/>
      <c r="C228" s="9"/>
      <c r="D228" s="15"/>
      <c r="E228" s="9"/>
      <c r="F228" s="15"/>
      <c r="G228" s="15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 spans="1:24" ht="19.5" customHeight="1" x14ac:dyDescent="0.25">
      <c r="A229" s="9"/>
      <c r="B229" s="9"/>
      <c r="C229" s="9"/>
      <c r="D229" s="15"/>
      <c r="E229" s="9"/>
      <c r="F229" s="15"/>
      <c r="G229" s="15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 spans="1:24" ht="19.5" customHeight="1" x14ac:dyDescent="0.25">
      <c r="A230" s="9"/>
      <c r="B230" s="9"/>
      <c r="C230" s="9"/>
      <c r="D230" s="15"/>
      <c r="E230" s="9"/>
      <c r="F230" s="15"/>
      <c r="G230" s="15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 spans="1:24" ht="19.5" customHeight="1" x14ac:dyDescent="0.25">
      <c r="A231" s="9"/>
      <c r="B231" s="9"/>
      <c r="C231" s="9"/>
      <c r="D231" s="15"/>
      <c r="E231" s="9"/>
      <c r="F231" s="15"/>
      <c r="G231" s="15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 spans="1:24" ht="19.5" customHeight="1" x14ac:dyDescent="0.25">
      <c r="A232" s="9"/>
      <c r="B232" s="9"/>
      <c r="C232" s="9"/>
      <c r="D232" s="15"/>
      <c r="E232" s="9"/>
      <c r="F232" s="15"/>
      <c r="G232" s="15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 spans="1:24" ht="19.5" customHeight="1" x14ac:dyDescent="0.25">
      <c r="A233" s="9"/>
      <c r="B233" s="9"/>
      <c r="C233" s="9"/>
      <c r="D233" s="15"/>
      <c r="E233" s="9"/>
      <c r="F233" s="15"/>
      <c r="G233" s="15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 spans="1:24" ht="19.5" customHeight="1" x14ac:dyDescent="0.25">
      <c r="A234" s="9"/>
      <c r="B234" s="9"/>
      <c r="C234" s="9"/>
      <c r="D234" s="15"/>
      <c r="E234" s="9"/>
      <c r="F234" s="15"/>
      <c r="G234" s="15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 spans="1:24" ht="19.5" customHeight="1" x14ac:dyDescent="0.25">
      <c r="A235" s="9"/>
      <c r="B235" s="9"/>
      <c r="C235" s="9"/>
      <c r="D235" s="15"/>
      <c r="E235" s="9"/>
      <c r="F235" s="15"/>
      <c r="G235" s="15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 spans="1:24" ht="19.5" customHeight="1" x14ac:dyDescent="0.25">
      <c r="A236" s="9"/>
      <c r="B236" s="9"/>
      <c r="C236" s="9"/>
      <c r="D236" s="15"/>
      <c r="E236" s="9"/>
      <c r="F236" s="15"/>
      <c r="G236" s="15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 spans="1:24" ht="19.5" customHeight="1" x14ac:dyDescent="0.25">
      <c r="A237" s="9"/>
      <c r="B237" s="9"/>
      <c r="C237" s="9"/>
      <c r="D237" s="15"/>
      <c r="E237" s="9"/>
      <c r="F237" s="15"/>
      <c r="G237" s="15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 spans="1:24" ht="19.5" customHeight="1" x14ac:dyDescent="0.25">
      <c r="A238" s="9"/>
      <c r="B238" s="9"/>
      <c r="C238" s="9"/>
      <c r="D238" s="15"/>
      <c r="E238" s="9"/>
      <c r="F238" s="15"/>
      <c r="G238" s="15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 spans="1:24" ht="19.5" customHeight="1" x14ac:dyDescent="0.25">
      <c r="A239" s="9"/>
      <c r="B239" s="9"/>
      <c r="C239" s="9"/>
      <c r="D239" s="15"/>
      <c r="E239" s="9"/>
      <c r="F239" s="15"/>
      <c r="G239" s="15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 spans="1:24" ht="19.5" customHeight="1" x14ac:dyDescent="0.25">
      <c r="A240" s="9"/>
      <c r="B240" s="9"/>
      <c r="C240" s="9"/>
      <c r="D240" s="15"/>
      <c r="E240" s="9"/>
      <c r="F240" s="15"/>
      <c r="G240" s="15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 spans="1:24" ht="19.5" customHeight="1" x14ac:dyDescent="0.25">
      <c r="A241" s="9"/>
      <c r="B241" s="9"/>
      <c r="C241" s="9"/>
      <c r="D241" s="15"/>
      <c r="E241" s="9"/>
      <c r="F241" s="15"/>
      <c r="G241" s="15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 spans="1:24" ht="19.5" customHeight="1" x14ac:dyDescent="0.25">
      <c r="A242" s="9"/>
      <c r="B242" s="9"/>
      <c r="C242" s="9"/>
      <c r="D242" s="15"/>
      <c r="E242" s="9"/>
      <c r="F242" s="15"/>
      <c r="G242" s="15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 spans="1:24" ht="19.5" customHeight="1" x14ac:dyDescent="0.25">
      <c r="A243" s="9"/>
      <c r="B243" s="9"/>
      <c r="C243" s="9"/>
      <c r="D243" s="15"/>
      <c r="E243" s="9"/>
      <c r="F243" s="15"/>
      <c r="G243" s="15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 spans="1:24" ht="19.5" customHeight="1" x14ac:dyDescent="0.25">
      <c r="A244" s="9"/>
      <c r="B244" s="9"/>
      <c r="C244" s="9"/>
      <c r="D244" s="15"/>
      <c r="E244" s="9"/>
      <c r="F244" s="15"/>
      <c r="G244" s="15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 spans="1:24" ht="19.5" customHeight="1" x14ac:dyDescent="0.25">
      <c r="A245" s="9"/>
      <c r="B245" s="9"/>
      <c r="C245" s="9"/>
      <c r="D245" s="15"/>
      <c r="E245" s="9"/>
      <c r="F245" s="15"/>
      <c r="G245" s="15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 spans="1:24" ht="19.5" customHeight="1" x14ac:dyDescent="0.25">
      <c r="A246" s="9"/>
      <c r="B246" s="9"/>
      <c r="C246" s="9"/>
      <c r="D246" s="15"/>
      <c r="E246" s="9"/>
      <c r="F246" s="15"/>
      <c r="G246" s="15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 spans="1:24" ht="19.5" customHeight="1" x14ac:dyDescent="0.25">
      <c r="A247" s="9"/>
      <c r="B247" s="9"/>
      <c r="C247" s="9"/>
      <c r="D247" s="15"/>
      <c r="E247" s="9"/>
      <c r="F247" s="15"/>
      <c r="G247" s="15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 spans="1:24" ht="19.5" customHeight="1" x14ac:dyDescent="0.25">
      <c r="A248" s="9"/>
      <c r="B248" s="9"/>
      <c r="C248" s="9"/>
      <c r="D248" s="15"/>
      <c r="E248" s="9"/>
      <c r="F248" s="15"/>
      <c r="G248" s="15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 spans="1:24" ht="19.5" customHeight="1" x14ac:dyDescent="0.25">
      <c r="A249" s="9"/>
      <c r="B249" s="9"/>
      <c r="C249" s="9"/>
      <c r="D249" s="15"/>
      <c r="E249" s="9"/>
      <c r="F249" s="15"/>
      <c r="G249" s="15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 spans="1:24" ht="19.5" customHeight="1" x14ac:dyDescent="0.25">
      <c r="A250" s="9"/>
      <c r="B250" s="9"/>
      <c r="C250" s="9"/>
      <c r="D250" s="15"/>
      <c r="E250" s="9"/>
      <c r="F250" s="15"/>
      <c r="G250" s="15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 spans="1:24" ht="19.5" customHeight="1" x14ac:dyDescent="0.25">
      <c r="A251" s="9"/>
      <c r="B251" s="9"/>
      <c r="C251" s="9"/>
      <c r="D251" s="15"/>
      <c r="E251" s="9"/>
      <c r="F251" s="15"/>
      <c r="G251" s="15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 spans="1:24" ht="19.5" customHeight="1" x14ac:dyDescent="0.25">
      <c r="A252" s="9"/>
      <c r="B252" s="9"/>
      <c r="C252" s="9"/>
      <c r="D252" s="15"/>
      <c r="E252" s="9"/>
      <c r="F252" s="15"/>
      <c r="G252" s="15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 spans="1:24" ht="19.5" customHeight="1" x14ac:dyDescent="0.25">
      <c r="A253" s="9"/>
      <c r="B253" s="9"/>
      <c r="C253" s="9"/>
      <c r="D253" s="15"/>
      <c r="E253" s="9"/>
      <c r="F253" s="15"/>
      <c r="G253" s="15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 spans="1:24" ht="19.5" customHeight="1" x14ac:dyDescent="0.25">
      <c r="A254" s="9"/>
      <c r="B254" s="9"/>
      <c r="C254" s="9"/>
      <c r="D254" s="15"/>
      <c r="E254" s="9"/>
      <c r="F254" s="15"/>
      <c r="G254" s="15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 spans="1:24" ht="19.5" customHeight="1" x14ac:dyDescent="0.25">
      <c r="A255" s="9"/>
      <c r="B255" s="9"/>
      <c r="C255" s="9"/>
      <c r="D255" s="15"/>
      <c r="E255" s="9"/>
      <c r="F255" s="15"/>
      <c r="G255" s="15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 spans="1:24" ht="19.5" customHeight="1" x14ac:dyDescent="0.25">
      <c r="A256" s="9"/>
      <c r="B256" s="9"/>
      <c r="C256" s="9"/>
      <c r="D256" s="15"/>
      <c r="E256" s="9"/>
      <c r="F256" s="15"/>
      <c r="G256" s="15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 spans="1:24" ht="19.5" customHeight="1" x14ac:dyDescent="0.25">
      <c r="A257" s="9"/>
      <c r="B257" s="9"/>
      <c r="C257" s="9"/>
      <c r="D257" s="15"/>
      <c r="E257" s="9"/>
      <c r="F257" s="15"/>
      <c r="G257" s="15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 spans="1:24" ht="19.5" customHeight="1" x14ac:dyDescent="0.25">
      <c r="A258" s="9"/>
      <c r="B258" s="9"/>
      <c r="C258" s="9"/>
      <c r="D258" s="15"/>
      <c r="E258" s="9"/>
      <c r="F258" s="15"/>
      <c r="G258" s="15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 spans="1:24" ht="19.5" customHeight="1" x14ac:dyDescent="0.25">
      <c r="A259" s="9"/>
      <c r="B259" s="9"/>
      <c r="C259" s="9"/>
      <c r="D259" s="15"/>
      <c r="E259" s="9"/>
      <c r="F259" s="15"/>
      <c r="G259" s="15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 spans="1:24" ht="19.5" customHeight="1" x14ac:dyDescent="0.25">
      <c r="A260" s="9"/>
      <c r="B260" s="9"/>
      <c r="C260" s="9"/>
      <c r="D260" s="15"/>
      <c r="E260" s="9"/>
      <c r="F260" s="15"/>
      <c r="G260" s="15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 spans="1:24" ht="19.5" customHeight="1" x14ac:dyDescent="0.25">
      <c r="A261" s="9"/>
      <c r="B261" s="9"/>
      <c r="C261" s="9"/>
      <c r="D261" s="15"/>
      <c r="E261" s="9"/>
      <c r="F261" s="15"/>
      <c r="G261" s="15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 spans="1:24" ht="19.5" customHeight="1" x14ac:dyDescent="0.25">
      <c r="A262" s="9"/>
      <c r="B262" s="9"/>
      <c r="C262" s="9"/>
      <c r="D262" s="15"/>
      <c r="E262" s="9"/>
      <c r="F262" s="15"/>
      <c r="G262" s="15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 spans="1:24" ht="19.5" customHeight="1" x14ac:dyDescent="0.25">
      <c r="A263" s="9"/>
      <c r="B263" s="9"/>
      <c r="C263" s="9"/>
      <c r="D263" s="15"/>
      <c r="E263" s="9"/>
      <c r="F263" s="15"/>
      <c r="G263" s="15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 spans="1:24" ht="19.5" customHeight="1" x14ac:dyDescent="0.25">
      <c r="A264" s="9"/>
      <c r="B264" s="9"/>
      <c r="C264" s="9"/>
      <c r="D264" s="15"/>
      <c r="E264" s="9"/>
      <c r="F264" s="15"/>
      <c r="G264" s="15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 spans="1:24" ht="19.5" customHeight="1" x14ac:dyDescent="0.25">
      <c r="A265" s="9"/>
      <c r="B265" s="9"/>
      <c r="C265" s="9"/>
      <c r="D265" s="15"/>
      <c r="E265" s="9"/>
      <c r="F265" s="15"/>
      <c r="G265" s="15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 spans="1:24" ht="19.5" customHeight="1" x14ac:dyDescent="0.25">
      <c r="A266" s="9"/>
      <c r="B266" s="9"/>
      <c r="C266" s="9"/>
      <c r="D266" s="15"/>
      <c r="E266" s="9"/>
      <c r="F266" s="15"/>
      <c r="G266" s="15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 spans="1:24" ht="19.5" customHeight="1" x14ac:dyDescent="0.25">
      <c r="A267" s="9"/>
      <c r="B267" s="9"/>
      <c r="C267" s="9"/>
      <c r="D267" s="15"/>
      <c r="E267" s="9"/>
      <c r="F267" s="15"/>
      <c r="G267" s="15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 spans="1:24" ht="19.5" customHeight="1" x14ac:dyDescent="0.25">
      <c r="A268" s="9"/>
      <c r="B268" s="9"/>
      <c r="C268" s="9"/>
      <c r="D268" s="15"/>
      <c r="E268" s="9"/>
      <c r="F268" s="15"/>
      <c r="G268" s="15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 spans="1:24" ht="19.5" customHeight="1" x14ac:dyDescent="0.25">
      <c r="A269" s="9"/>
      <c r="B269" s="9"/>
      <c r="C269" s="9"/>
      <c r="D269" s="15"/>
      <c r="E269" s="9"/>
      <c r="F269" s="15"/>
      <c r="G269" s="15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 spans="1:24" ht="19.5" customHeight="1" x14ac:dyDescent="0.25">
      <c r="A270" s="9"/>
      <c r="B270" s="9"/>
      <c r="C270" s="9"/>
      <c r="D270" s="15"/>
      <c r="E270" s="9"/>
      <c r="F270" s="15"/>
      <c r="G270" s="15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 spans="1:24" ht="19.5" customHeight="1" x14ac:dyDescent="0.25">
      <c r="A271" s="9"/>
      <c r="B271" s="9"/>
      <c r="C271" s="9"/>
      <c r="D271" s="15"/>
      <c r="E271" s="9"/>
      <c r="F271" s="15"/>
      <c r="G271" s="15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 spans="1:24" ht="19.5" customHeight="1" x14ac:dyDescent="0.25">
      <c r="A272" s="9"/>
      <c r="B272" s="9"/>
      <c r="C272" s="9"/>
      <c r="D272" s="15"/>
      <c r="E272" s="9"/>
      <c r="F272" s="15"/>
      <c r="G272" s="15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 spans="1:24" ht="19.5" customHeight="1" x14ac:dyDescent="0.25">
      <c r="A273" s="9"/>
      <c r="B273" s="9"/>
      <c r="C273" s="9"/>
      <c r="D273" s="15"/>
      <c r="E273" s="9"/>
      <c r="F273" s="15"/>
      <c r="G273" s="15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 spans="1:24" ht="19.5" customHeight="1" x14ac:dyDescent="0.25">
      <c r="A274" s="9"/>
      <c r="B274" s="9"/>
      <c r="C274" s="9"/>
      <c r="D274" s="15"/>
      <c r="E274" s="9"/>
      <c r="F274" s="15"/>
      <c r="G274" s="15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 spans="1:24" ht="19.5" customHeight="1" x14ac:dyDescent="0.25">
      <c r="A275" s="9"/>
      <c r="B275" s="9"/>
      <c r="C275" s="9"/>
      <c r="D275" s="15"/>
      <c r="E275" s="9"/>
      <c r="F275" s="15"/>
      <c r="G275" s="15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 spans="1:24" ht="19.5" customHeight="1" x14ac:dyDescent="0.25">
      <c r="A276" s="9"/>
      <c r="B276" s="9"/>
      <c r="C276" s="9"/>
      <c r="D276" s="15"/>
      <c r="E276" s="9"/>
      <c r="F276" s="15"/>
      <c r="G276" s="15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 spans="1:24" ht="19.5" customHeight="1" x14ac:dyDescent="0.25">
      <c r="A277" s="9"/>
      <c r="B277" s="9"/>
      <c r="C277" s="9"/>
      <c r="D277" s="15"/>
      <c r="E277" s="9"/>
      <c r="F277" s="15"/>
      <c r="G277" s="15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 spans="1:24" ht="19.5" customHeight="1" x14ac:dyDescent="0.25">
      <c r="A278" s="9"/>
      <c r="B278" s="9"/>
      <c r="C278" s="9"/>
      <c r="D278" s="15"/>
      <c r="E278" s="9"/>
      <c r="F278" s="15"/>
      <c r="G278" s="15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 spans="1:24" ht="19.5" customHeight="1" x14ac:dyDescent="0.25">
      <c r="A279" s="9"/>
      <c r="B279" s="9"/>
      <c r="C279" s="9"/>
      <c r="D279" s="15"/>
      <c r="E279" s="9"/>
      <c r="F279" s="15"/>
      <c r="G279" s="15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 spans="1:24" ht="19.5" customHeight="1" x14ac:dyDescent="0.25">
      <c r="A280" s="9"/>
      <c r="B280" s="9"/>
      <c r="C280" s="9"/>
      <c r="D280" s="15"/>
      <c r="E280" s="9"/>
      <c r="F280" s="15"/>
      <c r="G280" s="15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 spans="1:24" ht="19.5" customHeight="1" x14ac:dyDescent="0.25">
      <c r="A281" s="9"/>
      <c r="B281" s="9"/>
      <c r="C281" s="9"/>
      <c r="D281" s="15"/>
      <c r="E281" s="9"/>
      <c r="F281" s="15"/>
      <c r="G281" s="15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 spans="1:24" ht="19.5" customHeight="1" x14ac:dyDescent="0.25">
      <c r="A282" s="9"/>
      <c r="B282" s="9"/>
      <c r="C282" s="9"/>
      <c r="D282" s="15"/>
      <c r="E282" s="9"/>
      <c r="F282" s="15"/>
      <c r="G282" s="15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 spans="1:24" ht="19.5" customHeight="1" x14ac:dyDescent="0.25">
      <c r="A283" s="9"/>
      <c r="B283" s="9"/>
      <c r="C283" s="9"/>
      <c r="D283" s="15"/>
      <c r="E283" s="9"/>
      <c r="F283" s="15"/>
      <c r="G283" s="15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 spans="1:24" ht="19.5" customHeight="1" x14ac:dyDescent="0.25">
      <c r="A284" s="9"/>
      <c r="B284" s="9"/>
      <c r="C284" s="9"/>
      <c r="D284" s="15"/>
      <c r="E284" s="9"/>
      <c r="F284" s="15"/>
      <c r="G284" s="15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 spans="1:24" ht="19.5" customHeight="1" x14ac:dyDescent="0.25">
      <c r="A285" s="9"/>
      <c r="B285" s="9"/>
      <c r="C285" s="9"/>
      <c r="D285" s="15"/>
      <c r="E285" s="9"/>
      <c r="F285" s="15"/>
      <c r="G285" s="15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 spans="1:24" ht="19.5" customHeight="1" x14ac:dyDescent="0.25">
      <c r="A286" s="9"/>
      <c r="B286" s="9"/>
      <c r="C286" s="9"/>
      <c r="D286" s="15"/>
      <c r="E286" s="9"/>
      <c r="F286" s="15"/>
      <c r="G286" s="15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 spans="1:24" ht="19.5" customHeight="1" x14ac:dyDescent="0.25">
      <c r="A287" s="9"/>
      <c r="B287" s="9"/>
      <c r="C287" s="9"/>
      <c r="D287" s="15"/>
      <c r="E287" s="9"/>
      <c r="F287" s="15"/>
      <c r="G287" s="15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 spans="1:24" ht="19.5" customHeight="1" x14ac:dyDescent="0.25">
      <c r="A288" s="9"/>
      <c r="B288" s="9"/>
      <c r="C288" s="9"/>
      <c r="D288" s="15"/>
      <c r="E288" s="9"/>
      <c r="F288" s="15"/>
      <c r="G288" s="15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 spans="1:24" ht="19.5" customHeight="1" x14ac:dyDescent="0.25">
      <c r="A289" s="9"/>
      <c r="B289" s="9"/>
      <c r="C289" s="9"/>
      <c r="D289" s="15"/>
      <c r="E289" s="9"/>
      <c r="F289" s="15"/>
      <c r="G289" s="15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 spans="1:24" ht="19.5" customHeight="1" x14ac:dyDescent="0.25">
      <c r="A290" s="9"/>
      <c r="B290" s="9"/>
      <c r="C290" s="9"/>
      <c r="D290" s="15"/>
      <c r="E290" s="9"/>
      <c r="F290" s="15"/>
      <c r="G290" s="15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 spans="1:24" ht="19.5" customHeight="1" x14ac:dyDescent="0.25">
      <c r="A291" s="9"/>
      <c r="B291" s="9"/>
      <c r="C291" s="9"/>
      <c r="D291" s="15"/>
      <c r="E291" s="9"/>
      <c r="F291" s="15"/>
      <c r="G291" s="15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 spans="1:24" ht="19.5" customHeight="1" x14ac:dyDescent="0.25">
      <c r="A292" s="9"/>
      <c r="B292" s="9"/>
      <c r="C292" s="9"/>
      <c r="D292" s="15"/>
      <c r="E292" s="9"/>
      <c r="F292" s="15"/>
      <c r="G292" s="15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 spans="1:24" ht="19.5" customHeight="1" x14ac:dyDescent="0.25">
      <c r="A293" s="9"/>
      <c r="B293" s="9"/>
      <c r="C293" s="9"/>
      <c r="D293" s="15"/>
      <c r="E293" s="9"/>
      <c r="F293" s="15"/>
      <c r="G293" s="15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 spans="1:24" ht="19.5" customHeight="1" x14ac:dyDescent="0.25">
      <c r="A294" s="9"/>
      <c r="B294" s="9"/>
      <c r="C294" s="9"/>
      <c r="D294" s="15"/>
      <c r="E294" s="9"/>
      <c r="F294" s="15"/>
      <c r="G294" s="15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 spans="1:24" ht="19.5" customHeight="1" x14ac:dyDescent="0.25">
      <c r="A295" s="9"/>
      <c r="B295" s="9"/>
      <c r="C295" s="9"/>
      <c r="D295" s="15"/>
      <c r="E295" s="9"/>
      <c r="F295" s="15"/>
      <c r="G295" s="15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 spans="1:24" ht="19.5" customHeight="1" x14ac:dyDescent="0.25">
      <c r="A296" s="9"/>
      <c r="B296" s="9"/>
      <c r="C296" s="9"/>
      <c r="D296" s="15"/>
      <c r="E296" s="9"/>
      <c r="F296" s="15"/>
      <c r="G296" s="15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 spans="1:24" ht="19.5" customHeight="1" x14ac:dyDescent="0.25">
      <c r="A297" s="9"/>
      <c r="B297" s="9"/>
      <c r="C297" s="9"/>
      <c r="D297" s="15"/>
      <c r="E297" s="9"/>
      <c r="F297" s="15"/>
      <c r="G297" s="15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 spans="1:24" ht="19.5" customHeight="1" x14ac:dyDescent="0.25">
      <c r="A298" s="9"/>
      <c r="B298" s="9"/>
      <c r="C298" s="9"/>
      <c r="D298" s="15"/>
      <c r="E298" s="9"/>
      <c r="F298" s="15"/>
      <c r="G298" s="15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 spans="1:24" ht="19.5" customHeight="1" x14ac:dyDescent="0.25">
      <c r="A299" s="9"/>
      <c r="B299" s="9"/>
      <c r="C299" s="9"/>
      <c r="D299" s="15"/>
      <c r="E299" s="9"/>
      <c r="F299" s="15"/>
      <c r="G299" s="15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 spans="1:24" ht="19.5" customHeight="1" x14ac:dyDescent="0.25">
      <c r="A300" s="9"/>
      <c r="B300" s="9"/>
      <c r="C300" s="9"/>
      <c r="D300" s="15"/>
      <c r="E300" s="9"/>
      <c r="F300" s="15"/>
      <c r="G300" s="15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 spans="1:24" ht="19.5" customHeight="1" x14ac:dyDescent="0.25">
      <c r="A301" s="9"/>
      <c r="B301" s="9"/>
      <c r="C301" s="9"/>
      <c r="D301" s="15"/>
      <c r="E301" s="9"/>
      <c r="F301" s="15"/>
      <c r="G301" s="15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 spans="1:24" ht="19.5" customHeight="1" x14ac:dyDescent="0.25">
      <c r="A302" s="9"/>
      <c r="B302" s="9"/>
      <c r="C302" s="9"/>
      <c r="D302" s="15"/>
      <c r="E302" s="9"/>
      <c r="F302" s="15"/>
      <c r="G302" s="15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 spans="1:24" ht="19.5" customHeight="1" x14ac:dyDescent="0.25">
      <c r="A303" s="9"/>
      <c r="B303" s="9"/>
      <c r="C303" s="9"/>
      <c r="D303" s="15"/>
      <c r="E303" s="9"/>
      <c r="F303" s="15"/>
      <c r="G303" s="15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 spans="1:24" ht="19.5" customHeight="1" x14ac:dyDescent="0.25">
      <c r="A304" s="9"/>
      <c r="B304" s="9"/>
      <c r="C304" s="9"/>
      <c r="D304" s="15"/>
      <c r="E304" s="9"/>
      <c r="F304" s="15"/>
      <c r="G304" s="15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 spans="1:24" ht="19.5" customHeight="1" x14ac:dyDescent="0.25">
      <c r="A305" s="9"/>
      <c r="B305" s="9"/>
      <c r="C305" s="9"/>
      <c r="D305" s="15"/>
      <c r="E305" s="9"/>
      <c r="F305" s="15"/>
      <c r="G305" s="15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 spans="1:24" ht="19.5" customHeight="1" x14ac:dyDescent="0.25">
      <c r="A306" s="9"/>
      <c r="B306" s="9"/>
      <c r="C306" s="9"/>
      <c r="D306" s="15"/>
      <c r="E306" s="9"/>
      <c r="F306" s="15"/>
      <c r="G306" s="15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 spans="1:24" ht="19.5" customHeight="1" x14ac:dyDescent="0.25">
      <c r="A307" s="9"/>
      <c r="B307" s="9"/>
      <c r="C307" s="9"/>
      <c r="D307" s="15"/>
      <c r="E307" s="9"/>
      <c r="F307" s="15"/>
      <c r="G307" s="15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 spans="1:24" ht="19.5" customHeight="1" x14ac:dyDescent="0.25">
      <c r="A308" s="9"/>
      <c r="B308" s="9"/>
      <c r="C308" s="9"/>
      <c r="D308" s="15"/>
      <c r="E308" s="9"/>
      <c r="F308" s="15"/>
      <c r="G308" s="15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r="309" spans="1:24" ht="19.5" customHeight="1" x14ac:dyDescent="0.25">
      <c r="A309" s="9"/>
      <c r="B309" s="9"/>
      <c r="C309" s="9"/>
      <c r="D309" s="15"/>
      <c r="E309" s="9"/>
      <c r="F309" s="15"/>
      <c r="G309" s="15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 spans="1:24" ht="19.5" customHeight="1" x14ac:dyDescent="0.25">
      <c r="A310" s="9"/>
      <c r="B310" s="9"/>
      <c r="C310" s="9"/>
      <c r="D310" s="15"/>
      <c r="E310" s="9"/>
      <c r="F310" s="15"/>
      <c r="G310" s="15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r="311" spans="1:24" ht="19.5" customHeight="1" x14ac:dyDescent="0.25">
      <c r="A311" s="9"/>
      <c r="B311" s="9"/>
      <c r="C311" s="9"/>
      <c r="D311" s="15"/>
      <c r="E311" s="9"/>
      <c r="F311" s="15"/>
      <c r="G311" s="15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r="312" spans="1:24" ht="19.5" customHeight="1" x14ac:dyDescent="0.25">
      <c r="A312" s="9"/>
      <c r="B312" s="9"/>
      <c r="C312" s="9"/>
      <c r="D312" s="15"/>
      <c r="E312" s="9"/>
      <c r="F312" s="15"/>
      <c r="G312" s="15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r="313" spans="1:24" ht="19.5" customHeight="1" x14ac:dyDescent="0.25">
      <c r="A313" s="9"/>
      <c r="B313" s="9"/>
      <c r="C313" s="9"/>
      <c r="D313" s="15"/>
      <c r="E313" s="9"/>
      <c r="F313" s="15"/>
      <c r="G313" s="15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r="314" spans="1:24" ht="19.5" customHeight="1" x14ac:dyDescent="0.25">
      <c r="A314" s="9"/>
      <c r="B314" s="9"/>
      <c r="C314" s="9"/>
      <c r="D314" s="15"/>
      <c r="E314" s="9"/>
      <c r="F314" s="15"/>
      <c r="G314" s="15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 spans="1:24" ht="19.5" customHeight="1" x14ac:dyDescent="0.25">
      <c r="A315" s="9"/>
      <c r="B315" s="9"/>
      <c r="C315" s="9"/>
      <c r="D315" s="15"/>
      <c r="E315" s="9"/>
      <c r="F315" s="15"/>
      <c r="G315" s="15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r="316" spans="1:24" ht="19.5" customHeight="1" x14ac:dyDescent="0.25">
      <c r="A316" s="9"/>
      <c r="B316" s="9"/>
      <c r="C316" s="9"/>
      <c r="D316" s="15"/>
      <c r="E316" s="9"/>
      <c r="F316" s="15"/>
      <c r="G316" s="15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r="317" spans="1:24" ht="19.5" customHeight="1" x14ac:dyDescent="0.25">
      <c r="A317" s="9"/>
      <c r="B317" s="9"/>
      <c r="C317" s="9"/>
      <c r="D317" s="15"/>
      <c r="E317" s="9"/>
      <c r="F317" s="15"/>
      <c r="G317" s="15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r="318" spans="1:24" ht="19.5" customHeight="1" x14ac:dyDescent="0.25">
      <c r="A318" s="9"/>
      <c r="B318" s="9"/>
      <c r="C318" s="9"/>
      <c r="D318" s="15"/>
      <c r="E318" s="9"/>
      <c r="F318" s="15"/>
      <c r="G318" s="15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r="319" spans="1:24" ht="19.5" customHeight="1" x14ac:dyDescent="0.25">
      <c r="A319" s="9"/>
      <c r="B319" s="9"/>
      <c r="C319" s="9"/>
      <c r="D319" s="15"/>
      <c r="E319" s="9"/>
      <c r="F319" s="15"/>
      <c r="G319" s="15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r="320" spans="1:24" ht="19.5" customHeight="1" x14ac:dyDescent="0.25">
      <c r="A320" s="9"/>
      <c r="B320" s="9"/>
      <c r="C320" s="9"/>
      <c r="D320" s="15"/>
      <c r="E320" s="9"/>
      <c r="F320" s="15"/>
      <c r="G320" s="15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r="321" spans="1:24" ht="19.5" customHeight="1" x14ac:dyDescent="0.25">
      <c r="A321" s="9"/>
      <c r="B321" s="9"/>
      <c r="C321" s="9"/>
      <c r="D321" s="15"/>
      <c r="E321" s="9"/>
      <c r="F321" s="15"/>
      <c r="G321" s="15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 spans="1:24" ht="19.5" customHeight="1" x14ac:dyDescent="0.25">
      <c r="A322" s="9"/>
      <c r="B322" s="9"/>
      <c r="C322" s="9"/>
      <c r="D322" s="15"/>
      <c r="E322" s="9"/>
      <c r="F322" s="15"/>
      <c r="G322" s="15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 spans="1:24" ht="19.5" customHeight="1" x14ac:dyDescent="0.25">
      <c r="A323" s="9"/>
      <c r="B323" s="9"/>
      <c r="C323" s="9"/>
      <c r="D323" s="15"/>
      <c r="E323" s="9"/>
      <c r="F323" s="15"/>
      <c r="G323" s="15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r="324" spans="1:24" ht="19.5" customHeight="1" x14ac:dyDescent="0.25">
      <c r="A324" s="9"/>
      <c r="B324" s="9"/>
      <c r="C324" s="9"/>
      <c r="D324" s="15"/>
      <c r="E324" s="9"/>
      <c r="F324" s="15"/>
      <c r="G324" s="15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r="325" spans="1:24" ht="19.5" customHeight="1" x14ac:dyDescent="0.25">
      <c r="A325" s="9"/>
      <c r="B325" s="9"/>
      <c r="C325" s="9"/>
      <c r="D325" s="15"/>
      <c r="E325" s="9"/>
      <c r="F325" s="15"/>
      <c r="G325" s="15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r="326" spans="1:24" ht="19.5" customHeight="1" x14ac:dyDescent="0.25">
      <c r="A326" s="9"/>
      <c r="B326" s="9"/>
      <c r="C326" s="9"/>
      <c r="D326" s="15"/>
      <c r="E326" s="9"/>
      <c r="F326" s="15"/>
      <c r="G326" s="15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r="327" spans="1:24" ht="19.5" customHeight="1" x14ac:dyDescent="0.25">
      <c r="A327" s="9"/>
      <c r="B327" s="9"/>
      <c r="C327" s="9"/>
      <c r="D327" s="15"/>
      <c r="E327" s="9"/>
      <c r="F327" s="15"/>
      <c r="G327" s="15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r="328" spans="1:24" ht="19.5" customHeight="1" x14ac:dyDescent="0.25">
      <c r="A328" s="9"/>
      <c r="B328" s="9"/>
      <c r="C328" s="9"/>
      <c r="D328" s="15"/>
      <c r="E328" s="9"/>
      <c r="F328" s="15"/>
      <c r="G328" s="15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r="329" spans="1:24" ht="19.5" customHeight="1" x14ac:dyDescent="0.25">
      <c r="A329" s="9"/>
      <c r="B329" s="9"/>
      <c r="C329" s="9"/>
      <c r="D329" s="15"/>
      <c r="E329" s="9"/>
      <c r="F329" s="15"/>
      <c r="G329" s="15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r="330" spans="1:24" ht="19.5" customHeight="1" x14ac:dyDescent="0.25">
      <c r="A330" s="9"/>
      <c r="B330" s="9"/>
      <c r="C330" s="9"/>
      <c r="D330" s="15"/>
      <c r="E330" s="9"/>
      <c r="F330" s="15"/>
      <c r="G330" s="15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r="331" spans="1:24" ht="19.5" customHeight="1" x14ac:dyDescent="0.25">
      <c r="A331" s="9"/>
      <c r="B331" s="9"/>
      <c r="C331" s="9"/>
      <c r="D331" s="15"/>
      <c r="E331" s="9"/>
      <c r="F331" s="15"/>
      <c r="G331" s="15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r="332" spans="1:24" ht="19.5" customHeight="1" x14ac:dyDescent="0.25">
      <c r="A332" s="9"/>
      <c r="B332" s="9"/>
      <c r="C332" s="9"/>
      <c r="D332" s="15"/>
      <c r="E332" s="9"/>
      <c r="F332" s="15"/>
      <c r="G332" s="15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 spans="1:24" ht="19.5" customHeight="1" x14ac:dyDescent="0.25">
      <c r="A333" s="9"/>
      <c r="B333" s="9"/>
      <c r="C333" s="9"/>
      <c r="D333" s="15"/>
      <c r="E333" s="9"/>
      <c r="F333" s="15"/>
      <c r="G333" s="15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 spans="1:24" ht="19.5" customHeight="1" x14ac:dyDescent="0.25">
      <c r="A334" s="9"/>
      <c r="B334" s="9"/>
      <c r="C334" s="9"/>
      <c r="D334" s="15"/>
      <c r="E334" s="9"/>
      <c r="F334" s="15"/>
      <c r="G334" s="15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r="335" spans="1:24" ht="19.5" customHeight="1" x14ac:dyDescent="0.25">
      <c r="A335" s="9"/>
      <c r="B335" s="9"/>
      <c r="C335" s="9"/>
      <c r="D335" s="15"/>
      <c r="E335" s="9"/>
      <c r="F335" s="15"/>
      <c r="G335" s="15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r="336" spans="1:24" ht="19.5" customHeight="1" x14ac:dyDescent="0.25">
      <c r="A336" s="9"/>
      <c r="B336" s="9"/>
      <c r="C336" s="9"/>
      <c r="D336" s="15"/>
      <c r="E336" s="9"/>
      <c r="F336" s="15"/>
      <c r="G336" s="15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r="337" spans="1:24" ht="19.5" customHeight="1" x14ac:dyDescent="0.25">
      <c r="A337" s="9"/>
      <c r="B337" s="9"/>
      <c r="C337" s="9"/>
      <c r="D337" s="15"/>
      <c r="E337" s="9"/>
      <c r="F337" s="15"/>
      <c r="G337" s="15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r="338" spans="1:24" ht="19.5" customHeight="1" x14ac:dyDescent="0.25">
      <c r="A338" s="9"/>
      <c r="B338" s="9"/>
      <c r="C338" s="9"/>
      <c r="D338" s="15"/>
      <c r="E338" s="9"/>
      <c r="F338" s="15"/>
      <c r="G338" s="15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r="339" spans="1:24" ht="19.5" customHeight="1" x14ac:dyDescent="0.25">
      <c r="A339" s="9"/>
      <c r="B339" s="9"/>
      <c r="C339" s="9"/>
      <c r="D339" s="15"/>
      <c r="E339" s="9"/>
      <c r="F339" s="15"/>
      <c r="G339" s="15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r="340" spans="1:24" ht="19.5" customHeight="1" x14ac:dyDescent="0.25">
      <c r="A340" s="9"/>
      <c r="B340" s="9"/>
      <c r="C340" s="9"/>
      <c r="D340" s="15"/>
      <c r="E340" s="9"/>
      <c r="F340" s="15"/>
      <c r="G340" s="15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r="341" spans="1:24" ht="19.5" customHeight="1" x14ac:dyDescent="0.25">
      <c r="A341" s="9"/>
      <c r="B341" s="9"/>
      <c r="C341" s="9"/>
      <c r="D341" s="15"/>
      <c r="E341" s="9"/>
      <c r="F341" s="15"/>
      <c r="G341" s="15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r="342" spans="1:24" ht="19.5" customHeight="1" x14ac:dyDescent="0.25">
      <c r="A342" s="9"/>
      <c r="B342" s="9"/>
      <c r="C342" s="9"/>
      <c r="D342" s="15"/>
      <c r="E342" s="9"/>
      <c r="F342" s="15"/>
      <c r="G342" s="15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 spans="1:24" ht="19.5" customHeight="1" x14ac:dyDescent="0.25">
      <c r="A343" s="9"/>
      <c r="B343" s="9"/>
      <c r="C343" s="9"/>
      <c r="D343" s="15"/>
      <c r="E343" s="9"/>
      <c r="F343" s="15"/>
      <c r="G343" s="15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 spans="1:24" ht="19.5" customHeight="1" x14ac:dyDescent="0.25">
      <c r="A344" s="9"/>
      <c r="B344" s="9"/>
      <c r="C344" s="9"/>
      <c r="D344" s="15"/>
      <c r="E344" s="9"/>
      <c r="F344" s="15"/>
      <c r="G344" s="15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 spans="1:24" ht="19.5" customHeight="1" x14ac:dyDescent="0.25">
      <c r="A345" s="9"/>
      <c r="B345" s="9"/>
      <c r="C345" s="9"/>
      <c r="D345" s="15"/>
      <c r="E345" s="9"/>
      <c r="F345" s="15"/>
      <c r="G345" s="15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r="346" spans="1:24" ht="19.5" customHeight="1" x14ac:dyDescent="0.25">
      <c r="A346" s="9"/>
      <c r="B346" s="9"/>
      <c r="C346" s="9"/>
      <c r="D346" s="15"/>
      <c r="E346" s="9"/>
      <c r="F346" s="15"/>
      <c r="G346" s="15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r="347" spans="1:24" ht="19.5" customHeight="1" x14ac:dyDescent="0.25">
      <c r="A347" s="9"/>
      <c r="B347" s="9"/>
      <c r="C347" s="9"/>
      <c r="D347" s="15"/>
      <c r="E347" s="9"/>
      <c r="F347" s="15"/>
      <c r="G347" s="15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 spans="1:24" ht="19.5" customHeight="1" x14ac:dyDescent="0.25">
      <c r="A348" s="9"/>
      <c r="B348" s="9"/>
      <c r="C348" s="9"/>
      <c r="D348" s="15"/>
      <c r="E348" s="9"/>
      <c r="F348" s="15"/>
      <c r="G348" s="15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 spans="1:24" ht="19.5" customHeight="1" x14ac:dyDescent="0.25">
      <c r="A349" s="9"/>
      <c r="B349" s="9"/>
      <c r="C349" s="9"/>
      <c r="D349" s="15"/>
      <c r="E349" s="9"/>
      <c r="F349" s="15"/>
      <c r="G349" s="15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 spans="1:24" ht="19.5" customHeight="1" x14ac:dyDescent="0.25">
      <c r="A350" s="9"/>
      <c r="B350" s="9"/>
      <c r="C350" s="9"/>
      <c r="D350" s="15"/>
      <c r="E350" s="9"/>
      <c r="F350" s="15"/>
      <c r="G350" s="15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r="351" spans="1:24" ht="19.5" customHeight="1" x14ac:dyDescent="0.25">
      <c r="A351" s="9"/>
      <c r="B351" s="9"/>
      <c r="C351" s="9"/>
      <c r="D351" s="15"/>
      <c r="E351" s="9"/>
      <c r="F351" s="15"/>
      <c r="G351" s="15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r="352" spans="1:24" ht="19.5" customHeight="1" x14ac:dyDescent="0.25">
      <c r="A352" s="9"/>
      <c r="B352" s="9"/>
      <c r="C352" s="9"/>
      <c r="D352" s="15"/>
      <c r="E352" s="9"/>
      <c r="F352" s="15"/>
      <c r="G352" s="15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 spans="1:24" ht="19.5" customHeight="1" x14ac:dyDescent="0.25">
      <c r="A353" s="9"/>
      <c r="B353" s="9"/>
      <c r="C353" s="9"/>
      <c r="D353" s="15"/>
      <c r="E353" s="9"/>
      <c r="F353" s="15"/>
      <c r="G353" s="15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 spans="1:24" ht="19.5" customHeight="1" x14ac:dyDescent="0.25">
      <c r="A354" s="9"/>
      <c r="B354" s="9"/>
      <c r="C354" s="9"/>
      <c r="D354" s="15"/>
      <c r="E354" s="9"/>
      <c r="F354" s="15"/>
      <c r="G354" s="15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r="355" spans="1:24" ht="19.5" customHeight="1" x14ac:dyDescent="0.25">
      <c r="A355" s="9"/>
      <c r="B355" s="9"/>
      <c r="C355" s="9"/>
      <c r="D355" s="15"/>
      <c r="E355" s="9"/>
      <c r="F355" s="15"/>
      <c r="G355" s="15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r="356" spans="1:24" ht="19.5" customHeight="1" x14ac:dyDescent="0.25">
      <c r="A356" s="9"/>
      <c r="B356" s="9"/>
      <c r="C356" s="9"/>
      <c r="D356" s="15"/>
      <c r="E356" s="9"/>
      <c r="F356" s="15"/>
      <c r="G356" s="15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r="357" spans="1:24" ht="19.5" customHeight="1" x14ac:dyDescent="0.25">
      <c r="A357" s="9"/>
      <c r="B357" s="9"/>
      <c r="C357" s="9"/>
      <c r="D357" s="15"/>
      <c r="E357" s="9"/>
      <c r="F357" s="15"/>
      <c r="G357" s="15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r="358" spans="1:24" ht="19.5" customHeight="1" x14ac:dyDescent="0.25">
      <c r="A358" s="9"/>
      <c r="B358" s="9"/>
      <c r="C358" s="9"/>
      <c r="D358" s="15"/>
      <c r="E358" s="9"/>
      <c r="F358" s="15"/>
      <c r="G358" s="15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 spans="1:24" ht="19.5" customHeight="1" x14ac:dyDescent="0.25">
      <c r="A359" s="9"/>
      <c r="B359" s="9"/>
      <c r="C359" s="9"/>
      <c r="D359" s="15"/>
      <c r="E359" s="9"/>
      <c r="F359" s="15"/>
      <c r="G359" s="15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 spans="1:24" ht="19.5" customHeight="1" x14ac:dyDescent="0.25">
      <c r="A360" s="9"/>
      <c r="B360" s="9"/>
      <c r="C360" s="9"/>
      <c r="D360" s="15"/>
      <c r="E360" s="9"/>
      <c r="F360" s="15"/>
      <c r="G360" s="15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r="361" spans="1:24" ht="19.5" customHeight="1" x14ac:dyDescent="0.25">
      <c r="A361" s="9"/>
      <c r="B361" s="9"/>
      <c r="C361" s="9"/>
      <c r="D361" s="15"/>
      <c r="E361" s="9"/>
      <c r="F361" s="15"/>
      <c r="G361" s="15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r="362" spans="1:24" ht="19.5" customHeight="1" x14ac:dyDescent="0.25">
      <c r="A362" s="9"/>
      <c r="B362" s="9"/>
      <c r="C362" s="9"/>
      <c r="D362" s="15"/>
      <c r="E362" s="9"/>
      <c r="F362" s="15"/>
      <c r="G362" s="15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 spans="1:24" ht="19.5" customHeight="1" x14ac:dyDescent="0.25">
      <c r="A363" s="9"/>
      <c r="B363" s="9"/>
      <c r="C363" s="9"/>
      <c r="D363" s="15"/>
      <c r="E363" s="9"/>
      <c r="F363" s="15"/>
      <c r="G363" s="15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r="364" spans="1:24" ht="19.5" customHeight="1" x14ac:dyDescent="0.25">
      <c r="A364" s="9"/>
      <c r="B364" s="9"/>
      <c r="C364" s="9"/>
      <c r="D364" s="15"/>
      <c r="E364" s="9"/>
      <c r="F364" s="15"/>
      <c r="G364" s="15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r="365" spans="1:24" ht="19.5" customHeight="1" x14ac:dyDescent="0.25">
      <c r="A365" s="9"/>
      <c r="B365" s="9"/>
      <c r="C365" s="9"/>
      <c r="D365" s="15"/>
      <c r="E365" s="9"/>
      <c r="F365" s="15"/>
      <c r="G365" s="15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</row>
    <row r="366" spans="1:24" ht="19.5" customHeight="1" x14ac:dyDescent="0.25">
      <c r="A366" s="9"/>
      <c r="B366" s="9"/>
      <c r="C366" s="9"/>
      <c r="D366" s="15"/>
      <c r="E366" s="9"/>
      <c r="F366" s="15"/>
      <c r="G366" s="15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 spans="1:24" ht="19.5" customHeight="1" x14ac:dyDescent="0.25">
      <c r="A367" s="9"/>
      <c r="B367" s="9"/>
      <c r="C367" s="9"/>
      <c r="D367" s="15"/>
      <c r="E367" s="9"/>
      <c r="F367" s="15"/>
      <c r="G367" s="15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</row>
    <row r="368" spans="1:24" ht="19.5" customHeight="1" x14ac:dyDescent="0.25">
      <c r="A368" s="9"/>
      <c r="B368" s="9"/>
      <c r="C368" s="9"/>
      <c r="D368" s="15"/>
      <c r="E368" s="9"/>
      <c r="F368" s="15"/>
      <c r="G368" s="15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</row>
    <row r="369" spans="1:24" ht="19.5" customHeight="1" x14ac:dyDescent="0.25">
      <c r="A369" s="9"/>
      <c r="B369" s="9"/>
      <c r="C369" s="9"/>
      <c r="D369" s="15"/>
      <c r="E369" s="9"/>
      <c r="F369" s="15"/>
      <c r="G369" s="15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r="370" spans="1:24" ht="19.5" customHeight="1" x14ac:dyDescent="0.25">
      <c r="A370" s="9"/>
      <c r="B370" s="9"/>
      <c r="C370" s="9"/>
      <c r="D370" s="15"/>
      <c r="E370" s="9"/>
      <c r="F370" s="15"/>
      <c r="G370" s="15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</row>
    <row r="371" spans="1:24" ht="19.5" customHeight="1" x14ac:dyDescent="0.25">
      <c r="A371" s="9"/>
      <c r="B371" s="9"/>
      <c r="C371" s="9"/>
      <c r="D371" s="15"/>
      <c r="E371" s="9"/>
      <c r="F371" s="15"/>
      <c r="G371" s="15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</row>
    <row r="372" spans="1:24" ht="19.5" customHeight="1" x14ac:dyDescent="0.25">
      <c r="A372" s="9"/>
      <c r="B372" s="9"/>
      <c r="C372" s="9"/>
      <c r="D372" s="15"/>
      <c r="E372" s="9"/>
      <c r="F372" s="15"/>
      <c r="G372" s="15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</row>
    <row r="373" spans="1:24" ht="19.5" customHeight="1" x14ac:dyDescent="0.25">
      <c r="A373" s="9"/>
      <c r="B373" s="9"/>
      <c r="C373" s="9"/>
      <c r="D373" s="15"/>
      <c r="E373" s="9"/>
      <c r="F373" s="15"/>
      <c r="G373" s="15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</row>
    <row r="374" spans="1:24" ht="19.5" customHeight="1" x14ac:dyDescent="0.25">
      <c r="A374" s="9"/>
      <c r="B374" s="9"/>
      <c r="C374" s="9"/>
      <c r="D374" s="15"/>
      <c r="E374" s="9"/>
      <c r="F374" s="15"/>
      <c r="G374" s="15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</row>
    <row r="375" spans="1:24" ht="19.5" customHeight="1" x14ac:dyDescent="0.25">
      <c r="A375" s="9"/>
      <c r="B375" s="9"/>
      <c r="C375" s="9"/>
      <c r="D375" s="15"/>
      <c r="E375" s="9"/>
      <c r="F375" s="15"/>
      <c r="G375" s="15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</row>
    <row r="376" spans="1:24" ht="19.5" customHeight="1" x14ac:dyDescent="0.25">
      <c r="A376" s="9"/>
      <c r="B376" s="9"/>
      <c r="C376" s="9"/>
      <c r="D376" s="15"/>
      <c r="E376" s="9"/>
      <c r="F376" s="15"/>
      <c r="G376" s="15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</row>
    <row r="377" spans="1:24" ht="19.5" customHeight="1" x14ac:dyDescent="0.25">
      <c r="A377" s="9"/>
      <c r="B377" s="9"/>
      <c r="C377" s="9"/>
      <c r="D377" s="15"/>
      <c r="E377" s="9"/>
      <c r="F377" s="15"/>
      <c r="G377" s="15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</row>
    <row r="378" spans="1:24" ht="19.5" customHeight="1" x14ac:dyDescent="0.25">
      <c r="A378" s="9"/>
      <c r="B378" s="9"/>
      <c r="C378" s="9"/>
      <c r="D378" s="15"/>
      <c r="E378" s="9"/>
      <c r="F378" s="15"/>
      <c r="G378" s="15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</row>
    <row r="379" spans="1:24" ht="19.5" customHeight="1" x14ac:dyDescent="0.25">
      <c r="A379" s="9"/>
      <c r="B379" s="9"/>
      <c r="C379" s="9"/>
      <c r="D379" s="15"/>
      <c r="E379" s="9"/>
      <c r="F379" s="15"/>
      <c r="G379" s="15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</row>
    <row r="380" spans="1:24" ht="19.5" customHeight="1" x14ac:dyDescent="0.25">
      <c r="A380" s="9"/>
      <c r="B380" s="9"/>
      <c r="C380" s="9"/>
      <c r="D380" s="15"/>
      <c r="E380" s="9"/>
      <c r="F380" s="15"/>
      <c r="G380" s="15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</row>
    <row r="381" spans="1:24" ht="19.5" customHeight="1" x14ac:dyDescent="0.25">
      <c r="A381" s="9"/>
      <c r="B381" s="9"/>
      <c r="C381" s="9"/>
      <c r="D381" s="15"/>
      <c r="E381" s="9"/>
      <c r="F381" s="15"/>
      <c r="G381" s="15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</row>
    <row r="382" spans="1:24" ht="19.5" customHeight="1" x14ac:dyDescent="0.25">
      <c r="A382" s="9"/>
      <c r="B382" s="9"/>
      <c r="C382" s="9"/>
      <c r="D382" s="15"/>
      <c r="E382" s="9"/>
      <c r="F382" s="15"/>
      <c r="G382" s="15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</row>
    <row r="383" spans="1:24" ht="19.5" customHeight="1" x14ac:dyDescent="0.25">
      <c r="A383" s="9"/>
      <c r="B383" s="9"/>
      <c r="C383" s="9"/>
      <c r="D383" s="15"/>
      <c r="E383" s="9"/>
      <c r="F383" s="15"/>
      <c r="G383" s="15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</row>
    <row r="384" spans="1:24" ht="19.5" customHeight="1" x14ac:dyDescent="0.25">
      <c r="A384" s="9"/>
      <c r="B384" s="9"/>
      <c r="C384" s="9"/>
      <c r="D384" s="15"/>
      <c r="E384" s="9"/>
      <c r="F384" s="15"/>
      <c r="G384" s="15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</row>
    <row r="385" spans="1:24" ht="19.5" customHeight="1" x14ac:dyDescent="0.25">
      <c r="A385" s="9"/>
      <c r="B385" s="9"/>
      <c r="C385" s="9"/>
      <c r="D385" s="15"/>
      <c r="E385" s="9"/>
      <c r="F385" s="15"/>
      <c r="G385" s="15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</row>
    <row r="386" spans="1:24" ht="19.5" customHeight="1" x14ac:dyDescent="0.25">
      <c r="A386" s="9"/>
      <c r="B386" s="9"/>
      <c r="C386" s="9"/>
      <c r="D386" s="15"/>
      <c r="E386" s="9"/>
      <c r="F386" s="15"/>
      <c r="G386" s="15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</row>
    <row r="387" spans="1:24" ht="19.5" customHeight="1" x14ac:dyDescent="0.25">
      <c r="A387" s="9"/>
      <c r="B387" s="9"/>
      <c r="C387" s="9"/>
      <c r="D387" s="15"/>
      <c r="E387" s="9"/>
      <c r="F387" s="15"/>
      <c r="G387" s="15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</row>
    <row r="388" spans="1:24" ht="19.5" customHeight="1" x14ac:dyDescent="0.25">
      <c r="A388" s="9"/>
      <c r="B388" s="9"/>
      <c r="C388" s="9"/>
      <c r="D388" s="15"/>
      <c r="E388" s="9"/>
      <c r="F388" s="15"/>
      <c r="G388" s="15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</row>
    <row r="389" spans="1:24" ht="19.5" customHeight="1" x14ac:dyDescent="0.25">
      <c r="A389" s="9"/>
      <c r="B389" s="9"/>
      <c r="C389" s="9"/>
      <c r="D389" s="15"/>
      <c r="E389" s="9"/>
      <c r="F389" s="15"/>
      <c r="G389" s="15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</row>
    <row r="390" spans="1:24" ht="19.5" customHeight="1" x14ac:dyDescent="0.25">
      <c r="A390" s="9"/>
      <c r="B390" s="9"/>
      <c r="C390" s="9"/>
      <c r="D390" s="15"/>
      <c r="E390" s="9"/>
      <c r="F390" s="15"/>
      <c r="G390" s="15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</row>
    <row r="391" spans="1:24" ht="19.5" customHeight="1" x14ac:dyDescent="0.25">
      <c r="A391" s="9"/>
      <c r="B391" s="9"/>
      <c r="C391" s="9"/>
      <c r="D391" s="15"/>
      <c r="E391" s="9"/>
      <c r="F391" s="15"/>
      <c r="G391" s="15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</row>
    <row r="392" spans="1:24" ht="19.5" customHeight="1" x14ac:dyDescent="0.25">
      <c r="A392" s="9"/>
      <c r="B392" s="9"/>
      <c r="C392" s="9"/>
      <c r="D392" s="15"/>
      <c r="E392" s="9"/>
      <c r="F392" s="15"/>
      <c r="G392" s="15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</row>
    <row r="393" spans="1:24" ht="19.5" customHeight="1" x14ac:dyDescent="0.25">
      <c r="A393" s="9"/>
      <c r="B393" s="9"/>
      <c r="C393" s="9"/>
      <c r="D393" s="15"/>
      <c r="E393" s="9"/>
      <c r="F393" s="15"/>
      <c r="G393" s="15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</row>
    <row r="394" spans="1:24" ht="19.5" customHeight="1" x14ac:dyDescent="0.25">
      <c r="A394" s="9"/>
      <c r="B394" s="9"/>
      <c r="C394" s="9"/>
      <c r="D394" s="15"/>
      <c r="E394" s="9"/>
      <c r="F394" s="15"/>
      <c r="G394" s="15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</row>
    <row r="395" spans="1:24" ht="19.5" customHeight="1" x14ac:dyDescent="0.25">
      <c r="A395" s="9"/>
      <c r="B395" s="9"/>
      <c r="C395" s="9"/>
      <c r="D395" s="15"/>
      <c r="E395" s="9"/>
      <c r="F395" s="15"/>
      <c r="G395" s="15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</row>
    <row r="396" spans="1:24" ht="19.5" customHeight="1" x14ac:dyDescent="0.25">
      <c r="A396" s="9"/>
      <c r="B396" s="9"/>
      <c r="C396" s="9"/>
      <c r="D396" s="15"/>
      <c r="E396" s="9"/>
      <c r="F396" s="15"/>
      <c r="G396" s="15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</row>
    <row r="397" spans="1:24" ht="19.5" customHeight="1" x14ac:dyDescent="0.25">
      <c r="A397" s="9"/>
      <c r="B397" s="9"/>
      <c r="C397" s="9"/>
      <c r="D397" s="15"/>
      <c r="E397" s="9"/>
      <c r="F397" s="15"/>
      <c r="G397" s="15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r="398" spans="1:24" ht="19.5" customHeight="1" x14ac:dyDescent="0.25">
      <c r="A398" s="9"/>
      <c r="B398" s="9"/>
      <c r="C398" s="9"/>
      <c r="D398" s="15"/>
      <c r="E398" s="9"/>
      <c r="F398" s="15"/>
      <c r="G398" s="15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</row>
    <row r="399" spans="1:24" ht="19.5" customHeight="1" x14ac:dyDescent="0.25">
      <c r="A399" s="9"/>
      <c r="B399" s="9"/>
      <c r="C399" s="9"/>
      <c r="D399" s="15"/>
      <c r="E399" s="9"/>
      <c r="F399" s="15"/>
      <c r="G399" s="15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</row>
    <row r="400" spans="1:24" ht="19.5" customHeight="1" x14ac:dyDescent="0.25">
      <c r="A400" s="9"/>
      <c r="B400" s="9"/>
      <c r="C400" s="9"/>
      <c r="D400" s="15"/>
      <c r="E400" s="9"/>
      <c r="F400" s="15"/>
      <c r="G400" s="15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</row>
    <row r="401" spans="1:24" ht="19.5" customHeight="1" x14ac:dyDescent="0.25">
      <c r="A401" s="9"/>
      <c r="B401" s="9"/>
      <c r="C401" s="9"/>
      <c r="D401" s="15"/>
      <c r="E401" s="9"/>
      <c r="F401" s="15"/>
      <c r="G401" s="15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 spans="1:24" ht="19.5" customHeight="1" x14ac:dyDescent="0.25">
      <c r="A402" s="9"/>
      <c r="B402" s="9"/>
      <c r="C402" s="9"/>
      <c r="D402" s="15"/>
      <c r="E402" s="9"/>
      <c r="F402" s="15"/>
      <c r="G402" s="15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r="403" spans="1:24" ht="19.5" customHeight="1" x14ac:dyDescent="0.25">
      <c r="A403" s="9"/>
      <c r="B403" s="9"/>
      <c r="C403" s="9"/>
      <c r="D403" s="15"/>
      <c r="E403" s="9"/>
      <c r="F403" s="15"/>
      <c r="G403" s="15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</row>
    <row r="404" spans="1:24" ht="19.5" customHeight="1" x14ac:dyDescent="0.25">
      <c r="A404" s="9"/>
      <c r="B404" s="9"/>
      <c r="C404" s="9"/>
      <c r="D404" s="15"/>
      <c r="E404" s="9"/>
      <c r="F404" s="15"/>
      <c r="G404" s="15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</row>
    <row r="405" spans="1:24" ht="19.5" customHeight="1" x14ac:dyDescent="0.25">
      <c r="A405" s="9"/>
      <c r="B405" s="9"/>
      <c r="C405" s="9"/>
      <c r="D405" s="15"/>
      <c r="E405" s="9"/>
      <c r="F405" s="15"/>
      <c r="G405" s="15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</row>
    <row r="406" spans="1:24" ht="19.5" customHeight="1" x14ac:dyDescent="0.25">
      <c r="A406" s="9"/>
      <c r="B406" s="9"/>
      <c r="C406" s="9"/>
      <c r="D406" s="15"/>
      <c r="E406" s="9"/>
      <c r="F406" s="15"/>
      <c r="G406" s="15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r="407" spans="1:24" ht="19.5" customHeight="1" x14ac:dyDescent="0.25">
      <c r="A407" s="9"/>
      <c r="B407" s="9"/>
      <c r="C407" s="9"/>
      <c r="D407" s="15"/>
      <c r="E407" s="9"/>
      <c r="F407" s="15"/>
      <c r="G407" s="15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r="408" spans="1:24" ht="19.5" customHeight="1" x14ac:dyDescent="0.25">
      <c r="A408" s="9"/>
      <c r="B408" s="9"/>
      <c r="C408" s="9"/>
      <c r="D408" s="15"/>
      <c r="E408" s="9"/>
      <c r="F408" s="15"/>
      <c r="G408" s="15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</row>
    <row r="409" spans="1:24" ht="19.5" customHeight="1" x14ac:dyDescent="0.25">
      <c r="A409" s="9"/>
      <c r="B409" s="9"/>
      <c r="C409" s="9"/>
      <c r="D409" s="15"/>
      <c r="E409" s="9"/>
      <c r="F409" s="15"/>
      <c r="G409" s="15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</row>
    <row r="410" spans="1:24" ht="19.5" customHeight="1" x14ac:dyDescent="0.25">
      <c r="A410" s="9"/>
      <c r="B410" s="9"/>
      <c r="C410" s="9"/>
      <c r="D410" s="15"/>
      <c r="E410" s="9"/>
      <c r="F410" s="15"/>
      <c r="G410" s="15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</row>
    <row r="411" spans="1:24" ht="19.5" customHeight="1" x14ac:dyDescent="0.25">
      <c r="A411" s="9"/>
      <c r="B411" s="9"/>
      <c r="C411" s="9"/>
      <c r="D411" s="15"/>
      <c r="E411" s="9"/>
      <c r="F411" s="15"/>
      <c r="G411" s="15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r="412" spans="1:24" ht="19.5" customHeight="1" x14ac:dyDescent="0.25">
      <c r="A412" s="9"/>
      <c r="B412" s="9"/>
      <c r="C412" s="9"/>
      <c r="D412" s="15"/>
      <c r="E412" s="9"/>
      <c r="F412" s="15"/>
      <c r="G412" s="15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r="413" spans="1:24" ht="19.5" customHeight="1" x14ac:dyDescent="0.25">
      <c r="A413" s="9"/>
      <c r="B413" s="9"/>
      <c r="C413" s="9"/>
      <c r="D413" s="15"/>
      <c r="E413" s="9"/>
      <c r="F413" s="15"/>
      <c r="G413" s="15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</row>
    <row r="414" spans="1:24" ht="19.5" customHeight="1" x14ac:dyDescent="0.25">
      <c r="A414" s="9"/>
      <c r="B414" s="9"/>
      <c r="C414" s="9"/>
      <c r="D414" s="15"/>
      <c r="E414" s="9"/>
      <c r="F414" s="15"/>
      <c r="G414" s="15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</row>
    <row r="415" spans="1:24" ht="19.5" customHeight="1" x14ac:dyDescent="0.25">
      <c r="A415" s="9"/>
      <c r="B415" s="9"/>
      <c r="C415" s="9"/>
      <c r="D415" s="15"/>
      <c r="E415" s="9"/>
      <c r="F415" s="15"/>
      <c r="G415" s="15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</row>
    <row r="416" spans="1:24" ht="19.5" customHeight="1" x14ac:dyDescent="0.25">
      <c r="A416" s="9"/>
      <c r="B416" s="9"/>
      <c r="C416" s="9"/>
      <c r="D416" s="15"/>
      <c r="E416" s="9"/>
      <c r="F416" s="15"/>
      <c r="G416" s="15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r="417" spans="1:24" ht="19.5" customHeight="1" x14ac:dyDescent="0.25">
      <c r="A417" s="9"/>
      <c r="B417" s="9"/>
      <c r="C417" s="9"/>
      <c r="D417" s="15"/>
      <c r="E417" s="9"/>
      <c r="F417" s="15"/>
      <c r="G417" s="15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r="418" spans="1:24" ht="19.5" customHeight="1" x14ac:dyDescent="0.25">
      <c r="A418" s="9"/>
      <c r="B418" s="9"/>
      <c r="C418" s="9"/>
      <c r="D418" s="15"/>
      <c r="E418" s="9"/>
      <c r="F418" s="15"/>
      <c r="G418" s="15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</row>
    <row r="419" spans="1:24" ht="19.5" customHeight="1" x14ac:dyDescent="0.25">
      <c r="A419" s="9"/>
      <c r="B419" s="9"/>
      <c r="C419" s="9"/>
      <c r="D419" s="15"/>
      <c r="E419" s="9"/>
      <c r="F419" s="15"/>
      <c r="G419" s="15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</row>
    <row r="420" spans="1:24" ht="19.5" customHeight="1" x14ac:dyDescent="0.25">
      <c r="A420" s="9"/>
      <c r="B420" s="9"/>
      <c r="C420" s="9"/>
      <c r="D420" s="15"/>
      <c r="E420" s="9"/>
      <c r="F420" s="15"/>
      <c r="G420" s="15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</row>
    <row r="421" spans="1:24" ht="19.5" customHeight="1" x14ac:dyDescent="0.25">
      <c r="A421" s="9"/>
      <c r="B421" s="9"/>
      <c r="C421" s="9"/>
      <c r="D421" s="15"/>
      <c r="E421" s="9"/>
      <c r="F421" s="15"/>
      <c r="G421" s="15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</row>
    <row r="422" spans="1:24" ht="19.5" customHeight="1" x14ac:dyDescent="0.25">
      <c r="A422" s="9"/>
      <c r="B422" s="9"/>
      <c r="C422" s="9"/>
      <c r="D422" s="15"/>
      <c r="E422" s="9"/>
      <c r="F422" s="15"/>
      <c r="G422" s="15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</row>
    <row r="423" spans="1:24" ht="19.5" customHeight="1" x14ac:dyDescent="0.25">
      <c r="A423" s="9"/>
      <c r="B423" s="9"/>
      <c r="C423" s="9"/>
      <c r="D423" s="15"/>
      <c r="E423" s="9"/>
      <c r="F423" s="15"/>
      <c r="G423" s="15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</row>
    <row r="424" spans="1:24" ht="19.5" customHeight="1" x14ac:dyDescent="0.25">
      <c r="A424" s="9"/>
      <c r="B424" s="9"/>
      <c r="C424" s="9"/>
      <c r="D424" s="15"/>
      <c r="E424" s="9"/>
      <c r="F424" s="15"/>
      <c r="G424" s="15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</row>
    <row r="425" spans="1:24" ht="19.5" customHeight="1" x14ac:dyDescent="0.25">
      <c r="A425" s="9"/>
      <c r="B425" s="9"/>
      <c r="C425" s="9"/>
      <c r="D425" s="15"/>
      <c r="E425" s="9"/>
      <c r="F425" s="15"/>
      <c r="G425" s="15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</row>
    <row r="426" spans="1:24" ht="19.5" customHeight="1" x14ac:dyDescent="0.25">
      <c r="A426" s="9"/>
      <c r="B426" s="9"/>
      <c r="C426" s="9"/>
      <c r="D426" s="15"/>
      <c r="E426" s="9"/>
      <c r="F426" s="15"/>
      <c r="G426" s="15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</row>
    <row r="427" spans="1:24" ht="19.5" customHeight="1" x14ac:dyDescent="0.25">
      <c r="A427" s="9"/>
      <c r="B427" s="9"/>
      <c r="C427" s="9"/>
      <c r="D427" s="15"/>
      <c r="E427" s="9"/>
      <c r="F427" s="15"/>
      <c r="G427" s="15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</row>
    <row r="428" spans="1:24" ht="19.5" customHeight="1" x14ac:dyDescent="0.25">
      <c r="A428" s="9"/>
      <c r="B428" s="9"/>
      <c r="C428" s="9"/>
      <c r="D428" s="15"/>
      <c r="E428" s="9"/>
      <c r="F428" s="15"/>
      <c r="G428" s="15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</row>
    <row r="429" spans="1:24" ht="19.5" customHeight="1" x14ac:dyDescent="0.25">
      <c r="A429" s="9"/>
      <c r="B429" s="9"/>
      <c r="C429" s="9"/>
      <c r="D429" s="15"/>
      <c r="E429" s="9"/>
      <c r="F429" s="15"/>
      <c r="G429" s="15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</row>
    <row r="430" spans="1:24" ht="19.5" customHeight="1" x14ac:dyDescent="0.25">
      <c r="A430" s="9"/>
      <c r="B430" s="9"/>
      <c r="C430" s="9"/>
      <c r="D430" s="15"/>
      <c r="E430" s="9"/>
      <c r="F430" s="15"/>
      <c r="G430" s="15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</row>
    <row r="431" spans="1:24" ht="19.5" customHeight="1" x14ac:dyDescent="0.25">
      <c r="A431" s="9"/>
      <c r="B431" s="9"/>
      <c r="C431" s="9"/>
      <c r="D431" s="15"/>
      <c r="E431" s="9"/>
      <c r="F431" s="15"/>
      <c r="G431" s="15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</row>
    <row r="432" spans="1:24" ht="19.5" customHeight="1" x14ac:dyDescent="0.25">
      <c r="A432" s="9"/>
      <c r="B432" s="9"/>
      <c r="C432" s="9"/>
      <c r="D432" s="15"/>
      <c r="E432" s="9"/>
      <c r="F432" s="15"/>
      <c r="G432" s="15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</row>
    <row r="433" spans="1:24" ht="19.5" customHeight="1" x14ac:dyDescent="0.25">
      <c r="A433" s="9"/>
      <c r="B433" s="9"/>
      <c r="C433" s="9"/>
      <c r="D433" s="15"/>
      <c r="E433" s="9"/>
      <c r="F433" s="15"/>
      <c r="G433" s="15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</row>
    <row r="434" spans="1:24" ht="19.5" customHeight="1" x14ac:dyDescent="0.25">
      <c r="A434" s="9"/>
      <c r="B434" s="9"/>
      <c r="C434" s="9"/>
      <c r="D434" s="15"/>
      <c r="E434" s="9"/>
      <c r="F434" s="15"/>
      <c r="G434" s="15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</row>
    <row r="435" spans="1:24" ht="19.5" customHeight="1" x14ac:dyDescent="0.25">
      <c r="A435" s="9"/>
      <c r="B435" s="9"/>
      <c r="C435" s="9"/>
      <c r="D435" s="15"/>
      <c r="E435" s="9"/>
      <c r="F435" s="15"/>
      <c r="G435" s="15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</row>
    <row r="436" spans="1:24" ht="19.5" customHeight="1" x14ac:dyDescent="0.25">
      <c r="A436" s="9"/>
      <c r="B436" s="9"/>
      <c r="C436" s="9"/>
      <c r="D436" s="15"/>
      <c r="E436" s="9"/>
      <c r="F436" s="15"/>
      <c r="G436" s="15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</row>
    <row r="437" spans="1:24" ht="19.5" customHeight="1" x14ac:dyDescent="0.25">
      <c r="A437" s="9"/>
      <c r="B437" s="9"/>
      <c r="C437" s="9"/>
      <c r="D437" s="15"/>
      <c r="E437" s="9"/>
      <c r="F437" s="15"/>
      <c r="G437" s="15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</row>
    <row r="438" spans="1:24" ht="19.5" customHeight="1" x14ac:dyDescent="0.25">
      <c r="A438" s="9"/>
      <c r="B438" s="9"/>
      <c r="C438" s="9"/>
      <c r="D438" s="15"/>
      <c r="E438" s="9"/>
      <c r="F438" s="15"/>
      <c r="G438" s="15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</row>
    <row r="439" spans="1:24" ht="19.5" customHeight="1" x14ac:dyDescent="0.25">
      <c r="A439" s="9"/>
      <c r="B439" s="9"/>
      <c r="C439" s="9"/>
      <c r="D439" s="15"/>
      <c r="E439" s="9"/>
      <c r="F439" s="15"/>
      <c r="G439" s="15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</row>
    <row r="440" spans="1:24" ht="19.5" customHeight="1" x14ac:dyDescent="0.25">
      <c r="A440" s="9"/>
      <c r="B440" s="9"/>
      <c r="C440" s="9"/>
      <c r="D440" s="15"/>
      <c r="E440" s="9"/>
      <c r="F440" s="15"/>
      <c r="G440" s="15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</row>
    <row r="441" spans="1:24" ht="19.5" customHeight="1" x14ac:dyDescent="0.25">
      <c r="A441" s="9"/>
      <c r="B441" s="9"/>
      <c r="C441" s="9"/>
      <c r="D441" s="15"/>
      <c r="E441" s="9"/>
      <c r="F441" s="15"/>
      <c r="G441" s="15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</row>
    <row r="442" spans="1:24" ht="19.5" customHeight="1" x14ac:dyDescent="0.25">
      <c r="A442" s="9"/>
      <c r="B442" s="9"/>
      <c r="C442" s="9"/>
      <c r="D442" s="15"/>
      <c r="E442" s="9"/>
      <c r="F442" s="15"/>
      <c r="G442" s="15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</row>
    <row r="443" spans="1:24" ht="19.5" customHeight="1" x14ac:dyDescent="0.25">
      <c r="A443" s="9"/>
      <c r="B443" s="9"/>
      <c r="C443" s="9"/>
      <c r="D443" s="15"/>
      <c r="E443" s="9"/>
      <c r="F443" s="15"/>
      <c r="G443" s="15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</row>
    <row r="444" spans="1:24" ht="19.5" customHeight="1" x14ac:dyDescent="0.25">
      <c r="A444" s="9"/>
      <c r="B444" s="9"/>
      <c r="C444" s="9"/>
      <c r="D444" s="15"/>
      <c r="E444" s="9"/>
      <c r="F444" s="15"/>
      <c r="G444" s="15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</row>
    <row r="445" spans="1:24" ht="19.5" customHeight="1" x14ac:dyDescent="0.25">
      <c r="A445" s="9"/>
      <c r="B445" s="9"/>
      <c r="C445" s="9"/>
      <c r="D445" s="15"/>
      <c r="E445" s="9"/>
      <c r="F445" s="15"/>
      <c r="G445" s="15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</row>
    <row r="446" spans="1:24" ht="19.5" customHeight="1" x14ac:dyDescent="0.25">
      <c r="A446" s="9"/>
      <c r="B446" s="9"/>
      <c r="C446" s="9"/>
      <c r="D446" s="15"/>
      <c r="E446" s="9"/>
      <c r="F446" s="15"/>
      <c r="G446" s="15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</row>
    <row r="447" spans="1:24" ht="19.5" customHeight="1" x14ac:dyDescent="0.25">
      <c r="A447" s="9"/>
      <c r="B447" s="9"/>
      <c r="C447" s="9"/>
      <c r="D447" s="15"/>
      <c r="E447" s="9"/>
      <c r="F447" s="15"/>
      <c r="G447" s="15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</row>
    <row r="448" spans="1:24" ht="19.5" customHeight="1" x14ac:dyDescent="0.25">
      <c r="A448" s="9"/>
      <c r="B448" s="9"/>
      <c r="C448" s="9"/>
      <c r="D448" s="15"/>
      <c r="E448" s="9"/>
      <c r="F448" s="15"/>
      <c r="G448" s="15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</row>
    <row r="449" spans="1:24" ht="19.5" customHeight="1" x14ac:dyDescent="0.25">
      <c r="A449" s="9"/>
      <c r="B449" s="9"/>
      <c r="C449" s="9"/>
      <c r="D449" s="15"/>
      <c r="E449" s="9"/>
      <c r="F449" s="15"/>
      <c r="G449" s="15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</row>
    <row r="450" spans="1:24" ht="19.5" customHeight="1" x14ac:dyDescent="0.25">
      <c r="A450" s="9"/>
      <c r="B450" s="9"/>
      <c r="C450" s="9"/>
      <c r="D450" s="15"/>
      <c r="E450" s="9"/>
      <c r="F450" s="15"/>
      <c r="G450" s="15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</row>
    <row r="451" spans="1:24" ht="19.5" customHeight="1" x14ac:dyDescent="0.25">
      <c r="A451" s="9"/>
      <c r="B451" s="9"/>
      <c r="C451" s="9"/>
      <c r="D451" s="15"/>
      <c r="E451" s="9"/>
      <c r="F451" s="15"/>
      <c r="G451" s="15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</row>
    <row r="452" spans="1:24" ht="19.5" customHeight="1" x14ac:dyDescent="0.25">
      <c r="A452" s="9"/>
      <c r="B452" s="9"/>
      <c r="C452" s="9"/>
      <c r="D452" s="15"/>
      <c r="E452" s="9"/>
      <c r="F452" s="15"/>
      <c r="G452" s="15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</row>
    <row r="453" spans="1:24" ht="19.5" customHeight="1" x14ac:dyDescent="0.25">
      <c r="A453" s="9"/>
      <c r="B453" s="9"/>
      <c r="C453" s="9"/>
      <c r="D453" s="15"/>
      <c r="E453" s="9"/>
      <c r="F453" s="15"/>
      <c r="G453" s="15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</row>
    <row r="454" spans="1:24" ht="19.5" customHeight="1" x14ac:dyDescent="0.25">
      <c r="A454" s="9"/>
      <c r="B454" s="9"/>
      <c r="C454" s="9"/>
      <c r="D454" s="15"/>
      <c r="E454" s="9"/>
      <c r="F454" s="15"/>
      <c r="G454" s="15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</row>
    <row r="455" spans="1:24" ht="19.5" customHeight="1" x14ac:dyDescent="0.25">
      <c r="A455" s="9"/>
      <c r="B455" s="9"/>
      <c r="C455" s="9"/>
      <c r="D455" s="15"/>
      <c r="E455" s="9"/>
      <c r="F455" s="15"/>
      <c r="G455" s="15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</row>
    <row r="456" spans="1:24" ht="19.5" customHeight="1" x14ac:dyDescent="0.25">
      <c r="A456" s="9"/>
      <c r="B456" s="9"/>
      <c r="C456" s="9"/>
      <c r="D456" s="15"/>
      <c r="E456" s="9"/>
      <c r="F456" s="15"/>
      <c r="G456" s="15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</row>
    <row r="457" spans="1:24" ht="19.5" customHeight="1" x14ac:dyDescent="0.25">
      <c r="A457" s="9"/>
      <c r="B457" s="9"/>
      <c r="C457" s="9"/>
      <c r="D457" s="15"/>
      <c r="E457" s="9"/>
      <c r="F457" s="15"/>
      <c r="G457" s="15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</row>
    <row r="458" spans="1:24" ht="19.5" customHeight="1" x14ac:dyDescent="0.25">
      <c r="A458" s="9"/>
      <c r="B458" s="9"/>
      <c r="C458" s="9"/>
      <c r="D458" s="15"/>
      <c r="E458" s="9"/>
      <c r="F458" s="15"/>
      <c r="G458" s="15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</row>
    <row r="459" spans="1:24" ht="19.5" customHeight="1" x14ac:dyDescent="0.25">
      <c r="A459" s="9"/>
      <c r="B459" s="9"/>
      <c r="C459" s="9"/>
      <c r="D459" s="15"/>
      <c r="E459" s="9"/>
      <c r="F459" s="15"/>
      <c r="G459" s="15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</row>
    <row r="460" spans="1:24" ht="19.5" customHeight="1" x14ac:dyDescent="0.25">
      <c r="A460" s="9"/>
      <c r="B460" s="9"/>
      <c r="C460" s="9"/>
      <c r="D460" s="15"/>
      <c r="E460" s="9"/>
      <c r="F460" s="15"/>
      <c r="G460" s="15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</row>
    <row r="461" spans="1:24" ht="19.5" customHeight="1" x14ac:dyDescent="0.25">
      <c r="A461" s="9"/>
      <c r="B461" s="9"/>
      <c r="C461" s="9"/>
      <c r="D461" s="15"/>
      <c r="E461" s="9"/>
      <c r="F461" s="15"/>
      <c r="G461" s="15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</row>
    <row r="462" spans="1:24" ht="19.5" customHeight="1" x14ac:dyDescent="0.25">
      <c r="A462" s="9"/>
      <c r="B462" s="9"/>
      <c r="C462" s="9"/>
      <c r="D462" s="15"/>
      <c r="E462" s="9"/>
      <c r="F462" s="15"/>
      <c r="G462" s="15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</row>
    <row r="463" spans="1:24" ht="19.5" customHeight="1" x14ac:dyDescent="0.25">
      <c r="A463" s="9"/>
      <c r="B463" s="9"/>
      <c r="C463" s="9"/>
      <c r="D463" s="15"/>
      <c r="E463" s="9"/>
      <c r="F463" s="15"/>
      <c r="G463" s="15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</row>
    <row r="464" spans="1:24" ht="19.5" customHeight="1" x14ac:dyDescent="0.25">
      <c r="A464" s="9"/>
      <c r="B464" s="9"/>
      <c r="C464" s="9"/>
      <c r="D464" s="15"/>
      <c r="E464" s="9"/>
      <c r="F464" s="15"/>
      <c r="G464" s="15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</row>
    <row r="465" spans="1:24" ht="19.5" customHeight="1" x14ac:dyDescent="0.25">
      <c r="A465" s="9"/>
      <c r="B465" s="9"/>
      <c r="C465" s="9"/>
      <c r="D465" s="15"/>
      <c r="E465" s="9"/>
      <c r="F465" s="15"/>
      <c r="G465" s="15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</row>
    <row r="466" spans="1:24" ht="19.5" customHeight="1" x14ac:dyDescent="0.25">
      <c r="A466" s="9"/>
      <c r="B466" s="9"/>
      <c r="C466" s="9"/>
      <c r="D466" s="15"/>
      <c r="E466" s="9"/>
      <c r="F466" s="15"/>
      <c r="G466" s="15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</row>
    <row r="467" spans="1:24" ht="19.5" customHeight="1" x14ac:dyDescent="0.25">
      <c r="A467" s="9"/>
      <c r="B467" s="9"/>
      <c r="C467" s="9"/>
      <c r="D467" s="15"/>
      <c r="E467" s="9"/>
      <c r="F467" s="15"/>
      <c r="G467" s="15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</row>
    <row r="468" spans="1:24" ht="19.5" customHeight="1" x14ac:dyDescent="0.25">
      <c r="A468" s="9"/>
      <c r="B468" s="9"/>
      <c r="C468" s="9"/>
      <c r="D468" s="15"/>
      <c r="E468" s="9"/>
      <c r="F468" s="15"/>
      <c r="G468" s="15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</row>
    <row r="469" spans="1:24" ht="19.5" customHeight="1" x14ac:dyDescent="0.25">
      <c r="A469" s="9"/>
      <c r="B469" s="9"/>
      <c r="C469" s="9"/>
      <c r="D469" s="15"/>
      <c r="E469" s="9"/>
      <c r="F469" s="15"/>
      <c r="G469" s="15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</row>
    <row r="470" spans="1:24" ht="19.5" customHeight="1" x14ac:dyDescent="0.25">
      <c r="A470" s="9"/>
      <c r="B470" s="9"/>
      <c r="C470" s="9"/>
      <c r="D470" s="15"/>
      <c r="E470" s="9"/>
      <c r="F470" s="15"/>
      <c r="G470" s="15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</row>
    <row r="471" spans="1:24" ht="19.5" customHeight="1" x14ac:dyDescent="0.25">
      <c r="A471" s="9"/>
      <c r="B471" s="9"/>
      <c r="C471" s="9"/>
      <c r="D471" s="15"/>
      <c r="E471" s="9"/>
      <c r="F471" s="15"/>
      <c r="G471" s="15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</row>
    <row r="472" spans="1:24" ht="19.5" customHeight="1" x14ac:dyDescent="0.25">
      <c r="A472" s="9"/>
      <c r="B472" s="9"/>
      <c r="C472" s="9"/>
      <c r="D472" s="15"/>
      <c r="E472" s="9"/>
      <c r="F472" s="15"/>
      <c r="G472" s="15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</row>
    <row r="473" spans="1:24" ht="19.5" customHeight="1" x14ac:dyDescent="0.25">
      <c r="A473" s="9"/>
      <c r="B473" s="9"/>
      <c r="C473" s="9"/>
      <c r="D473" s="15"/>
      <c r="E473" s="9"/>
      <c r="F473" s="15"/>
      <c r="G473" s="15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</row>
    <row r="474" spans="1:24" ht="19.5" customHeight="1" x14ac:dyDescent="0.25">
      <c r="A474" s="9"/>
      <c r="B474" s="9"/>
      <c r="C474" s="9"/>
      <c r="D474" s="15"/>
      <c r="E474" s="9"/>
      <c r="F474" s="15"/>
      <c r="G474" s="15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</row>
    <row r="475" spans="1:24" ht="19.5" customHeight="1" x14ac:dyDescent="0.25">
      <c r="A475" s="9"/>
      <c r="B475" s="9"/>
      <c r="C475" s="9"/>
      <c r="D475" s="15"/>
      <c r="E475" s="9"/>
      <c r="F475" s="15"/>
      <c r="G475" s="15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</row>
    <row r="476" spans="1:24" ht="19.5" customHeight="1" x14ac:dyDescent="0.25">
      <c r="A476" s="9"/>
      <c r="B476" s="9"/>
      <c r="C476" s="9"/>
      <c r="D476" s="15"/>
      <c r="E476" s="9"/>
      <c r="F476" s="15"/>
      <c r="G476" s="15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r="477" spans="1:24" ht="19.5" customHeight="1" x14ac:dyDescent="0.25">
      <c r="A477" s="9"/>
      <c r="B477" s="9"/>
      <c r="C477" s="9"/>
      <c r="D477" s="15"/>
      <c r="E477" s="9"/>
      <c r="F477" s="15"/>
      <c r="G477" s="15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</row>
    <row r="478" spans="1:24" ht="19.5" customHeight="1" x14ac:dyDescent="0.25">
      <c r="A478" s="9"/>
      <c r="B478" s="9"/>
      <c r="C478" s="9"/>
      <c r="D478" s="15"/>
      <c r="E478" s="9"/>
      <c r="F478" s="15"/>
      <c r="G478" s="15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</row>
    <row r="479" spans="1:24" ht="19.5" customHeight="1" x14ac:dyDescent="0.25">
      <c r="A479" s="9"/>
      <c r="B479" s="9"/>
      <c r="C479" s="9"/>
      <c r="D479" s="15"/>
      <c r="E479" s="9"/>
      <c r="F479" s="15"/>
      <c r="G479" s="15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</row>
    <row r="480" spans="1:24" ht="19.5" customHeight="1" x14ac:dyDescent="0.25">
      <c r="A480" s="9"/>
      <c r="B480" s="9"/>
      <c r="C480" s="9"/>
      <c r="D480" s="15"/>
      <c r="E480" s="9"/>
      <c r="F480" s="15"/>
      <c r="G480" s="15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</row>
    <row r="481" spans="1:24" ht="19.5" customHeight="1" x14ac:dyDescent="0.25">
      <c r="A481" s="9"/>
      <c r="B481" s="9"/>
      <c r="C481" s="9"/>
      <c r="D481" s="15"/>
      <c r="E481" s="9"/>
      <c r="F481" s="15"/>
      <c r="G481" s="15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</row>
    <row r="482" spans="1:24" ht="19.5" customHeight="1" x14ac:dyDescent="0.25">
      <c r="A482" s="9"/>
      <c r="B482" s="9"/>
      <c r="C482" s="9"/>
      <c r="D482" s="15"/>
      <c r="E482" s="9"/>
      <c r="F482" s="15"/>
      <c r="G482" s="15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</row>
    <row r="483" spans="1:24" ht="19.5" customHeight="1" x14ac:dyDescent="0.25">
      <c r="A483" s="9"/>
      <c r="B483" s="9"/>
      <c r="C483" s="9"/>
      <c r="D483" s="15"/>
      <c r="E483" s="9"/>
      <c r="F483" s="15"/>
      <c r="G483" s="15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</row>
    <row r="484" spans="1:24" ht="19.5" customHeight="1" x14ac:dyDescent="0.25">
      <c r="A484" s="9"/>
      <c r="B484" s="9"/>
      <c r="C484" s="9"/>
      <c r="D484" s="15"/>
      <c r="E484" s="9"/>
      <c r="F484" s="15"/>
      <c r="G484" s="15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</row>
    <row r="485" spans="1:24" ht="19.5" customHeight="1" x14ac:dyDescent="0.25">
      <c r="A485" s="9"/>
      <c r="B485" s="9"/>
      <c r="C485" s="9"/>
      <c r="D485" s="15"/>
      <c r="E485" s="9"/>
      <c r="F485" s="15"/>
      <c r="G485" s="15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</row>
    <row r="486" spans="1:24" ht="19.5" customHeight="1" x14ac:dyDescent="0.25">
      <c r="A486" s="9"/>
      <c r="B486" s="9"/>
      <c r="C486" s="9"/>
      <c r="D486" s="15"/>
      <c r="E486" s="9"/>
      <c r="F486" s="15"/>
      <c r="G486" s="15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</row>
    <row r="487" spans="1:24" ht="19.5" customHeight="1" x14ac:dyDescent="0.25">
      <c r="A487" s="9"/>
      <c r="B487" s="9"/>
      <c r="C487" s="9"/>
      <c r="D487" s="15"/>
      <c r="E487" s="9"/>
      <c r="F487" s="15"/>
      <c r="G487" s="15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</row>
    <row r="488" spans="1:24" ht="19.5" customHeight="1" x14ac:dyDescent="0.25">
      <c r="A488" s="9"/>
      <c r="B488" s="9"/>
      <c r="C488" s="9"/>
      <c r="D488" s="15"/>
      <c r="E488" s="9"/>
      <c r="F488" s="15"/>
      <c r="G488" s="15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</row>
    <row r="489" spans="1:24" ht="19.5" customHeight="1" x14ac:dyDescent="0.25">
      <c r="A489" s="9"/>
      <c r="B489" s="9"/>
      <c r="C489" s="9"/>
      <c r="D489" s="15"/>
      <c r="E489" s="9"/>
      <c r="F489" s="15"/>
      <c r="G489" s="15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</row>
    <row r="490" spans="1:24" ht="19.5" customHeight="1" x14ac:dyDescent="0.25">
      <c r="A490" s="9"/>
      <c r="B490" s="9"/>
      <c r="C490" s="9"/>
      <c r="D490" s="15"/>
      <c r="E490" s="9"/>
      <c r="F490" s="15"/>
      <c r="G490" s="15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</row>
    <row r="491" spans="1:24" ht="19.5" customHeight="1" x14ac:dyDescent="0.25">
      <c r="A491" s="9"/>
      <c r="B491" s="9"/>
      <c r="C491" s="9"/>
      <c r="D491" s="15"/>
      <c r="E491" s="9"/>
      <c r="F491" s="15"/>
      <c r="G491" s="15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</row>
    <row r="492" spans="1:24" ht="19.5" customHeight="1" x14ac:dyDescent="0.25">
      <c r="A492" s="9"/>
      <c r="B492" s="9"/>
      <c r="C492" s="9"/>
      <c r="D492" s="15"/>
      <c r="E492" s="9"/>
      <c r="F492" s="15"/>
      <c r="G492" s="15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</row>
    <row r="493" spans="1:24" ht="19.5" customHeight="1" x14ac:dyDescent="0.25">
      <c r="A493" s="9"/>
      <c r="B493" s="9"/>
      <c r="C493" s="9"/>
      <c r="D493" s="15"/>
      <c r="E493" s="9"/>
      <c r="F493" s="15"/>
      <c r="G493" s="15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</row>
    <row r="494" spans="1:24" ht="19.5" customHeight="1" x14ac:dyDescent="0.25">
      <c r="A494" s="9"/>
      <c r="B494" s="9"/>
      <c r="C494" s="9"/>
      <c r="D494" s="15"/>
      <c r="E494" s="9"/>
      <c r="F494" s="15"/>
      <c r="G494" s="15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</row>
    <row r="495" spans="1:24" ht="19.5" customHeight="1" x14ac:dyDescent="0.25">
      <c r="A495" s="9"/>
      <c r="B495" s="9"/>
      <c r="C495" s="9"/>
      <c r="D495" s="15"/>
      <c r="E495" s="9"/>
      <c r="F495" s="15"/>
      <c r="G495" s="15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</row>
    <row r="496" spans="1:24" ht="19.5" customHeight="1" x14ac:dyDescent="0.25">
      <c r="A496" s="9"/>
      <c r="B496" s="9"/>
      <c r="C496" s="9"/>
      <c r="D496" s="15"/>
      <c r="E496" s="9"/>
      <c r="F496" s="15"/>
      <c r="G496" s="15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</row>
    <row r="497" spans="1:24" ht="19.5" customHeight="1" x14ac:dyDescent="0.25">
      <c r="A497" s="9"/>
      <c r="B497" s="9"/>
      <c r="C497" s="9"/>
      <c r="D497" s="15"/>
      <c r="E497" s="9"/>
      <c r="F497" s="15"/>
      <c r="G497" s="15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</row>
    <row r="498" spans="1:24" ht="19.5" customHeight="1" x14ac:dyDescent="0.25">
      <c r="A498" s="9"/>
      <c r="B498" s="9"/>
      <c r="C498" s="9"/>
      <c r="D498" s="15"/>
      <c r="E498" s="9"/>
      <c r="F498" s="15"/>
      <c r="G498" s="15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</row>
    <row r="499" spans="1:24" ht="19.5" customHeight="1" x14ac:dyDescent="0.25">
      <c r="A499" s="9"/>
      <c r="B499" s="9"/>
      <c r="C499" s="9"/>
      <c r="D499" s="15"/>
      <c r="E499" s="9"/>
      <c r="F499" s="15"/>
      <c r="G499" s="15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</row>
    <row r="500" spans="1:24" ht="19.5" customHeight="1" x14ac:dyDescent="0.25">
      <c r="A500" s="9"/>
      <c r="B500" s="9"/>
      <c r="C500" s="9"/>
      <c r="D500" s="15"/>
      <c r="E500" s="9"/>
      <c r="F500" s="15"/>
      <c r="G500" s="15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</row>
    <row r="501" spans="1:24" ht="19.5" customHeight="1" x14ac:dyDescent="0.25">
      <c r="A501" s="9"/>
      <c r="B501" s="9"/>
      <c r="C501" s="9"/>
      <c r="D501" s="15"/>
      <c r="E501" s="9"/>
      <c r="F501" s="15"/>
      <c r="G501" s="15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</row>
    <row r="502" spans="1:24" ht="19.5" customHeight="1" x14ac:dyDescent="0.25">
      <c r="A502" s="9"/>
      <c r="B502" s="9"/>
      <c r="C502" s="9"/>
      <c r="D502" s="15"/>
      <c r="E502" s="9"/>
      <c r="F502" s="15"/>
      <c r="G502" s="15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</row>
    <row r="503" spans="1:24" ht="19.5" customHeight="1" x14ac:dyDescent="0.25">
      <c r="A503" s="9"/>
      <c r="B503" s="9"/>
      <c r="C503" s="9"/>
      <c r="D503" s="15"/>
      <c r="E503" s="9"/>
      <c r="F503" s="15"/>
      <c r="G503" s="15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</row>
    <row r="504" spans="1:24" ht="19.5" customHeight="1" x14ac:dyDescent="0.25">
      <c r="A504" s="9"/>
      <c r="B504" s="9"/>
      <c r="C504" s="9"/>
      <c r="D504" s="15"/>
      <c r="E504" s="9"/>
      <c r="F504" s="15"/>
      <c r="G504" s="15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</row>
    <row r="505" spans="1:24" ht="19.5" customHeight="1" x14ac:dyDescent="0.25">
      <c r="A505" s="9"/>
      <c r="B505" s="9"/>
      <c r="C505" s="9"/>
      <c r="D505" s="15"/>
      <c r="E505" s="9"/>
      <c r="F505" s="15"/>
      <c r="G505" s="15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</row>
    <row r="506" spans="1:24" ht="19.5" customHeight="1" x14ac:dyDescent="0.25">
      <c r="A506" s="9"/>
      <c r="B506" s="9"/>
      <c r="C506" s="9"/>
      <c r="D506" s="15"/>
      <c r="E506" s="9"/>
      <c r="F506" s="15"/>
      <c r="G506" s="15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</row>
    <row r="507" spans="1:24" ht="19.5" customHeight="1" x14ac:dyDescent="0.25">
      <c r="A507" s="9"/>
      <c r="B507" s="9"/>
      <c r="C507" s="9"/>
      <c r="D507" s="15"/>
      <c r="E507" s="9"/>
      <c r="F507" s="15"/>
      <c r="G507" s="15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</row>
    <row r="508" spans="1:24" ht="19.5" customHeight="1" x14ac:dyDescent="0.25">
      <c r="A508" s="9"/>
      <c r="B508" s="9"/>
      <c r="C508" s="9"/>
      <c r="D508" s="15"/>
      <c r="E508" s="9"/>
      <c r="F508" s="15"/>
      <c r="G508" s="15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</row>
    <row r="509" spans="1:24" ht="19.5" customHeight="1" x14ac:dyDescent="0.25">
      <c r="A509" s="9"/>
      <c r="B509" s="9"/>
      <c r="C509" s="9"/>
      <c r="D509" s="15"/>
      <c r="E509" s="9"/>
      <c r="F509" s="15"/>
      <c r="G509" s="15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</row>
    <row r="510" spans="1:24" ht="19.5" customHeight="1" x14ac:dyDescent="0.25">
      <c r="A510" s="9"/>
      <c r="B510" s="9"/>
      <c r="C510" s="9"/>
      <c r="D510" s="15"/>
      <c r="E510" s="9"/>
      <c r="F510" s="15"/>
      <c r="G510" s="15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</row>
    <row r="511" spans="1:24" ht="19.5" customHeight="1" x14ac:dyDescent="0.25">
      <c r="A511" s="9"/>
      <c r="B511" s="9"/>
      <c r="C511" s="9"/>
      <c r="D511" s="15"/>
      <c r="E511" s="9"/>
      <c r="F511" s="15"/>
      <c r="G511" s="15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</row>
    <row r="512" spans="1:24" ht="19.5" customHeight="1" x14ac:dyDescent="0.25">
      <c r="A512" s="9"/>
      <c r="B512" s="9"/>
      <c r="C512" s="9"/>
      <c r="D512" s="15"/>
      <c r="E512" s="9"/>
      <c r="F512" s="15"/>
      <c r="G512" s="15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</row>
    <row r="513" spans="1:24" ht="19.5" customHeight="1" x14ac:dyDescent="0.25">
      <c r="A513" s="9"/>
      <c r="B513" s="9"/>
      <c r="C513" s="9"/>
      <c r="D513" s="15"/>
      <c r="E513" s="9"/>
      <c r="F513" s="15"/>
      <c r="G513" s="15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</row>
    <row r="514" spans="1:24" ht="19.5" customHeight="1" x14ac:dyDescent="0.25">
      <c r="A514" s="9"/>
      <c r="B514" s="9"/>
      <c r="C514" s="9"/>
      <c r="D514" s="15"/>
      <c r="E514" s="9"/>
      <c r="F514" s="15"/>
      <c r="G514" s="15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</row>
    <row r="515" spans="1:24" ht="19.5" customHeight="1" x14ac:dyDescent="0.25">
      <c r="A515" s="9"/>
      <c r="B515" s="9"/>
      <c r="C515" s="9"/>
      <c r="D515" s="15"/>
      <c r="E515" s="9"/>
      <c r="F515" s="15"/>
      <c r="G515" s="15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</row>
    <row r="516" spans="1:24" ht="19.5" customHeight="1" x14ac:dyDescent="0.25">
      <c r="A516" s="9"/>
      <c r="B516" s="9"/>
      <c r="C516" s="9"/>
      <c r="D516" s="15"/>
      <c r="E516" s="9"/>
      <c r="F516" s="15"/>
      <c r="G516" s="15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</row>
    <row r="517" spans="1:24" ht="19.5" customHeight="1" x14ac:dyDescent="0.25">
      <c r="A517" s="9"/>
      <c r="B517" s="9"/>
      <c r="C517" s="9"/>
      <c r="D517" s="15"/>
      <c r="E517" s="9"/>
      <c r="F517" s="15"/>
      <c r="G517" s="15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</row>
    <row r="518" spans="1:24" ht="19.5" customHeight="1" x14ac:dyDescent="0.25">
      <c r="A518" s="9"/>
      <c r="B518" s="9"/>
      <c r="C518" s="9"/>
      <c r="D518" s="15"/>
      <c r="E518" s="9"/>
      <c r="F518" s="15"/>
      <c r="G518" s="15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</row>
    <row r="519" spans="1:24" ht="19.5" customHeight="1" x14ac:dyDescent="0.25">
      <c r="A519" s="9"/>
      <c r="B519" s="9"/>
      <c r="C519" s="9"/>
      <c r="D519" s="15"/>
      <c r="E519" s="9"/>
      <c r="F519" s="15"/>
      <c r="G519" s="15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</row>
    <row r="520" spans="1:24" ht="19.5" customHeight="1" x14ac:dyDescent="0.25">
      <c r="A520" s="9"/>
      <c r="B520" s="9"/>
      <c r="C520" s="9"/>
      <c r="D520" s="15"/>
      <c r="E520" s="9"/>
      <c r="F520" s="15"/>
      <c r="G520" s="15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</row>
    <row r="521" spans="1:24" ht="19.5" customHeight="1" x14ac:dyDescent="0.25">
      <c r="A521" s="9"/>
      <c r="B521" s="9"/>
      <c r="C521" s="9"/>
      <c r="D521" s="15"/>
      <c r="E521" s="9"/>
      <c r="F521" s="15"/>
      <c r="G521" s="15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</row>
    <row r="522" spans="1:24" ht="19.5" customHeight="1" x14ac:dyDescent="0.25">
      <c r="A522" s="9"/>
      <c r="B522" s="9"/>
      <c r="C522" s="9"/>
      <c r="D522" s="15"/>
      <c r="E522" s="9"/>
      <c r="F522" s="15"/>
      <c r="G522" s="15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</row>
    <row r="523" spans="1:24" ht="19.5" customHeight="1" x14ac:dyDescent="0.25">
      <c r="A523" s="9"/>
      <c r="B523" s="9"/>
      <c r="C523" s="9"/>
      <c r="D523" s="15"/>
      <c r="E523" s="9"/>
      <c r="F523" s="15"/>
      <c r="G523" s="15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</row>
    <row r="524" spans="1:24" ht="19.5" customHeight="1" x14ac:dyDescent="0.25">
      <c r="A524" s="9"/>
      <c r="B524" s="9"/>
      <c r="C524" s="9"/>
      <c r="D524" s="15"/>
      <c r="E524" s="9"/>
      <c r="F524" s="15"/>
      <c r="G524" s="15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</row>
    <row r="525" spans="1:24" ht="19.5" customHeight="1" x14ac:dyDescent="0.25">
      <c r="A525" s="9"/>
      <c r="B525" s="9"/>
      <c r="C525" s="9"/>
      <c r="D525" s="15"/>
      <c r="E525" s="9"/>
      <c r="F525" s="15"/>
      <c r="G525" s="15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</row>
    <row r="526" spans="1:24" ht="19.5" customHeight="1" x14ac:dyDescent="0.25">
      <c r="A526" s="9"/>
      <c r="B526" s="9"/>
      <c r="C526" s="9"/>
      <c r="D526" s="15"/>
      <c r="E526" s="9"/>
      <c r="F526" s="15"/>
      <c r="G526" s="15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</row>
    <row r="527" spans="1:24" ht="19.5" customHeight="1" x14ac:dyDescent="0.25">
      <c r="A527" s="9"/>
      <c r="B527" s="9"/>
      <c r="C527" s="9"/>
      <c r="D527" s="15"/>
      <c r="E527" s="9"/>
      <c r="F527" s="15"/>
      <c r="G527" s="15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</row>
    <row r="528" spans="1:24" ht="19.5" customHeight="1" x14ac:dyDescent="0.25">
      <c r="A528" s="9"/>
      <c r="B528" s="9"/>
      <c r="C528" s="9"/>
      <c r="D528" s="15"/>
      <c r="E528" s="9"/>
      <c r="F528" s="15"/>
      <c r="G528" s="15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</row>
    <row r="529" spans="1:24" ht="19.5" customHeight="1" x14ac:dyDescent="0.25">
      <c r="A529" s="9"/>
      <c r="B529" s="9"/>
      <c r="C529" s="9"/>
      <c r="D529" s="15"/>
      <c r="E529" s="9"/>
      <c r="F529" s="15"/>
      <c r="G529" s="15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</row>
    <row r="530" spans="1:24" ht="19.5" customHeight="1" x14ac:dyDescent="0.25">
      <c r="A530" s="9"/>
      <c r="B530" s="9"/>
      <c r="C530" s="9"/>
      <c r="D530" s="15"/>
      <c r="E530" s="9"/>
      <c r="F530" s="15"/>
      <c r="G530" s="15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</row>
    <row r="531" spans="1:24" ht="19.5" customHeight="1" x14ac:dyDescent="0.25">
      <c r="A531" s="9"/>
      <c r="B531" s="9"/>
      <c r="C531" s="9"/>
      <c r="D531" s="15"/>
      <c r="E531" s="9"/>
      <c r="F531" s="15"/>
      <c r="G531" s="15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</row>
    <row r="532" spans="1:24" ht="19.5" customHeight="1" x14ac:dyDescent="0.25">
      <c r="A532" s="9"/>
      <c r="B532" s="9"/>
      <c r="C532" s="9"/>
      <c r="D532" s="15"/>
      <c r="E532" s="9"/>
      <c r="F532" s="15"/>
      <c r="G532" s="15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</row>
    <row r="533" spans="1:24" ht="19.5" customHeight="1" x14ac:dyDescent="0.25">
      <c r="A533" s="9"/>
      <c r="B533" s="9"/>
      <c r="C533" s="9"/>
      <c r="D533" s="15"/>
      <c r="E533" s="9"/>
      <c r="F533" s="15"/>
      <c r="G533" s="15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</row>
    <row r="534" spans="1:24" ht="19.5" customHeight="1" x14ac:dyDescent="0.25">
      <c r="A534" s="9"/>
      <c r="B534" s="9"/>
      <c r="C534" s="9"/>
      <c r="D534" s="15"/>
      <c r="E534" s="9"/>
      <c r="F534" s="15"/>
      <c r="G534" s="15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</row>
    <row r="535" spans="1:24" ht="19.5" customHeight="1" x14ac:dyDescent="0.25">
      <c r="A535" s="9"/>
      <c r="B535" s="9"/>
      <c r="C535" s="9"/>
      <c r="D535" s="15"/>
      <c r="E535" s="9"/>
      <c r="F535" s="15"/>
      <c r="G535" s="15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</row>
    <row r="536" spans="1:24" ht="19.5" customHeight="1" x14ac:dyDescent="0.25">
      <c r="A536" s="9"/>
      <c r="B536" s="9"/>
      <c r="C536" s="9"/>
      <c r="D536" s="15"/>
      <c r="E536" s="9"/>
      <c r="F536" s="15"/>
      <c r="G536" s="15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</row>
    <row r="537" spans="1:24" ht="19.5" customHeight="1" x14ac:dyDescent="0.25">
      <c r="A537" s="9"/>
      <c r="B537" s="9"/>
      <c r="C537" s="9"/>
      <c r="D537" s="15"/>
      <c r="E537" s="9"/>
      <c r="F537" s="15"/>
      <c r="G537" s="15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</row>
    <row r="538" spans="1:24" ht="19.5" customHeight="1" x14ac:dyDescent="0.25">
      <c r="A538" s="9"/>
      <c r="B538" s="9"/>
      <c r="C538" s="9"/>
      <c r="D538" s="15"/>
      <c r="E538" s="9"/>
      <c r="F538" s="15"/>
      <c r="G538" s="15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</row>
    <row r="539" spans="1:24" ht="19.5" customHeight="1" x14ac:dyDescent="0.25">
      <c r="A539" s="9"/>
      <c r="B539" s="9"/>
      <c r="C539" s="9"/>
      <c r="D539" s="15"/>
      <c r="E539" s="9"/>
      <c r="F539" s="15"/>
      <c r="G539" s="15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</row>
    <row r="540" spans="1:24" ht="19.5" customHeight="1" x14ac:dyDescent="0.25">
      <c r="A540" s="9"/>
      <c r="B540" s="9"/>
      <c r="C540" s="9"/>
      <c r="D540" s="15"/>
      <c r="E540" s="9"/>
      <c r="F540" s="15"/>
      <c r="G540" s="15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</row>
    <row r="541" spans="1:24" ht="19.5" customHeight="1" x14ac:dyDescent="0.25">
      <c r="A541" s="9"/>
      <c r="B541" s="9"/>
      <c r="C541" s="9"/>
      <c r="D541" s="15"/>
      <c r="E541" s="9"/>
      <c r="F541" s="15"/>
      <c r="G541" s="15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</row>
    <row r="542" spans="1:24" ht="19.5" customHeight="1" x14ac:dyDescent="0.25">
      <c r="A542" s="9"/>
      <c r="B542" s="9"/>
      <c r="C542" s="9"/>
      <c r="D542" s="15"/>
      <c r="E542" s="9"/>
      <c r="F542" s="15"/>
      <c r="G542" s="15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</row>
    <row r="543" spans="1:24" ht="19.5" customHeight="1" x14ac:dyDescent="0.25">
      <c r="A543" s="9"/>
      <c r="B543" s="9"/>
      <c r="C543" s="9"/>
      <c r="D543" s="15"/>
      <c r="E543" s="9"/>
      <c r="F543" s="15"/>
      <c r="G543" s="15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</row>
    <row r="544" spans="1:24" ht="19.5" customHeight="1" x14ac:dyDescent="0.25">
      <c r="A544" s="9"/>
      <c r="B544" s="9"/>
      <c r="C544" s="9"/>
      <c r="D544" s="15"/>
      <c r="E544" s="9"/>
      <c r="F544" s="15"/>
      <c r="G544" s="15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</row>
    <row r="545" spans="1:24" ht="19.5" customHeight="1" x14ac:dyDescent="0.25">
      <c r="A545" s="9"/>
      <c r="B545" s="9"/>
      <c r="C545" s="9"/>
      <c r="D545" s="15"/>
      <c r="E545" s="9"/>
      <c r="F545" s="15"/>
      <c r="G545" s="15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</row>
    <row r="546" spans="1:24" ht="19.5" customHeight="1" x14ac:dyDescent="0.25">
      <c r="A546" s="9"/>
      <c r="B546" s="9"/>
      <c r="C546" s="9"/>
      <c r="D546" s="15"/>
      <c r="E546" s="9"/>
      <c r="F546" s="15"/>
      <c r="G546" s="15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</row>
    <row r="547" spans="1:24" ht="19.5" customHeight="1" x14ac:dyDescent="0.25">
      <c r="A547" s="9"/>
      <c r="B547" s="9"/>
      <c r="C547" s="9"/>
      <c r="D547" s="15"/>
      <c r="E547" s="9"/>
      <c r="F547" s="15"/>
      <c r="G547" s="15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</row>
    <row r="548" spans="1:24" ht="19.5" customHeight="1" x14ac:dyDescent="0.25">
      <c r="A548" s="9"/>
      <c r="B548" s="9"/>
      <c r="C548" s="9"/>
      <c r="D548" s="15"/>
      <c r="E548" s="9"/>
      <c r="F548" s="15"/>
      <c r="G548" s="15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</row>
    <row r="549" spans="1:24" ht="19.5" customHeight="1" x14ac:dyDescent="0.25">
      <c r="A549" s="9"/>
      <c r="B549" s="9"/>
      <c r="C549" s="9"/>
      <c r="D549" s="15"/>
      <c r="E549" s="9"/>
      <c r="F549" s="15"/>
      <c r="G549" s="15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</row>
    <row r="550" spans="1:24" ht="19.5" customHeight="1" x14ac:dyDescent="0.25">
      <c r="A550" s="9"/>
      <c r="B550" s="9"/>
      <c r="C550" s="9"/>
      <c r="D550" s="15"/>
      <c r="E550" s="9"/>
      <c r="F550" s="15"/>
      <c r="G550" s="15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</row>
    <row r="551" spans="1:24" ht="19.5" customHeight="1" x14ac:dyDescent="0.25">
      <c r="A551" s="9"/>
      <c r="B551" s="9"/>
      <c r="C551" s="9"/>
      <c r="D551" s="15"/>
      <c r="E551" s="9"/>
      <c r="F551" s="15"/>
      <c r="G551" s="15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</row>
    <row r="552" spans="1:24" ht="19.5" customHeight="1" x14ac:dyDescent="0.25">
      <c r="A552" s="9"/>
      <c r="B552" s="9"/>
      <c r="C552" s="9"/>
      <c r="D552" s="15"/>
      <c r="E552" s="9"/>
      <c r="F552" s="15"/>
      <c r="G552" s="15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</row>
    <row r="553" spans="1:24" ht="19.5" customHeight="1" x14ac:dyDescent="0.25">
      <c r="A553" s="9"/>
      <c r="B553" s="9"/>
      <c r="C553" s="9"/>
      <c r="D553" s="15"/>
      <c r="E553" s="9"/>
      <c r="F553" s="15"/>
      <c r="G553" s="15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</row>
    <row r="554" spans="1:24" ht="19.5" customHeight="1" x14ac:dyDescent="0.25">
      <c r="A554" s="9"/>
      <c r="B554" s="9"/>
      <c r="C554" s="9"/>
      <c r="D554" s="15"/>
      <c r="E554" s="9"/>
      <c r="F554" s="15"/>
      <c r="G554" s="15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</row>
    <row r="555" spans="1:24" ht="19.5" customHeight="1" x14ac:dyDescent="0.25">
      <c r="A555" s="9"/>
      <c r="B555" s="9"/>
      <c r="C555" s="9"/>
      <c r="D555" s="15"/>
      <c r="E555" s="9"/>
      <c r="F555" s="15"/>
      <c r="G555" s="15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</row>
    <row r="556" spans="1:24" ht="19.5" customHeight="1" x14ac:dyDescent="0.25">
      <c r="A556" s="9"/>
      <c r="B556" s="9"/>
      <c r="C556" s="9"/>
      <c r="D556" s="15"/>
      <c r="E556" s="9"/>
      <c r="F556" s="15"/>
      <c r="G556" s="15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</row>
    <row r="557" spans="1:24" ht="19.5" customHeight="1" x14ac:dyDescent="0.25">
      <c r="A557" s="9"/>
      <c r="B557" s="9"/>
      <c r="C557" s="9"/>
      <c r="D557" s="15"/>
      <c r="E557" s="9"/>
      <c r="F557" s="15"/>
      <c r="G557" s="15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</row>
    <row r="558" spans="1:24" ht="19.5" customHeight="1" x14ac:dyDescent="0.25">
      <c r="A558" s="9"/>
      <c r="B558" s="9"/>
      <c r="C558" s="9"/>
      <c r="D558" s="15"/>
      <c r="E558" s="9"/>
      <c r="F558" s="15"/>
      <c r="G558" s="15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</row>
    <row r="559" spans="1:24" ht="19.5" customHeight="1" x14ac:dyDescent="0.25">
      <c r="A559" s="9"/>
      <c r="B559" s="9"/>
      <c r="C559" s="9"/>
      <c r="D559" s="15"/>
      <c r="E559" s="9"/>
      <c r="F559" s="15"/>
      <c r="G559" s="15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</row>
    <row r="560" spans="1:24" ht="19.5" customHeight="1" x14ac:dyDescent="0.25">
      <c r="A560" s="9"/>
      <c r="B560" s="9"/>
      <c r="C560" s="9"/>
      <c r="D560" s="15"/>
      <c r="E560" s="9"/>
      <c r="F560" s="15"/>
      <c r="G560" s="15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</row>
    <row r="561" spans="1:24" ht="19.5" customHeight="1" x14ac:dyDescent="0.25">
      <c r="A561" s="9"/>
      <c r="B561" s="9"/>
      <c r="C561" s="9"/>
      <c r="D561" s="15"/>
      <c r="E561" s="9"/>
      <c r="F561" s="15"/>
      <c r="G561" s="15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</row>
    <row r="562" spans="1:24" ht="19.5" customHeight="1" x14ac:dyDescent="0.25">
      <c r="A562" s="9"/>
      <c r="B562" s="9"/>
      <c r="C562" s="9"/>
      <c r="D562" s="15"/>
      <c r="E562" s="9"/>
      <c r="F562" s="15"/>
      <c r="G562" s="15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</row>
    <row r="563" spans="1:24" ht="19.5" customHeight="1" x14ac:dyDescent="0.25">
      <c r="A563" s="9"/>
      <c r="B563" s="9"/>
      <c r="C563" s="9"/>
      <c r="D563" s="15"/>
      <c r="E563" s="9"/>
      <c r="F563" s="15"/>
      <c r="G563" s="15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</row>
    <row r="564" spans="1:24" ht="19.5" customHeight="1" x14ac:dyDescent="0.25">
      <c r="A564" s="9"/>
      <c r="B564" s="9"/>
      <c r="C564" s="9"/>
      <c r="D564" s="15"/>
      <c r="E564" s="9"/>
      <c r="F564" s="15"/>
      <c r="G564" s="15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</row>
    <row r="565" spans="1:24" ht="19.5" customHeight="1" x14ac:dyDescent="0.25">
      <c r="A565" s="9"/>
      <c r="B565" s="9"/>
      <c r="C565" s="9"/>
      <c r="D565" s="15"/>
      <c r="E565" s="9"/>
      <c r="F565" s="15"/>
      <c r="G565" s="15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</row>
    <row r="566" spans="1:24" ht="19.5" customHeight="1" x14ac:dyDescent="0.25">
      <c r="A566" s="9"/>
      <c r="B566" s="9"/>
      <c r="C566" s="9"/>
      <c r="D566" s="15"/>
      <c r="E566" s="9"/>
      <c r="F566" s="15"/>
      <c r="G566" s="15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</row>
    <row r="567" spans="1:24" ht="19.5" customHeight="1" x14ac:dyDescent="0.25">
      <c r="A567" s="9"/>
      <c r="B567" s="9"/>
      <c r="C567" s="9"/>
      <c r="D567" s="15"/>
      <c r="E567" s="9"/>
      <c r="F567" s="15"/>
      <c r="G567" s="15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</row>
    <row r="568" spans="1:24" ht="19.5" customHeight="1" x14ac:dyDescent="0.25">
      <c r="A568" s="9"/>
      <c r="B568" s="9"/>
      <c r="C568" s="9"/>
      <c r="D568" s="15"/>
      <c r="E568" s="9"/>
      <c r="F568" s="15"/>
      <c r="G568" s="15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</row>
    <row r="569" spans="1:24" ht="19.5" customHeight="1" x14ac:dyDescent="0.25">
      <c r="A569" s="9"/>
      <c r="B569" s="9"/>
      <c r="C569" s="9"/>
      <c r="D569" s="15"/>
      <c r="E569" s="9"/>
      <c r="F569" s="15"/>
      <c r="G569" s="15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</row>
    <row r="570" spans="1:24" ht="19.5" customHeight="1" x14ac:dyDescent="0.25">
      <c r="A570" s="9"/>
      <c r="B570" s="9"/>
      <c r="C570" s="9"/>
      <c r="D570" s="15"/>
      <c r="E570" s="9"/>
      <c r="F570" s="15"/>
      <c r="G570" s="15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</row>
    <row r="571" spans="1:24" ht="19.5" customHeight="1" x14ac:dyDescent="0.25">
      <c r="A571" s="9"/>
      <c r="B571" s="9"/>
      <c r="C571" s="9"/>
      <c r="D571" s="15"/>
      <c r="E571" s="9"/>
      <c r="F571" s="15"/>
      <c r="G571" s="15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</row>
    <row r="572" spans="1:24" ht="19.5" customHeight="1" x14ac:dyDescent="0.25">
      <c r="A572" s="9"/>
      <c r="B572" s="9"/>
      <c r="C572" s="9"/>
      <c r="D572" s="15"/>
      <c r="E572" s="9"/>
      <c r="F572" s="15"/>
      <c r="G572" s="15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</row>
    <row r="573" spans="1:24" ht="19.5" customHeight="1" x14ac:dyDescent="0.25">
      <c r="A573" s="9"/>
      <c r="B573" s="9"/>
      <c r="C573" s="9"/>
      <c r="D573" s="15"/>
      <c r="E573" s="9"/>
      <c r="F573" s="15"/>
      <c r="G573" s="15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</row>
    <row r="574" spans="1:24" ht="19.5" customHeight="1" x14ac:dyDescent="0.25">
      <c r="A574" s="9"/>
      <c r="B574" s="9"/>
      <c r="C574" s="9"/>
      <c r="D574" s="15"/>
      <c r="E574" s="9"/>
      <c r="F574" s="15"/>
      <c r="G574" s="15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</row>
    <row r="575" spans="1:24" ht="19.5" customHeight="1" x14ac:dyDescent="0.25">
      <c r="A575" s="9"/>
      <c r="B575" s="9"/>
      <c r="C575" s="9"/>
      <c r="D575" s="15"/>
      <c r="E575" s="9"/>
      <c r="F575" s="15"/>
      <c r="G575" s="15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</row>
    <row r="576" spans="1:24" ht="19.5" customHeight="1" x14ac:dyDescent="0.25">
      <c r="A576" s="9"/>
      <c r="B576" s="9"/>
      <c r="C576" s="9"/>
      <c r="D576" s="15"/>
      <c r="E576" s="9"/>
      <c r="F576" s="15"/>
      <c r="G576" s="15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</row>
    <row r="577" spans="1:24" ht="19.5" customHeight="1" x14ac:dyDescent="0.25">
      <c r="A577" s="9"/>
      <c r="B577" s="9"/>
      <c r="C577" s="9"/>
      <c r="D577" s="15"/>
      <c r="E577" s="9"/>
      <c r="F577" s="15"/>
      <c r="G577" s="15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</row>
    <row r="578" spans="1:24" ht="19.5" customHeight="1" x14ac:dyDescent="0.25">
      <c r="A578" s="9"/>
      <c r="B578" s="9"/>
      <c r="C578" s="9"/>
      <c r="D578" s="15"/>
      <c r="E578" s="9"/>
      <c r="F578" s="15"/>
      <c r="G578" s="15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</row>
    <row r="579" spans="1:24" ht="19.5" customHeight="1" x14ac:dyDescent="0.25">
      <c r="A579" s="9"/>
      <c r="B579" s="9"/>
      <c r="C579" s="9"/>
      <c r="D579" s="15"/>
      <c r="E579" s="9"/>
      <c r="F579" s="15"/>
      <c r="G579" s="15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</row>
    <row r="580" spans="1:24" ht="19.5" customHeight="1" x14ac:dyDescent="0.25">
      <c r="A580" s="9"/>
      <c r="B580" s="9"/>
      <c r="C580" s="9"/>
      <c r="D580" s="15"/>
      <c r="E580" s="9"/>
      <c r="F580" s="15"/>
      <c r="G580" s="15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</row>
    <row r="581" spans="1:24" ht="19.5" customHeight="1" x14ac:dyDescent="0.25">
      <c r="A581" s="9"/>
      <c r="B581" s="9"/>
      <c r="C581" s="9"/>
      <c r="D581" s="15"/>
      <c r="E581" s="9"/>
      <c r="F581" s="15"/>
      <c r="G581" s="15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</row>
    <row r="582" spans="1:24" ht="19.5" customHeight="1" x14ac:dyDescent="0.25">
      <c r="A582" s="9"/>
      <c r="B582" s="9"/>
      <c r="C582" s="9"/>
      <c r="D582" s="15"/>
      <c r="E582" s="9"/>
      <c r="F582" s="15"/>
      <c r="G582" s="15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</row>
    <row r="583" spans="1:24" ht="19.5" customHeight="1" x14ac:dyDescent="0.25">
      <c r="A583" s="9"/>
      <c r="B583" s="9"/>
      <c r="C583" s="9"/>
      <c r="D583" s="15"/>
      <c r="E583" s="9"/>
      <c r="F583" s="15"/>
      <c r="G583" s="15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</row>
    <row r="584" spans="1:24" ht="19.5" customHeight="1" x14ac:dyDescent="0.25">
      <c r="A584" s="9"/>
      <c r="B584" s="9"/>
      <c r="C584" s="9"/>
      <c r="D584" s="15"/>
      <c r="E584" s="9"/>
      <c r="F584" s="15"/>
      <c r="G584" s="15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</row>
    <row r="585" spans="1:24" ht="19.5" customHeight="1" x14ac:dyDescent="0.25">
      <c r="A585" s="9"/>
      <c r="B585" s="9"/>
      <c r="C585" s="9"/>
      <c r="D585" s="15"/>
      <c r="E585" s="9"/>
      <c r="F585" s="15"/>
      <c r="G585" s="15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</row>
    <row r="586" spans="1:24" ht="19.5" customHeight="1" x14ac:dyDescent="0.25">
      <c r="A586" s="9"/>
      <c r="B586" s="9"/>
      <c r="C586" s="9"/>
      <c r="D586" s="15"/>
      <c r="E586" s="9"/>
      <c r="F586" s="15"/>
      <c r="G586" s="15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</row>
    <row r="587" spans="1:24" ht="19.5" customHeight="1" x14ac:dyDescent="0.25">
      <c r="A587" s="9"/>
      <c r="B587" s="9"/>
      <c r="C587" s="9"/>
      <c r="D587" s="15"/>
      <c r="E587" s="9"/>
      <c r="F587" s="15"/>
      <c r="G587" s="15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</row>
    <row r="588" spans="1:24" ht="19.5" customHeight="1" x14ac:dyDescent="0.25">
      <c r="A588" s="9"/>
      <c r="B588" s="9"/>
      <c r="C588" s="9"/>
      <c r="D588" s="15"/>
      <c r="E588" s="9"/>
      <c r="F588" s="15"/>
      <c r="G588" s="15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</row>
    <row r="589" spans="1:24" ht="19.5" customHeight="1" x14ac:dyDescent="0.25">
      <c r="A589" s="9"/>
      <c r="B589" s="9"/>
      <c r="C589" s="9"/>
      <c r="D589" s="15"/>
      <c r="E589" s="9"/>
      <c r="F589" s="15"/>
      <c r="G589" s="15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</row>
    <row r="590" spans="1:24" ht="19.5" customHeight="1" x14ac:dyDescent="0.25">
      <c r="A590" s="9"/>
      <c r="B590" s="9"/>
      <c r="C590" s="9"/>
      <c r="D590" s="15"/>
      <c r="E590" s="9"/>
      <c r="F590" s="15"/>
      <c r="G590" s="15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</row>
    <row r="591" spans="1:24" ht="19.5" customHeight="1" x14ac:dyDescent="0.25">
      <c r="A591" s="9"/>
      <c r="B591" s="9"/>
      <c r="C591" s="9"/>
      <c r="D591" s="15"/>
      <c r="E591" s="9"/>
      <c r="F591" s="15"/>
      <c r="G591" s="15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</row>
    <row r="592" spans="1:24" ht="19.5" customHeight="1" x14ac:dyDescent="0.25">
      <c r="A592" s="9"/>
      <c r="B592" s="9"/>
      <c r="C592" s="9"/>
      <c r="D592" s="15"/>
      <c r="E592" s="9"/>
      <c r="F592" s="15"/>
      <c r="G592" s="15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</row>
    <row r="593" spans="1:24" ht="19.5" customHeight="1" x14ac:dyDescent="0.25">
      <c r="A593" s="9"/>
      <c r="B593" s="9"/>
      <c r="C593" s="9"/>
      <c r="D593" s="15"/>
      <c r="E593" s="9"/>
      <c r="F593" s="15"/>
      <c r="G593" s="15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</row>
    <row r="594" spans="1:24" ht="19.5" customHeight="1" x14ac:dyDescent="0.25">
      <c r="A594" s="9"/>
      <c r="B594" s="9"/>
      <c r="C594" s="9"/>
      <c r="D594" s="15"/>
      <c r="E594" s="9"/>
      <c r="F594" s="15"/>
      <c r="G594" s="15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</row>
    <row r="595" spans="1:24" ht="19.5" customHeight="1" x14ac:dyDescent="0.25">
      <c r="A595" s="9"/>
      <c r="B595" s="9"/>
      <c r="C595" s="9"/>
      <c r="D595" s="15"/>
      <c r="E595" s="9"/>
      <c r="F595" s="15"/>
      <c r="G595" s="15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</row>
    <row r="596" spans="1:24" ht="19.5" customHeight="1" x14ac:dyDescent="0.25">
      <c r="A596" s="9"/>
      <c r="B596" s="9"/>
      <c r="C596" s="9"/>
      <c r="D596" s="15"/>
      <c r="E596" s="9"/>
      <c r="F596" s="15"/>
      <c r="G596" s="15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</row>
    <row r="597" spans="1:24" ht="19.5" customHeight="1" x14ac:dyDescent="0.25">
      <c r="A597" s="9"/>
      <c r="B597" s="9"/>
      <c r="C597" s="9"/>
      <c r="D597" s="15"/>
      <c r="E597" s="9"/>
      <c r="F597" s="15"/>
      <c r="G597" s="15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</row>
    <row r="598" spans="1:24" ht="19.5" customHeight="1" x14ac:dyDescent="0.25">
      <c r="A598" s="9"/>
      <c r="B598" s="9"/>
      <c r="C598" s="9"/>
      <c r="D598" s="15"/>
      <c r="E598" s="9"/>
      <c r="F598" s="15"/>
      <c r="G598" s="15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</row>
    <row r="599" spans="1:24" ht="19.5" customHeight="1" x14ac:dyDescent="0.25">
      <c r="A599" s="9"/>
      <c r="B599" s="9"/>
      <c r="C599" s="9"/>
      <c r="D599" s="15"/>
      <c r="E599" s="9"/>
      <c r="F599" s="15"/>
      <c r="G599" s="15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</row>
    <row r="600" spans="1:24" ht="19.5" customHeight="1" x14ac:dyDescent="0.25">
      <c r="A600" s="9"/>
      <c r="B600" s="9"/>
      <c r="C600" s="9"/>
      <c r="D600" s="15"/>
      <c r="E600" s="9"/>
      <c r="F600" s="15"/>
      <c r="G600" s="15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</row>
    <row r="601" spans="1:24" ht="19.5" customHeight="1" x14ac:dyDescent="0.25">
      <c r="A601" s="9"/>
      <c r="B601" s="9"/>
      <c r="C601" s="9"/>
      <c r="D601" s="15"/>
      <c r="E601" s="9"/>
      <c r="F601" s="15"/>
      <c r="G601" s="15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</row>
    <row r="602" spans="1:24" ht="19.5" customHeight="1" x14ac:dyDescent="0.25">
      <c r="A602" s="9"/>
      <c r="B602" s="9"/>
      <c r="C602" s="9"/>
      <c r="D602" s="15"/>
      <c r="E602" s="9"/>
      <c r="F602" s="15"/>
      <c r="G602" s="15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</row>
    <row r="603" spans="1:24" ht="19.5" customHeight="1" x14ac:dyDescent="0.25">
      <c r="A603" s="9"/>
      <c r="B603" s="9"/>
      <c r="C603" s="9"/>
      <c r="D603" s="15"/>
      <c r="E603" s="9"/>
      <c r="F603" s="15"/>
      <c r="G603" s="15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</row>
    <row r="604" spans="1:24" ht="19.5" customHeight="1" x14ac:dyDescent="0.25">
      <c r="A604" s="9"/>
      <c r="B604" s="9"/>
      <c r="C604" s="9"/>
      <c r="D604" s="15"/>
      <c r="E604" s="9"/>
      <c r="F604" s="15"/>
      <c r="G604" s="15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</row>
    <row r="605" spans="1:24" ht="19.5" customHeight="1" x14ac:dyDescent="0.25">
      <c r="A605" s="9"/>
      <c r="B605" s="9"/>
      <c r="C605" s="9"/>
      <c r="D605" s="15"/>
      <c r="E605" s="9"/>
      <c r="F605" s="15"/>
      <c r="G605" s="15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</row>
    <row r="606" spans="1:24" ht="19.5" customHeight="1" x14ac:dyDescent="0.25">
      <c r="A606" s="9"/>
      <c r="B606" s="9"/>
      <c r="C606" s="9"/>
      <c r="D606" s="15"/>
      <c r="E606" s="9"/>
      <c r="F606" s="15"/>
      <c r="G606" s="15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</row>
    <row r="607" spans="1:24" ht="19.5" customHeight="1" x14ac:dyDescent="0.25">
      <c r="A607" s="9"/>
      <c r="B607" s="9"/>
      <c r="C607" s="9"/>
      <c r="D607" s="15"/>
      <c r="E607" s="9"/>
      <c r="F607" s="15"/>
      <c r="G607" s="15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</row>
    <row r="608" spans="1:24" ht="19.5" customHeight="1" x14ac:dyDescent="0.25">
      <c r="A608" s="9"/>
      <c r="B608" s="9"/>
      <c r="C608" s="9"/>
      <c r="D608" s="15"/>
      <c r="E608" s="9"/>
      <c r="F608" s="15"/>
      <c r="G608" s="15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</row>
    <row r="609" spans="1:24" ht="19.5" customHeight="1" x14ac:dyDescent="0.25">
      <c r="A609" s="9"/>
      <c r="B609" s="9"/>
      <c r="C609" s="9"/>
      <c r="D609" s="15"/>
      <c r="E609" s="9"/>
      <c r="F609" s="15"/>
      <c r="G609" s="15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</row>
    <row r="610" spans="1:24" ht="19.5" customHeight="1" x14ac:dyDescent="0.25">
      <c r="A610" s="9"/>
      <c r="B610" s="9"/>
      <c r="C610" s="9"/>
      <c r="D610" s="15"/>
      <c r="E610" s="9"/>
      <c r="F610" s="15"/>
      <c r="G610" s="15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</row>
    <row r="611" spans="1:24" ht="19.5" customHeight="1" x14ac:dyDescent="0.25">
      <c r="A611" s="9"/>
      <c r="B611" s="9"/>
      <c r="C611" s="9"/>
      <c r="D611" s="15"/>
      <c r="E611" s="9"/>
      <c r="F611" s="15"/>
      <c r="G611" s="15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</row>
    <row r="612" spans="1:24" ht="19.5" customHeight="1" x14ac:dyDescent="0.25">
      <c r="A612" s="9"/>
      <c r="B612" s="9"/>
      <c r="C612" s="9"/>
      <c r="D612" s="15"/>
      <c r="E612" s="9"/>
      <c r="F612" s="15"/>
      <c r="G612" s="15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</row>
    <row r="613" spans="1:24" ht="19.5" customHeight="1" x14ac:dyDescent="0.25">
      <c r="A613" s="9"/>
      <c r="B613" s="9"/>
      <c r="C613" s="9"/>
      <c r="D613" s="15"/>
      <c r="E613" s="9"/>
      <c r="F613" s="15"/>
      <c r="G613" s="15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</row>
    <row r="614" spans="1:24" ht="19.5" customHeight="1" x14ac:dyDescent="0.25">
      <c r="A614" s="9"/>
      <c r="B614" s="9"/>
      <c r="C614" s="9"/>
      <c r="D614" s="15"/>
      <c r="E614" s="9"/>
      <c r="F614" s="15"/>
      <c r="G614" s="15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</row>
    <row r="615" spans="1:24" ht="19.5" customHeight="1" x14ac:dyDescent="0.25">
      <c r="A615" s="9"/>
      <c r="B615" s="9"/>
      <c r="C615" s="9"/>
      <c r="D615" s="15"/>
      <c r="E615" s="9"/>
      <c r="F615" s="15"/>
      <c r="G615" s="15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</row>
    <row r="616" spans="1:24" ht="19.5" customHeight="1" x14ac:dyDescent="0.25">
      <c r="A616" s="9"/>
      <c r="B616" s="9"/>
      <c r="C616" s="9"/>
      <c r="D616" s="15"/>
      <c r="E616" s="9"/>
      <c r="F616" s="15"/>
      <c r="G616" s="15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</row>
    <row r="617" spans="1:24" ht="19.5" customHeight="1" x14ac:dyDescent="0.25">
      <c r="A617" s="9"/>
      <c r="B617" s="9"/>
      <c r="C617" s="9"/>
      <c r="D617" s="15"/>
      <c r="E617" s="9"/>
      <c r="F617" s="15"/>
      <c r="G617" s="15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</row>
    <row r="618" spans="1:24" ht="19.5" customHeight="1" x14ac:dyDescent="0.25">
      <c r="A618" s="9"/>
      <c r="B618" s="9"/>
      <c r="C618" s="9"/>
      <c r="D618" s="15"/>
      <c r="E618" s="9"/>
      <c r="F618" s="15"/>
      <c r="G618" s="15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</row>
    <row r="619" spans="1:24" ht="19.5" customHeight="1" x14ac:dyDescent="0.25">
      <c r="A619" s="9"/>
      <c r="B619" s="9"/>
      <c r="C619" s="9"/>
      <c r="D619" s="15"/>
      <c r="E619" s="9"/>
      <c r="F619" s="15"/>
      <c r="G619" s="15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</row>
    <row r="620" spans="1:24" ht="19.5" customHeight="1" x14ac:dyDescent="0.25">
      <c r="A620" s="9"/>
      <c r="B620" s="9"/>
      <c r="C620" s="9"/>
      <c r="D620" s="15"/>
      <c r="E620" s="9"/>
      <c r="F620" s="15"/>
      <c r="G620" s="15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</row>
    <row r="621" spans="1:24" ht="19.5" customHeight="1" x14ac:dyDescent="0.25">
      <c r="A621" s="9"/>
      <c r="B621" s="9"/>
      <c r="C621" s="9"/>
      <c r="D621" s="15"/>
      <c r="E621" s="9"/>
      <c r="F621" s="15"/>
      <c r="G621" s="15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</row>
    <row r="622" spans="1:24" ht="19.5" customHeight="1" x14ac:dyDescent="0.25">
      <c r="A622" s="9"/>
      <c r="B622" s="9"/>
      <c r="C622" s="9"/>
      <c r="D622" s="15"/>
      <c r="E622" s="9"/>
      <c r="F622" s="15"/>
      <c r="G622" s="15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</row>
    <row r="623" spans="1:24" ht="19.5" customHeight="1" x14ac:dyDescent="0.25">
      <c r="A623" s="9"/>
      <c r="B623" s="9"/>
      <c r="C623" s="9"/>
      <c r="D623" s="15"/>
      <c r="E623" s="9"/>
      <c r="F623" s="15"/>
      <c r="G623" s="15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</row>
    <row r="624" spans="1:24" ht="19.5" customHeight="1" x14ac:dyDescent="0.25">
      <c r="A624" s="9"/>
      <c r="B624" s="9"/>
      <c r="C624" s="9"/>
      <c r="D624" s="15"/>
      <c r="E624" s="9"/>
      <c r="F624" s="15"/>
      <c r="G624" s="15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</row>
    <row r="625" spans="1:24" ht="19.5" customHeight="1" x14ac:dyDescent="0.25">
      <c r="A625" s="9"/>
      <c r="B625" s="9"/>
      <c r="C625" s="9"/>
      <c r="D625" s="15"/>
      <c r="E625" s="9"/>
      <c r="F625" s="15"/>
      <c r="G625" s="15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</row>
    <row r="626" spans="1:24" ht="19.5" customHeight="1" x14ac:dyDescent="0.25">
      <c r="A626" s="9"/>
      <c r="B626" s="9"/>
      <c r="C626" s="9"/>
      <c r="D626" s="15"/>
      <c r="E626" s="9"/>
      <c r="F626" s="15"/>
      <c r="G626" s="15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</row>
    <row r="627" spans="1:24" ht="19.5" customHeight="1" x14ac:dyDescent="0.25">
      <c r="A627" s="9"/>
      <c r="B627" s="9"/>
      <c r="C627" s="9"/>
      <c r="D627" s="15"/>
      <c r="E627" s="9"/>
      <c r="F627" s="15"/>
      <c r="G627" s="15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</row>
    <row r="628" spans="1:24" ht="19.5" customHeight="1" x14ac:dyDescent="0.25">
      <c r="A628" s="9"/>
      <c r="B628" s="9"/>
      <c r="C628" s="9"/>
      <c r="D628" s="15"/>
      <c r="E628" s="9"/>
      <c r="F628" s="15"/>
      <c r="G628" s="15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</row>
    <row r="629" spans="1:24" ht="19.5" customHeight="1" x14ac:dyDescent="0.25">
      <c r="A629" s="9"/>
      <c r="B629" s="9"/>
      <c r="C629" s="9"/>
      <c r="D629" s="15"/>
      <c r="E629" s="9"/>
      <c r="F629" s="15"/>
      <c r="G629" s="15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</row>
    <row r="630" spans="1:24" ht="19.5" customHeight="1" x14ac:dyDescent="0.25">
      <c r="A630" s="9"/>
      <c r="B630" s="9"/>
      <c r="C630" s="9"/>
      <c r="D630" s="15"/>
      <c r="E630" s="9"/>
      <c r="F630" s="15"/>
      <c r="G630" s="15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</row>
    <row r="631" spans="1:24" ht="19.5" customHeight="1" x14ac:dyDescent="0.25">
      <c r="A631" s="9"/>
      <c r="B631" s="9"/>
      <c r="C631" s="9"/>
      <c r="D631" s="15"/>
      <c r="E631" s="9"/>
      <c r="F631" s="15"/>
      <c r="G631" s="15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</row>
    <row r="632" spans="1:24" ht="19.5" customHeight="1" x14ac:dyDescent="0.25">
      <c r="A632" s="9"/>
      <c r="B632" s="9"/>
      <c r="C632" s="9"/>
      <c r="D632" s="15"/>
      <c r="E632" s="9"/>
      <c r="F632" s="15"/>
      <c r="G632" s="15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</row>
    <row r="633" spans="1:24" ht="19.5" customHeight="1" x14ac:dyDescent="0.25">
      <c r="A633" s="9"/>
      <c r="B633" s="9"/>
      <c r="C633" s="9"/>
      <c r="D633" s="15"/>
      <c r="E633" s="9"/>
      <c r="F633" s="15"/>
      <c r="G633" s="15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</row>
    <row r="634" spans="1:24" ht="19.5" customHeight="1" x14ac:dyDescent="0.25">
      <c r="A634" s="9"/>
      <c r="B634" s="9"/>
      <c r="C634" s="9"/>
      <c r="D634" s="15"/>
      <c r="E634" s="9"/>
      <c r="F634" s="15"/>
      <c r="G634" s="15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</row>
    <row r="635" spans="1:24" ht="19.5" customHeight="1" x14ac:dyDescent="0.25">
      <c r="A635" s="9"/>
      <c r="B635" s="9"/>
      <c r="C635" s="9"/>
      <c r="D635" s="15"/>
      <c r="E635" s="9"/>
      <c r="F635" s="15"/>
      <c r="G635" s="15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</row>
    <row r="636" spans="1:24" ht="19.5" customHeight="1" x14ac:dyDescent="0.25">
      <c r="A636" s="9"/>
      <c r="B636" s="9"/>
      <c r="C636" s="9"/>
      <c r="D636" s="15"/>
      <c r="E636" s="9"/>
      <c r="F636" s="15"/>
      <c r="G636" s="15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</row>
    <row r="637" spans="1:24" ht="19.5" customHeight="1" x14ac:dyDescent="0.25">
      <c r="A637" s="9"/>
      <c r="B637" s="9"/>
      <c r="C637" s="9"/>
      <c r="D637" s="15"/>
      <c r="E637" s="9"/>
      <c r="F637" s="15"/>
      <c r="G637" s="15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</row>
    <row r="638" spans="1:24" ht="19.5" customHeight="1" x14ac:dyDescent="0.25">
      <c r="A638" s="9"/>
      <c r="B638" s="9"/>
      <c r="C638" s="9"/>
      <c r="D638" s="15"/>
      <c r="E638" s="9"/>
      <c r="F638" s="15"/>
      <c r="G638" s="15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</row>
    <row r="639" spans="1:24" ht="19.5" customHeight="1" x14ac:dyDescent="0.25">
      <c r="A639" s="9"/>
      <c r="B639" s="9"/>
      <c r="C639" s="9"/>
      <c r="D639" s="15"/>
      <c r="E639" s="9"/>
      <c r="F639" s="15"/>
      <c r="G639" s="15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</row>
    <row r="640" spans="1:24" ht="19.5" customHeight="1" x14ac:dyDescent="0.25">
      <c r="A640" s="9"/>
      <c r="B640" s="9"/>
      <c r="C640" s="9"/>
      <c r="D640" s="15"/>
      <c r="E640" s="9"/>
      <c r="F640" s="15"/>
      <c r="G640" s="15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</row>
    <row r="641" spans="1:24" ht="19.5" customHeight="1" x14ac:dyDescent="0.25">
      <c r="A641" s="9"/>
      <c r="B641" s="9"/>
      <c r="C641" s="9"/>
      <c r="D641" s="15"/>
      <c r="E641" s="9"/>
      <c r="F641" s="15"/>
      <c r="G641" s="15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</row>
    <row r="642" spans="1:24" ht="19.5" customHeight="1" x14ac:dyDescent="0.25">
      <c r="A642" s="9"/>
      <c r="B642" s="9"/>
      <c r="C642" s="9"/>
      <c r="D642" s="15"/>
      <c r="E642" s="9"/>
      <c r="F642" s="15"/>
      <c r="G642" s="15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</row>
    <row r="643" spans="1:24" ht="19.5" customHeight="1" x14ac:dyDescent="0.25">
      <c r="A643" s="9"/>
      <c r="B643" s="9"/>
      <c r="C643" s="9"/>
      <c r="D643" s="15"/>
      <c r="E643" s="9"/>
      <c r="F643" s="15"/>
      <c r="G643" s="15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</row>
    <row r="644" spans="1:24" ht="19.5" customHeight="1" x14ac:dyDescent="0.25">
      <c r="A644" s="9"/>
      <c r="B644" s="9"/>
      <c r="C644" s="9"/>
      <c r="D644" s="15"/>
      <c r="E644" s="9"/>
      <c r="F644" s="15"/>
      <c r="G644" s="15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</row>
    <row r="645" spans="1:24" ht="19.5" customHeight="1" x14ac:dyDescent="0.25">
      <c r="A645" s="9"/>
      <c r="B645" s="9"/>
      <c r="C645" s="9"/>
      <c r="D645" s="15"/>
      <c r="E645" s="9"/>
      <c r="F645" s="15"/>
      <c r="G645" s="15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</row>
    <row r="646" spans="1:24" ht="19.5" customHeight="1" x14ac:dyDescent="0.25">
      <c r="A646" s="9"/>
      <c r="B646" s="9"/>
      <c r="C646" s="9"/>
      <c r="D646" s="15"/>
      <c r="E646" s="9"/>
      <c r="F646" s="15"/>
      <c r="G646" s="15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</row>
    <row r="647" spans="1:24" ht="19.5" customHeight="1" x14ac:dyDescent="0.25">
      <c r="A647" s="9"/>
      <c r="B647" s="9"/>
      <c r="C647" s="9"/>
      <c r="D647" s="15"/>
      <c r="E647" s="9"/>
      <c r="F647" s="15"/>
      <c r="G647" s="15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</row>
    <row r="648" spans="1:24" ht="19.5" customHeight="1" x14ac:dyDescent="0.25">
      <c r="A648" s="9"/>
      <c r="B648" s="9"/>
      <c r="C648" s="9"/>
      <c r="D648" s="15"/>
      <c r="E648" s="9"/>
      <c r="F648" s="15"/>
      <c r="G648" s="15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</row>
    <row r="649" spans="1:24" ht="19.5" customHeight="1" x14ac:dyDescent="0.25">
      <c r="A649" s="9"/>
      <c r="B649" s="9"/>
      <c r="C649" s="9"/>
      <c r="D649" s="15"/>
      <c r="E649" s="9"/>
      <c r="F649" s="15"/>
      <c r="G649" s="15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</row>
    <row r="650" spans="1:24" ht="19.5" customHeight="1" x14ac:dyDescent="0.25">
      <c r="A650" s="9"/>
      <c r="B650" s="9"/>
      <c r="C650" s="9"/>
      <c r="D650" s="15"/>
      <c r="E650" s="9"/>
      <c r="F650" s="15"/>
      <c r="G650" s="15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</row>
    <row r="651" spans="1:24" ht="19.5" customHeight="1" x14ac:dyDescent="0.25">
      <c r="A651" s="9"/>
      <c r="B651" s="9"/>
      <c r="C651" s="9"/>
      <c r="D651" s="15"/>
      <c r="E651" s="9"/>
      <c r="F651" s="15"/>
      <c r="G651" s="15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</row>
    <row r="652" spans="1:24" ht="19.5" customHeight="1" x14ac:dyDescent="0.25">
      <c r="A652" s="9"/>
      <c r="B652" s="9"/>
      <c r="C652" s="9"/>
      <c r="D652" s="15"/>
      <c r="E652" s="9"/>
      <c r="F652" s="15"/>
      <c r="G652" s="15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</row>
    <row r="653" spans="1:24" ht="19.5" customHeight="1" x14ac:dyDescent="0.25">
      <c r="A653" s="9"/>
      <c r="B653" s="9"/>
      <c r="C653" s="9"/>
      <c r="D653" s="15"/>
      <c r="E653" s="9"/>
      <c r="F653" s="15"/>
      <c r="G653" s="15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</row>
    <row r="654" spans="1:24" ht="19.5" customHeight="1" x14ac:dyDescent="0.25">
      <c r="A654" s="9"/>
      <c r="B654" s="9"/>
      <c r="C654" s="9"/>
      <c r="D654" s="15"/>
      <c r="E654" s="9"/>
      <c r="F654" s="15"/>
      <c r="G654" s="15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</row>
    <row r="655" spans="1:24" ht="19.5" customHeight="1" x14ac:dyDescent="0.25">
      <c r="A655" s="9"/>
      <c r="B655" s="9"/>
      <c r="C655" s="9"/>
      <c r="D655" s="15"/>
      <c r="E655" s="9"/>
      <c r="F655" s="15"/>
      <c r="G655" s="15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</row>
    <row r="656" spans="1:24" ht="19.5" customHeight="1" x14ac:dyDescent="0.25">
      <c r="A656" s="9"/>
      <c r="B656" s="9"/>
      <c r="C656" s="9"/>
      <c r="D656" s="15"/>
      <c r="E656" s="9"/>
      <c r="F656" s="15"/>
      <c r="G656" s="15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</row>
    <row r="657" spans="1:24" ht="19.5" customHeight="1" x14ac:dyDescent="0.25">
      <c r="A657" s="9"/>
      <c r="B657" s="9"/>
      <c r="C657" s="9"/>
      <c r="D657" s="15"/>
      <c r="E657" s="9"/>
      <c r="F657" s="15"/>
      <c r="G657" s="15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</row>
    <row r="658" spans="1:24" ht="19.5" customHeight="1" x14ac:dyDescent="0.25">
      <c r="A658" s="9"/>
      <c r="B658" s="9"/>
      <c r="C658" s="9"/>
      <c r="D658" s="15"/>
      <c r="E658" s="9"/>
      <c r="F658" s="15"/>
      <c r="G658" s="15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</row>
    <row r="659" spans="1:24" ht="19.5" customHeight="1" x14ac:dyDescent="0.25">
      <c r="A659" s="9"/>
      <c r="B659" s="9"/>
      <c r="C659" s="9"/>
      <c r="D659" s="15"/>
      <c r="E659" s="9"/>
      <c r="F659" s="15"/>
      <c r="G659" s="15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</row>
    <row r="660" spans="1:24" ht="19.5" customHeight="1" x14ac:dyDescent="0.25">
      <c r="A660" s="9"/>
      <c r="B660" s="9"/>
      <c r="C660" s="9"/>
      <c r="D660" s="15"/>
      <c r="E660" s="9"/>
      <c r="F660" s="15"/>
      <c r="G660" s="15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</row>
    <row r="661" spans="1:24" ht="19.5" customHeight="1" x14ac:dyDescent="0.25">
      <c r="A661" s="9"/>
      <c r="B661" s="9"/>
      <c r="C661" s="9"/>
      <c r="D661" s="15"/>
      <c r="E661" s="9"/>
      <c r="F661" s="15"/>
      <c r="G661" s="15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</row>
    <row r="662" spans="1:24" ht="19.5" customHeight="1" x14ac:dyDescent="0.25">
      <c r="A662" s="9"/>
      <c r="B662" s="9"/>
      <c r="C662" s="9"/>
      <c r="D662" s="15"/>
      <c r="E662" s="9"/>
      <c r="F662" s="15"/>
      <c r="G662" s="15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</row>
    <row r="663" spans="1:24" ht="19.5" customHeight="1" x14ac:dyDescent="0.25">
      <c r="A663" s="9"/>
      <c r="B663" s="9"/>
      <c r="C663" s="9"/>
      <c r="D663" s="15"/>
      <c r="E663" s="9"/>
      <c r="F663" s="15"/>
      <c r="G663" s="15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</row>
    <row r="664" spans="1:24" ht="19.5" customHeight="1" x14ac:dyDescent="0.25">
      <c r="A664" s="9"/>
      <c r="B664" s="9"/>
      <c r="C664" s="9"/>
      <c r="D664" s="15"/>
      <c r="E664" s="9"/>
      <c r="F664" s="15"/>
      <c r="G664" s="15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</row>
    <row r="665" spans="1:24" ht="19.5" customHeight="1" x14ac:dyDescent="0.25">
      <c r="A665" s="9"/>
      <c r="B665" s="9"/>
      <c r="C665" s="9"/>
      <c r="D665" s="15"/>
      <c r="E665" s="9"/>
      <c r="F665" s="15"/>
      <c r="G665" s="15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</row>
    <row r="666" spans="1:24" ht="19.5" customHeight="1" x14ac:dyDescent="0.25">
      <c r="A666" s="9"/>
      <c r="B666" s="9"/>
      <c r="C666" s="9"/>
      <c r="D666" s="15"/>
      <c r="E666" s="9"/>
      <c r="F666" s="15"/>
      <c r="G666" s="15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</row>
    <row r="667" spans="1:24" ht="19.5" customHeight="1" x14ac:dyDescent="0.25">
      <c r="A667" s="9"/>
      <c r="B667" s="9"/>
      <c r="C667" s="9"/>
      <c r="D667" s="15"/>
      <c r="E667" s="9"/>
      <c r="F667" s="15"/>
      <c r="G667" s="15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</row>
    <row r="668" spans="1:24" ht="19.5" customHeight="1" x14ac:dyDescent="0.25">
      <c r="A668" s="9"/>
      <c r="B668" s="9"/>
      <c r="C668" s="9"/>
      <c r="D668" s="15"/>
      <c r="E668" s="9"/>
      <c r="F668" s="15"/>
      <c r="G668" s="15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</row>
    <row r="669" spans="1:24" ht="19.5" customHeight="1" x14ac:dyDescent="0.25">
      <c r="A669" s="9"/>
      <c r="B669" s="9"/>
      <c r="C669" s="9"/>
      <c r="D669" s="15"/>
      <c r="E669" s="9"/>
      <c r="F669" s="15"/>
      <c r="G669" s="15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</row>
    <row r="670" spans="1:24" ht="19.5" customHeight="1" x14ac:dyDescent="0.25">
      <c r="A670" s="9"/>
      <c r="B670" s="9"/>
      <c r="C670" s="9"/>
      <c r="D670" s="15"/>
      <c r="E670" s="9"/>
      <c r="F670" s="15"/>
      <c r="G670" s="15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</row>
    <row r="671" spans="1:24" ht="19.5" customHeight="1" x14ac:dyDescent="0.25">
      <c r="A671" s="9"/>
      <c r="B671" s="9"/>
      <c r="C671" s="9"/>
      <c r="D671" s="15"/>
      <c r="E671" s="9"/>
      <c r="F671" s="15"/>
      <c r="G671" s="15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</row>
    <row r="672" spans="1:24" ht="19.5" customHeight="1" x14ac:dyDescent="0.25">
      <c r="A672" s="9"/>
      <c r="B672" s="9"/>
      <c r="C672" s="9"/>
      <c r="D672" s="15"/>
      <c r="E672" s="9"/>
      <c r="F672" s="15"/>
      <c r="G672" s="15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</row>
    <row r="673" spans="1:24" ht="19.5" customHeight="1" x14ac:dyDescent="0.25">
      <c r="A673" s="9"/>
      <c r="B673" s="9"/>
      <c r="C673" s="9"/>
      <c r="D673" s="15"/>
      <c r="E673" s="9"/>
      <c r="F673" s="15"/>
      <c r="G673" s="15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</row>
    <row r="674" spans="1:24" ht="19.5" customHeight="1" x14ac:dyDescent="0.25">
      <c r="A674" s="9"/>
      <c r="B674" s="9"/>
      <c r="C674" s="9"/>
      <c r="D674" s="15"/>
      <c r="E674" s="9"/>
      <c r="F674" s="15"/>
      <c r="G674" s="15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</row>
    <row r="675" spans="1:24" ht="19.5" customHeight="1" x14ac:dyDescent="0.25">
      <c r="A675" s="9"/>
      <c r="B675" s="9"/>
      <c r="C675" s="9"/>
      <c r="D675" s="15"/>
      <c r="E675" s="9"/>
      <c r="F675" s="15"/>
      <c r="G675" s="15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</row>
    <row r="676" spans="1:24" ht="19.5" customHeight="1" x14ac:dyDescent="0.25">
      <c r="A676" s="9"/>
      <c r="B676" s="9"/>
      <c r="C676" s="9"/>
      <c r="D676" s="15"/>
      <c r="E676" s="9"/>
      <c r="F676" s="15"/>
      <c r="G676" s="15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</row>
    <row r="677" spans="1:24" ht="19.5" customHeight="1" x14ac:dyDescent="0.25">
      <c r="A677" s="9"/>
      <c r="B677" s="9"/>
      <c r="C677" s="9"/>
      <c r="D677" s="15"/>
      <c r="E677" s="9"/>
      <c r="F677" s="15"/>
      <c r="G677" s="15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</row>
    <row r="678" spans="1:24" ht="19.5" customHeight="1" x14ac:dyDescent="0.25">
      <c r="A678" s="9"/>
      <c r="B678" s="9"/>
      <c r="C678" s="9"/>
      <c r="D678" s="15"/>
      <c r="E678" s="9"/>
      <c r="F678" s="15"/>
      <c r="G678" s="15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</row>
    <row r="679" spans="1:24" ht="19.5" customHeight="1" x14ac:dyDescent="0.25">
      <c r="A679" s="9"/>
      <c r="B679" s="9"/>
      <c r="C679" s="9"/>
      <c r="D679" s="15"/>
      <c r="E679" s="9"/>
      <c r="F679" s="15"/>
      <c r="G679" s="15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</row>
    <row r="680" spans="1:24" ht="19.5" customHeight="1" x14ac:dyDescent="0.25">
      <c r="A680" s="9"/>
      <c r="B680" s="9"/>
      <c r="C680" s="9"/>
      <c r="D680" s="15"/>
      <c r="E680" s="9"/>
      <c r="F680" s="15"/>
      <c r="G680" s="15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</row>
    <row r="681" spans="1:24" ht="19.5" customHeight="1" x14ac:dyDescent="0.25">
      <c r="A681" s="9"/>
      <c r="B681" s="9"/>
      <c r="C681" s="9"/>
      <c r="D681" s="15"/>
      <c r="E681" s="9"/>
      <c r="F681" s="15"/>
      <c r="G681" s="15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</row>
    <row r="682" spans="1:24" ht="19.5" customHeight="1" x14ac:dyDescent="0.25">
      <c r="A682" s="9"/>
      <c r="B682" s="9"/>
      <c r="C682" s="9"/>
      <c r="D682" s="15"/>
      <c r="E682" s="9"/>
      <c r="F682" s="15"/>
      <c r="G682" s="15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</row>
    <row r="683" spans="1:24" ht="19.5" customHeight="1" x14ac:dyDescent="0.25">
      <c r="A683" s="9"/>
      <c r="B683" s="9"/>
      <c r="C683" s="9"/>
      <c r="D683" s="15"/>
      <c r="E683" s="9"/>
      <c r="F683" s="15"/>
      <c r="G683" s="15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</row>
    <row r="684" spans="1:24" ht="19.5" customHeight="1" x14ac:dyDescent="0.25">
      <c r="A684" s="9"/>
      <c r="B684" s="9"/>
      <c r="C684" s="9"/>
      <c r="D684" s="15"/>
      <c r="E684" s="9"/>
      <c r="F684" s="15"/>
      <c r="G684" s="15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</row>
    <row r="685" spans="1:24" ht="19.5" customHeight="1" x14ac:dyDescent="0.25">
      <c r="A685" s="9"/>
      <c r="B685" s="9"/>
      <c r="C685" s="9"/>
      <c r="D685" s="15"/>
      <c r="E685" s="9"/>
      <c r="F685" s="15"/>
      <c r="G685" s="15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</row>
    <row r="686" spans="1:24" ht="19.5" customHeight="1" x14ac:dyDescent="0.25">
      <c r="A686" s="9"/>
      <c r="B686" s="9"/>
      <c r="C686" s="9"/>
      <c r="D686" s="15"/>
      <c r="E686" s="9"/>
      <c r="F686" s="15"/>
      <c r="G686" s="15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</row>
    <row r="687" spans="1:24" ht="19.5" customHeight="1" x14ac:dyDescent="0.25">
      <c r="A687" s="9"/>
      <c r="B687" s="9"/>
      <c r="C687" s="9"/>
      <c r="D687" s="15"/>
      <c r="E687" s="9"/>
      <c r="F687" s="15"/>
      <c r="G687" s="15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</row>
    <row r="688" spans="1:24" ht="19.5" customHeight="1" x14ac:dyDescent="0.25">
      <c r="A688" s="9"/>
      <c r="B688" s="9"/>
      <c r="C688" s="9"/>
      <c r="D688" s="15"/>
      <c r="E688" s="9"/>
      <c r="F688" s="15"/>
      <c r="G688" s="15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</row>
    <row r="689" spans="1:24" ht="19.5" customHeight="1" x14ac:dyDescent="0.25">
      <c r="A689" s="9"/>
      <c r="B689" s="9"/>
      <c r="C689" s="9"/>
      <c r="D689" s="15"/>
      <c r="E689" s="9"/>
      <c r="F689" s="15"/>
      <c r="G689" s="15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</row>
    <row r="690" spans="1:24" ht="19.5" customHeight="1" x14ac:dyDescent="0.25">
      <c r="A690" s="9"/>
      <c r="B690" s="9"/>
      <c r="C690" s="9"/>
      <c r="D690" s="15"/>
      <c r="E690" s="9"/>
      <c r="F690" s="15"/>
      <c r="G690" s="15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</row>
    <row r="691" spans="1:24" ht="19.5" customHeight="1" x14ac:dyDescent="0.25">
      <c r="A691" s="9"/>
      <c r="B691" s="9"/>
      <c r="C691" s="9"/>
      <c r="D691" s="15"/>
      <c r="E691" s="9"/>
      <c r="F691" s="15"/>
      <c r="G691" s="15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</row>
    <row r="692" spans="1:24" ht="19.5" customHeight="1" x14ac:dyDescent="0.25">
      <c r="A692" s="9"/>
      <c r="B692" s="9"/>
      <c r="C692" s="9"/>
      <c r="D692" s="15"/>
      <c r="E692" s="9"/>
      <c r="F692" s="15"/>
      <c r="G692" s="15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</row>
    <row r="693" spans="1:24" ht="19.5" customHeight="1" x14ac:dyDescent="0.25">
      <c r="A693" s="9"/>
      <c r="B693" s="9"/>
      <c r="C693" s="9"/>
      <c r="D693" s="15"/>
      <c r="E693" s="9"/>
      <c r="F693" s="15"/>
      <c r="G693" s="15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</row>
    <row r="694" spans="1:24" ht="19.5" customHeight="1" x14ac:dyDescent="0.25">
      <c r="A694" s="9"/>
      <c r="B694" s="9"/>
      <c r="C694" s="9"/>
      <c r="D694" s="15"/>
      <c r="E694" s="9"/>
      <c r="F694" s="15"/>
      <c r="G694" s="15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</row>
    <row r="695" spans="1:24" ht="19.5" customHeight="1" x14ac:dyDescent="0.25">
      <c r="A695" s="9"/>
      <c r="B695" s="9"/>
      <c r="C695" s="9"/>
      <c r="D695" s="15"/>
      <c r="E695" s="9"/>
      <c r="F695" s="15"/>
      <c r="G695" s="15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</row>
    <row r="696" spans="1:24" ht="19.5" customHeight="1" x14ac:dyDescent="0.25">
      <c r="A696" s="9"/>
      <c r="B696" s="9"/>
      <c r="C696" s="9"/>
      <c r="D696" s="15"/>
      <c r="E696" s="9"/>
      <c r="F696" s="15"/>
      <c r="G696" s="15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</row>
    <row r="697" spans="1:24" ht="19.5" customHeight="1" x14ac:dyDescent="0.25">
      <c r="A697" s="9"/>
      <c r="B697" s="9"/>
      <c r="C697" s="9"/>
      <c r="D697" s="15"/>
      <c r="E697" s="9"/>
      <c r="F697" s="15"/>
      <c r="G697" s="15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</row>
    <row r="698" spans="1:24" ht="19.5" customHeight="1" x14ac:dyDescent="0.25">
      <c r="A698" s="9"/>
      <c r="B698" s="9"/>
      <c r="C698" s="9"/>
      <c r="D698" s="15"/>
      <c r="E698" s="9"/>
      <c r="F698" s="15"/>
      <c r="G698" s="15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</row>
    <row r="699" spans="1:24" ht="19.5" customHeight="1" x14ac:dyDescent="0.25">
      <c r="A699" s="9"/>
      <c r="B699" s="9"/>
      <c r="C699" s="9"/>
      <c r="D699" s="15"/>
      <c r="E699" s="9"/>
      <c r="F699" s="15"/>
      <c r="G699" s="15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</row>
    <row r="700" spans="1:24" ht="19.5" customHeight="1" x14ac:dyDescent="0.25">
      <c r="A700" s="9"/>
      <c r="B700" s="9"/>
      <c r="C700" s="9"/>
      <c r="D700" s="15"/>
      <c r="E700" s="9"/>
      <c r="F700" s="15"/>
      <c r="G700" s="15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</row>
    <row r="701" spans="1:24" ht="19.5" customHeight="1" x14ac:dyDescent="0.25">
      <c r="A701" s="9"/>
      <c r="B701" s="9"/>
      <c r="C701" s="9"/>
      <c r="D701" s="15"/>
      <c r="E701" s="9"/>
      <c r="F701" s="15"/>
      <c r="G701" s="15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</row>
    <row r="702" spans="1:24" ht="19.5" customHeight="1" x14ac:dyDescent="0.25">
      <c r="A702" s="9"/>
      <c r="B702" s="9"/>
      <c r="C702" s="9"/>
      <c r="D702" s="15"/>
      <c r="E702" s="9"/>
      <c r="F702" s="15"/>
      <c r="G702" s="15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</row>
    <row r="703" spans="1:24" ht="19.5" customHeight="1" x14ac:dyDescent="0.25">
      <c r="A703" s="9"/>
      <c r="B703" s="9"/>
      <c r="C703" s="9"/>
      <c r="D703" s="15"/>
      <c r="E703" s="9"/>
      <c r="F703" s="15"/>
      <c r="G703" s="15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</row>
    <row r="704" spans="1:24" ht="19.5" customHeight="1" x14ac:dyDescent="0.25">
      <c r="A704" s="9"/>
      <c r="B704" s="9"/>
      <c r="C704" s="9"/>
      <c r="D704" s="15"/>
      <c r="E704" s="9"/>
      <c r="F704" s="15"/>
      <c r="G704" s="15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</row>
    <row r="705" spans="1:24" ht="19.5" customHeight="1" x14ac:dyDescent="0.25">
      <c r="A705" s="9"/>
      <c r="B705" s="9"/>
      <c r="C705" s="9"/>
      <c r="D705" s="15"/>
      <c r="E705" s="9"/>
      <c r="F705" s="15"/>
      <c r="G705" s="15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</row>
    <row r="706" spans="1:24" ht="19.5" customHeight="1" x14ac:dyDescent="0.25">
      <c r="A706" s="9"/>
      <c r="B706" s="9"/>
      <c r="C706" s="9"/>
      <c r="D706" s="15"/>
      <c r="E706" s="9"/>
      <c r="F706" s="15"/>
      <c r="G706" s="15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</row>
    <row r="707" spans="1:24" ht="19.5" customHeight="1" x14ac:dyDescent="0.25">
      <c r="A707" s="9"/>
      <c r="B707" s="9"/>
      <c r="C707" s="9"/>
      <c r="D707" s="15"/>
      <c r="E707" s="9"/>
      <c r="F707" s="15"/>
      <c r="G707" s="15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</row>
    <row r="708" spans="1:24" ht="19.5" customHeight="1" x14ac:dyDescent="0.25">
      <c r="A708" s="9"/>
      <c r="B708" s="9"/>
      <c r="C708" s="9"/>
      <c r="D708" s="15"/>
      <c r="E708" s="9"/>
      <c r="F708" s="15"/>
      <c r="G708" s="15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</row>
    <row r="709" spans="1:24" ht="19.5" customHeight="1" x14ac:dyDescent="0.25">
      <c r="A709" s="9"/>
      <c r="B709" s="9"/>
      <c r="C709" s="9"/>
      <c r="D709" s="15"/>
      <c r="E709" s="9"/>
      <c r="F709" s="15"/>
      <c r="G709" s="15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</row>
    <row r="710" spans="1:24" ht="19.5" customHeight="1" x14ac:dyDescent="0.25">
      <c r="A710" s="9"/>
      <c r="B710" s="9"/>
      <c r="C710" s="9"/>
      <c r="D710" s="15"/>
      <c r="E710" s="9"/>
      <c r="F710" s="15"/>
      <c r="G710" s="15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</row>
    <row r="711" spans="1:24" ht="19.5" customHeight="1" x14ac:dyDescent="0.25">
      <c r="A711" s="9"/>
      <c r="B711" s="9"/>
      <c r="C711" s="9"/>
      <c r="D711" s="15"/>
      <c r="E711" s="9"/>
      <c r="F711" s="15"/>
      <c r="G711" s="15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</row>
    <row r="712" spans="1:24" ht="19.5" customHeight="1" x14ac:dyDescent="0.25">
      <c r="A712" s="9"/>
      <c r="B712" s="9"/>
      <c r="C712" s="9"/>
      <c r="D712" s="15"/>
      <c r="E712" s="9"/>
      <c r="F712" s="15"/>
      <c r="G712" s="15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</row>
    <row r="713" spans="1:24" ht="19.5" customHeight="1" x14ac:dyDescent="0.25">
      <c r="A713" s="9"/>
      <c r="B713" s="9"/>
      <c r="C713" s="9"/>
      <c r="D713" s="15"/>
      <c r="E713" s="9"/>
      <c r="F713" s="15"/>
      <c r="G713" s="15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</row>
    <row r="714" spans="1:24" ht="19.5" customHeight="1" x14ac:dyDescent="0.25">
      <c r="A714" s="9"/>
      <c r="B714" s="9"/>
      <c r="C714" s="9"/>
      <c r="D714" s="15"/>
      <c r="E714" s="9"/>
      <c r="F714" s="15"/>
      <c r="G714" s="15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</row>
    <row r="715" spans="1:24" ht="19.5" customHeight="1" x14ac:dyDescent="0.25">
      <c r="A715" s="9"/>
      <c r="B715" s="9"/>
      <c r="C715" s="9"/>
      <c r="D715" s="15"/>
      <c r="E715" s="9"/>
      <c r="F715" s="15"/>
      <c r="G715" s="15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</row>
    <row r="716" spans="1:24" ht="19.5" customHeight="1" x14ac:dyDescent="0.25">
      <c r="A716" s="9"/>
      <c r="B716" s="9"/>
      <c r="C716" s="9"/>
      <c r="D716" s="15"/>
      <c r="E716" s="9"/>
      <c r="F716" s="15"/>
      <c r="G716" s="15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</row>
    <row r="717" spans="1:24" ht="19.5" customHeight="1" x14ac:dyDescent="0.25">
      <c r="A717" s="9"/>
      <c r="B717" s="9"/>
      <c r="C717" s="9"/>
      <c r="D717" s="15"/>
      <c r="E717" s="9"/>
      <c r="F717" s="15"/>
      <c r="G717" s="15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</row>
    <row r="718" spans="1:24" ht="19.5" customHeight="1" x14ac:dyDescent="0.25">
      <c r="A718" s="9"/>
      <c r="B718" s="9"/>
      <c r="C718" s="9"/>
      <c r="D718" s="15"/>
      <c r="E718" s="9"/>
      <c r="F718" s="15"/>
      <c r="G718" s="15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</row>
    <row r="719" spans="1:24" ht="19.5" customHeight="1" x14ac:dyDescent="0.25">
      <c r="A719" s="9"/>
      <c r="B719" s="9"/>
      <c r="C719" s="9"/>
      <c r="D719" s="15"/>
      <c r="E719" s="9"/>
      <c r="F719" s="15"/>
      <c r="G719" s="15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</row>
    <row r="720" spans="1:24" ht="19.5" customHeight="1" x14ac:dyDescent="0.25">
      <c r="A720" s="9"/>
      <c r="B720" s="9"/>
      <c r="C720" s="9"/>
      <c r="D720" s="15"/>
      <c r="E720" s="9"/>
      <c r="F720" s="15"/>
      <c r="G720" s="15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</row>
    <row r="721" spans="1:24" ht="19.5" customHeight="1" x14ac:dyDescent="0.25">
      <c r="A721" s="9"/>
      <c r="B721" s="9"/>
      <c r="C721" s="9"/>
      <c r="D721" s="15"/>
      <c r="E721" s="9"/>
      <c r="F721" s="15"/>
      <c r="G721" s="15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</row>
    <row r="722" spans="1:24" ht="19.5" customHeight="1" x14ac:dyDescent="0.25">
      <c r="A722" s="9"/>
      <c r="B722" s="9"/>
      <c r="C722" s="9"/>
      <c r="D722" s="15"/>
      <c r="E722" s="9"/>
      <c r="F722" s="15"/>
      <c r="G722" s="15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</row>
    <row r="723" spans="1:24" ht="19.5" customHeight="1" x14ac:dyDescent="0.25">
      <c r="A723" s="9"/>
      <c r="B723" s="9"/>
      <c r="C723" s="9"/>
      <c r="D723" s="15"/>
      <c r="E723" s="9"/>
      <c r="F723" s="15"/>
      <c r="G723" s="15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</row>
    <row r="724" spans="1:24" ht="19.5" customHeight="1" x14ac:dyDescent="0.25">
      <c r="A724" s="9"/>
      <c r="B724" s="9"/>
      <c r="C724" s="9"/>
      <c r="D724" s="15"/>
      <c r="E724" s="9"/>
      <c r="F724" s="15"/>
      <c r="G724" s="15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</row>
    <row r="725" spans="1:24" ht="19.5" customHeight="1" x14ac:dyDescent="0.25">
      <c r="A725" s="9"/>
      <c r="B725" s="9"/>
      <c r="C725" s="9"/>
      <c r="D725" s="15"/>
      <c r="E725" s="9"/>
      <c r="F725" s="15"/>
      <c r="G725" s="15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</row>
    <row r="726" spans="1:24" ht="19.5" customHeight="1" x14ac:dyDescent="0.25">
      <c r="A726" s="9"/>
      <c r="B726" s="9"/>
      <c r="C726" s="9"/>
      <c r="D726" s="15"/>
      <c r="E726" s="9"/>
      <c r="F726" s="15"/>
      <c r="G726" s="15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</row>
    <row r="727" spans="1:24" ht="19.5" customHeight="1" x14ac:dyDescent="0.25">
      <c r="A727" s="9"/>
      <c r="B727" s="9"/>
      <c r="C727" s="9"/>
      <c r="D727" s="15"/>
      <c r="E727" s="9"/>
      <c r="F727" s="15"/>
      <c r="G727" s="15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</row>
    <row r="728" spans="1:24" ht="19.5" customHeight="1" x14ac:dyDescent="0.25">
      <c r="A728" s="9"/>
      <c r="B728" s="9"/>
      <c r="C728" s="9"/>
      <c r="D728" s="15"/>
      <c r="E728" s="9"/>
      <c r="F728" s="15"/>
      <c r="G728" s="15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</row>
    <row r="729" spans="1:24" ht="19.5" customHeight="1" x14ac:dyDescent="0.25">
      <c r="A729" s="9"/>
      <c r="B729" s="9"/>
      <c r="C729" s="9"/>
      <c r="D729" s="15"/>
      <c r="E729" s="9"/>
      <c r="F729" s="15"/>
      <c r="G729" s="15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</row>
    <row r="730" spans="1:24" ht="19.5" customHeight="1" x14ac:dyDescent="0.25">
      <c r="A730" s="9"/>
      <c r="B730" s="9"/>
      <c r="C730" s="9"/>
      <c r="D730" s="15"/>
      <c r="E730" s="9"/>
      <c r="F730" s="15"/>
      <c r="G730" s="15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</row>
    <row r="731" spans="1:24" ht="19.5" customHeight="1" x14ac:dyDescent="0.25">
      <c r="A731" s="9"/>
      <c r="B731" s="9"/>
      <c r="C731" s="9"/>
      <c r="D731" s="15"/>
      <c r="E731" s="9"/>
      <c r="F731" s="15"/>
      <c r="G731" s="15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</row>
    <row r="732" spans="1:24" ht="19.5" customHeight="1" x14ac:dyDescent="0.25">
      <c r="A732" s="9"/>
      <c r="B732" s="9"/>
      <c r="C732" s="9"/>
      <c r="D732" s="15"/>
      <c r="E732" s="9"/>
      <c r="F732" s="15"/>
      <c r="G732" s="15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</row>
    <row r="733" spans="1:24" ht="19.5" customHeight="1" x14ac:dyDescent="0.25">
      <c r="A733" s="9"/>
      <c r="B733" s="9"/>
      <c r="C733" s="9"/>
      <c r="D733" s="15"/>
      <c r="E733" s="9"/>
      <c r="F733" s="15"/>
      <c r="G733" s="15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</row>
    <row r="734" spans="1:24" ht="19.5" customHeight="1" x14ac:dyDescent="0.25">
      <c r="A734" s="9"/>
      <c r="B734" s="9"/>
      <c r="C734" s="9"/>
      <c r="D734" s="15"/>
      <c r="E734" s="9"/>
      <c r="F734" s="15"/>
      <c r="G734" s="15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</row>
    <row r="735" spans="1:24" ht="19.5" customHeight="1" x14ac:dyDescent="0.25">
      <c r="A735" s="9"/>
      <c r="B735" s="9"/>
      <c r="C735" s="9"/>
      <c r="D735" s="15"/>
      <c r="E735" s="9"/>
      <c r="F735" s="15"/>
      <c r="G735" s="15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</row>
    <row r="736" spans="1:24" ht="19.5" customHeight="1" x14ac:dyDescent="0.25">
      <c r="A736" s="9"/>
      <c r="B736" s="9"/>
      <c r="C736" s="9"/>
      <c r="D736" s="15"/>
      <c r="E736" s="9"/>
      <c r="F736" s="15"/>
      <c r="G736" s="15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</row>
    <row r="737" spans="1:24" ht="19.5" customHeight="1" x14ac:dyDescent="0.25">
      <c r="A737" s="9"/>
      <c r="B737" s="9"/>
      <c r="C737" s="9"/>
      <c r="D737" s="15"/>
      <c r="E737" s="9"/>
      <c r="F737" s="15"/>
      <c r="G737" s="15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</row>
    <row r="738" spans="1:24" ht="19.5" customHeight="1" x14ac:dyDescent="0.25">
      <c r="A738" s="9"/>
      <c r="B738" s="9"/>
      <c r="C738" s="9"/>
      <c r="D738" s="15"/>
      <c r="E738" s="9"/>
      <c r="F738" s="15"/>
      <c r="G738" s="15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</row>
    <row r="739" spans="1:24" ht="19.5" customHeight="1" x14ac:dyDescent="0.25">
      <c r="A739" s="9"/>
      <c r="B739" s="9"/>
      <c r="C739" s="9"/>
      <c r="D739" s="15"/>
      <c r="E739" s="9"/>
      <c r="F739" s="15"/>
      <c r="G739" s="15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</row>
    <row r="740" spans="1:24" ht="19.5" customHeight="1" x14ac:dyDescent="0.25">
      <c r="A740" s="9"/>
      <c r="B740" s="9"/>
      <c r="C740" s="9"/>
      <c r="D740" s="15"/>
      <c r="E740" s="9"/>
      <c r="F740" s="15"/>
      <c r="G740" s="15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</row>
    <row r="741" spans="1:24" ht="19.5" customHeight="1" x14ac:dyDescent="0.25">
      <c r="A741" s="9"/>
      <c r="B741" s="9"/>
      <c r="C741" s="9"/>
      <c r="D741" s="15"/>
      <c r="E741" s="9"/>
      <c r="F741" s="15"/>
      <c r="G741" s="15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</row>
    <row r="742" spans="1:24" ht="19.5" customHeight="1" x14ac:dyDescent="0.25">
      <c r="A742" s="9"/>
      <c r="B742" s="9"/>
      <c r="C742" s="9"/>
      <c r="D742" s="15"/>
      <c r="E742" s="9"/>
      <c r="F742" s="15"/>
      <c r="G742" s="15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</row>
    <row r="743" spans="1:24" ht="19.5" customHeight="1" x14ac:dyDescent="0.25">
      <c r="A743" s="9"/>
      <c r="B743" s="9"/>
      <c r="C743" s="9"/>
      <c r="D743" s="15"/>
      <c r="E743" s="9"/>
      <c r="F743" s="15"/>
      <c r="G743" s="15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</row>
    <row r="744" spans="1:24" ht="19.5" customHeight="1" x14ac:dyDescent="0.25">
      <c r="A744" s="9"/>
      <c r="B744" s="9"/>
      <c r="C744" s="9"/>
      <c r="D744" s="15"/>
      <c r="E744" s="9"/>
      <c r="F744" s="15"/>
      <c r="G744" s="15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</row>
    <row r="745" spans="1:24" ht="19.5" customHeight="1" x14ac:dyDescent="0.25">
      <c r="A745" s="9"/>
      <c r="B745" s="9"/>
      <c r="C745" s="9"/>
      <c r="D745" s="15"/>
      <c r="E745" s="9"/>
      <c r="F745" s="15"/>
      <c r="G745" s="15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</row>
    <row r="746" spans="1:24" ht="19.5" customHeight="1" x14ac:dyDescent="0.25">
      <c r="A746" s="9"/>
      <c r="B746" s="9"/>
      <c r="C746" s="9"/>
      <c r="D746" s="15"/>
      <c r="E746" s="9"/>
      <c r="F746" s="15"/>
      <c r="G746" s="15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</row>
    <row r="747" spans="1:24" ht="19.5" customHeight="1" x14ac:dyDescent="0.25">
      <c r="A747" s="9"/>
      <c r="B747" s="9"/>
      <c r="C747" s="9"/>
      <c r="D747" s="15"/>
      <c r="E747" s="9"/>
      <c r="F747" s="15"/>
      <c r="G747" s="15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</row>
    <row r="748" spans="1:24" ht="19.5" customHeight="1" x14ac:dyDescent="0.25">
      <c r="A748" s="9"/>
      <c r="B748" s="9"/>
      <c r="C748" s="9"/>
      <c r="D748" s="15"/>
      <c r="E748" s="9"/>
      <c r="F748" s="15"/>
      <c r="G748" s="15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</row>
    <row r="749" spans="1:24" ht="19.5" customHeight="1" x14ac:dyDescent="0.25">
      <c r="A749" s="9"/>
      <c r="B749" s="9"/>
      <c r="C749" s="9"/>
      <c r="D749" s="15"/>
      <c r="E749" s="9"/>
      <c r="F749" s="15"/>
      <c r="G749" s="15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</row>
    <row r="750" spans="1:24" ht="19.5" customHeight="1" x14ac:dyDescent="0.25">
      <c r="A750" s="9"/>
      <c r="B750" s="9"/>
      <c r="C750" s="9"/>
      <c r="D750" s="15"/>
      <c r="E750" s="9"/>
      <c r="F750" s="15"/>
      <c r="G750" s="15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</row>
    <row r="751" spans="1:24" ht="19.5" customHeight="1" x14ac:dyDescent="0.25">
      <c r="A751" s="9"/>
      <c r="B751" s="9"/>
      <c r="C751" s="9"/>
      <c r="D751" s="15"/>
      <c r="E751" s="9"/>
      <c r="F751" s="15"/>
      <c r="G751" s="15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</row>
    <row r="752" spans="1:24" ht="19.5" customHeight="1" x14ac:dyDescent="0.25">
      <c r="A752" s="9"/>
      <c r="B752" s="9"/>
      <c r="C752" s="9"/>
      <c r="D752" s="15"/>
      <c r="E752" s="9"/>
      <c r="F752" s="15"/>
      <c r="G752" s="15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</row>
    <row r="753" spans="1:24" ht="19.5" customHeight="1" x14ac:dyDescent="0.25">
      <c r="A753" s="9"/>
      <c r="B753" s="9"/>
      <c r="C753" s="9"/>
      <c r="D753" s="15"/>
      <c r="E753" s="9"/>
      <c r="F753" s="15"/>
      <c r="G753" s="15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</row>
    <row r="754" spans="1:24" ht="19.5" customHeight="1" x14ac:dyDescent="0.25">
      <c r="A754" s="9"/>
      <c r="B754" s="9"/>
      <c r="C754" s="9"/>
      <c r="D754" s="15"/>
      <c r="E754" s="9"/>
      <c r="F754" s="15"/>
      <c r="G754" s="15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</row>
    <row r="755" spans="1:24" ht="19.5" customHeight="1" x14ac:dyDescent="0.25">
      <c r="A755" s="9"/>
      <c r="B755" s="9"/>
      <c r="C755" s="9"/>
      <c r="D755" s="15"/>
      <c r="E755" s="9"/>
      <c r="F755" s="15"/>
      <c r="G755" s="15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</row>
    <row r="756" spans="1:24" ht="19.5" customHeight="1" x14ac:dyDescent="0.25">
      <c r="A756" s="9"/>
      <c r="B756" s="9"/>
      <c r="C756" s="9"/>
      <c r="D756" s="15"/>
      <c r="E756" s="9"/>
      <c r="F756" s="15"/>
      <c r="G756" s="15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</row>
    <row r="757" spans="1:24" ht="19.5" customHeight="1" x14ac:dyDescent="0.25">
      <c r="A757" s="9"/>
      <c r="B757" s="9"/>
      <c r="C757" s="9"/>
      <c r="D757" s="15"/>
      <c r="E757" s="9"/>
      <c r="F757" s="15"/>
      <c r="G757" s="15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</row>
    <row r="758" spans="1:24" ht="19.5" customHeight="1" x14ac:dyDescent="0.25">
      <c r="A758" s="9"/>
      <c r="B758" s="9"/>
      <c r="C758" s="9"/>
      <c r="D758" s="15"/>
      <c r="E758" s="9"/>
      <c r="F758" s="15"/>
      <c r="G758" s="15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</row>
    <row r="759" spans="1:24" ht="19.5" customHeight="1" x14ac:dyDescent="0.25">
      <c r="A759" s="9"/>
      <c r="B759" s="9"/>
      <c r="C759" s="9"/>
      <c r="D759" s="15"/>
      <c r="E759" s="9"/>
      <c r="F759" s="15"/>
      <c r="G759" s="15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</row>
    <row r="760" spans="1:24" ht="19.5" customHeight="1" x14ac:dyDescent="0.25">
      <c r="A760" s="9"/>
      <c r="B760" s="9"/>
      <c r="C760" s="9"/>
      <c r="D760" s="15"/>
      <c r="E760" s="9"/>
      <c r="F760" s="15"/>
      <c r="G760" s="15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</row>
    <row r="761" spans="1:24" ht="19.5" customHeight="1" x14ac:dyDescent="0.25">
      <c r="A761" s="9"/>
      <c r="B761" s="9"/>
      <c r="C761" s="9"/>
      <c r="D761" s="15"/>
      <c r="E761" s="9"/>
      <c r="F761" s="15"/>
      <c r="G761" s="15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</row>
    <row r="762" spans="1:24" ht="19.5" customHeight="1" x14ac:dyDescent="0.25">
      <c r="A762" s="9"/>
      <c r="B762" s="9"/>
      <c r="C762" s="9"/>
      <c r="D762" s="15"/>
      <c r="E762" s="9"/>
      <c r="F762" s="15"/>
      <c r="G762" s="15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</row>
    <row r="763" spans="1:24" ht="19.5" customHeight="1" x14ac:dyDescent="0.25">
      <c r="A763" s="9"/>
      <c r="B763" s="9"/>
      <c r="C763" s="9"/>
      <c r="D763" s="15"/>
      <c r="E763" s="9"/>
      <c r="F763" s="15"/>
      <c r="G763" s="15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</row>
    <row r="764" spans="1:24" ht="19.5" customHeight="1" x14ac:dyDescent="0.25">
      <c r="A764" s="9"/>
      <c r="B764" s="9"/>
      <c r="C764" s="9"/>
      <c r="D764" s="15"/>
      <c r="E764" s="9"/>
      <c r="F764" s="15"/>
      <c r="G764" s="15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</row>
    <row r="765" spans="1:24" ht="19.5" customHeight="1" x14ac:dyDescent="0.25">
      <c r="A765" s="9"/>
      <c r="B765" s="9"/>
      <c r="C765" s="9"/>
      <c r="D765" s="15"/>
      <c r="E765" s="9"/>
      <c r="F765" s="15"/>
      <c r="G765" s="15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</row>
    <row r="766" spans="1:24" ht="19.5" customHeight="1" x14ac:dyDescent="0.25">
      <c r="A766" s="9"/>
      <c r="B766" s="9"/>
      <c r="C766" s="9"/>
      <c r="D766" s="15"/>
      <c r="E766" s="9"/>
      <c r="F766" s="15"/>
      <c r="G766" s="15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</row>
    <row r="767" spans="1:24" ht="19.5" customHeight="1" x14ac:dyDescent="0.25">
      <c r="A767" s="9"/>
      <c r="B767" s="9"/>
      <c r="C767" s="9"/>
      <c r="D767" s="15"/>
      <c r="E767" s="9"/>
      <c r="F767" s="15"/>
      <c r="G767" s="15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</row>
    <row r="768" spans="1:24" ht="19.5" customHeight="1" x14ac:dyDescent="0.25">
      <c r="A768" s="9"/>
      <c r="B768" s="9"/>
      <c r="C768" s="9"/>
      <c r="D768" s="15"/>
      <c r="E768" s="9"/>
      <c r="F768" s="15"/>
      <c r="G768" s="15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</row>
    <row r="769" spans="1:24" ht="19.5" customHeight="1" x14ac:dyDescent="0.25">
      <c r="A769" s="9"/>
      <c r="B769" s="9"/>
      <c r="C769" s="9"/>
      <c r="D769" s="15"/>
      <c r="E769" s="9"/>
      <c r="F769" s="15"/>
      <c r="G769" s="15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</row>
    <row r="770" spans="1:24" ht="19.5" customHeight="1" x14ac:dyDescent="0.25">
      <c r="A770" s="9"/>
      <c r="B770" s="9"/>
      <c r="C770" s="9"/>
      <c r="D770" s="15"/>
      <c r="E770" s="9"/>
      <c r="F770" s="15"/>
      <c r="G770" s="15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</row>
    <row r="771" spans="1:24" ht="19.5" customHeight="1" x14ac:dyDescent="0.25">
      <c r="A771" s="9"/>
      <c r="B771" s="9"/>
      <c r="C771" s="9"/>
      <c r="D771" s="15"/>
      <c r="E771" s="9"/>
      <c r="F771" s="15"/>
      <c r="G771" s="15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</row>
    <row r="772" spans="1:24" ht="19.5" customHeight="1" x14ac:dyDescent="0.25">
      <c r="A772" s="9"/>
      <c r="B772" s="9"/>
      <c r="C772" s="9"/>
      <c r="D772" s="15"/>
      <c r="E772" s="9"/>
      <c r="F772" s="15"/>
      <c r="G772" s="15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</row>
    <row r="773" spans="1:24" ht="19.5" customHeight="1" x14ac:dyDescent="0.25">
      <c r="A773" s="9"/>
      <c r="B773" s="9"/>
      <c r="C773" s="9"/>
      <c r="D773" s="15"/>
      <c r="E773" s="9"/>
      <c r="F773" s="15"/>
      <c r="G773" s="15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</row>
    <row r="774" spans="1:24" ht="19.5" customHeight="1" x14ac:dyDescent="0.25">
      <c r="A774" s="9"/>
      <c r="B774" s="9"/>
      <c r="C774" s="9"/>
      <c r="D774" s="15"/>
      <c r="E774" s="9"/>
      <c r="F774" s="15"/>
      <c r="G774" s="15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</row>
    <row r="775" spans="1:24" ht="19.5" customHeight="1" x14ac:dyDescent="0.25">
      <c r="A775" s="9"/>
      <c r="B775" s="9"/>
      <c r="C775" s="9"/>
      <c r="D775" s="15"/>
      <c r="E775" s="9"/>
      <c r="F775" s="15"/>
      <c r="G775" s="15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</row>
    <row r="776" spans="1:24" ht="19.5" customHeight="1" x14ac:dyDescent="0.25">
      <c r="A776" s="9"/>
      <c r="B776" s="9"/>
      <c r="C776" s="9"/>
      <c r="D776" s="15"/>
      <c r="E776" s="9"/>
      <c r="F776" s="15"/>
      <c r="G776" s="15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</row>
    <row r="777" spans="1:24" ht="19.5" customHeight="1" x14ac:dyDescent="0.25">
      <c r="A777" s="9"/>
      <c r="B777" s="9"/>
      <c r="C777" s="9"/>
      <c r="D777" s="15"/>
      <c r="E777" s="9"/>
      <c r="F777" s="15"/>
      <c r="G777" s="15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</row>
    <row r="778" spans="1:24" ht="19.5" customHeight="1" x14ac:dyDescent="0.25">
      <c r="A778" s="9"/>
      <c r="B778" s="9"/>
      <c r="C778" s="9"/>
      <c r="D778" s="15"/>
      <c r="E778" s="9"/>
      <c r="F778" s="15"/>
      <c r="G778" s="15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</row>
    <row r="779" spans="1:24" ht="19.5" customHeight="1" x14ac:dyDescent="0.25">
      <c r="A779" s="9"/>
      <c r="B779" s="9"/>
      <c r="C779" s="9"/>
      <c r="D779" s="15"/>
      <c r="E779" s="9"/>
      <c r="F779" s="15"/>
      <c r="G779" s="15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</row>
    <row r="780" spans="1:24" ht="19.5" customHeight="1" x14ac:dyDescent="0.25">
      <c r="A780" s="9"/>
      <c r="B780" s="9"/>
      <c r="C780" s="9"/>
      <c r="D780" s="15"/>
      <c r="E780" s="9"/>
      <c r="F780" s="15"/>
      <c r="G780" s="15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</row>
    <row r="781" spans="1:24" ht="19.5" customHeight="1" x14ac:dyDescent="0.25">
      <c r="A781" s="9"/>
      <c r="B781" s="9"/>
      <c r="C781" s="9"/>
      <c r="D781" s="15"/>
      <c r="E781" s="9"/>
      <c r="F781" s="15"/>
      <c r="G781" s="15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</row>
    <row r="782" spans="1:24" ht="19.5" customHeight="1" x14ac:dyDescent="0.25">
      <c r="A782" s="9"/>
      <c r="B782" s="9"/>
      <c r="C782" s="9"/>
      <c r="D782" s="15"/>
      <c r="E782" s="9"/>
      <c r="F782" s="15"/>
      <c r="G782" s="15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</row>
    <row r="783" spans="1:24" ht="19.5" customHeight="1" x14ac:dyDescent="0.25">
      <c r="A783" s="9"/>
      <c r="B783" s="9"/>
      <c r="C783" s="9"/>
      <c r="D783" s="15"/>
      <c r="E783" s="9"/>
      <c r="F783" s="15"/>
      <c r="G783" s="15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</row>
    <row r="784" spans="1:24" ht="19.5" customHeight="1" x14ac:dyDescent="0.25">
      <c r="A784" s="9"/>
      <c r="B784" s="9"/>
      <c r="C784" s="9"/>
      <c r="D784" s="15"/>
      <c r="E784" s="9"/>
      <c r="F784" s="15"/>
      <c r="G784" s="15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</row>
    <row r="785" spans="1:24" ht="19.5" customHeight="1" x14ac:dyDescent="0.25">
      <c r="A785" s="9"/>
      <c r="B785" s="9"/>
      <c r="C785" s="9"/>
      <c r="D785" s="15"/>
      <c r="E785" s="9"/>
      <c r="F785" s="15"/>
      <c r="G785" s="15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</row>
    <row r="786" spans="1:24" ht="19.5" customHeight="1" x14ac:dyDescent="0.25">
      <c r="A786" s="9"/>
      <c r="B786" s="9"/>
      <c r="C786" s="9"/>
      <c r="D786" s="15"/>
      <c r="E786" s="9"/>
      <c r="F786" s="15"/>
      <c r="G786" s="15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</row>
    <row r="787" spans="1:24" ht="19.5" customHeight="1" x14ac:dyDescent="0.25">
      <c r="A787" s="9"/>
      <c r="B787" s="9"/>
      <c r="C787" s="9"/>
      <c r="D787" s="15"/>
      <c r="E787" s="9"/>
      <c r="F787" s="15"/>
      <c r="G787" s="15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</row>
    <row r="788" spans="1:24" ht="19.5" customHeight="1" x14ac:dyDescent="0.25">
      <c r="A788" s="9"/>
      <c r="B788" s="9"/>
      <c r="C788" s="9"/>
      <c r="D788" s="15"/>
      <c r="E788" s="9"/>
      <c r="F788" s="15"/>
      <c r="G788" s="15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</row>
    <row r="789" spans="1:24" ht="19.5" customHeight="1" x14ac:dyDescent="0.25">
      <c r="A789" s="9"/>
      <c r="B789" s="9"/>
      <c r="C789" s="9"/>
      <c r="D789" s="15"/>
      <c r="E789" s="9"/>
      <c r="F789" s="15"/>
      <c r="G789" s="15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</row>
    <row r="790" spans="1:24" ht="19.5" customHeight="1" x14ac:dyDescent="0.25">
      <c r="A790" s="9"/>
      <c r="B790" s="9"/>
      <c r="C790" s="9"/>
      <c r="D790" s="15"/>
      <c r="E790" s="9"/>
      <c r="F790" s="15"/>
      <c r="G790" s="15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</row>
    <row r="791" spans="1:24" ht="19.5" customHeight="1" x14ac:dyDescent="0.25">
      <c r="A791" s="9"/>
      <c r="B791" s="9"/>
      <c r="C791" s="9"/>
      <c r="D791" s="15"/>
      <c r="E791" s="9"/>
      <c r="F791" s="15"/>
      <c r="G791" s="15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</row>
    <row r="792" spans="1:24" ht="19.5" customHeight="1" x14ac:dyDescent="0.25">
      <c r="A792" s="9"/>
      <c r="B792" s="9"/>
      <c r="C792" s="9"/>
      <c r="D792" s="15"/>
      <c r="E792" s="9"/>
      <c r="F792" s="15"/>
      <c r="G792" s="15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</row>
    <row r="793" spans="1:24" ht="19.5" customHeight="1" x14ac:dyDescent="0.25">
      <c r="A793" s="9"/>
      <c r="B793" s="9"/>
      <c r="C793" s="9"/>
      <c r="D793" s="15"/>
      <c r="E793" s="9"/>
      <c r="F793" s="15"/>
      <c r="G793" s="15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</row>
    <row r="794" spans="1:24" ht="19.5" customHeight="1" x14ac:dyDescent="0.25">
      <c r="A794" s="9"/>
      <c r="B794" s="9"/>
      <c r="C794" s="9"/>
      <c r="D794" s="15"/>
      <c r="E794" s="9"/>
      <c r="F794" s="15"/>
      <c r="G794" s="15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</row>
    <row r="795" spans="1:24" ht="19.5" customHeight="1" x14ac:dyDescent="0.25">
      <c r="A795" s="9"/>
      <c r="B795" s="9"/>
      <c r="C795" s="9"/>
      <c r="D795" s="15"/>
      <c r="E795" s="9"/>
      <c r="F795" s="15"/>
      <c r="G795" s="15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</row>
    <row r="796" spans="1:24" ht="19.5" customHeight="1" x14ac:dyDescent="0.25">
      <c r="A796" s="9"/>
      <c r="B796" s="9"/>
      <c r="C796" s="9"/>
      <c r="D796" s="15"/>
      <c r="E796" s="9"/>
      <c r="F796" s="15"/>
      <c r="G796" s="15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</row>
    <row r="797" spans="1:24" ht="19.5" customHeight="1" x14ac:dyDescent="0.25">
      <c r="A797" s="9"/>
      <c r="B797" s="9"/>
      <c r="C797" s="9"/>
      <c r="D797" s="15"/>
      <c r="E797" s="9"/>
      <c r="F797" s="15"/>
      <c r="G797" s="15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</row>
    <row r="798" spans="1:24" ht="19.5" customHeight="1" x14ac:dyDescent="0.25">
      <c r="A798" s="9"/>
      <c r="B798" s="9"/>
      <c r="C798" s="9"/>
      <c r="D798" s="15"/>
      <c r="E798" s="9"/>
      <c r="F798" s="15"/>
      <c r="G798" s="15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</row>
    <row r="799" spans="1:24" ht="19.5" customHeight="1" x14ac:dyDescent="0.25">
      <c r="A799" s="9"/>
      <c r="B799" s="9"/>
      <c r="C799" s="9"/>
      <c r="D799" s="15"/>
      <c r="E799" s="9"/>
      <c r="F799" s="15"/>
      <c r="G799" s="15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</row>
    <row r="800" spans="1:24" ht="19.5" customHeight="1" x14ac:dyDescent="0.25">
      <c r="A800" s="9"/>
      <c r="B800" s="9"/>
      <c r="C800" s="9"/>
      <c r="D800" s="15"/>
      <c r="E800" s="9"/>
      <c r="F800" s="15"/>
      <c r="G800" s="15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</row>
    <row r="801" spans="1:24" ht="19.5" customHeight="1" x14ac:dyDescent="0.25">
      <c r="A801" s="9"/>
      <c r="B801" s="9"/>
      <c r="C801" s="9"/>
      <c r="D801" s="15"/>
      <c r="E801" s="9"/>
      <c r="F801" s="15"/>
      <c r="G801" s="15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</row>
    <row r="802" spans="1:24" ht="19.5" customHeight="1" x14ac:dyDescent="0.25">
      <c r="A802" s="9"/>
      <c r="B802" s="9"/>
      <c r="C802" s="9"/>
      <c r="D802" s="15"/>
      <c r="E802" s="9"/>
      <c r="F802" s="15"/>
      <c r="G802" s="15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</row>
    <row r="803" spans="1:24" ht="19.5" customHeight="1" x14ac:dyDescent="0.25">
      <c r="A803" s="9"/>
      <c r="B803" s="9"/>
      <c r="C803" s="9"/>
      <c r="D803" s="15"/>
      <c r="E803" s="9"/>
      <c r="F803" s="15"/>
      <c r="G803" s="15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</row>
    <row r="804" spans="1:24" ht="19.5" customHeight="1" x14ac:dyDescent="0.25">
      <c r="A804" s="9"/>
      <c r="B804" s="9"/>
      <c r="C804" s="9"/>
      <c r="D804" s="15"/>
      <c r="E804" s="9"/>
      <c r="F804" s="15"/>
      <c r="G804" s="15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</row>
    <row r="805" spans="1:24" ht="19.5" customHeight="1" x14ac:dyDescent="0.25">
      <c r="A805" s="9"/>
      <c r="B805" s="9"/>
      <c r="C805" s="9"/>
      <c r="D805" s="15"/>
      <c r="E805" s="9"/>
      <c r="F805" s="15"/>
      <c r="G805" s="15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</row>
    <row r="806" spans="1:24" ht="19.5" customHeight="1" x14ac:dyDescent="0.25">
      <c r="A806" s="9"/>
      <c r="B806" s="9"/>
      <c r="C806" s="9"/>
      <c r="D806" s="15"/>
      <c r="E806" s="9"/>
      <c r="F806" s="15"/>
      <c r="G806" s="15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</row>
    <row r="807" spans="1:24" ht="19.5" customHeight="1" x14ac:dyDescent="0.25">
      <c r="A807" s="9"/>
      <c r="B807" s="9"/>
      <c r="C807" s="9"/>
      <c r="D807" s="15"/>
      <c r="E807" s="9"/>
      <c r="F807" s="15"/>
      <c r="G807" s="15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</row>
    <row r="808" spans="1:24" ht="19.5" customHeight="1" x14ac:dyDescent="0.25">
      <c r="A808" s="9"/>
      <c r="B808" s="9"/>
      <c r="C808" s="9"/>
      <c r="D808" s="15"/>
      <c r="E808" s="9"/>
      <c r="F808" s="15"/>
      <c r="G808" s="15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</row>
    <row r="809" spans="1:24" ht="19.5" customHeight="1" x14ac:dyDescent="0.25">
      <c r="A809" s="9"/>
      <c r="B809" s="9"/>
      <c r="C809" s="9"/>
      <c r="D809" s="15"/>
      <c r="E809" s="9"/>
      <c r="F809" s="15"/>
      <c r="G809" s="15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</row>
    <row r="810" spans="1:24" ht="19.5" customHeight="1" x14ac:dyDescent="0.25">
      <c r="A810" s="9"/>
      <c r="B810" s="9"/>
      <c r="C810" s="9"/>
      <c r="D810" s="15"/>
      <c r="E810" s="9"/>
      <c r="F810" s="15"/>
      <c r="G810" s="15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</row>
    <row r="811" spans="1:24" ht="19.5" customHeight="1" x14ac:dyDescent="0.25">
      <c r="A811" s="9"/>
      <c r="B811" s="9"/>
      <c r="C811" s="9"/>
      <c r="D811" s="15"/>
      <c r="E811" s="9"/>
      <c r="F811" s="15"/>
      <c r="G811" s="15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</row>
    <row r="812" spans="1:24" ht="19.5" customHeight="1" x14ac:dyDescent="0.25">
      <c r="A812" s="9"/>
      <c r="B812" s="9"/>
      <c r="C812" s="9"/>
      <c r="D812" s="15"/>
      <c r="E812" s="9"/>
      <c r="F812" s="15"/>
      <c r="G812" s="15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</row>
    <row r="813" spans="1:24" ht="19.5" customHeight="1" x14ac:dyDescent="0.25">
      <c r="A813" s="9"/>
      <c r="B813" s="9"/>
      <c r="C813" s="9"/>
      <c r="D813" s="15"/>
      <c r="E813" s="9"/>
      <c r="F813" s="15"/>
      <c r="G813" s="15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</row>
    <row r="814" spans="1:24" ht="19.5" customHeight="1" x14ac:dyDescent="0.25">
      <c r="A814" s="9"/>
      <c r="B814" s="9"/>
      <c r="C814" s="9"/>
      <c r="D814" s="15"/>
      <c r="E814" s="9"/>
      <c r="F814" s="15"/>
      <c r="G814" s="15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</row>
    <row r="815" spans="1:24" ht="19.5" customHeight="1" x14ac:dyDescent="0.25">
      <c r="A815" s="9"/>
      <c r="B815" s="9"/>
      <c r="C815" s="9"/>
      <c r="D815" s="15"/>
      <c r="E815" s="9"/>
      <c r="F815" s="15"/>
      <c r="G815" s="15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</row>
    <row r="816" spans="1:24" ht="19.5" customHeight="1" x14ac:dyDescent="0.25">
      <c r="A816" s="9"/>
      <c r="B816" s="9"/>
      <c r="C816" s="9"/>
      <c r="D816" s="15"/>
      <c r="E816" s="9"/>
      <c r="F816" s="15"/>
      <c r="G816" s="15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</row>
    <row r="817" spans="1:24" ht="19.5" customHeight="1" x14ac:dyDescent="0.25">
      <c r="A817" s="9"/>
      <c r="B817" s="9"/>
      <c r="C817" s="9"/>
      <c r="D817" s="15"/>
      <c r="E817" s="9"/>
      <c r="F817" s="15"/>
      <c r="G817" s="15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</row>
    <row r="818" spans="1:24" ht="19.5" customHeight="1" x14ac:dyDescent="0.25">
      <c r="A818" s="9"/>
      <c r="B818" s="9"/>
      <c r="C818" s="9"/>
      <c r="D818" s="15"/>
      <c r="E818" s="9"/>
      <c r="F818" s="15"/>
      <c r="G818" s="15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</row>
    <row r="819" spans="1:24" ht="19.5" customHeight="1" x14ac:dyDescent="0.25">
      <c r="A819" s="9"/>
      <c r="B819" s="9"/>
      <c r="C819" s="9"/>
      <c r="D819" s="15"/>
      <c r="E819" s="9"/>
      <c r="F819" s="15"/>
      <c r="G819" s="15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</row>
    <row r="820" spans="1:24" ht="19.5" customHeight="1" x14ac:dyDescent="0.25">
      <c r="A820" s="9"/>
      <c r="B820" s="9"/>
      <c r="C820" s="9"/>
      <c r="D820" s="15"/>
      <c r="E820" s="9"/>
      <c r="F820" s="15"/>
      <c r="G820" s="15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</row>
    <row r="821" spans="1:24" ht="19.5" customHeight="1" x14ac:dyDescent="0.25">
      <c r="A821" s="9"/>
      <c r="B821" s="9"/>
      <c r="C821" s="9"/>
      <c r="D821" s="15"/>
      <c r="E821" s="9"/>
      <c r="F821" s="15"/>
      <c r="G821" s="15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</row>
    <row r="822" spans="1:24" ht="19.5" customHeight="1" x14ac:dyDescent="0.25">
      <c r="A822" s="9"/>
      <c r="B822" s="9"/>
      <c r="C822" s="9"/>
      <c r="D822" s="15"/>
      <c r="E822" s="9"/>
      <c r="F822" s="15"/>
      <c r="G822" s="15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</row>
    <row r="823" spans="1:24" ht="19.5" customHeight="1" x14ac:dyDescent="0.25">
      <c r="A823" s="9"/>
      <c r="B823" s="9"/>
      <c r="C823" s="9"/>
      <c r="D823" s="15"/>
      <c r="E823" s="9"/>
      <c r="F823" s="15"/>
      <c r="G823" s="15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</row>
    <row r="824" spans="1:24" ht="19.5" customHeight="1" x14ac:dyDescent="0.25">
      <c r="A824" s="9"/>
      <c r="B824" s="9"/>
      <c r="C824" s="9"/>
      <c r="D824" s="15"/>
      <c r="E824" s="9"/>
      <c r="F824" s="15"/>
      <c r="G824" s="15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</row>
    <row r="825" spans="1:24" ht="19.5" customHeight="1" x14ac:dyDescent="0.25">
      <c r="A825" s="9"/>
      <c r="B825" s="9"/>
      <c r="C825" s="9"/>
      <c r="D825" s="15"/>
      <c r="E825" s="9"/>
      <c r="F825" s="15"/>
      <c r="G825" s="15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</row>
    <row r="826" spans="1:24" ht="19.5" customHeight="1" x14ac:dyDescent="0.25">
      <c r="A826" s="9"/>
      <c r="B826" s="9"/>
      <c r="C826" s="9"/>
      <c r="D826" s="15"/>
      <c r="E826" s="9"/>
      <c r="F826" s="15"/>
      <c r="G826" s="15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</row>
    <row r="827" spans="1:24" ht="19.5" customHeight="1" x14ac:dyDescent="0.25">
      <c r="A827" s="9"/>
      <c r="B827" s="9"/>
      <c r="C827" s="9"/>
      <c r="D827" s="15"/>
      <c r="E827" s="9"/>
      <c r="F827" s="15"/>
      <c r="G827" s="15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</row>
    <row r="828" spans="1:24" ht="19.5" customHeight="1" x14ac:dyDescent="0.25">
      <c r="A828" s="9"/>
      <c r="B828" s="9"/>
      <c r="C828" s="9"/>
      <c r="D828" s="15"/>
      <c r="E828" s="9"/>
      <c r="F828" s="15"/>
      <c r="G828" s="15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</row>
    <row r="829" spans="1:24" ht="19.5" customHeight="1" x14ac:dyDescent="0.25">
      <c r="A829" s="9"/>
      <c r="B829" s="9"/>
      <c r="C829" s="9"/>
      <c r="D829" s="15"/>
      <c r="E829" s="9"/>
      <c r="F829" s="15"/>
      <c r="G829" s="15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</row>
    <row r="830" spans="1:24" ht="19.5" customHeight="1" x14ac:dyDescent="0.25">
      <c r="A830" s="9"/>
      <c r="B830" s="9"/>
      <c r="C830" s="9"/>
      <c r="D830" s="15"/>
      <c r="E830" s="9"/>
      <c r="F830" s="15"/>
      <c r="G830" s="15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</row>
    <row r="831" spans="1:24" ht="19.5" customHeight="1" x14ac:dyDescent="0.25">
      <c r="A831" s="9"/>
      <c r="B831" s="9"/>
      <c r="C831" s="9"/>
      <c r="D831" s="15"/>
      <c r="E831" s="9"/>
      <c r="F831" s="15"/>
      <c r="G831" s="15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</row>
    <row r="832" spans="1:24" ht="19.5" customHeight="1" x14ac:dyDescent="0.25">
      <c r="A832" s="9"/>
      <c r="B832" s="9"/>
      <c r="C832" s="9"/>
      <c r="D832" s="15"/>
      <c r="E832" s="9"/>
      <c r="F832" s="15"/>
      <c r="G832" s="15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</row>
    <row r="833" spans="1:24" ht="19.5" customHeight="1" x14ac:dyDescent="0.25">
      <c r="A833" s="9"/>
      <c r="B833" s="9"/>
      <c r="C833" s="9"/>
      <c r="D833" s="15"/>
      <c r="E833" s="9"/>
      <c r="F833" s="15"/>
      <c r="G833" s="15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</row>
    <row r="834" spans="1:24" ht="19.5" customHeight="1" x14ac:dyDescent="0.25">
      <c r="A834" s="9"/>
      <c r="B834" s="9"/>
      <c r="C834" s="9"/>
      <c r="D834" s="15"/>
      <c r="E834" s="9"/>
      <c r="F834" s="15"/>
      <c r="G834" s="15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</row>
    <row r="835" spans="1:24" ht="19.5" customHeight="1" x14ac:dyDescent="0.25">
      <c r="A835" s="9"/>
      <c r="B835" s="9"/>
      <c r="C835" s="9"/>
      <c r="D835" s="15"/>
      <c r="E835" s="9"/>
      <c r="F835" s="15"/>
      <c r="G835" s="15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</row>
    <row r="836" spans="1:24" ht="19.5" customHeight="1" x14ac:dyDescent="0.25">
      <c r="A836" s="9"/>
      <c r="B836" s="9"/>
      <c r="C836" s="9"/>
      <c r="D836" s="15"/>
      <c r="E836" s="9"/>
      <c r="F836" s="15"/>
      <c r="G836" s="15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</row>
    <row r="837" spans="1:24" ht="19.5" customHeight="1" x14ac:dyDescent="0.25">
      <c r="A837" s="9"/>
      <c r="B837" s="9"/>
      <c r="C837" s="9"/>
      <c r="D837" s="15"/>
      <c r="E837" s="9"/>
      <c r="F837" s="15"/>
      <c r="G837" s="15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</row>
    <row r="838" spans="1:24" ht="19.5" customHeight="1" x14ac:dyDescent="0.25">
      <c r="A838" s="9"/>
      <c r="B838" s="9"/>
      <c r="C838" s="9"/>
      <c r="D838" s="15"/>
      <c r="E838" s="9"/>
      <c r="F838" s="15"/>
      <c r="G838" s="15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</row>
    <row r="839" spans="1:24" ht="19.5" customHeight="1" x14ac:dyDescent="0.25">
      <c r="A839" s="9"/>
      <c r="B839" s="9"/>
      <c r="C839" s="9"/>
      <c r="D839" s="15"/>
      <c r="E839" s="9"/>
      <c r="F839" s="15"/>
      <c r="G839" s="15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</row>
    <row r="840" spans="1:24" ht="19.5" customHeight="1" x14ac:dyDescent="0.25">
      <c r="A840" s="9"/>
      <c r="B840" s="9"/>
      <c r="C840" s="9"/>
      <c r="D840" s="15"/>
      <c r="E840" s="9"/>
      <c r="F840" s="15"/>
      <c r="G840" s="15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</row>
    <row r="841" spans="1:24" ht="19.5" customHeight="1" x14ac:dyDescent="0.25">
      <c r="A841" s="9"/>
      <c r="B841" s="9"/>
      <c r="C841" s="9"/>
      <c r="D841" s="15"/>
      <c r="E841" s="9"/>
      <c r="F841" s="15"/>
      <c r="G841" s="15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</row>
    <row r="842" spans="1:24" ht="19.5" customHeight="1" x14ac:dyDescent="0.25">
      <c r="A842" s="9"/>
      <c r="B842" s="9"/>
      <c r="C842" s="9"/>
      <c r="D842" s="15"/>
      <c r="E842" s="9"/>
      <c r="F842" s="15"/>
      <c r="G842" s="15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</row>
    <row r="843" spans="1:24" ht="19.5" customHeight="1" x14ac:dyDescent="0.25">
      <c r="A843" s="9"/>
      <c r="B843" s="9"/>
      <c r="C843" s="9"/>
      <c r="D843" s="15"/>
      <c r="E843" s="9"/>
      <c r="F843" s="15"/>
      <c r="G843" s="15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</row>
    <row r="844" spans="1:24" ht="19.5" customHeight="1" x14ac:dyDescent="0.25">
      <c r="A844" s="9"/>
      <c r="B844" s="9"/>
      <c r="C844" s="9"/>
      <c r="D844" s="15"/>
      <c r="E844" s="9"/>
      <c r="F844" s="15"/>
      <c r="G844" s="15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</row>
    <row r="845" spans="1:24" ht="19.5" customHeight="1" x14ac:dyDescent="0.25">
      <c r="A845" s="9"/>
      <c r="B845" s="9"/>
      <c r="C845" s="9"/>
      <c r="D845" s="15"/>
      <c r="E845" s="9"/>
      <c r="F845" s="15"/>
      <c r="G845" s="15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</row>
    <row r="846" spans="1:24" ht="19.5" customHeight="1" x14ac:dyDescent="0.25">
      <c r="A846" s="9"/>
      <c r="B846" s="9"/>
      <c r="C846" s="9"/>
      <c r="D846" s="15"/>
      <c r="E846" s="9"/>
      <c r="F846" s="15"/>
      <c r="G846" s="15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</row>
    <row r="847" spans="1:24" ht="19.5" customHeight="1" x14ac:dyDescent="0.25">
      <c r="A847" s="9"/>
      <c r="B847" s="9"/>
      <c r="C847" s="9"/>
      <c r="D847" s="15"/>
      <c r="E847" s="9"/>
      <c r="F847" s="15"/>
      <c r="G847" s="15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</row>
    <row r="848" spans="1:24" ht="19.5" customHeight="1" x14ac:dyDescent="0.25">
      <c r="A848" s="9"/>
      <c r="B848" s="9"/>
      <c r="C848" s="9"/>
      <c r="D848" s="15"/>
      <c r="E848" s="9"/>
      <c r="F848" s="15"/>
      <c r="G848" s="15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</row>
    <row r="849" spans="1:24" ht="19.5" customHeight="1" x14ac:dyDescent="0.25">
      <c r="A849" s="9"/>
      <c r="B849" s="9"/>
      <c r="C849" s="9"/>
      <c r="D849" s="15"/>
      <c r="E849" s="9"/>
      <c r="F849" s="15"/>
      <c r="G849" s="15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</row>
    <row r="850" spans="1:24" ht="19.5" customHeight="1" x14ac:dyDescent="0.25">
      <c r="A850" s="9"/>
      <c r="B850" s="9"/>
      <c r="C850" s="9"/>
      <c r="D850" s="15"/>
      <c r="E850" s="9"/>
      <c r="F850" s="15"/>
      <c r="G850" s="15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</row>
    <row r="851" spans="1:24" ht="19.5" customHeight="1" x14ac:dyDescent="0.25">
      <c r="A851" s="9"/>
      <c r="B851" s="9"/>
      <c r="C851" s="9"/>
      <c r="D851" s="15"/>
      <c r="E851" s="9"/>
      <c r="F851" s="15"/>
      <c r="G851" s="15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</row>
    <row r="852" spans="1:24" ht="19.5" customHeight="1" x14ac:dyDescent="0.25">
      <c r="A852" s="9"/>
      <c r="B852" s="9"/>
      <c r="C852" s="9"/>
      <c r="D852" s="15"/>
      <c r="E852" s="9"/>
      <c r="F852" s="15"/>
      <c r="G852" s="15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</row>
    <row r="853" spans="1:24" ht="19.5" customHeight="1" x14ac:dyDescent="0.25">
      <c r="A853" s="9"/>
      <c r="B853" s="9"/>
      <c r="C853" s="9"/>
      <c r="D853" s="15"/>
      <c r="E853" s="9"/>
      <c r="F853" s="15"/>
      <c r="G853" s="15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</row>
    <row r="854" spans="1:24" ht="19.5" customHeight="1" x14ac:dyDescent="0.25">
      <c r="A854" s="9"/>
      <c r="B854" s="9"/>
      <c r="C854" s="9"/>
      <c r="D854" s="15"/>
      <c r="E854" s="9"/>
      <c r="F854" s="15"/>
      <c r="G854" s="15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</row>
    <row r="855" spans="1:24" ht="19.5" customHeight="1" x14ac:dyDescent="0.25">
      <c r="A855" s="9"/>
      <c r="B855" s="9"/>
      <c r="C855" s="9"/>
      <c r="D855" s="15"/>
      <c r="E855" s="9"/>
      <c r="F855" s="15"/>
      <c r="G855" s="15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</row>
    <row r="856" spans="1:24" ht="19.5" customHeight="1" x14ac:dyDescent="0.25">
      <c r="A856" s="9"/>
      <c r="B856" s="9"/>
      <c r="C856" s="9"/>
      <c r="D856" s="15"/>
      <c r="E856" s="9"/>
      <c r="F856" s="15"/>
      <c r="G856" s="15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</row>
    <row r="857" spans="1:24" ht="19.5" customHeight="1" x14ac:dyDescent="0.25">
      <c r="A857" s="9"/>
      <c r="B857" s="9"/>
      <c r="C857" s="9"/>
      <c r="D857" s="15"/>
      <c r="E857" s="9"/>
      <c r="F857" s="15"/>
      <c r="G857" s="15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</row>
    <row r="858" spans="1:24" ht="19.5" customHeight="1" x14ac:dyDescent="0.25">
      <c r="A858" s="9"/>
      <c r="B858" s="9"/>
      <c r="C858" s="9"/>
      <c r="D858" s="15"/>
      <c r="E858" s="9"/>
      <c r="F858" s="15"/>
      <c r="G858" s="15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</row>
    <row r="859" spans="1:24" ht="19.5" customHeight="1" x14ac:dyDescent="0.25">
      <c r="A859" s="9"/>
      <c r="B859" s="9"/>
      <c r="C859" s="9"/>
      <c r="D859" s="15"/>
      <c r="E859" s="9"/>
      <c r="F859" s="15"/>
      <c r="G859" s="15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</row>
    <row r="860" spans="1:24" ht="19.5" customHeight="1" x14ac:dyDescent="0.25">
      <c r="A860" s="9"/>
      <c r="B860" s="9"/>
      <c r="C860" s="9"/>
      <c r="D860" s="15"/>
      <c r="E860" s="9"/>
      <c r="F860" s="15"/>
      <c r="G860" s="15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</row>
    <row r="861" spans="1:24" ht="19.5" customHeight="1" x14ac:dyDescent="0.25">
      <c r="A861" s="9"/>
      <c r="B861" s="9"/>
      <c r="C861" s="9"/>
      <c r="D861" s="15"/>
      <c r="E861" s="9"/>
      <c r="F861" s="15"/>
      <c r="G861" s="15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</row>
    <row r="862" spans="1:24" ht="19.5" customHeight="1" x14ac:dyDescent="0.25">
      <c r="A862" s="9"/>
      <c r="B862" s="9"/>
      <c r="C862" s="9"/>
      <c r="D862" s="15"/>
      <c r="E862" s="9"/>
      <c r="F862" s="15"/>
      <c r="G862" s="15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</row>
    <row r="863" spans="1:24" ht="19.5" customHeight="1" x14ac:dyDescent="0.25">
      <c r="A863" s="9"/>
      <c r="B863" s="9"/>
      <c r="C863" s="9"/>
      <c r="D863" s="15"/>
      <c r="E863" s="9"/>
      <c r="F863" s="15"/>
      <c r="G863" s="15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</row>
    <row r="864" spans="1:24" ht="19.5" customHeight="1" x14ac:dyDescent="0.25">
      <c r="A864" s="9"/>
      <c r="B864" s="9"/>
      <c r="C864" s="9"/>
      <c r="D864" s="15"/>
      <c r="E864" s="9"/>
      <c r="F864" s="15"/>
      <c r="G864" s="15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</row>
    <row r="865" spans="1:24" ht="19.5" customHeight="1" x14ac:dyDescent="0.25">
      <c r="A865" s="9"/>
      <c r="B865" s="9"/>
      <c r="C865" s="9"/>
      <c r="D865" s="15"/>
      <c r="E865" s="9"/>
      <c r="F865" s="15"/>
      <c r="G865" s="15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</row>
    <row r="866" spans="1:24" ht="19.5" customHeight="1" x14ac:dyDescent="0.25">
      <c r="A866" s="9"/>
      <c r="B866" s="9"/>
      <c r="C866" s="9"/>
      <c r="D866" s="15"/>
      <c r="E866" s="9"/>
      <c r="F866" s="15"/>
      <c r="G866" s="15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</row>
    <row r="867" spans="1:24" ht="19.5" customHeight="1" x14ac:dyDescent="0.25">
      <c r="A867" s="9"/>
      <c r="B867" s="9"/>
      <c r="C867" s="9"/>
      <c r="D867" s="15"/>
      <c r="E867" s="9"/>
      <c r="F867" s="15"/>
      <c r="G867" s="15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</row>
    <row r="868" spans="1:24" ht="19.5" customHeight="1" x14ac:dyDescent="0.25">
      <c r="A868" s="9"/>
      <c r="B868" s="9"/>
      <c r="C868" s="9"/>
      <c r="D868" s="15"/>
      <c r="E868" s="9"/>
      <c r="F868" s="15"/>
      <c r="G868" s="15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</row>
    <row r="869" spans="1:24" ht="19.5" customHeight="1" x14ac:dyDescent="0.25">
      <c r="A869" s="9"/>
      <c r="B869" s="9"/>
      <c r="C869" s="9"/>
      <c r="D869" s="15"/>
      <c r="E869" s="9"/>
      <c r="F869" s="15"/>
      <c r="G869" s="15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</row>
    <row r="870" spans="1:24" ht="19.5" customHeight="1" x14ac:dyDescent="0.25">
      <c r="A870" s="9"/>
      <c r="B870" s="9"/>
      <c r="C870" s="9"/>
      <c r="D870" s="15"/>
      <c r="E870" s="9"/>
      <c r="F870" s="15"/>
      <c r="G870" s="15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</row>
    <row r="871" spans="1:24" ht="19.5" customHeight="1" x14ac:dyDescent="0.25">
      <c r="A871" s="9"/>
      <c r="B871" s="9"/>
      <c r="C871" s="9"/>
      <c r="D871" s="15"/>
      <c r="E871" s="9"/>
      <c r="F871" s="15"/>
      <c r="G871" s="15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</row>
    <row r="872" spans="1:24" ht="19.5" customHeight="1" x14ac:dyDescent="0.25">
      <c r="A872" s="9"/>
      <c r="B872" s="9"/>
      <c r="C872" s="9"/>
      <c r="D872" s="15"/>
      <c r="E872" s="9"/>
      <c r="F872" s="15"/>
      <c r="G872" s="15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</row>
    <row r="873" spans="1:24" ht="19.5" customHeight="1" x14ac:dyDescent="0.25">
      <c r="A873" s="9"/>
      <c r="B873" s="9"/>
      <c r="C873" s="9"/>
      <c r="D873" s="15"/>
      <c r="E873" s="9"/>
      <c r="F873" s="15"/>
      <c r="G873" s="15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</row>
    <row r="874" spans="1:24" ht="19.5" customHeight="1" x14ac:dyDescent="0.25">
      <c r="A874" s="9"/>
      <c r="B874" s="9"/>
      <c r="C874" s="9"/>
      <c r="D874" s="15"/>
      <c r="E874" s="9"/>
      <c r="F874" s="15"/>
      <c r="G874" s="15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</row>
    <row r="875" spans="1:24" ht="19.5" customHeight="1" x14ac:dyDescent="0.25">
      <c r="A875" s="9"/>
      <c r="B875" s="9"/>
      <c r="C875" s="9"/>
      <c r="D875" s="15"/>
      <c r="E875" s="9"/>
      <c r="F875" s="15"/>
      <c r="G875" s="15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</row>
    <row r="876" spans="1:24" ht="19.5" customHeight="1" x14ac:dyDescent="0.25">
      <c r="A876" s="9"/>
      <c r="B876" s="9"/>
      <c r="C876" s="9"/>
      <c r="D876" s="15"/>
      <c r="E876" s="9"/>
      <c r="F876" s="15"/>
      <c r="G876" s="15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</row>
    <row r="877" spans="1:24" ht="19.5" customHeight="1" x14ac:dyDescent="0.25">
      <c r="A877" s="9"/>
      <c r="B877" s="9"/>
      <c r="C877" s="9"/>
      <c r="D877" s="15"/>
      <c r="E877" s="9"/>
      <c r="F877" s="15"/>
      <c r="G877" s="15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</row>
    <row r="878" spans="1:24" ht="19.5" customHeight="1" x14ac:dyDescent="0.25">
      <c r="A878" s="9"/>
      <c r="B878" s="9"/>
      <c r="C878" s="9"/>
      <c r="D878" s="15"/>
      <c r="E878" s="9"/>
      <c r="F878" s="15"/>
      <c r="G878" s="15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</row>
    <row r="879" spans="1:24" ht="19.5" customHeight="1" x14ac:dyDescent="0.25">
      <c r="A879" s="9"/>
      <c r="B879" s="9"/>
      <c r="C879" s="9"/>
      <c r="D879" s="15"/>
      <c r="E879" s="9"/>
      <c r="F879" s="15"/>
      <c r="G879" s="15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</row>
    <row r="880" spans="1:24" ht="19.5" customHeight="1" x14ac:dyDescent="0.25">
      <c r="A880" s="9"/>
      <c r="B880" s="9"/>
      <c r="C880" s="9"/>
      <c r="D880" s="15"/>
      <c r="E880" s="9"/>
      <c r="F880" s="15"/>
      <c r="G880" s="15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</row>
    <row r="881" spans="1:24" ht="19.5" customHeight="1" x14ac:dyDescent="0.25">
      <c r="A881" s="9"/>
      <c r="B881" s="9"/>
      <c r="C881" s="9"/>
      <c r="D881" s="15"/>
      <c r="E881" s="9"/>
      <c r="F881" s="15"/>
      <c r="G881" s="15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</row>
    <row r="882" spans="1:24" ht="19.5" customHeight="1" x14ac:dyDescent="0.25">
      <c r="A882" s="9"/>
      <c r="B882" s="9"/>
      <c r="C882" s="9"/>
      <c r="D882" s="15"/>
      <c r="E882" s="9"/>
      <c r="F882" s="15"/>
      <c r="G882" s="15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</row>
    <row r="883" spans="1:24" ht="19.5" customHeight="1" x14ac:dyDescent="0.25">
      <c r="A883" s="9"/>
      <c r="B883" s="9"/>
      <c r="C883" s="9"/>
      <c r="D883" s="15"/>
      <c r="E883" s="9"/>
      <c r="F883" s="15"/>
      <c r="G883" s="15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</row>
    <row r="884" spans="1:24" ht="19.5" customHeight="1" x14ac:dyDescent="0.25">
      <c r="A884" s="9"/>
      <c r="B884" s="9"/>
      <c r="C884" s="9"/>
      <c r="D884" s="15"/>
      <c r="E884" s="9"/>
      <c r="F884" s="15"/>
      <c r="G884" s="15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</row>
    <row r="885" spans="1:24" ht="19.5" customHeight="1" x14ac:dyDescent="0.25">
      <c r="A885" s="9"/>
      <c r="B885" s="9"/>
      <c r="C885" s="9"/>
      <c r="D885" s="15"/>
      <c r="E885" s="9"/>
      <c r="F885" s="15"/>
      <c r="G885" s="15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</row>
    <row r="886" spans="1:24" ht="19.5" customHeight="1" x14ac:dyDescent="0.25">
      <c r="A886" s="9"/>
      <c r="B886" s="9"/>
      <c r="C886" s="9"/>
      <c r="D886" s="15"/>
      <c r="E886" s="9"/>
      <c r="F886" s="15"/>
      <c r="G886" s="15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</row>
    <row r="887" spans="1:24" ht="19.5" customHeight="1" x14ac:dyDescent="0.25">
      <c r="A887" s="9"/>
      <c r="B887" s="9"/>
      <c r="C887" s="9"/>
      <c r="D887" s="15"/>
      <c r="E887" s="9"/>
      <c r="F887" s="15"/>
      <c r="G887" s="15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</row>
    <row r="888" spans="1:24" ht="19.5" customHeight="1" x14ac:dyDescent="0.25">
      <c r="A888" s="9"/>
      <c r="B888" s="9"/>
      <c r="C888" s="9"/>
      <c r="D888" s="15"/>
      <c r="E888" s="9"/>
      <c r="F888" s="15"/>
      <c r="G888" s="15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</row>
    <row r="889" spans="1:24" ht="19.5" customHeight="1" x14ac:dyDescent="0.25">
      <c r="A889" s="9"/>
      <c r="B889" s="9"/>
      <c r="C889" s="9"/>
      <c r="D889" s="15"/>
      <c r="E889" s="9"/>
      <c r="F889" s="15"/>
      <c r="G889" s="15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</row>
    <row r="890" spans="1:24" ht="19.5" customHeight="1" x14ac:dyDescent="0.25">
      <c r="A890" s="9"/>
      <c r="B890" s="9"/>
      <c r="C890" s="9"/>
      <c r="D890" s="15"/>
      <c r="E890" s="9"/>
      <c r="F890" s="15"/>
      <c r="G890" s="15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</row>
    <row r="891" spans="1:24" ht="19.5" customHeight="1" x14ac:dyDescent="0.25">
      <c r="A891" s="9"/>
      <c r="B891" s="9"/>
      <c r="C891" s="9"/>
      <c r="D891" s="15"/>
      <c r="E891" s="9"/>
      <c r="F891" s="15"/>
      <c r="G891" s="15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</row>
    <row r="892" spans="1:24" ht="19.5" customHeight="1" x14ac:dyDescent="0.25">
      <c r="A892" s="9"/>
      <c r="B892" s="9"/>
      <c r="C892" s="9"/>
      <c r="D892" s="15"/>
      <c r="E892" s="9"/>
      <c r="F892" s="15"/>
      <c r="G892" s="15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</row>
    <row r="893" spans="1:24" ht="19.5" customHeight="1" x14ac:dyDescent="0.25">
      <c r="A893" s="9"/>
      <c r="B893" s="9"/>
      <c r="C893" s="9"/>
      <c r="D893" s="15"/>
      <c r="E893" s="9"/>
      <c r="F893" s="15"/>
      <c r="G893" s="15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</row>
    <row r="894" spans="1:24" ht="19.5" customHeight="1" x14ac:dyDescent="0.25">
      <c r="A894" s="9"/>
      <c r="B894" s="9"/>
      <c r="C894" s="9"/>
      <c r="D894" s="15"/>
      <c r="E894" s="9"/>
      <c r="F894" s="15"/>
      <c r="G894" s="15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</row>
    <row r="895" spans="1:24" ht="19.5" customHeight="1" x14ac:dyDescent="0.25">
      <c r="A895" s="9"/>
      <c r="B895" s="9"/>
      <c r="C895" s="9"/>
      <c r="D895" s="15"/>
      <c r="E895" s="9"/>
      <c r="F895" s="15"/>
      <c r="G895" s="15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</row>
    <row r="896" spans="1:24" ht="19.5" customHeight="1" x14ac:dyDescent="0.25">
      <c r="A896" s="9"/>
      <c r="B896" s="9"/>
      <c r="C896" s="9"/>
      <c r="D896" s="15"/>
      <c r="E896" s="9"/>
      <c r="F896" s="15"/>
      <c r="G896" s="15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</row>
    <row r="897" spans="1:24" ht="19.5" customHeight="1" x14ac:dyDescent="0.25">
      <c r="A897" s="9"/>
      <c r="B897" s="9"/>
      <c r="C897" s="9"/>
      <c r="D897" s="15"/>
      <c r="E897" s="9"/>
      <c r="F897" s="15"/>
      <c r="G897" s="15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</row>
    <row r="898" spans="1:24" ht="19.5" customHeight="1" x14ac:dyDescent="0.25">
      <c r="A898" s="9"/>
      <c r="B898" s="9"/>
      <c r="C898" s="9"/>
      <c r="D898" s="15"/>
      <c r="E898" s="9"/>
      <c r="F898" s="15"/>
      <c r="G898" s="15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</row>
    <row r="899" spans="1:24" ht="19.5" customHeight="1" x14ac:dyDescent="0.25">
      <c r="A899" s="9"/>
      <c r="B899" s="9"/>
      <c r="C899" s="9"/>
      <c r="D899" s="15"/>
      <c r="E899" s="9"/>
      <c r="F899" s="15"/>
      <c r="G899" s="15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</row>
    <row r="900" spans="1:24" ht="19.5" customHeight="1" x14ac:dyDescent="0.25">
      <c r="A900" s="9"/>
      <c r="B900" s="9"/>
      <c r="C900" s="9"/>
      <c r="D900" s="15"/>
      <c r="E900" s="9"/>
      <c r="F900" s="15"/>
      <c r="G900" s="15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</row>
    <row r="901" spans="1:24" ht="19.5" customHeight="1" x14ac:dyDescent="0.25">
      <c r="A901" s="9"/>
      <c r="B901" s="9"/>
      <c r="C901" s="9"/>
      <c r="D901" s="15"/>
      <c r="E901" s="9"/>
      <c r="F901" s="15"/>
      <c r="G901" s="15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</row>
    <row r="902" spans="1:24" ht="19.5" customHeight="1" x14ac:dyDescent="0.25">
      <c r="A902" s="9"/>
      <c r="B902" s="9"/>
      <c r="C902" s="9"/>
      <c r="D902" s="15"/>
      <c r="E902" s="9"/>
      <c r="F902" s="15"/>
      <c r="G902" s="15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</row>
    <row r="903" spans="1:24" ht="19.5" customHeight="1" x14ac:dyDescent="0.25">
      <c r="A903" s="9"/>
      <c r="B903" s="9"/>
      <c r="C903" s="9"/>
      <c r="D903" s="15"/>
      <c r="E903" s="9"/>
      <c r="F903" s="15"/>
      <c r="G903" s="15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</row>
    <row r="904" spans="1:24" ht="19.5" customHeight="1" x14ac:dyDescent="0.25">
      <c r="A904" s="9"/>
      <c r="B904" s="9"/>
      <c r="C904" s="9"/>
      <c r="D904" s="15"/>
      <c r="E904" s="9"/>
      <c r="F904" s="15"/>
      <c r="G904" s="15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</row>
    <row r="905" spans="1:24" ht="19.5" customHeight="1" x14ac:dyDescent="0.25">
      <c r="A905" s="9"/>
      <c r="B905" s="9"/>
      <c r="C905" s="9"/>
      <c r="D905" s="15"/>
      <c r="E905" s="9"/>
      <c r="F905" s="15"/>
      <c r="G905" s="15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</row>
    <row r="906" spans="1:24" ht="19.5" customHeight="1" x14ac:dyDescent="0.25">
      <c r="A906" s="9"/>
      <c r="B906" s="9"/>
      <c r="C906" s="9"/>
      <c r="D906" s="15"/>
      <c r="E906" s="9"/>
      <c r="F906" s="15"/>
      <c r="G906" s="15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</row>
    <row r="907" spans="1:24" ht="19.5" customHeight="1" x14ac:dyDescent="0.25">
      <c r="A907" s="9"/>
      <c r="B907" s="9"/>
      <c r="C907" s="9"/>
      <c r="D907" s="15"/>
      <c r="E907" s="9"/>
      <c r="F907" s="15"/>
      <c r="G907" s="15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</row>
    <row r="908" spans="1:24" ht="19.5" customHeight="1" x14ac:dyDescent="0.25">
      <c r="A908" s="9"/>
      <c r="B908" s="9"/>
      <c r="C908" s="9"/>
      <c r="D908" s="15"/>
      <c r="E908" s="9"/>
      <c r="F908" s="15"/>
      <c r="G908" s="15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</row>
    <row r="909" spans="1:24" ht="19.5" customHeight="1" x14ac:dyDescent="0.25">
      <c r="A909" s="9"/>
      <c r="B909" s="9"/>
      <c r="C909" s="9"/>
      <c r="D909" s="15"/>
      <c r="E909" s="9"/>
      <c r="F909" s="15"/>
      <c r="G909" s="15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</row>
    <row r="910" spans="1:24" ht="19.5" customHeight="1" x14ac:dyDescent="0.25">
      <c r="A910" s="9"/>
      <c r="B910" s="9"/>
      <c r="C910" s="9"/>
      <c r="D910" s="15"/>
      <c r="E910" s="9"/>
      <c r="F910" s="15"/>
      <c r="G910" s="15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</row>
    <row r="911" spans="1:24" ht="19.5" customHeight="1" x14ac:dyDescent="0.25">
      <c r="A911" s="9"/>
      <c r="B911" s="9"/>
      <c r="C911" s="9"/>
      <c r="D911" s="15"/>
      <c r="E911" s="9"/>
      <c r="F911" s="15"/>
      <c r="G911" s="15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</row>
    <row r="912" spans="1:24" ht="19.5" customHeight="1" x14ac:dyDescent="0.25">
      <c r="A912" s="9"/>
      <c r="B912" s="9"/>
      <c r="C912" s="9"/>
      <c r="D912" s="15"/>
      <c r="E912" s="9"/>
      <c r="F912" s="15"/>
      <c r="G912" s="15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</row>
    <row r="913" spans="1:24" ht="19.5" customHeight="1" x14ac:dyDescent="0.25">
      <c r="A913" s="9"/>
      <c r="B913" s="9"/>
      <c r="C913" s="9"/>
      <c r="D913" s="15"/>
      <c r="E913" s="9"/>
      <c r="F913" s="15"/>
      <c r="G913" s="15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</row>
    <row r="914" spans="1:24" ht="19.5" customHeight="1" x14ac:dyDescent="0.25">
      <c r="A914" s="9"/>
      <c r="B914" s="9"/>
      <c r="C914" s="9"/>
      <c r="D914" s="15"/>
      <c r="E914" s="9"/>
      <c r="F914" s="15"/>
      <c r="G914" s="15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</row>
    <row r="915" spans="1:24" ht="19.5" customHeight="1" x14ac:dyDescent="0.25">
      <c r="A915" s="9"/>
      <c r="B915" s="9"/>
      <c r="C915" s="9"/>
      <c r="D915" s="15"/>
      <c r="E915" s="9"/>
      <c r="F915" s="15"/>
      <c r="G915" s="15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</row>
    <row r="916" spans="1:24" ht="19.5" customHeight="1" x14ac:dyDescent="0.25">
      <c r="A916" s="9"/>
      <c r="B916" s="9"/>
      <c r="C916" s="9"/>
      <c r="D916" s="15"/>
      <c r="E916" s="9"/>
      <c r="F916" s="15"/>
      <c r="G916" s="15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</row>
    <row r="917" spans="1:24" ht="19.5" customHeight="1" x14ac:dyDescent="0.25">
      <c r="A917" s="9"/>
      <c r="B917" s="9"/>
      <c r="C917" s="9"/>
      <c r="D917" s="15"/>
      <c r="E917" s="9"/>
      <c r="F917" s="15"/>
      <c r="G917" s="15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</row>
    <row r="918" spans="1:24" ht="19.5" customHeight="1" x14ac:dyDescent="0.25">
      <c r="A918" s="9"/>
      <c r="B918" s="9"/>
      <c r="C918" s="9"/>
      <c r="D918" s="15"/>
      <c r="E918" s="9"/>
      <c r="F918" s="15"/>
      <c r="G918" s="15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</row>
    <row r="919" spans="1:24" ht="19.5" customHeight="1" x14ac:dyDescent="0.25">
      <c r="A919" s="9"/>
      <c r="B919" s="9"/>
      <c r="C919" s="9"/>
      <c r="D919" s="15"/>
      <c r="E919" s="9"/>
      <c r="F919" s="15"/>
      <c r="G919" s="15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</row>
    <row r="920" spans="1:24" ht="19.5" customHeight="1" x14ac:dyDescent="0.25">
      <c r="A920" s="9"/>
      <c r="B920" s="9"/>
      <c r="C920" s="9"/>
      <c r="D920" s="15"/>
      <c r="E920" s="9"/>
      <c r="F920" s="15"/>
      <c r="G920" s="15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</row>
    <row r="921" spans="1:24" ht="19.5" customHeight="1" x14ac:dyDescent="0.25">
      <c r="A921" s="9"/>
      <c r="B921" s="9"/>
      <c r="C921" s="9"/>
      <c r="D921" s="15"/>
      <c r="E921" s="9"/>
      <c r="F921" s="15"/>
      <c r="G921" s="15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</row>
    <row r="922" spans="1:24" ht="19.5" customHeight="1" x14ac:dyDescent="0.25">
      <c r="A922" s="9"/>
      <c r="B922" s="9"/>
      <c r="C922" s="9"/>
      <c r="D922" s="15"/>
      <c r="E922" s="9"/>
      <c r="F922" s="15"/>
      <c r="G922" s="15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</row>
    <row r="923" spans="1:24" ht="19.5" customHeight="1" x14ac:dyDescent="0.25">
      <c r="A923" s="9"/>
      <c r="B923" s="9"/>
      <c r="C923" s="9"/>
      <c r="D923" s="15"/>
      <c r="E923" s="9"/>
      <c r="F923" s="15"/>
      <c r="G923" s="15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</row>
    <row r="924" spans="1:24" ht="19.5" customHeight="1" x14ac:dyDescent="0.25">
      <c r="A924" s="9"/>
      <c r="B924" s="9"/>
      <c r="C924" s="9"/>
      <c r="D924" s="15"/>
      <c r="E924" s="9"/>
      <c r="F924" s="15"/>
      <c r="G924" s="15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</row>
    <row r="925" spans="1:24" ht="19.5" customHeight="1" x14ac:dyDescent="0.25">
      <c r="A925" s="9"/>
      <c r="B925" s="9"/>
      <c r="C925" s="9"/>
      <c r="D925" s="15"/>
      <c r="E925" s="9"/>
      <c r="F925" s="15"/>
      <c r="G925" s="15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</row>
    <row r="926" spans="1:24" ht="19.5" customHeight="1" x14ac:dyDescent="0.25">
      <c r="A926" s="9"/>
      <c r="B926" s="9"/>
      <c r="C926" s="9"/>
      <c r="D926" s="15"/>
      <c r="E926" s="9"/>
      <c r="F926" s="15"/>
      <c r="G926" s="15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</row>
    <row r="927" spans="1:24" ht="19.5" customHeight="1" x14ac:dyDescent="0.25">
      <c r="A927" s="9"/>
      <c r="B927" s="9"/>
      <c r="C927" s="9"/>
      <c r="D927" s="15"/>
      <c r="E927" s="9"/>
      <c r="F927" s="15"/>
      <c r="G927" s="15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</row>
    <row r="928" spans="1:24" ht="19.5" customHeight="1" x14ac:dyDescent="0.25">
      <c r="A928" s="9"/>
      <c r="B928" s="9"/>
      <c r="C928" s="9"/>
      <c r="D928" s="15"/>
      <c r="E928" s="9"/>
      <c r="F928" s="15"/>
      <c r="G928" s="15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</row>
    <row r="929" spans="1:24" ht="19.5" customHeight="1" x14ac:dyDescent="0.25">
      <c r="A929" s="9"/>
      <c r="B929" s="9"/>
      <c r="C929" s="9"/>
      <c r="D929" s="15"/>
      <c r="E929" s="9"/>
      <c r="F929" s="15"/>
      <c r="G929" s="15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</row>
    <row r="930" spans="1:24" ht="19.5" customHeight="1" x14ac:dyDescent="0.25">
      <c r="A930" s="9"/>
      <c r="B930" s="9"/>
      <c r="C930" s="9"/>
      <c r="D930" s="15"/>
      <c r="E930" s="9"/>
      <c r="F930" s="15"/>
      <c r="G930" s="15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</row>
    <row r="931" spans="1:24" ht="19.5" customHeight="1" x14ac:dyDescent="0.25">
      <c r="A931" s="9"/>
      <c r="B931" s="9"/>
      <c r="C931" s="9"/>
      <c r="D931" s="15"/>
      <c r="E931" s="9"/>
      <c r="F931" s="15"/>
      <c r="G931" s="15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</row>
    <row r="932" spans="1:24" ht="19.5" customHeight="1" x14ac:dyDescent="0.25">
      <c r="A932" s="9"/>
      <c r="B932" s="9"/>
      <c r="C932" s="9"/>
      <c r="D932" s="15"/>
      <c r="E932" s="9"/>
      <c r="F932" s="15"/>
      <c r="G932" s="15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</row>
    <row r="933" spans="1:24" ht="19.5" customHeight="1" x14ac:dyDescent="0.25">
      <c r="A933" s="9"/>
      <c r="B933" s="9"/>
      <c r="C933" s="9"/>
      <c r="D933" s="15"/>
      <c r="E933" s="9"/>
      <c r="F933" s="15"/>
      <c r="G933" s="15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</row>
    <row r="934" spans="1:24" ht="19.5" customHeight="1" x14ac:dyDescent="0.25">
      <c r="A934" s="9"/>
      <c r="B934" s="9"/>
      <c r="C934" s="9"/>
      <c r="D934" s="15"/>
      <c r="E934" s="9"/>
      <c r="F934" s="15"/>
      <c r="G934" s="15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</row>
    <row r="935" spans="1:24" ht="19.5" customHeight="1" x14ac:dyDescent="0.25">
      <c r="A935" s="9"/>
      <c r="B935" s="9"/>
      <c r="C935" s="9"/>
      <c r="D935" s="15"/>
      <c r="E935" s="9"/>
      <c r="F935" s="15"/>
      <c r="G935" s="15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</row>
    <row r="936" spans="1:24" ht="19.5" customHeight="1" x14ac:dyDescent="0.25">
      <c r="A936" s="9"/>
      <c r="B936" s="9"/>
      <c r="C936" s="9"/>
      <c r="D936" s="15"/>
      <c r="E936" s="9"/>
      <c r="F936" s="15"/>
      <c r="G936" s="15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</row>
    <row r="937" spans="1:24" ht="19.5" customHeight="1" x14ac:dyDescent="0.25">
      <c r="A937" s="9"/>
      <c r="B937" s="9"/>
      <c r="C937" s="9"/>
      <c r="D937" s="15"/>
      <c r="E937" s="9"/>
      <c r="F937" s="15"/>
      <c r="G937" s="15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</row>
    <row r="938" spans="1:24" ht="19.5" customHeight="1" x14ac:dyDescent="0.25">
      <c r="A938" s="9"/>
      <c r="B938" s="9"/>
      <c r="C938" s="9"/>
      <c r="D938" s="15"/>
      <c r="E938" s="9"/>
      <c r="F938" s="15"/>
      <c r="G938" s="15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</row>
    <row r="939" spans="1:24" ht="19.5" customHeight="1" x14ac:dyDescent="0.25">
      <c r="A939" s="9"/>
      <c r="B939" s="9"/>
      <c r="C939" s="9"/>
      <c r="D939" s="15"/>
      <c r="E939" s="9"/>
      <c r="F939" s="15"/>
      <c r="G939" s="15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</row>
    <row r="940" spans="1:24" ht="19.5" customHeight="1" x14ac:dyDescent="0.25">
      <c r="A940" s="9"/>
      <c r="B940" s="9"/>
      <c r="C940" s="9"/>
      <c r="D940" s="15"/>
      <c r="E940" s="9"/>
      <c r="F940" s="15"/>
      <c r="G940" s="15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</row>
    <row r="941" spans="1:24" ht="19.5" customHeight="1" x14ac:dyDescent="0.25">
      <c r="A941" s="9"/>
      <c r="B941" s="9"/>
      <c r="C941" s="9"/>
      <c r="D941" s="15"/>
      <c r="E941" s="9"/>
      <c r="F941" s="15"/>
      <c r="G941" s="15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</row>
    <row r="942" spans="1:24" ht="19.5" customHeight="1" x14ac:dyDescent="0.25">
      <c r="A942" s="9"/>
      <c r="B942" s="9"/>
      <c r="C942" s="9"/>
      <c r="D942" s="15"/>
      <c r="E942" s="9"/>
      <c r="F942" s="15"/>
      <c r="G942" s="15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</row>
    <row r="943" spans="1:24" ht="19.5" customHeight="1" x14ac:dyDescent="0.25">
      <c r="A943" s="9"/>
      <c r="B943" s="9"/>
      <c r="C943" s="9"/>
      <c r="D943" s="15"/>
      <c r="E943" s="9"/>
      <c r="F943" s="15"/>
      <c r="G943" s="15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</row>
    <row r="944" spans="1:24" ht="19.5" customHeight="1" x14ac:dyDescent="0.25">
      <c r="A944" s="9"/>
      <c r="B944" s="9"/>
      <c r="C944" s="9"/>
      <c r="D944" s="15"/>
      <c r="E944" s="9"/>
      <c r="F944" s="15"/>
      <c r="G944" s="15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</row>
    <row r="945" spans="1:24" ht="19.5" customHeight="1" x14ac:dyDescent="0.25">
      <c r="A945" s="9"/>
      <c r="B945" s="9"/>
      <c r="C945" s="9"/>
      <c r="D945" s="15"/>
      <c r="E945" s="9"/>
      <c r="F945" s="15"/>
      <c r="G945" s="15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</row>
    <row r="946" spans="1:24" ht="19.5" customHeight="1" x14ac:dyDescent="0.25">
      <c r="A946" s="9"/>
      <c r="B946" s="9"/>
      <c r="C946" s="9"/>
      <c r="D946" s="15"/>
      <c r="E946" s="9"/>
      <c r="F946" s="15"/>
      <c r="G946" s="15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</row>
    <row r="947" spans="1:24" ht="19.5" customHeight="1" x14ac:dyDescent="0.25">
      <c r="A947" s="9"/>
      <c r="B947" s="9"/>
      <c r="C947" s="9"/>
      <c r="D947" s="15"/>
      <c r="E947" s="9"/>
      <c r="F947" s="15"/>
      <c r="G947" s="15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</row>
    <row r="948" spans="1:24" ht="19.5" customHeight="1" x14ac:dyDescent="0.25">
      <c r="A948" s="9"/>
      <c r="B948" s="9"/>
      <c r="C948" s="9"/>
      <c r="D948" s="15"/>
      <c r="E948" s="9"/>
      <c r="F948" s="15"/>
      <c r="G948" s="15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</row>
    <row r="949" spans="1:24" ht="19.5" customHeight="1" x14ac:dyDescent="0.25">
      <c r="A949" s="9"/>
      <c r="B949" s="9"/>
      <c r="C949" s="9"/>
      <c r="D949" s="15"/>
      <c r="E949" s="9"/>
      <c r="F949" s="15"/>
      <c r="G949" s="15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</row>
    <row r="950" spans="1:24" ht="19.5" customHeight="1" x14ac:dyDescent="0.25">
      <c r="A950" s="9"/>
      <c r="B950" s="9"/>
      <c r="C950" s="9"/>
      <c r="D950" s="15"/>
      <c r="E950" s="9"/>
      <c r="F950" s="15"/>
      <c r="G950" s="15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</row>
    <row r="951" spans="1:24" ht="19.5" customHeight="1" x14ac:dyDescent="0.25">
      <c r="A951" s="9"/>
      <c r="B951" s="9"/>
      <c r="C951" s="9"/>
      <c r="D951" s="15"/>
      <c r="E951" s="9"/>
      <c r="F951" s="15"/>
      <c r="G951" s="15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</row>
    <row r="952" spans="1:24" ht="19.5" customHeight="1" x14ac:dyDescent="0.25">
      <c r="A952" s="9"/>
      <c r="B952" s="9"/>
      <c r="C952" s="9"/>
      <c r="D952" s="15"/>
      <c r="E952" s="9"/>
      <c r="F952" s="15"/>
      <c r="G952" s="15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</row>
    <row r="953" spans="1:24" ht="19.5" customHeight="1" x14ac:dyDescent="0.25">
      <c r="A953" s="9"/>
      <c r="B953" s="9"/>
      <c r="C953" s="9"/>
      <c r="D953" s="15"/>
      <c r="E953" s="9"/>
      <c r="F953" s="15"/>
      <c r="G953" s="15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</row>
    <row r="954" spans="1:24" ht="19.5" customHeight="1" x14ac:dyDescent="0.25">
      <c r="A954" s="9"/>
      <c r="B954" s="9"/>
      <c r="C954" s="9"/>
      <c r="D954" s="15"/>
      <c r="E954" s="9"/>
      <c r="F954" s="15"/>
      <c r="G954" s="15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</row>
    <row r="955" spans="1:24" ht="19.5" customHeight="1" x14ac:dyDescent="0.25">
      <c r="A955" s="9"/>
      <c r="B955" s="9"/>
      <c r="C955" s="9"/>
      <c r="D955" s="15"/>
      <c r="E955" s="9"/>
      <c r="F955" s="15"/>
      <c r="G955" s="15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</row>
    <row r="956" spans="1:24" ht="19.5" customHeight="1" x14ac:dyDescent="0.25">
      <c r="A956" s="9"/>
      <c r="B956" s="9"/>
      <c r="C956" s="9"/>
      <c r="D956" s="15"/>
      <c r="E956" s="9"/>
      <c r="F956" s="15"/>
      <c r="G956" s="15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</row>
    <row r="957" spans="1:24" ht="19.5" customHeight="1" x14ac:dyDescent="0.25">
      <c r="A957" s="9"/>
      <c r="B957" s="9"/>
      <c r="C957" s="9"/>
      <c r="D957" s="15"/>
      <c r="E957" s="9"/>
      <c r="F957" s="15"/>
      <c r="G957" s="15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</row>
    <row r="958" spans="1:24" ht="19.5" customHeight="1" x14ac:dyDescent="0.25">
      <c r="A958" s="9"/>
      <c r="B958" s="9"/>
      <c r="C958" s="9"/>
      <c r="D958" s="15"/>
      <c r="E958" s="9"/>
      <c r="F958" s="15"/>
      <c r="G958" s="15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</row>
    <row r="959" spans="1:24" ht="19.5" customHeight="1" x14ac:dyDescent="0.25">
      <c r="A959" s="9"/>
      <c r="B959" s="9"/>
      <c r="C959" s="9"/>
      <c r="D959" s="15"/>
      <c r="E959" s="9"/>
      <c r="F959" s="15"/>
      <c r="G959" s="15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</row>
    <row r="960" spans="1:24" ht="19.5" customHeight="1" x14ac:dyDescent="0.25">
      <c r="A960" s="9"/>
      <c r="B960" s="9"/>
      <c r="C960" s="9"/>
      <c r="D960" s="15"/>
      <c r="E960" s="9"/>
      <c r="F960" s="15"/>
      <c r="G960" s="15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</row>
    <row r="961" spans="1:24" ht="19.5" customHeight="1" x14ac:dyDescent="0.25">
      <c r="A961" s="9"/>
      <c r="B961" s="9"/>
      <c r="C961" s="9"/>
      <c r="D961" s="15"/>
      <c r="E961" s="9"/>
      <c r="F961" s="15"/>
      <c r="G961" s="15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</row>
    <row r="962" spans="1:24" ht="19.5" customHeight="1" x14ac:dyDescent="0.25">
      <c r="A962" s="9"/>
      <c r="B962" s="9"/>
      <c r="C962" s="9"/>
      <c r="D962" s="15"/>
      <c r="E962" s="9"/>
      <c r="F962" s="15"/>
      <c r="G962" s="15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</row>
    <row r="963" spans="1:24" ht="19.5" customHeight="1" x14ac:dyDescent="0.25">
      <c r="A963" s="9"/>
      <c r="B963" s="9"/>
      <c r="C963" s="9"/>
      <c r="D963" s="15"/>
      <c r="E963" s="9"/>
      <c r="F963" s="15"/>
      <c r="G963" s="15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</row>
    <row r="964" spans="1:24" ht="19.5" customHeight="1" x14ac:dyDescent="0.25">
      <c r="A964" s="9"/>
      <c r="B964" s="9"/>
      <c r="C964" s="9"/>
      <c r="D964" s="15"/>
      <c r="E964" s="9"/>
      <c r="F964" s="15"/>
      <c r="G964" s="15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</row>
    <row r="965" spans="1:24" ht="19.5" customHeight="1" x14ac:dyDescent="0.25">
      <c r="A965" s="9"/>
      <c r="B965" s="9"/>
      <c r="C965" s="9"/>
      <c r="D965" s="15"/>
      <c r="E965" s="9"/>
      <c r="F965" s="15"/>
      <c r="G965" s="15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</row>
    <row r="966" spans="1:24" ht="19.5" customHeight="1" x14ac:dyDescent="0.25">
      <c r="A966" s="9"/>
      <c r="B966" s="9"/>
      <c r="C966" s="9"/>
      <c r="D966" s="15"/>
      <c r="E966" s="9"/>
      <c r="F966" s="15"/>
      <c r="G966" s="15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</row>
    <row r="967" spans="1:24" ht="19.5" customHeight="1" x14ac:dyDescent="0.25">
      <c r="A967" s="9"/>
      <c r="B967" s="9"/>
      <c r="C967" s="9"/>
      <c r="D967" s="15"/>
      <c r="E967" s="9"/>
      <c r="F967" s="15"/>
      <c r="G967" s="15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</row>
    <row r="968" spans="1:24" ht="19.5" customHeight="1" x14ac:dyDescent="0.25">
      <c r="A968" s="9"/>
      <c r="B968" s="9"/>
      <c r="C968" s="9"/>
      <c r="D968" s="15"/>
      <c r="E968" s="9"/>
      <c r="F968" s="15"/>
      <c r="G968" s="15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</row>
    <row r="969" spans="1:24" ht="19.5" customHeight="1" x14ac:dyDescent="0.25">
      <c r="A969" s="9"/>
      <c r="B969" s="9"/>
      <c r="C969" s="9"/>
      <c r="D969" s="15"/>
      <c r="E969" s="9"/>
      <c r="F969" s="15"/>
      <c r="G969" s="15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</row>
    <row r="970" spans="1:24" ht="19.5" customHeight="1" x14ac:dyDescent="0.25">
      <c r="A970" s="9"/>
      <c r="B970" s="9"/>
      <c r="C970" s="9"/>
      <c r="D970" s="15"/>
      <c r="E970" s="9"/>
      <c r="F970" s="15"/>
      <c r="G970" s="15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</row>
    <row r="971" spans="1:24" ht="19.5" customHeight="1" x14ac:dyDescent="0.25">
      <c r="A971" s="9"/>
      <c r="B971" s="9"/>
      <c r="C971" s="9"/>
      <c r="D971" s="15"/>
      <c r="E971" s="9"/>
      <c r="F971" s="15"/>
      <c r="G971" s="15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</row>
    <row r="972" spans="1:24" ht="19.5" customHeight="1" x14ac:dyDescent="0.25">
      <c r="A972" s="9"/>
      <c r="B972" s="9"/>
      <c r="C972" s="9"/>
      <c r="D972" s="15"/>
      <c r="E972" s="9"/>
      <c r="F972" s="15"/>
      <c r="G972" s="15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</row>
    <row r="973" spans="1:24" ht="19.5" customHeight="1" x14ac:dyDescent="0.25">
      <c r="A973" s="9"/>
      <c r="B973" s="9"/>
      <c r="C973" s="9"/>
      <c r="D973" s="15"/>
      <c r="E973" s="9"/>
      <c r="F973" s="15"/>
      <c r="G973" s="15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</row>
    <row r="974" spans="1:24" ht="19.5" customHeight="1" x14ac:dyDescent="0.25">
      <c r="A974" s="9"/>
      <c r="B974" s="9"/>
      <c r="C974" s="9"/>
      <c r="D974" s="15"/>
      <c r="E974" s="9"/>
      <c r="F974" s="15"/>
      <c r="G974" s="15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</row>
    <row r="975" spans="1:24" ht="19.5" customHeight="1" x14ac:dyDescent="0.25">
      <c r="A975" s="9"/>
      <c r="B975" s="9"/>
      <c r="C975" s="9"/>
      <c r="D975" s="15"/>
      <c r="E975" s="9"/>
      <c r="F975" s="15"/>
      <c r="G975" s="15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</row>
    <row r="976" spans="1:24" ht="19.5" customHeight="1" x14ac:dyDescent="0.25">
      <c r="A976" s="9"/>
      <c r="B976" s="9"/>
      <c r="C976" s="9"/>
      <c r="D976" s="15"/>
      <c r="E976" s="9"/>
      <c r="F976" s="15"/>
      <c r="G976" s="15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</row>
    <row r="977" spans="1:24" ht="19.5" customHeight="1" x14ac:dyDescent="0.25">
      <c r="A977" s="9"/>
      <c r="B977" s="9"/>
      <c r="C977" s="9"/>
      <c r="D977" s="15"/>
      <c r="E977" s="9"/>
      <c r="F977" s="15"/>
      <c r="G977" s="15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</row>
    <row r="978" spans="1:24" ht="19.5" customHeight="1" x14ac:dyDescent="0.25">
      <c r="A978" s="9"/>
      <c r="B978" s="9"/>
      <c r="C978" s="9"/>
      <c r="D978" s="15"/>
      <c r="E978" s="9"/>
      <c r="F978" s="15"/>
      <c r="G978" s="15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</row>
    <row r="979" spans="1:24" ht="19.5" customHeight="1" x14ac:dyDescent="0.25">
      <c r="A979" s="9"/>
      <c r="B979" s="9"/>
      <c r="C979" s="9"/>
      <c r="D979" s="15"/>
      <c r="E979" s="9"/>
      <c r="F979" s="15"/>
      <c r="G979" s="15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</row>
    <row r="980" spans="1:24" ht="19.5" customHeight="1" x14ac:dyDescent="0.25">
      <c r="A980" s="9"/>
      <c r="B980" s="9"/>
      <c r="C980" s="9"/>
      <c r="D980" s="15"/>
      <c r="E980" s="9"/>
      <c r="F980" s="15"/>
      <c r="G980" s="15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</row>
    <row r="981" spans="1:24" ht="19.5" customHeight="1" x14ac:dyDescent="0.25">
      <c r="A981" s="9"/>
      <c r="B981" s="9"/>
      <c r="C981" s="9"/>
      <c r="D981" s="15"/>
      <c r="E981" s="9"/>
      <c r="F981" s="15"/>
      <c r="G981" s="15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</row>
    <row r="982" spans="1:24" ht="19.5" customHeight="1" x14ac:dyDescent="0.25">
      <c r="A982" s="9"/>
      <c r="B982" s="9"/>
      <c r="C982" s="9"/>
      <c r="D982" s="15"/>
      <c r="E982" s="9"/>
      <c r="F982" s="15"/>
      <c r="G982" s="15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</row>
    <row r="983" spans="1:24" ht="19.5" customHeight="1" x14ac:dyDescent="0.25">
      <c r="A983" s="9"/>
      <c r="B983" s="9"/>
      <c r="C983" s="9"/>
      <c r="D983" s="15"/>
      <c r="E983" s="9"/>
      <c r="F983" s="15"/>
      <c r="G983" s="15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</row>
    <row r="984" spans="1:24" ht="19.5" customHeight="1" x14ac:dyDescent="0.25">
      <c r="A984" s="9"/>
      <c r="B984" s="9"/>
      <c r="C984" s="9"/>
      <c r="D984" s="15"/>
      <c r="E984" s="9"/>
      <c r="F984" s="15"/>
      <c r="G984" s="15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</row>
    <row r="985" spans="1:24" ht="19.5" customHeight="1" x14ac:dyDescent="0.25">
      <c r="A985" s="9"/>
      <c r="B985" s="9"/>
      <c r="C985" s="9"/>
      <c r="D985" s="15"/>
      <c r="E985" s="9"/>
      <c r="F985" s="15"/>
      <c r="G985" s="15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</row>
    <row r="986" spans="1:24" ht="19.5" customHeight="1" x14ac:dyDescent="0.25">
      <c r="A986" s="9"/>
      <c r="B986" s="9"/>
      <c r="C986" s="9"/>
      <c r="D986" s="15"/>
      <c r="E986" s="9"/>
      <c r="F986" s="15"/>
      <c r="G986" s="15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</row>
    <row r="987" spans="1:24" ht="19.5" customHeight="1" x14ac:dyDescent="0.25">
      <c r="A987" s="9"/>
      <c r="B987" s="9"/>
      <c r="C987" s="9"/>
      <c r="D987" s="15"/>
      <c r="E987" s="9"/>
      <c r="F987" s="15"/>
      <c r="G987" s="15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</row>
    <row r="988" spans="1:24" ht="19.5" customHeight="1" x14ac:dyDescent="0.25">
      <c r="A988" s="9"/>
      <c r="B988" s="9"/>
      <c r="C988" s="9"/>
      <c r="D988" s="15"/>
      <c r="E988" s="9"/>
      <c r="F988" s="15"/>
      <c r="G988" s="15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</row>
    <row r="989" spans="1:24" ht="19.5" customHeight="1" x14ac:dyDescent="0.25">
      <c r="A989" s="9"/>
      <c r="B989" s="9"/>
      <c r="C989" s="9"/>
      <c r="D989" s="15"/>
      <c r="E989" s="9"/>
      <c r="F989" s="15"/>
      <c r="G989" s="15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</row>
    <row r="990" spans="1:24" ht="19.5" customHeight="1" x14ac:dyDescent="0.25">
      <c r="A990" s="9"/>
      <c r="B990" s="9"/>
      <c r="C990" s="9"/>
      <c r="D990" s="15"/>
      <c r="E990" s="9"/>
      <c r="F990" s="15"/>
      <c r="G990" s="15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</row>
    <row r="991" spans="1:24" ht="19.5" customHeight="1" x14ac:dyDescent="0.25">
      <c r="A991" s="9"/>
      <c r="B991" s="9"/>
      <c r="C991" s="9"/>
      <c r="D991" s="15"/>
      <c r="E991" s="9"/>
      <c r="F991" s="15"/>
      <c r="G991" s="15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</row>
    <row r="992" spans="1:24" ht="19.5" customHeight="1" x14ac:dyDescent="0.25">
      <c r="A992" s="9"/>
      <c r="B992" s="9"/>
      <c r="C992" s="9"/>
      <c r="D992" s="15"/>
      <c r="E992" s="9"/>
      <c r="F992" s="15"/>
      <c r="G992" s="15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</row>
    <row r="993" spans="1:24" ht="19.5" customHeight="1" x14ac:dyDescent="0.25">
      <c r="A993" s="9"/>
      <c r="B993" s="9"/>
      <c r="C993" s="9"/>
      <c r="D993" s="15"/>
      <c r="E993" s="9"/>
      <c r="F993" s="15"/>
      <c r="G993" s="15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</row>
    <row r="994" spans="1:24" ht="19.5" customHeight="1" x14ac:dyDescent="0.25">
      <c r="A994" s="9"/>
      <c r="B994" s="9"/>
      <c r="C994" s="9"/>
      <c r="D994" s="15"/>
      <c r="E994" s="9"/>
      <c r="F994" s="15"/>
      <c r="G994" s="15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</row>
    <row r="995" spans="1:24" ht="19.5" customHeight="1" x14ac:dyDescent="0.25">
      <c r="A995" s="9"/>
      <c r="B995" s="9"/>
      <c r="C995" s="9"/>
      <c r="D995" s="15"/>
      <c r="E995" s="9"/>
      <c r="F995" s="15"/>
      <c r="G995" s="15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</row>
    <row r="996" spans="1:24" ht="19.5" customHeight="1" x14ac:dyDescent="0.25">
      <c r="A996" s="9"/>
      <c r="B996" s="9"/>
      <c r="C996" s="9"/>
      <c r="D996" s="15"/>
      <c r="E996" s="9"/>
      <c r="F996" s="15"/>
      <c r="G996" s="15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</row>
    <row r="997" spans="1:24" ht="19.5" customHeight="1" x14ac:dyDescent="0.25">
      <c r="A997" s="9"/>
      <c r="B997" s="9"/>
      <c r="C997" s="9"/>
      <c r="D997" s="15"/>
      <c r="E997" s="9"/>
      <c r="F997" s="15"/>
      <c r="G997" s="15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</row>
    <row r="998" spans="1:24" ht="19.5" customHeight="1" x14ac:dyDescent="0.25">
      <c r="A998" s="9"/>
      <c r="B998" s="9"/>
      <c r="C998" s="9"/>
      <c r="D998" s="15"/>
      <c r="E998" s="9"/>
      <c r="F998" s="15"/>
      <c r="G998" s="15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</row>
    <row r="999" spans="1:24" ht="19.5" customHeight="1" x14ac:dyDescent="0.25">
      <c r="A999" s="9"/>
      <c r="B999" s="9"/>
      <c r="C999" s="9"/>
      <c r="D999" s="15"/>
      <c r="E999" s="9"/>
      <c r="F999" s="15"/>
      <c r="G999" s="15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</row>
  </sheetData>
  <pageMargins left="0.511811024" right="0.511811024" top="0.78740157499999996" bottom="0.78740157499999996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zoomScale="70" zoomScaleNormal="70" workbookViewId="0">
      <selection activeCell="I13" sqref="I13"/>
    </sheetView>
  </sheetViews>
  <sheetFormatPr defaultColWidth="14.42578125" defaultRowHeight="15" customHeight="1" x14ac:dyDescent="0.25"/>
  <cols>
    <col min="1" max="1" width="64.42578125" customWidth="1"/>
    <col min="2" max="2" width="25" hidden="1" customWidth="1"/>
    <col min="3" max="3" width="18.140625" hidden="1" customWidth="1"/>
    <col min="4" max="4" width="19.28515625" customWidth="1"/>
    <col min="5" max="5" width="17.28515625" customWidth="1"/>
    <col min="6" max="6" width="25" hidden="1" customWidth="1"/>
    <col min="7" max="7" width="18.140625" hidden="1" customWidth="1"/>
    <col min="8" max="8" width="19.28515625" customWidth="1"/>
    <col min="9" max="9" width="17.28515625" customWidth="1"/>
    <col min="10" max="10" width="25" hidden="1" customWidth="1"/>
    <col min="11" max="11" width="18.140625" style="28" hidden="1" customWidth="1"/>
    <col min="12" max="12" width="19.28515625" style="28" customWidth="1"/>
    <col min="13" max="13" width="17.28515625" customWidth="1"/>
    <col min="14" max="14" width="19" customWidth="1"/>
    <col min="15" max="15" width="17.28515625" customWidth="1"/>
    <col min="16" max="16" width="55.7109375" customWidth="1"/>
    <col min="17" max="17" width="14.28515625" customWidth="1"/>
    <col min="18" max="18" width="23.85546875" bestFit="1" customWidth="1"/>
    <col min="19" max="27" width="9.140625" customWidth="1"/>
  </cols>
  <sheetData>
    <row r="1" spans="1:27" ht="15" customHeight="1" thickBot="1" x14ac:dyDescent="0.3">
      <c r="A1" s="154" t="s">
        <v>0</v>
      </c>
      <c r="B1" s="156" t="s">
        <v>101</v>
      </c>
      <c r="C1" s="157"/>
      <c r="D1" s="157"/>
      <c r="E1" s="158"/>
      <c r="F1" s="156" t="s">
        <v>122</v>
      </c>
      <c r="G1" s="157"/>
      <c r="H1" s="157"/>
      <c r="I1" s="158"/>
      <c r="J1" s="156" t="s">
        <v>100</v>
      </c>
      <c r="K1" s="157"/>
      <c r="L1" s="157"/>
      <c r="M1" s="158"/>
      <c r="N1" s="160" t="s">
        <v>102</v>
      </c>
      <c r="O1" s="161"/>
      <c r="P1" s="154" t="s">
        <v>108</v>
      </c>
    </row>
    <row r="2" spans="1:27" ht="22.5" customHeight="1" thickBot="1" x14ac:dyDescent="0.3">
      <c r="A2" s="159"/>
      <c r="B2" s="127" t="s">
        <v>32</v>
      </c>
      <c r="C2" s="60" t="s">
        <v>33</v>
      </c>
      <c r="D2" s="60" t="s">
        <v>99</v>
      </c>
      <c r="E2" s="128" t="s">
        <v>98</v>
      </c>
      <c r="F2" s="127" t="s">
        <v>32</v>
      </c>
      <c r="G2" s="60" t="s">
        <v>33</v>
      </c>
      <c r="H2" s="60" t="s">
        <v>99</v>
      </c>
      <c r="I2" s="128" t="s">
        <v>98</v>
      </c>
      <c r="J2" s="127" t="s">
        <v>32</v>
      </c>
      <c r="K2" s="60" t="s">
        <v>33</v>
      </c>
      <c r="L2" s="143" t="s">
        <v>99</v>
      </c>
      <c r="M2" s="128" t="s">
        <v>98</v>
      </c>
      <c r="N2" s="162" t="s">
        <v>98</v>
      </c>
      <c r="O2" s="163"/>
      <c r="P2" s="155"/>
      <c r="Q2" s="9"/>
      <c r="R2" s="31" t="s">
        <v>42</v>
      </c>
      <c r="S2" s="32">
        <v>13131.849999999999</v>
      </c>
      <c r="T2" s="33"/>
      <c r="U2" s="9"/>
      <c r="V2" s="9"/>
      <c r="W2" s="9"/>
      <c r="X2" s="9"/>
      <c r="Y2" s="9"/>
      <c r="Z2" s="9"/>
      <c r="AA2" s="9"/>
    </row>
    <row r="3" spans="1:27" ht="22.5" customHeight="1" x14ac:dyDescent="0.25">
      <c r="A3" s="139" t="s">
        <v>72</v>
      </c>
      <c r="B3" s="129">
        <f>[3]ORÇAMENTO!$J$13</f>
        <v>4923771.1849529874</v>
      </c>
      <c r="C3" s="58">
        <f>B3/B$19</f>
        <v>9.3252315701223859E-2</v>
      </c>
      <c r="D3" s="94">
        <f>B3/ORÇAMENTO_COMPARATIVO!S$2</f>
        <v>374.94878367884098</v>
      </c>
      <c r="E3" s="130">
        <f>B3/ORÇAMENTO_COMPARATIVO!S$2/$B$20</f>
        <v>0.17268162079409441</v>
      </c>
      <c r="F3" s="129">
        <f>B3/$F$20*$J$20</f>
        <v>6801481.4960067291</v>
      </c>
      <c r="G3" s="58">
        <f>F3/F$19</f>
        <v>9.3252315701223845E-2</v>
      </c>
      <c r="H3" s="94">
        <f>F3/ORÇAMENTO_COMPARATIVO!S$2</f>
        <v>517.93779977739086</v>
      </c>
      <c r="I3" s="130">
        <f>F3/ORÇAMENTO_COMPARATIVO!S$2/$B$20</f>
        <v>0.23853481496474091</v>
      </c>
      <c r="J3" s="129">
        <f>'[2]Obra '!C34</f>
        <v>8753722.8527303897</v>
      </c>
      <c r="K3" s="58">
        <f t="shared" ref="K3:K18" si="0">J3/J$19</f>
        <v>0.12134433388766717</v>
      </c>
      <c r="L3" s="144">
        <f>J3/ORÇAMENTO_COMPARATIVO!S$2</f>
        <v>666.60240961710576</v>
      </c>
      <c r="M3" s="148">
        <f>J3/ORÇAMENTO_COMPARATIVO!S$2/$J$20</f>
        <v>0.22224673419743604</v>
      </c>
      <c r="N3" s="144">
        <f>[4]Relatório!$T$13</f>
        <v>3312.54</v>
      </c>
      <c r="O3" s="148">
        <f t="shared" ref="O3:O18" si="1">N3/$S$2</f>
        <v>0.25225234829822152</v>
      </c>
      <c r="P3" s="152" t="s">
        <v>110</v>
      </c>
      <c r="S3" s="9"/>
      <c r="T3" s="9"/>
      <c r="U3" s="9"/>
      <c r="V3" s="9"/>
      <c r="W3" s="9"/>
      <c r="X3" s="9"/>
      <c r="Y3" s="9"/>
      <c r="Z3" s="9"/>
      <c r="AA3" s="9"/>
    </row>
    <row r="4" spans="1:27" ht="19.5" customHeight="1" x14ac:dyDescent="0.25">
      <c r="A4" s="37" t="s">
        <v>73</v>
      </c>
      <c r="B4" s="131">
        <f>[3]ORÇAMENTO!$J$74</f>
        <v>902031.98</v>
      </c>
      <c r="C4" s="12">
        <f t="shared" ref="C4:C18" si="2">B4/B$19</f>
        <v>1.7083769292248946E-2</v>
      </c>
      <c r="D4" s="95">
        <f>B4/ORÇAMENTO_COMPARATIVO!S$2</f>
        <v>68.690396250337926</v>
      </c>
      <c r="E4" s="132">
        <f>B4/ORÇAMENTO_COMPARATIVO!S$2/$B$20</f>
        <v>3.1635171185558128E-2</v>
      </c>
      <c r="F4" s="131">
        <f t="shared" ref="F4:F18" si="3">B4/$F$20*$J$20</f>
        <v>1246027.4026391199</v>
      </c>
      <c r="G4" s="12">
        <f t="shared" ref="G4:G18" si="4">F4/F$19</f>
        <v>1.7083769292248946E-2</v>
      </c>
      <c r="H4" s="95">
        <f>F4/ORÇAMENTO_COMPARATIVO!S$2</f>
        <v>94.885899750539338</v>
      </c>
      <c r="I4" s="132">
        <f>F4/ORÇAMENTO_COMPARATIVO!S$2/$B$20</f>
        <v>4.3699437556953269E-2</v>
      </c>
      <c r="J4" s="131">
        <f>'[2]Obra '!C35</f>
        <v>1428510.0333333334</v>
      </c>
      <c r="K4" s="12">
        <f t="shared" si="0"/>
        <v>1.9802043240678482E-2</v>
      </c>
      <c r="L4" s="145">
        <f>J4/ORÇAMENTO_COMPARATIVO!S$2</f>
        <v>108.78208579395391</v>
      </c>
      <c r="M4" s="149">
        <f>J4/ORÇAMENTO_COMPARATIVO!S$2/$J$20</f>
        <v>3.6268190690727384E-2</v>
      </c>
      <c r="N4" s="145">
        <f>[4]Relatório!$T$31</f>
        <v>581.16</v>
      </c>
      <c r="O4" s="149">
        <f t="shared" si="1"/>
        <v>4.4255759851049167E-2</v>
      </c>
      <c r="P4" s="153" t="s">
        <v>111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ht="19.5" customHeight="1" x14ac:dyDescent="0.25">
      <c r="A5" s="38" t="s">
        <v>4</v>
      </c>
      <c r="B5" s="129">
        <f>[3]ORÇAMENTO!$J$82</f>
        <v>3374468.284</v>
      </c>
      <c r="C5" s="58">
        <f t="shared" si="2"/>
        <v>6.390974923956376E-2</v>
      </c>
      <c r="D5" s="94">
        <f>B5/ORÇAMENTO_COMPARATIVO!S$2</f>
        <v>256.96823250341731</v>
      </c>
      <c r="E5" s="130">
        <f>B5/ORÇAMENTO_COMPARATIVO!S$2/$B$20</f>
        <v>0.11834600567551562</v>
      </c>
      <c r="F5" s="129">
        <f t="shared" si="3"/>
        <v>4661342.4406533875</v>
      </c>
      <c r="G5" s="58">
        <f t="shared" si="4"/>
        <v>6.3909749239563746E-2</v>
      </c>
      <c r="H5" s="94">
        <f>F5/ORÇAMENTO_COMPARATIVO!S$2</f>
        <v>354.96464250302796</v>
      </c>
      <c r="I5" s="130">
        <f>F5/ORÇAMENTO_COMPARATIVO!S$2/$B$20</f>
        <v>0.16347798008733264</v>
      </c>
      <c r="J5" s="129">
        <f>'[2]Obra '!C36</f>
        <v>4472521.2797970148</v>
      </c>
      <c r="K5" s="58">
        <f t="shared" si="0"/>
        <v>6.199820632042357E-2</v>
      </c>
      <c r="L5" s="144">
        <f>J5/ORÇAMENTO_COMPARATIVO!S$2</f>
        <v>340.58577274314092</v>
      </c>
      <c r="M5" s="148">
        <f>J5/ORÇAMENTO_COMPARATIVO!S$2/$J$20</f>
        <v>0.11355205833977053</v>
      </c>
      <c r="N5" s="144">
        <f>[4]Relatório!$T$36</f>
        <v>1555.51</v>
      </c>
      <c r="O5" s="148">
        <f t="shared" si="1"/>
        <v>0.11845322631617024</v>
      </c>
      <c r="P5" s="152" t="s">
        <v>112</v>
      </c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9.5" customHeight="1" x14ac:dyDescent="0.25">
      <c r="A6" s="37" t="s">
        <v>5</v>
      </c>
      <c r="B6" s="131">
        <f>[3]ORÇAMENTO!$J$126</f>
        <v>14553687.840428583</v>
      </c>
      <c r="C6" s="12">
        <f t="shared" si="2"/>
        <v>0.27563528891435835</v>
      </c>
      <c r="D6" s="95">
        <f>B6/ORÇAMENTO_COMPARATIVO!S$2</f>
        <v>1108.2739934151384</v>
      </c>
      <c r="E6" s="132">
        <f>B6/ORÇAMENTO_COMPARATIVO!S$2/$B$20</f>
        <v>0.51041250911429326</v>
      </c>
      <c r="F6" s="131">
        <f t="shared" si="3"/>
        <v>20103825.87392275</v>
      </c>
      <c r="G6" s="12">
        <f t="shared" si="4"/>
        <v>0.27563528891435829</v>
      </c>
      <c r="H6" s="95">
        <f>F6/ORÇAMENTO_COMPARATIVO!S$2</f>
        <v>1530.9210715872289</v>
      </c>
      <c r="I6" s="132">
        <f>F6/ORÇAMENTO_COMPARATIVO!S$2/$B$20</f>
        <v>0.70506144694138106</v>
      </c>
      <c r="J6" s="131">
        <f>'[2]Obra '!C37</f>
        <v>16569702.13624531</v>
      </c>
      <c r="K6" s="12">
        <f t="shared" si="0"/>
        <v>0.22968964202614672</v>
      </c>
      <c r="L6" s="145">
        <f>J6/ORÇAMENTO_COMPARATIVO!S$2</f>
        <v>1261.7949592970763</v>
      </c>
      <c r="M6" s="149">
        <f>J6/ORÇAMENTO_COMPARATIVO!S$2/$J$20</f>
        <v>0.42068526138637857</v>
      </c>
      <c r="N6" s="145">
        <f>[4]Relatório!$T$46</f>
        <v>8693.73</v>
      </c>
      <c r="O6" s="149">
        <f t="shared" si="1"/>
        <v>0.66203390992129829</v>
      </c>
      <c r="P6" s="153" t="s">
        <v>109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19.5" customHeight="1" x14ac:dyDescent="0.25">
      <c r="A7" s="38" t="s">
        <v>103</v>
      </c>
      <c r="B7" s="129">
        <f>[3]ORÇAMENTO!$J$172</f>
        <v>2260687.9256399921</v>
      </c>
      <c r="C7" s="58">
        <f t="shared" si="2"/>
        <v>4.2815633835295359E-2</v>
      </c>
      <c r="D7" s="94">
        <f>B7/ORÇAMENTO_COMPARATIVO!S$2</f>
        <v>172.15304208013282</v>
      </c>
      <c r="E7" s="130">
        <f>B7/ORÇAMENTO_COMPARATIVO!S$2/$B$20</f>
        <v>7.928460532490815E-2</v>
      </c>
      <c r="F7" s="129">
        <f t="shared" si="3"/>
        <v>3122815.1181101352</v>
      </c>
      <c r="G7" s="58">
        <f t="shared" si="4"/>
        <v>4.2815633835295352E-2</v>
      </c>
      <c r="H7" s="94">
        <f>F7/ORÇAMENTO_COMPARATIVO!S$2</f>
        <v>237.80465951942304</v>
      </c>
      <c r="I7" s="130">
        <f>F7/ORÇAMENTO_COMPARATIVO!S$2/$B$20</f>
        <v>0.10952027537012939</v>
      </c>
      <c r="J7" s="129">
        <f>'[2]Obra '!C38</f>
        <v>4429172.1571696931</v>
      </c>
      <c r="K7" s="58">
        <f t="shared" si="0"/>
        <v>6.1397299654959922E-2</v>
      </c>
      <c r="L7" s="144">
        <f>J7/ORÇAMENTO_COMPARATIVO!S$2</f>
        <v>337.28470529054886</v>
      </c>
      <c r="M7" s="148">
        <f>J7/ORÇAMENTO_COMPARATIVO!S$2/$J$20</f>
        <v>0.11245147506836374</v>
      </c>
      <c r="N7" s="144">
        <f>[4]Relatório!$T$63</f>
        <v>1434.95</v>
      </c>
      <c r="O7" s="148">
        <f t="shared" si="1"/>
        <v>0.10927249397457328</v>
      </c>
      <c r="P7" s="152" t="s">
        <v>113</v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9.5" customHeight="1" x14ac:dyDescent="0.25">
      <c r="A8" s="37" t="s">
        <v>104</v>
      </c>
      <c r="B8" s="131">
        <f>[3]ORÇAMENTO!$J$256</f>
        <v>1824838.4789800001</v>
      </c>
      <c r="C8" s="12">
        <f t="shared" si="2"/>
        <v>3.4560991474507148E-2</v>
      </c>
      <c r="D8" s="95">
        <f>B8/ORÇAMENTO_COMPARATIVO!S$2</f>
        <v>138.96278734374823</v>
      </c>
      <c r="E8" s="132">
        <f>B8/ORÇAMENTO_COMPARATIVO!S$2/$B$20</f>
        <v>6.3998925701642881E-2</v>
      </c>
      <c r="F8" s="131">
        <f t="shared" si="3"/>
        <v>2520751.8143640226</v>
      </c>
      <c r="G8" s="12">
        <f t="shared" si="4"/>
        <v>3.4560991474507141E-2</v>
      </c>
      <c r="H8" s="95">
        <f>F8/ORÇAMENTO_COMPARATIVO!S$2</f>
        <v>191.95709777099364</v>
      </c>
      <c r="I8" s="132">
        <f>F8/ORÇAMENTO_COMPARATIVO!S$2/$B$20</f>
        <v>8.8405308161814952E-2</v>
      </c>
      <c r="J8" s="131">
        <f>'[2]Obra '!C39</f>
        <v>1649879.2174833333</v>
      </c>
      <c r="K8" s="12">
        <f t="shared" si="0"/>
        <v>2.2870668629653361E-2</v>
      </c>
      <c r="L8" s="145">
        <f>J8/ORÇAMENTO_COMPARATIVO!S$2</f>
        <v>125.63951137755407</v>
      </c>
      <c r="M8" s="149">
        <f>J8/ORÇAMENTO_COMPARATIVO!S$2/$J$20</f>
        <v>4.1888494081294823E-2</v>
      </c>
      <c r="N8" s="145">
        <f>[4]Relatório!$T$79</f>
        <v>1110.26</v>
      </c>
      <c r="O8" s="149">
        <f t="shared" si="1"/>
        <v>8.4547112554590562E-2</v>
      </c>
      <c r="P8" s="153" t="s">
        <v>114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9.5" customHeight="1" x14ac:dyDescent="0.25">
      <c r="A9" s="38" t="s">
        <v>105</v>
      </c>
      <c r="B9" s="133">
        <f>[3]ORÇAMENTO!$J$272</f>
        <v>2301980.472875</v>
      </c>
      <c r="C9" s="58">
        <f t="shared" si="2"/>
        <v>4.359768188469175E-2</v>
      </c>
      <c r="D9" s="94">
        <f>B9/ORÇAMENTO_COMPARATIVO!S$2</f>
        <v>175.29749980962319</v>
      </c>
      <c r="E9" s="130">
        <f>B9/ORÇAMENTO_COMPARATIVO!S$2/$B$20</f>
        <v>8.0732776597579908E-2</v>
      </c>
      <c r="F9" s="133">
        <f t="shared" si="3"/>
        <v>3179854.8312471239</v>
      </c>
      <c r="G9" s="58">
        <f t="shared" si="4"/>
        <v>4.3597681884691743E-2</v>
      </c>
      <c r="H9" s="94">
        <f>F9/ORÇAMENTO_COMPARATIVO!S$2</f>
        <v>242.14827547124924</v>
      </c>
      <c r="I9" s="130">
        <f>F9/ORÇAMENTO_COMPARATIVO!S$2/$B$20</f>
        <v>0.11152071563108751</v>
      </c>
      <c r="J9" s="133">
        <f>'[2]Obra '!C40</f>
        <v>2108723.0697037145</v>
      </c>
      <c r="K9" s="58">
        <f t="shared" si="0"/>
        <v>2.9231174044645643E-2</v>
      </c>
      <c r="L9" s="144">
        <f>J9/ORÇAMENTO_COMPARATIVO!S$2</f>
        <v>160.58080694675272</v>
      </c>
      <c r="M9" s="148">
        <f>J9/ORÇAMENTO_COMPARATIVO!S$2/$J$20</f>
        <v>5.3538000168952486E-2</v>
      </c>
      <c r="N9" s="144">
        <f>[4]Relatório!$T$86</f>
        <v>1474.67</v>
      </c>
      <c r="O9" s="148">
        <f t="shared" si="1"/>
        <v>0.1122972010798174</v>
      </c>
      <c r="P9" s="152" t="s">
        <v>114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9.5" customHeight="1" x14ac:dyDescent="0.25">
      <c r="A10" s="37" t="s">
        <v>79</v>
      </c>
      <c r="B10" s="131">
        <f>[3]ORÇAMENTO!$J$289</f>
        <v>1514636.6074222643</v>
      </c>
      <c r="C10" s="12">
        <f t="shared" si="2"/>
        <v>2.8686014394740861E-2</v>
      </c>
      <c r="D10" s="95">
        <f>B10/ORÇAMENTO_COMPARATIVO!S$2</f>
        <v>115.34068752097112</v>
      </c>
      <c r="E10" s="132">
        <f>B10/ORÇAMENTO_COMPARATIVO!S$2/$B$20</f>
        <v>5.3119833245509028E-2</v>
      </c>
      <c r="F10" s="131">
        <f t="shared" si="3"/>
        <v>2092252.558372146</v>
      </c>
      <c r="G10" s="12">
        <f t="shared" si="4"/>
        <v>2.8686014394740861E-2</v>
      </c>
      <c r="H10" s="95">
        <f>F10/ORÇAMENTO_COMPARATIVO!S$2</f>
        <v>159.32656543991487</v>
      </c>
      <c r="I10" s="132">
        <f>F10/ORÇAMENTO_COMPARATIVO!S$2/$B$20</f>
        <v>7.3377407137521652E-2</v>
      </c>
      <c r="J10" s="131">
        <f>'[2]Obra '!C41</f>
        <v>1898258.4656083335</v>
      </c>
      <c r="K10" s="12">
        <f t="shared" si="0"/>
        <v>2.6313708228039422E-2</v>
      </c>
      <c r="L10" s="145">
        <f>J10/ORÇAMENTO_COMPARATIVO!S$2</f>
        <v>144.5537731247565</v>
      </c>
      <c r="M10" s="149">
        <f>J10/ORÇAMENTO_COMPARATIVO!S$2/$J$20</f>
        <v>4.8194551248843594E-2</v>
      </c>
      <c r="N10" s="145">
        <f>[4]Relatório!$T$93</f>
        <v>760.67</v>
      </c>
      <c r="O10" s="149">
        <f t="shared" si="1"/>
        <v>5.7925577888873238E-2</v>
      </c>
      <c r="P10" s="153" t="s">
        <v>115</v>
      </c>
      <c r="Q10" s="2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9.5" customHeight="1" x14ac:dyDescent="0.25">
      <c r="A11" s="38" t="s">
        <v>80</v>
      </c>
      <c r="B11" s="129">
        <f>[3]ORÇAMENTO!$J$355</f>
        <v>660504.84722351003</v>
      </c>
      <c r="C11" s="58">
        <f t="shared" si="2"/>
        <v>1.2509437222368304E-2</v>
      </c>
      <c r="D11" s="94">
        <f>B11/ORÇAMENTO_COMPARATIVO!S$2</f>
        <v>50.297928107883514</v>
      </c>
      <c r="E11" s="130">
        <f>B11/ORÇAMENTO_COMPARATIVO!S$2/$B$20</f>
        <v>2.3164571072975326E-2</v>
      </c>
      <c r="F11" s="129">
        <f t="shared" si="3"/>
        <v>912392.41785691329</v>
      </c>
      <c r="G11" s="58">
        <f t="shared" si="4"/>
        <v>1.2509437222368303E-2</v>
      </c>
      <c r="H11" s="94">
        <f>F11/ORÇAMENTO_COMPARATIVO!S$2</f>
        <v>69.479351184860732</v>
      </c>
      <c r="I11" s="130">
        <f>F11/ORÇAMENTO_COMPARATIVO!S$2/$B$20</f>
        <v>3.1998522189101028E-2</v>
      </c>
      <c r="J11" s="129">
        <f>'[2]Obra '!C42</f>
        <v>736663.29528736509</v>
      </c>
      <c r="K11" s="58">
        <f t="shared" si="0"/>
        <v>1.0211645761466782E-2</v>
      </c>
      <c r="L11" s="144">
        <f>J11/ORÇAMENTO_COMPARATIVO!S$2</f>
        <v>56.097449733842922</v>
      </c>
      <c r="M11" s="148">
        <f>J11/ORÇAMENTO_COMPARATIVO!S$2/$J$20</f>
        <v>1.8703015201089197E-2</v>
      </c>
      <c r="N11" s="144">
        <f>[4]Relatório!$T$109</f>
        <v>380.82</v>
      </c>
      <c r="O11" s="148">
        <f t="shared" si="1"/>
        <v>2.8999722049825427E-2</v>
      </c>
      <c r="P11" s="152" t="s">
        <v>116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9.5" customHeight="1" x14ac:dyDescent="0.25">
      <c r="A12" s="37" t="s">
        <v>106</v>
      </c>
      <c r="B12" s="131">
        <f>[3]ORÇAMENTO!$J$400</f>
        <v>459516.61332934618</v>
      </c>
      <c r="C12" s="12">
        <f t="shared" si="2"/>
        <v>8.7028797006444454E-3</v>
      </c>
      <c r="D12" s="95">
        <f>B12/ORÇAMENTO_COMPARATIVO!S$2</f>
        <v>34.992526820619048</v>
      </c>
      <c r="E12" s="132">
        <f>B12/ORÇAMENTO_COMPARATIVO!S$2/$B$20</f>
        <v>1.6115711025325052E-2</v>
      </c>
      <c r="F12" s="131">
        <f t="shared" si="3"/>
        <v>634756.08944185113</v>
      </c>
      <c r="G12" s="12">
        <f t="shared" si="4"/>
        <v>8.7028797006444471E-3</v>
      </c>
      <c r="H12" s="95">
        <f>F12/ORÇAMENTO_COMPARATIVO!S$2</f>
        <v>48.337141335139464</v>
      </c>
      <c r="I12" s="132">
        <f>F12/ORÇAMENTO_COMPARATIVO!S$2/$B$20</f>
        <v>2.2261536171443063E-2</v>
      </c>
      <c r="J12" s="131">
        <f>'[2]Obra '!C43</f>
        <v>1214123.3285218002</v>
      </c>
      <c r="K12" s="12">
        <f t="shared" si="0"/>
        <v>1.6830209161922703E-2</v>
      </c>
      <c r="L12" s="145">
        <f>J12/ORÇAMENTO_COMPARATIVO!S$2</f>
        <v>92.45638112846251</v>
      </c>
      <c r="M12" s="149">
        <f>J12/ORÇAMENTO_COMPARATIVO!S$2/$J$20</f>
        <v>3.0825164243431145E-2</v>
      </c>
      <c r="N12" s="145">
        <f>[4]Relatório!$T$119</f>
        <v>191.96</v>
      </c>
      <c r="O12" s="149">
        <f t="shared" si="1"/>
        <v>1.4617894660691374E-2</v>
      </c>
      <c r="P12" s="153" t="s">
        <v>117</v>
      </c>
      <c r="Q12" s="30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9.5" customHeight="1" x14ac:dyDescent="0.25">
      <c r="A13" s="38" t="s">
        <v>82</v>
      </c>
      <c r="B13" s="129">
        <f>[3]ORÇAMENTO!$J$440</f>
        <v>1359989.0582407012</v>
      </c>
      <c r="C13" s="58">
        <f t="shared" si="2"/>
        <v>2.5757112636923422E-2</v>
      </c>
      <c r="D13" s="94">
        <f>B13/ORÇAMENTO_COMPARATIVO!S$2</f>
        <v>103.56416333119107</v>
      </c>
      <c r="E13" s="130">
        <f>B13/ORÇAMENTO_COMPARATIVO!S$2/$B$20</f>
        <v>4.7696187742623679E-2</v>
      </c>
      <c r="F13" s="129">
        <f t="shared" si="3"/>
        <v>1878629.2187304532</v>
      </c>
      <c r="G13" s="58">
        <f t="shared" si="4"/>
        <v>2.5757112636923419E-2</v>
      </c>
      <c r="H13" s="94">
        <f>F13/ORÇAMENTO_COMPARATIVO!S$2</f>
        <v>143.0589915914706</v>
      </c>
      <c r="I13" s="130">
        <f>F13/ORÇAMENTO_COMPARATIVO!S$2/$B$20</f>
        <v>6.5885421189533888E-2</v>
      </c>
      <c r="J13" s="129">
        <f>'[2]Obra '!C44</f>
        <v>2370480.0312116882</v>
      </c>
      <c r="K13" s="58">
        <f t="shared" si="0"/>
        <v>3.2859655853929526E-2</v>
      </c>
      <c r="L13" s="144">
        <f>J13/ORÇAMENTO_COMPARATIVO!S$2</f>
        <v>180.51379137072755</v>
      </c>
      <c r="M13" s="148">
        <f>J13/ORÇAMENTO_COMPARATIVO!S$2/$J$20</f>
        <v>6.0183701755271934E-2</v>
      </c>
      <c r="N13" s="144">
        <f>[4]Relatório!$T$129</f>
        <v>656.83</v>
      </c>
      <c r="O13" s="148">
        <f t="shared" si="1"/>
        <v>5.0018085799030609E-2</v>
      </c>
      <c r="P13" s="152" t="s">
        <v>118</v>
      </c>
      <c r="Q13" s="14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9.5" customHeight="1" x14ac:dyDescent="0.25">
      <c r="A14" s="37" t="s">
        <v>9</v>
      </c>
      <c r="B14" s="131">
        <f>[3]ORÇAMENTO!$J$520</f>
        <v>5475281.637836867</v>
      </c>
      <c r="C14" s="12">
        <f t="shared" si="2"/>
        <v>0.10369748565997847</v>
      </c>
      <c r="D14" s="95">
        <f>B14/ORÇAMENTO_COMPARATIVO!S$2</f>
        <v>416.94670879098283</v>
      </c>
      <c r="E14" s="132">
        <f>B14/ORÇAMENTO_COMPARATIVO!S$2/$B$20</f>
        <v>0.19202364854305096</v>
      </c>
      <c r="F14" s="131">
        <f t="shared" si="3"/>
        <v>7563313.8393957363</v>
      </c>
      <c r="G14" s="12">
        <f t="shared" si="4"/>
        <v>0.10369748565997847</v>
      </c>
      <c r="H14" s="95">
        <f>F14/ORÇAMENTO_COMPARATIVO!S$2</f>
        <v>575.95189096705622</v>
      </c>
      <c r="I14" s="132">
        <f>F14/ORÇAMENTO_COMPARATIVO!S$2/$B$20</f>
        <v>0.26525304351114581</v>
      </c>
      <c r="J14" s="131">
        <f>'[2]Obra '!C45</f>
        <v>7112920.8864441477</v>
      </c>
      <c r="K14" s="12">
        <f t="shared" si="0"/>
        <v>9.8599494350226677E-2</v>
      </c>
      <c r="L14" s="145">
        <f>J14/ORÇAMENTO_COMPARATIVO!S$2</f>
        <v>541.65413756966063</v>
      </c>
      <c r="M14" s="149">
        <f>J14/ORÇAMENTO_COMPARATIVO!S$2/$J$20</f>
        <v>0.18058870085473019</v>
      </c>
      <c r="N14" s="145">
        <f>[4]Relatório!$T$139</f>
        <v>2875.58</v>
      </c>
      <c r="O14" s="149">
        <f t="shared" si="1"/>
        <v>0.21897752411122579</v>
      </c>
      <c r="P14" s="153" t="s">
        <v>119</v>
      </c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19.5" customHeight="1" x14ac:dyDescent="0.25">
      <c r="A15" s="38" t="s">
        <v>11</v>
      </c>
      <c r="B15" s="129">
        <f>[3]ORÇAMENTO!$J$737</f>
        <v>5717398.7211114885</v>
      </c>
      <c r="C15" s="58">
        <f t="shared" si="2"/>
        <v>0.10828299092374512</v>
      </c>
      <c r="D15" s="94">
        <f>B15/ORÇAMENTO_COMPARATIVO!S$2</f>
        <v>435.38410209616234</v>
      </c>
      <c r="E15" s="130">
        <f>B15/ORÇAMENTO_COMPARATIVO!S$2/$B$20</f>
        <v>0.20051493881453411</v>
      </c>
      <c r="F15" s="129">
        <f t="shared" si="3"/>
        <v>7897763.7559133694</v>
      </c>
      <c r="G15" s="58">
        <f t="shared" si="4"/>
        <v>0.1082829909237451</v>
      </c>
      <c r="H15" s="94">
        <f>F15/ORÇAMENTO_COMPARATIVO!S$2</f>
        <v>601.42049718153726</v>
      </c>
      <c r="I15" s="130">
        <f>F15/ORÇAMENTO_COMPARATIVO!S$2/$B$20</f>
        <v>0.27698253935677086</v>
      </c>
      <c r="J15" s="129">
        <f>'[2]Obra '!C46</f>
        <v>8730804.6296780538</v>
      </c>
      <c r="K15" s="58">
        <f t="shared" si="0"/>
        <v>0.12102664088356353</v>
      </c>
      <c r="L15" s="144">
        <f>J15/ORÇAMENTO_COMPARATIVO!S$2</f>
        <v>664.85717013810347</v>
      </c>
      <c r="M15" s="148">
        <f>J15/ORÇAMENTO_COMPARATIVO!S$2/$J$20</f>
        <v>0.22166486745197456</v>
      </c>
      <c r="N15" s="144">
        <f>[4]Relatório!$T$152</f>
        <v>1819.66</v>
      </c>
      <c r="O15" s="148">
        <f t="shared" si="1"/>
        <v>0.13856844237483679</v>
      </c>
      <c r="P15" s="152" t="s">
        <v>120</v>
      </c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9.5" customHeight="1" x14ac:dyDescent="0.25">
      <c r="A16" s="37" t="s">
        <v>39</v>
      </c>
      <c r="B16" s="131">
        <f>[3]ORÇAMENTO!$J$859</f>
        <v>3839958.5339713567</v>
      </c>
      <c r="C16" s="12">
        <f t="shared" si="2"/>
        <v>7.2725764873845314E-2</v>
      </c>
      <c r="D16" s="95">
        <f>B16/ORÇAMENTO_COMPARATIVO!S$2</f>
        <v>292.41565613156996</v>
      </c>
      <c r="E16" s="132">
        <f>B16/ORÇAMENTO_COMPARATIVO!S$2/$B$20</f>
        <v>0.13467121816194222</v>
      </c>
      <c r="F16" s="131">
        <f t="shared" si="3"/>
        <v>5304350.2496732455</v>
      </c>
      <c r="G16" s="12">
        <f t="shared" si="4"/>
        <v>7.2725764873845314E-2</v>
      </c>
      <c r="H16" s="95">
        <f>F16/ORÇAMENTO_COMPARATIVO!S$2</f>
        <v>403.9301583305662</v>
      </c>
      <c r="I16" s="132">
        <f>F16/ORÇAMENTO_COMPARATIVO!S$2/$B$20</f>
        <v>0.18602891238575722</v>
      </c>
      <c r="J16" s="131">
        <f>'[2]Obra '!C47</f>
        <v>6911114.4359607538</v>
      </c>
      <c r="K16" s="12">
        <f t="shared" si="0"/>
        <v>9.5802048084206989E-2</v>
      </c>
      <c r="L16" s="145">
        <f>J16/ORÇAMENTO_COMPARATIVO!S$2</f>
        <v>526.28642848956963</v>
      </c>
      <c r="M16" s="149">
        <f>J16/ORÇAMENTO_COMPARATIVO!S$2/$J$20</f>
        <v>0.17546507227812735</v>
      </c>
      <c r="N16" s="145">
        <f>[4]Relatório!$T$166</f>
        <v>3255.6</v>
      </c>
      <c r="O16" s="149">
        <f t="shared" si="1"/>
        <v>0.24791632557484286</v>
      </c>
      <c r="P16" s="153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19.5" customHeight="1" x14ac:dyDescent="0.25">
      <c r="A17" s="38" t="s">
        <v>107</v>
      </c>
      <c r="B17" s="129">
        <f>[3]ORÇAMENTO!$J$904</f>
        <v>2005774.3340692604</v>
      </c>
      <c r="C17" s="58">
        <f t="shared" si="2"/>
        <v>3.7987772867602222E-2</v>
      </c>
      <c r="D17" s="94">
        <f>B17/ORÇAMENTO_COMPARATIVO!S$2</f>
        <v>152.74118529142967</v>
      </c>
      <c r="E17" s="130">
        <f>B17/ORÇAMENTO_COMPARATIVO!S$2/$B$20</f>
        <v>7.0344528602943671E-2</v>
      </c>
      <c r="F17" s="129">
        <f t="shared" si="3"/>
        <v>2770688.6664489778</v>
      </c>
      <c r="G17" s="58">
        <f t="shared" si="4"/>
        <v>3.7987772867602222E-2</v>
      </c>
      <c r="H17" s="94">
        <f>F17/ORÇAMENTO_COMPARATIVO!S$2</f>
        <v>210.98997220109717</v>
      </c>
      <c r="I17" s="130">
        <f>F17/ORÇAMENTO_COMPARATIVO!S$2/$B$20</f>
        <v>9.7170845611260007E-2</v>
      </c>
      <c r="J17" s="129">
        <f>'[2]Obra '!C48</f>
        <v>1932915.8613456555</v>
      </c>
      <c r="K17" s="58">
        <f t="shared" si="0"/>
        <v>2.6794129949263428E-2</v>
      </c>
      <c r="L17" s="144">
        <f>J17/ORÇAMENTO_COMPARATIVO!S$2</f>
        <v>147.19295920572165</v>
      </c>
      <c r="M17" s="148">
        <f>J17/ORÇAMENTO_COMPARATIVO!S$2/$J$20</f>
        <v>4.9074461790677287E-2</v>
      </c>
      <c r="N17" s="144">
        <f>[4]Relatório!$T$183</f>
        <v>2128.77</v>
      </c>
      <c r="O17" s="148">
        <f t="shared" si="1"/>
        <v>0.16210739537841204</v>
      </c>
      <c r="P17" s="152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19.5" customHeight="1" x14ac:dyDescent="0.25">
      <c r="A18" s="37" t="s">
        <v>86</v>
      </c>
      <c r="B18" s="131">
        <f>[3]ORÇAMENTO!$J$993</f>
        <v>1625998.0344886768</v>
      </c>
      <c r="C18" s="12">
        <f t="shared" si="2"/>
        <v>3.0795111378262664E-2</v>
      </c>
      <c r="D18" s="95">
        <f>B18/ORÇAMENTO_COMPARATIVO!S$2</f>
        <v>123.82094179332516</v>
      </c>
      <c r="E18" s="132">
        <f>B18/ORÇAMENTO_COMPARATIVO!S$2/$B$20</f>
        <v>5.7025390794271331E-2</v>
      </c>
      <c r="F18" s="131">
        <f t="shared" si="3"/>
        <v>2246082.3480008328</v>
      </c>
      <c r="G18" s="12">
        <f t="shared" si="4"/>
        <v>3.0795111378262664E-2</v>
      </c>
      <c r="H18" s="95">
        <f>F18/ORÇAMENTO_COMPARATIVO!S$2</f>
        <v>171.04081664052157</v>
      </c>
      <c r="I18" s="132">
        <f>F18/ORÇAMENTO_COMPARATIVO!S$2/$B$20</f>
        <v>7.8772372988224537E-2</v>
      </c>
      <c r="J18" s="131">
        <f>'[2]Obra '!C49</f>
        <v>1820015.3354999991</v>
      </c>
      <c r="K18" s="12">
        <f t="shared" si="0"/>
        <v>2.5229099923205954E-2</v>
      </c>
      <c r="L18" s="145">
        <f>J18/ORÇAMENTO_COMPARATIVO!S$2</f>
        <v>138.59550143353749</v>
      </c>
      <c r="M18" s="149">
        <f>J18/ORÇAMENTO_COMPARATIVO!S$2/$J$20</f>
        <v>4.6208050141541751E-2</v>
      </c>
      <c r="N18" s="145">
        <f>[4]Relatório!$T$202</f>
        <v>917.54</v>
      </c>
      <c r="O18" s="149">
        <f t="shared" si="1"/>
        <v>6.9871343337001263E-2</v>
      </c>
      <c r="P18" s="153" t="s">
        <v>121</v>
      </c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19.5" customHeight="1" x14ac:dyDescent="0.25">
      <c r="A19" s="140" t="s">
        <v>14</v>
      </c>
      <c r="B19" s="134">
        <f t="shared" ref="B19:M19" si="5">SUM(B3:B18)</f>
        <v>52800524.554570034</v>
      </c>
      <c r="C19" s="118">
        <f t="shared" si="5"/>
        <v>0.99999999999999989</v>
      </c>
      <c r="D19" s="119">
        <f t="shared" si="5"/>
        <v>4020.7986349653738</v>
      </c>
      <c r="E19" s="135">
        <f t="shared" si="5"/>
        <v>1.8517676423967673</v>
      </c>
      <c r="F19" s="134">
        <f t="shared" si="5"/>
        <v>72936328.120776802</v>
      </c>
      <c r="G19" s="118">
        <f t="shared" si="5"/>
        <v>0.99999999999999978</v>
      </c>
      <c r="H19" s="119">
        <f t="shared" si="5"/>
        <v>5554.1548312520163</v>
      </c>
      <c r="I19" s="135">
        <f t="shared" si="5"/>
        <v>2.5579505792541979</v>
      </c>
      <c r="J19" s="134">
        <f t="shared" si="5"/>
        <v>72139527.016020596</v>
      </c>
      <c r="K19" s="118">
        <f t="shared" si="5"/>
        <v>0.99999999999999989</v>
      </c>
      <c r="L19" s="146">
        <f t="shared" si="5"/>
        <v>5493.4778432605144</v>
      </c>
      <c r="M19" s="142">
        <f t="shared" si="5"/>
        <v>1.8315377988986106</v>
      </c>
      <c r="N19" s="146"/>
      <c r="O19" s="142">
        <f>SUM(O3:O18)</f>
        <v>2.3721143631704593</v>
      </c>
      <c r="P19" s="150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19.5" customHeight="1" thickBot="1" x14ac:dyDescent="0.3">
      <c r="A20" s="141" t="s">
        <v>50</v>
      </c>
      <c r="B20" s="136">
        <v>2171.33</v>
      </c>
      <c r="C20" s="121">
        <v>44287</v>
      </c>
      <c r="D20" s="137" t="str">
        <f>ROUNDUP(+D19/B20,3)&amp;" CUB"</f>
        <v>1,852 CUB</v>
      </c>
      <c r="E20" s="138"/>
      <c r="F20" s="136">
        <v>2171.33</v>
      </c>
      <c r="G20" s="121">
        <v>44287</v>
      </c>
      <c r="H20" s="137" t="str">
        <f>ROUNDUP(+H19/F20,3)&amp;" CUB"</f>
        <v>2,558 CUB</v>
      </c>
      <c r="I20" s="138"/>
      <c r="J20" s="136">
        <v>2999.38</v>
      </c>
      <c r="K20" s="121">
        <v>45931</v>
      </c>
      <c r="L20" s="147" t="str">
        <f>ROUNDUP(+L19/J20,2)&amp;" CUB"</f>
        <v>1,84 CUB</v>
      </c>
      <c r="M20" s="138"/>
      <c r="N20" s="147"/>
      <c r="O20" s="138"/>
      <c r="P20" s="151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22.5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102"/>
      <c r="K21" s="15"/>
      <c r="L21" s="15"/>
      <c r="M21" s="9"/>
      <c r="N21" s="9"/>
      <c r="O21" s="14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22.5" customHeight="1" x14ac:dyDescent="0.25">
      <c r="D22" s="9"/>
      <c r="E22" s="9"/>
      <c r="F22" s="9"/>
      <c r="G22" s="9"/>
      <c r="H22" s="9"/>
      <c r="I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15" customHeight="1" x14ac:dyDescent="0.25">
      <c r="A23" s="9"/>
      <c r="B23" s="9"/>
      <c r="C23" s="9"/>
      <c r="D23" s="9"/>
      <c r="E23" s="9"/>
      <c r="F23" s="9"/>
      <c r="G23" s="9"/>
      <c r="H23" s="9"/>
      <c r="I23" s="9"/>
      <c r="J23" s="14"/>
      <c r="K23" s="15"/>
      <c r="L23" s="15"/>
      <c r="M23" s="9"/>
      <c r="N23" s="9"/>
      <c r="O23" s="14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19.5" customHeight="1" x14ac:dyDescent="0.25">
      <c r="A24" s="9"/>
      <c r="B24" s="9"/>
      <c r="C24" s="9"/>
      <c r="D24" s="9"/>
      <c r="E24" s="9"/>
      <c r="F24" s="9"/>
      <c r="G24" s="9"/>
      <c r="H24" s="9"/>
      <c r="I24" s="9"/>
      <c r="J24" s="14"/>
      <c r="K24" s="15"/>
      <c r="L24" s="15"/>
      <c r="M24" s="16"/>
      <c r="N24" s="16"/>
      <c r="O24" s="9"/>
      <c r="P24" s="16"/>
      <c r="Q24" s="14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19.5" customHeight="1" x14ac:dyDescent="0.45">
      <c r="A25" s="9"/>
      <c r="B25" s="9"/>
      <c r="C25" s="9"/>
      <c r="D25" s="9"/>
      <c r="E25" s="9"/>
      <c r="F25" s="9"/>
      <c r="G25" s="9"/>
      <c r="H25" s="9"/>
      <c r="I25" s="9"/>
      <c r="M25" s="17"/>
      <c r="N25" s="17"/>
      <c r="O25" s="14"/>
      <c r="P25" s="17"/>
      <c r="Q25" s="14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19.5" customHeight="1" x14ac:dyDescent="0.25">
      <c r="A26" s="9"/>
      <c r="B26" s="9"/>
      <c r="C26" s="9"/>
      <c r="D26" s="9"/>
      <c r="E26" s="9"/>
      <c r="F26" s="9"/>
      <c r="G26" s="9"/>
      <c r="H26" s="9"/>
      <c r="I26" s="9"/>
      <c r="J26" s="14"/>
      <c r="K26" s="15"/>
      <c r="L26" s="15"/>
      <c r="M26" s="18"/>
      <c r="N26" s="18"/>
      <c r="O26" s="19"/>
      <c r="P26" s="18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19.5" customHeight="1" x14ac:dyDescent="0.25">
      <c r="A27" s="9"/>
      <c r="B27" s="9"/>
      <c r="C27" s="9"/>
      <c r="D27" s="9"/>
      <c r="E27" s="9"/>
      <c r="F27" s="9"/>
      <c r="G27" s="9"/>
      <c r="H27" s="9"/>
      <c r="I27" s="9"/>
      <c r="J27" s="14"/>
      <c r="K27" s="15"/>
      <c r="L27" s="15"/>
      <c r="M27" s="9"/>
      <c r="N27" s="9"/>
      <c r="O27" s="1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19.5" customHeight="1" x14ac:dyDescent="0.25">
      <c r="A28" s="9"/>
      <c r="B28" s="9"/>
      <c r="C28" s="9"/>
      <c r="D28" s="9"/>
      <c r="E28" s="9"/>
      <c r="F28" s="9"/>
      <c r="G28" s="9"/>
      <c r="H28" s="9"/>
      <c r="I28" s="9"/>
      <c r="J28" s="14"/>
      <c r="K28" s="15"/>
      <c r="L28" s="15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19.5" customHeight="1" x14ac:dyDescent="0.25">
      <c r="A29" s="9"/>
      <c r="B29" s="9"/>
      <c r="C29" s="9"/>
      <c r="D29" s="9"/>
      <c r="E29" s="9"/>
      <c r="F29" s="9"/>
      <c r="G29" s="9"/>
      <c r="H29" s="9"/>
      <c r="I29" s="9"/>
      <c r="J29" s="14"/>
      <c r="K29" s="15"/>
      <c r="L29" s="15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19.5" customHeight="1" x14ac:dyDescent="0.25">
      <c r="A30" s="9"/>
      <c r="B30" s="9"/>
      <c r="C30" s="9"/>
      <c r="D30" s="9"/>
      <c r="E30" s="9"/>
      <c r="F30" s="9"/>
      <c r="G30" s="9"/>
      <c r="H30" s="9"/>
      <c r="I30" s="9"/>
      <c r="J30" s="14"/>
      <c r="K30" s="15"/>
      <c r="L30" s="15"/>
      <c r="M30" s="9"/>
      <c r="N30" s="9"/>
      <c r="O30" s="14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19.5" customHeight="1" x14ac:dyDescent="0.25">
      <c r="A31" s="9"/>
      <c r="B31" s="9"/>
      <c r="C31" s="9"/>
      <c r="D31" s="9"/>
      <c r="E31" s="9"/>
      <c r="F31" s="9"/>
      <c r="G31" s="9"/>
      <c r="H31" s="9"/>
      <c r="I31" s="9"/>
      <c r="J31" s="14"/>
      <c r="K31" s="15"/>
      <c r="L31" s="15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9.5" customHeight="1" x14ac:dyDescent="0.25">
      <c r="A32" s="9"/>
      <c r="B32" s="9"/>
      <c r="C32" s="9"/>
      <c r="D32" s="9"/>
      <c r="E32" s="9"/>
      <c r="F32" s="9"/>
      <c r="G32" s="9"/>
      <c r="H32" s="9"/>
      <c r="I32" s="9"/>
      <c r="J32" s="14"/>
      <c r="K32" s="15"/>
      <c r="L32" s="15"/>
      <c r="M32" s="9"/>
      <c r="N32" s="9"/>
      <c r="O32" s="14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19.5" customHeight="1" x14ac:dyDescent="0.25">
      <c r="A33" s="9"/>
      <c r="B33" s="9"/>
      <c r="C33" s="9"/>
      <c r="D33" s="9"/>
      <c r="E33" s="9"/>
      <c r="F33" s="9"/>
      <c r="G33" s="9"/>
      <c r="H33" s="9"/>
      <c r="I33" s="9"/>
      <c r="J33" s="14"/>
      <c r="K33" s="15"/>
      <c r="L33" s="15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ht="19.5" customHeight="1" x14ac:dyDescent="0.25">
      <c r="A34" s="9"/>
      <c r="B34" s="9"/>
      <c r="C34" s="9"/>
      <c r="D34" s="9"/>
      <c r="E34" s="9"/>
      <c r="F34" s="9"/>
      <c r="G34" s="9"/>
      <c r="H34" s="9"/>
      <c r="I34" s="9"/>
      <c r="J34" s="14"/>
      <c r="K34" s="15"/>
      <c r="L34" s="15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ht="19.5" customHeight="1" x14ac:dyDescent="0.25">
      <c r="A35" s="9"/>
      <c r="B35" s="9"/>
      <c r="C35" s="9"/>
      <c r="D35" s="9"/>
      <c r="E35" s="9"/>
      <c r="F35" s="9"/>
      <c r="G35" s="9"/>
      <c r="H35" s="9"/>
      <c r="I35" s="9"/>
      <c r="J35" s="14"/>
      <c r="K35" s="15"/>
      <c r="L35" s="15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ht="19.5" customHeight="1" x14ac:dyDescent="0.25">
      <c r="A36" s="9"/>
      <c r="B36" s="9"/>
      <c r="C36" s="9"/>
      <c r="D36" s="9"/>
      <c r="E36" s="9"/>
      <c r="F36" s="9"/>
      <c r="G36" s="9"/>
      <c r="H36" s="9"/>
      <c r="I36" s="9"/>
      <c r="J36" s="14"/>
      <c r="K36" s="15"/>
      <c r="L36" s="15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ht="19.5" customHeight="1" x14ac:dyDescent="0.25">
      <c r="A37" s="9"/>
      <c r="B37" s="9"/>
      <c r="C37" s="9"/>
      <c r="D37" s="9"/>
      <c r="E37" s="9"/>
      <c r="F37" s="9"/>
      <c r="G37" s="9"/>
      <c r="H37" s="9"/>
      <c r="I37" s="9"/>
      <c r="J37" s="14"/>
      <c r="K37" s="15"/>
      <c r="L37" s="15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ht="19.5" customHeight="1" x14ac:dyDescent="0.25">
      <c r="A38" s="9"/>
      <c r="B38" s="9"/>
      <c r="C38" s="9"/>
      <c r="D38" s="9"/>
      <c r="E38" s="9"/>
      <c r="F38" s="9"/>
      <c r="G38" s="9"/>
      <c r="H38" s="9"/>
      <c r="I38" s="9"/>
      <c r="J38" s="14"/>
      <c r="K38" s="15"/>
      <c r="L38" s="15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ht="19.5" customHeight="1" x14ac:dyDescent="0.25">
      <c r="A39" s="9"/>
      <c r="B39" s="9"/>
      <c r="C39" s="9"/>
      <c r="D39" s="9"/>
      <c r="E39" s="9"/>
      <c r="F39" s="9"/>
      <c r="G39" s="9"/>
      <c r="H39" s="9"/>
      <c r="I39" s="9"/>
      <c r="J39" s="14"/>
      <c r="K39" s="15"/>
      <c r="L39" s="15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ht="19.5" customHeight="1" x14ac:dyDescent="0.25">
      <c r="A40" s="9"/>
      <c r="B40" s="9"/>
      <c r="C40" s="9"/>
      <c r="D40" s="9"/>
      <c r="E40" s="9"/>
      <c r="F40" s="9"/>
      <c r="G40" s="9"/>
      <c r="H40" s="9"/>
      <c r="I40" s="9"/>
      <c r="J40" s="14"/>
      <c r="K40" s="15"/>
      <c r="L40" s="15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ht="19.5" customHeight="1" x14ac:dyDescent="0.25">
      <c r="A41" s="9"/>
      <c r="B41" s="9"/>
      <c r="C41" s="9"/>
      <c r="D41" s="9"/>
      <c r="E41" s="9"/>
      <c r="F41" s="9"/>
      <c r="G41" s="9"/>
      <c r="H41" s="9"/>
      <c r="I41" s="9"/>
      <c r="J41" s="14"/>
      <c r="K41" s="15"/>
      <c r="L41" s="15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ht="19.5" customHeight="1" x14ac:dyDescent="0.25">
      <c r="A42" s="9"/>
      <c r="B42" s="9"/>
      <c r="C42" s="9"/>
      <c r="D42" s="9"/>
      <c r="E42" s="9"/>
      <c r="F42" s="9"/>
      <c r="G42" s="9"/>
      <c r="H42" s="9"/>
      <c r="I42" s="9"/>
      <c r="J42" s="14"/>
      <c r="K42" s="15"/>
      <c r="L42" s="15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ht="19.5" customHeight="1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15"/>
      <c r="L43" s="15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ht="19.5" customHeight="1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15"/>
      <c r="L44" s="15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ht="19.5" customHeight="1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15"/>
      <c r="L45" s="15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ht="19.5" customHeight="1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15"/>
      <c r="L46" s="15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ht="19.5" customHeight="1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15"/>
      <c r="L47" s="15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ht="19.5" customHeight="1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15"/>
      <c r="L48" s="15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ht="19.5" customHeight="1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15"/>
      <c r="L49" s="15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ht="19.5" customHeight="1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15"/>
      <c r="L50" s="15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ht="19.5" customHeight="1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15"/>
      <c r="L51" s="15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ht="19.5" customHeight="1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15"/>
      <c r="L52" s="15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ht="19.5" customHeight="1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15"/>
      <c r="L53" s="15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ht="19.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15"/>
      <c r="L54" s="15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ht="19.5" customHeight="1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15"/>
      <c r="L55" s="15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9.5" customHeight="1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15"/>
      <c r="L56" s="15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ht="19.5" customHeight="1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15"/>
      <c r="L57" s="15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ht="19.5" customHeight="1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15"/>
      <c r="L58" s="15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ht="19.5" customHeight="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15"/>
      <c r="L59" s="15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ht="19.5" customHeight="1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15"/>
      <c r="L60" s="15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ht="19.5" customHeight="1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15"/>
      <c r="L61" s="15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ht="19.5" customHeight="1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15"/>
      <c r="L62" s="15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ht="19.5" customHeight="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15"/>
      <c r="L63" s="15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ht="19.5" customHeight="1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15"/>
      <c r="L64" s="15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9.5" customHeight="1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15"/>
      <c r="L65" s="15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19.5" customHeight="1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15"/>
      <c r="L66" s="15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ht="19.5" customHeight="1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15"/>
      <c r="L67" s="15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ht="19.5" customHeight="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15"/>
      <c r="L68" s="15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ht="19.5" customHeight="1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15"/>
      <c r="L69" s="15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19.5" customHeight="1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15"/>
      <c r="L70" s="15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ht="19.5" customHeight="1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15"/>
      <c r="L71" s="15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ht="19.5" customHeight="1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15"/>
      <c r="L72" s="15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ht="19.5" customHeight="1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15"/>
      <c r="L73" s="15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9.5" customHeight="1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15"/>
      <c r="L74" s="15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ht="19.5" customHeight="1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15"/>
      <c r="L75" s="15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ht="19.5" customHeight="1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15"/>
      <c r="L76" s="15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ht="19.5" customHeight="1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15"/>
      <c r="L77" s="15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ht="19.5" customHeight="1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15"/>
      <c r="L78" s="15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ht="19.5" customHeight="1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15"/>
      <c r="L79" s="15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ht="19.5" customHeight="1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15"/>
      <c r="L80" s="15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ht="19.5" customHeight="1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15"/>
      <c r="L81" s="15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ht="19.5" customHeight="1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15"/>
      <c r="L82" s="15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9.5" customHeight="1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15"/>
      <c r="L83" s="15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ht="19.5" customHeight="1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15"/>
      <c r="L84" s="15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ht="19.5" customHeight="1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15"/>
      <c r="L85" s="15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ht="19.5" customHeight="1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15"/>
      <c r="L86" s="15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ht="19.5" customHeight="1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15"/>
      <c r="L87" s="15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ht="19.5" customHeigh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15"/>
      <c r="L88" s="15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ht="19.5" customHeight="1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15"/>
      <c r="L89" s="15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ht="19.5" customHeight="1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15"/>
      <c r="L90" s="15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ht="19.5" customHeight="1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15"/>
      <c r="L91" s="15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9.5" customHeight="1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15"/>
      <c r="L92" s="15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ht="19.5" customHeight="1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15"/>
      <c r="L93" s="15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ht="19.5" customHeight="1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15"/>
      <c r="L94" s="15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ht="19.5" customHeight="1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15"/>
      <c r="L95" s="15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ht="19.5" customHeight="1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15"/>
      <c r="L96" s="15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ht="19.5" customHeight="1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15"/>
      <c r="L97" s="15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ht="19.5" customHeight="1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15"/>
      <c r="L98" s="15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ht="19.5" customHeight="1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15"/>
      <c r="L99" s="15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ht="19.5" customHeight="1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15"/>
      <c r="L100" s="15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9.5" customHeight="1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15"/>
      <c r="L101" s="15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ht="19.5" customHeight="1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15"/>
      <c r="L102" s="15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ht="19.5" customHeight="1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15"/>
      <c r="L103" s="15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ht="19.5" customHeight="1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15"/>
      <c r="L104" s="15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ht="19.5" customHeight="1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15"/>
      <c r="L105" s="15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ht="19.5" customHeight="1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15"/>
      <c r="L106" s="15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ht="19.5" customHeight="1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15"/>
      <c r="L107" s="15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ht="19.5" customHeight="1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15"/>
      <c r="L108" s="15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ht="19.5" customHeight="1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15"/>
      <c r="L109" s="15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9.5" customHeight="1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15"/>
      <c r="L110" s="15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ht="19.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15"/>
      <c r="L111" s="15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ht="19.5" customHeight="1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15"/>
      <c r="L112" s="15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ht="19.5" customHeight="1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15"/>
      <c r="L113" s="15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ht="19.5" customHeight="1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15"/>
      <c r="L114" s="15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ht="19.5" customHeight="1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15"/>
      <c r="L115" s="15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ht="19.5" customHeight="1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15"/>
      <c r="L116" s="15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ht="19.5" customHeight="1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15"/>
      <c r="L117" s="15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ht="19.5" customHeight="1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15"/>
      <c r="L118" s="15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9.5" customHeight="1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15"/>
      <c r="L119" s="15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ht="19.5" customHeight="1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15"/>
      <c r="L120" s="15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ht="19.5" customHeight="1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15"/>
      <c r="L121" s="15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ht="19.5" customHeight="1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15"/>
      <c r="L122" s="15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ht="19.5" customHeight="1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15"/>
      <c r="L123" s="15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ht="19.5" customHeight="1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15"/>
      <c r="L124" s="15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ht="19.5" customHeight="1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15"/>
      <c r="L125" s="15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ht="19.5" customHeight="1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15"/>
      <c r="L126" s="15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ht="19.5" customHeight="1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15"/>
      <c r="L127" s="15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9.5" customHeight="1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15"/>
      <c r="L128" s="15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ht="19.5" customHeight="1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15"/>
      <c r="L129" s="15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ht="19.5" customHeight="1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15"/>
      <c r="L130" s="15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ht="19.5" customHeight="1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15"/>
      <c r="L131" s="15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ht="19.5" customHeight="1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15"/>
      <c r="L132" s="15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ht="19.5" customHeight="1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15"/>
      <c r="L133" s="15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ht="19.5" customHeight="1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15"/>
      <c r="L134" s="15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ht="19.5" customHeight="1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15"/>
      <c r="L135" s="15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ht="19.5" customHeight="1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15"/>
      <c r="L136" s="15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19.5" customHeight="1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15"/>
      <c r="L137" s="15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ht="19.5" customHeight="1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15"/>
      <c r="L138" s="15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ht="19.5" customHeight="1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15"/>
      <c r="L139" s="15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ht="19.5" customHeight="1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15"/>
      <c r="L140" s="15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ht="19.5" customHeight="1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15"/>
      <c r="L141" s="15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ht="19.5" customHeight="1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15"/>
      <c r="L142" s="15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ht="19.5" customHeight="1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15"/>
      <c r="L143" s="15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ht="19.5" customHeight="1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15"/>
      <c r="L144" s="15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ht="19.5" customHeight="1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15"/>
      <c r="L145" s="15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ht="19.5" customHeight="1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15"/>
      <c r="L146" s="15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19.5" customHeight="1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15"/>
      <c r="L147" s="15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ht="19.5" customHeight="1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15"/>
      <c r="L148" s="15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ht="19.5" customHeight="1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15"/>
      <c r="L149" s="15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ht="19.5" customHeight="1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15"/>
      <c r="L150" s="15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ht="19.5" customHeight="1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15"/>
      <c r="L151" s="15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ht="19.5" customHeight="1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15"/>
      <c r="L152" s="15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ht="19.5" customHeight="1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15"/>
      <c r="L153" s="15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ht="19.5" customHeight="1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15"/>
      <c r="L154" s="15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ht="19.5" customHeight="1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15"/>
      <c r="L155" s="15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19.5" customHeight="1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15"/>
      <c r="L156" s="15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ht="19.5" customHeight="1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15"/>
      <c r="L157" s="15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ht="19.5" customHeight="1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15"/>
      <c r="L158" s="15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ht="19.5" customHeight="1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15"/>
      <c r="L159" s="15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ht="19.5" customHeight="1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15"/>
      <c r="L160" s="15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ht="19.5" customHeight="1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15"/>
      <c r="L161" s="15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ht="19.5" customHeight="1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15"/>
      <c r="L162" s="15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ht="19.5" customHeight="1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15"/>
      <c r="L163" s="15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ht="19.5" customHeight="1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15"/>
      <c r="L164" s="15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ht="19.5" customHeight="1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15"/>
      <c r="L165" s="15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ht="19.5" customHeight="1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15"/>
      <c r="L166" s="15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ht="19.5" customHeight="1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15"/>
      <c r="L167" s="15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ht="19.5" customHeight="1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15"/>
      <c r="L168" s="15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ht="19.5" customHeight="1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15"/>
      <c r="L169" s="15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ht="19.5" customHeight="1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15"/>
      <c r="L170" s="15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ht="19.5" customHeight="1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15"/>
      <c r="L171" s="15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ht="19.5" customHeight="1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15"/>
      <c r="L172" s="15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ht="19.5" customHeight="1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15"/>
      <c r="L173" s="15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ht="19.5" customHeight="1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15"/>
      <c r="L174" s="15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ht="19.5" customHeight="1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15"/>
      <c r="L175" s="15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ht="19.5" customHeight="1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15"/>
      <c r="L176" s="15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 ht="19.5" customHeight="1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15"/>
      <c r="L177" s="15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 ht="19.5" customHeight="1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15"/>
      <c r="L178" s="15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 ht="19.5" customHeight="1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15"/>
      <c r="L179" s="15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 ht="19.5" customHeight="1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15"/>
      <c r="L180" s="15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 ht="19.5" customHeight="1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15"/>
      <c r="L181" s="15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 ht="19.5" customHeight="1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15"/>
      <c r="L182" s="15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 ht="19.5" customHeight="1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15"/>
      <c r="L183" s="15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 ht="19.5" customHeight="1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15"/>
      <c r="L184" s="15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 ht="19.5" customHeight="1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15"/>
      <c r="L185" s="15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 ht="19.5" customHeight="1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15"/>
      <c r="L186" s="15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 ht="19.5" customHeight="1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15"/>
      <c r="L187" s="15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 ht="19.5" customHeight="1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15"/>
      <c r="L188" s="15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 ht="19.5" customHeight="1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15"/>
      <c r="L189" s="15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 ht="19.5" customHeight="1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15"/>
      <c r="L190" s="15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 ht="19.5" customHeight="1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15"/>
      <c r="L191" s="15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 ht="19.5" customHeight="1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15"/>
      <c r="L192" s="15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 ht="19.5" customHeight="1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15"/>
      <c r="L193" s="15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 ht="19.5" customHeight="1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15"/>
      <c r="L194" s="15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 ht="19.5" customHeight="1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15"/>
      <c r="L195" s="15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 ht="19.5" customHeight="1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15"/>
      <c r="L196" s="15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 ht="19.5" customHeight="1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15"/>
      <c r="L197" s="15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 ht="19.5" customHeight="1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15"/>
      <c r="L198" s="15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 ht="19.5" customHeight="1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15"/>
      <c r="L199" s="15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 ht="19.5" customHeight="1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15"/>
      <c r="L200" s="15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 ht="19.5" customHeight="1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15"/>
      <c r="L201" s="15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 ht="19.5" customHeight="1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15"/>
      <c r="L202" s="15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 ht="19.5" customHeight="1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15"/>
      <c r="L203" s="15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 ht="19.5" customHeight="1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15"/>
      <c r="L204" s="15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 ht="19.5" customHeight="1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15"/>
      <c r="L205" s="15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 ht="19.5" customHeight="1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15"/>
      <c r="L206" s="15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 ht="19.5" customHeight="1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15"/>
      <c r="L207" s="15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 ht="19.5" customHeight="1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15"/>
      <c r="L208" s="15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 ht="19.5" customHeight="1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15"/>
      <c r="L209" s="15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 ht="19.5" customHeight="1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15"/>
      <c r="L210" s="15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 ht="19.5" customHeight="1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15"/>
      <c r="L211" s="15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 ht="19.5" customHeight="1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15"/>
      <c r="L212" s="15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 ht="19.5" customHeight="1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15"/>
      <c r="L213" s="15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 ht="19.5" customHeight="1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15"/>
      <c r="L214" s="15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 ht="19.5" customHeight="1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15"/>
      <c r="L215" s="15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 ht="19.5" customHeight="1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15"/>
      <c r="L216" s="15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 ht="19.5" customHeight="1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15"/>
      <c r="L217" s="15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 ht="19.5" customHeight="1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15"/>
      <c r="L218" s="15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 ht="19.5" customHeight="1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15"/>
      <c r="L219" s="15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 ht="19.5" customHeight="1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15"/>
      <c r="L220" s="15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 ht="19.5" customHeight="1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15"/>
      <c r="L221" s="15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 ht="19.5" customHeight="1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15"/>
      <c r="L222" s="15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 ht="19.5" customHeight="1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15"/>
      <c r="L223" s="15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 ht="19.5" customHeight="1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15"/>
      <c r="L224" s="15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 ht="19.5" customHeight="1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15"/>
      <c r="L225" s="15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 ht="19.5" customHeight="1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15"/>
      <c r="L226" s="15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 ht="19.5" customHeight="1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15"/>
      <c r="L227" s="15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 ht="19.5" customHeight="1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15"/>
      <c r="L228" s="15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 ht="19.5" customHeight="1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15"/>
      <c r="L229" s="15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 ht="19.5" customHeight="1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15"/>
      <c r="L230" s="15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 ht="19.5" customHeight="1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15"/>
      <c r="L231" s="15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 ht="19.5" customHeight="1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15"/>
      <c r="L232" s="15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 ht="19.5" customHeight="1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15"/>
      <c r="L233" s="15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 ht="19.5" customHeight="1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15"/>
      <c r="L234" s="15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 ht="19.5" customHeight="1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15"/>
      <c r="L235" s="15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 ht="19.5" customHeight="1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15"/>
      <c r="L236" s="15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 ht="19.5" customHeight="1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15"/>
      <c r="L237" s="15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 ht="19.5" customHeight="1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15"/>
      <c r="L238" s="15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 ht="19.5" customHeight="1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15"/>
      <c r="L239" s="15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 ht="19.5" customHeight="1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15"/>
      <c r="L240" s="15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 ht="19.5" customHeight="1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15"/>
      <c r="L241" s="15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 ht="19.5" customHeight="1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15"/>
      <c r="L242" s="15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 ht="19.5" customHeight="1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15"/>
      <c r="L243" s="15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 ht="19.5" customHeight="1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15"/>
      <c r="L244" s="15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 ht="19.5" customHeight="1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15"/>
      <c r="L245" s="15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 ht="19.5" customHeight="1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15"/>
      <c r="L246" s="15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 ht="19.5" customHeight="1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15"/>
      <c r="L247" s="15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 ht="19.5" customHeight="1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15"/>
      <c r="L248" s="15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 ht="19.5" customHeight="1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15"/>
      <c r="L249" s="15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 ht="19.5" customHeight="1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15"/>
      <c r="L250" s="15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 ht="19.5" customHeight="1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15"/>
      <c r="L251" s="15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 ht="19.5" customHeight="1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15"/>
      <c r="L252" s="15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 ht="19.5" customHeight="1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15"/>
      <c r="L253" s="15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 ht="19.5" customHeight="1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15"/>
      <c r="L254" s="15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 ht="19.5" customHeight="1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15"/>
      <c r="L255" s="15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 ht="19.5" customHeight="1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15"/>
      <c r="L256" s="15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 ht="19.5" customHeight="1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15"/>
      <c r="L257" s="15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 ht="19.5" customHeight="1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15"/>
      <c r="L258" s="15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 ht="19.5" customHeight="1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15"/>
      <c r="L259" s="15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 ht="19.5" customHeight="1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15"/>
      <c r="L260" s="15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 ht="19.5" customHeight="1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15"/>
      <c r="L261" s="15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 ht="19.5" customHeight="1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15"/>
      <c r="L262" s="15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 ht="19.5" customHeight="1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15"/>
      <c r="L263" s="15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 ht="19.5" customHeight="1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15"/>
      <c r="L264" s="15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 ht="19.5" customHeight="1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15"/>
      <c r="L265" s="15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 ht="19.5" customHeight="1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15"/>
      <c r="L266" s="15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 ht="19.5" customHeight="1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15"/>
      <c r="L267" s="15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 ht="19.5" customHeight="1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15"/>
      <c r="L268" s="15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 ht="19.5" customHeight="1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15"/>
      <c r="L269" s="15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 ht="19.5" customHeight="1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15"/>
      <c r="L270" s="15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 ht="19.5" customHeight="1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15"/>
      <c r="L271" s="15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 ht="19.5" customHeight="1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15"/>
      <c r="L272" s="15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 ht="19.5" customHeight="1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15"/>
      <c r="L273" s="15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 ht="19.5" customHeight="1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15"/>
      <c r="L274" s="15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 ht="19.5" customHeight="1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15"/>
      <c r="L275" s="15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 ht="19.5" customHeight="1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15"/>
      <c r="L276" s="15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 ht="19.5" customHeight="1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15"/>
      <c r="L277" s="15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 ht="19.5" customHeight="1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15"/>
      <c r="L278" s="15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 ht="19.5" customHeight="1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15"/>
      <c r="L279" s="15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 ht="19.5" customHeight="1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15"/>
      <c r="L280" s="15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 ht="19.5" customHeight="1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15"/>
      <c r="L281" s="15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 ht="19.5" customHeight="1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15"/>
      <c r="L282" s="15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 ht="19.5" customHeight="1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15"/>
      <c r="L283" s="15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 ht="19.5" customHeight="1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15"/>
      <c r="L284" s="15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 ht="19.5" customHeight="1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15"/>
      <c r="L285" s="15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 ht="19.5" customHeight="1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15"/>
      <c r="L286" s="15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 ht="19.5" customHeight="1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15"/>
      <c r="L287" s="15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 ht="19.5" customHeight="1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15"/>
      <c r="L288" s="15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 ht="19.5" customHeight="1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15"/>
      <c r="L289" s="15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 ht="19.5" customHeight="1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15"/>
      <c r="L290" s="15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 ht="19.5" customHeight="1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15"/>
      <c r="L291" s="15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 ht="19.5" customHeight="1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15"/>
      <c r="L292" s="15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 ht="19.5" customHeight="1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15"/>
      <c r="L293" s="15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 ht="19.5" customHeight="1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15"/>
      <c r="L294" s="15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 ht="19.5" customHeight="1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15"/>
      <c r="L295" s="15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 ht="19.5" customHeight="1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15"/>
      <c r="L296" s="15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 ht="19.5" customHeight="1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15"/>
      <c r="L297" s="15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 ht="19.5" customHeight="1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15"/>
      <c r="L298" s="15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 ht="19.5" customHeight="1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15"/>
      <c r="L299" s="15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 ht="19.5" customHeight="1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15"/>
      <c r="L300" s="15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 ht="19.5" customHeight="1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15"/>
      <c r="L301" s="15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 ht="19.5" customHeight="1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15"/>
      <c r="L302" s="15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 ht="19.5" customHeight="1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15"/>
      <c r="L303" s="15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 ht="19.5" customHeight="1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15"/>
      <c r="L304" s="15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 ht="19.5" customHeight="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15"/>
      <c r="L305" s="15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 ht="19.5" customHeight="1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15"/>
      <c r="L306" s="15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 ht="19.5" customHeight="1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15"/>
      <c r="L307" s="15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 ht="19.5" customHeigh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15"/>
      <c r="L308" s="15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 ht="19.5" customHeigh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15"/>
      <c r="L309" s="15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 ht="19.5" customHeight="1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15"/>
      <c r="L310" s="15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 ht="19.5" customHeigh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15"/>
      <c r="L311" s="15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 ht="19.5" customHeigh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15"/>
      <c r="L312" s="15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 ht="19.5" customHeight="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15"/>
      <c r="L313" s="15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 ht="19.5" customHeigh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15"/>
      <c r="L314" s="15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 ht="19.5" customHeigh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15"/>
      <c r="L315" s="15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 ht="19.5" customHeight="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15"/>
      <c r="L316" s="15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 ht="19.5" customHeight="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15"/>
      <c r="L317" s="15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 ht="19.5" customHeigh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15"/>
      <c r="L318" s="15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 ht="19.5" customHeight="1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15"/>
      <c r="L319" s="15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 ht="19.5" customHeight="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15"/>
      <c r="L320" s="15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 ht="19.5" customHeight="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15"/>
      <c r="L321" s="15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 ht="19.5" customHeight="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15"/>
      <c r="L322" s="15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 ht="19.5" customHeight="1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15"/>
      <c r="L323" s="15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 ht="19.5" customHeight="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15"/>
      <c r="L324" s="15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 ht="19.5" customHeight="1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15"/>
      <c r="L325" s="15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 ht="19.5" customHeight="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15"/>
      <c r="L326" s="15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 ht="19.5" customHeight="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15"/>
      <c r="L327" s="15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 ht="19.5" customHeigh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15"/>
      <c r="L328" s="15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 ht="19.5" customHeight="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15"/>
      <c r="L329" s="15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 ht="19.5" customHeight="1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15"/>
      <c r="L330" s="15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 ht="19.5" customHeight="1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15"/>
      <c r="L331" s="15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 ht="19.5" customHeight="1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15"/>
      <c r="L332" s="15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 ht="19.5" customHeight="1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15"/>
      <c r="L333" s="15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 ht="19.5" customHeight="1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15"/>
      <c r="L334" s="15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 ht="19.5" customHeight="1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15"/>
      <c r="L335" s="15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 ht="19.5" customHeigh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15"/>
      <c r="L336" s="15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 ht="19.5" customHeight="1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15"/>
      <c r="L337" s="15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 ht="19.5" customHeight="1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15"/>
      <c r="L338" s="15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 ht="19.5" customHeight="1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15"/>
      <c r="L339" s="15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 ht="19.5" customHeight="1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15"/>
      <c r="L340" s="15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 ht="19.5" customHeight="1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15"/>
      <c r="L341" s="15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 ht="19.5" customHeight="1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15"/>
      <c r="L342" s="15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 ht="19.5" customHeight="1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15"/>
      <c r="L343" s="15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 ht="19.5" customHeight="1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15"/>
      <c r="L344" s="15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 ht="19.5" customHeight="1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15"/>
      <c r="L345" s="15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 ht="19.5" customHeight="1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15"/>
      <c r="L346" s="15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 ht="19.5" customHeight="1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15"/>
      <c r="L347" s="15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 ht="19.5" customHeight="1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15"/>
      <c r="L348" s="15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 ht="19.5" customHeight="1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15"/>
      <c r="L349" s="15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 ht="19.5" customHeight="1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15"/>
      <c r="L350" s="15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 ht="19.5" customHeight="1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15"/>
      <c r="L351" s="15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 ht="19.5" customHeight="1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15"/>
      <c r="L352" s="15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 ht="19.5" customHeight="1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15"/>
      <c r="L353" s="15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 ht="19.5" customHeight="1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15"/>
      <c r="L354" s="15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 ht="19.5" customHeight="1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15"/>
      <c r="L355" s="15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 ht="19.5" customHeight="1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15"/>
      <c r="L356" s="15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 ht="19.5" customHeight="1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15"/>
      <c r="L357" s="15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 ht="19.5" customHeight="1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15"/>
      <c r="L358" s="15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 ht="19.5" customHeight="1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15"/>
      <c r="L359" s="15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 ht="19.5" customHeight="1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15"/>
      <c r="L360" s="15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 ht="19.5" customHeight="1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15"/>
      <c r="L361" s="15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 ht="19.5" customHeight="1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15"/>
      <c r="L362" s="15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 ht="19.5" customHeight="1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15"/>
      <c r="L363" s="15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 ht="19.5" customHeight="1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15"/>
      <c r="L364" s="15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 ht="19.5" customHeight="1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15"/>
      <c r="L365" s="15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 ht="19.5" customHeight="1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15"/>
      <c r="L366" s="15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 ht="19.5" customHeight="1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15"/>
      <c r="L367" s="15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 ht="19.5" customHeight="1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15"/>
      <c r="L368" s="15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 ht="19.5" customHeight="1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15"/>
      <c r="L369" s="15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 ht="19.5" customHeight="1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15"/>
      <c r="L370" s="15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 ht="19.5" customHeight="1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15"/>
      <c r="L371" s="15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 ht="19.5" customHeight="1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15"/>
      <c r="L372" s="15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 ht="19.5" customHeight="1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15"/>
      <c r="L373" s="15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 ht="19.5" customHeight="1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15"/>
      <c r="L374" s="15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 ht="19.5" customHeight="1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15"/>
      <c r="L375" s="15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 ht="19.5" customHeight="1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15"/>
      <c r="L376" s="15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 ht="19.5" customHeight="1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15"/>
      <c r="L377" s="15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 ht="19.5" customHeight="1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15"/>
      <c r="L378" s="15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 ht="19.5" customHeight="1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15"/>
      <c r="L379" s="15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 ht="19.5" customHeight="1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15"/>
      <c r="L380" s="15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 ht="19.5" customHeight="1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15"/>
      <c r="L381" s="15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 ht="19.5" customHeight="1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15"/>
      <c r="L382" s="15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 ht="19.5" customHeight="1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15"/>
      <c r="L383" s="15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 ht="19.5" customHeight="1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15"/>
      <c r="L384" s="15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 ht="19.5" customHeight="1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15"/>
      <c r="L385" s="15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 ht="19.5" customHeight="1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15"/>
      <c r="L386" s="15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 ht="19.5" customHeight="1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15"/>
      <c r="L387" s="15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 ht="19.5" customHeight="1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15"/>
      <c r="L388" s="15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 ht="19.5" customHeight="1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15"/>
      <c r="L389" s="15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 ht="19.5" customHeight="1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15"/>
      <c r="L390" s="15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 ht="19.5" customHeight="1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15"/>
      <c r="L391" s="15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 ht="19.5" customHeight="1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15"/>
      <c r="L392" s="15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 ht="19.5" customHeight="1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15"/>
      <c r="L393" s="15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 ht="19.5" customHeight="1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15"/>
      <c r="L394" s="15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 ht="19.5" customHeight="1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15"/>
      <c r="L395" s="15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 ht="19.5" customHeight="1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15"/>
      <c r="L396" s="15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 ht="19.5" customHeight="1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15"/>
      <c r="L397" s="15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 ht="19.5" customHeight="1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15"/>
      <c r="L398" s="15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 ht="19.5" customHeight="1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15"/>
      <c r="L399" s="15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 ht="19.5" customHeight="1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15"/>
      <c r="L400" s="15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 ht="19.5" customHeight="1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15"/>
      <c r="L401" s="15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 ht="19.5" customHeight="1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15"/>
      <c r="L402" s="15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 ht="19.5" customHeight="1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15"/>
      <c r="L403" s="15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 ht="19.5" customHeight="1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15"/>
      <c r="L404" s="15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 ht="19.5" customHeight="1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15"/>
      <c r="L405" s="15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 ht="19.5" customHeight="1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15"/>
      <c r="L406" s="15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 ht="19.5" customHeight="1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15"/>
      <c r="L407" s="15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 ht="19.5" customHeight="1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15"/>
      <c r="L408" s="15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 ht="19.5" customHeight="1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15"/>
      <c r="L409" s="15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 ht="19.5" customHeight="1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15"/>
      <c r="L410" s="15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 ht="19.5" customHeight="1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15"/>
      <c r="L411" s="15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 ht="19.5" customHeight="1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15"/>
      <c r="L412" s="15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 ht="19.5" customHeight="1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15"/>
      <c r="L413" s="15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 ht="19.5" customHeight="1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15"/>
      <c r="L414" s="15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 ht="19.5" customHeight="1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15"/>
      <c r="L415" s="15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 ht="19.5" customHeight="1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15"/>
      <c r="L416" s="15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 ht="19.5" customHeight="1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15"/>
      <c r="L417" s="15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 ht="19.5" customHeight="1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15"/>
      <c r="L418" s="15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 ht="19.5" customHeight="1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15"/>
      <c r="L419" s="15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 ht="19.5" customHeight="1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15"/>
      <c r="L420" s="15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 ht="19.5" customHeight="1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15"/>
      <c r="L421" s="15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 ht="19.5" customHeight="1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15"/>
      <c r="L422" s="15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 ht="19.5" customHeight="1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15"/>
      <c r="L423" s="15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 ht="19.5" customHeight="1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15"/>
      <c r="L424" s="15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 ht="19.5" customHeight="1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15"/>
      <c r="L425" s="15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 ht="19.5" customHeight="1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15"/>
      <c r="L426" s="15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 ht="19.5" customHeight="1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15"/>
      <c r="L427" s="15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 ht="19.5" customHeight="1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15"/>
      <c r="L428" s="15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 ht="19.5" customHeight="1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15"/>
      <c r="L429" s="15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 ht="19.5" customHeight="1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15"/>
      <c r="L430" s="15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 ht="19.5" customHeight="1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15"/>
      <c r="L431" s="15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 ht="19.5" customHeight="1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15"/>
      <c r="L432" s="15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 ht="19.5" customHeight="1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15"/>
      <c r="L433" s="15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 ht="19.5" customHeight="1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15"/>
      <c r="L434" s="15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 ht="19.5" customHeight="1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15"/>
      <c r="L435" s="15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 ht="19.5" customHeight="1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15"/>
      <c r="L436" s="15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 ht="19.5" customHeight="1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15"/>
      <c r="L437" s="15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 ht="19.5" customHeight="1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15"/>
      <c r="L438" s="15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 ht="19.5" customHeight="1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15"/>
      <c r="L439" s="15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 ht="19.5" customHeight="1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15"/>
      <c r="L440" s="15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 ht="19.5" customHeight="1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15"/>
      <c r="L441" s="15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 ht="19.5" customHeight="1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15"/>
      <c r="L442" s="15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 ht="19.5" customHeight="1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15"/>
      <c r="L443" s="15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 ht="19.5" customHeight="1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15"/>
      <c r="L444" s="15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 ht="19.5" customHeight="1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15"/>
      <c r="L445" s="15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 ht="19.5" customHeight="1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15"/>
      <c r="L446" s="15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 ht="19.5" customHeight="1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15"/>
      <c r="L447" s="15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 ht="19.5" customHeight="1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15"/>
      <c r="L448" s="15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 ht="19.5" customHeight="1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15"/>
      <c r="L449" s="15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 ht="19.5" customHeight="1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15"/>
      <c r="L450" s="15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 ht="19.5" customHeight="1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15"/>
      <c r="L451" s="15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 ht="19.5" customHeight="1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15"/>
      <c r="L452" s="15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 ht="19.5" customHeight="1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15"/>
      <c r="L453" s="15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 ht="19.5" customHeight="1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15"/>
      <c r="L454" s="15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 ht="19.5" customHeight="1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15"/>
      <c r="L455" s="15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 ht="19.5" customHeight="1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15"/>
      <c r="L456" s="15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 ht="19.5" customHeight="1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15"/>
      <c r="L457" s="15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 ht="19.5" customHeight="1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15"/>
      <c r="L458" s="15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 ht="19.5" customHeight="1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15"/>
      <c r="L459" s="15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 ht="19.5" customHeight="1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15"/>
      <c r="L460" s="15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 ht="19.5" customHeight="1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15"/>
      <c r="L461" s="15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 ht="19.5" customHeight="1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15"/>
      <c r="L462" s="15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 ht="19.5" customHeight="1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15"/>
      <c r="L463" s="15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 ht="19.5" customHeight="1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15"/>
      <c r="L464" s="15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 ht="19.5" customHeight="1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15"/>
      <c r="L465" s="15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 ht="19.5" customHeight="1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15"/>
      <c r="L466" s="15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 ht="19.5" customHeight="1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15"/>
      <c r="L467" s="15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 ht="19.5" customHeight="1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15"/>
      <c r="L468" s="15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 ht="19.5" customHeight="1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15"/>
      <c r="L469" s="15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 ht="19.5" customHeight="1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15"/>
      <c r="L470" s="15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 ht="19.5" customHeight="1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15"/>
      <c r="L471" s="15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 ht="19.5" customHeight="1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15"/>
      <c r="L472" s="15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 ht="19.5" customHeight="1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15"/>
      <c r="L473" s="15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 ht="19.5" customHeight="1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15"/>
      <c r="L474" s="15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 ht="19.5" customHeight="1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15"/>
      <c r="L475" s="15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 ht="19.5" customHeight="1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15"/>
      <c r="L476" s="15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 ht="19.5" customHeight="1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15"/>
      <c r="L477" s="15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 ht="19.5" customHeight="1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15"/>
      <c r="L478" s="15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 ht="19.5" customHeight="1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15"/>
      <c r="L479" s="15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 ht="19.5" customHeight="1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15"/>
      <c r="L480" s="15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 ht="19.5" customHeight="1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15"/>
      <c r="L481" s="15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 ht="19.5" customHeight="1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15"/>
      <c r="L482" s="15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 ht="19.5" customHeight="1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15"/>
      <c r="L483" s="15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 ht="19.5" customHeight="1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15"/>
      <c r="L484" s="15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 ht="19.5" customHeight="1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15"/>
      <c r="L485" s="15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 ht="19.5" customHeight="1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15"/>
      <c r="L486" s="15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 ht="19.5" customHeight="1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15"/>
      <c r="L487" s="15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 ht="19.5" customHeight="1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15"/>
      <c r="L488" s="15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 ht="19.5" customHeight="1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15"/>
      <c r="L489" s="15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 ht="19.5" customHeight="1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15"/>
      <c r="L490" s="15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 ht="19.5" customHeight="1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15"/>
      <c r="L491" s="15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 ht="19.5" customHeight="1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15"/>
      <c r="L492" s="15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 ht="19.5" customHeight="1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15"/>
      <c r="L493" s="15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 ht="19.5" customHeight="1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15"/>
      <c r="L494" s="15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 ht="19.5" customHeight="1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15"/>
      <c r="L495" s="15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 ht="19.5" customHeight="1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15"/>
      <c r="L496" s="15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 ht="19.5" customHeight="1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15"/>
      <c r="L497" s="15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 ht="19.5" customHeight="1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15"/>
      <c r="L498" s="15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 ht="19.5" customHeight="1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15"/>
      <c r="L499" s="15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 ht="19.5" customHeight="1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15"/>
      <c r="L500" s="15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 ht="19.5" customHeight="1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15"/>
      <c r="L501" s="15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 ht="19.5" customHeight="1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15"/>
      <c r="L502" s="15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 ht="19.5" customHeight="1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15"/>
      <c r="L503" s="15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 ht="19.5" customHeight="1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15"/>
      <c r="L504" s="15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 ht="19.5" customHeight="1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15"/>
      <c r="L505" s="15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 ht="19.5" customHeight="1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15"/>
      <c r="L506" s="15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 ht="19.5" customHeight="1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15"/>
      <c r="L507" s="15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 ht="19.5" customHeight="1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15"/>
      <c r="L508" s="15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 ht="19.5" customHeight="1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15"/>
      <c r="L509" s="15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 ht="19.5" customHeight="1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15"/>
      <c r="L510" s="15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 ht="19.5" customHeight="1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15"/>
      <c r="L511" s="15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 ht="19.5" customHeight="1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15"/>
      <c r="L512" s="15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 ht="19.5" customHeight="1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15"/>
      <c r="L513" s="15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 ht="19.5" customHeight="1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15"/>
      <c r="L514" s="15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 ht="19.5" customHeight="1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15"/>
      <c r="L515" s="15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 ht="19.5" customHeight="1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15"/>
      <c r="L516" s="15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 ht="19.5" customHeight="1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15"/>
      <c r="L517" s="15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 ht="19.5" customHeight="1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15"/>
      <c r="L518" s="15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 ht="19.5" customHeight="1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15"/>
      <c r="L519" s="15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 ht="19.5" customHeight="1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15"/>
      <c r="L520" s="15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 ht="19.5" customHeight="1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15"/>
      <c r="L521" s="15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 ht="19.5" customHeight="1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15"/>
      <c r="L522" s="15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 ht="19.5" customHeight="1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15"/>
      <c r="L523" s="15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 ht="19.5" customHeight="1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15"/>
      <c r="L524" s="15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 ht="19.5" customHeight="1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15"/>
      <c r="L525" s="15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 ht="19.5" customHeight="1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15"/>
      <c r="L526" s="15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 ht="19.5" customHeight="1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15"/>
      <c r="L527" s="15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 ht="19.5" customHeight="1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15"/>
      <c r="L528" s="15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 ht="19.5" customHeight="1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15"/>
      <c r="L529" s="15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 ht="19.5" customHeight="1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15"/>
      <c r="L530" s="15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 ht="19.5" customHeight="1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15"/>
      <c r="L531" s="15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 ht="19.5" customHeight="1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15"/>
      <c r="L532" s="15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 ht="19.5" customHeight="1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15"/>
      <c r="L533" s="15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 ht="19.5" customHeight="1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15"/>
      <c r="L534" s="15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 ht="19.5" customHeight="1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15"/>
      <c r="L535" s="15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 ht="19.5" customHeight="1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15"/>
      <c r="L536" s="15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 ht="19.5" customHeight="1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15"/>
      <c r="L537" s="15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 ht="19.5" customHeight="1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15"/>
      <c r="L538" s="15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 ht="19.5" customHeight="1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15"/>
      <c r="L539" s="15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 ht="19.5" customHeight="1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15"/>
      <c r="L540" s="15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 ht="19.5" customHeight="1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15"/>
      <c r="L541" s="15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 ht="19.5" customHeight="1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15"/>
      <c r="L542" s="15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 ht="19.5" customHeight="1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15"/>
      <c r="L543" s="15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 ht="19.5" customHeight="1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15"/>
      <c r="L544" s="15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 ht="19.5" customHeight="1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15"/>
      <c r="L545" s="15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 ht="19.5" customHeight="1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15"/>
      <c r="L546" s="15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 ht="19.5" customHeight="1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15"/>
      <c r="L547" s="15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 ht="19.5" customHeight="1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15"/>
      <c r="L548" s="15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 ht="19.5" customHeight="1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15"/>
      <c r="L549" s="15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 ht="19.5" customHeight="1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15"/>
      <c r="L550" s="15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 ht="19.5" customHeight="1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15"/>
      <c r="L551" s="15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 ht="19.5" customHeight="1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15"/>
      <c r="L552" s="15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 ht="19.5" customHeight="1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15"/>
      <c r="L553" s="15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 ht="19.5" customHeight="1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15"/>
      <c r="L554" s="15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 ht="19.5" customHeight="1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15"/>
      <c r="L555" s="15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 ht="19.5" customHeight="1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15"/>
      <c r="L556" s="15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 ht="19.5" customHeight="1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15"/>
      <c r="L557" s="15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 ht="19.5" customHeight="1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15"/>
      <c r="L558" s="15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 ht="19.5" customHeight="1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15"/>
      <c r="L559" s="15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 ht="19.5" customHeight="1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15"/>
      <c r="L560" s="15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 ht="19.5" customHeight="1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15"/>
      <c r="L561" s="15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 ht="19.5" customHeight="1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15"/>
      <c r="L562" s="15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 ht="19.5" customHeight="1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15"/>
      <c r="L563" s="15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 ht="19.5" customHeight="1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15"/>
      <c r="L564" s="15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 ht="19.5" customHeight="1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15"/>
      <c r="L565" s="15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 ht="19.5" customHeight="1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15"/>
      <c r="L566" s="15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 ht="19.5" customHeight="1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15"/>
      <c r="L567" s="15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 ht="19.5" customHeight="1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15"/>
      <c r="L568" s="15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 ht="19.5" customHeight="1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15"/>
      <c r="L569" s="15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 ht="19.5" customHeight="1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15"/>
      <c r="L570" s="15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 ht="19.5" customHeight="1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15"/>
      <c r="L571" s="15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 ht="19.5" customHeight="1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15"/>
      <c r="L572" s="15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 ht="19.5" customHeight="1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15"/>
      <c r="L573" s="15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 ht="19.5" customHeight="1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15"/>
      <c r="L574" s="15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 ht="19.5" customHeight="1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15"/>
      <c r="L575" s="15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 ht="19.5" customHeight="1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15"/>
      <c r="L576" s="15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 ht="19.5" customHeight="1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15"/>
      <c r="L577" s="15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 ht="19.5" customHeight="1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15"/>
      <c r="L578" s="15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 ht="19.5" customHeight="1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15"/>
      <c r="L579" s="15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 ht="19.5" customHeight="1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15"/>
      <c r="L580" s="15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 ht="19.5" customHeight="1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15"/>
      <c r="L581" s="15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 ht="19.5" customHeight="1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15"/>
      <c r="L582" s="15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 ht="19.5" customHeight="1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15"/>
      <c r="L583" s="15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 ht="19.5" customHeight="1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15"/>
      <c r="L584" s="15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 ht="19.5" customHeight="1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15"/>
      <c r="L585" s="15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 ht="19.5" customHeight="1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15"/>
      <c r="L586" s="15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 ht="19.5" customHeight="1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15"/>
      <c r="L587" s="15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 ht="19.5" customHeight="1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15"/>
      <c r="L588" s="15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 ht="19.5" customHeight="1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15"/>
      <c r="L589" s="15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 ht="19.5" customHeight="1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15"/>
      <c r="L590" s="15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 ht="19.5" customHeight="1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15"/>
      <c r="L591" s="15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 ht="19.5" customHeight="1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15"/>
      <c r="L592" s="15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 ht="19.5" customHeight="1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15"/>
      <c r="L593" s="15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 ht="19.5" customHeight="1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15"/>
      <c r="L594" s="15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 ht="19.5" customHeight="1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15"/>
      <c r="L595" s="15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 ht="19.5" customHeight="1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15"/>
      <c r="L596" s="15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 ht="19.5" customHeight="1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15"/>
      <c r="L597" s="15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 ht="19.5" customHeight="1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15"/>
      <c r="L598" s="15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 ht="19.5" customHeight="1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15"/>
      <c r="L599" s="15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 ht="19.5" customHeight="1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15"/>
      <c r="L600" s="15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 ht="19.5" customHeight="1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15"/>
      <c r="L601" s="15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 ht="19.5" customHeight="1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15"/>
      <c r="L602" s="15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 ht="19.5" customHeight="1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15"/>
      <c r="L603" s="15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 ht="19.5" customHeight="1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15"/>
      <c r="L604" s="15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 ht="19.5" customHeight="1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15"/>
      <c r="L605" s="15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 ht="19.5" customHeight="1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15"/>
      <c r="L606" s="15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 ht="19.5" customHeight="1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15"/>
      <c r="L607" s="15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 ht="19.5" customHeight="1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15"/>
      <c r="L608" s="15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 ht="19.5" customHeight="1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15"/>
      <c r="L609" s="15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 ht="19.5" customHeight="1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15"/>
      <c r="L610" s="15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 ht="19.5" customHeight="1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15"/>
      <c r="L611" s="15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 ht="19.5" customHeight="1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15"/>
      <c r="L612" s="15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 ht="19.5" customHeight="1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15"/>
      <c r="L613" s="15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 ht="19.5" customHeight="1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15"/>
      <c r="L614" s="15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 ht="19.5" customHeight="1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15"/>
      <c r="L615" s="15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 ht="19.5" customHeight="1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15"/>
      <c r="L616" s="15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 ht="19.5" customHeight="1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15"/>
      <c r="L617" s="15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 ht="19.5" customHeight="1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15"/>
      <c r="L618" s="15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 ht="19.5" customHeight="1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15"/>
      <c r="L619" s="15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 ht="19.5" customHeight="1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15"/>
      <c r="L620" s="15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 ht="19.5" customHeight="1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15"/>
      <c r="L621" s="15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 ht="19.5" customHeight="1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15"/>
      <c r="L622" s="15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 ht="19.5" customHeight="1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15"/>
      <c r="L623" s="15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 ht="19.5" customHeight="1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15"/>
      <c r="L624" s="15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 ht="19.5" customHeight="1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15"/>
      <c r="L625" s="15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 ht="19.5" customHeight="1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15"/>
      <c r="L626" s="15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 ht="19.5" customHeight="1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15"/>
      <c r="L627" s="15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 ht="19.5" customHeight="1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15"/>
      <c r="L628" s="15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 ht="19.5" customHeight="1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15"/>
      <c r="L629" s="15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 ht="19.5" customHeight="1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15"/>
      <c r="L630" s="15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 ht="19.5" customHeight="1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15"/>
      <c r="L631" s="15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 ht="19.5" customHeight="1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15"/>
      <c r="L632" s="15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 ht="19.5" customHeight="1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15"/>
      <c r="L633" s="15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 ht="19.5" customHeight="1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15"/>
      <c r="L634" s="15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 ht="19.5" customHeight="1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15"/>
      <c r="L635" s="15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 ht="19.5" customHeight="1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15"/>
      <c r="L636" s="15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 ht="19.5" customHeight="1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15"/>
      <c r="L637" s="15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 ht="19.5" customHeight="1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15"/>
      <c r="L638" s="15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 ht="19.5" customHeight="1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15"/>
      <c r="L639" s="15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 ht="19.5" customHeight="1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15"/>
      <c r="L640" s="15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 ht="19.5" customHeight="1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15"/>
      <c r="L641" s="15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 ht="19.5" customHeight="1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15"/>
      <c r="L642" s="15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 ht="19.5" customHeight="1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15"/>
      <c r="L643" s="15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 ht="19.5" customHeight="1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15"/>
      <c r="L644" s="15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 ht="19.5" customHeight="1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15"/>
      <c r="L645" s="15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 ht="19.5" customHeight="1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15"/>
      <c r="L646" s="15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 ht="19.5" customHeight="1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15"/>
      <c r="L647" s="15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 ht="19.5" customHeight="1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15"/>
      <c r="L648" s="15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 ht="19.5" customHeight="1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15"/>
      <c r="L649" s="15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 ht="19.5" customHeight="1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15"/>
      <c r="L650" s="15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 ht="19.5" customHeight="1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15"/>
      <c r="L651" s="15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 ht="19.5" customHeight="1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15"/>
      <c r="L652" s="15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 ht="19.5" customHeight="1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15"/>
      <c r="L653" s="15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 ht="19.5" customHeight="1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15"/>
      <c r="L654" s="15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 ht="19.5" customHeight="1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15"/>
      <c r="L655" s="15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 ht="19.5" customHeight="1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15"/>
      <c r="L656" s="15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 ht="19.5" customHeight="1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15"/>
      <c r="L657" s="15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 ht="19.5" customHeight="1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15"/>
      <c r="L658" s="15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 ht="19.5" customHeight="1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15"/>
      <c r="L659" s="15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 ht="19.5" customHeight="1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15"/>
      <c r="L660" s="15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 ht="19.5" customHeight="1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15"/>
      <c r="L661" s="15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 ht="19.5" customHeight="1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15"/>
      <c r="L662" s="15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 ht="19.5" customHeight="1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15"/>
      <c r="L663" s="15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 ht="19.5" customHeight="1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15"/>
      <c r="L664" s="15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 ht="19.5" customHeight="1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15"/>
      <c r="L665" s="15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 ht="19.5" customHeight="1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15"/>
      <c r="L666" s="15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 ht="19.5" customHeight="1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15"/>
      <c r="L667" s="15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 ht="19.5" customHeight="1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15"/>
      <c r="L668" s="15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 ht="19.5" customHeight="1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15"/>
      <c r="L669" s="15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 ht="19.5" customHeight="1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15"/>
      <c r="L670" s="15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 ht="19.5" customHeight="1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15"/>
      <c r="L671" s="15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 ht="19.5" customHeight="1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15"/>
      <c r="L672" s="15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 ht="19.5" customHeight="1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15"/>
      <c r="L673" s="15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 ht="19.5" customHeight="1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15"/>
      <c r="L674" s="15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 ht="19.5" customHeight="1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15"/>
      <c r="L675" s="15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 ht="19.5" customHeight="1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15"/>
      <c r="L676" s="15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 ht="19.5" customHeight="1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15"/>
      <c r="L677" s="15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 ht="19.5" customHeight="1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15"/>
      <c r="L678" s="15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 ht="19.5" customHeight="1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15"/>
      <c r="L679" s="15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 ht="19.5" customHeight="1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15"/>
      <c r="L680" s="15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 ht="19.5" customHeight="1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15"/>
      <c r="L681" s="15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 ht="19.5" customHeight="1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15"/>
      <c r="L682" s="15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 ht="19.5" customHeight="1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15"/>
      <c r="L683" s="15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 ht="19.5" customHeight="1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15"/>
      <c r="L684" s="15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 ht="19.5" customHeight="1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15"/>
      <c r="L685" s="15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 ht="19.5" customHeight="1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15"/>
      <c r="L686" s="15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 ht="19.5" customHeight="1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15"/>
      <c r="L687" s="15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 ht="19.5" customHeight="1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15"/>
      <c r="L688" s="15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 ht="19.5" customHeight="1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15"/>
      <c r="L689" s="15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 ht="19.5" customHeight="1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15"/>
      <c r="L690" s="15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 ht="19.5" customHeight="1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15"/>
      <c r="L691" s="15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 ht="19.5" customHeight="1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15"/>
      <c r="L692" s="15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 ht="19.5" customHeight="1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15"/>
      <c r="L693" s="15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 ht="19.5" customHeight="1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15"/>
      <c r="L694" s="15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 ht="19.5" customHeight="1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15"/>
      <c r="L695" s="15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 ht="19.5" customHeight="1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15"/>
      <c r="L696" s="15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 ht="19.5" customHeight="1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15"/>
      <c r="L697" s="15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 ht="19.5" customHeight="1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15"/>
      <c r="L698" s="15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 ht="19.5" customHeight="1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15"/>
      <c r="L699" s="15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 ht="19.5" customHeight="1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15"/>
      <c r="L700" s="15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 ht="19.5" customHeight="1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15"/>
      <c r="L701" s="15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 ht="19.5" customHeight="1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15"/>
      <c r="L702" s="15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 ht="19.5" customHeight="1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15"/>
      <c r="L703" s="15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 ht="19.5" customHeight="1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15"/>
      <c r="L704" s="15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 ht="19.5" customHeight="1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15"/>
      <c r="L705" s="15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 ht="19.5" customHeight="1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15"/>
      <c r="L706" s="15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 ht="19.5" customHeight="1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15"/>
      <c r="L707" s="15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 ht="19.5" customHeight="1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15"/>
      <c r="L708" s="15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 ht="19.5" customHeight="1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15"/>
      <c r="L709" s="15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 ht="19.5" customHeight="1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15"/>
      <c r="L710" s="15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 ht="19.5" customHeight="1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15"/>
      <c r="L711" s="15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 ht="19.5" customHeight="1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15"/>
      <c r="L712" s="15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 ht="19.5" customHeight="1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15"/>
      <c r="L713" s="15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 ht="19.5" customHeight="1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15"/>
      <c r="L714" s="15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 ht="19.5" customHeight="1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15"/>
      <c r="L715" s="15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 ht="19.5" customHeight="1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15"/>
      <c r="L716" s="15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 ht="19.5" customHeight="1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15"/>
      <c r="L717" s="15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 ht="19.5" customHeight="1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15"/>
      <c r="L718" s="15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 ht="19.5" customHeight="1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15"/>
      <c r="L719" s="15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 ht="19.5" customHeight="1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15"/>
      <c r="L720" s="15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 ht="19.5" customHeight="1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15"/>
      <c r="L721" s="15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 ht="19.5" customHeight="1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15"/>
      <c r="L722" s="15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 ht="19.5" customHeight="1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15"/>
      <c r="L723" s="15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 ht="19.5" customHeight="1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15"/>
      <c r="L724" s="15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 ht="19.5" customHeight="1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15"/>
      <c r="L725" s="15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 ht="19.5" customHeight="1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15"/>
      <c r="L726" s="15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 ht="19.5" customHeight="1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15"/>
      <c r="L727" s="15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 ht="19.5" customHeight="1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15"/>
      <c r="L728" s="15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 ht="19.5" customHeight="1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15"/>
      <c r="L729" s="15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 ht="19.5" customHeight="1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15"/>
      <c r="L730" s="15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 ht="19.5" customHeight="1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15"/>
      <c r="L731" s="15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 ht="19.5" customHeight="1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15"/>
      <c r="L732" s="15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 ht="19.5" customHeight="1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15"/>
      <c r="L733" s="15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 ht="19.5" customHeight="1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15"/>
      <c r="L734" s="15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 ht="19.5" customHeight="1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15"/>
      <c r="L735" s="15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 ht="19.5" customHeight="1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15"/>
      <c r="L736" s="15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 ht="19.5" customHeight="1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15"/>
      <c r="L737" s="15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 ht="19.5" customHeight="1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15"/>
      <c r="L738" s="15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 ht="19.5" customHeight="1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15"/>
      <c r="L739" s="15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 ht="19.5" customHeight="1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15"/>
      <c r="L740" s="15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 ht="19.5" customHeight="1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15"/>
      <c r="L741" s="15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 ht="19.5" customHeight="1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15"/>
      <c r="L742" s="15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 ht="19.5" customHeight="1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15"/>
      <c r="L743" s="15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 ht="19.5" customHeight="1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15"/>
      <c r="L744" s="15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 ht="19.5" customHeight="1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15"/>
      <c r="L745" s="15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 ht="19.5" customHeight="1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15"/>
      <c r="L746" s="15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 ht="19.5" customHeight="1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15"/>
      <c r="L747" s="15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 ht="19.5" customHeight="1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15"/>
      <c r="L748" s="15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 ht="19.5" customHeight="1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15"/>
      <c r="L749" s="15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 ht="19.5" customHeight="1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15"/>
      <c r="L750" s="15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 ht="19.5" customHeight="1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15"/>
      <c r="L751" s="15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 ht="19.5" customHeight="1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15"/>
      <c r="L752" s="15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 ht="19.5" customHeight="1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15"/>
      <c r="L753" s="15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 ht="19.5" customHeight="1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15"/>
      <c r="L754" s="15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 ht="19.5" customHeight="1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15"/>
      <c r="L755" s="15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 ht="19.5" customHeight="1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15"/>
      <c r="L756" s="15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 ht="19.5" customHeight="1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15"/>
      <c r="L757" s="15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 ht="19.5" customHeight="1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15"/>
      <c r="L758" s="15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 ht="19.5" customHeight="1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15"/>
      <c r="L759" s="15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 ht="19.5" customHeight="1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15"/>
      <c r="L760" s="15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 ht="19.5" customHeight="1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15"/>
      <c r="L761" s="15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 ht="19.5" customHeight="1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15"/>
      <c r="L762" s="15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 ht="19.5" customHeight="1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15"/>
      <c r="L763" s="15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 ht="19.5" customHeight="1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15"/>
      <c r="L764" s="15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 ht="19.5" customHeight="1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15"/>
      <c r="L765" s="15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 ht="19.5" customHeight="1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15"/>
      <c r="L766" s="15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 ht="19.5" customHeight="1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15"/>
      <c r="L767" s="15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 ht="19.5" customHeight="1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15"/>
      <c r="L768" s="15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 ht="19.5" customHeight="1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15"/>
      <c r="L769" s="15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 ht="19.5" customHeight="1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15"/>
      <c r="L770" s="15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 ht="19.5" customHeight="1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15"/>
      <c r="L771" s="15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 ht="19.5" customHeight="1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15"/>
      <c r="L772" s="15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 ht="19.5" customHeight="1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15"/>
      <c r="L773" s="15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 ht="19.5" customHeight="1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15"/>
      <c r="L774" s="15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 ht="19.5" customHeight="1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15"/>
      <c r="L775" s="15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 ht="19.5" customHeight="1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15"/>
      <c r="L776" s="15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 ht="19.5" customHeight="1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15"/>
      <c r="L777" s="15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 ht="19.5" customHeight="1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15"/>
      <c r="L778" s="15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 ht="19.5" customHeight="1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15"/>
      <c r="L779" s="15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 ht="19.5" customHeight="1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15"/>
      <c r="L780" s="15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 ht="19.5" customHeight="1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15"/>
      <c r="L781" s="15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 ht="19.5" customHeight="1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15"/>
      <c r="L782" s="15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 ht="19.5" customHeight="1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15"/>
      <c r="L783" s="15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 ht="19.5" customHeight="1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15"/>
      <c r="L784" s="15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 ht="19.5" customHeight="1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15"/>
      <c r="L785" s="15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 ht="19.5" customHeight="1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15"/>
      <c r="L786" s="15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 ht="19.5" customHeight="1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15"/>
      <c r="L787" s="15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 ht="19.5" customHeight="1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15"/>
      <c r="L788" s="15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 ht="19.5" customHeight="1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15"/>
      <c r="L789" s="15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 ht="19.5" customHeight="1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15"/>
      <c r="L790" s="15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 ht="19.5" customHeight="1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15"/>
      <c r="L791" s="15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 ht="19.5" customHeight="1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15"/>
      <c r="L792" s="15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 ht="19.5" customHeight="1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15"/>
      <c r="L793" s="15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 ht="19.5" customHeight="1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15"/>
      <c r="L794" s="15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 ht="19.5" customHeight="1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15"/>
      <c r="L795" s="15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 ht="19.5" customHeight="1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15"/>
      <c r="L796" s="15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 ht="19.5" customHeight="1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15"/>
      <c r="L797" s="15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 ht="19.5" customHeight="1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15"/>
      <c r="L798" s="15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 ht="19.5" customHeight="1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15"/>
      <c r="L799" s="15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 ht="19.5" customHeight="1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15"/>
      <c r="L800" s="15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 ht="19.5" customHeight="1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15"/>
      <c r="L801" s="15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 ht="19.5" customHeight="1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15"/>
      <c r="L802" s="15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 ht="19.5" customHeight="1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15"/>
      <c r="L803" s="15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 ht="19.5" customHeight="1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15"/>
      <c r="L804" s="15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 ht="19.5" customHeight="1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15"/>
      <c r="L805" s="15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 ht="19.5" customHeight="1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15"/>
      <c r="L806" s="15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 ht="19.5" customHeight="1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15"/>
      <c r="L807" s="15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 ht="19.5" customHeight="1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15"/>
      <c r="L808" s="15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 ht="19.5" customHeight="1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15"/>
      <c r="L809" s="15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 ht="19.5" customHeight="1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15"/>
      <c r="L810" s="15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 ht="19.5" customHeight="1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15"/>
      <c r="L811" s="15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 ht="19.5" customHeight="1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15"/>
      <c r="L812" s="15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 ht="19.5" customHeight="1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15"/>
      <c r="L813" s="15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 ht="19.5" customHeight="1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15"/>
      <c r="L814" s="15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 ht="19.5" customHeight="1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15"/>
      <c r="L815" s="15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 ht="19.5" customHeight="1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15"/>
      <c r="L816" s="15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 ht="19.5" customHeight="1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15"/>
      <c r="L817" s="15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 ht="19.5" customHeight="1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15"/>
      <c r="L818" s="15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 ht="19.5" customHeight="1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15"/>
      <c r="L819" s="15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 ht="19.5" customHeight="1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15"/>
      <c r="L820" s="15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 ht="19.5" customHeight="1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15"/>
      <c r="L821" s="15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 ht="19.5" customHeight="1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15"/>
      <c r="L822" s="15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 ht="19.5" customHeight="1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15"/>
      <c r="L823" s="15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 ht="19.5" customHeight="1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15"/>
      <c r="L824" s="15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 ht="19.5" customHeight="1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15"/>
      <c r="L825" s="15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 ht="19.5" customHeight="1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15"/>
      <c r="L826" s="15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 ht="19.5" customHeight="1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15"/>
      <c r="L827" s="15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 ht="19.5" customHeight="1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15"/>
      <c r="L828" s="15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 ht="19.5" customHeight="1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15"/>
      <c r="L829" s="15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 ht="19.5" customHeight="1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15"/>
      <c r="L830" s="15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 ht="19.5" customHeight="1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15"/>
      <c r="L831" s="15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 ht="19.5" customHeight="1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15"/>
      <c r="L832" s="15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 ht="19.5" customHeight="1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15"/>
      <c r="L833" s="15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 ht="19.5" customHeight="1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15"/>
      <c r="L834" s="15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 ht="19.5" customHeight="1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15"/>
      <c r="L835" s="15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 ht="19.5" customHeight="1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15"/>
      <c r="L836" s="15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 ht="19.5" customHeight="1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15"/>
      <c r="L837" s="15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 ht="19.5" customHeight="1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15"/>
      <c r="L838" s="15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 ht="19.5" customHeight="1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15"/>
      <c r="L839" s="15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 ht="19.5" customHeight="1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15"/>
      <c r="L840" s="15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 ht="19.5" customHeight="1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15"/>
      <c r="L841" s="15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 ht="19.5" customHeight="1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15"/>
      <c r="L842" s="15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 ht="19.5" customHeight="1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15"/>
      <c r="L843" s="15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 ht="19.5" customHeight="1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15"/>
      <c r="L844" s="15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 ht="19.5" customHeight="1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15"/>
      <c r="L845" s="15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 ht="19.5" customHeight="1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15"/>
      <c r="L846" s="15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 ht="19.5" customHeight="1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15"/>
      <c r="L847" s="15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 ht="19.5" customHeight="1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15"/>
      <c r="L848" s="15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 ht="19.5" customHeight="1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15"/>
      <c r="L849" s="15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 ht="19.5" customHeight="1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15"/>
      <c r="L850" s="15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 ht="19.5" customHeight="1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15"/>
      <c r="L851" s="15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 ht="19.5" customHeight="1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15"/>
      <c r="L852" s="15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 ht="19.5" customHeight="1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15"/>
      <c r="L853" s="15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 ht="19.5" customHeight="1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15"/>
      <c r="L854" s="15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 ht="19.5" customHeight="1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15"/>
      <c r="L855" s="15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 ht="19.5" customHeight="1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15"/>
      <c r="L856" s="15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 ht="19.5" customHeight="1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15"/>
      <c r="L857" s="15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 ht="19.5" customHeight="1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15"/>
      <c r="L858" s="15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 ht="19.5" customHeight="1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15"/>
      <c r="L859" s="15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 ht="19.5" customHeight="1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15"/>
      <c r="L860" s="15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 ht="19.5" customHeight="1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15"/>
      <c r="L861" s="15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 ht="19.5" customHeight="1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15"/>
      <c r="L862" s="15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 ht="19.5" customHeight="1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15"/>
      <c r="L863" s="15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 ht="19.5" customHeight="1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15"/>
      <c r="L864" s="15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 ht="19.5" customHeight="1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15"/>
      <c r="L865" s="15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 ht="19.5" customHeight="1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15"/>
      <c r="L866" s="15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 ht="19.5" customHeight="1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15"/>
      <c r="L867" s="15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 ht="19.5" customHeight="1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15"/>
      <c r="L868" s="15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 ht="19.5" customHeight="1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15"/>
      <c r="L869" s="15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 ht="19.5" customHeight="1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15"/>
      <c r="L870" s="15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 ht="19.5" customHeight="1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15"/>
      <c r="L871" s="15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 ht="19.5" customHeight="1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15"/>
      <c r="L872" s="15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 ht="19.5" customHeight="1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15"/>
      <c r="L873" s="15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 ht="19.5" customHeight="1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15"/>
      <c r="L874" s="15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 ht="19.5" customHeight="1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15"/>
      <c r="L875" s="15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 ht="19.5" customHeight="1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15"/>
      <c r="L876" s="15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 ht="19.5" customHeight="1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15"/>
      <c r="L877" s="15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 ht="19.5" customHeight="1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15"/>
      <c r="L878" s="15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 ht="19.5" customHeight="1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15"/>
      <c r="L879" s="15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 ht="19.5" customHeight="1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15"/>
      <c r="L880" s="15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 ht="19.5" customHeight="1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15"/>
      <c r="L881" s="15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 ht="19.5" customHeight="1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15"/>
      <c r="L882" s="15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 ht="19.5" customHeight="1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15"/>
      <c r="L883" s="15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 ht="19.5" customHeight="1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15"/>
      <c r="L884" s="15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 ht="19.5" customHeight="1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15"/>
      <c r="L885" s="15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 ht="19.5" customHeight="1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15"/>
      <c r="L886" s="15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 ht="19.5" customHeight="1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15"/>
      <c r="L887" s="15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 ht="19.5" customHeight="1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15"/>
      <c r="L888" s="15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 ht="19.5" customHeight="1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15"/>
      <c r="L889" s="15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 ht="19.5" customHeight="1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15"/>
      <c r="L890" s="15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 ht="19.5" customHeight="1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15"/>
      <c r="L891" s="15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 ht="19.5" customHeight="1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15"/>
      <c r="L892" s="15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 ht="19.5" customHeight="1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15"/>
      <c r="L893" s="15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 ht="19.5" customHeight="1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15"/>
      <c r="L894" s="15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 ht="19.5" customHeight="1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15"/>
      <c r="L895" s="15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 ht="19.5" customHeight="1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15"/>
      <c r="L896" s="15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 ht="19.5" customHeight="1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15"/>
      <c r="L897" s="15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 ht="19.5" customHeight="1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15"/>
      <c r="L898" s="15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 ht="19.5" customHeight="1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15"/>
      <c r="L899" s="15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 ht="19.5" customHeight="1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15"/>
      <c r="L900" s="15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 ht="19.5" customHeight="1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15"/>
      <c r="L901" s="15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 ht="19.5" customHeight="1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15"/>
      <c r="L902" s="15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 ht="19.5" customHeight="1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15"/>
      <c r="L903" s="15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 ht="19.5" customHeight="1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15"/>
      <c r="L904" s="15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 ht="19.5" customHeight="1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15"/>
      <c r="L905" s="15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 ht="19.5" customHeight="1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15"/>
      <c r="L906" s="15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 ht="19.5" customHeight="1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15"/>
      <c r="L907" s="15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 ht="19.5" customHeight="1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15"/>
      <c r="L908" s="15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 ht="19.5" customHeight="1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15"/>
      <c r="L909" s="15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 ht="19.5" customHeight="1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15"/>
      <c r="L910" s="15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 ht="19.5" customHeight="1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15"/>
      <c r="L911" s="15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 ht="19.5" customHeight="1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15"/>
      <c r="L912" s="15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 ht="19.5" customHeight="1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15"/>
      <c r="L913" s="15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 ht="19.5" customHeight="1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15"/>
      <c r="L914" s="15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 ht="19.5" customHeight="1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15"/>
      <c r="L915" s="15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 ht="19.5" customHeight="1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15"/>
      <c r="L916" s="15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 ht="19.5" customHeight="1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15"/>
      <c r="L917" s="15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 ht="19.5" customHeight="1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15"/>
      <c r="L918" s="15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 ht="19.5" customHeight="1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15"/>
      <c r="L919" s="15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 ht="19.5" customHeight="1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15"/>
      <c r="L920" s="15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 ht="19.5" customHeight="1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15"/>
      <c r="L921" s="15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1:27" ht="19.5" customHeight="1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15"/>
      <c r="L922" s="15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1:27" ht="19.5" customHeight="1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15"/>
      <c r="L923" s="15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1:27" ht="19.5" customHeight="1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15"/>
      <c r="L924" s="15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1:27" ht="19.5" customHeight="1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15"/>
      <c r="L925" s="15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1:27" ht="19.5" customHeight="1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15"/>
      <c r="L926" s="15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1:27" ht="19.5" customHeight="1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15"/>
      <c r="L927" s="15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1:27" ht="19.5" customHeight="1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15"/>
      <c r="L928" s="15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1:27" ht="19.5" customHeight="1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15"/>
      <c r="L929" s="15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1:27" ht="19.5" customHeight="1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15"/>
      <c r="L930" s="15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1:27" ht="19.5" customHeight="1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15"/>
      <c r="L931" s="15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spans="1:27" ht="19.5" customHeight="1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15"/>
      <c r="L932" s="15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spans="1:27" ht="19.5" customHeight="1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15"/>
      <c r="L933" s="15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spans="1:27" ht="19.5" customHeight="1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15"/>
      <c r="L934" s="15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spans="1:27" ht="19.5" customHeight="1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15"/>
      <c r="L935" s="15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spans="1:27" ht="19.5" customHeight="1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15"/>
      <c r="L936" s="15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spans="1:27" ht="19.5" customHeight="1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15"/>
      <c r="L937" s="15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spans="1:27" ht="19.5" customHeight="1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15"/>
      <c r="L938" s="15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spans="1:27" ht="19.5" customHeight="1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15"/>
      <c r="L939" s="15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spans="1:27" ht="19.5" customHeight="1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15"/>
      <c r="L940" s="15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spans="1:27" ht="19.5" customHeight="1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15"/>
      <c r="L941" s="15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spans="1:27" ht="19.5" customHeight="1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15"/>
      <c r="L942" s="15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spans="1:27" ht="19.5" customHeight="1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15"/>
      <c r="L943" s="15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spans="1:27" ht="19.5" customHeight="1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15"/>
      <c r="L944" s="15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spans="1:27" ht="19.5" customHeight="1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15"/>
      <c r="L945" s="15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spans="1:27" ht="19.5" customHeight="1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15"/>
      <c r="L946" s="15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spans="1:27" ht="19.5" customHeight="1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15"/>
      <c r="L947" s="15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spans="1:27" ht="19.5" customHeight="1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15"/>
      <c r="L948" s="15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spans="1:27" ht="19.5" customHeight="1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15"/>
      <c r="L949" s="15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spans="1:27" ht="19.5" customHeight="1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15"/>
      <c r="L950" s="15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spans="1:27" ht="19.5" customHeight="1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15"/>
      <c r="L951" s="15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spans="1:27" ht="19.5" customHeight="1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15"/>
      <c r="L952" s="15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spans="1:27" ht="19.5" customHeight="1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15"/>
      <c r="L953" s="15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spans="1:27" ht="19.5" customHeight="1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15"/>
      <c r="L954" s="15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spans="1:27" ht="19.5" customHeight="1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15"/>
      <c r="L955" s="15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spans="1:27" ht="19.5" customHeight="1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15"/>
      <c r="L956" s="15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spans="1:27" ht="19.5" customHeight="1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15"/>
      <c r="L957" s="15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spans="1:27" ht="19.5" customHeight="1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15"/>
      <c r="L958" s="15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spans="1:27" ht="19.5" customHeight="1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15"/>
      <c r="L959" s="15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spans="1:27" ht="19.5" customHeight="1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15"/>
      <c r="L960" s="15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spans="1:27" ht="19.5" customHeight="1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15"/>
      <c r="L961" s="15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spans="1:27" ht="19.5" customHeight="1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15"/>
      <c r="L962" s="15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spans="1:27" ht="19.5" customHeight="1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15"/>
      <c r="L963" s="15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spans="1:27" ht="19.5" customHeight="1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15"/>
      <c r="L964" s="15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spans="1:27" ht="19.5" customHeight="1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15"/>
      <c r="L965" s="15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spans="1:27" ht="19.5" customHeight="1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15"/>
      <c r="L966" s="15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spans="1:27" ht="19.5" customHeight="1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15"/>
      <c r="L967" s="15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spans="1:27" ht="19.5" customHeight="1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15"/>
      <c r="L968" s="15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spans="1:27" ht="19.5" customHeight="1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15"/>
      <c r="L969" s="15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spans="1:27" ht="19.5" customHeight="1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15"/>
      <c r="L970" s="15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spans="1:27" ht="19.5" customHeight="1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15"/>
      <c r="L971" s="15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spans="1:27" ht="19.5" customHeight="1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15"/>
      <c r="L972" s="15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spans="1:27" ht="19.5" customHeight="1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15"/>
      <c r="L973" s="15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spans="1:27" ht="19.5" customHeight="1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15"/>
      <c r="L974" s="15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spans="1:27" ht="19.5" customHeight="1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15"/>
      <c r="L975" s="15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spans="1:27" ht="19.5" customHeight="1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15"/>
      <c r="L976" s="15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spans="1:27" ht="19.5" customHeight="1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15"/>
      <c r="L977" s="15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spans="1:27" ht="19.5" customHeight="1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15"/>
      <c r="L978" s="15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spans="1:27" ht="19.5" customHeight="1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15"/>
      <c r="L979" s="15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spans="1:27" ht="19.5" customHeight="1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15"/>
      <c r="L980" s="15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spans="1:27" ht="19.5" customHeight="1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15"/>
      <c r="L981" s="15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spans="1:27" ht="19.5" customHeight="1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15"/>
      <c r="L982" s="15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spans="1:27" ht="19.5" customHeight="1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15"/>
      <c r="L983" s="15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spans="1:27" ht="19.5" customHeight="1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15"/>
      <c r="L984" s="15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spans="1:27" ht="19.5" customHeight="1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15"/>
      <c r="L985" s="15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spans="1:27" ht="19.5" customHeight="1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15"/>
      <c r="L986" s="15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spans="1:27" ht="19.5" customHeight="1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15"/>
      <c r="L987" s="15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spans="1:27" ht="19.5" customHeight="1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15"/>
      <c r="L988" s="15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spans="1:27" ht="19.5" customHeight="1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15"/>
      <c r="L989" s="15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spans="1:27" ht="19.5" customHeight="1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15"/>
      <c r="L990" s="15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spans="1:27" ht="19.5" customHeight="1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15"/>
      <c r="L991" s="15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spans="1:27" ht="19.5" customHeight="1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15"/>
      <c r="L992" s="15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spans="1:27" ht="19.5" customHeight="1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15"/>
      <c r="L993" s="15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spans="1:27" ht="19.5" customHeight="1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15"/>
      <c r="L994" s="15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spans="1:27" ht="19.5" customHeight="1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15"/>
      <c r="L995" s="15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spans="1:27" ht="19.5" customHeight="1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15"/>
      <c r="L996" s="15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spans="1:27" ht="19.5" customHeight="1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15"/>
      <c r="L997" s="15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spans="1:27" ht="19.5" customHeight="1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15"/>
      <c r="L998" s="15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spans="1:27" ht="19.5" customHeight="1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15"/>
      <c r="L999" s="15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spans="1:27" ht="19.5" customHeight="1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15"/>
      <c r="L1000" s="15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</sheetData>
  <sortState xmlns:xlrd2="http://schemas.microsoft.com/office/spreadsheetml/2017/richdata2" ref="A24:J39">
    <sortCondition descending="1" ref="J24:J39"/>
  </sortState>
  <mergeCells count="7">
    <mergeCell ref="P1:P2"/>
    <mergeCell ref="F1:I1"/>
    <mergeCell ref="J1:M1"/>
    <mergeCell ref="B1:E1"/>
    <mergeCell ref="A1:A2"/>
    <mergeCell ref="N1:O1"/>
    <mergeCell ref="N2:O2"/>
  </mergeCells>
  <pageMargins left="0.511811024" right="0.511811024" top="0.78740157499999996" bottom="0.78740157499999996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B0C4F-E394-419F-87C8-118214F8F55D}">
  <dimension ref="A1:Q999"/>
  <sheetViews>
    <sheetView tabSelected="1" zoomScale="70" zoomScaleNormal="70" workbookViewId="0">
      <selection activeCell="F12" sqref="F12"/>
    </sheetView>
  </sheetViews>
  <sheetFormatPr defaultColWidth="14.42578125" defaultRowHeight="15" customHeight="1" x14ac:dyDescent="0.25"/>
  <cols>
    <col min="1" max="1" width="64.42578125" customWidth="1"/>
    <col min="2" max="2" width="32.42578125" bestFit="1" customWidth="1"/>
    <col min="3" max="3" width="14.28515625" style="28" customWidth="1"/>
    <col min="4" max="4" width="18.28515625" style="28" bestFit="1" customWidth="1"/>
    <col min="5" max="5" width="17.7109375" customWidth="1"/>
    <col min="6" max="6" width="19.28515625" bestFit="1" customWidth="1"/>
    <col min="7" max="7" width="14.28515625" customWidth="1"/>
    <col min="8" max="17" width="9.140625" customWidth="1"/>
  </cols>
  <sheetData>
    <row r="1" spans="1:17" ht="22.5" customHeight="1" thickBot="1" x14ac:dyDescent="0.3">
      <c r="A1" s="59" t="s">
        <v>0</v>
      </c>
      <c r="B1" s="60" t="s">
        <v>32</v>
      </c>
      <c r="C1" s="60" t="s">
        <v>33</v>
      </c>
      <c r="D1" s="60" t="s">
        <v>2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22.5" customHeight="1" thickBot="1" x14ac:dyDescent="0.3">
      <c r="A2" s="57" t="s">
        <v>34</v>
      </c>
      <c r="B2" s="91">
        <f>[5]Versões!$B$3</f>
        <v>10189225.534325795</v>
      </c>
      <c r="C2" s="58">
        <f t="shared" ref="C2:C17" si="0">B2/B$18</f>
        <v>0.12758662717983085</v>
      </c>
      <c r="D2" s="94">
        <f>B2/ORÇAMENTO_EXECUTIVO!G$2</f>
        <v>775.91699070015238</v>
      </c>
      <c r="E2" s="9"/>
      <c r="F2" s="31" t="s">
        <v>42</v>
      </c>
      <c r="G2" s="32">
        <v>13131.849999999999</v>
      </c>
      <c r="H2" s="33"/>
      <c r="I2" s="9"/>
      <c r="J2" s="9"/>
      <c r="K2" s="9"/>
      <c r="L2" s="9"/>
      <c r="M2" s="9"/>
      <c r="N2" s="9"/>
      <c r="O2" s="9"/>
      <c r="P2" s="9"/>
      <c r="Q2" s="9"/>
    </row>
    <row r="3" spans="1:17" ht="19.5" customHeight="1" x14ac:dyDescent="0.25">
      <c r="A3" s="2" t="s">
        <v>3</v>
      </c>
      <c r="B3" s="92">
        <f>[5]Versões!$B$4</f>
        <v>242339.35498296877</v>
      </c>
      <c r="C3" s="12">
        <f t="shared" si="0"/>
        <v>3.0345055010364531E-3</v>
      </c>
      <c r="D3" s="95">
        <f>B3/ORÇAMENTO_EXECUTIVO!G$2</f>
        <v>18.454319458642065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 ht="19.5" customHeight="1" x14ac:dyDescent="0.25">
      <c r="A4" s="10" t="s">
        <v>4</v>
      </c>
      <c r="B4" s="91">
        <f>[5]Versões!$B$5</f>
        <v>4343181.9248140464</v>
      </c>
      <c r="C4" s="58">
        <f t="shared" si="0"/>
        <v>5.4384107128520431E-2</v>
      </c>
      <c r="D4" s="94">
        <f>B4/ORÇAMENTO_EXECUTIVO!G$2</f>
        <v>330.73648608642702</v>
      </c>
      <c r="E4" s="9"/>
      <c r="F4" s="13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1:17" ht="19.5" customHeight="1" x14ac:dyDescent="0.25">
      <c r="A5" s="2" t="s">
        <v>5</v>
      </c>
      <c r="B5" s="92">
        <f>[5]Versões!$B$6</f>
        <v>16234649.890552735</v>
      </c>
      <c r="C5" s="12">
        <f t="shared" si="0"/>
        <v>0.20328573707619768</v>
      </c>
      <c r="D5" s="95">
        <f>B5/ORÇAMENTO_EXECUTIVO!G$2</f>
        <v>1236.2804852745605</v>
      </c>
      <c r="E5" s="9"/>
      <c r="F5" s="8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 ht="19.5" customHeight="1" x14ac:dyDescent="0.25">
      <c r="A6" s="10" t="s">
        <v>6</v>
      </c>
      <c r="B6" s="91">
        <f>[5]Versões!$B$7</f>
        <v>3717189.5221696962</v>
      </c>
      <c r="C6" s="58">
        <f t="shared" si="0"/>
        <v>4.654560566199302E-2</v>
      </c>
      <c r="D6" s="94">
        <f>B6/ORÇAMENTO_EXECUTIVO!G$2</f>
        <v>283.06670592260014</v>
      </c>
      <c r="E6" s="9"/>
      <c r="F6" s="90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1:17" ht="19.5" customHeight="1" x14ac:dyDescent="0.25">
      <c r="A7" s="2" t="s">
        <v>7</v>
      </c>
      <c r="B7" s="92">
        <f>[5]Versões!$B$8</f>
        <v>10773485.281303754</v>
      </c>
      <c r="C7" s="12">
        <f t="shared" si="0"/>
        <v>0.13490256402534809</v>
      </c>
      <c r="D7" s="95">
        <f>B7/ORÇAMENTO_EXECUTIVO!G$2</f>
        <v>820.40879855494507</v>
      </c>
      <c r="E7" s="9"/>
      <c r="F7" s="15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1:17" ht="19.5" customHeight="1" x14ac:dyDescent="0.25">
      <c r="A8" s="10" t="s">
        <v>39</v>
      </c>
      <c r="B8" s="97">
        <f>[5]Versões!$B$9</f>
        <v>4512186.783565891</v>
      </c>
      <c r="C8" s="58">
        <f t="shared" si="0"/>
        <v>5.6500338615644768E-2</v>
      </c>
      <c r="D8" s="94">
        <f>B8/ORÇAMENTO_EXECUTIVO!G$2</f>
        <v>343.60632992045231</v>
      </c>
      <c r="E8" s="27"/>
      <c r="F8" s="16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ht="19.5" customHeight="1" x14ac:dyDescent="0.25">
      <c r="A9" s="2" t="s">
        <v>8</v>
      </c>
      <c r="B9" s="92">
        <f>[5]Versões!$B$13</f>
        <v>1211404.0715620001</v>
      </c>
      <c r="C9" s="12">
        <f t="shared" si="0"/>
        <v>1.5168862355811712E-2</v>
      </c>
      <c r="D9" s="95">
        <f>B9/ORÇAMENTO_EXECUTIVO!G$2</f>
        <v>92.249307718409838</v>
      </c>
      <c r="E9" s="9"/>
      <c r="F9" s="15"/>
      <c r="G9" s="29"/>
      <c r="H9" s="9"/>
      <c r="I9" s="9"/>
      <c r="J9" s="9"/>
      <c r="K9" s="9"/>
      <c r="L9" s="9"/>
      <c r="M9" s="9"/>
      <c r="N9" s="9"/>
      <c r="O9" s="9"/>
      <c r="P9" s="9"/>
      <c r="Q9" s="9"/>
    </row>
    <row r="10" spans="1:17" ht="19.5" customHeight="1" x14ac:dyDescent="0.25">
      <c r="A10" s="10" t="s">
        <v>35</v>
      </c>
      <c r="B10" s="91">
        <f>[5]Versões!$B$10+[5]Versões!$B$11</f>
        <v>1757066.3834466999</v>
      </c>
      <c r="C10" s="58">
        <f t="shared" si="0"/>
        <v>2.2001492933865198E-2</v>
      </c>
      <c r="D10" s="94">
        <f>B10/ORÇAMENTO_EXECUTIVO!G$2</f>
        <v>133.80189260817784</v>
      </c>
      <c r="E10" s="9"/>
      <c r="F10" s="14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17" ht="19.5" customHeight="1" x14ac:dyDescent="0.25">
      <c r="A11" s="2" t="s">
        <v>36</v>
      </c>
      <c r="B11" s="92">
        <f>[5]Versões!$B$12+[5]Versões!$B$16</f>
        <v>950215.79761353182</v>
      </c>
      <c r="C11" s="12">
        <f t="shared" si="0"/>
        <v>1.1898335972845378E-2</v>
      </c>
      <c r="D11" s="95">
        <f>B11/ORÇAMENTO_EXECUTIVO!G$2</f>
        <v>72.35962926880309</v>
      </c>
      <c r="E11" s="9"/>
      <c r="F11" s="9"/>
      <c r="G11" s="30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7" ht="19.5" customHeight="1" x14ac:dyDescent="0.25">
      <c r="A12" s="10" t="s">
        <v>9</v>
      </c>
      <c r="B12" s="91">
        <f>[5]Versões!$B$14+[5]Versões!$B$15</f>
        <v>3740842.8594955793</v>
      </c>
      <c r="C12" s="58">
        <f t="shared" si="0"/>
        <v>4.6841786124461889E-2</v>
      </c>
      <c r="D12" s="94">
        <f>B12/ORÇAMENTO_EXECUTIVO!G$2</f>
        <v>284.86792489219567</v>
      </c>
      <c r="E12" s="9"/>
      <c r="F12" s="9"/>
      <c r="G12" s="14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7" ht="19.5" customHeight="1" x14ac:dyDescent="0.25">
      <c r="A13" s="2" t="s">
        <v>10</v>
      </c>
      <c r="B13" s="92">
        <f>[5]Versões!$B$17</f>
        <v>2553763.5097692157</v>
      </c>
      <c r="C13" s="12">
        <f t="shared" si="0"/>
        <v>3.1977511119832193E-2</v>
      </c>
      <c r="D13" s="95">
        <f>B13/ORÇAMENTO_EXECUTIVO!G$2</f>
        <v>194.47096256576307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 ht="19.5" customHeight="1" x14ac:dyDescent="0.25">
      <c r="A14" s="10" t="s">
        <v>11</v>
      </c>
      <c r="B14" s="91">
        <f>[5]Versões!$B$20</f>
        <v>12643362.326551691</v>
      </c>
      <c r="C14" s="58">
        <f t="shared" si="0"/>
        <v>0.15831664045740521</v>
      </c>
      <c r="D14" s="94">
        <f>B14/ORÇAMENTO_EXECUTIVO!G$2</f>
        <v>962.80130572247572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7" ht="19.5" customHeight="1" x14ac:dyDescent="0.25">
      <c r="A15" s="2" t="s">
        <v>12</v>
      </c>
      <c r="B15" s="92">
        <f>[5]Versões!$B$18+[5]Versões!$B$19</f>
        <v>4178126.9014831334</v>
      </c>
      <c r="C15" s="12">
        <f t="shared" si="0"/>
        <v>5.2317334373816367E-2</v>
      </c>
      <c r="D15" s="95">
        <f>B15/ORÇAMENTO_EXECUTIVO!G$2</f>
        <v>318.16742511398883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7" ht="19.5" customHeight="1" x14ac:dyDescent="0.25">
      <c r="A16" s="10" t="s">
        <v>13</v>
      </c>
      <c r="B16" s="91">
        <f>[5]Versões!$B$22+[5]Versões!$B$21</f>
        <v>2814194.2176999995</v>
      </c>
      <c r="C16" s="58">
        <f t="shared" si="0"/>
        <v>3.5238551473390618E-2</v>
      </c>
      <c r="D16" s="94">
        <f>B16/ORÇAMENTO_EXECUTIVO!G$2</f>
        <v>214.30295180800874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7" ht="19.5" customHeight="1" x14ac:dyDescent="0.25">
      <c r="A17" s="2" t="s">
        <v>37</v>
      </c>
      <c r="B17" s="92"/>
      <c r="C17" s="12">
        <f t="shared" si="0"/>
        <v>0</v>
      </c>
      <c r="D17" s="95">
        <f>B17/ORÇAMENTO_EXECUTIVO!G$2</f>
        <v>0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7" ht="19.5" customHeight="1" x14ac:dyDescent="0.25">
      <c r="A18" s="116" t="s">
        <v>14</v>
      </c>
      <c r="B18" s="117">
        <f>SUM(B2:B17)</f>
        <v>79861234.359336749</v>
      </c>
      <c r="C18" s="118">
        <f>SUM(C2:C17)</f>
        <v>0.99999999999999989</v>
      </c>
      <c r="D18" s="119">
        <f>SUM(D2:D17)</f>
        <v>6081.4915156156012</v>
      </c>
      <c r="E18" s="14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1:17" ht="19.5" customHeight="1" thickBot="1" x14ac:dyDescent="0.3">
      <c r="A19" s="116" t="s">
        <v>50</v>
      </c>
      <c r="B19" s="120">
        <v>2999.38</v>
      </c>
      <c r="C19" s="121">
        <v>45931</v>
      </c>
      <c r="D19" s="126" t="str">
        <f>ROUNDUP(+D18/B19,2)&amp;" CUB"</f>
        <v>2,03 CUB</v>
      </c>
      <c r="E19" s="14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1:17" ht="22.5" customHeight="1" x14ac:dyDescent="0.25">
      <c r="A20" s="9"/>
      <c r="B20" s="102"/>
      <c r="C20" s="15"/>
      <c r="D20" s="15"/>
      <c r="E20" s="9"/>
      <c r="F20" s="14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7" ht="22.5" customHeight="1" x14ac:dyDescent="0.25">
      <c r="A21" s="9"/>
      <c r="B21" s="14"/>
      <c r="C21" s="15"/>
      <c r="D21" s="15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7" ht="15" customHeight="1" x14ac:dyDescent="0.25">
      <c r="A22" s="9"/>
      <c r="B22" s="14"/>
      <c r="C22" s="15"/>
      <c r="D22" s="15"/>
      <c r="E22" s="9"/>
      <c r="F22" s="14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1:17" ht="19.5" customHeight="1" x14ac:dyDescent="0.25">
      <c r="A23" s="9"/>
      <c r="B23" s="14"/>
      <c r="C23" s="15"/>
      <c r="D23" s="15"/>
      <c r="E23" s="16"/>
      <c r="F23" s="9"/>
      <c r="G23" s="14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 ht="19.5" customHeight="1" x14ac:dyDescent="0.45">
      <c r="A24" s="9"/>
      <c r="B24" s="14"/>
      <c r="C24" s="15"/>
      <c r="D24" s="15"/>
      <c r="E24" s="17"/>
      <c r="F24" s="14"/>
      <c r="G24" s="14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 ht="19.5" customHeight="1" x14ac:dyDescent="0.25">
      <c r="A25" s="9"/>
      <c r="B25" s="14"/>
      <c r="C25" s="15"/>
      <c r="D25" s="15"/>
      <c r="E25" s="18"/>
      <c r="F25" s="1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 ht="19.5" customHeight="1" x14ac:dyDescent="0.25">
      <c r="A26" s="9"/>
      <c r="B26" s="14"/>
      <c r="C26" s="15"/>
      <c r="D26" s="15"/>
      <c r="E26" s="9"/>
      <c r="F26" s="1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 ht="19.5" customHeight="1" x14ac:dyDescent="0.25">
      <c r="A27" s="9"/>
      <c r="B27" s="14"/>
      <c r="C27" s="15"/>
      <c r="D27" s="15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 ht="19.5" customHeight="1" x14ac:dyDescent="0.25">
      <c r="A28" s="9"/>
      <c r="B28" s="14"/>
      <c r="C28" s="15"/>
      <c r="D28" s="15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 ht="19.5" customHeight="1" x14ac:dyDescent="0.25">
      <c r="A29" s="9"/>
      <c r="B29" s="14"/>
      <c r="C29" s="15"/>
      <c r="D29" s="15"/>
      <c r="E29" s="9"/>
      <c r="F29" s="14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 ht="19.5" customHeight="1" x14ac:dyDescent="0.25">
      <c r="A30" s="9"/>
      <c r="B30" s="14"/>
      <c r="C30" s="15"/>
      <c r="D30" s="15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 ht="19.5" customHeight="1" x14ac:dyDescent="0.25">
      <c r="A31" s="9"/>
      <c r="B31" s="14"/>
      <c r="C31" s="15"/>
      <c r="D31" s="15"/>
      <c r="E31" s="9"/>
      <c r="F31" s="14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 ht="19.5" customHeight="1" x14ac:dyDescent="0.25">
      <c r="A32" s="9"/>
      <c r="B32" s="14"/>
      <c r="C32" s="15"/>
      <c r="D32" s="15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 ht="19.5" customHeight="1" x14ac:dyDescent="0.25">
      <c r="A33" s="9"/>
      <c r="B33" s="14"/>
      <c r="C33" s="15"/>
      <c r="D33" s="15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 ht="19.5" customHeight="1" x14ac:dyDescent="0.25">
      <c r="A34" s="9"/>
      <c r="B34" s="14"/>
      <c r="C34" s="15"/>
      <c r="D34" s="15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 ht="19.5" customHeight="1" x14ac:dyDescent="0.25">
      <c r="A35" s="9"/>
      <c r="B35" s="14"/>
      <c r="C35" s="15"/>
      <c r="D35" s="15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 ht="19.5" customHeight="1" x14ac:dyDescent="0.25">
      <c r="A36" s="9"/>
      <c r="B36" s="14"/>
      <c r="C36" s="15"/>
      <c r="D36" s="15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 ht="19.5" customHeight="1" x14ac:dyDescent="0.25">
      <c r="A37" s="9"/>
      <c r="B37" s="14"/>
      <c r="C37" s="15"/>
      <c r="D37" s="15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 ht="19.5" customHeight="1" x14ac:dyDescent="0.25">
      <c r="A38" s="9"/>
      <c r="B38" s="14"/>
      <c r="C38" s="15"/>
      <c r="D38" s="15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 ht="19.5" customHeight="1" x14ac:dyDescent="0.25">
      <c r="A39" s="9"/>
      <c r="B39" s="14"/>
      <c r="C39" s="15"/>
      <c r="D39" s="15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7" ht="19.5" customHeight="1" x14ac:dyDescent="0.25">
      <c r="A40" s="9"/>
      <c r="B40" s="14"/>
      <c r="C40" s="15"/>
      <c r="D40" s="15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1:17" ht="19.5" customHeight="1" x14ac:dyDescent="0.25">
      <c r="A41" s="9"/>
      <c r="B41" s="14"/>
      <c r="C41" s="15"/>
      <c r="D41" s="15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7" ht="19.5" customHeight="1" x14ac:dyDescent="0.25">
      <c r="A42" s="9"/>
      <c r="B42" s="9"/>
      <c r="C42" s="15"/>
      <c r="D42" s="15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1:17" ht="19.5" customHeight="1" x14ac:dyDescent="0.25">
      <c r="A43" s="9"/>
      <c r="B43" s="9"/>
      <c r="C43" s="15"/>
      <c r="D43" s="15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1:17" ht="19.5" customHeight="1" x14ac:dyDescent="0.25">
      <c r="A44" s="9"/>
      <c r="B44" s="9"/>
      <c r="C44" s="15"/>
      <c r="D44" s="15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1:17" ht="19.5" customHeight="1" x14ac:dyDescent="0.25">
      <c r="A45" s="9"/>
      <c r="B45" s="9"/>
      <c r="C45" s="15"/>
      <c r="D45" s="15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7" ht="19.5" customHeight="1" x14ac:dyDescent="0.25">
      <c r="A46" s="9"/>
      <c r="B46" s="9"/>
      <c r="C46" s="15"/>
      <c r="D46" s="15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1:17" ht="19.5" customHeight="1" x14ac:dyDescent="0.25">
      <c r="A47" s="9"/>
      <c r="B47" s="9"/>
      <c r="C47" s="15"/>
      <c r="D47" s="15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7" ht="19.5" customHeight="1" x14ac:dyDescent="0.25">
      <c r="A48" s="9"/>
      <c r="B48" s="9"/>
      <c r="C48" s="15"/>
      <c r="D48" s="15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1:17" ht="19.5" customHeight="1" x14ac:dyDescent="0.25">
      <c r="A49" s="9"/>
      <c r="B49" s="9"/>
      <c r="C49" s="15"/>
      <c r="D49" s="15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1:17" ht="19.5" customHeight="1" x14ac:dyDescent="0.25">
      <c r="A50" s="9"/>
      <c r="B50" s="9"/>
      <c r="C50" s="15"/>
      <c r="D50" s="15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7" ht="19.5" customHeight="1" x14ac:dyDescent="0.25">
      <c r="A51" s="9"/>
      <c r="B51" s="9"/>
      <c r="C51" s="15"/>
      <c r="D51" s="15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1:17" ht="19.5" customHeight="1" x14ac:dyDescent="0.25">
      <c r="A52" s="9"/>
      <c r="B52" s="9"/>
      <c r="C52" s="15"/>
      <c r="D52" s="15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1:17" ht="19.5" customHeight="1" x14ac:dyDescent="0.25">
      <c r="A53" s="9"/>
      <c r="B53" s="9"/>
      <c r="C53" s="15"/>
      <c r="D53" s="15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7" ht="19.5" customHeight="1" x14ac:dyDescent="0.25">
      <c r="A54" s="9"/>
      <c r="B54" s="9"/>
      <c r="C54" s="15"/>
      <c r="D54" s="15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1:17" ht="19.5" customHeight="1" x14ac:dyDescent="0.25">
      <c r="A55" s="9"/>
      <c r="B55" s="9"/>
      <c r="C55" s="15"/>
      <c r="D55" s="15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1:17" ht="19.5" customHeight="1" x14ac:dyDescent="0.25">
      <c r="A56" s="9"/>
      <c r="B56" s="9"/>
      <c r="C56" s="15"/>
      <c r="D56" s="15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1:17" ht="19.5" customHeight="1" x14ac:dyDescent="0.25">
      <c r="A57" s="9"/>
      <c r="B57" s="9"/>
      <c r="C57" s="15"/>
      <c r="D57" s="15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1:17" ht="19.5" customHeight="1" x14ac:dyDescent="0.25">
      <c r="A58" s="9"/>
      <c r="B58" s="9"/>
      <c r="C58" s="15"/>
      <c r="D58" s="15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1:17" ht="19.5" customHeight="1" x14ac:dyDescent="0.25">
      <c r="A59" s="9"/>
      <c r="B59" s="9"/>
      <c r="C59" s="15"/>
      <c r="D59" s="15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1:17" ht="19.5" customHeight="1" x14ac:dyDescent="0.25">
      <c r="A60" s="9"/>
      <c r="B60" s="9"/>
      <c r="C60" s="15"/>
      <c r="D60" s="15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1:17" ht="19.5" customHeight="1" x14ac:dyDescent="0.25">
      <c r="A61" s="9"/>
      <c r="B61" s="9"/>
      <c r="C61" s="15"/>
      <c r="D61" s="15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1:17" ht="19.5" customHeight="1" x14ac:dyDescent="0.25">
      <c r="A62" s="9"/>
      <c r="B62" s="9"/>
      <c r="C62" s="15"/>
      <c r="D62" s="15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7" ht="19.5" customHeight="1" x14ac:dyDescent="0.25">
      <c r="A63" s="9"/>
      <c r="B63" s="9"/>
      <c r="C63" s="15"/>
      <c r="D63" s="15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1:17" ht="19.5" customHeight="1" x14ac:dyDescent="0.25">
      <c r="A64" s="9"/>
      <c r="B64" s="9"/>
      <c r="C64" s="15"/>
      <c r="D64" s="15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1:17" ht="19.5" customHeight="1" x14ac:dyDescent="0.25">
      <c r="A65" s="9"/>
      <c r="B65" s="9"/>
      <c r="C65" s="15"/>
      <c r="D65" s="15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1:17" ht="19.5" customHeight="1" x14ac:dyDescent="0.25">
      <c r="A66" s="9"/>
      <c r="B66" s="9"/>
      <c r="C66" s="15"/>
      <c r="D66" s="15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 ht="19.5" customHeight="1" x14ac:dyDescent="0.25">
      <c r="A67" s="9"/>
      <c r="B67" s="9"/>
      <c r="C67" s="15"/>
      <c r="D67" s="15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17" ht="19.5" customHeight="1" x14ac:dyDescent="0.25">
      <c r="A68" s="9"/>
      <c r="B68" s="9"/>
      <c r="C68" s="15"/>
      <c r="D68" s="15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17" ht="19.5" customHeight="1" x14ac:dyDescent="0.25">
      <c r="A69" s="9"/>
      <c r="B69" s="9"/>
      <c r="C69" s="15"/>
      <c r="D69" s="15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1:17" ht="19.5" customHeight="1" x14ac:dyDescent="0.25">
      <c r="A70" s="9"/>
      <c r="B70" s="9"/>
      <c r="C70" s="15"/>
      <c r="D70" s="15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1:17" ht="19.5" customHeight="1" x14ac:dyDescent="0.25">
      <c r="A71" s="9"/>
      <c r="B71" s="9"/>
      <c r="C71" s="15"/>
      <c r="D71" s="15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7" ht="19.5" customHeight="1" x14ac:dyDescent="0.25">
      <c r="A72" s="9"/>
      <c r="B72" s="9"/>
      <c r="C72" s="15"/>
      <c r="D72" s="15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7" ht="19.5" customHeight="1" x14ac:dyDescent="0.25">
      <c r="A73" s="9"/>
      <c r="B73" s="9"/>
      <c r="C73" s="15"/>
      <c r="D73" s="15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1:17" ht="19.5" customHeight="1" x14ac:dyDescent="0.25">
      <c r="A74" s="9"/>
      <c r="B74" s="9"/>
      <c r="C74" s="15"/>
      <c r="D74" s="15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1:17" ht="19.5" customHeight="1" x14ac:dyDescent="0.25">
      <c r="A75" s="9"/>
      <c r="B75" s="9"/>
      <c r="C75" s="15"/>
      <c r="D75" s="15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17" ht="19.5" customHeight="1" x14ac:dyDescent="0.25">
      <c r="A76" s="9"/>
      <c r="B76" s="9"/>
      <c r="C76" s="15"/>
      <c r="D76" s="15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1:17" ht="19.5" customHeight="1" x14ac:dyDescent="0.25">
      <c r="A77" s="9"/>
      <c r="B77" s="9"/>
      <c r="C77" s="15"/>
      <c r="D77" s="15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1:17" ht="19.5" customHeight="1" x14ac:dyDescent="0.25">
      <c r="A78" s="9"/>
      <c r="B78" s="9"/>
      <c r="C78" s="15"/>
      <c r="D78" s="15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1:17" ht="19.5" customHeight="1" x14ac:dyDescent="0.25">
      <c r="A79" s="9"/>
      <c r="B79" s="9"/>
      <c r="C79" s="15"/>
      <c r="D79" s="15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1:17" ht="19.5" customHeight="1" x14ac:dyDescent="0.25">
      <c r="A80" s="9"/>
      <c r="B80" s="9"/>
      <c r="C80" s="15"/>
      <c r="D80" s="15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1:17" ht="19.5" customHeight="1" x14ac:dyDescent="0.25">
      <c r="A81" s="9"/>
      <c r="B81" s="9"/>
      <c r="C81" s="15"/>
      <c r="D81" s="15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17" ht="19.5" customHeight="1" x14ac:dyDescent="0.25">
      <c r="A82" s="9"/>
      <c r="B82" s="9"/>
      <c r="C82" s="15"/>
      <c r="D82" s="15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1:17" ht="19.5" customHeight="1" x14ac:dyDescent="0.25">
      <c r="A83" s="9"/>
      <c r="B83" s="9"/>
      <c r="C83" s="15"/>
      <c r="D83" s="15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1:17" ht="19.5" customHeight="1" x14ac:dyDescent="0.25">
      <c r="A84" s="9"/>
      <c r="B84" s="9"/>
      <c r="C84" s="15"/>
      <c r="D84" s="15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1:17" ht="19.5" customHeight="1" x14ac:dyDescent="0.25">
      <c r="A85" s="9"/>
      <c r="B85" s="9"/>
      <c r="C85" s="15"/>
      <c r="D85" s="15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17" ht="19.5" customHeight="1" x14ac:dyDescent="0.25">
      <c r="A86" s="9"/>
      <c r="B86" s="9"/>
      <c r="C86" s="15"/>
      <c r="D86" s="15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17" ht="19.5" customHeight="1" x14ac:dyDescent="0.25">
      <c r="A87" s="9"/>
      <c r="B87" s="9"/>
      <c r="C87" s="15"/>
      <c r="D87" s="15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17" ht="19.5" customHeight="1" x14ac:dyDescent="0.25">
      <c r="A88" s="9"/>
      <c r="B88" s="9"/>
      <c r="C88" s="15"/>
      <c r="D88" s="15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17" ht="19.5" customHeight="1" x14ac:dyDescent="0.25">
      <c r="A89" s="9"/>
      <c r="B89" s="9"/>
      <c r="C89" s="15"/>
      <c r="D89" s="15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17" ht="19.5" customHeight="1" x14ac:dyDescent="0.25">
      <c r="A90" s="9"/>
      <c r="B90" s="9"/>
      <c r="C90" s="15"/>
      <c r="D90" s="15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1:17" ht="19.5" customHeight="1" x14ac:dyDescent="0.25">
      <c r="A91" s="9"/>
      <c r="B91" s="9"/>
      <c r="C91" s="15"/>
      <c r="D91" s="15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7" ht="19.5" customHeight="1" x14ac:dyDescent="0.25">
      <c r="A92" s="9"/>
      <c r="B92" s="9"/>
      <c r="C92" s="15"/>
      <c r="D92" s="15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17" ht="19.5" customHeight="1" x14ac:dyDescent="0.25">
      <c r="A93" s="9"/>
      <c r="B93" s="9"/>
      <c r="C93" s="15"/>
      <c r="D93" s="15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spans="1:17" ht="19.5" customHeight="1" x14ac:dyDescent="0.25">
      <c r="A94" s="9"/>
      <c r="B94" s="9"/>
      <c r="C94" s="15"/>
      <c r="D94" s="15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1:17" ht="19.5" customHeight="1" x14ac:dyDescent="0.25">
      <c r="A95" s="9"/>
      <c r="B95" s="9"/>
      <c r="C95" s="15"/>
      <c r="D95" s="15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1:17" ht="19.5" customHeight="1" x14ac:dyDescent="0.25">
      <c r="A96" s="9"/>
      <c r="B96" s="9"/>
      <c r="C96" s="15"/>
      <c r="D96" s="15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spans="1:17" ht="19.5" customHeight="1" x14ac:dyDescent="0.25">
      <c r="A97" s="9"/>
      <c r="B97" s="9"/>
      <c r="C97" s="15"/>
      <c r="D97" s="15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1:17" ht="19.5" customHeight="1" x14ac:dyDescent="0.25">
      <c r="A98" s="9"/>
      <c r="B98" s="9"/>
      <c r="C98" s="15"/>
      <c r="D98" s="15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spans="1:17" ht="19.5" customHeight="1" x14ac:dyDescent="0.25">
      <c r="A99" s="9"/>
      <c r="B99" s="9"/>
      <c r="C99" s="15"/>
      <c r="D99" s="15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spans="1:17" ht="19.5" customHeight="1" x14ac:dyDescent="0.25">
      <c r="A100" s="9"/>
      <c r="B100" s="9"/>
      <c r="C100" s="15"/>
      <c r="D100" s="15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 spans="1:17" ht="19.5" customHeight="1" x14ac:dyDescent="0.25">
      <c r="A101" s="9"/>
      <c r="B101" s="9"/>
      <c r="C101" s="15"/>
      <c r="D101" s="15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 spans="1:17" ht="19.5" customHeight="1" x14ac:dyDescent="0.25">
      <c r="A102" s="9"/>
      <c r="B102" s="9"/>
      <c r="C102" s="15"/>
      <c r="D102" s="15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</row>
    <row r="103" spans="1:17" ht="19.5" customHeight="1" x14ac:dyDescent="0.25">
      <c r="A103" s="9"/>
      <c r="B103" s="9"/>
      <c r="C103" s="15"/>
      <c r="D103" s="15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  <row r="104" spans="1:17" ht="19.5" customHeight="1" x14ac:dyDescent="0.25">
      <c r="A104" s="9"/>
      <c r="B104" s="9"/>
      <c r="C104" s="15"/>
      <c r="D104" s="15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</row>
    <row r="105" spans="1:17" ht="19.5" customHeight="1" x14ac:dyDescent="0.25">
      <c r="A105" s="9"/>
      <c r="B105" s="9"/>
      <c r="C105" s="15"/>
      <c r="D105" s="15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pans="1:17" ht="19.5" customHeight="1" x14ac:dyDescent="0.25">
      <c r="A106" s="9"/>
      <c r="B106" s="9"/>
      <c r="C106" s="15"/>
      <c r="D106" s="15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</row>
    <row r="107" spans="1:17" ht="19.5" customHeight="1" x14ac:dyDescent="0.25">
      <c r="A107" s="9"/>
      <c r="B107" s="9"/>
      <c r="C107" s="15"/>
      <c r="D107" s="15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spans="1:17" ht="19.5" customHeight="1" x14ac:dyDescent="0.25">
      <c r="A108" s="9"/>
      <c r="B108" s="9"/>
      <c r="C108" s="15"/>
      <c r="D108" s="15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</row>
    <row r="109" spans="1:17" ht="19.5" customHeight="1" x14ac:dyDescent="0.25">
      <c r="A109" s="9"/>
      <c r="B109" s="9"/>
      <c r="C109" s="15"/>
      <c r="D109" s="15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spans="1:17" ht="19.5" customHeight="1" x14ac:dyDescent="0.25">
      <c r="A110" s="9"/>
      <c r="B110" s="9"/>
      <c r="C110" s="15"/>
      <c r="D110" s="15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</row>
    <row r="111" spans="1:17" ht="19.5" customHeight="1" x14ac:dyDescent="0.25">
      <c r="A111" s="9"/>
      <c r="B111" s="9"/>
      <c r="C111" s="15"/>
      <c r="D111" s="15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</row>
    <row r="112" spans="1:17" ht="19.5" customHeight="1" x14ac:dyDescent="0.25">
      <c r="A112" s="9"/>
      <c r="B112" s="9"/>
      <c r="C112" s="15"/>
      <c r="D112" s="15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</row>
    <row r="113" spans="1:17" ht="19.5" customHeight="1" x14ac:dyDescent="0.25">
      <c r="A113" s="9"/>
      <c r="B113" s="9"/>
      <c r="C113" s="15"/>
      <c r="D113" s="15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</row>
    <row r="114" spans="1:17" ht="19.5" customHeight="1" x14ac:dyDescent="0.25">
      <c r="A114" s="9"/>
      <c r="B114" s="9"/>
      <c r="C114" s="15"/>
      <c r="D114" s="15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spans="1:17" ht="19.5" customHeight="1" x14ac:dyDescent="0.25">
      <c r="A115" s="9"/>
      <c r="B115" s="9"/>
      <c r="C115" s="15"/>
      <c r="D115" s="15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</row>
    <row r="116" spans="1:17" ht="19.5" customHeight="1" x14ac:dyDescent="0.25">
      <c r="A116" s="9"/>
      <c r="B116" s="9"/>
      <c r="C116" s="15"/>
      <c r="D116" s="15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</row>
    <row r="117" spans="1:17" ht="19.5" customHeight="1" x14ac:dyDescent="0.25">
      <c r="A117" s="9"/>
      <c r="B117" s="9"/>
      <c r="C117" s="15"/>
      <c r="D117" s="15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 spans="1:17" ht="19.5" customHeight="1" x14ac:dyDescent="0.25">
      <c r="A118" s="9"/>
      <c r="B118" s="9"/>
      <c r="C118" s="15"/>
      <c r="D118" s="15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</row>
    <row r="119" spans="1:17" ht="19.5" customHeight="1" x14ac:dyDescent="0.25">
      <c r="A119" s="9"/>
      <c r="B119" s="9"/>
      <c r="C119" s="15"/>
      <c r="D119" s="15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</row>
    <row r="120" spans="1:17" ht="19.5" customHeight="1" x14ac:dyDescent="0.25">
      <c r="A120" s="9"/>
      <c r="B120" s="9"/>
      <c r="C120" s="15"/>
      <c r="D120" s="15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</row>
    <row r="121" spans="1:17" ht="19.5" customHeight="1" x14ac:dyDescent="0.25">
      <c r="A121" s="9"/>
      <c r="B121" s="9"/>
      <c r="C121" s="15"/>
      <c r="D121" s="15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</row>
    <row r="122" spans="1:17" ht="19.5" customHeight="1" x14ac:dyDescent="0.25">
      <c r="A122" s="9"/>
      <c r="B122" s="9"/>
      <c r="C122" s="15"/>
      <c r="D122" s="15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spans="1:17" ht="19.5" customHeight="1" x14ac:dyDescent="0.25">
      <c r="A123" s="9"/>
      <c r="B123" s="9"/>
      <c r="C123" s="15"/>
      <c r="D123" s="15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</row>
    <row r="124" spans="1:17" ht="19.5" customHeight="1" x14ac:dyDescent="0.25">
      <c r="A124" s="9"/>
      <c r="B124" s="9"/>
      <c r="C124" s="15"/>
      <c r="D124" s="15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</row>
    <row r="125" spans="1:17" ht="19.5" customHeight="1" x14ac:dyDescent="0.25">
      <c r="A125" s="9"/>
      <c r="B125" s="9"/>
      <c r="C125" s="15"/>
      <c r="D125" s="15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</row>
    <row r="126" spans="1:17" ht="19.5" customHeight="1" x14ac:dyDescent="0.25">
      <c r="A126" s="9"/>
      <c r="B126" s="9"/>
      <c r="C126" s="15"/>
      <c r="D126" s="15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 spans="1:17" ht="19.5" customHeight="1" x14ac:dyDescent="0.25">
      <c r="A127" s="9"/>
      <c r="B127" s="9"/>
      <c r="C127" s="15"/>
      <c r="D127" s="15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</row>
    <row r="128" spans="1:17" ht="19.5" customHeight="1" x14ac:dyDescent="0.25">
      <c r="A128" s="9"/>
      <c r="B128" s="9"/>
      <c r="C128" s="15"/>
      <c r="D128" s="15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</row>
    <row r="129" spans="1:17" ht="19.5" customHeight="1" x14ac:dyDescent="0.25">
      <c r="A129" s="9"/>
      <c r="B129" s="9"/>
      <c r="C129" s="15"/>
      <c r="D129" s="15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 spans="1:17" ht="19.5" customHeight="1" x14ac:dyDescent="0.25">
      <c r="A130" s="9"/>
      <c r="B130" s="9"/>
      <c r="C130" s="15"/>
      <c r="D130" s="15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</row>
    <row r="131" spans="1:17" ht="19.5" customHeight="1" x14ac:dyDescent="0.25">
      <c r="A131" s="9"/>
      <c r="B131" s="9"/>
      <c r="C131" s="15"/>
      <c r="D131" s="15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spans="1:17" ht="19.5" customHeight="1" x14ac:dyDescent="0.25">
      <c r="A132" s="9"/>
      <c r="B132" s="9"/>
      <c r="C132" s="15"/>
      <c r="D132" s="15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</row>
    <row r="133" spans="1:17" ht="19.5" customHeight="1" x14ac:dyDescent="0.25">
      <c r="A133" s="9"/>
      <c r="B133" s="9"/>
      <c r="C133" s="15"/>
      <c r="D133" s="15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</row>
    <row r="134" spans="1:17" ht="19.5" customHeight="1" x14ac:dyDescent="0.25">
      <c r="A134" s="9"/>
      <c r="B134" s="9"/>
      <c r="C134" s="15"/>
      <c r="D134" s="15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</row>
    <row r="135" spans="1:17" ht="19.5" customHeight="1" x14ac:dyDescent="0.25">
      <c r="A135" s="9"/>
      <c r="B135" s="9"/>
      <c r="C135" s="15"/>
      <c r="D135" s="15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</row>
    <row r="136" spans="1:17" ht="19.5" customHeight="1" x14ac:dyDescent="0.25">
      <c r="A136" s="9"/>
      <c r="B136" s="9"/>
      <c r="C136" s="15"/>
      <c r="D136" s="15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</row>
    <row r="137" spans="1:17" ht="19.5" customHeight="1" x14ac:dyDescent="0.25">
      <c r="A137" s="9"/>
      <c r="B137" s="9"/>
      <c r="C137" s="15"/>
      <c r="D137" s="15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</row>
    <row r="138" spans="1:17" ht="19.5" customHeight="1" x14ac:dyDescent="0.25">
      <c r="A138" s="9"/>
      <c r="B138" s="9"/>
      <c r="C138" s="15"/>
      <c r="D138" s="15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</row>
    <row r="139" spans="1:17" ht="19.5" customHeight="1" x14ac:dyDescent="0.25">
      <c r="A139" s="9"/>
      <c r="B139" s="9"/>
      <c r="C139" s="15"/>
      <c r="D139" s="15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</row>
    <row r="140" spans="1:17" ht="19.5" customHeight="1" x14ac:dyDescent="0.25">
      <c r="A140" s="9"/>
      <c r="B140" s="9"/>
      <c r="C140" s="15"/>
      <c r="D140" s="15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</row>
    <row r="141" spans="1:17" ht="19.5" customHeight="1" x14ac:dyDescent="0.25">
      <c r="A141" s="9"/>
      <c r="B141" s="9"/>
      <c r="C141" s="15"/>
      <c r="D141" s="15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</row>
    <row r="142" spans="1:17" ht="19.5" customHeight="1" x14ac:dyDescent="0.25">
      <c r="A142" s="9"/>
      <c r="B142" s="9"/>
      <c r="C142" s="15"/>
      <c r="D142" s="15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</row>
    <row r="143" spans="1:17" ht="19.5" customHeight="1" x14ac:dyDescent="0.25">
      <c r="A143" s="9"/>
      <c r="B143" s="9"/>
      <c r="C143" s="15"/>
      <c r="D143" s="15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</row>
    <row r="144" spans="1:17" ht="19.5" customHeight="1" x14ac:dyDescent="0.25">
      <c r="A144" s="9"/>
      <c r="B144" s="9"/>
      <c r="C144" s="15"/>
      <c r="D144" s="15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</row>
    <row r="145" spans="1:17" ht="19.5" customHeight="1" x14ac:dyDescent="0.25">
      <c r="A145" s="9"/>
      <c r="B145" s="9"/>
      <c r="C145" s="15"/>
      <c r="D145" s="15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</row>
    <row r="146" spans="1:17" ht="19.5" customHeight="1" x14ac:dyDescent="0.25">
      <c r="A146" s="9"/>
      <c r="B146" s="9"/>
      <c r="C146" s="15"/>
      <c r="D146" s="15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</row>
    <row r="147" spans="1:17" ht="19.5" customHeight="1" x14ac:dyDescent="0.25">
      <c r="A147" s="9"/>
      <c r="B147" s="9"/>
      <c r="C147" s="15"/>
      <c r="D147" s="15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</row>
    <row r="148" spans="1:17" ht="19.5" customHeight="1" x14ac:dyDescent="0.25">
      <c r="A148" s="9"/>
      <c r="B148" s="9"/>
      <c r="C148" s="15"/>
      <c r="D148" s="15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</row>
    <row r="149" spans="1:17" ht="19.5" customHeight="1" x14ac:dyDescent="0.25">
      <c r="A149" s="9"/>
      <c r="B149" s="9"/>
      <c r="C149" s="15"/>
      <c r="D149" s="15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</row>
    <row r="150" spans="1:17" ht="19.5" customHeight="1" x14ac:dyDescent="0.25">
      <c r="A150" s="9"/>
      <c r="B150" s="9"/>
      <c r="C150" s="15"/>
      <c r="D150" s="15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</row>
    <row r="151" spans="1:17" ht="19.5" customHeight="1" x14ac:dyDescent="0.25">
      <c r="A151" s="9"/>
      <c r="B151" s="9"/>
      <c r="C151" s="15"/>
      <c r="D151" s="15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</row>
    <row r="152" spans="1:17" ht="19.5" customHeight="1" x14ac:dyDescent="0.25">
      <c r="A152" s="9"/>
      <c r="B152" s="9"/>
      <c r="C152" s="15"/>
      <c r="D152" s="15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</row>
    <row r="153" spans="1:17" ht="19.5" customHeight="1" x14ac:dyDescent="0.25">
      <c r="A153" s="9"/>
      <c r="B153" s="9"/>
      <c r="C153" s="15"/>
      <c r="D153" s="15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</row>
    <row r="154" spans="1:17" ht="19.5" customHeight="1" x14ac:dyDescent="0.25">
      <c r="A154" s="9"/>
      <c r="B154" s="9"/>
      <c r="C154" s="15"/>
      <c r="D154" s="15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</row>
    <row r="155" spans="1:17" ht="19.5" customHeight="1" x14ac:dyDescent="0.25">
      <c r="A155" s="9"/>
      <c r="B155" s="9"/>
      <c r="C155" s="15"/>
      <c r="D155" s="15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</row>
    <row r="156" spans="1:17" ht="19.5" customHeight="1" x14ac:dyDescent="0.25">
      <c r="A156" s="9"/>
      <c r="B156" s="9"/>
      <c r="C156" s="15"/>
      <c r="D156" s="15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</row>
    <row r="157" spans="1:17" ht="19.5" customHeight="1" x14ac:dyDescent="0.25">
      <c r="A157" s="9"/>
      <c r="B157" s="9"/>
      <c r="C157" s="15"/>
      <c r="D157" s="15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</row>
    <row r="158" spans="1:17" ht="19.5" customHeight="1" x14ac:dyDescent="0.25">
      <c r="A158" s="9"/>
      <c r="B158" s="9"/>
      <c r="C158" s="15"/>
      <c r="D158" s="15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</row>
    <row r="159" spans="1:17" ht="19.5" customHeight="1" x14ac:dyDescent="0.25">
      <c r="A159" s="9"/>
      <c r="B159" s="9"/>
      <c r="C159" s="15"/>
      <c r="D159" s="15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</row>
    <row r="160" spans="1:17" ht="19.5" customHeight="1" x14ac:dyDescent="0.25">
      <c r="A160" s="9"/>
      <c r="B160" s="9"/>
      <c r="C160" s="15"/>
      <c r="D160" s="15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</row>
    <row r="161" spans="1:17" ht="19.5" customHeight="1" x14ac:dyDescent="0.25">
      <c r="A161" s="9"/>
      <c r="B161" s="9"/>
      <c r="C161" s="15"/>
      <c r="D161" s="15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</row>
    <row r="162" spans="1:17" ht="19.5" customHeight="1" x14ac:dyDescent="0.25">
      <c r="A162" s="9"/>
      <c r="B162" s="9"/>
      <c r="C162" s="15"/>
      <c r="D162" s="15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</row>
    <row r="163" spans="1:17" ht="19.5" customHeight="1" x14ac:dyDescent="0.25">
      <c r="A163" s="9"/>
      <c r="B163" s="9"/>
      <c r="C163" s="15"/>
      <c r="D163" s="15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</row>
    <row r="164" spans="1:17" ht="19.5" customHeight="1" x14ac:dyDescent="0.25">
      <c r="A164" s="9"/>
      <c r="B164" s="9"/>
      <c r="C164" s="15"/>
      <c r="D164" s="15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</row>
    <row r="165" spans="1:17" ht="19.5" customHeight="1" x14ac:dyDescent="0.25">
      <c r="A165" s="9"/>
      <c r="B165" s="9"/>
      <c r="C165" s="15"/>
      <c r="D165" s="15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</row>
    <row r="166" spans="1:17" ht="19.5" customHeight="1" x14ac:dyDescent="0.25">
      <c r="A166" s="9"/>
      <c r="B166" s="9"/>
      <c r="C166" s="15"/>
      <c r="D166" s="15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</row>
    <row r="167" spans="1:17" ht="19.5" customHeight="1" x14ac:dyDescent="0.25">
      <c r="A167" s="9"/>
      <c r="B167" s="9"/>
      <c r="C167" s="15"/>
      <c r="D167" s="15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</row>
    <row r="168" spans="1:17" ht="19.5" customHeight="1" x14ac:dyDescent="0.25">
      <c r="A168" s="9"/>
      <c r="B168" s="9"/>
      <c r="C168" s="15"/>
      <c r="D168" s="15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</row>
    <row r="169" spans="1:17" ht="19.5" customHeight="1" x14ac:dyDescent="0.25">
      <c r="A169" s="9"/>
      <c r="B169" s="9"/>
      <c r="C169" s="15"/>
      <c r="D169" s="15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</row>
    <row r="170" spans="1:17" ht="19.5" customHeight="1" x14ac:dyDescent="0.25">
      <c r="A170" s="9"/>
      <c r="B170" s="9"/>
      <c r="C170" s="15"/>
      <c r="D170" s="15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</row>
    <row r="171" spans="1:17" ht="19.5" customHeight="1" x14ac:dyDescent="0.25">
      <c r="A171" s="9"/>
      <c r="B171" s="9"/>
      <c r="C171" s="15"/>
      <c r="D171" s="15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</row>
    <row r="172" spans="1:17" ht="19.5" customHeight="1" x14ac:dyDescent="0.25">
      <c r="A172" s="9"/>
      <c r="B172" s="9"/>
      <c r="C172" s="15"/>
      <c r="D172" s="15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</row>
    <row r="173" spans="1:17" ht="19.5" customHeight="1" x14ac:dyDescent="0.25">
      <c r="A173" s="9"/>
      <c r="B173" s="9"/>
      <c r="C173" s="15"/>
      <c r="D173" s="15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</row>
    <row r="174" spans="1:17" ht="19.5" customHeight="1" x14ac:dyDescent="0.25">
      <c r="A174" s="9"/>
      <c r="B174" s="9"/>
      <c r="C174" s="15"/>
      <c r="D174" s="15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</row>
    <row r="175" spans="1:17" ht="19.5" customHeight="1" x14ac:dyDescent="0.25">
      <c r="A175" s="9"/>
      <c r="B175" s="9"/>
      <c r="C175" s="15"/>
      <c r="D175" s="15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</row>
    <row r="176" spans="1:17" ht="19.5" customHeight="1" x14ac:dyDescent="0.25">
      <c r="A176" s="9"/>
      <c r="B176" s="9"/>
      <c r="C176" s="15"/>
      <c r="D176" s="15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</row>
    <row r="177" spans="1:17" ht="19.5" customHeight="1" x14ac:dyDescent="0.25">
      <c r="A177" s="9"/>
      <c r="B177" s="9"/>
      <c r="C177" s="15"/>
      <c r="D177" s="15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</row>
    <row r="178" spans="1:17" ht="19.5" customHeight="1" x14ac:dyDescent="0.25">
      <c r="A178" s="9"/>
      <c r="B178" s="9"/>
      <c r="C178" s="15"/>
      <c r="D178" s="15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</row>
    <row r="179" spans="1:17" ht="19.5" customHeight="1" x14ac:dyDescent="0.25">
      <c r="A179" s="9"/>
      <c r="B179" s="9"/>
      <c r="C179" s="15"/>
      <c r="D179" s="15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</row>
    <row r="180" spans="1:17" ht="19.5" customHeight="1" x14ac:dyDescent="0.25">
      <c r="A180" s="9"/>
      <c r="B180" s="9"/>
      <c r="C180" s="15"/>
      <c r="D180" s="15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</row>
    <row r="181" spans="1:17" ht="19.5" customHeight="1" x14ac:dyDescent="0.25">
      <c r="A181" s="9"/>
      <c r="B181" s="9"/>
      <c r="C181" s="15"/>
      <c r="D181" s="15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</row>
    <row r="182" spans="1:17" ht="19.5" customHeight="1" x14ac:dyDescent="0.25">
      <c r="A182" s="9"/>
      <c r="B182" s="9"/>
      <c r="C182" s="15"/>
      <c r="D182" s="15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</row>
    <row r="183" spans="1:17" ht="19.5" customHeight="1" x14ac:dyDescent="0.25">
      <c r="A183" s="9"/>
      <c r="B183" s="9"/>
      <c r="C183" s="15"/>
      <c r="D183" s="15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</row>
    <row r="184" spans="1:17" ht="19.5" customHeight="1" x14ac:dyDescent="0.25">
      <c r="A184" s="9"/>
      <c r="B184" s="9"/>
      <c r="C184" s="15"/>
      <c r="D184" s="15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</row>
    <row r="185" spans="1:17" ht="19.5" customHeight="1" x14ac:dyDescent="0.25">
      <c r="A185" s="9"/>
      <c r="B185" s="9"/>
      <c r="C185" s="15"/>
      <c r="D185" s="15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</row>
    <row r="186" spans="1:17" ht="19.5" customHeight="1" x14ac:dyDescent="0.25">
      <c r="A186" s="9"/>
      <c r="B186" s="9"/>
      <c r="C186" s="15"/>
      <c r="D186" s="15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</row>
    <row r="187" spans="1:17" ht="19.5" customHeight="1" x14ac:dyDescent="0.25">
      <c r="A187" s="9"/>
      <c r="B187" s="9"/>
      <c r="C187" s="15"/>
      <c r="D187" s="15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</row>
    <row r="188" spans="1:17" ht="19.5" customHeight="1" x14ac:dyDescent="0.25">
      <c r="A188" s="9"/>
      <c r="B188" s="9"/>
      <c r="C188" s="15"/>
      <c r="D188" s="15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</row>
    <row r="189" spans="1:17" ht="19.5" customHeight="1" x14ac:dyDescent="0.25">
      <c r="A189" s="9"/>
      <c r="B189" s="9"/>
      <c r="C189" s="15"/>
      <c r="D189" s="15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</row>
    <row r="190" spans="1:17" ht="19.5" customHeight="1" x14ac:dyDescent="0.25">
      <c r="A190" s="9"/>
      <c r="B190" s="9"/>
      <c r="C190" s="15"/>
      <c r="D190" s="15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</row>
    <row r="191" spans="1:17" ht="19.5" customHeight="1" x14ac:dyDescent="0.25">
      <c r="A191" s="9"/>
      <c r="B191" s="9"/>
      <c r="C191" s="15"/>
      <c r="D191" s="15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</row>
    <row r="192" spans="1:17" ht="19.5" customHeight="1" x14ac:dyDescent="0.25">
      <c r="A192" s="9"/>
      <c r="B192" s="9"/>
      <c r="C192" s="15"/>
      <c r="D192" s="15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</row>
    <row r="193" spans="1:17" ht="19.5" customHeight="1" x14ac:dyDescent="0.25">
      <c r="A193" s="9"/>
      <c r="B193" s="9"/>
      <c r="C193" s="15"/>
      <c r="D193" s="15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</row>
    <row r="194" spans="1:17" ht="19.5" customHeight="1" x14ac:dyDescent="0.25">
      <c r="A194" s="9"/>
      <c r="B194" s="9"/>
      <c r="C194" s="15"/>
      <c r="D194" s="15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</row>
    <row r="195" spans="1:17" ht="19.5" customHeight="1" x14ac:dyDescent="0.25">
      <c r="A195" s="9"/>
      <c r="B195" s="9"/>
      <c r="C195" s="15"/>
      <c r="D195" s="15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</row>
    <row r="196" spans="1:17" ht="19.5" customHeight="1" x14ac:dyDescent="0.25">
      <c r="A196" s="9"/>
      <c r="B196" s="9"/>
      <c r="C196" s="15"/>
      <c r="D196" s="15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</row>
    <row r="197" spans="1:17" ht="19.5" customHeight="1" x14ac:dyDescent="0.25">
      <c r="A197" s="9"/>
      <c r="B197" s="9"/>
      <c r="C197" s="15"/>
      <c r="D197" s="15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</row>
    <row r="198" spans="1:17" ht="19.5" customHeight="1" x14ac:dyDescent="0.25">
      <c r="A198" s="9"/>
      <c r="B198" s="9"/>
      <c r="C198" s="15"/>
      <c r="D198" s="15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</row>
    <row r="199" spans="1:17" ht="19.5" customHeight="1" x14ac:dyDescent="0.25">
      <c r="A199" s="9"/>
      <c r="B199" s="9"/>
      <c r="C199" s="15"/>
      <c r="D199" s="15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</row>
    <row r="200" spans="1:17" ht="19.5" customHeight="1" x14ac:dyDescent="0.25">
      <c r="A200" s="9"/>
      <c r="B200" s="9"/>
      <c r="C200" s="15"/>
      <c r="D200" s="15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</row>
    <row r="201" spans="1:17" ht="19.5" customHeight="1" x14ac:dyDescent="0.25">
      <c r="A201" s="9"/>
      <c r="B201" s="9"/>
      <c r="C201" s="15"/>
      <c r="D201" s="15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</row>
    <row r="202" spans="1:17" ht="19.5" customHeight="1" x14ac:dyDescent="0.25">
      <c r="A202" s="9"/>
      <c r="B202" s="9"/>
      <c r="C202" s="15"/>
      <c r="D202" s="15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</row>
    <row r="203" spans="1:17" ht="19.5" customHeight="1" x14ac:dyDescent="0.25">
      <c r="A203" s="9"/>
      <c r="B203" s="9"/>
      <c r="C203" s="15"/>
      <c r="D203" s="15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</row>
    <row r="204" spans="1:17" ht="19.5" customHeight="1" x14ac:dyDescent="0.25">
      <c r="A204" s="9"/>
      <c r="B204" s="9"/>
      <c r="C204" s="15"/>
      <c r="D204" s="15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</row>
    <row r="205" spans="1:17" ht="19.5" customHeight="1" x14ac:dyDescent="0.25">
      <c r="A205" s="9"/>
      <c r="B205" s="9"/>
      <c r="C205" s="15"/>
      <c r="D205" s="15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</row>
    <row r="206" spans="1:17" ht="19.5" customHeight="1" x14ac:dyDescent="0.25">
      <c r="A206" s="9"/>
      <c r="B206" s="9"/>
      <c r="C206" s="15"/>
      <c r="D206" s="15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</row>
    <row r="207" spans="1:17" ht="19.5" customHeight="1" x14ac:dyDescent="0.25">
      <c r="A207" s="9"/>
      <c r="B207" s="9"/>
      <c r="C207" s="15"/>
      <c r="D207" s="15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</row>
    <row r="208" spans="1:17" ht="19.5" customHeight="1" x14ac:dyDescent="0.25">
      <c r="A208" s="9"/>
      <c r="B208" s="9"/>
      <c r="C208" s="15"/>
      <c r="D208" s="15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</row>
    <row r="209" spans="1:17" ht="19.5" customHeight="1" x14ac:dyDescent="0.25">
      <c r="A209" s="9"/>
      <c r="B209" s="9"/>
      <c r="C209" s="15"/>
      <c r="D209" s="15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</row>
    <row r="210" spans="1:17" ht="19.5" customHeight="1" x14ac:dyDescent="0.25">
      <c r="A210" s="9"/>
      <c r="B210" s="9"/>
      <c r="C210" s="15"/>
      <c r="D210" s="15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</row>
    <row r="211" spans="1:17" ht="19.5" customHeight="1" x14ac:dyDescent="0.25">
      <c r="A211" s="9"/>
      <c r="B211" s="9"/>
      <c r="C211" s="15"/>
      <c r="D211" s="15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</row>
    <row r="212" spans="1:17" ht="19.5" customHeight="1" x14ac:dyDescent="0.25">
      <c r="A212" s="9"/>
      <c r="B212" s="9"/>
      <c r="C212" s="15"/>
      <c r="D212" s="15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</row>
    <row r="213" spans="1:17" ht="19.5" customHeight="1" x14ac:dyDescent="0.25">
      <c r="A213" s="9"/>
      <c r="B213" s="9"/>
      <c r="C213" s="15"/>
      <c r="D213" s="15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</row>
    <row r="214" spans="1:17" ht="19.5" customHeight="1" x14ac:dyDescent="0.25">
      <c r="A214" s="9"/>
      <c r="B214" s="9"/>
      <c r="C214" s="15"/>
      <c r="D214" s="15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</row>
    <row r="215" spans="1:17" ht="19.5" customHeight="1" x14ac:dyDescent="0.25">
      <c r="A215" s="9"/>
      <c r="B215" s="9"/>
      <c r="C215" s="15"/>
      <c r="D215" s="15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</row>
    <row r="216" spans="1:17" ht="19.5" customHeight="1" x14ac:dyDescent="0.25">
      <c r="A216" s="9"/>
      <c r="B216" s="9"/>
      <c r="C216" s="15"/>
      <c r="D216" s="15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</row>
    <row r="217" spans="1:17" ht="19.5" customHeight="1" x14ac:dyDescent="0.25">
      <c r="A217" s="9"/>
      <c r="B217" s="9"/>
      <c r="C217" s="15"/>
      <c r="D217" s="15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</row>
    <row r="218" spans="1:17" ht="19.5" customHeight="1" x14ac:dyDescent="0.25">
      <c r="A218" s="9"/>
      <c r="B218" s="9"/>
      <c r="C218" s="15"/>
      <c r="D218" s="15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</row>
    <row r="219" spans="1:17" ht="19.5" customHeight="1" x14ac:dyDescent="0.25">
      <c r="A219" s="9"/>
      <c r="B219" s="9"/>
      <c r="C219" s="15"/>
      <c r="D219" s="15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</row>
    <row r="220" spans="1:17" ht="19.5" customHeight="1" x14ac:dyDescent="0.25">
      <c r="A220" s="9"/>
      <c r="B220" s="9"/>
      <c r="C220" s="15"/>
      <c r="D220" s="15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</row>
    <row r="221" spans="1:17" ht="19.5" customHeight="1" x14ac:dyDescent="0.25">
      <c r="A221" s="9"/>
      <c r="B221" s="9"/>
      <c r="C221" s="15"/>
      <c r="D221" s="15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</row>
    <row r="222" spans="1:17" ht="19.5" customHeight="1" x14ac:dyDescent="0.25">
      <c r="A222" s="9"/>
      <c r="B222" s="9"/>
      <c r="C222" s="15"/>
      <c r="D222" s="15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</row>
    <row r="223" spans="1:17" ht="19.5" customHeight="1" x14ac:dyDescent="0.25">
      <c r="A223" s="9"/>
      <c r="B223" s="9"/>
      <c r="C223" s="15"/>
      <c r="D223" s="15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</row>
    <row r="224" spans="1:17" ht="19.5" customHeight="1" x14ac:dyDescent="0.25">
      <c r="A224" s="9"/>
      <c r="B224" s="9"/>
      <c r="C224" s="15"/>
      <c r="D224" s="15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</row>
    <row r="225" spans="1:17" ht="19.5" customHeight="1" x14ac:dyDescent="0.25">
      <c r="A225" s="9"/>
      <c r="B225" s="9"/>
      <c r="C225" s="15"/>
      <c r="D225" s="15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</row>
    <row r="226" spans="1:17" ht="19.5" customHeight="1" x14ac:dyDescent="0.25">
      <c r="A226" s="9"/>
      <c r="B226" s="9"/>
      <c r="C226" s="15"/>
      <c r="D226" s="15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</row>
    <row r="227" spans="1:17" ht="19.5" customHeight="1" x14ac:dyDescent="0.25">
      <c r="A227" s="9"/>
      <c r="B227" s="9"/>
      <c r="C227" s="15"/>
      <c r="D227" s="15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</row>
    <row r="228" spans="1:17" ht="19.5" customHeight="1" x14ac:dyDescent="0.25">
      <c r="A228" s="9"/>
      <c r="B228" s="9"/>
      <c r="C228" s="15"/>
      <c r="D228" s="15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</row>
    <row r="229" spans="1:17" ht="19.5" customHeight="1" x14ac:dyDescent="0.25">
      <c r="A229" s="9"/>
      <c r="B229" s="9"/>
      <c r="C229" s="15"/>
      <c r="D229" s="15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</row>
    <row r="230" spans="1:17" ht="19.5" customHeight="1" x14ac:dyDescent="0.25">
      <c r="A230" s="9"/>
      <c r="B230" s="9"/>
      <c r="C230" s="15"/>
      <c r="D230" s="15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</row>
    <row r="231" spans="1:17" ht="19.5" customHeight="1" x14ac:dyDescent="0.25">
      <c r="A231" s="9"/>
      <c r="B231" s="9"/>
      <c r="C231" s="15"/>
      <c r="D231" s="15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</row>
    <row r="232" spans="1:17" ht="19.5" customHeight="1" x14ac:dyDescent="0.25">
      <c r="A232" s="9"/>
      <c r="B232" s="9"/>
      <c r="C232" s="15"/>
      <c r="D232" s="15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</row>
    <row r="233" spans="1:17" ht="19.5" customHeight="1" x14ac:dyDescent="0.25">
      <c r="A233" s="9"/>
      <c r="B233" s="9"/>
      <c r="C233" s="15"/>
      <c r="D233" s="15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</row>
    <row r="234" spans="1:17" ht="19.5" customHeight="1" x14ac:dyDescent="0.25">
      <c r="A234" s="9"/>
      <c r="B234" s="9"/>
      <c r="C234" s="15"/>
      <c r="D234" s="15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</row>
    <row r="235" spans="1:17" ht="19.5" customHeight="1" x14ac:dyDescent="0.25">
      <c r="A235" s="9"/>
      <c r="B235" s="9"/>
      <c r="C235" s="15"/>
      <c r="D235" s="15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</row>
    <row r="236" spans="1:17" ht="19.5" customHeight="1" x14ac:dyDescent="0.25">
      <c r="A236" s="9"/>
      <c r="B236" s="9"/>
      <c r="C236" s="15"/>
      <c r="D236" s="15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</row>
    <row r="237" spans="1:17" ht="19.5" customHeight="1" x14ac:dyDescent="0.25">
      <c r="A237" s="9"/>
      <c r="B237" s="9"/>
      <c r="C237" s="15"/>
      <c r="D237" s="15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</row>
    <row r="238" spans="1:17" ht="19.5" customHeight="1" x14ac:dyDescent="0.25">
      <c r="A238" s="9"/>
      <c r="B238" s="9"/>
      <c r="C238" s="15"/>
      <c r="D238" s="15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</row>
    <row r="239" spans="1:17" ht="19.5" customHeight="1" x14ac:dyDescent="0.25">
      <c r="A239" s="9"/>
      <c r="B239" s="9"/>
      <c r="C239" s="15"/>
      <c r="D239" s="15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</row>
    <row r="240" spans="1:17" ht="19.5" customHeight="1" x14ac:dyDescent="0.25">
      <c r="A240" s="9"/>
      <c r="B240" s="9"/>
      <c r="C240" s="15"/>
      <c r="D240" s="15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</row>
    <row r="241" spans="1:17" ht="19.5" customHeight="1" x14ac:dyDescent="0.25">
      <c r="A241" s="9"/>
      <c r="B241" s="9"/>
      <c r="C241" s="15"/>
      <c r="D241" s="15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</row>
    <row r="242" spans="1:17" ht="19.5" customHeight="1" x14ac:dyDescent="0.25">
      <c r="A242" s="9"/>
      <c r="B242" s="9"/>
      <c r="C242" s="15"/>
      <c r="D242" s="15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</row>
    <row r="243" spans="1:17" ht="19.5" customHeight="1" x14ac:dyDescent="0.25">
      <c r="A243" s="9"/>
      <c r="B243" s="9"/>
      <c r="C243" s="15"/>
      <c r="D243" s="15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</row>
    <row r="244" spans="1:17" ht="19.5" customHeight="1" x14ac:dyDescent="0.25">
      <c r="A244" s="9"/>
      <c r="B244" s="9"/>
      <c r="C244" s="15"/>
      <c r="D244" s="15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</row>
    <row r="245" spans="1:17" ht="19.5" customHeight="1" x14ac:dyDescent="0.25">
      <c r="A245" s="9"/>
      <c r="B245" s="9"/>
      <c r="C245" s="15"/>
      <c r="D245" s="15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</row>
    <row r="246" spans="1:17" ht="19.5" customHeight="1" x14ac:dyDescent="0.25">
      <c r="A246" s="9"/>
      <c r="B246" s="9"/>
      <c r="C246" s="15"/>
      <c r="D246" s="15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</row>
    <row r="247" spans="1:17" ht="19.5" customHeight="1" x14ac:dyDescent="0.25">
      <c r="A247" s="9"/>
      <c r="B247" s="9"/>
      <c r="C247" s="15"/>
      <c r="D247" s="15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</row>
    <row r="248" spans="1:17" ht="19.5" customHeight="1" x14ac:dyDescent="0.25">
      <c r="A248" s="9"/>
      <c r="B248" s="9"/>
      <c r="C248" s="15"/>
      <c r="D248" s="15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</row>
    <row r="249" spans="1:17" ht="19.5" customHeight="1" x14ac:dyDescent="0.25">
      <c r="A249" s="9"/>
      <c r="B249" s="9"/>
      <c r="C249" s="15"/>
      <c r="D249" s="15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</row>
    <row r="250" spans="1:17" ht="19.5" customHeight="1" x14ac:dyDescent="0.25">
      <c r="A250" s="9"/>
      <c r="B250" s="9"/>
      <c r="C250" s="15"/>
      <c r="D250" s="15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</row>
    <row r="251" spans="1:17" ht="19.5" customHeight="1" x14ac:dyDescent="0.25">
      <c r="A251" s="9"/>
      <c r="B251" s="9"/>
      <c r="C251" s="15"/>
      <c r="D251" s="15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</row>
    <row r="252" spans="1:17" ht="19.5" customHeight="1" x14ac:dyDescent="0.25">
      <c r="A252" s="9"/>
      <c r="B252" s="9"/>
      <c r="C252" s="15"/>
      <c r="D252" s="15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</row>
    <row r="253" spans="1:17" ht="19.5" customHeight="1" x14ac:dyDescent="0.25">
      <c r="A253" s="9"/>
      <c r="B253" s="9"/>
      <c r="C253" s="15"/>
      <c r="D253" s="15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</row>
    <row r="254" spans="1:17" ht="19.5" customHeight="1" x14ac:dyDescent="0.25">
      <c r="A254" s="9"/>
      <c r="B254" s="9"/>
      <c r="C254" s="15"/>
      <c r="D254" s="15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</row>
    <row r="255" spans="1:17" ht="19.5" customHeight="1" x14ac:dyDescent="0.25">
      <c r="A255" s="9"/>
      <c r="B255" s="9"/>
      <c r="C255" s="15"/>
      <c r="D255" s="15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</row>
    <row r="256" spans="1:17" ht="19.5" customHeight="1" x14ac:dyDescent="0.25">
      <c r="A256" s="9"/>
      <c r="B256" s="9"/>
      <c r="C256" s="15"/>
      <c r="D256" s="15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</row>
    <row r="257" spans="1:17" ht="19.5" customHeight="1" x14ac:dyDescent="0.25">
      <c r="A257" s="9"/>
      <c r="B257" s="9"/>
      <c r="C257" s="15"/>
      <c r="D257" s="15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</row>
    <row r="258" spans="1:17" ht="19.5" customHeight="1" x14ac:dyDescent="0.25">
      <c r="A258" s="9"/>
      <c r="B258" s="9"/>
      <c r="C258" s="15"/>
      <c r="D258" s="15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</row>
    <row r="259" spans="1:17" ht="19.5" customHeight="1" x14ac:dyDescent="0.25">
      <c r="A259" s="9"/>
      <c r="B259" s="9"/>
      <c r="C259" s="15"/>
      <c r="D259" s="15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</row>
    <row r="260" spans="1:17" ht="19.5" customHeight="1" x14ac:dyDescent="0.25">
      <c r="A260" s="9"/>
      <c r="B260" s="9"/>
      <c r="C260" s="15"/>
      <c r="D260" s="15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</row>
    <row r="261" spans="1:17" ht="19.5" customHeight="1" x14ac:dyDescent="0.25">
      <c r="A261" s="9"/>
      <c r="B261" s="9"/>
      <c r="C261" s="15"/>
      <c r="D261" s="15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</row>
    <row r="262" spans="1:17" ht="19.5" customHeight="1" x14ac:dyDescent="0.25">
      <c r="A262" s="9"/>
      <c r="B262" s="9"/>
      <c r="C262" s="15"/>
      <c r="D262" s="15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</row>
    <row r="263" spans="1:17" ht="19.5" customHeight="1" x14ac:dyDescent="0.25">
      <c r="A263" s="9"/>
      <c r="B263" s="9"/>
      <c r="C263" s="15"/>
      <c r="D263" s="15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</row>
    <row r="264" spans="1:17" ht="19.5" customHeight="1" x14ac:dyDescent="0.25">
      <c r="A264" s="9"/>
      <c r="B264" s="9"/>
      <c r="C264" s="15"/>
      <c r="D264" s="15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</row>
    <row r="265" spans="1:17" ht="19.5" customHeight="1" x14ac:dyDescent="0.25">
      <c r="A265" s="9"/>
      <c r="B265" s="9"/>
      <c r="C265" s="15"/>
      <c r="D265" s="15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</row>
    <row r="266" spans="1:17" ht="19.5" customHeight="1" x14ac:dyDescent="0.25">
      <c r="A266" s="9"/>
      <c r="B266" s="9"/>
      <c r="C266" s="15"/>
      <c r="D266" s="15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</row>
    <row r="267" spans="1:17" ht="19.5" customHeight="1" x14ac:dyDescent="0.25">
      <c r="A267" s="9"/>
      <c r="B267" s="9"/>
      <c r="C267" s="15"/>
      <c r="D267" s="15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</row>
    <row r="268" spans="1:17" ht="19.5" customHeight="1" x14ac:dyDescent="0.25">
      <c r="A268" s="9"/>
      <c r="B268" s="9"/>
      <c r="C268" s="15"/>
      <c r="D268" s="15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</row>
    <row r="269" spans="1:17" ht="19.5" customHeight="1" x14ac:dyDescent="0.25">
      <c r="A269" s="9"/>
      <c r="B269" s="9"/>
      <c r="C269" s="15"/>
      <c r="D269" s="15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</row>
    <row r="270" spans="1:17" ht="19.5" customHeight="1" x14ac:dyDescent="0.25">
      <c r="A270" s="9"/>
      <c r="B270" s="9"/>
      <c r="C270" s="15"/>
      <c r="D270" s="15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</row>
    <row r="271" spans="1:17" ht="19.5" customHeight="1" x14ac:dyDescent="0.25">
      <c r="A271" s="9"/>
      <c r="B271" s="9"/>
      <c r="C271" s="15"/>
      <c r="D271" s="15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</row>
    <row r="272" spans="1:17" ht="19.5" customHeight="1" x14ac:dyDescent="0.25">
      <c r="A272" s="9"/>
      <c r="B272" s="9"/>
      <c r="C272" s="15"/>
      <c r="D272" s="15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</row>
    <row r="273" spans="1:17" ht="19.5" customHeight="1" x14ac:dyDescent="0.25">
      <c r="A273" s="9"/>
      <c r="B273" s="9"/>
      <c r="C273" s="15"/>
      <c r="D273" s="15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</row>
    <row r="274" spans="1:17" ht="19.5" customHeight="1" x14ac:dyDescent="0.25">
      <c r="A274" s="9"/>
      <c r="B274" s="9"/>
      <c r="C274" s="15"/>
      <c r="D274" s="15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</row>
    <row r="275" spans="1:17" ht="19.5" customHeight="1" x14ac:dyDescent="0.25">
      <c r="A275" s="9"/>
      <c r="B275" s="9"/>
      <c r="C275" s="15"/>
      <c r="D275" s="15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</row>
    <row r="276" spans="1:17" ht="19.5" customHeight="1" x14ac:dyDescent="0.25">
      <c r="A276" s="9"/>
      <c r="B276" s="9"/>
      <c r="C276" s="15"/>
      <c r="D276" s="15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</row>
    <row r="277" spans="1:17" ht="19.5" customHeight="1" x14ac:dyDescent="0.25">
      <c r="A277" s="9"/>
      <c r="B277" s="9"/>
      <c r="C277" s="15"/>
      <c r="D277" s="15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</row>
    <row r="278" spans="1:17" ht="19.5" customHeight="1" x14ac:dyDescent="0.25">
      <c r="A278" s="9"/>
      <c r="B278" s="9"/>
      <c r="C278" s="15"/>
      <c r="D278" s="15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</row>
    <row r="279" spans="1:17" ht="19.5" customHeight="1" x14ac:dyDescent="0.25">
      <c r="A279" s="9"/>
      <c r="B279" s="9"/>
      <c r="C279" s="15"/>
      <c r="D279" s="15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</row>
    <row r="280" spans="1:17" ht="19.5" customHeight="1" x14ac:dyDescent="0.25">
      <c r="A280" s="9"/>
      <c r="B280" s="9"/>
      <c r="C280" s="15"/>
      <c r="D280" s="15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</row>
    <row r="281" spans="1:17" ht="19.5" customHeight="1" x14ac:dyDescent="0.25">
      <c r="A281" s="9"/>
      <c r="B281" s="9"/>
      <c r="C281" s="15"/>
      <c r="D281" s="15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</row>
    <row r="282" spans="1:17" ht="19.5" customHeight="1" x14ac:dyDescent="0.25">
      <c r="A282" s="9"/>
      <c r="B282" s="9"/>
      <c r="C282" s="15"/>
      <c r="D282" s="15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</row>
    <row r="283" spans="1:17" ht="19.5" customHeight="1" x14ac:dyDescent="0.25">
      <c r="A283" s="9"/>
      <c r="B283" s="9"/>
      <c r="C283" s="15"/>
      <c r="D283" s="15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</row>
    <row r="284" spans="1:17" ht="19.5" customHeight="1" x14ac:dyDescent="0.25">
      <c r="A284" s="9"/>
      <c r="B284" s="9"/>
      <c r="C284" s="15"/>
      <c r="D284" s="15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</row>
    <row r="285" spans="1:17" ht="19.5" customHeight="1" x14ac:dyDescent="0.25">
      <c r="A285" s="9"/>
      <c r="B285" s="9"/>
      <c r="C285" s="15"/>
      <c r="D285" s="15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</row>
    <row r="286" spans="1:17" ht="19.5" customHeight="1" x14ac:dyDescent="0.25">
      <c r="A286" s="9"/>
      <c r="B286" s="9"/>
      <c r="C286" s="15"/>
      <c r="D286" s="15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</row>
    <row r="287" spans="1:17" ht="19.5" customHeight="1" x14ac:dyDescent="0.25">
      <c r="A287" s="9"/>
      <c r="B287" s="9"/>
      <c r="C287" s="15"/>
      <c r="D287" s="15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</row>
    <row r="288" spans="1:17" ht="19.5" customHeight="1" x14ac:dyDescent="0.25">
      <c r="A288" s="9"/>
      <c r="B288" s="9"/>
      <c r="C288" s="15"/>
      <c r="D288" s="15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</row>
    <row r="289" spans="1:17" ht="19.5" customHeight="1" x14ac:dyDescent="0.25">
      <c r="A289" s="9"/>
      <c r="B289" s="9"/>
      <c r="C289" s="15"/>
      <c r="D289" s="15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</row>
    <row r="290" spans="1:17" ht="19.5" customHeight="1" x14ac:dyDescent="0.25">
      <c r="A290" s="9"/>
      <c r="B290" s="9"/>
      <c r="C290" s="15"/>
      <c r="D290" s="15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</row>
    <row r="291" spans="1:17" ht="19.5" customHeight="1" x14ac:dyDescent="0.25">
      <c r="A291" s="9"/>
      <c r="B291" s="9"/>
      <c r="C291" s="15"/>
      <c r="D291" s="15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</row>
    <row r="292" spans="1:17" ht="19.5" customHeight="1" x14ac:dyDescent="0.25">
      <c r="A292" s="9"/>
      <c r="B292" s="9"/>
      <c r="C292" s="15"/>
      <c r="D292" s="15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</row>
    <row r="293" spans="1:17" ht="19.5" customHeight="1" x14ac:dyDescent="0.25">
      <c r="A293" s="9"/>
      <c r="B293" s="9"/>
      <c r="C293" s="15"/>
      <c r="D293" s="15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</row>
    <row r="294" spans="1:17" ht="19.5" customHeight="1" x14ac:dyDescent="0.25">
      <c r="A294" s="9"/>
      <c r="B294" s="9"/>
      <c r="C294" s="15"/>
      <c r="D294" s="15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</row>
    <row r="295" spans="1:17" ht="19.5" customHeight="1" x14ac:dyDescent="0.25">
      <c r="A295" s="9"/>
      <c r="B295" s="9"/>
      <c r="C295" s="15"/>
      <c r="D295" s="15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</row>
    <row r="296" spans="1:17" ht="19.5" customHeight="1" x14ac:dyDescent="0.25">
      <c r="A296" s="9"/>
      <c r="B296" s="9"/>
      <c r="C296" s="15"/>
      <c r="D296" s="15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</row>
    <row r="297" spans="1:17" ht="19.5" customHeight="1" x14ac:dyDescent="0.25">
      <c r="A297" s="9"/>
      <c r="B297" s="9"/>
      <c r="C297" s="15"/>
      <c r="D297" s="15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</row>
    <row r="298" spans="1:17" ht="19.5" customHeight="1" x14ac:dyDescent="0.25">
      <c r="A298" s="9"/>
      <c r="B298" s="9"/>
      <c r="C298" s="15"/>
      <c r="D298" s="15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</row>
    <row r="299" spans="1:17" ht="19.5" customHeight="1" x14ac:dyDescent="0.25">
      <c r="A299" s="9"/>
      <c r="B299" s="9"/>
      <c r="C299" s="15"/>
      <c r="D299" s="15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</row>
    <row r="300" spans="1:17" ht="19.5" customHeight="1" x14ac:dyDescent="0.25">
      <c r="A300" s="9"/>
      <c r="B300" s="9"/>
      <c r="C300" s="15"/>
      <c r="D300" s="15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</row>
    <row r="301" spans="1:17" ht="19.5" customHeight="1" x14ac:dyDescent="0.25">
      <c r="A301" s="9"/>
      <c r="B301" s="9"/>
      <c r="C301" s="15"/>
      <c r="D301" s="15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</row>
    <row r="302" spans="1:17" ht="19.5" customHeight="1" x14ac:dyDescent="0.25">
      <c r="A302" s="9"/>
      <c r="B302" s="9"/>
      <c r="C302" s="15"/>
      <c r="D302" s="15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</row>
    <row r="303" spans="1:17" ht="19.5" customHeight="1" x14ac:dyDescent="0.25">
      <c r="A303" s="9"/>
      <c r="B303" s="9"/>
      <c r="C303" s="15"/>
      <c r="D303" s="15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</row>
    <row r="304" spans="1:17" ht="19.5" customHeight="1" x14ac:dyDescent="0.25">
      <c r="A304" s="9"/>
      <c r="B304" s="9"/>
      <c r="C304" s="15"/>
      <c r="D304" s="15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</row>
    <row r="305" spans="1:17" ht="19.5" customHeight="1" x14ac:dyDescent="0.25">
      <c r="A305" s="9"/>
      <c r="B305" s="9"/>
      <c r="C305" s="15"/>
      <c r="D305" s="15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</row>
    <row r="306" spans="1:17" ht="19.5" customHeight="1" x14ac:dyDescent="0.25">
      <c r="A306" s="9"/>
      <c r="B306" s="9"/>
      <c r="C306" s="15"/>
      <c r="D306" s="15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</row>
    <row r="307" spans="1:17" ht="19.5" customHeight="1" x14ac:dyDescent="0.25">
      <c r="A307" s="9"/>
      <c r="B307" s="9"/>
      <c r="C307" s="15"/>
      <c r="D307" s="15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</row>
    <row r="308" spans="1:17" ht="19.5" customHeight="1" x14ac:dyDescent="0.25">
      <c r="A308" s="9"/>
      <c r="B308" s="9"/>
      <c r="C308" s="15"/>
      <c r="D308" s="15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</row>
    <row r="309" spans="1:17" ht="19.5" customHeight="1" x14ac:dyDescent="0.25">
      <c r="A309" s="9"/>
      <c r="B309" s="9"/>
      <c r="C309" s="15"/>
      <c r="D309" s="15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</row>
    <row r="310" spans="1:17" ht="19.5" customHeight="1" x14ac:dyDescent="0.25">
      <c r="A310" s="9"/>
      <c r="B310" s="9"/>
      <c r="C310" s="15"/>
      <c r="D310" s="15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</row>
    <row r="311" spans="1:17" ht="19.5" customHeight="1" x14ac:dyDescent="0.25">
      <c r="A311" s="9"/>
      <c r="B311" s="9"/>
      <c r="C311" s="15"/>
      <c r="D311" s="15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</row>
    <row r="312" spans="1:17" ht="19.5" customHeight="1" x14ac:dyDescent="0.25">
      <c r="A312" s="9"/>
      <c r="B312" s="9"/>
      <c r="C312" s="15"/>
      <c r="D312" s="15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</row>
    <row r="313" spans="1:17" ht="19.5" customHeight="1" x14ac:dyDescent="0.25">
      <c r="A313" s="9"/>
      <c r="B313" s="9"/>
      <c r="C313" s="15"/>
      <c r="D313" s="15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</row>
    <row r="314" spans="1:17" ht="19.5" customHeight="1" x14ac:dyDescent="0.25">
      <c r="A314" s="9"/>
      <c r="B314" s="9"/>
      <c r="C314" s="15"/>
      <c r="D314" s="15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</row>
    <row r="315" spans="1:17" ht="19.5" customHeight="1" x14ac:dyDescent="0.25">
      <c r="A315" s="9"/>
      <c r="B315" s="9"/>
      <c r="C315" s="15"/>
      <c r="D315" s="15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</row>
    <row r="316" spans="1:17" ht="19.5" customHeight="1" x14ac:dyDescent="0.25">
      <c r="A316" s="9"/>
      <c r="B316" s="9"/>
      <c r="C316" s="15"/>
      <c r="D316" s="15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</row>
    <row r="317" spans="1:17" ht="19.5" customHeight="1" x14ac:dyDescent="0.25">
      <c r="A317" s="9"/>
      <c r="B317" s="9"/>
      <c r="C317" s="15"/>
      <c r="D317" s="15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</row>
    <row r="318" spans="1:17" ht="19.5" customHeight="1" x14ac:dyDescent="0.25">
      <c r="A318" s="9"/>
      <c r="B318" s="9"/>
      <c r="C318" s="15"/>
      <c r="D318" s="15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</row>
    <row r="319" spans="1:17" ht="19.5" customHeight="1" x14ac:dyDescent="0.25">
      <c r="A319" s="9"/>
      <c r="B319" s="9"/>
      <c r="C319" s="15"/>
      <c r="D319" s="15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</row>
    <row r="320" spans="1:17" ht="19.5" customHeight="1" x14ac:dyDescent="0.25">
      <c r="A320" s="9"/>
      <c r="B320" s="9"/>
      <c r="C320" s="15"/>
      <c r="D320" s="15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</row>
    <row r="321" spans="1:17" ht="19.5" customHeight="1" x14ac:dyDescent="0.25">
      <c r="A321" s="9"/>
      <c r="B321" s="9"/>
      <c r="C321" s="15"/>
      <c r="D321" s="15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</row>
    <row r="322" spans="1:17" ht="19.5" customHeight="1" x14ac:dyDescent="0.25">
      <c r="A322" s="9"/>
      <c r="B322" s="9"/>
      <c r="C322" s="15"/>
      <c r="D322" s="15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</row>
    <row r="323" spans="1:17" ht="19.5" customHeight="1" x14ac:dyDescent="0.25">
      <c r="A323" s="9"/>
      <c r="B323" s="9"/>
      <c r="C323" s="15"/>
      <c r="D323" s="15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</row>
    <row r="324" spans="1:17" ht="19.5" customHeight="1" x14ac:dyDescent="0.25">
      <c r="A324" s="9"/>
      <c r="B324" s="9"/>
      <c r="C324" s="15"/>
      <c r="D324" s="15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</row>
    <row r="325" spans="1:17" ht="19.5" customHeight="1" x14ac:dyDescent="0.25">
      <c r="A325" s="9"/>
      <c r="B325" s="9"/>
      <c r="C325" s="15"/>
      <c r="D325" s="15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</row>
    <row r="326" spans="1:17" ht="19.5" customHeight="1" x14ac:dyDescent="0.25">
      <c r="A326" s="9"/>
      <c r="B326" s="9"/>
      <c r="C326" s="15"/>
      <c r="D326" s="15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</row>
    <row r="327" spans="1:17" ht="19.5" customHeight="1" x14ac:dyDescent="0.25">
      <c r="A327" s="9"/>
      <c r="B327" s="9"/>
      <c r="C327" s="15"/>
      <c r="D327" s="15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</row>
    <row r="328" spans="1:17" ht="19.5" customHeight="1" x14ac:dyDescent="0.25">
      <c r="A328" s="9"/>
      <c r="B328" s="9"/>
      <c r="C328" s="15"/>
      <c r="D328" s="15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</row>
    <row r="329" spans="1:17" ht="19.5" customHeight="1" x14ac:dyDescent="0.25">
      <c r="A329" s="9"/>
      <c r="B329" s="9"/>
      <c r="C329" s="15"/>
      <c r="D329" s="15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</row>
    <row r="330" spans="1:17" ht="19.5" customHeight="1" x14ac:dyDescent="0.25">
      <c r="A330" s="9"/>
      <c r="B330" s="9"/>
      <c r="C330" s="15"/>
      <c r="D330" s="15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</row>
    <row r="331" spans="1:17" ht="19.5" customHeight="1" x14ac:dyDescent="0.25">
      <c r="A331" s="9"/>
      <c r="B331" s="9"/>
      <c r="C331" s="15"/>
      <c r="D331" s="15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</row>
    <row r="332" spans="1:17" ht="19.5" customHeight="1" x14ac:dyDescent="0.25">
      <c r="A332" s="9"/>
      <c r="B332" s="9"/>
      <c r="C332" s="15"/>
      <c r="D332" s="15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</row>
    <row r="333" spans="1:17" ht="19.5" customHeight="1" x14ac:dyDescent="0.25">
      <c r="A333" s="9"/>
      <c r="B333" s="9"/>
      <c r="C333" s="15"/>
      <c r="D333" s="15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</row>
    <row r="334" spans="1:17" ht="19.5" customHeight="1" x14ac:dyDescent="0.25">
      <c r="A334" s="9"/>
      <c r="B334" s="9"/>
      <c r="C334" s="15"/>
      <c r="D334" s="15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</row>
    <row r="335" spans="1:17" ht="19.5" customHeight="1" x14ac:dyDescent="0.25">
      <c r="A335" s="9"/>
      <c r="B335" s="9"/>
      <c r="C335" s="15"/>
      <c r="D335" s="15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</row>
    <row r="336" spans="1:17" ht="19.5" customHeight="1" x14ac:dyDescent="0.25">
      <c r="A336" s="9"/>
      <c r="B336" s="9"/>
      <c r="C336" s="15"/>
      <c r="D336" s="15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</row>
    <row r="337" spans="1:17" ht="19.5" customHeight="1" x14ac:dyDescent="0.25">
      <c r="A337" s="9"/>
      <c r="B337" s="9"/>
      <c r="C337" s="15"/>
      <c r="D337" s="15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</row>
    <row r="338" spans="1:17" ht="19.5" customHeight="1" x14ac:dyDescent="0.25">
      <c r="A338" s="9"/>
      <c r="B338" s="9"/>
      <c r="C338" s="15"/>
      <c r="D338" s="15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</row>
    <row r="339" spans="1:17" ht="19.5" customHeight="1" x14ac:dyDescent="0.25">
      <c r="A339" s="9"/>
      <c r="B339" s="9"/>
      <c r="C339" s="15"/>
      <c r="D339" s="15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</row>
    <row r="340" spans="1:17" ht="19.5" customHeight="1" x14ac:dyDescent="0.25">
      <c r="A340" s="9"/>
      <c r="B340" s="9"/>
      <c r="C340" s="15"/>
      <c r="D340" s="15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</row>
    <row r="341" spans="1:17" ht="19.5" customHeight="1" x14ac:dyDescent="0.25">
      <c r="A341" s="9"/>
      <c r="B341" s="9"/>
      <c r="C341" s="15"/>
      <c r="D341" s="15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</row>
    <row r="342" spans="1:17" ht="19.5" customHeight="1" x14ac:dyDescent="0.25">
      <c r="A342" s="9"/>
      <c r="B342" s="9"/>
      <c r="C342" s="15"/>
      <c r="D342" s="15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</row>
    <row r="343" spans="1:17" ht="19.5" customHeight="1" x14ac:dyDescent="0.25">
      <c r="A343" s="9"/>
      <c r="B343" s="9"/>
      <c r="C343" s="15"/>
      <c r="D343" s="15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</row>
    <row r="344" spans="1:17" ht="19.5" customHeight="1" x14ac:dyDescent="0.25">
      <c r="A344" s="9"/>
      <c r="B344" s="9"/>
      <c r="C344" s="15"/>
      <c r="D344" s="15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</row>
    <row r="345" spans="1:17" ht="19.5" customHeight="1" x14ac:dyDescent="0.25">
      <c r="A345" s="9"/>
      <c r="B345" s="9"/>
      <c r="C345" s="15"/>
      <c r="D345" s="15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</row>
    <row r="346" spans="1:17" ht="19.5" customHeight="1" x14ac:dyDescent="0.25">
      <c r="A346" s="9"/>
      <c r="B346" s="9"/>
      <c r="C346" s="15"/>
      <c r="D346" s="15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</row>
    <row r="347" spans="1:17" ht="19.5" customHeight="1" x14ac:dyDescent="0.25">
      <c r="A347" s="9"/>
      <c r="B347" s="9"/>
      <c r="C347" s="15"/>
      <c r="D347" s="15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</row>
    <row r="348" spans="1:17" ht="19.5" customHeight="1" x14ac:dyDescent="0.25">
      <c r="A348" s="9"/>
      <c r="B348" s="9"/>
      <c r="C348" s="15"/>
      <c r="D348" s="15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</row>
    <row r="349" spans="1:17" ht="19.5" customHeight="1" x14ac:dyDescent="0.25">
      <c r="A349" s="9"/>
      <c r="B349" s="9"/>
      <c r="C349" s="15"/>
      <c r="D349" s="15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</row>
    <row r="350" spans="1:17" ht="19.5" customHeight="1" x14ac:dyDescent="0.25">
      <c r="A350" s="9"/>
      <c r="B350" s="9"/>
      <c r="C350" s="15"/>
      <c r="D350" s="15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</row>
    <row r="351" spans="1:17" ht="19.5" customHeight="1" x14ac:dyDescent="0.25">
      <c r="A351" s="9"/>
      <c r="B351" s="9"/>
      <c r="C351" s="15"/>
      <c r="D351" s="15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</row>
    <row r="352" spans="1:17" ht="19.5" customHeight="1" x14ac:dyDescent="0.25">
      <c r="A352" s="9"/>
      <c r="B352" s="9"/>
      <c r="C352" s="15"/>
      <c r="D352" s="15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</row>
    <row r="353" spans="1:17" ht="19.5" customHeight="1" x14ac:dyDescent="0.25">
      <c r="A353" s="9"/>
      <c r="B353" s="9"/>
      <c r="C353" s="15"/>
      <c r="D353" s="15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</row>
    <row r="354" spans="1:17" ht="19.5" customHeight="1" x14ac:dyDescent="0.25">
      <c r="A354" s="9"/>
      <c r="B354" s="9"/>
      <c r="C354" s="15"/>
      <c r="D354" s="15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</row>
    <row r="355" spans="1:17" ht="19.5" customHeight="1" x14ac:dyDescent="0.25">
      <c r="A355" s="9"/>
      <c r="B355" s="9"/>
      <c r="C355" s="15"/>
      <c r="D355" s="15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</row>
    <row r="356" spans="1:17" ht="19.5" customHeight="1" x14ac:dyDescent="0.25">
      <c r="A356" s="9"/>
      <c r="B356" s="9"/>
      <c r="C356" s="15"/>
      <c r="D356" s="15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</row>
    <row r="357" spans="1:17" ht="19.5" customHeight="1" x14ac:dyDescent="0.25">
      <c r="A357" s="9"/>
      <c r="B357" s="9"/>
      <c r="C357" s="15"/>
      <c r="D357" s="15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</row>
    <row r="358" spans="1:17" ht="19.5" customHeight="1" x14ac:dyDescent="0.25">
      <c r="A358" s="9"/>
      <c r="B358" s="9"/>
      <c r="C358" s="15"/>
      <c r="D358" s="15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</row>
    <row r="359" spans="1:17" ht="19.5" customHeight="1" x14ac:dyDescent="0.25">
      <c r="A359" s="9"/>
      <c r="B359" s="9"/>
      <c r="C359" s="15"/>
      <c r="D359" s="15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</row>
    <row r="360" spans="1:17" ht="19.5" customHeight="1" x14ac:dyDescent="0.25">
      <c r="A360" s="9"/>
      <c r="B360" s="9"/>
      <c r="C360" s="15"/>
      <c r="D360" s="15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</row>
    <row r="361" spans="1:17" ht="19.5" customHeight="1" x14ac:dyDescent="0.25">
      <c r="A361" s="9"/>
      <c r="B361" s="9"/>
      <c r="C361" s="15"/>
      <c r="D361" s="15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</row>
    <row r="362" spans="1:17" ht="19.5" customHeight="1" x14ac:dyDescent="0.25">
      <c r="A362" s="9"/>
      <c r="B362" s="9"/>
      <c r="C362" s="15"/>
      <c r="D362" s="15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</row>
    <row r="363" spans="1:17" ht="19.5" customHeight="1" x14ac:dyDescent="0.25">
      <c r="A363" s="9"/>
      <c r="B363" s="9"/>
      <c r="C363" s="15"/>
      <c r="D363" s="15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</row>
    <row r="364" spans="1:17" ht="19.5" customHeight="1" x14ac:dyDescent="0.25">
      <c r="A364" s="9"/>
      <c r="B364" s="9"/>
      <c r="C364" s="15"/>
      <c r="D364" s="15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</row>
    <row r="365" spans="1:17" ht="19.5" customHeight="1" x14ac:dyDescent="0.25">
      <c r="A365" s="9"/>
      <c r="B365" s="9"/>
      <c r="C365" s="15"/>
      <c r="D365" s="15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</row>
    <row r="366" spans="1:17" ht="19.5" customHeight="1" x14ac:dyDescent="0.25">
      <c r="A366" s="9"/>
      <c r="B366" s="9"/>
      <c r="C366" s="15"/>
      <c r="D366" s="15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</row>
    <row r="367" spans="1:17" ht="19.5" customHeight="1" x14ac:dyDescent="0.25">
      <c r="A367" s="9"/>
      <c r="B367" s="9"/>
      <c r="C367" s="15"/>
      <c r="D367" s="15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</row>
    <row r="368" spans="1:17" ht="19.5" customHeight="1" x14ac:dyDescent="0.25">
      <c r="A368" s="9"/>
      <c r="B368" s="9"/>
      <c r="C368" s="15"/>
      <c r="D368" s="15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</row>
    <row r="369" spans="1:17" ht="19.5" customHeight="1" x14ac:dyDescent="0.25">
      <c r="A369" s="9"/>
      <c r="B369" s="9"/>
      <c r="C369" s="15"/>
      <c r="D369" s="15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</row>
    <row r="370" spans="1:17" ht="19.5" customHeight="1" x14ac:dyDescent="0.25">
      <c r="A370" s="9"/>
      <c r="B370" s="9"/>
      <c r="C370" s="15"/>
      <c r="D370" s="15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</row>
    <row r="371" spans="1:17" ht="19.5" customHeight="1" x14ac:dyDescent="0.25">
      <c r="A371" s="9"/>
      <c r="B371" s="9"/>
      <c r="C371" s="15"/>
      <c r="D371" s="15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</row>
    <row r="372" spans="1:17" ht="19.5" customHeight="1" x14ac:dyDescent="0.25">
      <c r="A372" s="9"/>
      <c r="B372" s="9"/>
      <c r="C372" s="15"/>
      <c r="D372" s="15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</row>
    <row r="373" spans="1:17" ht="19.5" customHeight="1" x14ac:dyDescent="0.25">
      <c r="A373" s="9"/>
      <c r="B373" s="9"/>
      <c r="C373" s="15"/>
      <c r="D373" s="15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</row>
    <row r="374" spans="1:17" ht="19.5" customHeight="1" x14ac:dyDescent="0.25">
      <c r="A374" s="9"/>
      <c r="B374" s="9"/>
      <c r="C374" s="15"/>
      <c r="D374" s="15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</row>
    <row r="375" spans="1:17" ht="19.5" customHeight="1" x14ac:dyDescent="0.25">
      <c r="A375" s="9"/>
      <c r="B375" s="9"/>
      <c r="C375" s="15"/>
      <c r="D375" s="15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</row>
    <row r="376" spans="1:17" ht="19.5" customHeight="1" x14ac:dyDescent="0.25">
      <c r="A376" s="9"/>
      <c r="B376" s="9"/>
      <c r="C376" s="15"/>
      <c r="D376" s="15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</row>
    <row r="377" spans="1:17" ht="19.5" customHeight="1" x14ac:dyDescent="0.25">
      <c r="A377" s="9"/>
      <c r="B377" s="9"/>
      <c r="C377" s="15"/>
      <c r="D377" s="15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</row>
    <row r="378" spans="1:17" ht="19.5" customHeight="1" x14ac:dyDescent="0.25">
      <c r="A378" s="9"/>
      <c r="B378" s="9"/>
      <c r="C378" s="15"/>
      <c r="D378" s="15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</row>
    <row r="379" spans="1:17" ht="19.5" customHeight="1" x14ac:dyDescent="0.25">
      <c r="A379" s="9"/>
      <c r="B379" s="9"/>
      <c r="C379" s="15"/>
      <c r="D379" s="15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</row>
    <row r="380" spans="1:17" ht="19.5" customHeight="1" x14ac:dyDescent="0.25">
      <c r="A380" s="9"/>
      <c r="B380" s="9"/>
      <c r="C380" s="15"/>
      <c r="D380" s="15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</row>
    <row r="381" spans="1:17" ht="19.5" customHeight="1" x14ac:dyDescent="0.25">
      <c r="A381" s="9"/>
      <c r="B381" s="9"/>
      <c r="C381" s="15"/>
      <c r="D381" s="15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</row>
    <row r="382" spans="1:17" ht="19.5" customHeight="1" x14ac:dyDescent="0.25">
      <c r="A382" s="9"/>
      <c r="B382" s="9"/>
      <c r="C382" s="15"/>
      <c r="D382" s="15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</row>
    <row r="383" spans="1:17" ht="19.5" customHeight="1" x14ac:dyDescent="0.25">
      <c r="A383" s="9"/>
      <c r="B383" s="9"/>
      <c r="C383" s="15"/>
      <c r="D383" s="15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</row>
    <row r="384" spans="1:17" ht="19.5" customHeight="1" x14ac:dyDescent="0.25">
      <c r="A384" s="9"/>
      <c r="B384" s="9"/>
      <c r="C384" s="15"/>
      <c r="D384" s="15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</row>
    <row r="385" spans="1:17" ht="19.5" customHeight="1" x14ac:dyDescent="0.25">
      <c r="A385" s="9"/>
      <c r="B385" s="9"/>
      <c r="C385" s="15"/>
      <c r="D385" s="15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</row>
    <row r="386" spans="1:17" ht="19.5" customHeight="1" x14ac:dyDescent="0.25">
      <c r="A386" s="9"/>
      <c r="B386" s="9"/>
      <c r="C386" s="15"/>
      <c r="D386" s="15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</row>
    <row r="387" spans="1:17" ht="19.5" customHeight="1" x14ac:dyDescent="0.25">
      <c r="A387" s="9"/>
      <c r="B387" s="9"/>
      <c r="C387" s="15"/>
      <c r="D387" s="15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</row>
    <row r="388" spans="1:17" ht="19.5" customHeight="1" x14ac:dyDescent="0.25">
      <c r="A388" s="9"/>
      <c r="B388" s="9"/>
      <c r="C388" s="15"/>
      <c r="D388" s="15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</row>
    <row r="389" spans="1:17" ht="19.5" customHeight="1" x14ac:dyDescent="0.25">
      <c r="A389" s="9"/>
      <c r="B389" s="9"/>
      <c r="C389" s="15"/>
      <c r="D389" s="15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</row>
    <row r="390" spans="1:17" ht="19.5" customHeight="1" x14ac:dyDescent="0.25">
      <c r="A390" s="9"/>
      <c r="B390" s="9"/>
      <c r="C390" s="15"/>
      <c r="D390" s="15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</row>
    <row r="391" spans="1:17" ht="19.5" customHeight="1" x14ac:dyDescent="0.25">
      <c r="A391" s="9"/>
      <c r="B391" s="9"/>
      <c r="C391" s="15"/>
      <c r="D391" s="15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</row>
    <row r="392" spans="1:17" ht="19.5" customHeight="1" x14ac:dyDescent="0.25">
      <c r="A392" s="9"/>
      <c r="B392" s="9"/>
      <c r="C392" s="15"/>
      <c r="D392" s="15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</row>
    <row r="393" spans="1:17" ht="19.5" customHeight="1" x14ac:dyDescent="0.25">
      <c r="A393" s="9"/>
      <c r="B393" s="9"/>
      <c r="C393" s="15"/>
      <c r="D393" s="15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</row>
    <row r="394" spans="1:17" ht="19.5" customHeight="1" x14ac:dyDescent="0.25">
      <c r="A394" s="9"/>
      <c r="B394" s="9"/>
      <c r="C394" s="15"/>
      <c r="D394" s="15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</row>
    <row r="395" spans="1:17" ht="19.5" customHeight="1" x14ac:dyDescent="0.25">
      <c r="A395" s="9"/>
      <c r="B395" s="9"/>
      <c r="C395" s="15"/>
      <c r="D395" s="15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</row>
    <row r="396" spans="1:17" ht="19.5" customHeight="1" x14ac:dyDescent="0.25">
      <c r="A396" s="9"/>
      <c r="B396" s="9"/>
      <c r="C396" s="15"/>
      <c r="D396" s="15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</row>
    <row r="397" spans="1:17" ht="19.5" customHeight="1" x14ac:dyDescent="0.25">
      <c r="A397" s="9"/>
      <c r="B397" s="9"/>
      <c r="C397" s="15"/>
      <c r="D397" s="15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</row>
    <row r="398" spans="1:17" ht="19.5" customHeight="1" x14ac:dyDescent="0.25">
      <c r="A398" s="9"/>
      <c r="B398" s="9"/>
      <c r="C398" s="15"/>
      <c r="D398" s="15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</row>
    <row r="399" spans="1:17" ht="19.5" customHeight="1" x14ac:dyDescent="0.25">
      <c r="A399" s="9"/>
      <c r="B399" s="9"/>
      <c r="C399" s="15"/>
      <c r="D399" s="15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</row>
    <row r="400" spans="1:17" ht="19.5" customHeight="1" x14ac:dyDescent="0.25">
      <c r="A400" s="9"/>
      <c r="B400" s="9"/>
      <c r="C400" s="15"/>
      <c r="D400" s="15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</row>
    <row r="401" spans="1:17" ht="19.5" customHeight="1" x14ac:dyDescent="0.25">
      <c r="A401" s="9"/>
      <c r="B401" s="9"/>
      <c r="C401" s="15"/>
      <c r="D401" s="15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</row>
    <row r="402" spans="1:17" ht="19.5" customHeight="1" x14ac:dyDescent="0.25">
      <c r="A402" s="9"/>
      <c r="B402" s="9"/>
      <c r="C402" s="15"/>
      <c r="D402" s="15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</row>
    <row r="403" spans="1:17" ht="19.5" customHeight="1" x14ac:dyDescent="0.25">
      <c r="A403" s="9"/>
      <c r="B403" s="9"/>
      <c r="C403" s="15"/>
      <c r="D403" s="15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</row>
    <row r="404" spans="1:17" ht="19.5" customHeight="1" x14ac:dyDescent="0.25">
      <c r="A404" s="9"/>
      <c r="B404" s="9"/>
      <c r="C404" s="15"/>
      <c r="D404" s="15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</row>
    <row r="405" spans="1:17" ht="19.5" customHeight="1" x14ac:dyDescent="0.25">
      <c r="A405" s="9"/>
      <c r="B405" s="9"/>
      <c r="C405" s="15"/>
      <c r="D405" s="15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</row>
    <row r="406" spans="1:17" ht="19.5" customHeight="1" x14ac:dyDescent="0.25">
      <c r="A406" s="9"/>
      <c r="B406" s="9"/>
      <c r="C406" s="15"/>
      <c r="D406" s="15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</row>
    <row r="407" spans="1:17" ht="19.5" customHeight="1" x14ac:dyDescent="0.25">
      <c r="A407" s="9"/>
      <c r="B407" s="9"/>
      <c r="C407" s="15"/>
      <c r="D407" s="15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</row>
    <row r="408" spans="1:17" ht="19.5" customHeight="1" x14ac:dyDescent="0.25">
      <c r="A408" s="9"/>
      <c r="B408" s="9"/>
      <c r="C408" s="15"/>
      <c r="D408" s="15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</row>
    <row r="409" spans="1:17" ht="19.5" customHeight="1" x14ac:dyDescent="0.25">
      <c r="A409" s="9"/>
      <c r="B409" s="9"/>
      <c r="C409" s="15"/>
      <c r="D409" s="15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</row>
    <row r="410" spans="1:17" ht="19.5" customHeight="1" x14ac:dyDescent="0.25">
      <c r="A410" s="9"/>
      <c r="B410" s="9"/>
      <c r="C410" s="15"/>
      <c r="D410" s="15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</row>
    <row r="411" spans="1:17" ht="19.5" customHeight="1" x14ac:dyDescent="0.25">
      <c r="A411" s="9"/>
      <c r="B411" s="9"/>
      <c r="C411" s="15"/>
      <c r="D411" s="15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</row>
    <row r="412" spans="1:17" ht="19.5" customHeight="1" x14ac:dyDescent="0.25">
      <c r="A412" s="9"/>
      <c r="B412" s="9"/>
      <c r="C412" s="15"/>
      <c r="D412" s="15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</row>
    <row r="413" spans="1:17" ht="19.5" customHeight="1" x14ac:dyDescent="0.25">
      <c r="A413" s="9"/>
      <c r="B413" s="9"/>
      <c r="C413" s="15"/>
      <c r="D413" s="15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</row>
    <row r="414" spans="1:17" ht="19.5" customHeight="1" x14ac:dyDescent="0.25">
      <c r="A414" s="9"/>
      <c r="B414" s="9"/>
      <c r="C414" s="15"/>
      <c r="D414" s="15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</row>
    <row r="415" spans="1:17" ht="19.5" customHeight="1" x14ac:dyDescent="0.25">
      <c r="A415" s="9"/>
      <c r="B415" s="9"/>
      <c r="C415" s="15"/>
      <c r="D415" s="15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</row>
    <row r="416" spans="1:17" ht="19.5" customHeight="1" x14ac:dyDescent="0.25">
      <c r="A416" s="9"/>
      <c r="B416" s="9"/>
      <c r="C416" s="15"/>
      <c r="D416" s="15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</row>
    <row r="417" spans="1:17" ht="19.5" customHeight="1" x14ac:dyDescent="0.25">
      <c r="A417" s="9"/>
      <c r="B417" s="9"/>
      <c r="C417" s="15"/>
      <c r="D417" s="15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</row>
    <row r="418" spans="1:17" ht="19.5" customHeight="1" x14ac:dyDescent="0.25">
      <c r="A418" s="9"/>
      <c r="B418" s="9"/>
      <c r="C418" s="15"/>
      <c r="D418" s="15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</row>
    <row r="419" spans="1:17" ht="19.5" customHeight="1" x14ac:dyDescent="0.25">
      <c r="A419" s="9"/>
      <c r="B419" s="9"/>
      <c r="C419" s="15"/>
      <c r="D419" s="15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</row>
    <row r="420" spans="1:17" ht="19.5" customHeight="1" x14ac:dyDescent="0.25">
      <c r="A420" s="9"/>
      <c r="B420" s="9"/>
      <c r="C420" s="15"/>
      <c r="D420" s="15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</row>
    <row r="421" spans="1:17" ht="19.5" customHeight="1" x14ac:dyDescent="0.25">
      <c r="A421" s="9"/>
      <c r="B421" s="9"/>
      <c r="C421" s="15"/>
      <c r="D421" s="15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</row>
    <row r="422" spans="1:17" ht="19.5" customHeight="1" x14ac:dyDescent="0.25">
      <c r="A422" s="9"/>
      <c r="B422" s="9"/>
      <c r="C422" s="15"/>
      <c r="D422" s="15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</row>
    <row r="423" spans="1:17" ht="19.5" customHeight="1" x14ac:dyDescent="0.25">
      <c r="A423" s="9"/>
      <c r="B423" s="9"/>
      <c r="C423" s="15"/>
      <c r="D423" s="15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</row>
    <row r="424" spans="1:17" ht="19.5" customHeight="1" x14ac:dyDescent="0.25">
      <c r="A424" s="9"/>
      <c r="B424" s="9"/>
      <c r="C424" s="15"/>
      <c r="D424" s="15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</row>
    <row r="425" spans="1:17" ht="19.5" customHeight="1" x14ac:dyDescent="0.25">
      <c r="A425" s="9"/>
      <c r="B425" s="9"/>
      <c r="C425" s="15"/>
      <c r="D425" s="15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</row>
    <row r="426" spans="1:17" ht="19.5" customHeight="1" x14ac:dyDescent="0.25">
      <c r="A426" s="9"/>
      <c r="B426" s="9"/>
      <c r="C426" s="15"/>
      <c r="D426" s="15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</row>
    <row r="427" spans="1:17" ht="19.5" customHeight="1" x14ac:dyDescent="0.25">
      <c r="A427" s="9"/>
      <c r="B427" s="9"/>
      <c r="C427" s="15"/>
      <c r="D427" s="15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</row>
    <row r="428" spans="1:17" ht="19.5" customHeight="1" x14ac:dyDescent="0.25">
      <c r="A428" s="9"/>
      <c r="B428" s="9"/>
      <c r="C428" s="15"/>
      <c r="D428" s="15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</row>
    <row r="429" spans="1:17" ht="19.5" customHeight="1" x14ac:dyDescent="0.25">
      <c r="A429" s="9"/>
      <c r="B429" s="9"/>
      <c r="C429" s="15"/>
      <c r="D429" s="15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</row>
    <row r="430" spans="1:17" ht="19.5" customHeight="1" x14ac:dyDescent="0.25">
      <c r="A430" s="9"/>
      <c r="B430" s="9"/>
      <c r="C430" s="15"/>
      <c r="D430" s="15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</row>
    <row r="431" spans="1:17" ht="19.5" customHeight="1" x14ac:dyDescent="0.25">
      <c r="A431" s="9"/>
      <c r="B431" s="9"/>
      <c r="C431" s="15"/>
      <c r="D431" s="15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</row>
    <row r="432" spans="1:17" ht="19.5" customHeight="1" x14ac:dyDescent="0.25">
      <c r="A432" s="9"/>
      <c r="B432" s="9"/>
      <c r="C432" s="15"/>
      <c r="D432" s="15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</row>
    <row r="433" spans="1:17" ht="19.5" customHeight="1" x14ac:dyDescent="0.25">
      <c r="A433" s="9"/>
      <c r="B433" s="9"/>
      <c r="C433" s="15"/>
      <c r="D433" s="15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</row>
    <row r="434" spans="1:17" ht="19.5" customHeight="1" x14ac:dyDescent="0.25">
      <c r="A434" s="9"/>
      <c r="B434" s="9"/>
      <c r="C434" s="15"/>
      <c r="D434" s="15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</row>
    <row r="435" spans="1:17" ht="19.5" customHeight="1" x14ac:dyDescent="0.25">
      <c r="A435" s="9"/>
      <c r="B435" s="9"/>
      <c r="C435" s="15"/>
      <c r="D435" s="15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</row>
    <row r="436" spans="1:17" ht="19.5" customHeight="1" x14ac:dyDescent="0.25">
      <c r="A436" s="9"/>
      <c r="B436" s="9"/>
      <c r="C436" s="15"/>
      <c r="D436" s="15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</row>
    <row r="437" spans="1:17" ht="19.5" customHeight="1" x14ac:dyDescent="0.25">
      <c r="A437" s="9"/>
      <c r="B437" s="9"/>
      <c r="C437" s="15"/>
      <c r="D437" s="15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</row>
    <row r="438" spans="1:17" ht="19.5" customHeight="1" x14ac:dyDescent="0.25">
      <c r="A438" s="9"/>
      <c r="B438" s="9"/>
      <c r="C438" s="15"/>
      <c r="D438" s="15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</row>
    <row r="439" spans="1:17" ht="19.5" customHeight="1" x14ac:dyDescent="0.25">
      <c r="A439" s="9"/>
      <c r="B439" s="9"/>
      <c r="C439" s="15"/>
      <c r="D439" s="15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</row>
    <row r="440" spans="1:17" ht="19.5" customHeight="1" x14ac:dyDescent="0.25">
      <c r="A440" s="9"/>
      <c r="B440" s="9"/>
      <c r="C440" s="15"/>
      <c r="D440" s="15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</row>
    <row r="441" spans="1:17" ht="19.5" customHeight="1" x14ac:dyDescent="0.25">
      <c r="A441" s="9"/>
      <c r="B441" s="9"/>
      <c r="C441" s="15"/>
      <c r="D441" s="15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</row>
    <row r="442" spans="1:17" ht="19.5" customHeight="1" x14ac:dyDescent="0.25">
      <c r="A442" s="9"/>
      <c r="B442" s="9"/>
      <c r="C442" s="15"/>
      <c r="D442" s="15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</row>
    <row r="443" spans="1:17" ht="19.5" customHeight="1" x14ac:dyDescent="0.25">
      <c r="A443" s="9"/>
      <c r="B443" s="9"/>
      <c r="C443" s="15"/>
      <c r="D443" s="15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</row>
    <row r="444" spans="1:17" ht="19.5" customHeight="1" x14ac:dyDescent="0.25">
      <c r="A444" s="9"/>
      <c r="B444" s="9"/>
      <c r="C444" s="15"/>
      <c r="D444" s="15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</row>
    <row r="445" spans="1:17" ht="19.5" customHeight="1" x14ac:dyDescent="0.25">
      <c r="A445" s="9"/>
      <c r="B445" s="9"/>
      <c r="C445" s="15"/>
      <c r="D445" s="15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</row>
    <row r="446" spans="1:17" ht="19.5" customHeight="1" x14ac:dyDescent="0.25">
      <c r="A446" s="9"/>
      <c r="B446" s="9"/>
      <c r="C446" s="15"/>
      <c r="D446" s="15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</row>
    <row r="447" spans="1:17" ht="19.5" customHeight="1" x14ac:dyDescent="0.25">
      <c r="A447" s="9"/>
      <c r="B447" s="9"/>
      <c r="C447" s="15"/>
      <c r="D447" s="15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</row>
    <row r="448" spans="1:17" ht="19.5" customHeight="1" x14ac:dyDescent="0.25">
      <c r="A448" s="9"/>
      <c r="B448" s="9"/>
      <c r="C448" s="15"/>
      <c r="D448" s="15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</row>
    <row r="449" spans="1:17" ht="19.5" customHeight="1" x14ac:dyDescent="0.25">
      <c r="A449" s="9"/>
      <c r="B449" s="9"/>
      <c r="C449" s="15"/>
      <c r="D449" s="15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</row>
    <row r="450" spans="1:17" ht="19.5" customHeight="1" x14ac:dyDescent="0.25">
      <c r="A450" s="9"/>
      <c r="B450" s="9"/>
      <c r="C450" s="15"/>
      <c r="D450" s="15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</row>
    <row r="451" spans="1:17" ht="19.5" customHeight="1" x14ac:dyDescent="0.25">
      <c r="A451" s="9"/>
      <c r="B451" s="9"/>
      <c r="C451" s="15"/>
      <c r="D451" s="15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</row>
    <row r="452" spans="1:17" ht="19.5" customHeight="1" x14ac:dyDescent="0.25">
      <c r="A452" s="9"/>
      <c r="B452" s="9"/>
      <c r="C452" s="15"/>
      <c r="D452" s="15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</row>
    <row r="453" spans="1:17" ht="19.5" customHeight="1" x14ac:dyDescent="0.25">
      <c r="A453" s="9"/>
      <c r="B453" s="9"/>
      <c r="C453" s="15"/>
      <c r="D453" s="15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</row>
    <row r="454" spans="1:17" ht="19.5" customHeight="1" x14ac:dyDescent="0.25">
      <c r="A454" s="9"/>
      <c r="B454" s="9"/>
      <c r="C454" s="15"/>
      <c r="D454" s="15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</row>
    <row r="455" spans="1:17" ht="19.5" customHeight="1" x14ac:dyDescent="0.25">
      <c r="A455" s="9"/>
      <c r="B455" s="9"/>
      <c r="C455" s="15"/>
      <c r="D455" s="15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</row>
    <row r="456" spans="1:17" ht="19.5" customHeight="1" x14ac:dyDescent="0.25">
      <c r="A456" s="9"/>
      <c r="B456" s="9"/>
      <c r="C456" s="15"/>
      <c r="D456" s="15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</row>
    <row r="457" spans="1:17" ht="19.5" customHeight="1" x14ac:dyDescent="0.25">
      <c r="A457" s="9"/>
      <c r="B457" s="9"/>
      <c r="C457" s="15"/>
      <c r="D457" s="15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</row>
    <row r="458" spans="1:17" ht="19.5" customHeight="1" x14ac:dyDescent="0.25">
      <c r="A458" s="9"/>
      <c r="B458" s="9"/>
      <c r="C458" s="15"/>
      <c r="D458" s="15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</row>
    <row r="459" spans="1:17" ht="19.5" customHeight="1" x14ac:dyDescent="0.25">
      <c r="A459" s="9"/>
      <c r="B459" s="9"/>
      <c r="C459" s="15"/>
      <c r="D459" s="15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</row>
    <row r="460" spans="1:17" ht="19.5" customHeight="1" x14ac:dyDescent="0.25">
      <c r="A460" s="9"/>
      <c r="B460" s="9"/>
      <c r="C460" s="15"/>
      <c r="D460" s="15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</row>
    <row r="461" spans="1:17" ht="19.5" customHeight="1" x14ac:dyDescent="0.25">
      <c r="A461" s="9"/>
      <c r="B461" s="9"/>
      <c r="C461" s="15"/>
      <c r="D461" s="15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</row>
    <row r="462" spans="1:17" ht="19.5" customHeight="1" x14ac:dyDescent="0.25">
      <c r="A462" s="9"/>
      <c r="B462" s="9"/>
      <c r="C462" s="15"/>
      <c r="D462" s="15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</row>
    <row r="463" spans="1:17" ht="19.5" customHeight="1" x14ac:dyDescent="0.25">
      <c r="A463" s="9"/>
      <c r="B463" s="9"/>
      <c r="C463" s="15"/>
      <c r="D463" s="15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</row>
    <row r="464" spans="1:17" ht="19.5" customHeight="1" x14ac:dyDescent="0.25">
      <c r="A464" s="9"/>
      <c r="B464" s="9"/>
      <c r="C464" s="15"/>
      <c r="D464" s="15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</row>
    <row r="465" spans="1:17" ht="19.5" customHeight="1" x14ac:dyDescent="0.25">
      <c r="A465" s="9"/>
      <c r="B465" s="9"/>
      <c r="C465" s="15"/>
      <c r="D465" s="15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</row>
    <row r="466" spans="1:17" ht="19.5" customHeight="1" x14ac:dyDescent="0.25">
      <c r="A466" s="9"/>
      <c r="B466" s="9"/>
      <c r="C466" s="15"/>
      <c r="D466" s="15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</row>
    <row r="467" spans="1:17" ht="19.5" customHeight="1" x14ac:dyDescent="0.25">
      <c r="A467" s="9"/>
      <c r="B467" s="9"/>
      <c r="C467" s="15"/>
      <c r="D467" s="15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</row>
    <row r="468" spans="1:17" ht="19.5" customHeight="1" x14ac:dyDescent="0.25">
      <c r="A468" s="9"/>
      <c r="B468" s="9"/>
      <c r="C468" s="15"/>
      <c r="D468" s="15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</row>
    <row r="469" spans="1:17" ht="19.5" customHeight="1" x14ac:dyDescent="0.25">
      <c r="A469" s="9"/>
      <c r="B469" s="9"/>
      <c r="C469" s="15"/>
      <c r="D469" s="15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</row>
    <row r="470" spans="1:17" ht="19.5" customHeight="1" x14ac:dyDescent="0.25">
      <c r="A470" s="9"/>
      <c r="B470" s="9"/>
      <c r="C470" s="15"/>
      <c r="D470" s="15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</row>
    <row r="471" spans="1:17" ht="19.5" customHeight="1" x14ac:dyDescent="0.25">
      <c r="A471" s="9"/>
      <c r="B471" s="9"/>
      <c r="C471" s="15"/>
      <c r="D471" s="15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</row>
    <row r="472" spans="1:17" ht="19.5" customHeight="1" x14ac:dyDescent="0.25">
      <c r="A472" s="9"/>
      <c r="B472" s="9"/>
      <c r="C472" s="15"/>
      <c r="D472" s="15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</row>
    <row r="473" spans="1:17" ht="19.5" customHeight="1" x14ac:dyDescent="0.25">
      <c r="A473" s="9"/>
      <c r="B473" s="9"/>
      <c r="C473" s="15"/>
      <c r="D473" s="15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</row>
    <row r="474" spans="1:17" ht="19.5" customHeight="1" x14ac:dyDescent="0.25">
      <c r="A474" s="9"/>
      <c r="B474" s="9"/>
      <c r="C474" s="15"/>
      <c r="D474" s="15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</row>
    <row r="475" spans="1:17" ht="19.5" customHeight="1" x14ac:dyDescent="0.25">
      <c r="A475" s="9"/>
      <c r="B475" s="9"/>
      <c r="C475" s="15"/>
      <c r="D475" s="15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</row>
    <row r="476" spans="1:17" ht="19.5" customHeight="1" x14ac:dyDescent="0.25">
      <c r="A476" s="9"/>
      <c r="B476" s="9"/>
      <c r="C476" s="15"/>
      <c r="D476" s="15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</row>
    <row r="477" spans="1:17" ht="19.5" customHeight="1" x14ac:dyDescent="0.25">
      <c r="A477" s="9"/>
      <c r="B477" s="9"/>
      <c r="C477" s="15"/>
      <c r="D477" s="15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</row>
    <row r="478" spans="1:17" ht="19.5" customHeight="1" x14ac:dyDescent="0.25">
      <c r="A478" s="9"/>
      <c r="B478" s="9"/>
      <c r="C478" s="15"/>
      <c r="D478" s="15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</row>
    <row r="479" spans="1:17" ht="19.5" customHeight="1" x14ac:dyDescent="0.25">
      <c r="A479" s="9"/>
      <c r="B479" s="9"/>
      <c r="C479" s="15"/>
      <c r="D479" s="15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</row>
    <row r="480" spans="1:17" ht="19.5" customHeight="1" x14ac:dyDescent="0.25">
      <c r="A480" s="9"/>
      <c r="B480" s="9"/>
      <c r="C480" s="15"/>
      <c r="D480" s="15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</row>
    <row r="481" spans="1:17" ht="19.5" customHeight="1" x14ac:dyDescent="0.25">
      <c r="A481" s="9"/>
      <c r="B481" s="9"/>
      <c r="C481" s="15"/>
      <c r="D481" s="15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</row>
    <row r="482" spans="1:17" ht="19.5" customHeight="1" x14ac:dyDescent="0.25">
      <c r="A482" s="9"/>
      <c r="B482" s="9"/>
      <c r="C482" s="15"/>
      <c r="D482" s="15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</row>
    <row r="483" spans="1:17" ht="19.5" customHeight="1" x14ac:dyDescent="0.25">
      <c r="A483" s="9"/>
      <c r="B483" s="9"/>
      <c r="C483" s="15"/>
      <c r="D483" s="15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</row>
    <row r="484" spans="1:17" ht="19.5" customHeight="1" x14ac:dyDescent="0.25">
      <c r="A484" s="9"/>
      <c r="B484" s="9"/>
      <c r="C484" s="15"/>
      <c r="D484" s="15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</row>
    <row r="485" spans="1:17" ht="19.5" customHeight="1" x14ac:dyDescent="0.25">
      <c r="A485" s="9"/>
      <c r="B485" s="9"/>
      <c r="C485" s="15"/>
      <c r="D485" s="15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</row>
    <row r="486" spans="1:17" ht="19.5" customHeight="1" x14ac:dyDescent="0.25">
      <c r="A486" s="9"/>
      <c r="B486" s="9"/>
      <c r="C486" s="15"/>
      <c r="D486" s="15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</row>
    <row r="487" spans="1:17" ht="19.5" customHeight="1" x14ac:dyDescent="0.25">
      <c r="A487" s="9"/>
      <c r="B487" s="9"/>
      <c r="C487" s="15"/>
      <c r="D487" s="15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</row>
    <row r="488" spans="1:17" ht="19.5" customHeight="1" x14ac:dyDescent="0.25">
      <c r="A488" s="9"/>
      <c r="B488" s="9"/>
      <c r="C488" s="15"/>
      <c r="D488" s="15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</row>
    <row r="489" spans="1:17" ht="19.5" customHeight="1" x14ac:dyDescent="0.25">
      <c r="A489" s="9"/>
      <c r="B489" s="9"/>
      <c r="C489" s="15"/>
      <c r="D489" s="15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</row>
    <row r="490" spans="1:17" ht="19.5" customHeight="1" x14ac:dyDescent="0.25">
      <c r="A490" s="9"/>
      <c r="B490" s="9"/>
      <c r="C490" s="15"/>
      <c r="D490" s="15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</row>
    <row r="491" spans="1:17" ht="19.5" customHeight="1" x14ac:dyDescent="0.25">
      <c r="A491" s="9"/>
      <c r="B491" s="9"/>
      <c r="C491" s="15"/>
      <c r="D491" s="15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</row>
    <row r="492" spans="1:17" ht="19.5" customHeight="1" x14ac:dyDescent="0.25">
      <c r="A492" s="9"/>
      <c r="B492" s="9"/>
      <c r="C492" s="15"/>
      <c r="D492" s="15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</row>
    <row r="493" spans="1:17" ht="19.5" customHeight="1" x14ac:dyDescent="0.25">
      <c r="A493" s="9"/>
      <c r="B493" s="9"/>
      <c r="C493" s="15"/>
      <c r="D493" s="15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</row>
    <row r="494" spans="1:17" ht="19.5" customHeight="1" x14ac:dyDescent="0.25">
      <c r="A494" s="9"/>
      <c r="B494" s="9"/>
      <c r="C494" s="15"/>
      <c r="D494" s="15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</row>
    <row r="495" spans="1:17" ht="19.5" customHeight="1" x14ac:dyDescent="0.25">
      <c r="A495" s="9"/>
      <c r="B495" s="9"/>
      <c r="C495" s="15"/>
      <c r="D495" s="15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</row>
    <row r="496" spans="1:17" ht="19.5" customHeight="1" x14ac:dyDescent="0.25">
      <c r="A496" s="9"/>
      <c r="B496" s="9"/>
      <c r="C496" s="15"/>
      <c r="D496" s="15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</row>
    <row r="497" spans="1:17" ht="19.5" customHeight="1" x14ac:dyDescent="0.25">
      <c r="A497" s="9"/>
      <c r="B497" s="9"/>
      <c r="C497" s="15"/>
      <c r="D497" s="15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</row>
    <row r="498" spans="1:17" ht="19.5" customHeight="1" x14ac:dyDescent="0.25">
      <c r="A498" s="9"/>
      <c r="B498" s="9"/>
      <c r="C498" s="15"/>
      <c r="D498" s="15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</row>
    <row r="499" spans="1:17" ht="19.5" customHeight="1" x14ac:dyDescent="0.25">
      <c r="A499" s="9"/>
      <c r="B499" s="9"/>
      <c r="C499" s="15"/>
      <c r="D499" s="15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</row>
    <row r="500" spans="1:17" ht="19.5" customHeight="1" x14ac:dyDescent="0.25">
      <c r="A500" s="9"/>
      <c r="B500" s="9"/>
      <c r="C500" s="15"/>
      <c r="D500" s="15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</row>
    <row r="501" spans="1:17" ht="19.5" customHeight="1" x14ac:dyDescent="0.25">
      <c r="A501" s="9"/>
      <c r="B501" s="9"/>
      <c r="C501" s="15"/>
      <c r="D501" s="15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</row>
    <row r="502" spans="1:17" ht="19.5" customHeight="1" x14ac:dyDescent="0.25">
      <c r="A502" s="9"/>
      <c r="B502" s="9"/>
      <c r="C502" s="15"/>
      <c r="D502" s="15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</row>
    <row r="503" spans="1:17" ht="19.5" customHeight="1" x14ac:dyDescent="0.25">
      <c r="A503" s="9"/>
      <c r="B503" s="9"/>
      <c r="C503" s="15"/>
      <c r="D503" s="15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</row>
    <row r="504" spans="1:17" ht="19.5" customHeight="1" x14ac:dyDescent="0.25">
      <c r="A504" s="9"/>
      <c r="B504" s="9"/>
      <c r="C504" s="15"/>
      <c r="D504" s="15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</row>
    <row r="505" spans="1:17" ht="19.5" customHeight="1" x14ac:dyDescent="0.25">
      <c r="A505" s="9"/>
      <c r="B505" s="9"/>
      <c r="C505" s="15"/>
      <c r="D505" s="15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</row>
    <row r="506" spans="1:17" ht="19.5" customHeight="1" x14ac:dyDescent="0.25">
      <c r="A506" s="9"/>
      <c r="B506" s="9"/>
      <c r="C506" s="15"/>
      <c r="D506" s="15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</row>
    <row r="507" spans="1:17" ht="19.5" customHeight="1" x14ac:dyDescent="0.25">
      <c r="A507" s="9"/>
      <c r="B507" s="9"/>
      <c r="C507" s="15"/>
      <c r="D507" s="15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</row>
    <row r="508" spans="1:17" ht="19.5" customHeight="1" x14ac:dyDescent="0.25">
      <c r="A508" s="9"/>
      <c r="B508" s="9"/>
      <c r="C508" s="15"/>
      <c r="D508" s="15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</row>
    <row r="509" spans="1:17" ht="19.5" customHeight="1" x14ac:dyDescent="0.25">
      <c r="A509" s="9"/>
      <c r="B509" s="9"/>
      <c r="C509" s="15"/>
      <c r="D509" s="15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</row>
    <row r="510" spans="1:17" ht="19.5" customHeight="1" x14ac:dyDescent="0.25">
      <c r="A510" s="9"/>
      <c r="B510" s="9"/>
      <c r="C510" s="15"/>
      <c r="D510" s="15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</row>
    <row r="511" spans="1:17" ht="19.5" customHeight="1" x14ac:dyDescent="0.25">
      <c r="A511" s="9"/>
      <c r="B511" s="9"/>
      <c r="C511" s="15"/>
      <c r="D511" s="15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</row>
    <row r="512" spans="1:17" ht="19.5" customHeight="1" x14ac:dyDescent="0.25">
      <c r="A512" s="9"/>
      <c r="B512" s="9"/>
      <c r="C512" s="15"/>
      <c r="D512" s="15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</row>
    <row r="513" spans="1:17" ht="19.5" customHeight="1" x14ac:dyDescent="0.25">
      <c r="A513" s="9"/>
      <c r="B513" s="9"/>
      <c r="C513" s="15"/>
      <c r="D513" s="15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</row>
    <row r="514" spans="1:17" ht="19.5" customHeight="1" x14ac:dyDescent="0.25">
      <c r="A514" s="9"/>
      <c r="B514" s="9"/>
      <c r="C514" s="15"/>
      <c r="D514" s="15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</row>
    <row r="515" spans="1:17" ht="19.5" customHeight="1" x14ac:dyDescent="0.25">
      <c r="A515" s="9"/>
      <c r="B515" s="9"/>
      <c r="C515" s="15"/>
      <c r="D515" s="15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</row>
    <row r="516" spans="1:17" ht="19.5" customHeight="1" x14ac:dyDescent="0.25">
      <c r="A516" s="9"/>
      <c r="B516" s="9"/>
      <c r="C516" s="15"/>
      <c r="D516" s="15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</row>
    <row r="517" spans="1:17" ht="19.5" customHeight="1" x14ac:dyDescent="0.25">
      <c r="A517" s="9"/>
      <c r="B517" s="9"/>
      <c r="C517" s="15"/>
      <c r="D517" s="15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</row>
    <row r="518" spans="1:17" ht="19.5" customHeight="1" x14ac:dyDescent="0.25">
      <c r="A518" s="9"/>
      <c r="B518" s="9"/>
      <c r="C518" s="15"/>
      <c r="D518" s="15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</row>
    <row r="519" spans="1:17" ht="19.5" customHeight="1" x14ac:dyDescent="0.25">
      <c r="A519" s="9"/>
      <c r="B519" s="9"/>
      <c r="C519" s="15"/>
      <c r="D519" s="15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</row>
    <row r="520" spans="1:17" ht="19.5" customHeight="1" x14ac:dyDescent="0.25">
      <c r="A520" s="9"/>
      <c r="B520" s="9"/>
      <c r="C520" s="15"/>
      <c r="D520" s="15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</row>
    <row r="521" spans="1:17" ht="19.5" customHeight="1" x14ac:dyDescent="0.25">
      <c r="A521" s="9"/>
      <c r="B521" s="9"/>
      <c r="C521" s="15"/>
      <c r="D521" s="15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</row>
    <row r="522" spans="1:17" ht="19.5" customHeight="1" x14ac:dyDescent="0.25">
      <c r="A522" s="9"/>
      <c r="B522" s="9"/>
      <c r="C522" s="15"/>
      <c r="D522" s="15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</row>
    <row r="523" spans="1:17" ht="19.5" customHeight="1" x14ac:dyDescent="0.25">
      <c r="A523" s="9"/>
      <c r="B523" s="9"/>
      <c r="C523" s="15"/>
      <c r="D523" s="15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</row>
    <row r="524" spans="1:17" ht="19.5" customHeight="1" x14ac:dyDescent="0.25">
      <c r="A524" s="9"/>
      <c r="B524" s="9"/>
      <c r="C524" s="15"/>
      <c r="D524" s="15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</row>
    <row r="525" spans="1:17" ht="19.5" customHeight="1" x14ac:dyDescent="0.25">
      <c r="A525" s="9"/>
      <c r="B525" s="9"/>
      <c r="C525" s="15"/>
      <c r="D525" s="15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</row>
    <row r="526" spans="1:17" ht="19.5" customHeight="1" x14ac:dyDescent="0.25">
      <c r="A526" s="9"/>
      <c r="B526" s="9"/>
      <c r="C526" s="15"/>
      <c r="D526" s="15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</row>
    <row r="527" spans="1:17" ht="19.5" customHeight="1" x14ac:dyDescent="0.25">
      <c r="A527" s="9"/>
      <c r="B527" s="9"/>
      <c r="C527" s="15"/>
      <c r="D527" s="15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</row>
    <row r="528" spans="1:17" ht="19.5" customHeight="1" x14ac:dyDescent="0.25">
      <c r="A528" s="9"/>
      <c r="B528" s="9"/>
      <c r="C528" s="15"/>
      <c r="D528" s="15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</row>
    <row r="529" spans="1:17" ht="19.5" customHeight="1" x14ac:dyDescent="0.25">
      <c r="A529" s="9"/>
      <c r="B529" s="9"/>
      <c r="C529" s="15"/>
      <c r="D529" s="15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</row>
    <row r="530" spans="1:17" ht="19.5" customHeight="1" x14ac:dyDescent="0.25">
      <c r="A530" s="9"/>
      <c r="B530" s="9"/>
      <c r="C530" s="15"/>
      <c r="D530" s="15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</row>
    <row r="531" spans="1:17" ht="19.5" customHeight="1" x14ac:dyDescent="0.25">
      <c r="A531" s="9"/>
      <c r="B531" s="9"/>
      <c r="C531" s="15"/>
      <c r="D531" s="15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</row>
    <row r="532" spans="1:17" ht="19.5" customHeight="1" x14ac:dyDescent="0.25">
      <c r="A532" s="9"/>
      <c r="B532" s="9"/>
      <c r="C532" s="15"/>
      <c r="D532" s="15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</row>
    <row r="533" spans="1:17" ht="19.5" customHeight="1" x14ac:dyDescent="0.25">
      <c r="A533" s="9"/>
      <c r="B533" s="9"/>
      <c r="C533" s="15"/>
      <c r="D533" s="15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</row>
    <row r="534" spans="1:17" ht="19.5" customHeight="1" x14ac:dyDescent="0.25">
      <c r="A534" s="9"/>
      <c r="B534" s="9"/>
      <c r="C534" s="15"/>
      <c r="D534" s="15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</row>
    <row r="535" spans="1:17" ht="19.5" customHeight="1" x14ac:dyDescent="0.25">
      <c r="A535" s="9"/>
      <c r="B535" s="9"/>
      <c r="C535" s="15"/>
      <c r="D535" s="15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</row>
    <row r="536" spans="1:17" ht="19.5" customHeight="1" x14ac:dyDescent="0.25">
      <c r="A536" s="9"/>
      <c r="B536" s="9"/>
      <c r="C536" s="15"/>
      <c r="D536" s="15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</row>
    <row r="537" spans="1:17" ht="19.5" customHeight="1" x14ac:dyDescent="0.25">
      <c r="A537" s="9"/>
      <c r="B537" s="9"/>
      <c r="C537" s="15"/>
      <c r="D537" s="15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</row>
    <row r="538" spans="1:17" ht="19.5" customHeight="1" x14ac:dyDescent="0.25">
      <c r="A538" s="9"/>
      <c r="B538" s="9"/>
      <c r="C538" s="15"/>
      <c r="D538" s="15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</row>
    <row r="539" spans="1:17" ht="19.5" customHeight="1" x14ac:dyDescent="0.25">
      <c r="A539" s="9"/>
      <c r="B539" s="9"/>
      <c r="C539" s="15"/>
      <c r="D539" s="15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</row>
    <row r="540" spans="1:17" ht="19.5" customHeight="1" x14ac:dyDescent="0.25">
      <c r="A540" s="9"/>
      <c r="B540" s="9"/>
      <c r="C540" s="15"/>
      <c r="D540" s="15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</row>
    <row r="541" spans="1:17" ht="19.5" customHeight="1" x14ac:dyDescent="0.25">
      <c r="A541" s="9"/>
      <c r="B541" s="9"/>
      <c r="C541" s="15"/>
      <c r="D541" s="15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</row>
    <row r="542" spans="1:17" ht="19.5" customHeight="1" x14ac:dyDescent="0.25">
      <c r="A542" s="9"/>
      <c r="B542" s="9"/>
      <c r="C542" s="15"/>
      <c r="D542" s="15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</row>
    <row r="543" spans="1:17" ht="19.5" customHeight="1" x14ac:dyDescent="0.25">
      <c r="A543" s="9"/>
      <c r="B543" s="9"/>
      <c r="C543" s="15"/>
      <c r="D543" s="15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</row>
    <row r="544" spans="1:17" ht="19.5" customHeight="1" x14ac:dyDescent="0.25">
      <c r="A544" s="9"/>
      <c r="B544" s="9"/>
      <c r="C544" s="15"/>
      <c r="D544" s="15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</row>
    <row r="545" spans="1:17" ht="19.5" customHeight="1" x14ac:dyDescent="0.25">
      <c r="A545" s="9"/>
      <c r="B545" s="9"/>
      <c r="C545" s="15"/>
      <c r="D545" s="15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</row>
    <row r="546" spans="1:17" ht="19.5" customHeight="1" x14ac:dyDescent="0.25">
      <c r="A546" s="9"/>
      <c r="B546" s="9"/>
      <c r="C546" s="15"/>
      <c r="D546" s="15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</row>
    <row r="547" spans="1:17" ht="19.5" customHeight="1" x14ac:dyDescent="0.25">
      <c r="A547" s="9"/>
      <c r="B547" s="9"/>
      <c r="C547" s="15"/>
      <c r="D547" s="15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</row>
    <row r="548" spans="1:17" ht="19.5" customHeight="1" x14ac:dyDescent="0.25">
      <c r="A548" s="9"/>
      <c r="B548" s="9"/>
      <c r="C548" s="15"/>
      <c r="D548" s="15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</row>
    <row r="549" spans="1:17" ht="19.5" customHeight="1" x14ac:dyDescent="0.25">
      <c r="A549" s="9"/>
      <c r="B549" s="9"/>
      <c r="C549" s="15"/>
      <c r="D549" s="15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</row>
    <row r="550" spans="1:17" ht="19.5" customHeight="1" x14ac:dyDescent="0.25">
      <c r="A550" s="9"/>
      <c r="B550" s="9"/>
      <c r="C550" s="15"/>
      <c r="D550" s="15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</row>
    <row r="551" spans="1:17" ht="19.5" customHeight="1" x14ac:dyDescent="0.25">
      <c r="A551" s="9"/>
      <c r="B551" s="9"/>
      <c r="C551" s="15"/>
      <c r="D551" s="15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</row>
    <row r="552" spans="1:17" ht="19.5" customHeight="1" x14ac:dyDescent="0.25">
      <c r="A552" s="9"/>
      <c r="B552" s="9"/>
      <c r="C552" s="15"/>
      <c r="D552" s="15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</row>
    <row r="553" spans="1:17" ht="19.5" customHeight="1" x14ac:dyDescent="0.25">
      <c r="A553" s="9"/>
      <c r="B553" s="9"/>
      <c r="C553" s="15"/>
      <c r="D553" s="15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</row>
    <row r="554" spans="1:17" ht="19.5" customHeight="1" x14ac:dyDescent="0.25">
      <c r="A554" s="9"/>
      <c r="B554" s="9"/>
      <c r="C554" s="15"/>
      <c r="D554" s="15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</row>
    <row r="555" spans="1:17" ht="19.5" customHeight="1" x14ac:dyDescent="0.25">
      <c r="A555" s="9"/>
      <c r="B555" s="9"/>
      <c r="C555" s="15"/>
      <c r="D555" s="15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</row>
    <row r="556" spans="1:17" ht="19.5" customHeight="1" x14ac:dyDescent="0.25">
      <c r="A556" s="9"/>
      <c r="B556" s="9"/>
      <c r="C556" s="15"/>
      <c r="D556" s="15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</row>
    <row r="557" spans="1:17" ht="19.5" customHeight="1" x14ac:dyDescent="0.25">
      <c r="A557" s="9"/>
      <c r="B557" s="9"/>
      <c r="C557" s="15"/>
      <c r="D557" s="15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</row>
    <row r="558" spans="1:17" ht="19.5" customHeight="1" x14ac:dyDescent="0.25">
      <c r="A558" s="9"/>
      <c r="B558" s="9"/>
      <c r="C558" s="15"/>
      <c r="D558" s="15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</row>
    <row r="559" spans="1:17" ht="19.5" customHeight="1" x14ac:dyDescent="0.25">
      <c r="A559" s="9"/>
      <c r="B559" s="9"/>
      <c r="C559" s="15"/>
      <c r="D559" s="15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</row>
    <row r="560" spans="1:17" ht="19.5" customHeight="1" x14ac:dyDescent="0.25">
      <c r="A560" s="9"/>
      <c r="B560" s="9"/>
      <c r="C560" s="15"/>
      <c r="D560" s="15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</row>
    <row r="561" spans="1:17" ht="19.5" customHeight="1" x14ac:dyDescent="0.25">
      <c r="A561" s="9"/>
      <c r="B561" s="9"/>
      <c r="C561" s="15"/>
      <c r="D561" s="15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</row>
    <row r="562" spans="1:17" ht="19.5" customHeight="1" x14ac:dyDescent="0.25">
      <c r="A562" s="9"/>
      <c r="B562" s="9"/>
      <c r="C562" s="15"/>
      <c r="D562" s="15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</row>
    <row r="563" spans="1:17" ht="19.5" customHeight="1" x14ac:dyDescent="0.25">
      <c r="A563" s="9"/>
      <c r="B563" s="9"/>
      <c r="C563" s="15"/>
      <c r="D563" s="15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</row>
    <row r="564" spans="1:17" ht="19.5" customHeight="1" x14ac:dyDescent="0.25">
      <c r="A564" s="9"/>
      <c r="B564" s="9"/>
      <c r="C564" s="15"/>
      <c r="D564" s="15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</row>
    <row r="565" spans="1:17" ht="19.5" customHeight="1" x14ac:dyDescent="0.25">
      <c r="A565" s="9"/>
      <c r="B565" s="9"/>
      <c r="C565" s="15"/>
      <c r="D565" s="15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</row>
    <row r="566" spans="1:17" ht="19.5" customHeight="1" x14ac:dyDescent="0.25">
      <c r="A566" s="9"/>
      <c r="B566" s="9"/>
      <c r="C566" s="15"/>
      <c r="D566" s="15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</row>
    <row r="567" spans="1:17" ht="19.5" customHeight="1" x14ac:dyDescent="0.25">
      <c r="A567" s="9"/>
      <c r="B567" s="9"/>
      <c r="C567" s="15"/>
      <c r="D567" s="15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</row>
    <row r="568" spans="1:17" ht="19.5" customHeight="1" x14ac:dyDescent="0.25">
      <c r="A568" s="9"/>
      <c r="B568" s="9"/>
      <c r="C568" s="15"/>
      <c r="D568" s="15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</row>
    <row r="569" spans="1:17" ht="19.5" customHeight="1" x14ac:dyDescent="0.25">
      <c r="A569" s="9"/>
      <c r="B569" s="9"/>
      <c r="C569" s="15"/>
      <c r="D569" s="15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</row>
    <row r="570" spans="1:17" ht="19.5" customHeight="1" x14ac:dyDescent="0.25">
      <c r="A570" s="9"/>
      <c r="B570" s="9"/>
      <c r="C570" s="15"/>
      <c r="D570" s="15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</row>
    <row r="571" spans="1:17" ht="19.5" customHeight="1" x14ac:dyDescent="0.25">
      <c r="A571" s="9"/>
      <c r="B571" s="9"/>
      <c r="C571" s="15"/>
      <c r="D571" s="15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</row>
    <row r="572" spans="1:17" ht="19.5" customHeight="1" x14ac:dyDescent="0.25">
      <c r="A572" s="9"/>
      <c r="B572" s="9"/>
      <c r="C572" s="15"/>
      <c r="D572" s="15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</row>
    <row r="573" spans="1:17" ht="19.5" customHeight="1" x14ac:dyDescent="0.25">
      <c r="A573" s="9"/>
      <c r="B573" s="9"/>
      <c r="C573" s="15"/>
      <c r="D573" s="15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</row>
    <row r="574" spans="1:17" ht="19.5" customHeight="1" x14ac:dyDescent="0.25">
      <c r="A574" s="9"/>
      <c r="B574" s="9"/>
      <c r="C574" s="15"/>
      <c r="D574" s="15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</row>
    <row r="575" spans="1:17" ht="19.5" customHeight="1" x14ac:dyDescent="0.25">
      <c r="A575" s="9"/>
      <c r="B575" s="9"/>
      <c r="C575" s="15"/>
      <c r="D575" s="15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</row>
    <row r="576" spans="1:17" ht="19.5" customHeight="1" x14ac:dyDescent="0.25">
      <c r="A576" s="9"/>
      <c r="B576" s="9"/>
      <c r="C576" s="15"/>
      <c r="D576" s="15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</row>
    <row r="577" spans="1:17" ht="19.5" customHeight="1" x14ac:dyDescent="0.25">
      <c r="A577" s="9"/>
      <c r="B577" s="9"/>
      <c r="C577" s="15"/>
      <c r="D577" s="15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</row>
    <row r="578" spans="1:17" ht="19.5" customHeight="1" x14ac:dyDescent="0.25">
      <c r="A578" s="9"/>
      <c r="B578" s="9"/>
      <c r="C578" s="15"/>
      <c r="D578" s="15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</row>
    <row r="579" spans="1:17" ht="19.5" customHeight="1" x14ac:dyDescent="0.25">
      <c r="A579" s="9"/>
      <c r="B579" s="9"/>
      <c r="C579" s="15"/>
      <c r="D579" s="15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</row>
    <row r="580" spans="1:17" ht="19.5" customHeight="1" x14ac:dyDescent="0.25">
      <c r="A580" s="9"/>
      <c r="B580" s="9"/>
      <c r="C580" s="15"/>
      <c r="D580" s="15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</row>
    <row r="581" spans="1:17" ht="19.5" customHeight="1" x14ac:dyDescent="0.25">
      <c r="A581" s="9"/>
      <c r="B581" s="9"/>
      <c r="C581" s="15"/>
      <c r="D581" s="15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</row>
    <row r="582" spans="1:17" ht="19.5" customHeight="1" x14ac:dyDescent="0.25">
      <c r="A582" s="9"/>
      <c r="B582" s="9"/>
      <c r="C582" s="15"/>
      <c r="D582" s="15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</row>
    <row r="583" spans="1:17" ht="19.5" customHeight="1" x14ac:dyDescent="0.25">
      <c r="A583" s="9"/>
      <c r="B583" s="9"/>
      <c r="C583" s="15"/>
      <c r="D583" s="15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</row>
    <row r="584" spans="1:17" ht="19.5" customHeight="1" x14ac:dyDescent="0.25">
      <c r="A584" s="9"/>
      <c r="B584" s="9"/>
      <c r="C584" s="15"/>
      <c r="D584" s="15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</row>
    <row r="585" spans="1:17" ht="19.5" customHeight="1" x14ac:dyDescent="0.25">
      <c r="A585" s="9"/>
      <c r="B585" s="9"/>
      <c r="C585" s="15"/>
      <c r="D585" s="15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</row>
    <row r="586" spans="1:17" ht="19.5" customHeight="1" x14ac:dyDescent="0.25">
      <c r="A586" s="9"/>
      <c r="B586" s="9"/>
      <c r="C586" s="15"/>
      <c r="D586" s="15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</row>
    <row r="587" spans="1:17" ht="19.5" customHeight="1" x14ac:dyDescent="0.25">
      <c r="A587" s="9"/>
      <c r="B587" s="9"/>
      <c r="C587" s="15"/>
      <c r="D587" s="15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</row>
    <row r="588" spans="1:17" ht="19.5" customHeight="1" x14ac:dyDescent="0.25">
      <c r="A588" s="9"/>
      <c r="B588" s="9"/>
      <c r="C588" s="15"/>
      <c r="D588" s="15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</row>
    <row r="589" spans="1:17" ht="19.5" customHeight="1" x14ac:dyDescent="0.25">
      <c r="A589" s="9"/>
      <c r="B589" s="9"/>
      <c r="C589" s="15"/>
      <c r="D589" s="15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</row>
    <row r="590" spans="1:17" ht="19.5" customHeight="1" x14ac:dyDescent="0.25">
      <c r="A590" s="9"/>
      <c r="B590" s="9"/>
      <c r="C590" s="15"/>
      <c r="D590" s="15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</row>
    <row r="591" spans="1:17" ht="19.5" customHeight="1" x14ac:dyDescent="0.25">
      <c r="A591" s="9"/>
      <c r="B591" s="9"/>
      <c r="C591" s="15"/>
      <c r="D591" s="15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</row>
    <row r="592" spans="1:17" ht="19.5" customHeight="1" x14ac:dyDescent="0.25">
      <c r="A592" s="9"/>
      <c r="B592" s="9"/>
      <c r="C592" s="15"/>
      <c r="D592" s="15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</row>
    <row r="593" spans="1:17" ht="19.5" customHeight="1" x14ac:dyDescent="0.25">
      <c r="A593" s="9"/>
      <c r="B593" s="9"/>
      <c r="C593" s="15"/>
      <c r="D593" s="15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</row>
    <row r="594" spans="1:17" ht="19.5" customHeight="1" x14ac:dyDescent="0.25">
      <c r="A594" s="9"/>
      <c r="B594" s="9"/>
      <c r="C594" s="15"/>
      <c r="D594" s="15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</row>
    <row r="595" spans="1:17" ht="19.5" customHeight="1" x14ac:dyDescent="0.25">
      <c r="A595" s="9"/>
      <c r="B595" s="9"/>
      <c r="C595" s="15"/>
      <c r="D595" s="15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</row>
    <row r="596" spans="1:17" ht="19.5" customHeight="1" x14ac:dyDescent="0.25">
      <c r="A596" s="9"/>
      <c r="B596" s="9"/>
      <c r="C596" s="15"/>
      <c r="D596" s="15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</row>
    <row r="597" spans="1:17" ht="19.5" customHeight="1" x14ac:dyDescent="0.25">
      <c r="A597" s="9"/>
      <c r="B597" s="9"/>
      <c r="C597" s="15"/>
      <c r="D597" s="15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</row>
    <row r="598" spans="1:17" ht="19.5" customHeight="1" x14ac:dyDescent="0.25">
      <c r="A598" s="9"/>
      <c r="B598" s="9"/>
      <c r="C598" s="15"/>
      <c r="D598" s="15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</row>
    <row r="599" spans="1:17" ht="19.5" customHeight="1" x14ac:dyDescent="0.25">
      <c r="A599" s="9"/>
      <c r="B599" s="9"/>
      <c r="C599" s="15"/>
      <c r="D599" s="15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</row>
    <row r="600" spans="1:17" ht="19.5" customHeight="1" x14ac:dyDescent="0.25">
      <c r="A600" s="9"/>
      <c r="B600" s="9"/>
      <c r="C600" s="15"/>
      <c r="D600" s="15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</row>
    <row r="601" spans="1:17" ht="19.5" customHeight="1" x14ac:dyDescent="0.25">
      <c r="A601" s="9"/>
      <c r="B601" s="9"/>
      <c r="C601" s="15"/>
      <c r="D601" s="15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</row>
    <row r="602" spans="1:17" ht="19.5" customHeight="1" x14ac:dyDescent="0.25">
      <c r="A602" s="9"/>
      <c r="B602" s="9"/>
      <c r="C602" s="15"/>
      <c r="D602" s="15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</row>
    <row r="603" spans="1:17" ht="19.5" customHeight="1" x14ac:dyDescent="0.25">
      <c r="A603" s="9"/>
      <c r="B603" s="9"/>
      <c r="C603" s="15"/>
      <c r="D603" s="15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</row>
    <row r="604" spans="1:17" ht="19.5" customHeight="1" x14ac:dyDescent="0.25">
      <c r="A604" s="9"/>
      <c r="B604" s="9"/>
      <c r="C604" s="15"/>
      <c r="D604" s="15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</row>
    <row r="605" spans="1:17" ht="19.5" customHeight="1" x14ac:dyDescent="0.25">
      <c r="A605" s="9"/>
      <c r="B605" s="9"/>
      <c r="C605" s="15"/>
      <c r="D605" s="15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</row>
    <row r="606" spans="1:17" ht="19.5" customHeight="1" x14ac:dyDescent="0.25">
      <c r="A606" s="9"/>
      <c r="B606" s="9"/>
      <c r="C606" s="15"/>
      <c r="D606" s="15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</row>
    <row r="607" spans="1:17" ht="19.5" customHeight="1" x14ac:dyDescent="0.25">
      <c r="A607" s="9"/>
      <c r="B607" s="9"/>
      <c r="C607" s="15"/>
      <c r="D607" s="15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</row>
    <row r="608" spans="1:17" ht="19.5" customHeight="1" x14ac:dyDescent="0.25">
      <c r="A608" s="9"/>
      <c r="B608" s="9"/>
      <c r="C608" s="15"/>
      <c r="D608" s="15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</row>
    <row r="609" spans="1:17" ht="19.5" customHeight="1" x14ac:dyDescent="0.25">
      <c r="A609" s="9"/>
      <c r="B609" s="9"/>
      <c r="C609" s="15"/>
      <c r="D609" s="15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</row>
    <row r="610" spans="1:17" ht="19.5" customHeight="1" x14ac:dyDescent="0.25">
      <c r="A610" s="9"/>
      <c r="B610" s="9"/>
      <c r="C610" s="15"/>
      <c r="D610" s="15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</row>
    <row r="611" spans="1:17" ht="19.5" customHeight="1" x14ac:dyDescent="0.25">
      <c r="A611" s="9"/>
      <c r="B611" s="9"/>
      <c r="C611" s="15"/>
      <c r="D611" s="15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</row>
    <row r="612" spans="1:17" ht="19.5" customHeight="1" x14ac:dyDescent="0.25">
      <c r="A612" s="9"/>
      <c r="B612" s="9"/>
      <c r="C612" s="15"/>
      <c r="D612" s="15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</row>
    <row r="613" spans="1:17" ht="19.5" customHeight="1" x14ac:dyDescent="0.25">
      <c r="A613" s="9"/>
      <c r="B613" s="9"/>
      <c r="C613" s="15"/>
      <c r="D613" s="15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</row>
    <row r="614" spans="1:17" ht="19.5" customHeight="1" x14ac:dyDescent="0.25">
      <c r="A614" s="9"/>
      <c r="B614" s="9"/>
      <c r="C614" s="15"/>
      <c r="D614" s="15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</row>
    <row r="615" spans="1:17" ht="19.5" customHeight="1" x14ac:dyDescent="0.25">
      <c r="A615" s="9"/>
      <c r="B615" s="9"/>
      <c r="C615" s="15"/>
      <c r="D615" s="15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</row>
    <row r="616" spans="1:17" ht="19.5" customHeight="1" x14ac:dyDescent="0.25">
      <c r="A616" s="9"/>
      <c r="B616" s="9"/>
      <c r="C616" s="15"/>
      <c r="D616" s="15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</row>
    <row r="617" spans="1:17" ht="19.5" customHeight="1" x14ac:dyDescent="0.25">
      <c r="A617" s="9"/>
      <c r="B617" s="9"/>
      <c r="C617" s="15"/>
      <c r="D617" s="15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</row>
    <row r="618" spans="1:17" ht="19.5" customHeight="1" x14ac:dyDescent="0.25">
      <c r="A618" s="9"/>
      <c r="B618" s="9"/>
      <c r="C618" s="15"/>
      <c r="D618" s="15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</row>
    <row r="619" spans="1:17" ht="19.5" customHeight="1" x14ac:dyDescent="0.25">
      <c r="A619" s="9"/>
      <c r="B619" s="9"/>
      <c r="C619" s="15"/>
      <c r="D619" s="15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</row>
    <row r="620" spans="1:17" ht="19.5" customHeight="1" x14ac:dyDescent="0.25">
      <c r="A620" s="9"/>
      <c r="B620" s="9"/>
      <c r="C620" s="15"/>
      <c r="D620" s="15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</row>
    <row r="621" spans="1:17" ht="19.5" customHeight="1" x14ac:dyDescent="0.25">
      <c r="A621" s="9"/>
      <c r="B621" s="9"/>
      <c r="C621" s="15"/>
      <c r="D621" s="15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</row>
    <row r="622" spans="1:17" ht="19.5" customHeight="1" x14ac:dyDescent="0.25">
      <c r="A622" s="9"/>
      <c r="B622" s="9"/>
      <c r="C622" s="15"/>
      <c r="D622" s="15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</row>
    <row r="623" spans="1:17" ht="19.5" customHeight="1" x14ac:dyDescent="0.25">
      <c r="A623" s="9"/>
      <c r="B623" s="9"/>
      <c r="C623" s="15"/>
      <c r="D623" s="15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</row>
    <row r="624" spans="1:17" ht="19.5" customHeight="1" x14ac:dyDescent="0.25">
      <c r="A624" s="9"/>
      <c r="B624" s="9"/>
      <c r="C624" s="15"/>
      <c r="D624" s="15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</row>
    <row r="625" spans="1:17" ht="19.5" customHeight="1" x14ac:dyDescent="0.25">
      <c r="A625" s="9"/>
      <c r="B625" s="9"/>
      <c r="C625" s="15"/>
      <c r="D625" s="15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</row>
    <row r="626" spans="1:17" ht="19.5" customHeight="1" x14ac:dyDescent="0.25">
      <c r="A626" s="9"/>
      <c r="B626" s="9"/>
      <c r="C626" s="15"/>
      <c r="D626" s="15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</row>
    <row r="627" spans="1:17" ht="19.5" customHeight="1" x14ac:dyDescent="0.25">
      <c r="A627" s="9"/>
      <c r="B627" s="9"/>
      <c r="C627" s="15"/>
      <c r="D627" s="15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</row>
    <row r="628" spans="1:17" ht="19.5" customHeight="1" x14ac:dyDescent="0.25">
      <c r="A628" s="9"/>
      <c r="B628" s="9"/>
      <c r="C628" s="15"/>
      <c r="D628" s="15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</row>
    <row r="629" spans="1:17" ht="19.5" customHeight="1" x14ac:dyDescent="0.25">
      <c r="A629" s="9"/>
      <c r="B629" s="9"/>
      <c r="C629" s="15"/>
      <c r="D629" s="15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</row>
    <row r="630" spans="1:17" ht="19.5" customHeight="1" x14ac:dyDescent="0.25">
      <c r="A630" s="9"/>
      <c r="B630" s="9"/>
      <c r="C630" s="15"/>
      <c r="D630" s="15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</row>
    <row r="631" spans="1:17" ht="19.5" customHeight="1" x14ac:dyDescent="0.25">
      <c r="A631" s="9"/>
      <c r="B631" s="9"/>
      <c r="C631" s="15"/>
      <c r="D631" s="15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</row>
    <row r="632" spans="1:17" ht="19.5" customHeight="1" x14ac:dyDescent="0.25">
      <c r="A632" s="9"/>
      <c r="B632" s="9"/>
      <c r="C632" s="15"/>
      <c r="D632" s="15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</row>
    <row r="633" spans="1:17" ht="19.5" customHeight="1" x14ac:dyDescent="0.25">
      <c r="A633" s="9"/>
      <c r="B633" s="9"/>
      <c r="C633" s="15"/>
      <c r="D633" s="15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</row>
    <row r="634" spans="1:17" ht="19.5" customHeight="1" x14ac:dyDescent="0.25">
      <c r="A634" s="9"/>
      <c r="B634" s="9"/>
      <c r="C634" s="15"/>
      <c r="D634" s="15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</row>
    <row r="635" spans="1:17" ht="19.5" customHeight="1" x14ac:dyDescent="0.25">
      <c r="A635" s="9"/>
      <c r="B635" s="9"/>
      <c r="C635" s="15"/>
      <c r="D635" s="15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</row>
    <row r="636" spans="1:17" ht="19.5" customHeight="1" x14ac:dyDescent="0.25">
      <c r="A636" s="9"/>
      <c r="B636" s="9"/>
      <c r="C636" s="15"/>
      <c r="D636" s="15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</row>
    <row r="637" spans="1:17" ht="19.5" customHeight="1" x14ac:dyDescent="0.25">
      <c r="A637" s="9"/>
      <c r="B637" s="9"/>
      <c r="C637" s="15"/>
      <c r="D637" s="15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</row>
    <row r="638" spans="1:17" ht="19.5" customHeight="1" x14ac:dyDescent="0.25">
      <c r="A638" s="9"/>
      <c r="B638" s="9"/>
      <c r="C638" s="15"/>
      <c r="D638" s="15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</row>
    <row r="639" spans="1:17" ht="19.5" customHeight="1" x14ac:dyDescent="0.25">
      <c r="A639" s="9"/>
      <c r="B639" s="9"/>
      <c r="C639" s="15"/>
      <c r="D639" s="15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</row>
    <row r="640" spans="1:17" ht="19.5" customHeight="1" x14ac:dyDescent="0.25">
      <c r="A640" s="9"/>
      <c r="B640" s="9"/>
      <c r="C640" s="15"/>
      <c r="D640" s="15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</row>
    <row r="641" spans="1:17" ht="19.5" customHeight="1" x14ac:dyDescent="0.25">
      <c r="A641" s="9"/>
      <c r="B641" s="9"/>
      <c r="C641" s="15"/>
      <c r="D641" s="15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</row>
    <row r="642" spans="1:17" ht="19.5" customHeight="1" x14ac:dyDescent="0.25">
      <c r="A642" s="9"/>
      <c r="B642" s="9"/>
      <c r="C642" s="15"/>
      <c r="D642" s="15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</row>
    <row r="643" spans="1:17" ht="19.5" customHeight="1" x14ac:dyDescent="0.25">
      <c r="A643" s="9"/>
      <c r="B643" s="9"/>
      <c r="C643" s="15"/>
      <c r="D643" s="15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</row>
    <row r="644" spans="1:17" ht="19.5" customHeight="1" x14ac:dyDescent="0.25">
      <c r="A644" s="9"/>
      <c r="B644" s="9"/>
      <c r="C644" s="15"/>
      <c r="D644" s="15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</row>
    <row r="645" spans="1:17" ht="19.5" customHeight="1" x14ac:dyDescent="0.25">
      <c r="A645" s="9"/>
      <c r="B645" s="9"/>
      <c r="C645" s="15"/>
      <c r="D645" s="15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</row>
    <row r="646" spans="1:17" ht="19.5" customHeight="1" x14ac:dyDescent="0.25">
      <c r="A646" s="9"/>
      <c r="B646" s="9"/>
      <c r="C646" s="15"/>
      <c r="D646" s="15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</row>
    <row r="647" spans="1:17" ht="19.5" customHeight="1" x14ac:dyDescent="0.25">
      <c r="A647" s="9"/>
      <c r="B647" s="9"/>
      <c r="C647" s="15"/>
      <c r="D647" s="15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</row>
    <row r="648" spans="1:17" ht="19.5" customHeight="1" x14ac:dyDescent="0.25">
      <c r="A648" s="9"/>
      <c r="B648" s="9"/>
      <c r="C648" s="15"/>
      <c r="D648" s="15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</row>
    <row r="649" spans="1:17" ht="19.5" customHeight="1" x14ac:dyDescent="0.25">
      <c r="A649" s="9"/>
      <c r="B649" s="9"/>
      <c r="C649" s="15"/>
      <c r="D649" s="15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</row>
    <row r="650" spans="1:17" ht="19.5" customHeight="1" x14ac:dyDescent="0.25">
      <c r="A650" s="9"/>
      <c r="B650" s="9"/>
      <c r="C650" s="15"/>
      <c r="D650" s="15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</row>
    <row r="651" spans="1:17" ht="19.5" customHeight="1" x14ac:dyDescent="0.25">
      <c r="A651" s="9"/>
      <c r="B651" s="9"/>
      <c r="C651" s="15"/>
      <c r="D651" s="15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</row>
    <row r="652" spans="1:17" ht="19.5" customHeight="1" x14ac:dyDescent="0.25">
      <c r="A652" s="9"/>
      <c r="B652" s="9"/>
      <c r="C652" s="15"/>
      <c r="D652" s="15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</row>
    <row r="653" spans="1:17" ht="19.5" customHeight="1" x14ac:dyDescent="0.25">
      <c r="A653" s="9"/>
      <c r="B653" s="9"/>
      <c r="C653" s="15"/>
      <c r="D653" s="15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</row>
    <row r="654" spans="1:17" ht="19.5" customHeight="1" x14ac:dyDescent="0.25">
      <c r="A654" s="9"/>
      <c r="B654" s="9"/>
      <c r="C654" s="15"/>
      <c r="D654" s="15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</row>
    <row r="655" spans="1:17" ht="19.5" customHeight="1" x14ac:dyDescent="0.25">
      <c r="A655" s="9"/>
      <c r="B655" s="9"/>
      <c r="C655" s="15"/>
      <c r="D655" s="15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</row>
    <row r="656" spans="1:17" ht="19.5" customHeight="1" x14ac:dyDescent="0.25">
      <c r="A656" s="9"/>
      <c r="B656" s="9"/>
      <c r="C656" s="15"/>
      <c r="D656" s="15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</row>
    <row r="657" spans="1:17" ht="19.5" customHeight="1" x14ac:dyDescent="0.25">
      <c r="A657" s="9"/>
      <c r="B657" s="9"/>
      <c r="C657" s="15"/>
      <c r="D657" s="15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</row>
    <row r="658" spans="1:17" ht="19.5" customHeight="1" x14ac:dyDescent="0.25">
      <c r="A658" s="9"/>
      <c r="B658" s="9"/>
      <c r="C658" s="15"/>
      <c r="D658" s="15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</row>
    <row r="659" spans="1:17" ht="19.5" customHeight="1" x14ac:dyDescent="0.25">
      <c r="A659" s="9"/>
      <c r="B659" s="9"/>
      <c r="C659" s="15"/>
      <c r="D659" s="15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</row>
    <row r="660" spans="1:17" ht="19.5" customHeight="1" x14ac:dyDescent="0.25">
      <c r="A660" s="9"/>
      <c r="B660" s="9"/>
      <c r="C660" s="15"/>
      <c r="D660" s="15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</row>
    <row r="661" spans="1:17" ht="19.5" customHeight="1" x14ac:dyDescent="0.25">
      <c r="A661" s="9"/>
      <c r="B661" s="9"/>
      <c r="C661" s="15"/>
      <c r="D661" s="15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</row>
    <row r="662" spans="1:17" ht="19.5" customHeight="1" x14ac:dyDescent="0.25">
      <c r="A662" s="9"/>
      <c r="B662" s="9"/>
      <c r="C662" s="15"/>
      <c r="D662" s="15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</row>
    <row r="663" spans="1:17" ht="19.5" customHeight="1" x14ac:dyDescent="0.25">
      <c r="A663" s="9"/>
      <c r="B663" s="9"/>
      <c r="C663" s="15"/>
      <c r="D663" s="15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</row>
    <row r="664" spans="1:17" ht="19.5" customHeight="1" x14ac:dyDescent="0.25">
      <c r="A664" s="9"/>
      <c r="B664" s="9"/>
      <c r="C664" s="15"/>
      <c r="D664" s="15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</row>
    <row r="665" spans="1:17" ht="19.5" customHeight="1" x14ac:dyDescent="0.25">
      <c r="A665" s="9"/>
      <c r="B665" s="9"/>
      <c r="C665" s="15"/>
      <c r="D665" s="15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</row>
    <row r="666" spans="1:17" ht="19.5" customHeight="1" x14ac:dyDescent="0.25">
      <c r="A666" s="9"/>
      <c r="B666" s="9"/>
      <c r="C666" s="15"/>
      <c r="D666" s="15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</row>
    <row r="667" spans="1:17" ht="19.5" customHeight="1" x14ac:dyDescent="0.25">
      <c r="A667" s="9"/>
      <c r="B667" s="9"/>
      <c r="C667" s="15"/>
      <c r="D667" s="15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</row>
    <row r="668" spans="1:17" ht="19.5" customHeight="1" x14ac:dyDescent="0.25">
      <c r="A668" s="9"/>
      <c r="B668" s="9"/>
      <c r="C668" s="15"/>
      <c r="D668" s="15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</row>
    <row r="669" spans="1:17" ht="19.5" customHeight="1" x14ac:dyDescent="0.25">
      <c r="A669" s="9"/>
      <c r="B669" s="9"/>
      <c r="C669" s="15"/>
      <c r="D669" s="15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</row>
    <row r="670" spans="1:17" ht="19.5" customHeight="1" x14ac:dyDescent="0.25">
      <c r="A670" s="9"/>
      <c r="B670" s="9"/>
      <c r="C670" s="15"/>
      <c r="D670" s="15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</row>
    <row r="671" spans="1:17" ht="19.5" customHeight="1" x14ac:dyDescent="0.25">
      <c r="A671" s="9"/>
      <c r="B671" s="9"/>
      <c r="C671" s="15"/>
      <c r="D671" s="15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</row>
    <row r="672" spans="1:17" ht="19.5" customHeight="1" x14ac:dyDescent="0.25">
      <c r="A672" s="9"/>
      <c r="B672" s="9"/>
      <c r="C672" s="15"/>
      <c r="D672" s="15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</row>
    <row r="673" spans="1:17" ht="19.5" customHeight="1" x14ac:dyDescent="0.25">
      <c r="A673" s="9"/>
      <c r="B673" s="9"/>
      <c r="C673" s="15"/>
      <c r="D673" s="15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</row>
    <row r="674" spans="1:17" ht="19.5" customHeight="1" x14ac:dyDescent="0.25">
      <c r="A674" s="9"/>
      <c r="B674" s="9"/>
      <c r="C674" s="15"/>
      <c r="D674" s="15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</row>
    <row r="675" spans="1:17" ht="19.5" customHeight="1" x14ac:dyDescent="0.25">
      <c r="A675" s="9"/>
      <c r="B675" s="9"/>
      <c r="C675" s="15"/>
      <c r="D675" s="15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</row>
    <row r="676" spans="1:17" ht="19.5" customHeight="1" x14ac:dyDescent="0.25">
      <c r="A676" s="9"/>
      <c r="B676" s="9"/>
      <c r="C676" s="15"/>
      <c r="D676" s="15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</row>
    <row r="677" spans="1:17" ht="19.5" customHeight="1" x14ac:dyDescent="0.25">
      <c r="A677" s="9"/>
      <c r="B677" s="9"/>
      <c r="C677" s="15"/>
      <c r="D677" s="15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</row>
    <row r="678" spans="1:17" ht="19.5" customHeight="1" x14ac:dyDescent="0.25">
      <c r="A678" s="9"/>
      <c r="B678" s="9"/>
      <c r="C678" s="15"/>
      <c r="D678" s="15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</row>
    <row r="679" spans="1:17" ht="19.5" customHeight="1" x14ac:dyDescent="0.25">
      <c r="A679" s="9"/>
      <c r="B679" s="9"/>
      <c r="C679" s="15"/>
      <c r="D679" s="15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</row>
    <row r="680" spans="1:17" ht="19.5" customHeight="1" x14ac:dyDescent="0.25">
      <c r="A680" s="9"/>
      <c r="B680" s="9"/>
      <c r="C680" s="15"/>
      <c r="D680" s="15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</row>
    <row r="681" spans="1:17" ht="19.5" customHeight="1" x14ac:dyDescent="0.25">
      <c r="A681" s="9"/>
      <c r="B681" s="9"/>
      <c r="C681" s="15"/>
      <c r="D681" s="15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</row>
    <row r="682" spans="1:17" ht="19.5" customHeight="1" x14ac:dyDescent="0.25">
      <c r="A682" s="9"/>
      <c r="B682" s="9"/>
      <c r="C682" s="15"/>
      <c r="D682" s="15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</row>
    <row r="683" spans="1:17" ht="19.5" customHeight="1" x14ac:dyDescent="0.25">
      <c r="A683" s="9"/>
      <c r="B683" s="9"/>
      <c r="C683" s="15"/>
      <c r="D683" s="15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</row>
    <row r="684" spans="1:17" ht="19.5" customHeight="1" x14ac:dyDescent="0.25">
      <c r="A684" s="9"/>
      <c r="B684" s="9"/>
      <c r="C684" s="15"/>
      <c r="D684" s="15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</row>
    <row r="685" spans="1:17" ht="19.5" customHeight="1" x14ac:dyDescent="0.25">
      <c r="A685" s="9"/>
      <c r="B685" s="9"/>
      <c r="C685" s="15"/>
      <c r="D685" s="15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</row>
    <row r="686" spans="1:17" ht="19.5" customHeight="1" x14ac:dyDescent="0.25">
      <c r="A686" s="9"/>
      <c r="B686" s="9"/>
      <c r="C686" s="15"/>
      <c r="D686" s="15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</row>
    <row r="687" spans="1:17" ht="19.5" customHeight="1" x14ac:dyDescent="0.25">
      <c r="A687" s="9"/>
      <c r="B687" s="9"/>
      <c r="C687" s="15"/>
      <c r="D687" s="15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</row>
    <row r="688" spans="1:17" ht="19.5" customHeight="1" x14ac:dyDescent="0.25">
      <c r="A688" s="9"/>
      <c r="B688" s="9"/>
      <c r="C688" s="15"/>
      <c r="D688" s="15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</row>
    <row r="689" spans="1:17" ht="19.5" customHeight="1" x14ac:dyDescent="0.25">
      <c r="A689" s="9"/>
      <c r="B689" s="9"/>
      <c r="C689" s="15"/>
      <c r="D689" s="15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</row>
    <row r="690" spans="1:17" ht="19.5" customHeight="1" x14ac:dyDescent="0.25">
      <c r="A690" s="9"/>
      <c r="B690" s="9"/>
      <c r="C690" s="15"/>
      <c r="D690" s="15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</row>
    <row r="691" spans="1:17" ht="19.5" customHeight="1" x14ac:dyDescent="0.25">
      <c r="A691" s="9"/>
      <c r="B691" s="9"/>
      <c r="C691" s="15"/>
      <c r="D691" s="15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</row>
    <row r="692" spans="1:17" ht="19.5" customHeight="1" x14ac:dyDescent="0.25">
      <c r="A692" s="9"/>
      <c r="B692" s="9"/>
      <c r="C692" s="15"/>
      <c r="D692" s="15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</row>
    <row r="693" spans="1:17" ht="19.5" customHeight="1" x14ac:dyDescent="0.25">
      <c r="A693" s="9"/>
      <c r="B693" s="9"/>
      <c r="C693" s="15"/>
      <c r="D693" s="15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</row>
    <row r="694" spans="1:17" ht="19.5" customHeight="1" x14ac:dyDescent="0.25">
      <c r="A694" s="9"/>
      <c r="B694" s="9"/>
      <c r="C694" s="15"/>
      <c r="D694" s="15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</row>
    <row r="695" spans="1:17" ht="19.5" customHeight="1" x14ac:dyDescent="0.25">
      <c r="A695" s="9"/>
      <c r="B695" s="9"/>
      <c r="C695" s="15"/>
      <c r="D695" s="15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</row>
    <row r="696" spans="1:17" ht="19.5" customHeight="1" x14ac:dyDescent="0.25">
      <c r="A696" s="9"/>
      <c r="B696" s="9"/>
      <c r="C696" s="15"/>
      <c r="D696" s="15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</row>
    <row r="697" spans="1:17" ht="19.5" customHeight="1" x14ac:dyDescent="0.25">
      <c r="A697" s="9"/>
      <c r="B697" s="9"/>
      <c r="C697" s="15"/>
      <c r="D697" s="15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</row>
    <row r="698" spans="1:17" ht="19.5" customHeight="1" x14ac:dyDescent="0.25">
      <c r="A698" s="9"/>
      <c r="B698" s="9"/>
      <c r="C698" s="15"/>
      <c r="D698" s="15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</row>
    <row r="699" spans="1:17" ht="19.5" customHeight="1" x14ac:dyDescent="0.25">
      <c r="A699" s="9"/>
      <c r="B699" s="9"/>
      <c r="C699" s="15"/>
      <c r="D699" s="15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</row>
    <row r="700" spans="1:17" ht="19.5" customHeight="1" x14ac:dyDescent="0.25">
      <c r="A700" s="9"/>
      <c r="B700" s="9"/>
      <c r="C700" s="15"/>
      <c r="D700" s="15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</row>
    <row r="701" spans="1:17" ht="19.5" customHeight="1" x14ac:dyDescent="0.25">
      <c r="A701" s="9"/>
      <c r="B701" s="9"/>
      <c r="C701" s="15"/>
      <c r="D701" s="15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</row>
    <row r="702" spans="1:17" ht="19.5" customHeight="1" x14ac:dyDescent="0.25">
      <c r="A702" s="9"/>
      <c r="B702" s="9"/>
      <c r="C702" s="15"/>
      <c r="D702" s="15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</row>
    <row r="703" spans="1:17" ht="19.5" customHeight="1" x14ac:dyDescent="0.25">
      <c r="A703" s="9"/>
      <c r="B703" s="9"/>
      <c r="C703" s="15"/>
      <c r="D703" s="15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</row>
    <row r="704" spans="1:17" ht="19.5" customHeight="1" x14ac:dyDescent="0.25">
      <c r="A704" s="9"/>
      <c r="B704" s="9"/>
      <c r="C704" s="15"/>
      <c r="D704" s="15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</row>
    <row r="705" spans="1:17" ht="19.5" customHeight="1" x14ac:dyDescent="0.25">
      <c r="A705" s="9"/>
      <c r="B705" s="9"/>
      <c r="C705" s="15"/>
      <c r="D705" s="15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</row>
    <row r="706" spans="1:17" ht="19.5" customHeight="1" x14ac:dyDescent="0.25">
      <c r="A706" s="9"/>
      <c r="B706" s="9"/>
      <c r="C706" s="15"/>
      <c r="D706" s="15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</row>
    <row r="707" spans="1:17" ht="19.5" customHeight="1" x14ac:dyDescent="0.25">
      <c r="A707" s="9"/>
      <c r="B707" s="9"/>
      <c r="C707" s="15"/>
      <c r="D707" s="15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</row>
    <row r="708" spans="1:17" ht="19.5" customHeight="1" x14ac:dyDescent="0.25">
      <c r="A708" s="9"/>
      <c r="B708" s="9"/>
      <c r="C708" s="15"/>
      <c r="D708" s="15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</row>
    <row r="709" spans="1:17" ht="19.5" customHeight="1" x14ac:dyDescent="0.25">
      <c r="A709" s="9"/>
      <c r="B709" s="9"/>
      <c r="C709" s="15"/>
      <c r="D709" s="15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</row>
    <row r="710" spans="1:17" ht="19.5" customHeight="1" x14ac:dyDescent="0.25">
      <c r="A710" s="9"/>
      <c r="B710" s="9"/>
      <c r="C710" s="15"/>
      <c r="D710" s="15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</row>
    <row r="711" spans="1:17" ht="19.5" customHeight="1" x14ac:dyDescent="0.25">
      <c r="A711" s="9"/>
      <c r="B711" s="9"/>
      <c r="C711" s="15"/>
      <c r="D711" s="15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</row>
    <row r="712" spans="1:17" ht="19.5" customHeight="1" x14ac:dyDescent="0.25">
      <c r="A712" s="9"/>
      <c r="B712" s="9"/>
      <c r="C712" s="15"/>
      <c r="D712" s="15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</row>
    <row r="713" spans="1:17" ht="19.5" customHeight="1" x14ac:dyDescent="0.25">
      <c r="A713" s="9"/>
      <c r="B713" s="9"/>
      <c r="C713" s="15"/>
      <c r="D713" s="15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</row>
    <row r="714" spans="1:17" ht="19.5" customHeight="1" x14ac:dyDescent="0.25">
      <c r="A714" s="9"/>
      <c r="B714" s="9"/>
      <c r="C714" s="15"/>
      <c r="D714" s="15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</row>
    <row r="715" spans="1:17" ht="19.5" customHeight="1" x14ac:dyDescent="0.25">
      <c r="A715" s="9"/>
      <c r="B715" s="9"/>
      <c r="C715" s="15"/>
      <c r="D715" s="15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</row>
    <row r="716" spans="1:17" ht="19.5" customHeight="1" x14ac:dyDescent="0.25">
      <c r="A716" s="9"/>
      <c r="B716" s="9"/>
      <c r="C716" s="15"/>
      <c r="D716" s="15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</row>
    <row r="717" spans="1:17" ht="19.5" customHeight="1" x14ac:dyDescent="0.25">
      <c r="A717" s="9"/>
      <c r="B717" s="9"/>
      <c r="C717" s="15"/>
      <c r="D717" s="15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</row>
    <row r="718" spans="1:17" ht="19.5" customHeight="1" x14ac:dyDescent="0.25">
      <c r="A718" s="9"/>
      <c r="B718" s="9"/>
      <c r="C718" s="15"/>
      <c r="D718" s="15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</row>
    <row r="719" spans="1:17" ht="19.5" customHeight="1" x14ac:dyDescent="0.25">
      <c r="A719" s="9"/>
      <c r="B719" s="9"/>
      <c r="C719" s="15"/>
      <c r="D719" s="15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</row>
    <row r="720" spans="1:17" ht="19.5" customHeight="1" x14ac:dyDescent="0.25">
      <c r="A720" s="9"/>
      <c r="B720" s="9"/>
      <c r="C720" s="15"/>
      <c r="D720" s="15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</row>
    <row r="721" spans="1:17" ht="19.5" customHeight="1" x14ac:dyDescent="0.25">
      <c r="A721" s="9"/>
      <c r="B721" s="9"/>
      <c r="C721" s="15"/>
      <c r="D721" s="15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</row>
    <row r="722" spans="1:17" ht="19.5" customHeight="1" x14ac:dyDescent="0.25">
      <c r="A722" s="9"/>
      <c r="B722" s="9"/>
      <c r="C722" s="15"/>
      <c r="D722" s="15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</row>
    <row r="723" spans="1:17" ht="19.5" customHeight="1" x14ac:dyDescent="0.25">
      <c r="A723" s="9"/>
      <c r="B723" s="9"/>
      <c r="C723" s="15"/>
      <c r="D723" s="15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</row>
    <row r="724" spans="1:17" ht="19.5" customHeight="1" x14ac:dyDescent="0.25">
      <c r="A724" s="9"/>
      <c r="B724" s="9"/>
      <c r="C724" s="15"/>
      <c r="D724" s="15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</row>
    <row r="725" spans="1:17" ht="19.5" customHeight="1" x14ac:dyDescent="0.25">
      <c r="A725" s="9"/>
      <c r="B725" s="9"/>
      <c r="C725" s="15"/>
      <c r="D725" s="15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</row>
    <row r="726" spans="1:17" ht="19.5" customHeight="1" x14ac:dyDescent="0.25">
      <c r="A726" s="9"/>
      <c r="B726" s="9"/>
      <c r="C726" s="15"/>
      <c r="D726" s="15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</row>
    <row r="727" spans="1:17" ht="19.5" customHeight="1" x14ac:dyDescent="0.25">
      <c r="A727" s="9"/>
      <c r="B727" s="9"/>
      <c r="C727" s="15"/>
      <c r="D727" s="15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</row>
    <row r="728" spans="1:17" ht="19.5" customHeight="1" x14ac:dyDescent="0.25">
      <c r="A728" s="9"/>
      <c r="B728" s="9"/>
      <c r="C728" s="15"/>
      <c r="D728" s="15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</row>
    <row r="729" spans="1:17" ht="19.5" customHeight="1" x14ac:dyDescent="0.25">
      <c r="A729" s="9"/>
      <c r="B729" s="9"/>
      <c r="C729" s="15"/>
      <c r="D729" s="15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</row>
    <row r="730" spans="1:17" ht="19.5" customHeight="1" x14ac:dyDescent="0.25">
      <c r="A730" s="9"/>
      <c r="B730" s="9"/>
      <c r="C730" s="15"/>
      <c r="D730" s="15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</row>
    <row r="731" spans="1:17" ht="19.5" customHeight="1" x14ac:dyDescent="0.25">
      <c r="A731" s="9"/>
      <c r="B731" s="9"/>
      <c r="C731" s="15"/>
      <c r="D731" s="15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</row>
    <row r="732" spans="1:17" ht="19.5" customHeight="1" x14ac:dyDescent="0.25">
      <c r="A732" s="9"/>
      <c r="B732" s="9"/>
      <c r="C732" s="15"/>
      <c r="D732" s="15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</row>
    <row r="733" spans="1:17" ht="19.5" customHeight="1" x14ac:dyDescent="0.25">
      <c r="A733" s="9"/>
      <c r="B733" s="9"/>
      <c r="C733" s="15"/>
      <c r="D733" s="15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</row>
    <row r="734" spans="1:17" ht="19.5" customHeight="1" x14ac:dyDescent="0.25">
      <c r="A734" s="9"/>
      <c r="B734" s="9"/>
      <c r="C734" s="15"/>
      <c r="D734" s="15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</row>
    <row r="735" spans="1:17" ht="19.5" customHeight="1" x14ac:dyDescent="0.25">
      <c r="A735" s="9"/>
      <c r="B735" s="9"/>
      <c r="C735" s="15"/>
      <c r="D735" s="15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</row>
    <row r="736" spans="1:17" ht="19.5" customHeight="1" x14ac:dyDescent="0.25">
      <c r="A736" s="9"/>
      <c r="B736" s="9"/>
      <c r="C736" s="15"/>
      <c r="D736" s="15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</row>
    <row r="737" spans="1:17" ht="19.5" customHeight="1" x14ac:dyDescent="0.25">
      <c r="A737" s="9"/>
      <c r="B737" s="9"/>
      <c r="C737" s="15"/>
      <c r="D737" s="15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</row>
    <row r="738" spans="1:17" ht="19.5" customHeight="1" x14ac:dyDescent="0.25">
      <c r="A738" s="9"/>
      <c r="B738" s="9"/>
      <c r="C738" s="15"/>
      <c r="D738" s="15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</row>
    <row r="739" spans="1:17" ht="19.5" customHeight="1" x14ac:dyDescent="0.25">
      <c r="A739" s="9"/>
      <c r="B739" s="9"/>
      <c r="C739" s="15"/>
      <c r="D739" s="15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</row>
    <row r="740" spans="1:17" ht="19.5" customHeight="1" x14ac:dyDescent="0.25">
      <c r="A740" s="9"/>
      <c r="B740" s="9"/>
      <c r="C740" s="15"/>
      <c r="D740" s="15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</row>
    <row r="741" spans="1:17" ht="19.5" customHeight="1" x14ac:dyDescent="0.25">
      <c r="A741" s="9"/>
      <c r="B741" s="9"/>
      <c r="C741" s="15"/>
      <c r="D741" s="15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</row>
    <row r="742" spans="1:17" ht="19.5" customHeight="1" x14ac:dyDescent="0.25">
      <c r="A742" s="9"/>
      <c r="B742" s="9"/>
      <c r="C742" s="15"/>
      <c r="D742" s="15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</row>
    <row r="743" spans="1:17" ht="19.5" customHeight="1" x14ac:dyDescent="0.25">
      <c r="A743" s="9"/>
      <c r="B743" s="9"/>
      <c r="C743" s="15"/>
      <c r="D743" s="15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</row>
    <row r="744" spans="1:17" ht="19.5" customHeight="1" x14ac:dyDescent="0.25">
      <c r="A744" s="9"/>
      <c r="B744" s="9"/>
      <c r="C744" s="15"/>
      <c r="D744" s="15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</row>
    <row r="745" spans="1:17" ht="19.5" customHeight="1" x14ac:dyDescent="0.25">
      <c r="A745" s="9"/>
      <c r="B745" s="9"/>
      <c r="C745" s="15"/>
      <c r="D745" s="15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</row>
    <row r="746" spans="1:17" ht="19.5" customHeight="1" x14ac:dyDescent="0.25">
      <c r="A746" s="9"/>
      <c r="B746" s="9"/>
      <c r="C746" s="15"/>
      <c r="D746" s="15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</row>
    <row r="747" spans="1:17" ht="19.5" customHeight="1" x14ac:dyDescent="0.25">
      <c r="A747" s="9"/>
      <c r="B747" s="9"/>
      <c r="C747" s="15"/>
      <c r="D747" s="15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</row>
    <row r="748" spans="1:17" ht="19.5" customHeight="1" x14ac:dyDescent="0.25">
      <c r="A748" s="9"/>
      <c r="B748" s="9"/>
      <c r="C748" s="15"/>
      <c r="D748" s="15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</row>
    <row r="749" spans="1:17" ht="19.5" customHeight="1" x14ac:dyDescent="0.25">
      <c r="A749" s="9"/>
      <c r="B749" s="9"/>
      <c r="C749" s="15"/>
      <c r="D749" s="15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</row>
    <row r="750" spans="1:17" ht="19.5" customHeight="1" x14ac:dyDescent="0.25">
      <c r="A750" s="9"/>
      <c r="B750" s="9"/>
      <c r="C750" s="15"/>
      <c r="D750" s="15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</row>
    <row r="751" spans="1:17" ht="19.5" customHeight="1" x14ac:dyDescent="0.25">
      <c r="A751" s="9"/>
      <c r="B751" s="9"/>
      <c r="C751" s="15"/>
      <c r="D751" s="15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</row>
    <row r="752" spans="1:17" ht="19.5" customHeight="1" x14ac:dyDescent="0.25">
      <c r="A752" s="9"/>
      <c r="B752" s="9"/>
      <c r="C752" s="15"/>
      <c r="D752" s="15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</row>
    <row r="753" spans="1:17" ht="19.5" customHeight="1" x14ac:dyDescent="0.25">
      <c r="A753" s="9"/>
      <c r="B753" s="9"/>
      <c r="C753" s="15"/>
      <c r="D753" s="15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</row>
    <row r="754" spans="1:17" ht="19.5" customHeight="1" x14ac:dyDescent="0.25">
      <c r="A754" s="9"/>
      <c r="B754" s="9"/>
      <c r="C754" s="15"/>
      <c r="D754" s="15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</row>
    <row r="755" spans="1:17" ht="19.5" customHeight="1" x14ac:dyDescent="0.25">
      <c r="A755" s="9"/>
      <c r="B755" s="9"/>
      <c r="C755" s="15"/>
      <c r="D755" s="15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</row>
    <row r="756" spans="1:17" ht="19.5" customHeight="1" x14ac:dyDescent="0.25">
      <c r="A756" s="9"/>
      <c r="B756" s="9"/>
      <c r="C756" s="15"/>
      <c r="D756" s="15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</row>
    <row r="757" spans="1:17" ht="19.5" customHeight="1" x14ac:dyDescent="0.25">
      <c r="A757" s="9"/>
      <c r="B757" s="9"/>
      <c r="C757" s="15"/>
      <c r="D757" s="15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</row>
    <row r="758" spans="1:17" ht="19.5" customHeight="1" x14ac:dyDescent="0.25">
      <c r="A758" s="9"/>
      <c r="B758" s="9"/>
      <c r="C758" s="15"/>
      <c r="D758" s="15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</row>
    <row r="759" spans="1:17" ht="19.5" customHeight="1" x14ac:dyDescent="0.25">
      <c r="A759" s="9"/>
      <c r="B759" s="9"/>
      <c r="C759" s="15"/>
      <c r="D759" s="15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</row>
    <row r="760" spans="1:17" ht="19.5" customHeight="1" x14ac:dyDescent="0.25">
      <c r="A760" s="9"/>
      <c r="B760" s="9"/>
      <c r="C760" s="15"/>
      <c r="D760" s="15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</row>
    <row r="761" spans="1:17" ht="19.5" customHeight="1" x14ac:dyDescent="0.25">
      <c r="A761" s="9"/>
      <c r="B761" s="9"/>
      <c r="C761" s="15"/>
      <c r="D761" s="15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</row>
    <row r="762" spans="1:17" ht="19.5" customHeight="1" x14ac:dyDescent="0.25">
      <c r="A762" s="9"/>
      <c r="B762" s="9"/>
      <c r="C762" s="15"/>
      <c r="D762" s="15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</row>
    <row r="763" spans="1:17" ht="19.5" customHeight="1" x14ac:dyDescent="0.25">
      <c r="A763" s="9"/>
      <c r="B763" s="9"/>
      <c r="C763" s="15"/>
      <c r="D763" s="15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</row>
    <row r="764" spans="1:17" ht="19.5" customHeight="1" x14ac:dyDescent="0.25">
      <c r="A764" s="9"/>
      <c r="B764" s="9"/>
      <c r="C764" s="15"/>
      <c r="D764" s="15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</row>
    <row r="765" spans="1:17" ht="19.5" customHeight="1" x14ac:dyDescent="0.25">
      <c r="A765" s="9"/>
      <c r="B765" s="9"/>
      <c r="C765" s="15"/>
      <c r="D765" s="15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</row>
    <row r="766" spans="1:17" ht="19.5" customHeight="1" x14ac:dyDescent="0.25">
      <c r="A766" s="9"/>
      <c r="B766" s="9"/>
      <c r="C766" s="15"/>
      <c r="D766" s="15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</row>
    <row r="767" spans="1:17" ht="19.5" customHeight="1" x14ac:dyDescent="0.25">
      <c r="A767" s="9"/>
      <c r="B767" s="9"/>
      <c r="C767" s="15"/>
      <c r="D767" s="15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</row>
    <row r="768" spans="1:17" ht="19.5" customHeight="1" x14ac:dyDescent="0.25">
      <c r="A768" s="9"/>
      <c r="B768" s="9"/>
      <c r="C768" s="15"/>
      <c r="D768" s="15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</row>
    <row r="769" spans="1:17" ht="19.5" customHeight="1" x14ac:dyDescent="0.25">
      <c r="A769" s="9"/>
      <c r="B769" s="9"/>
      <c r="C769" s="15"/>
      <c r="D769" s="15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</row>
    <row r="770" spans="1:17" ht="19.5" customHeight="1" x14ac:dyDescent="0.25">
      <c r="A770" s="9"/>
      <c r="B770" s="9"/>
      <c r="C770" s="15"/>
      <c r="D770" s="15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</row>
    <row r="771" spans="1:17" ht="19.5" customHeight="1" x14ac:dyDescent="0.25">
      <c r="A771" s="9"/>
      <c r="B771" s="9"/>
      <c r="C771" s="15"/>
      <c r="D771" s="15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</row>
    <row r="772" spans="1:17" ht="19.5" customHeight="1" x14ac:dyDescent="0.25">
      <c r="A772" s="9"/>
      <c r="B772" s="9"/>
      <c r="C772" s="15"/>
      <c r="D772" s="15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</row>
    <row r="773" spans="1:17" ht="19.5" customHeight="1" x14ac:dyDescent="0.25">
      <c r="A773" s="9"/>
      <c r="B773" s="9"/>
      <c r="C773" s="15"/>
      <c r="D773" s="15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</row>
    <row r="774" spans="1:17" ht="19.5" customHeight="1" x14ac:dyDescent="0.25">
      <c r="A774" s="9"/>
      <c r="B774" s="9"/>
      <c r="C774" s="15"/>
      <c r="D774" s="15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</row>
    <row r="775" spans="1:17" ht="19.5" customHeight="1" x14ac:dyDescent="0.25">
      <c r="A775" s="9"/>
      <c r="B775" s="9"/>
      <c r="C775" s="15"/>
      <c r="D775" s="15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</row>
    <row r="776" spans="1:17" ht="19.5" customHeight="1" x14ac:dyDescent="0.25">
      <c r="A776" s="9"/>
      <c r="B776" s="9"/>
      <c r="C776" s="15"/>
      <c r="D776" s="15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</row>
    <row r="777" spans="1:17" ht="19.5" customHeight="1" x14ac:dyDescent="0.25">
      <c r="A777" s="9"/>
      <c r="B777" s="9"/>
      <c r="C777" s="15"/>
      <c r="D777" s="15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</row>
    <row r="778" spans="1:17" ht="19.5" customHeight="1" x14ac:dyDescent="0.25">
      <c r="A778" s="9"/>
      <c r="B778" s="9"/>
      <c r="C778" s="15"/>
      <c r="D778" s="15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</row>
    <row r="779" spans="1:17" ht="19.5" customHeight="1" x14ac:dyDescent="0.25">
      <c r="A779" s="9"/>
      <c r="B779" s="9"/>
      <c r="C779" s="15"/>
      <c r="D779" s="15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</row>
    <row r="780" spans="1:17" ht="19.5" customHeight="1" x14ac:dyDescent="0.25">
      <c r="A780" s="9"/>
      <c r="B780" s="9"/>
      <c r="C780" s="15"/>
      <c r="D780" s="15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</row>
    <row r="781" spans="1:17" ht="19.5" customHeight="1" x14ac:dyDescent="0.25">
      <c r="A781" s="9"/>
      <c r="B781" s="9"/>
      <c r="C781" s="15"/>
      <c r="D781" s="15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</row>
    <row r="782" spans="1:17" ht="19.5" customHeight="1" x14ac:dyDescent="0.25">
      <c r="A782" s="9"/>
      <c r="B782" s="9"/>
      <c r="C782" s="15"/>
      <c r="D782" s="15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</row>
    <row r="783" spans="1:17" ht="19.5" customHeight="1" x14ac:dyDescent="0.25">
      <c r="A783" s="9"/>
      <c r="B783" s="9"/>
      <c r="C783" s="15"/>
      <c r="D783" s="15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</row>
    <row r="784" spans="1:17" ht="19.5" customHeight="1" x14ac:dyDescent="0.25">
      <c r="A784" s="9"/>
      <c r="B784" s="9"/>
      <c r="C784" s="15"/>
      <c r="D784" s="15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</row>
    <row r="785" spans="1:17" ht="19.5" customHeight="1" x14ac:dyDescent="0.25">
      <c r="A785" s="9"/>
      <c r="B785" s="9"/>
      <c r="C785" s="15"/>
      <c r="D785" s="15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</row>
    <row r="786" spans="1:17" ht="19.5" customHeight="1" x14ac:dyDescent="0.25">
      <c r="A786" s="9"/>
      <c r="B786" s="9"/>
      <c r="C786" s="15"/>
      <c r="D786" s="15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</row>
    <row r="787" spans="1:17" ht="19.5" customHeight="1" x14ac:dyDescent="0.25">
      <c r="A787" s="9"/>
      <c r="B787" s="9"/>
      <c r="C787" s="15"/>
      <c r="D787" s="15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</row>
    <row r="788" spans="1:17" ht="19.5" customHeight="1" x14ac:dyDescent="0.25">
      <c r="A788" s="9"/>
      <c r="B788" s="9"/>
      <c r="C788" s="15"/>
      <c r="D788" s="15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</row>
    <row r="789" spans="1:17" ht="19.5" customHeight="1" x14ac:dyDescent="0.25">
      <c r="A789" s="9"/>
      <c r="B789" s="9"/>
      <c r="C789" s="15"/>
      <c r="D789" s="15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</row>
    <row r="790" spans="1:17" ht="19.5" customHeight="1" x14ac:dyDescent="0.25">
      <c r="A790" s="9"/>
      <c r="B790" s="9"/>
      <c r="C790" s="15"/>
      <c r="D790" s="15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</row>
    <row r="791" spans="1:17" ht="19.5" customHeight="1" x14ac:dyDescent="0.25">
      <c r="A791" s="9"/>
      <c r="B791" s="9"/>
      <c r="C791" s="15"/>
      <c r="D791" s="15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</row>
    <row r="792" spans="1:17" ht="19.5" customHeight="1" x14ac:dyDescent="0.25">
      <c r="A792" s="9"/>
      <c r="B792" s="9"/>
      <c r="C792" s="15"/>
      <c r="D792" s="15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</row>
    <row r="793" spans="1:17" ht="19.5" customHeight="1" x14ac:dyDescent="0.25">
      <c r="A793" s="9"/>
      <c r="B793" s="9"/>
      <c r="C793" s="15"/>
      <c r="D793" s="15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</row>
    <row r="794" spans="1:17" ht="19.5" customHeight="1" x14ac:dyDescent="0.25">
      <c r="A794" s="9"/>
      <c r="B794" s="9"/>
      <c r="C794" s="15"/>
      <c r="D794" s="15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</row>
    <row r="795" spans="1:17" ht="19.5" customHeight="1" x14ac:dyDescent="0.25">
      <c r="A795" s="9"/>
      <c r="B795" s="9"/>
      <c r="C795" s="15"/>
      <c r="D795" s="15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</row>
    <row r="796" spans="1:17" ht="19.5" customHeight="1" x14ac:dyDescent="0.25">
      <c r="A796" s="9"/>
      <c r="B796" s="9"/>
      <c r="C796" s="15"/>
      <c r="D796" s="15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</row>
    <row r="797" spans="1:17" ht="19.5" customHeight="1" x14ac:dyDescent="0.25">
      <c r="A797" s="9"/>
      <c r="B797" s="9"/>
      <c r="C797" s="15"/>
      <c r="D797" s="15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</row>
    <row r="798" spans="1:17" ht="19.5" customHeight="1" x14ac:dyDescent="0.25">
      <c r="A798" s="9"/>
      <c r="B798" s="9"/>
      <c r="C798" s="15"/>
      <c r="D798" s="15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</row>
    <row r="799" spans="1:17" ht="19.5" customHeight="1" x14ac:dyDescent="0.25">
      <c r="A799" s="9"/>
      <c r="B799" s="9"/>
      <c r="C799" s="15"/>
      <c r="D799" s="15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</row>
    <row r="800" spans="1:17" ht="19.5" customHeight="1" x14ac:dyDescent="0.25">
      <c r="A800" s="9"/>
      <c r="B800" s="9"/>
      <c r="C800" s="15"/>
      <c r="D800" s="15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</row>
    <row r="801" spans="1:17" ht="19.5" customHeight="1" x14ac:dyDescent="0.25">
      <c r="A801" s="9"/>
      <c r="B801" s="9"/>
      <c r="C801" s="15"/>
      <c r="D801" s="15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</row>
    <row r="802" spans="1:17" ht="19.5" customHeight="1" x14ac:dyDescent="0.25">
      <c r="A802" s="9"/>
      <c r="B802" s="9"/>
      <c r="C802" s="15"/>
      <c r="D802" s="15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</row>
    <row r="803" spans="1:17" ht="19.5" customHeight="1" x14ac:dyDescent="0.25">
      <c r="A803" s="9"/>
      <c r="B803" s="9"/>
      <c r="C803" s="15"/>
      <c r="D803" s="15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</row>
    <row r="804" spans="1:17" ht="19.5" customHeight="1" x14ac:dyDescent="0.25">
      <c r="A804" s="9"/>
      <c r="B804" s="9"/>
      <c r="C804" s="15"/>
      <c r="D804" s="15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</row>
    <row r="805" spans="1:17" ht="19.5" customHeight="1" x14ac:dyDescent="0.25">
      <c r="A805" s="9"/>
      <c r="B805" s="9"/>
      <c r="C805" s="15"/>
      <c r="D805" s="15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</row>
    <row r="806" spans="1:17" ht="19.5" customHeight="1" x14ac:dyDescent="0.25">
      <c r="A806" s="9"/>
      <c r="B806" s="9"/>
      <c r="C806" s="15"/>
      <c r="D806" s="15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</row>
    <row r="807" spans="1:17" ht="19.5" customHeight="1" x14ac:dyDescent="0.25">
      <c r="A807" s="9"/>
      <c r="B807" s="9"/>
      <c r="C807" s="15"/>
      <c r="D807" s="15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</row>
    <row r="808" spans="1:17" ht="19.5" customHeight="1" x14ac:dyDescent="0.25">
      <c r="A808" s="9"/>
      <c r="B808" s="9"/>
      <c r="C808" s="15"/>
      <c r="D808" s="15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</row>
    <row r="809" spans="1:17" ht="19.5" customHeight="1" x14ac:dyDescent="0.25">
      <c r="A809" s="9"/>
      <c r="B809" s="9"/>
      <c r="C809" s="15"/>
      <c r="D809" s="15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</row>
    <row r="810" spans="1:17" ht="19.5" customHeight="1" x14ac:dyDescent="0.25">
      <c r="A810" s="9"/>
      <c r="B810" s="9"/>
      <c r="C810" s="15"/>
      <c r="D810" s="15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</row>
    <row r="811" spans="1:17" ht="19.5" customHeight="1" x14ac:dyDescent="0.25">
      <c r="A811" s="9"/>
      <c r="B811" s="9"/>
      <c r="C811" s="15"/>
      <c r="D811" s="15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</row>
    <row r="812" spans="1:17" ht="19.5" customHeight="1" x14ac:dyDescent="0.25">
      <c r="A812" s="9"/>
      <c r="B812" s="9"/>
      <c r="C812" s="15"/>
      <c r="D812" s="15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</row>
    <row r="813" spans="1:17" ht="19.5" customHeight="1" x14ac:dyDescent="0.25">
      <c r="A813" s="9"/>
      <c r="B813" s="9"/>
      <c r="C813" s="15"/>
      <c r="D813" s="15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</row>
    <row r="814" spans="1:17" ht="19.5" customHeight="1" x14ac:dyDescent="0.25">
      <c r="A814" s="9"/>
      <c r="B814" s="9"/>
      <c r="C814" s="15"/>
      <c r="D814" s="15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</row>
    <row r="815" spans="1:17" ht="19.5" customHeight="1" x14ac:dyDescent="0.25">
      <c r="A815" s="9"/>
      <c r="B815" s="9"/>
      <c r="C815" s="15"/>
      <c r="D815" s="15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</row>
    <row r="816" spans="1:17" ht="19.5" customHeight="1" x14ac:dyDescent="0.25">
      <c r="A816" s="9"/>
      <c r="B816" s="9"/>
      <c r="C816" s="15"/>
      <c r="D816" s="15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</row>
    <row r="817" spans="1:17" ht="19.5" customHeight="1" x14ac:dyDescent="0.25">
      <c r="A817" s="9"/>
      <c r="B817" s="9"/>
      <c r="C817" s="15"/>
      <c r="D817" s="15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</row>
    <row r="818" spans="1:17" ht="19.5" customHeight="1" x14ac:dyDescent="0.25">
      <c r="A818" s="9"/>
      <c r="B818" s="9"/>
      <c r="C818" s="15"/>
      <c r="D818" s="15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</row>
    <row r="819" spans="1:17" ht="19.5" customHeight="1" x14ac:dyDescent="0.25">
      <c r="A819" s="9"/>
      <c r="B819" s="9"/>
      <c r="C819" s="15"/>
      <c r="D819" s="15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</row>
    <row r="820" spans="1:17" ht="19.5" customHeight="1" x14ac:dyDescent="0.25">
      <c r="A820" s="9"/>
      <c r="B820" s="9"/>
      <c r="C820" s="15"/>
      <c r="D820" s="15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</row>
    <row r="821" spans="1:17" ht="19.5" customHeight="1" x14ac:dyDescent="0.25">
      <c r="A821" s="9"/>
      <c r="B821" s="9"/>
      <c r="C821" s="15"/>
      <c r="D821" s="15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</row>
    <row r="822" spans="1:17" ht="19.5" customHeight="1" x14ac:dyDescent="0.25">
      <c r="A822" s="9"/>
      <c r="B822" s="9"/>
      <c r="C822" s="15"/>
      <c r="D822" s="15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</row>
    <row r="823" spans="1:17" ht="19.5" customHeight="1" x14ac:dyDescent="0.25">
      <c r="A823" s="9"/>
      <c r="B823" s="9"/>
      <c r="C823" s="15"/>
      <c r="D823" s="15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</row>
    <row r="824" spans="1:17" ht="19.5" customHeight="1" x14ac:dyDescent="0.25">
      <c r="A824" s="9"/>
      <c r="B824" s="9"/>
      <c r="C824" s="15"/>
      <c r="D824" s="15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</row>
    <row r="825" spans="1:17" ht="19.5" customHeight="1" x14ac:dyDescent="0.25">
      <c r="A825" s="9"/>
      <c r="B825" s="9"/>
      <c r="C825" s="15"/>
      <c r="D825" s="15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</row>
    <row r="826" spans="1:17" ht="19.5" customHeight="1" x14ac:dyDescent="0.25">
      <c r="A826" s="9"/>
      <c r="B826" s="9"/>
      <c r="C826" s="15"/>
      <c r="D826" s="15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</row>
    <row r="827" spans="1:17" ht="19.5" customHeight="1" x14ac:dyDescent="0.25">
      <c r="A827" s="9"/>
      <c r="B827" s="9"/>
      <c r="C827" s="15"/>
      <c r="D827" s="15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</row>
    <row r="828" spans="1:17" ht="19.5" customHeight="1" x14ac:dyDescent="0.25">
      <c r="A828" s="9"/>
      <c r="B828" s="9"/>
      <c r="C828" s="15"/>
      <c r="D828" s="15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</row>
    <row r="829" spans="1:17" ht="19.5" customHeight="1" x14ac:dyDescent="0.25">
      <c r="A829" s="9"/>
      <c r="B829" s="9"/>
      <c r="C829" s="15"/>
      <c r="D829" s="15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</row>
    <row r="830" spans="1:17" ht="19.5" customHeight="1" x14ac:dyDescent="0.25">
      <c r="A830" s="9"/>
      <c r="B830" s="9"/>
      <c r="C830" s="15"/>
      <c r="D830" s="15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</row>
    <row r="831" spans="1:17" ht="19.5" customHeight="1" x14ac:dyDescent="0.25">
      <c r="A831" s="9"/>
      <c r="B831" s="9"/>
      <c r="C831" s="15"/>
      <c r="D831" s="15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</row>
    <row r="832" spans="1:17" ht="19.5" customHeight="1" x14ac:dyDescent="0.25">
      <c r="A832" s="9"/>
      <c r="B832" s="9"/>
      <c r="C832" s="15"/>
      <c r="D832" s="15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</row>
    <row r="833" spans="1:17" ht="19.5" customHeight="1" x14ac:dyDescent="0.25">
      <c r="A833" s="9"/>
      <c r="B833" s="9"/>
      <c r="C833" s="15"/>
      <c r="D833" s="15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</row>
    <row r="834" spans="1:17" ht="19.5" customHeight="1" x14ac:dyDescent="0.25">
      <c r="A834" s="9"/>
      <c r="B834" s="9"/>
      <c r="C834" s="15"/>
      <c r="D834" s="15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</row>
    <row r="835" spans="1:17" ht="19.5" customHeight="1" x14ac:dyDescent="0.25">
      <c r="A835" s="9"/>
      <c r="B835" s="9"/>
      <c r="C835" s="15"/>
      <c r="D835" s="15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</row>
    <row r="836" spans="1:17" ht="19.5" customHeight="1" x14ac:dyDescent="0.25">
      <c r="A836" s="9"/>
      <c r="B836" s="9"/>
      <c r="C836" s="15"/>
      <c r="D836" s="15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</row>
    <row r="837" spans="1:17" ht="19.5" customHeight="1" x14ac:dyDescent="0.25">
      <c r="A837" s="9"/>
      <c r="B837" s="9"/>
      <c r="C837" s="15"/>
      <c r="D837" s="15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</row>
    <row r="838" spans="1:17" ht="19.5" customHeight="1" x14ac:dyDescent="0.25">
      <c r="A838" s="9"/>
      <c r="B838" s="9"/>
      <c r="C838" s="15"/>
      <c r="D838" s="15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</row>
    <row r="839" spans="1:17" ht="19.5" customHeight="1" x14ac:dyDescent="0.25">
      <c r="A839" s="9"/>
      <c r="B839" s="9"/>
      <c r="C839" s="15"/>
      <c r="D839" s="15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</row>
    <row r="840" spans="1:17" ht="19.5" customHeight="1" x14ac:dyDescent="0.25">
      <c r="A840" s="9"/>
      <c r="B840" s="9"/>
      <c r="C840" s="15"/>
      <c r="D840" s="15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</row>
    <row r="841" spans="1:17" ht="19.5" customHeight="1" x14ac:dyDescent="0.25">
      <c r="A841" s="9"/>
      <c r="B841" s="9"/>
      <c r="C841" s="15"/>
      <c r="D841" s="15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</row>
    <row r="842" spans="1:17" ht="19.5" customHeight="1" x14ac:dyDescent="0.25">
      <c r="A842" s="9"/>
      <c r="B842" s="9"/>
      <c r="C842" s="15"/>
      <c r="D842" s="15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</row>
    <row r="843" spans="1:17" ht="19.5" customHeight="1" x14ac:dyDescent="0.25">
      <c r="A843" s="9"/>
      <c r="B843" s="9"/>
      <c r="C843" s="15"/>
      <c r="D843" s="15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</row>
    <row r="844" spans="1:17" ht="19.5" customHeight="1" x14ac:dyDescent="0.25">
      <c r="A844" s="9"/>
      <c r="B844" s="9"/>
      <c r="C844" s="15"/>
      <c r="D844" s="15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</row>
    <row r="845" spans="1:17" ht="19.5" customHeight="1" x14ac:dyDescent="0.25">
      <c r="A845" s="9"/>
      <c r="B845" s="9"/>
      <c r="C845" s="15"/>
      <c r="D845" s="15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</row>
    <row r="846" spans="1:17" ht="19.5" customHeight="1" x14ac:dyDescent="0.25">
      <c r="A846" s="9"/>
      <c r="B846" s="9"/>
      <c r="C846" s="15"/>
      <c r="D846" s="15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</row>
    <row r="847" spans="1:17" ht="19.5" customHeight="1" x14ac:dyDescent="0.25">
      <c r="A847" s="9"/>
      <c r="B847" s="9"/>
      <c r="C847" s="15"/>
      <c r="D847" s="15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</row>
    <row r="848" spans="1:17" ht="19.5" customHeight="1" x14ac:dyDescent="0.25">
      <c r="A848" s="9"/>
      <c r="B848" s="9"/>
      <c r="C848" s="15"/>
      <c r="D848" s="15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</row>
    <row r="849" spans="1:17" ht="19.5" customHeight="1" x14ac:dyDescent="0.25">
      <c r="A849" s="9"/>
      <c r="B849" s="9"/>
      <c r="C849" s="15"/>
      <c r="D849" s="15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</row>
    <row r="850" spans="1:17" ht="19.5" customHeight="1" x14ac:dyDescent="0.25">
      <c r="A850" s="9"/>
      <c r="B850" s="9"/>
      <c r="C850" s="15"/>
      <c r="D850" s="15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</row>
    <row r="851" spans="1:17" ht="19.5" customHeight="1" x14ac:dyDescent="0.25">
      <c r="A851" s="9"/>
      <c r="B851" s="9"/>
      <c r="C851" s="15"/>
      <c r="D851" s="15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</row>
    <row r="852" spans="1:17" ht="19.5" customHeight="1" x14ac:dyDescent="0.25">
      <c r="A852" s="9"/>
      <c r="B852" s="9"/>
      <c r="C852" s="15"/>
      <c r="D852" s="15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</row>
    <row r="853" spans="1:17" ht="19.5" customHeight="1" x14ac:dyDescent="0.25">
      <c r="A853" s="9"/>
      <c r="B853" s="9"/>
      <c r="C853" s="15"/>
      <c r="D853" s="15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</row>
    <row r="854" spans="1:17" ht="19.5" customHeight="1" x14ac:dyDescent="0.25">
      <c r="A854" s="9"/>
      <c r="B854" s="9"/>
      <c r="C854" s="15"/>
      <c r="D854" s="15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</row>
    <row r="855" spans="1:17" ht="19.5" customHeight="1" x14ac:dyDescent="0.25">
      <c r="A855" s="9"/>
      <c r="B855" s="9"/>
      <c r="C855" s="15"/>
      <c r="D855" s="15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</row>
    <row r="856" spans="1:17" ht="19.5" customHeight="1" x14ac:dyDescent="0.25">
      <c r="A856" s="9"/>
      <c r="B856" s="9"/>
      <c r="C856" s="15"/>
      <c r="D856" s="15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</row>
    <row r="857" spans="1:17" ht="19.5" customHeight="1" x14ac:dyDescent="0.25">
      <c r="A857" s="9"/>
      <c r="B857" s="9"/>
      <c r="C857" s="15"/>
      <c r="D857" s="15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</row>
    <row r="858" spans="1:17" ht="19.5" customHeight="1" x14ac:dyDescent="0.25">
      <c r="A858" s="9"/>
      <c r="B858" s="9"/>
      <c r="C858" s="15"/>
      <c r="D858" s="15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</row>
    <row r="859" spans="1:17" ht="19.5" customHeight="1" x14ac:dyDescent="0.25">
      <c r="A859" s="9"/>
      <c r="B859" s="9"/>
      <c r="C859" s="15"/>
      <c r="D859" s="15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</row>
    <row r="860" spans="1:17" ht="19.5" customHeight="1" x14ac:dyDescent="0.25">
      <c r="A860" s="9"/>
      <c r="B860" s="9"/>
      <c r="C860" s="15"/>
      <c r="D860" s="15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</row>
    <row r="861" spans="1:17" ht="19.5" customHeight="1" x14ac:dyDescent="0.25">
      <c r="A861" s="9"/>
      <c r="B861" s="9"/>
      <c r="C861" s="15"/>
      <c r="D861" s="15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</row>
    <row r="862" spans="1:17" ht="19.5" customHeight="1" x14ac:dyDescent="0.25">
      <c r="A862" s="9"/>
      <c r="B862" s="9"/>
      <c r="C862" s="15"/>
      <c r="D862" s="15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</row>
    <row r="863" spans="1:17" ht="19.5" customHeight="1" x14ac:dyDescent="0.25">
      <c r="A863" s="9"/>
      <c r="B863" s="9"/>
      <c r="C863" s="15"/>
      <c r="D863" s="15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</row>
    <row r="864" spans="1:17" ht="19.5" customHeight="1" x14ac:dyDescent="0.25">
      <c r="A864" s="9"/>
      <c r="B864" s="9"/>
      <c r="C864" s="15"/>
      <c r="D864" s="15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</row>
    <row r="865" spans="1:17" ht="19.5" customHeight="1" x14ac:dyDescent="0.25">
      <c r="A865" s="9"/>
      <c r="B865" s="9"/>
      <c r="C865" s="15"/>
      <c r="D865" s="15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</row>
    <row r="866" spans="1:17" ht="19.5" customHeight="1" x14ac:dyDescent="0.25">
      <c r="A866" s="9"/>
      <c r="B866" s="9"/>
      <c r="C866" s="15"/>
      <c r="D866" s="15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</row>
    <row r="867" spans="1:17" ht="19.5" customHeight="1" x14ac:dyDescent="0.25">
      <c r="A867" s="9"/>
      <c r="B867" s="9"/>
      <c r="C867" s="15"/>
      <c r="D867" s="15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</row>
    <row r="868" spans="1:17" ht="19.5" customHeight="1" x14ac:dyDescent="0.25">
      <c r="A868" s="9"/>
      <c r="B868" s="9"/>
      <c r="C868" s="15"/>
      <c r="D868" s="15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</row>
    <row r="869" spans="1:17" ht="19.5" customHeight="1" x14ac:dyDescent="0.25">
      <c r="A869" s="9"/>
      <c r="B869" s="9"/>
      <c r="C869" s="15"/>
      <c r="D869" s="15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</row>
    <row r="870" spans="1:17" ht="19.5" customHeight="1" x14ac:dyDescent="0.25">
      <c r="A870" s="9"/>
      <c r="B870" s="9"/>
      <c r="C870" s="15"/>
      <c r="D870" s="15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</row>
    <row r="871" spans="1:17" ht="19.5" customHeight="1" x14ac:dyDescent="0.25">
      <c r="A871" s="9"/>
      <c r="B871" s="9"/>
      <c r="C871" s="15"/>
      <c r="D871" s="15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</row>
    <row r="872" spans="1:17" ht="19.5" customHeight="1" x14ac:dyDescent="0.25">
      <c r="A872" s="9"/>
      <c r="B872" s="9"/>
      <c r="C872" s="15"/>
      <c r="D872" s="15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</row>
    <row r="873" spans="1:17" ht="19.5" customHeight="1" x14ac:dyDescent="0.25">
      <c r="A873" s="9"/>
      <c r="B873" s="9"/>
      <c r="C873" s="15"/>
      <c r="D873" s="15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</row>
    <row r="874" spans="1:17" ht="19.5" customHeight="1" x14ac:dyDescent="0.25">
      <c r="A874" s="9"/>
      <c r="B874" s="9"/>
      <c r="C874" s="15"/>
      <c r="D874" s="15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</row>
    <row r="875" spans="1:17" ht="19.5" customHeight="1" x14ac:dyDescent="0.25">
      <c r="A875" s="9"/>
      <c r="B875" s="9"/>
      <c r="C875" s="15"/>
      <c r="D875" s="15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</row>
    <row r="876" spans="1:17" ht="19.5" customHeight="1" x14ac:dyDescent="0.25">
      <c r="A876" s="9"/>
      <c r="B876" s="9"/>
      <c r="C876" s="15"/>
      <c r="D876" s="15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</row>
    <row r="877" spans="1:17" ht="19.5" customHeight="1" x14ac:dyDescent="0.25">
      <c r="A877" s="9"/>
      <c r="B877" s="9"/>
      <c r="C877" s="15"/>
      <c r="D877" s="15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</row>
    <row r="878" spans="1:17" ht="19.5" customHeight="1" x14ac:dyDescent="0.25">
      <c r="A878" s="9"/>
      <c r="B878" s="9"/>
      <c r="C878" s="15"/>
      <c r="D878" s="15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</row>
    <row r="879" spans="1:17" ht="19.5" customHeight="1" x14ac:dyDescent="0.25">
      <c r="A879" s="9"/>
      <c r="B879" s="9"/>
      <c r="C879" s="15"/>
      <c r="D879" s="15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</row>
    <row r="880" spans="1:17" ht="19.5" customHeight="1" x14ac:dyDescent="0.25">
      <c r="A880" s="9"/>
      <c r="B880" s="9"/>
      <c r="C880" s="15"/>
      <c r="D880" s="15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</row>
    <row r="881" spans="1:17" ht="19.5" customHeight="1" x14ac:dyDescent="0.25">
      <c r="A881" s="9"/>
      <c r="B881" s="9"/>
      <c r="C881" s="15"/>
      <c r="D881" s="15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</row>
    <row r="882" spans="1:17" ht="19.5" customHeight="1" x14ac:dyDescent="0.25">
      <c r="A882" s="9"/>
      <c r="B882" s="9"/>
      <c r="C882" s="15"/>
      <c r="D882" s="15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</row>
    <row r="883" spans="1:17" ht="19.5" customHeight="1" x14ac:dyDescent="0.25">
      <c r="A883" s="9"/>
      <c r="B883" s="9"/>
      <c r="C883" s="15"/>
      <c r="D883" s="15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</row>
    <row r="884" spans="1:17" ht="19.5" customHeight="1" x14ac:dyDescent="0.25">
      <c r="A884" s="9"/>
      <c r="B884" s="9"/>
      <c r="C884" s="15"/>
      <c r="D884" s="15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</row>
    <row r="885" spans="1:17" ht="19.5" customHeight="1" x14ac:dyDescent="0.25">
      <c r="A885" s="9"/>
      <c r="B885" s="9"/>
      <c r="C885" s="15"/>
      <c r="D885" s="15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</row>
    <row r="886" spans="1:17" ht="19.5" customHeight="1" x14ac:dyDescent="0.25">
      <c r="A886" s="9"/>
      <c r="B886" s="9"/>
      <c r="C886" s="15"/>
      <c r="D886" s="15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</row>
    <row r="887" spans="1:17" ht="19.5" customHeight="1" x14ac:dyDescent="0.25">
      <c r="A887" s="9"/>
      <c r="B887" s="9"/>
      <c r="C887" s="15"/>
      <c r="D887" s="15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</row>
    <row r="888" spans="1:17" ht="19.5" customHeight="1" x14ac:dyDescent="0.25">
      <c r="A888" s="9"/>
      <c r="B888" s="9"/>
      <c r="C888" s="15"/>
      <c r="D888" s="15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</row>
    <row r="889" spans="1:17" ht="19.5" customHeight="1" x14ac:dyDescent="0.25">
      <c r="A889" s="9"/>
      <c r="B889" s="9"/>
      <c r="C889" s="15"/>
      <c r="D889" s="15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</row>
    <row r="890" spans="1:17" ht="19.5" customHeight="1" x14ac:dyDescent="0.25">
      <c r="A890" s="9"/>
      <c r="B890" s="9"/>
      <c r="C890" s="15"/>
      <c r="D890" s="15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</row>
    <row r="891" spans="1:17" ht="19.5" customHeight="1" x14ac:dyDescent="0.25">
      <c r="A891" s="9"/>
      <c r="B891" s="9"/>
      <c r="C891" s="15"/>
      <c r="D891" s="15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</row>
    <row r="892" spans="1:17" ht="19.5" customHeight="1" x14ac:dyDescent="0.25">
      <c r="A892" s="9"/>
      <c r="B892" s="9"/>
      <c r="C892" s="15"/>
      <c r="D892" s="15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</row>
    <row r="893" spans="1:17" ht="19.5" customHeight="1" x14ac:dyDescent="0.25">
      <c r="A893" s="9"/>
      <c r="B893" s="9"/>
      <c r="C893" s="15"/>
      <c r="D893" s="15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</row>
    <row r="894" spans="1:17" ht="19.5" customHeight="1" x14ac:dyDescent="0.25">
      <c r="A894" s="9"/>
      <c r="B894" s="9"/>
      <c r="C894" s="15"/>
      <c r="D894" s="15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</row>
    <row r="895" spans="1:17" ht="19.5" customHeight="1" x14ac:dyDescent="0.25">
      <c r="A895" s="9"/>
      <c r="B895" s="9"/>
      <c r="C895" s="15"/>
      <c r="D895" s="15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</row>
    <row r="896" spans="1:17" ht="19.5" customHeight="1" x14ac:dyDescent="0.25">
      <c r="A896" s="9"/>
      <c r="B896" s="9"/>
      <c r="C896" s="15"/>
      <c r="D896" s="15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</row>
    <row r="897" spans="1:17" ht="19.5" customHeight="1" x14ac:dyDescent="0.25">
      <c r="A897" s="9"/>
      <c r="B897" s="9"/>
      <c r="C897" s="15"/>
      <c r="D897" s="15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</row>
    <row r="898" spans="1:17" ht="19.5" customHeight="1" x14ac:dyDescent="0.25">
      <c r="A898" s="9"/>
      <c r="B898" s="9"/>
      <c r="C898" s="15"/>
      <c r="D898" s="15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</row>
    <row r="899" spans="1:17" ht="19.5" customHeight="1" x14ac:dyDescent="0.25">
      <c r="A899" s="9"/>
      <c r="B899" s="9"/>
      <c r="C899" s="15"/>
      <c r="D899" s="15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</row>
    <row r="900" spans="1:17" ht="19.5" customHeight="1" x14ac:dyDescent="0.25">
      <c r="A900" s="9"/>
      <c r="B900" s="9"/>
      <c r="C900" s="15"/>
      <c r="D900" s="15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</row>
    <row r="901" spans="1:17" ht="19.5" customHeight="1" x14ac:dyDescent="0.25">
      <c r="A901" s="9"/>
      <c r="B901" s="9"/>
      <c r="C901" s="15"/>
      <c r="D901" s="15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</row>
    <row r="902" spans="1:17" ht="19.5" customHeight="1" x14ac:dyDescent="0.25">
      <c r="A902" s="9"/>
      <c r="B902" s="9"/>
      <c r="C902" s="15"/>
      <c r="D902" s="15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</row>
    <row r="903" spans="1:17" ht="19.5" customHeight="1" x14ac:dyDescent="0.25">
      <c r="A903" s="9"/>
      <c r="B903" s="9"/>
      <c r="C903" s="15"/>
      <c r="D903" s="15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</row>
    <row r="904" spans="1:17" ht="19.5" customHeight="1" x14ac:dyDescent="0.25">
      <c r="A904" s="9"/>
      <c r="B904" s="9"/>
      <c r="C904" s="15"/>
      <c r="D904" s="15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</row>
    <row r="905" spans="1:17" ht="19.5" customHeight="1" x14ac:dyDescent="0.25">
      <c r="A905" s="9"/>
      <c r="B905" s="9"/>
      <c r="C905" s="15"/>
      <c r="D905" s="15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</row>
    <row r="906" spans="1:17" ht="19.5" customHeight="1" x14ac:dyDescent="0.25">
      <c r="A906" s="9"/>
      <c r="B906" s="9"/>
      <c r="C906" s="15"/>
      <c r="D906" s="15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</row>
    <row r="907" spans="1:17" ht="19.5" customHeight="1" x14ac:dyDescent="0.25">
      <c r="A907" s="9"/>
      <c r="B907" s="9"/>
      <c r="C907" s="15"/>
      <c r="D907" s="15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</row>
    <row r="908" spans="1:17" ht="19.5" customHeight="1" x14ac:dyDescent="0.25">
      <c r="A908" s="9"/>
      <c r="B908" s="9"/>
      <c r="C908" s="15"/>
      <c r="D908" s="15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</row>
    <row r="909" spans="1:17" ht="19.5" customHeight="1" x14ac:dyDescent="0.25">
      <c r="A909" s="9"/>
      <c r="B909" s="9"/>
      <c r="C909" s="15"/>
      <c r="D909" s="15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</row>
    <row r="910" spans="1:17" ht="19.5" customHeight="1" x14ac:dyDescent="0.25">
      <c r="A910" s="9"/>
      <c r="B910" s="9"/>
      <c r="C910" s="15"/>
      <c r="D910" s="15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</row>
    <row r="911" spans="1:17" ht="19.5" customHeight="1" x14ac:dyDescent="0.25">
      <c r="A911" s="9"/>
      <c r="B911" s="9"/>
      <c r="C911" s="15"/>
      <c r="D911" s="15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</row>
    <row r="912" spans="1:17" ht="19.5" customHeight="1" x14ac:dyDescent="0.25">
      <c r="A912" s="9"/>
      <c r="B912" s="9"/>
      <c r="C912" s="15"/>
      <c r="D912" s="15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</row>
    <row r="913" spans="1:17" ht="19.5" customHeight="1" x14ac:dyDescent="0.25">
      <c r="A913" s="9"/>
      <c r="B913" s="9"/>
      <c r="C913" s="15"/>
      <c r="D913" s="15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</row>
    <row r="914" spans="1:17" ht="19.5" customHeight="1" x14ac:dyDescent="0.25">
      <c r="A914" s="9"/>
      <c r="B914" s="9"/>
      <c r="C914" s="15"/>
      <c r="D914" s="15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</row>
    <row r="915" spans="1:17" ht="19.5" customHeight="1" x14ac:dyDescent="0.25">
      <c r="A915" s="9"/>
      <c r="B915" s="9"/>
      <c r="C915" s="15"/>
      <c r="D915" s="15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</row>
    <row r="916" spans="1:17" ht="19.5" customHeight="1" x14ac:dyDescent="0.25">
      <c r="A916" s="9"/>
      <c r="B916" s="9"/>
      <c r="C916" s="15"/>
      <c r="D916" s="15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</row>
    <row r="917" spans="1:17" ht="19.5" customHeight="1" x14ac:dyDescent="0.25">
      <c r="A917" s="9"/>
      <c r="B917" s="9"/>
      <c r="C917" s="15"/>
      <c r="D917" s="15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</row>
    <row r="918" spans="1:17" ht="19.5" customHeight="1" x14ac:dyDescent="0.25">
      <c r="A918" s="9"/>
      <c r="B918" s="9"/>
      <c r="C918" s="15"/>
      <c r="D918" s="15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</row>
    <row r="919" spans="1:17" ht="19.5" customHeight="1" x14ac:dyDescent="0.25">
      <c r="A919" s="9"/>
      <c r="B919" s="9"/>
      <c r="C919" s="15"/>
      <c r="D919" s="15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</row>
    <row r="920" spans="1:17" ht="19.5" customHeight="1" x14ac:dyDescent="0.25">
      <c r="A920" s="9"/>
      <c r="B920" s="9"/>
      <c r="C920" s="15"/>
      <c r="D920" s="15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</row>
    <row r="921" spans="1:17" ht="19.5" customHeight="1" x14ac:dyDescent="0.25">
      <c r="A921" s="9"/>
      <c r="B921" s="9"/>
      <c r="C921" s="15"/>
      <c r="D921" s="15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</row>
    <row r="922" spans="1:17" ht="19.5" customHeight="1" x14ac:dyDescent="0.25">
      <c r="A922" s="9"/>
      <c r="B922" s="9"/>
      <c r="C922" s="15"/>
      <c r="D922" s="15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</row>
    <row r="923" spans="1:17" ht="19.5" customHeight="1" x14ac:dyDescent="0.25">
      <c r="A923" s="9"/>
      <c r="B923" s="9"/>
      <c r="C923" s="15"/>
      <c r="D923" s="15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</row>
    <row r="924" spans="1:17" ht="19.5" customHeight="1" x14ac:dyDescent="0.25">
      <c r="A924" s="9"/>
      <c r="B924" s="9"/>
      <c r="C924" s="15"/>
      <c r="D924" s="15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</row>
    <row r="925" spans="1:17" ht="19.5" customHeight="1" x14ac:dyDescent="0.25">
      <c r="A925" s="9"/>
      <c r="B925" s="9"/>
      <c r="C925" s="15"/>
      <c r="D925" s="15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</row>
    <row r="926" spans="1:17" ht="19.5" customHeight="1" x14ac:dyDescent="0.25">
      <c r="A926" s="9"/>
      <c r="B926" s="9"/>
      <c r="C926" s="15"/>
      <c r="D926" s="15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</row>
    <row r="927" spans="1:17" ht="19.5" customHeight="1" x14ac:dyDescent="0.25">
      <c r="A927" s="9"/>
      <c r="B927" s="9"/>
      <c r="C927" s="15"/>
      <c r="D927" s="15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</row>
    <row r="928" spans="1:17" ht="19.5" customHeight="1" x14ac:dyDescent="0.25">
      <c r="A928" s="9"/>
      <c r="B928" s="9"/>
      <c r="C928" s="15"/>
      <c r="D928" s="15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</row>
    <row r="929" spans="1:17" ht="19.5" customHeight="1" x14ac:dyDescent="0.25">
      <c r="A929" s="9"/>
      <c r="B929" s="9"/>
      <c r="C929" s="15"/>
      <c r="D929" s="15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</row>
    <row r="930" spans="1:17" ht="19.5" customHeight="1" x14ac:dyDescent="0.25">
      <c r="A930" s="9"/>
      <c r="B930" s="9"/>
      <c r="C930" s="15"/>
      <c r="D930" s="15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</row>
    <row r="931" spans="1:17" ht="19.5" customHeight="1" x14ac:dyDescent="0.25">
      <c r="A931" s="9"/>
      <c r="B931" s="9"/>
      <c r="C931" s="15"/>
      <c r="D931" s="15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</row>
    <row r="932" spans="1:17" ht="19.5" customHeight="1" x14ac:dyDescent="0.25">
      <c r="A932" s="9"/>
      <c r="B932" s="9"/>
      <c r="C932" s="15"/>
      <c r="D932" s="15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</row>
    <row r="933" spans="1:17" ht="19.5" customHeight="1" x14ac:dyDescent="0.25">
      <c r="A933" s="9"/>
      <c r="B933" s="9"/>
      <c r="C933" s="15"/>
      <c r="D933" s="15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</row>
    <row r="934" spans="1:17" ht="19.5" customHeight="1" x14ac:dyDescent="0.25">
      <c r="A934" s="9"/>
      <c r="B934" s="9"/>
      <c r="C934" s="15"/>
      <c r="D934" s="15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</row>
    <row r="935" spans="1:17" ht="19.5" customHeight="1" x14ac:dyDescent="0.25">
      <c r="A935" s="9"/>
      <c r="B935" s="9"/>
      <c r="C935" s="15"/>
      <c r="D935" s="15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</row>
    <row r="936" spans="1:17" ht="19.5" customHeight="1" x14ac:dyDescent="0.25">
      <c r="A936" s="9"/>
      <c r="B936" s="9"/>
      <c r="C936" s="15"/>
      <c r="D936" s="15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</row>
    <row r="937" spans="1:17" ht="19.5" customHeight="1" x14ac:dyDescent="0.25">
      <c r="A937" s="9"/>
      <c r="B937" s="9"/>
      <c r="C937" s="15"/>
      <c r="D937" s="15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</row>
    <row r="938" spans="1:17" ht="19.5" customHeight="1" x14ac:dyDescent="0.25">
      <c r="A938" s="9"/>
      <c r="B938" s="9"/>
      <c r="C938" s="15"/>
      <c r="D938" s="15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</row>
    <row r="939" spans="1:17" ht="19.5" customHeight="1" x14ac:dyDescent="0.25">
      <c r="A939" s="9"/>
      <c r="B939" s="9"/>
      <c r="C939" s="15"/>
      <c r="D939" s="15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</row>
    <row r="940" spans="1:17" ht="19.5" customHeight="1" x14ac:dyDescent="0.25">
      <c r="A940" s="9"/>
      <c r="B940" s="9"/>
      <c r="C940" s="15"/>
      <c r="D940" s="15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</row>
    <row r="941" spans="1:17" ht="19.5" customHeight="1" x14ac:dyDescent="0.25">
      <c r="A941" s="9"/>
      <c r="B941" s="9"/>
      <c r="C941" s="15"/>
      <c r="D941" s="15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</row>
    <row r="942" spans="1:17" ht="19.5" customHeight="1" x14ac:dyDescent="0.25">
      <c r="A942" s="9"/>
      <c r="B942" s="9"/>
      <c r="C942" s="15"/>
      <c r="D942" s="15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</row>
    <row r="943" spans="1:17" ht="19.5" customHeight="1" x14ac:dyDescent="0.25">
      <c r="A943" s="9"/>
      <c r="B943" s="9"/>
      <c r="C943" s="15"/>
      <c r="D943" s="15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</row>
    <row r="944" spans="1:17" ht="19.5" customHeight="1" x14ac:dyDescent="0.25">
      <c r="A944" s="9"/>
      <c r="B944" s="9"/>
      <c r="C944" s="15"/>
      <c r="D944" s="15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</row>
    <row r="945" spans="1:17" ht="19.5" customHeight="1" x14ac:dyDescent="0.25">
      <c r="A945" s="9"/>
      <c r="B945" s="9"/>
      <c r="C945" s="15"/>
      <c r="D945" s="15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</row>
    <row r="946" spans="1:17" ht="19.5" customHeight="1" x14ac:dyDescent="0.25">
      <c r="A946" s="9"/>
      <c r="B946" s="9"/>
      <c r="C946" s="15"/>
      <c r="D946" s="15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</row>
    <row r="947" spans="1:17" ht="19.5" customHeight="1" x14ac:dyDescent="0.25">
      <c r="A947" s="9"/>
      <c r="B947" s="9"/>
      <c r="C947" s="15"/>
      <c r="D947" s="15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</row>
    <row r="948" spans="1:17" ht="19.5" customHeight="1" x14ac:dyDescent="0.25">
      <c r="A948" s="9"/>
      <c r="B948" s="9"/>
      <c r="C948" s="15"/>
      <c r="D948" s="15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</row>
    <row r="949" spans="1:17" ht="19.5" customHeight="1" x14ac:dyDescent="0.25">
      <c r="A949" s="9"/>
      <c r="B949" s="9"/>
      <c r="C949" s="15"/>
      <c r="D949" s="15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</row>
    <row r="950" spans="1:17" ht="19.5" customHeight="1" x14ac:dyDescent="0.25">
      <c r="A950" s="9"/>
      <c r="B950" s="9"/>
      <c r="C950" s="15"/>
      <c r="D950" s="15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</row>
    <row r="951" spans="1:17" ht="19.5" customHeight="1" x14ac:dyDescent="0.25">
      <c r="A951" s="9"/>
      <c r="B951" s="9"/>
      <c r="C951" s="15"/>
      <c r="D951" s="15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</row>
    <row r="952" spans="1:17" ht="19.5" customHeight="1" x14ac:dyDescent="0.25">
      <c r="A952" s="9"/>
      <c r="B952" s="9"/>
      <c r="C952" s="15"/>
      <c r="D952" s="15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</row>
    <row r="953" spans="1:17" ht="19.5" customHeight="1" x14ac:dyDescent="0.25">
      <c r="A953" s="9"/>
      <c r="B953" s="9"/>
      <c r="C953" s="15"/>
      <c r="D953" s="15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</row>
    <row r="954" spans="1:17" ht="19.5" customHeight="1" x14ac:dyDescent="0.25">
      <c r="A954" s="9"/>
      <c r="B954" s="9"/>
      <c r="C954" s="15"/>
      <c r="D954" s="15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</row>
    <row r="955" spans="1:17" ht="19.5" customHeight="1" x14ac:dyDescent="0.25">
      <c r="A955" s="9"/>
      <c r="B955" s="9"/>
      <c r="C955" s="15"/>
      <c r="D955" s="15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</row>
    <row r="956" spans="1:17" ht="19.5" customHeight="1" x14ac:dyDescent="0.25">
      <c r="A956" s="9"/>
      <c r="B956" s="9"/>
      <c r="C956" s="15"/>
      <c r="D956" s="15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</row>
    <row r="957" spans="1:17" ht="19.5" customHeight="1" x14ac:dyDescent="0.25">
      <c r="A957" s="9"/>
      <c r="B957" s="9"/>
      <c r="C957" s="15"/>
      <c r="D957" s="15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</row>
    <row r="958" spans="1:17" ht="19.5" customHeight="1" x14ac:dyDescent="0.25">
      <c r="A958" s="9"/>
      <c r="B958" s="9"/>
      <c r="C958" s="15"/>
      <c r="D958" s="15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</row>
    <row r="959" spans="1:17" ht="19.5" customHeight="1" x14ac:dyDescent="0.25">
      <c r="A959" s="9"/>
      <c r="B959" s="9"/>
      <c r="C959" s="15"/>
      <c r="D959" s="15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</row>
    <row r="960" spans="1:17" ht="19.5" customHeight="1" x14ac:dyDescent="0.25">
      <c r="A960" s="9"/>
      <c r="B960" s="9"/>
      <c r="C960" s="15"/>
      <c r="D960" s="15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</row>
    <row r="961" spans="1:17" ht="19.5" customHeight="1" x14ac:dyDescent="0.25">
      <c r="A961" s="9"/>
      <c r="B961" s="9"/>
      <c r="C961" s="15"/>
      <c r="D961" s="15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</row>
    <row r="962" spans="1:17" ht="19.5" customHeight="1" x14ac:dyDescent="0.25">
      <c r="A962" s="9"/>
      <c r="B962" s="9"/>
      <c r="C962" s="15"/>
      <c r="D962" s="15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</row>
    <row r="963" spans="1:17" ht="19.5" customHeight="1" x14ac:dyDescent="0.25">
      <c r="A963" s="9"/>
      <c r="B963" s="9"/>
      <c r="C963" s="15"/>
      <c r="D963" s="15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</row>
    <row r="964" spans="1:17" ht="19.5" customHeight="1" x14ac:dyDescent="0.25">
      <c r="A964" s="9"/>
      <c r="B964" s="9"/>
      <c r="C964" s="15"/>
      <c r="D964" s="15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</row>
    <row r="965" spans="1:17" ht="19.5" customHeight="1" x14ac:dyDescent="0.25">
      <c r="A965" s="9"/>
      <c r="B965" s="9"/>
      <c r="C965" s="15"/>
      <c r="D965" s="15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</row>
    <row r="966" spans="1:17" ht="19.5" customHeight="1" x14ac:dyDescent="0.25">
      <c r="A966" s="9"/>
      <c r="B966" s="9"/>
      <c r="C966" s="15"/>
      <c r="D966" s="15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</row>
    <row r="967" spans="1:17" ht="19.5" customHeight="1" x14ac:dyDescent="0.25">
      <c r="A967" s="9"/>
      <c r="B967" s="9"/>
      <c r="C967" s="15"/>
      <c r="D967" s="15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</row>
    <row r="968" spans="1:17" ht="19.5" customHeight="1" x14ac:dyDescent="0.25">
      <c r="A968" s="9"/>
      <c r="B968" s="9"/>
      <c r="C968" s="15"/>
      <c r="D968" s="15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</row>
    <row r="969" spans="1:17" ht="19.5" customHeight="1" x14ac:dyDescent="0.25">
      <c r="A969" s="9"/>
      <c r="B969" s="9"/>
      <c r="C969" s="15"/>
      <c r="D969" s="15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</row>
    <row r="970" spans="1:17" ht="19.5" customHeight="1" x14ac:dyDescent="0.25">
      <c r="A970" s="9"/>
      <c r="B970" s="9"/>
      <c r="C970" s="15"/>
      <c r="D970" s="15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</row>
    <row r="971" spans="1:17" ht="19.5" customHeight="1" x14ac:dyDescent="0.25">
      <c r="A971" s="9"/>
      <c r="B971" s="9"/>
      <c r="C971" s="15"/>
      <c r="D971" s="15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</row>
    <row r="972" spans="1:17" ht="19.5" customHeight="1" x14ac:dyDescent="0.25">
      <c r="A972" s="9"/>
      <c r="B972" s="9"/>
      <c r="C972" s="15"/>
      <c r="D972" s="15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</row>
    <row r="973" spans="1:17" ht="19.5" customHeight="1" x14ac:dyDescent="0.25">
      <c r="A973" s="9"/>
      <c r="B973" s="9"/>
      <c r="C973" s="15"/>
      <c r="D973" s="15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</row>
    <row r="974" spans="1:17" ht="19.5" customHeight="1" x14ac:dyDescent="0.25">
      <c r="A974" s="9"/>
      <c r="B974" s="9"/>
      <c r="C974" s="15"/>
      <c r="D974" s="15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</row>
    <row r="975" spans="1:17" ht="19.5" customHeight="1" x14ac:dyDescent="0.25">
      <c r="A975" s="9"/>
      <c r="B975" s="9"/>
      <c r="C975" s="15"/>
      <c r="D975" s="15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</row>
    <row r="976" spans="1:17" ht="19.5" customHeight="1" x14ac:dyDescent="0.25">
      <c r="A976" s="9"/>
      <c r="B976" s="9"/>
      <c r="C976" s="15"/>
      <c r="D976" s="15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</row>
    <row r="977" spans="1:17" ht="19.5" customHeight="1" x14ac:dyDescent="0.25">
      <c r="A977" s="9"/>
      <c r="B977" s="9"/>
      <c r="C977" s="15"/>
      <c r="D977" s="15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</row>
    <row r="978" spans="1:17" ht="19.5" customHeight="1" x14ac:dyDescent="0.25">
      <c r="A978" s="9"/>
      <c r="B978" s="9"/>
      <c r="C978" s="15"/>
      <c r="D978" s="15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</row>
    <row r="979" spans="1:17" ht="19.5" customHeight="1" x14ac:dyDescent="0.25">
      <c r="A979" s="9"/>
      <c r="B979" s="9"/>
      <c r="C979" s="15"/>
      <c r="D979" s="15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</row>
    <row r="980" spans="1:17" ht="19.5" customHeight="1" x14ac:dyDescent="0.25">
      <c r="A980" s="9"/>
      <c r="B980" s="9"/>
      <c r="C980" s="15"/>
      <c r="D980" s="15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</row>
    <row r="981" spans="1:17" ht="19.5" customHeight="1" x14ac:dyDescent="0.25">
      <c r="A981" s="9"/>
      <c r="B981" s="9"/>
      <c r="C981" s="15"/>
      <c r="D981" s="15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</row>
    <row r="982" spans="1:17" ht="19.5" customHeight="1" x14ac:dyDescent="0.25">
      <c r="A982" s="9"/>
      <c r="B982" s="9"/>
      <c r="C982" s="15"/>
      <c r="D982" s="15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</row>
    <row r="983" spans="1:17" ht="19.5" customHeight="1" x14ac:dyDescent="0.25">
      <c r="A983" s="9"/>
      <c r="B983" s="9"/>
      <c r="C983" s="15"/>
      <c r="D983" s="15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</row>
    <row r="984" spans="1:17" ht="19.5" customHeight="1" x14ac:dyDescent="0.25">
      <c r="A984" s="9"/>
      <c r="B984" s="9"/>
      <c r="C984" s="15"/>
      <c r="D984" s="15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</row>
    <row r="985" spans="1:17" ht="19.5" customHeight="1" x14ac:dyDescent="0.25">
      <c r="A985" s="9"/>
      <c r="B985" s="9"/>
      <c r="C985" s="15"/>
      <c r="D985" s="15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</row>
    <row r="986" spans="1:17" ht="19.5" customHeight="1" x14ac:dyDescent="0.25">
      <c r="A986" s="9"/>
      <c r="B986" s="9"/>
      <c r="C986" s="15"/>
      <c r="D986" s="15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</row>
    <row r="987" spans="1:17" ht="19.5" customHeight="1" x14ac:dyDescent="0.25">
      <c r="A987" s="9"/>
      <c r="B987" s="9"/>
      <c r="C987" s="15"/>
      <c r="D987" s="15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</row>
    <row r="988" spans="1:17" ht="19.5" customHeight="1" x14ac:dyDescent="0.25">
      <c r="A988" s="9"/>
      <c r="B988" s="9"/>
      <c r="C988" s="15"/>
      <c r="D988" s="15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</row>
    <row r="989" spans="1:17" ht="19.5" customHeight="1" x14ac:dyDescent="0.25">
      <c r="A989" s="9"/>
      <c r="B989" s="9"/>
      <c r="C989" s="15"/>
      <c r="D989" s="15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</row>
    <row r="990" spans="1:17" ht="19.5" customHeight="1" x14ac:dyDescent="0.25">
      <c r="A990" s="9"/>
      <c r="B990" s="9"/>
      <c r="C990" s="15"/>
      <c r="D990" s="15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</row>
    <row r="991" spans="1:17" ht="19.5" customHeight="1" x14ac:dyDescent="0.25">
      <c r="A991" s="9"/>
      <c r="B991" s="9"/>
      <c r="C991" s="15"/>
      <c r="D991" s="15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</row>
    <row r="992" spans="1:17" ht="19.5" customHeight="1" x14ac:dyDescent="0.25">
      <c r="A992" s="9"/>
      <c r="B992" s="9"/>
      <c r="C992" s="15"/>
      <c r="D992" s="15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</row>
    <row r="993" spans="1:17" ht="19.5" customHeight="1" x14ac:dyDescent="0.25">
      <c r="A993" s="9"/>
      <c r="B993" s="9"/>
      <c r="C993" s="15"/>
      <c r="D993" s="15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</row>
    <row r="994" spans="1:17" ht="19.5" customHeight="1" x14ac:dyDescent="0.25">
      <c r="A994" s="9"/>
      <c r="B994" s="9"/>
      <c r="C994" s="15"/>
      <c r="D994" s="15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</row>
    <row r="995" spans="1:17" ht="19.5" customHeight="1" x14ac:dyDescent="0.25">
      <c r="A995" s="9"/>
      <c r="B995" s="9"/>
      <c r="C995" s="15"/>
      <c r="D995" s="15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</row>
    <row r="996" spans="1:17" ht="19.5" customHeight="1" x14ac:dyDescent="0.25">
      <c r="A996" s="9"/>
      <c r="B996" s="9"/>
      <c r="C996" s="15"/>
      <c r="D996" s="15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</row>
    <row r="997" spans="1:17" ht="19.5" customHeight="1" x14ac:dyDescent="0.25">
      <c r="A997" s="9"/>
      <c r="B997" s="9"/>
      <c r="C997" s="15"/>
      <c r="D997" s="15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</row>
    <row r="998" spans="1:17" ht="19.5" customHeight="1" x14ac:dyDescent="0.25">
      <c r="A998" s="9"/>
      <c r="B998" s="9"/>
      <c r="C998" s="15"/>
      <c r="D998" s="15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</row>
    <row r="999" spans="1:17" ht="19.5" customHeight="1" x14ac:dyDescent="0.25">
      <c r="A999" s="9"/>
      <c r="B999" s="9"/>
      <c r="C999" s="15"/>
      <c r="D999" s="15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</row>
  </sheetData>
  <pageMargins left="0.511811024" right="0.511811024" top="0.78740157499999996" bottom="0.78740157499999996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2"/>
  <sheetViews>
    <sheetView zoomScale="85" zoomScaleNormal="85" workbookViewId="0">
      <selection activeCell="C78" sqref="C78"/>
    </sheetView>
  </sheetViews>
  <sheetFormatPr defaultColWidth="14.42578125" defaultRowHeight="15" customHeight="1" x14ac:dyDescent="0.25"/>
  <cols>
    <col min="1" max="1" width="66.28515625" customWidth="1"/>
    <col min="2" max="2" width="23.28515625" bestFit="1" customWidth="1"/>
    <col min="3" max="3" width="16.85546875" customWidth="1"/>
    <col min="4" max="4" width="24.140625" style="53" customWidth="1"/>
    <col min="5" max="5" width="58" customWidth="1"/>
    <col min="6" max="6" width="9.140625" customWidth="1"/>
    <col min="7" max="7" width="11.7109375" customWidth="1"/>
    <col min="8" max="10" width="9.140625" customWidth="1"/>
    <col min="11" max="11" width="10.85546875" customWidth="1"/>
    <col min="12" max="23" width="9.140625" customWidth="1"/>
  </cols>
  <sheetData>
    <row r="1" spans="1:23" ht="16.5" customHeight="1" x14ac:dyDescent="0.6">
      <c r="A1" s="164" t="s">
        <v>0</v>
      </c>
      <c r="B1" s="166" t="s">
        <v>91</v>
      </c>
      <c r="C1" s="167"/>
      <c r="D1" s="68" t="s">
        <v>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9.5" customHeight="1" x14ac:dyDescent="0.6">
      <c r="A2" s="165"/>
      <c r="B2" s="62" t="s">
        <v>64</v>
      </c>
      <c r="C2" s="60" t="s">
        <v>2</v>
      </c>
      <c r="D2" s="69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9.5" customHeight="1" x14ac:dyDescent="0.6">
      <c r="A3" s="34" t="str">
        <f>ORÇAMENTO_COMPARATIVO!A3</f>
        <v>CUSTOS PRELIMINARES, ADMINISTRATIVOS E OPERAÇÕES</v>
      </c>
      <c r="B3" s="99">
        <f>ORÇAMENTO_COMPARATIVO!J3</f>
        <v>8753722.8527303897</v>
      </c>
      <c r="C3" s="64">
        <f>ORÇAMENTO_COMPARATIVO!L3</f>
        <v>666.60240961710576</v>
      </c>
      <c r="D3" s="64" t="str">
        <f>FIXED(CÁLCULO_MÉDIAS!R10,2,FALSE)&amp;" "&amp;"-"&amp;FIXED(CÁLCULO_MÉDIAS!S10,2,FALSE)</f>
        <v>530,00 -650,00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9.5" customHeight="1" x14ac:dyDescent="0.6">
      <c r="A4" s="35" t="str">
        <f>ORÇAMENTO_COMPARATIVO!A4</f>
        <v>EQUIPAMENTOS DE GRANDE PORTE</v>
      </c>
      <c r="B4" s="92">
        <f>ORÇAMENTO_COMPARATIVO!J4</f>
        <v>1428510.0333333334</v>
      </c>
      <c r="C4" s="20">
        <f>ORÇAMENTO_COMPARATIVO!L4</f>
        <v>108.78208579395391</v>
      </c>
      <c r="D4" s="20" t="str">
        <f>FIXED(CÁLCULO_MÉDIAS!R11,2,FALSE)&amp;" "&amp;"-"&amp;FIXED(CÁLCULO_MÉDIAS!S11,2,FALSE)</f>
        <v>16,00 -27,00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9.5" customHeight="1" x14ac:dyDescent="0.25">
      <c r="A5" s="34" t="str">
        <f>ORÇAMENTO_COMPARATIVO!A5</f>
        <v>INFRAESTRUTURA</v>
      </c>
      <c r="B5" s="99">
        <f>ORÇAMENTO_COMPARATIVO!J5</f>
        <v>4472521.2797970148</v>
      </c>
      <c r="C5" s="64">
        <f>ORÇAMENTO_COMPARATIVO!L5</f>
        <v>340.58577274314092</v>
      </c>
      <c r="D5" s="64" t="str">
        <f>FIXED(CÁLCULO_MÉDIAS!R12,2,FALSE)&amp;" "&amp;"-"&amp;FIXED(CÁLCULO_MÉDIAS!S12,2,FALSE)</f>
        <v>220,00 -370,00</v>
      </c>
      <c r="E5" s="4"/>
      <c r="F5" s="3"/>
      <c r="G5" s="4"/>
      <c r="H5" s="5"/>
      <c r="I5" s="3"/>
      <c r="J5" s="4"/>
      <c r="K5" s="4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19.5" customHeight="1" x14ac:dyDescent="0.25">
      <c r="A6" s="35" t="str">
        <f>ORÇAMENTO_COMPARATIVO!A6</f>
        <v>SUPRAESTRUTURA</v>
      </c>
      <c r="B6" s="92">
        <f>ORÇAMENTO_COMPARATIVO!J6</f>
        <v>16569702.13624531</v>
      </c>
      <c r="C6" s="125">
        <f>ORÇAMENTO_COMPARATIVO!L6</f>
        <v>1261.7949592970763</v>
      </c>
      <c r="D6" s="20" t="str">
        <f>FIXED(CÁLCULO_MÉDIAS!R13,2,FALSE)&amp;" "&amp;"-"&amp;FIXED(CÁLCULO_MÉDIAS!S13,2,FALSE)</f>
        <v>730,00 -810,00</v>
      </c>
      <c r="E6" s="3" t="s">
        <v>94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19.5" customHeight="1" x14ac:dyDescent="0.25">
      <c r="A7" s="34" t="str">
        <f>ORÇAMENTO_COMPARATIVO!A7</f>
        <v>ALVENARIAS E VEDAÇÕES</v>
      </c>
      <c r="B7" s="99">
        <f>ORÇAMENTO_COMPARATIVO!J7</f>
        <v>4429172.1571696931</v>
      </c>
      <c r="C7" s="64">
        <f>ORÇAMENTO_COMPARATIVO!L7</f>
        <v>337.28470529054886</v>
      </c>
      <c r="D7" s="64" t="str">
        <f>FIXED(CÁLCULO_MÉDIAS!R14,2,FALSE)&amp;" "&amp;"-"&amp;FIXED(CÁLCULO_MÉDIAS!S14,2,FALSE)</f>
        <v>100,00 -170,00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19.5" customHeight="1" x14ac:dyDescent="0.25">
      <c r="A8" s="35" t="str">
        <f>ORÇAMENTO_COMPARATIVO!A8</f>
        <v>SISTEMAS E INSTALAÇÕES HIDROSSANITÁRIAS E DRENAGEM</v>
      </c>
      <c r="B8" s="92">
        <f>ORÇAMENTO_COMPARATIVO!J8</f>
        <v>1649879.2174833333</v>
      </c>
      <c r="C8" s="20">
        <f>ORÇAMENTO_COMPARATIVO!L8</f>
        <v>125.63951137755407</v>
      </c>
      <c r="D8" s="20" t="str">
        <f>FIXED(CÁLCULO_MÉDIAS!R15,2,FALSE)&amp;" "&amp;"-"&amp;FIXED(CÁLCULO_MÉDIAS!S15,2,FALSE)</f>
        <v>480,00 -600,00</v>
      </c>
      <c r="E8" s="11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19.5" customHeight="1" x14ac:dyDescent="0.25">
      <c r="A9" s="34" t="str">
        <f>ORÇAMENTO_COMPARATIVO!A9</f>
        <v>SISTEMAS E INSTALAÇÕES ELÉTRICAS</v>
      </c>
      <c r="B9" s="99">
        <f>ORÇAMENTO_COMPARATIVO!J9</f>
        <v>2108723.0697037145</v>
      </c>
      <c r="C9" s="64">
        <f>ORÇAMENTO_COMPARATIVO!L9</f>
        <v>160.58080694675272</v>
      </c>
      <c r="D9" s="64" t="str">
        <f>FIXED(CÁLCULO_MÉDIAS!R16,2,FALSE)&amp;" "&amp;"-"&amp;FIXED(CÁLCULO_MÉDIAS!S16,2,FALSE)</f>
        <v>230,00 -265,00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19.5" customHeight="1" x14ac:dyDescent="0.25">
      <c r="A10" s="35" t="str">
        <f>ORÇAMENTO_COMPARATIVO!A10</f>
        <v>REVESTIMENTOS EM ARGAMASSA DE PISO, PAREDE E TETO</v>
      </c>
      <c r="B10" s="92">
        <f>ORÇAMENTO_COMPARATIVO!J10</f>
        <v>1898258.4656083335</v>
      </c>
      <c r="C10" s="20">
        <f>ORÇAMENTO_COMPARATIVO!L10</f>
        <v>144.5537731247565</v>
      </c>
      <c r="D10" s="20" t="str">
        <f>FIXED(CÁLCULO_MÉDIAS!R17,2,FALSE)&amp;" "&amp;"-"&amp;FIXED(CÁLCULO_MÉDIAS!S17,2,FALSE)</f>
        <v>65,00 -100,00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19.5" customHeight="1" x14ac:dyDescent="0.25">
      <c r="A11" s="34" t="str">
        <f>ORÇAMENTO_COMPARATIVO!A11</f>
        <v>FORRO</v>
      </c>
      <c r="B11" s="99">
        <f>ORÇAMENTO_COMPARATIVO!J11</f>
        <v>736663.29528736509</v>
      </c>
      <c r="C11" s="64">
        <f>ORÇAMENTO_COMPARATIVO!L11</f>
        <v>56.097449733842922</v>
      </c>
      <c r="D11" s="64" t="str">
        <f>FIXED(CÁLCULO_MÉDIAS!R18,2,FALSE)&amp;" "&amp;"-"&amp;FIXED(CÁLCULO_MÉDIAS!S18,2,FALSE)</f>
        <v>160,00 -210,00</v>
      </c>
      <c r="E11" s="3" t="s">
        <v>95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19.5" customHeight="1" x14ac:dyDescent="0.25">
      <c r="A12" s="35" t="str">
        <f>ORÇAMENTO_COMPARATIVO!A12</f>
        <v>IMPERMEABILIZAÇÃO E TRATAMENTOS</v>
      </c>
      <c r="B12" s="92">
        <f>ORÇAMENTO_COMPARATIVO!J12</f>
        <v>1214123.3285218002</v>
      </c>
      <c r="C12" s="20">
        <f>ORÇAMENTO_COMPARATIVO!L12</f>
        <v>92.45638112846251</v>
      </c>
      <c r="D12" s="20" t="str">
        <f>FIXED(CÁLCULO_MÉDIAS!R19,2,FALSE)&amp;" "&amp;"-"&amp;FIXED(CÁLCULO_MÉDIAS!S19,2,FALSE)</f>
        <v>55,00 -90,00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19.5" customHeight="1" x14ac:dyDescent="0.25">
      <c r="A13" s="34" t="str">
        <f>ORÇAMENTO_COMPARATIVO!A13</f>
        <v>PINTURA</v>
      </c>
      <c r="B13" s="99">
        <f>ORÇAMENTO_COMPARATIVO!J13</f>
        <v>2370480.0312116882</v>
      </c>
      <c r="C13" s="64">
        <f>ORÇAMENTO_COMPARATIVO!L13</f>
        <v>180.51379137072755</v>
      </c>
      <c r="D13" s="64" t="str">
        <f>FIXED(CÁLCULO_MÉDIAS!R20,2,FALSE)&amp;" "&amp;"-"&amp;FIXED(CÁLCULO_MÉDIAS!S20,2,FALSE)</f>
        <v>200,00 -280,00</v>
      </c>
      <c r="E13" s="3" t="s">
        <v>96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19.5" customHeight="1" x14ac:dyDescent="0.25">
      <c r="A14" s="35" t="str">
        <f>ORÇAMENTO_COMPARATIVO!A14</f>
        <v>ACABAMENTOS EM PISO E PAREDE</v>
      </c>
      <c r="B14" s="92">
        <f>ORÇAMENTO_COMPARATIVO!J14</f>
        <v>7112920.8864441477</v>
      </c>
      <c r="C14" s="20">
        <f>ORÇAMENTO_COMPARATIVO!L14</f>
        <v>541.65413756966063</v>
      </c>
      <c r="D14" s="20" t="str">
        <f>FIXED(CÁLCULO_MÉDIAS!R21,2,FALSE)&amp;" "&amp;"-"&amp;FIXED(CÁLCULO_MÉDIAS!S21,2,FALSE)</f>
        <v>100,00 -150,00</v>
      </c>
      <c r="E14" s="3" t="s">
        <v>92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19.5" customHeight="1" x14ac:dyDescent="0.25">
      <c r="A15" s="34" t="str">
        <f>ORÇAMENTO_COMPARATIVO!A15</f>
        <v>ESQUADRIAS, VIDROS E FERRAGENS</v>
      </c>
      <c r="B15" s="99">
        <f>ORÇAMENTO_COMPARATIVO!J15</f>
        <v>8730804.6296780538</v>
      </c>
      <c r="C15" s="64">
        <f>ORÇAMENTO_COMPARATIVO!L15</f>
        <v>664.85717013810347</v>
      </c>
      <c r="D15" s="64" t="str">
        <f>FIXED(CÁLCULO_MÉDIAS!R22,2,FALSE)&amp;" "&amp;"-"&amp;FIXED(CÁLCULO_MÉDIAS!S22,2,FALSE)</f>
        <v>630,00 -700,00</v>
      </c>
      <c r="E15" s="3" t="s">
        <v>97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9.5" customHeight="1" x14ac:dyDescent="0.25">
      <c r="A16" s="35" t="str">
        <f>ORÇAMENTO_COMPARATIVO!A16</f>
        <v>EQUIPAMENTOS E SISTEMAS ESPECIAIS</v>
      </c>
      <c r="B16" s="92">
        <f>ORÇAMENTO_COMPARATIVO!J16</f>
        <v>6911114.4359607538</v>
      </c>
      <c r="C16" s="20">
        <f>ORÇAMENTO_COMPARATIVO!L16</f>
        <v>526.28642848956963</v>
      </c>
      <c r="D16" s="20" t="str">
        <f>FIXED(CÁLCULO_MÉDIAS!R24,2,FALSE)&amp;" "&amp;"-"&amp;FIXED(CÁLCULO_MÉDIAS!S24,2,FALSE)</f>
        <v>170,00 -200,00</v>
      </c>
      <c r="E16" s="3" t="s">
        <v>93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19.5" customHeight="1" x14ac:dyDescent="0.25">
      <c r="A17" s="34" t="str">
        <f>ORÇAMENTO_COMPARATIVO!A17</f>
        <v>SERVIÇOS COMPLEMENTARES E FINAIS</v>
      </c>
      <c r="B17" s="99">
        <f>ORÇAMENTO_COMPARATIVO!J17</f>
        <v>1932915.8613456555</v>
      </c>
      <c r="C17" s="64">
        <f>ORÇAMENTO_COMPARATIVO!L17</f>
        <v>147.19295920572165</v>
      </c>
      <c r="D17" s="64" t="str">
        <f>FIXED(CÁLCULO_MÉDIAS!R25,2,FALSE)&amp;" "&amp;"-"&amp;FIXED(CÁLCULO_MÉDIAS!S25,2,FALSE)</f>
        <v>190,00 -250,00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19.5" hidden="1" customHeight="1" x14ac:dyDescent="0.25">
      <c r="A18" s="35" t="str">
        <f>ORÇAMENTO_COMPARATIVO!A18</f>
        <v>DECORAÇÃO E MOBILIÁRIO ÁREA COMUM</v>
      </c>
      <c r="B18" s="92">
        <f>ORÇAMENTO_COMPARATIVO!J18</f>
        <v>1820015.3354999991</v>
      </c>
      <c r="C18" s="20">
        <f>ORÇAMENTO_COMPARATIVO!L18</f>
        <v>138.59550143353749</v>
      </c>
      <c r="D18" s="20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19.5" customHeight="1" thickBot="1" x14ac:dyDescent="0.65">
      <c r="A19" s="70" t="s">
        <v>14</v>
      </c>
      <c r="B19" s="100">
        <f>SUM(B3:B17)</f>
        <v>70319511.680520594</v>
      </c>
      <c r="C19" s="71">
        <f>SUM(C3:C18)</f>
        <v>5493.4778432605144</v>
      </c>
      <c r="D19" s="72" t="str">
        <f>FIXED(CÁLCULO_MÉDIAS!R26,2,FALSE)&amp;" "&amp;"-"&amp;FIXED(CÁLCULO_MÉDIAS!S26,2,FALSE)</f>
        <v>3.876,00 -4.872,00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21.75" customHeight="1" x14ac:dyDescent="0.6">
      <c r="A20" s="1"/>
      <c r="B20" s="6"/>
      <c r="C20" s="1"/>
      <c r="D20" s="55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21.75" customHeight="1" x14ac:dyDescent="0.6">
      <c r="A21" s="1"/>
      <c r="B21" s="6"/>
      <c r="C21" s="1"/>
      <c r="D21" s="55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1.75" customHeight="1" x14ac:dyDescent="0.6">
      <c r="A22" s="1"/>
      <c r="B22" s="6"/>
      <c r="C22" s="1"/>
      <c r="D22" s="55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1.75" hidden="1" customHeight="1" x14ac:dyDescent="0.6">
      <c r="A23" s="1"/>
      <c r="B23" s="6">
        <v>2007.57</v>
      </c>
      <c r="C23" s="1"/>
      <c r="D23" s="55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1.75" hidden="1" customHeight="1" x14ac:dyDescent="0.6">
      <c r="A24" s="1"/>
      <c r="B24" s="6">
        <v>2461.35</v>
      </c>
      <c r="C24" s="1"/>
      <c r="D24" s="55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21.75" hidden="1" customHeight="1" x14ac:dyDescent="0.6">
      <c r="A25" s="1"/>
      <c r="B25" s="6">
        <f>B24/B23</f>
        <v>1.2260344595705255</v>
      </c>
      <c r="C25" s="1"/>
      <c r="D25" s="55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21.75" hidden="1" customHeight="1" x14ac:dyDescent="0.6">
      <c r="A26" s="1"/>
      <c r="B26" s="6"/>
      <c r="C26" s="1"/>
      <c r="D26" s="55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21.75" hidden="1" customHeight="1" x14ac:dyDescent="0.6">
      <c r="A27" s="1"/>
      <c r="B27" s="6"/>
      <c r="C27" s="1"/>
      <c r="D27" s="55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21.75" hidden="1" customHeight="1" x14ac:dyDescent="0.6">
      <c r="A28" s="1"/>
      <c r="B28" s="6"/>
      <c r="C28" s="1">
        <v>1.1023000000000001</v>
      </c>
      <c r="D28" s="55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21.75" hidden="1" customHeight="1" x14ac:dyDescent="0.6">
      <c r="A29" s="1"/>
      <c r="B29" s="6"/>
      <c r="C29" s="1"/>
      <c r="D29" s="55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21.75" hidden="1" customHeight="1" x14ac:dyDescent="0.6">
      <c r="A30" s="7" t="s">
        <v>15</v>
      </c>
      <c r="B30" s="6">
        <v>900</v>
      </c>
      <c r="C30" s="6"/>
      <c r="D30" s="56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21.75" hidden="1" customHeight="1" x14ac:dyDescent="0.6">
      <c r="A31" s="8" t="s">
        <v>16</v>
      </c>
      <c r="B31" s="6">
        <v>25</v>
      </c>
      <c r="C31" s="6"/>
      <c r="D31" s="5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1.75" hidden="1" customHeight="1" x14ac:dyDescent="0.6">
      <c r="A32" s="7" t="s">
        <v>17</v>
      </c>
      <c r="B32" s="6">
        <v>15</v>
      </c>
      <c r="C32" s="6"/>
      <c r="D32" s="56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21.75" hidden="1" customHeight="1" x14ac:dyDescent="0.6">
      <c r="A33" s="8" t="s">
        <v>18</v>
      </c>
      <c r="B33" s="6">
        <v>150</v>
      </c>
      <c r="C33" s="6"/>
      <c r="D33" s="56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21.75" hidden="1" customHeight="1" x14ac:dyDescent="0.6">
      <c r="A34" s="7" t="s">
        <v>19</v>
      </c>
      <c r="B34" s="6">
        <v>440</v>
      </c>
      <c r="C34" s="6"/>
      <c r="D34" s="56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1.75" hidden="1" customHeight="1" x14ac:dyDescent="0.6">
      <c r="A35" s="8" t="s">
        <v>20</v>
      </c>
      <c r="B35" s="6"/>
      <c r="C35" s="6"/>
      <c r="D35" s="5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1.75" hidden="1" customHeight="1" x14ac:dyDescent="0.6">
      <c r="A36" s="7" t="s">
        <v>21</v>
      </c>
      <c r="B36" s="6">
        <v>55</v>
      </c>
      <c r="C36" s="6"/>
      <c r="D36" s="56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21.75" hidden="1" customHeight="1" x14ac:dyDescent="0.6">
      <c r="A37" s="8" t="s">
        <v>22</v>
      </c>
      <c r="B37" s="6">
        <v>170</v>
      </c>
      <c r="C37" s="6"/>
      <c r="D37" s="5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21.75" hidden="1" customHeight="1" x14ac:dyDescent="0.6">
      <c r="A38" s="7" t="s">
        <v>23</v>
      </c>
      <c r="B38" s="6">
        <v>165</v>
      </c>
      <c r="C38" s="6"/>
      <c r="D38" s="56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21.75" hidden="1" customHeight="1" x14ac:dyDescent="0.6">
      <c r="A39" s="8" t="s">
        <v>24</v>
      </c>
      <c r="B39" s="6">
        <v>40</v>
      </c>
      <c r="C39" s="6"/>
      <c r="D39" s="56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21.75" hidden="1" customHeight="1" x14ac:dyDescent="0.6">
      <c r="A40" s="7" t="s">
        <v>25</v>
      </c>
      <c r="B40" s="6">
        <v>55</v>
      </c>
      <c r="C40" s="6"/>
      <c r="D40" s="56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21.75" hidden="1" customHeight="1" x14ac:dyDescent="0.6">
      <c r="A41" s="8" t="s">
        <v>26</v>
      </c>
      <c r="B41" s="6">
        <v>35</v>
      </c>
      <c r="C41" s="6"/>
      <c r="D41" s="56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21.75" hidden="1" customHeight="1" x14ac:dyDescent="0.6">
      <c r="A42" s="7" t="s">
        <v>27</v>
      </c>
      <c r="B42" s="6">
        <v>130</v>
      </c>
      <c r="C42" s="6"/>
      <c r="D42" s="56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21.75" hidden="1" customHeight="1" x14ac:dyDescent="0.6">
      <c r="A43" s="8" t="s">
        <v>28</v>
      </c>
      <c r="B43" s="6">
        <v>35</v>
      </c>
      <c r="C43" s="6"/>
      <c r="D43" s="56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21.75" hidden="1" customHeight="1" x14ac:dyDescent="0.6">
      <c r="A44" s="7" t="s">
        <v>29</v>
      </c>
      <c r="B44" s="6">
        <v>35</v>
      </c>
      <c r="C44" s="6"/>
      <c r="D44" s="56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21.75" hidden="1" customHeight="1" x14ac:dyDescent="0.6">
      <c r="A45" s="8" t="s">
        <v>30</v>
      </c>
      <c r="B45" s="6">
        <v>430</v>
      </c>
      <c r="C45" s="6"/>
      <c r="D45" s="56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21.75" hidden="1" customHeight="1" x14ac:dyDescent="0.6">
      <c r="A46" s="7" t="s">
        <v>26</v>
      </c>
      <c r="B46" s="6">
        <v>35</v>
      </c>
      <c r="C46" s="6"/>
      <c r="D46" s="56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21.75" hidden="1" customHeight="1" x14ac:dyDescent="0.6">
      <c r="A47" s="8" t="s">
        <v>31</v>
      </c>
      <c r="B47" s="6">
        <v>150</v>
      </c>
      <c r="C47" s="6"/>
      <c r="D47" s="56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21.75" hidden="1" customHeight="1" x14ac:dyDescent="0.6">
      <c r="A48" s="1"/>
      <c r="B48" s="6"/>
      <c r="C48" s="1"/>
      <c r="D48" s="5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21.75" hidden="1" customHeight="1" x14ac:dyDescent="0.6">
      <c r="A49" s="1"/>
      <c r="B49" s="6"/>
      <c r="C49" s="1"/>
      <c r="D49" s="55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21.75" hidden="1" customHeight="1" x14ac:dyDescent="0.6">
      <c r="A50" s="1"/>
      <c r="B50" s="6"/>
      <c r="C50" s="1"/>
      <c r="D50" s="5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21.75" hidden="1" customHeight="1" x14ac:dyDescent="0.6">
      <c r="A51" s="1"/>
      <c r="B51" s="6"/>
      <c r="C51" s="1"/>
      <c r="D51" s="55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21.75" hidden="1" customHeight="1" x14ac:dyDescent="0.6">
      <c r="A52" s="1"/>
      <c r="B52" s="6"/>
      <c r="C52" s="1"/>
      <c r="D52" s="5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21.75" hidden="1" customHeight="1" x14ac:dyDescent="0.6">
      <c r="A53" s="1"/>
      <c r="B53" s="6"/>
      <c r="C53" s="1"/>
      <c r="D53" s="55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21.75" hidden="1" customHeight="1" x14ac:dyDescent="0.6">
      <c r="A54" s="1"/>
      <c r="B54" s="6"/>
      <c r="C54" s="1"/>
      <c r="D54" s="55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21.75" hidden="1" customHeight="1" x14ac:dyDescent="0.6">
      <c r="A55" s="1"/>
      <c r="B55" s="6"/>
      <c r="C55" s="1"/>
      <c r="D55" s="5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21.75" hidden="1" customHeight="1" x14ac:dyDescent="0.6">
      <c r="A56" s="1"/>
      <c r="B56" s="6"/>
      <c r="C56" s="1"/>
      <c r="D56" s="55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21.75" hidden="1" customHeight="1" x14ac:dyDescent="0.6">
      <c r="A57" s="1"/>
      <c r="B57" s="6"/>
      <c r="C57" s="1"/>
      <c r="D57" s="5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21.75" hidden="1" customHeight="1" x14ac:dyDescent="0.6">
      <c r="A58" s="1"/>
      <c r="B58" s="6"/>
      <c r="C58" s="1"/>
      <c r="D58" s="5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21.75" hidden="1" customHeight="1" x14ac:dyDescent="0.6">
      <c r="A59" s="1"/>
      <c r="B59" s="6"/>
      <c r="C59" s="1"/>
      <c r="D59" s="55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21.75" hidden="1" customHeight="1" x14ac:dyDescent="0.6">
      <c r="A60" s="1"/>
      <c r="B60" s="6"/>
      <c r="C60" s="1"/>
      <c r="D60" s="55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21.75" hidden="1" customHeight="1" x14ac:dyDescent="0.6">
      <c r="A61" s="1"/>
      <c r="B61" s="6"/>
      <c r="C61" s="1"/>
      <c r="D61" s="55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21.75" hidden="1" customHeight="1" x14ac:dyDescent="0.6">
      <c r="A62" s="1"/>
      <c r="B62" s="6"/>
      <c r="C62" s="1"/>
      <c r="D62" s="55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21.75" hidden="1" customHeight="1" x14ac:dyDescent="0.6">
      <c r="A63" s="1"/>
      <c r="B63" s="6"/>
      <c r="C63" s="1"/>
      <c r="D63" s="55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21.75" hidden="1" customHeight="1" x14ac:dyDescent="0.6">
      <c r="A64" s="1"/>
      <c r="B64" s="6"/>
      <c r="C64" s="1"/>
      <c r="D64" s="55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21.75" hidden="1" customHeight="1" x14ac:dyDescent="0.6">
      <c r="A65" s="1"/>
      <c r="B65" s="6"/>
      <c r="C65" s="1"/>
      <c r="D65" s="55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21.75" hidden="1" customHeight="1" x14ac:dyDescent="0.6">
      <c r="A66" s="1"/>
      <c r="B66" s="6"/>
      <c r="C66" s="1"/>
      <c r="D66" s="55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21.75" hidden="1" customHeight="1" x14ac:dyDescent="0.6">
      <c r="A67" s="1"/>
      <c r="B67" s="6"/>
      <c r="C67" s="1"/>
      <c r="D67" s="55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21.75" hidden="1" customHeight="1" x14ac:dyDescent="0.6">
      <c r="A68" s="1"/>
      <c r="B68" s="6"/>
      <c r="C68" s="1"/>
      <c r="D68" s="55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21.75" hidden="1" customHeight="1" x14ac:dyDescent="0.6">
      <c r="A69" s="1"/>
      <c r="B69" s="6"/>
      <c r="C69" s="1"/>
      <c r="D69" s="55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21.75" hidden="1" customHeight="1" x14ac:dyDescent="0.6">
      <c r="A70" s="1"/>
      <c r="B70" s="6"/>
      <c r="C70" s="1"/>
      <c r="D70" s="55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21.75" hidden="1" customHeight="1" x14ac:dyDescent="0.6">
      <c r="A71" s="1"/>
      <c r="B71" s="6"/>
      <c r="C71" s="1"/>
      <c r="D71" s="55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21.75" hidden="1" customHeight="1" x14ac:dyDescent="0.6">
      <c r="A72" s="1"/>
      <c r="B72" s="6"/>
      <c r="C72" s="1"/>
      <c r="D72" s="55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21.75" hidden="1" customHeight="1" x14ac:dyDescent="0.6">
      <c r="A73" s="1"/>
      <c r="B73" s="6"/>
      <c r="C73" s="1"/>
      <c r="D73" s="55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21.75" hidden="1" customHeight="1" x14ac:dyDescent="0.6">
      <c r="A74" s="1"/>
      <c r="B74" s="6"/>
      <c r="C74" s="1"/>
      <c r="D74" s="55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21.75" hidden="1" customHeight="1" x14ac:dyDescent="0.6">
      <c r="A75" s="1"/>
      <c r="B75" s="6"/>
      <c r="C75" s="1"/>
      <c r="D75" s="55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21.75" customHeight="1" x14ac:dyDescent="0.6">
      <c r="A76" s="1"/>
      <c r="B76" s="6"/>
      <c r="C76" s="1"/>
      <c r="D76" s="55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21.75" customHeight="1" x14ac:dyDescent="0.6">
      <c r="A77" s="1"/>
      <c r="B77" s="6"/>
      <c r="C77" s="1"/>
      <c r="D77" s="55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21.75" customHeight="1" x14ac:dyDescent="0.6">
      <c r="A78" s="1"/>
      <c r="B78" s="6"/>
      <c r="C78" s="1"/>
      <c r="D78" s="55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21.75" customHeight="1" x14ac:dyDescent="0.6">
      <c r="A79" s="1"/>
      <c r="B79" s="6"/>
      <c r="C79" s="1"/>
      <c r="D79" s="55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21.75" customHeight="1" x14ac:dyDescent="0.6">
      <c r="A80" s="1"/>
      <c r="B80" s="6"/>
      <c r="C80" s="1"/>
      <c r="D80" s="55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21.75" customHeight="1" x14ac:dyDescent="0.6">
      <c r="A81" s="1"/>
      <c r="B81" s="6"/>
      <c r="C81" s="1"/>
      <c r="D81" s="5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21.75" customHeight="1" x14ac:dyDescent="0.6">
      <c r="A82" s="1"/>
      <c r="B82" s="6"/>
      <c r="C82" s="1"/>
      <c r="D82" s="55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21.75" customHeight="1" x14ac:dyDescent="0.6">
      <c r="A83" s="1"/>
      <c r="B83" s="6"/>
      <c r="C83" s="1"/>
      <c r="D83" s="55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21.75" customHeight="1" x14ac:dyDescent="0.6">
      <c r="A84" s="1"/>
      <c r="B84" s="6"/>
      <c r="C84" s="1"/>
      <c r="D84" s="55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21.75" customHeight="1" x14ac:dyDescent="0.6">
      <c r="A85" s="1"/>
      <c r="B85" s="6"/>
      <c r="C85" s="1"/>
      <c r="D85" s="55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21.75" customHeight="1" x14ac:dyDescent="0.6">
      <c r="A86" s="1"/>
      <c r="B86" s="6"/>
      <c r="C86" s="1"/>
      <c r="D86" s="55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21.75" customHeight="1" x14ac:dyDescent="0.6">
      <c r="A87" s="1"/>
      <c r="B87" s="6"/>
      <c r="C87" s="1"/>
      <c r="D87" s="55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21.75" customHeight="1" x14ac:dyDescent="0.6">
      <c r="A88" s="1"/>
      <c r="B88" s="6"/>
      <c r="C88" s="1"/>
      <c r="D88" s="55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21.75" customHeight="1" x14ac:dyDescent="0.6">
      <c r="A89" s="1"/>
      <c r="B89" s="6"/>
      <c r="C89" s="1"/>
      <c r="D89" s="55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21.75" customHeight="1" x14ac:dyDescent="0.6">
      <c r="A90" s="1"/>
      <c r="B90" s="6"/>
      <c r="C90" s="1"/>
      <c r="D90" s="55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21.75" customHeight="1" x14ac:dyDescent="0.6">
      <c r="A91" s="1"/>
      <c r="B91" s="6"/>
      <c r="C91" s="1"/>
      <c r="D91" s="55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21.75" customHeight="1" x14ac:dyDescent="0.6">
      <c r="A92" s="1"/>
      <c r="B92" s="6"/>
      <c r="C92" s="1"/>
      <c r="D92" s="55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21.75" customHeight="1" x14ac:dyDescent="0.6">
      <c r="A93" s="1"/>
      <c r="B93" s="6"/>
      <c r="C93" s="1"/>
      <c r="D93" s="55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21.75" customHeight="1" x14ac:dyDescent="0.6">
      <c r="A94" s="1"/>
      <c r="B94" s="6"/>
      <c r="C94" s="1"/>
      <c r="D94" s="55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21.75" customHeight="1" x14ac:dyDescent="0.6">
      <c r="A95" s="1"/>
      <c r="B95" s="6"/>
      <c r="C95" s="1"/>
      <c r="D95" s="55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21.75" customHeight="1" x14ac:dyDescent="0.6">
      <c r="A96" s="1"/>
      <c r="B96" s="6"/>
      <c r="C96" s="1"/>
      <c r="D96" s="55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21.75" customHeight="1" x14ac:dyDescent="0.6">
      <c r="A97" s="1"/>
      <c r="B97" s="6"/>
      <c r="C97" s="1"/>
      <c r="D97" s="55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21.75" customHeight="1" x14ac:dyDescent="0.6">
      <c r="A98" s="1"/>
      <c r="B98" s="6"/>
      <c r="C98" s="1"/>
      <c r="D98" s="55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21.75" customHeight="1" x14ac:dyDescent="0.6">
      <c r="A99" s="1"/>
      <c r="B99" s="6"/>
      <c r="C99" s="1"/>
      <c r="D99" s="55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21.75" customHeight="1" x14ac:dyDescent="0.6">
      <c r="A100" s="1"/>
      <c r="B100" s="6"/>
      <c r="C100" s="1"/>
      <c r="D100" s="55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21.75" customHeight="1" x14ac:dyDescent="0.6">
      <c r="A101" s="1"/>
      <c r="B101" s="6"/>
      <c r="C101" s="1"/>
      <c r="D101" s="55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21.75" customHeight="1" x14ac:dyDescent="0.6">
      <c r="A102" s="1"/>
      <c r="B102" s="6"/>
      <c r="C102" s="1"/>
      <c r="D102" s="55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21.75" customHeight="1" x14ac:dyDescent="0.6">
      <c r="A103" s="1"/>
      <c r="B103" s="6"/>
      <c r="C103" s="1"/>
      <c r="D103" s="55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21.75" customHeight="1" x14ac:dyDescent="0.6">
      <c r="A104" s="1"/>
      <c r="B104" s="6"/>
      <c r="C104" s="1"/>
      <c r="D104" s="55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21.75" customHeight="1" x14ac:dyDescent="0.6">
      <c r="A105" s="1"/>
      <c r="B105" s="6"/>
      <c r="C105" s="1"/>
      <c r="D105" s="55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21.75" customHeight="1" x14ac:dyDescent="0.6">
      <c r="A106" s="1"/>
      <c r="B106" s="6"/>
      <c r="C106" s="1"/>
      <c r="D106" s="55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21.75" customHeight="1" x14ac:dyDescent="0.6">
      <c r="A107" s="1"/>
      <c r="B107" s="6"/>
      <c r="C107" s="1"/>
      <c r="D107" s="55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21.75" customHeight="1" x14ac:dyDescent="0.6">
      <c r="A108" s="1"/>
      <c r="B108" s="6"/>
      <c r="C108" s="1"/>
      <c r="D108" s="55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21.75" customHeight="1" x14ac:dyDescent="0.6">
      <c r="A109" s="1"/>
      <c r="B109" s="6"/>
      <c r="C109" s="1"/>
      <c r="D109" s="55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21.75" customHeight="1" x14ac:dyDescent="0.6">
      <c r="A110" s="1"/>
      <c r="B110" s="6"/>
      <c r="C110" s="1"/>
      <c r="D110" s="55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21.75" customHeight="1" x14ac:dyDescent="0.6">
      <c r="A111" s="1"/>
      <c r="B111" s="6"/>
      <c r="C111" s="1"/>
      <c r="D111" s="55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21.75" customHeight="1" x14ac:dyDescent="0.6">
      <c r="A112" s="1"/>
      <c r="B112" s="6"/>
      <c r="C112" s="1"/>
      <c r="D112" s="55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21.75" customHeight="1" x14ac:dyDescent="0.6">
      <c r="A113" s="1"/>
      <c r="B113" s="6"/>
      <c r="C113" s="1"/>
      <c r="D113" s="55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21.75" customHeight="1" x14ac:dyDescent="0.6">
      <c r="A114" s="1"/>
      <c r="B114" s="6"/>
      <c r="C114" s="1"/>
      <c r="D114" s="55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21.75" customHeight="1" x14ac:dyDescent="0.6">
      <c r="A115" s="1"/>
      <c r="B115" s="6"/>
      <c r="C115" s="1"/>
      <c r="D115" s="55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21.75" customHeight="1" x14ac:dyDescent="0.6">
      <c r="A116" s="1"/>
      <c r="B116" s="6"/>
      <c r="C116" s="1"/>
      <c r="D116" s="55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21.75" customHeight="1" x14ac:dyDescent="0.6">
      <c r="A117" s="1"/>
      <c r="B117" s="6"/>
      <c r="C117" s="1"/>
      <c r="D117" s="55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21.75" customHeight="1" x14ac:dyDescent="0.6">
      <c r="A118" s="1"/>
      <c r="B118" s="6"/>
      <c r="C118" s="1"/>
      <c r="D118" s="55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21.75" customHeight="1" x14ac:dyDescent="0.6">
      <c r="A119" s="1"/>
      <c r="B119" s="6"/>
      <c r="C119" s="1"/>
      <c r="D119" s="55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21.75" customHeight="1" x14ac:dyDescent="0.6">
      <c r="A120" s="1"/>
      <c r="B120" s="6"/>
      <c r="C120" s="1"/>
      <c r="D120" s="55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21.75" customHeight="1" x14ac:dyDescent="0.6">
      <c r="A121" s="1"/>
      <c r="B121" s="6"/>
      <c r="C121" s="1"/>
      <c r="D121" s="55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21.75" customHeight="1" x14ac:dyDescent="0.6">
      <c r="A122" s="1"/>
      <c r="B122" s="6"/>
      <c r="C122" s="1"/>
      <c r="D122" s="55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21.75" customHeight="1" x14ac:dyDescent="0.6">
      <c r="A123" s="1"/>
      <c r="B123" s="6"/>
      <c r="C123" s="1"/>
      <c r="D123" s="55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21.75" customHeight="1" x14ac:dyDescent="0.6">
      <c r="A124" s="1"/>
      <c r="B124" s="6"/>
      <c r="C124" s="1"/>
      <c r="D124" s="55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21.75" customHeight="1" x14ac:dyDescent="0.6">
      <c r="A125" s="1"/>
      <c r="B125" s="6"/>
      <c r="C125" s="1"/>
      <c r="D125" s="55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21.75" customHeight="1" x14ac:dyDescent="0.6">
      <c r="A126" s="1"/>
      <c r="B126" s="6"/>
      <c r="C126" s="1"/>
      <c r="D126" s="55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21.75" customHeight="1" x14ac:dyDescent="0.6">
      <c r="A127" s="1"/>
      <c r="B127" s="6"/>
      <c r="C127" s="1"/>
      <c r="D127" s="55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21.75" customHeight="1" x14ac:dyDescent="0.6">
      <c r="A128" s="1"/>
      <c r="B128" s="6"/>
      <c r="C128" s="1"/>
      <c r="D128" s="55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21.75" customHeight="1" x14ac:dyDescent="0.6">
      <c r="A129" s="1"/>
      <c r="B129" s="6"/>
      <c r="C129" s="1"/>
      <c r="D129" s="55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21.75" customHeight="1" x14ac:dyDescent="0.6">
      <c r="A130" s="1"/>
      <c r="B130" s="6"/>
      <c r="C130" s="1"/>
      <c r="D130" s="55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21.75" customHeight="1" x14ac:dyDescent="0.6">
      <c r="A131" s="1"/>
      <c r="B131" s="6"/>
      <c r="C131" s="1"/>
      <c r="D131" s="55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21.75" customHeight="1" x14ac:dyDescent="0.6">
      <c r="A132" s="1"/>
      <c r="B132" s="6"/>
      <c r="C132" s="1"/>
      <c r="D132" s="55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21.75" customHeight="1" x14ac:dyDescent="0.6">
      <c r="A133" s="1"/>
      <c r="B133" s="6"/>
      <c r="C133" s="1"/>
      <c r="D133" s="55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21.75" customHeight="1" x14ac:dyDescent="0.6">
      <c r="A134" s="1"/>
      <c r="B134" s="6"/>
      <c r="C134" s="1"/>
      <c r="D134" s="55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21.75" customHeight="1" x14ac:dyDescent="0.6">
      <c r="A135" s="1"/>
      <c r="B135" s="6"/>
      <c r="C135" s="1"/>
      <c r="D135" s="55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21.75" customHeight="1" x14ac:dyDescent="0.6">
      <c r="A136" s="1"/>
      <c r="B136" s="6"/>
      <c r="C136" s="1"/>
      <c r="D136" s="55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21.75" customHeight="1" x14ac:dyDescent="0.6">
      <c r="A137" s="1"/>
      <c r="B137" s="6"/>
      <c r="C137" s="1"/>
      <c r="D137" s="55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21.75" customHeight="1" x14ac:dyDescent="0.6">
      <c r="A138" s="1"/>
      <c r="B138" s="6"/>
      <c r="C138" s="1"/>
      <c r="D138" s="55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21.75" customHeight="1" x14ac:dyDescent="0.6">
      <c r="A139" s="1"/>
      <c r="B139" s="6"/>
      <c r="C139" s="1"/>
      <c r="D139" s="55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21.75" customHeight="1" x14ac:dyDescent="0.6">
      <c r="A140" s="1"/>
      <c r="B140" s="6"/>
      <c r="C140" s="1"/>
      <c r="D140" s="55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21.75" customHeight="1" x14ac:dyDescent="0.6">
      <c r="A141" s="1"/>
      <c r="B141" s="6"/>
      <c r="C141" s="1"/>
      <c r="D141" s="55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21.75" customHeight="1" x14ac:dyDescent="0.6">
      <c r="A142" s="1"/>
      <c r="B142" s="6"/>
      <c r="C142" s="1"/>
      <c r="D142" s="55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21.75" customHeight="1" x14ac:dyDescent="0.6">
      <c r="A143" s="1"/>
      <c r="B143" s="6"/>
      <c r="C143" s="1"/>
      <c r="D143" s="55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21.75" customHeight="1" x14ac:dyDescent="0.6">
      <c r="A144" s="1"/>
      <c r="B144" s="6"/>
      <c r="C144" s="1"/>
      <c r="D144" s="55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21.75" customHeight="1" x14ac:dyDescent="0.6">
      <c r="A145" s="1"/>
      <c r="B145" s="6"/>
      <c r="C145" s="1"/>
      <c r="D145" s="55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21.75" customHeight="1" x14ac:dyDescent="0.6">
      <c r="A146" s="1"/>
      <c r="B146" s="6"/>
      <c r="C146" s="1"/>
      <c r="D146" s="55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21.75" customHeight="1" x14ac:dyDescent="0.6">
      <c r="A147" s="1"/>
      <c r="B147" s="6"/>
      <c r="C147" s="1"/>
      <c r="D147" s="55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21.75" customHeight="1" x14ac:dyDescent="0.6">
      <c r="A148" s="1"/>
      <c r="B148" s="6"/>
      <c r="C148" s="1"/>
      <c r="D148" s="55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21.75" customHeight="1" x14ac:dyDescent="0.6">
      <c r="A149" s="1"/>
      <c r="B149" s="6"/>
      <c r="C149" s="1"/>
      <c r="D149" s="55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21.75" customHeight="1" x14ac:dyDescent="0.6">
      <c r="A150" s="1"/>
      <c r="B150" s="6"/>
      <c r="C150" s="1"/>
      <c r="D150" s="55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21.75" customHeight="1" x14ac:dyDescent="0.6">
      <c r="A151" s="1"/>
      <c r="B151" s="6"/>
      <c r="C151" s="1"/>
      <c r="D151" s="55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21.75" customHeight="1" x14ac:dyDescent="0.6">
      <c r="A152" s="1"/>
      <c r="B152" s="6"/>
      <c r="C152" s="1"/>
      <c r="D152" s="55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21.75" customHeight="1" x14ac:dyDescent="0.6">
      <c r="A153" s="1"/>
      <c r="B153" s="6"/>
      <c r="C153" s="1"/>
      <c r="D153" s="55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21.75" customHeight="1" x14ac:dyDescent="0.6">
      <c r="A154" s="1"/>
      <c r="B154" s="6"/>
      <c r="C154" s="1"/>
      <c r="D154" s="55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21.75" customHeight="1" x14ac:dyDescent="0.6">
      <c r="A155" s="1"/>
      <c r="B155" s="6"/>
      <c r="C155" s="1"/>
      <c r="D155" s="55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21.75" customHeight="1" x14ac:dyDescent="0.6">
      <c r="A156" s="1"/>
      <c r="B156" s="6"/>
      <c r="C156" s="1"/>
      <c r="D156" s="55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21.75" customHeight="1" x14ac:dyDescent="0.6">
      <c r="A157" s="1"/>
      <c r="B157" s="6"/>
      <c r="C157" s="1"/>
      <c r="D157" s="55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21.75" customHeight="1" x14ac:dyDescent="0.6">
      <c r="A158" s="1"/>
      <c r="B158" s="6"/>
      <c r="C158" s="1"/>
      <c r="D158" s="55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21.75" customHeight="1" x14ac:dyDescent="0.6">
      <c r="A159" s="1"/>
      <c r="B159" s="6"/>
      <c r="C159" s="1"/>
      <c r="D159" s="55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21.75" customHeight="1" x14ac:dyDescent="0.6">
      <c r="A160" s="1"/>
      <c r="B160" s="6"/>
      <c r="C160" s="1"/>
      <c r="D160" s="55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21.75" customHeight="1" x14ac:dyDescent="0.6">
      <c r="A161" s="1"/>
      <c r="B161" s="6"/>
      <c r="C161" s="1"/>
      <c r="D161" s="55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21.75" customHeight="1" x14ac:dyDescent="0.6">
      <c r="A162" s="1"/>
      <c r="B162" s="6"/>
      <c r="C162" s="1"/>
      <c r="D162" s="55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21.75" customHeight="1" x14ac:dyDescent="0.6">
      <c r="A163" s="1"/>
      <c r="B163" s="6"/>
      <c r="C163" s="1"/>
      <c r="D163" s="55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21.75" customHeight="1" x14ac:dyDescent="0.6">
      <c r="A164" s="1"/>
      <c r="B164" s="6"/>
      <c r="C164" s="1"/>
      <c r="D164" s="55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21.75" customHeight="1" x14ac:dyDescent="0.6">
      <c r="A165" s="1"/>
      <c r="B165" s="6"/>
      <c r="C165" s="1"/>
      <c r="D165" s="55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21.75" customHeight="1" x14ac:dyDescent="0.6">
      <c r="A166" s="1"/>
      <c r="B166" s="6"/>
      <c r="C166" s="1"/>
      <c r="D166" s="55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21.75" customHeight="1" x14ac:dyDescent="0.6">
      <c r="A167" s="1"/>
      <c r="B167" s="6"/>
      <c r="C167" s="1"/>
      <c r="D167" s="55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21.75" customHeight="1" x14ac:dyDescent="0.6">
      <c r="A168" s="1"/>
      <c r="B168" s="6"/>
      <c r="C168" s="1"/>
      <c r="D168" s="55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21.75" customHeight="1" x14ac:dyDescent="0.6">
      <c r="A169" s="1"/>
      <c r="B169" s="6"/>
      <c r="C169" s="1"/>
      <c r="D169" s="55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21.75" customHeight="1" x14ac:dyDescent="0.6">
      <c r="A170" s="1"/>
      <c r="B170" s="6"/>
      <c r="C170" s="1"/>
      <c r="D170" s="55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21.75" customHeight="1" x14ac:dyDescent="0.6">
      <c r="A171" s="1"/>
      <c r="B171" s="6"/>
      <c r="C171" s="1"/>
      <c r="D171" s="55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21.75" customHeight="1" x14ac:dyDescent="0.6">
      <c r="A172" s="1"/>
      <c r="B172" s="6"/>
      <c r="C172" s="1"/>
      <c r="D172" s="55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21.75" customHeight="1" x14ac:dyDescent="0.6">
      <c r="A173" s="1"/>
      <c r="B173" s="6"/>
      <c r="C173" s="1"/>
      <c r="D173" s="55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21.75" customHeight="1" x14ac:dyDescent="0.6">
      <c r="A174" s="1"/>
      <c r="B174" s="6"/>
      <c r="C174" s="1"/>
      <c r="D174" s="55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21.75" customHeight="1" x14ac:dyDescent="0.6">
      <c r="A175" s="1"/>
      <c r="B175" s="6"/>
      <c r="C175" s="1"/>
      <c r="D175" s="55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21.75" customHeight="1" x14ac:dyDescent="0.6">
      <c r="A176" s="1"/>
      <c r="B176" s="6"/>
      <c r="C176" s="1"/>
      <c r="D176" s="55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21.75" customHeight="1" x14ac:dyDescent="0.6">
      <c r="A177" s="1"/>
      <c r="B177" s="6"/>
      <c r="C177" s="1"/>
      <c r="D177" s="55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21.75" customHeight="1" x14ac:dyDescent="0.6">
      <c r="A178" s="1"/>
      <c r="B178" s="6"/>
      <c r="C178" s="1"/>
      <c r="D178" s="55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21.75" customHeight="1" x14ac:dyDescent="0.6">
      <c r="A179" s="1"/>
      <c r="B179" s="6"/>
      <c r="C179" s="1"/>
      <c r="D179" s="55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21.75" customHeight="1" x14ac:dyDescent="0.6">
      <c r="A180" s="1"/>
      <c r="B180" s="6"/>
      <c r="C180" s="1"/>
      <c r="D180" s="55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21.75" customHeight="1" x14ac:dyDescent="0.6">
      <c r="A181" s="1"/>
      <c r="B181" s="6"/>
      <c r="C181" s="1"/>
      <c r="D181" s="55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21.75" customHeight="1" x14ac:dyDescent="0.6">
      <c r="A182" s="1"/>
      <c r="B182" s="6"/>
      <c r="C182" s="1"/>
      <c r="D182" s="55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21.75" customHeight="1" x14ac:dyDescent="0.6">
      <c r="A183" s="1"/>
      <c r="B183" s="6"/>
      <c r="C183" s="1"/>
      <c r="D183" s="55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21.75" customHeight="1" x14ac:dyDescent="0.6">
      <c r="A184" s="1"/>
      <c r="B184" s="6"/>
      <c r="C184" s="1"/>
      <c r="D184" s="55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21.75" customHeight="1" x14ac:dyDescent="0.6">
      <c r="A185" s="1"/>
      <c r="B185" s="6"/>
      <c r="C185" s="1"/>
      <c r="D185" s="55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21.75" customHeight="1" x14ac:dyDescent="0.6">
      <c r="A186" s="1"/>
      <c r="B186" s="6"/>
      <c r="C186" s="1"/>
      <c r="D186" s="55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21.75" customHeight="1" x14ac:dyDescent="0.6">
      <c r="A187" s="1"/>
      <c r="B187" s="6"/>
      <c r="C187" s="1"/>
      <c r="D187" s="55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21.75" customHeight="1" x14ac:dyDescent="0.6">
      <c r="A188" s="1"/>
      <c r="B188" s="6"/>
      <c r="C188" s="1"/>
      <c r="D188" s="55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21.75" customHeight="1" x14ac:dyDescent="0.6">
      <c r="A189" s="1"/>
      <c r="B189" s="6"/>
      <c r="C189" s="1"/>
      <c r="D189" s="55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21.75" customHeight="1" x14ac:dyDescent="0.6">
      <c r="A190" s="1"/>
      <c r="B190" s="6"/>
      <c r="C190" s="1"/>
      <c r="D190" s="55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21.75" customHeight="1" x14ac:dyDescent="0.6">
      <c r="A191" s="1"/>
      <c r="B191" s="6"/>
      <c r="C191" s="1"/>
      <c r="D191" s="55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21.75" customHeight="1" x14ac:dyDescent="0.6">
      <c r="A192" s="1"/>
      <c r="B192" s="6"/>
      <c r="C192" s="1"/>
      <c r="D192" s="55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21.75" customHeight="1" x14ac:dyDescent="0.6">
      <c r="A193" s="1"/>
      <c r="B193" s="6"/>
      <c r="C193" s="1"/>
      <c r="D193" s="55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21.75" customHeight="1" x14ac:dyDescent="0.6">
      <c r="A194" s="1"/>
      <c r="B194" s="6"/>
      <c r="C194" s="1"/>
      <c r="D194" s="55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21.75" customHeight="1" x14ac:dyDescent="0.6">
      <c r="A195" s="1"/>
      <c r="B195" s="6"/>
      <c r="C195" s="1"/>
      <c r="D195" s="55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21.75" customHeight="1" x14ac:dyDescent="0.6">
      <c r="A196" s="1"/>
      <c r="B196" s="6"/>
      <c r="C196" s="1"/>
      <c r="D196" s="55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21.75" customHeight="1" x14ac:dyDescent="0.6">
      <c r="A197" s="1"/>
      <c r="B197" s="6"/>
      <c r="C197" s="1"/>
      <c r="D197" s="55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21.75" customHeight="1" x14ac:dyDescent="0.6">
      <c r="A198" s="1"/>
      <c r="B198" s="6"/>
      <c r="C198" s="1"/>
      <c r="D198" s="55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21.75" customHeight="1" x14ac:dyDescent="0.6">
      <c r="A199" s="1"/>
      <c r="B199" s="6"/>
      <c r="C199" s="1"/>
      <c r="D199" s="55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21.75" customHeight="1" x14ac:dyDescent="0.6">
      <c r="A200" s="1"/>
      <c r="B200" s="6"/>
      <c r="C200" s="1"/>
      <c r="D200" s="55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21.75" customHeight="1" x14ac:dyDescent="0.6">
      <c r="A201" s="1"/>
      <c r="B201" s="6"/>
      <c r="C201" s="1"/>
      <c r="D201" s="55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21.75" customHeight="1" x14ac:dyDescent="0.6">
      <c r="A202" s="1"/>
      <c r="B202" s="6"/>
      <c r="C202" s="1"/>
      <c r="D202" s="55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21.75" customHeight="1" x14ac:dyDescent="0.6">
      <c r="A203" s="1"/>
      <c r="B203" s="6"/>
      <c r="C203" s="1"/>
      <c r="D203" s="55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21.75" customHeight="1" x14ac:dyDescent="0.6">
      <c r="A204" s="1"/>
      <c r="B204" s="6"/>
      <c r="C204" s="1"/>
      <c r="D204" s="55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21.75" customHeight="1" x14ac:dyDescent="0.6">
      <c r="A205" s="1"/>
      <c r="B205" s="6"/>
      <c r="C205" s="1"/>
      <c r="D205" s="55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21.75" customHeight="1" x14ac:dyDescent="0.6">
      <c r="A206" s="1"/>
      <c r="B206" s="6"/>
      <c r="C206" s="1"/>
      <c r="D206" s="55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21.75" customHeight="1" x14ac:dyDescent="0.6">
      <c r="A207" s="1"/>
      <c r="B207" s="6"/>
      <c r="C207" s="1"/>
      <c r="D207" s="55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21.75" customHeight="1" x14ac:dyDescent="0.6">
      <c r="A208" s="1"/>
      <c r="B208" s="6"/>
      <c r="C208" s="1"/>
      <c r="D208" s="55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21.75" customHeight="1" x14ac:dyDescent="0.6">
      <c r="A209" s="1"/>
      <c r="B209" s="6"/>
      <c r="C209" s="1"/>
      <c r="D209" s="55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21.75" customHeight="1" x14ac:dyDescent="0.6">
      <c r="A210" s="1"/>
      <c r="B210" s="6"/>
      <c r="C210" s="1"/>
      <c r="D210" s="55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21.75" customHeight="1" x14ac:dyDescent="0.6">
      <c r="A211" s="1"/>
      <c r="B211" s="6"/>
      <c r="C211" s="1"/>
      <c r="D211" s="55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21.75" customHeight="1" x14ac:dyDescent="0.6">
      <c r="A212" s="1"/>
      <c r="B212" s="6"/>
      <c r="C212" s="1"/>
      <c r="D212" s="55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21.75" customHeight="1" x14ac:dyDescent="0.6">
      <c r="A213" s="1"/>
      <c r="B213" s="6"/>
      <c r="C213" s="1"/>
      <c r="D213" s="55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21.75" customHeight="1" x14ac:dyDescent="0.6">
      <c r="A214" s="1"/>
      <c r="B214" s="6"/>
      <c r="C214" s="1"/>
      <c r="D214" s="55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21.75" customHeight="1" x14ac:dyDescent="0.6">
      <c r="A215" s="1"/>
      <c r="B215" s="6"/>
      <c r="C215" s="1"/>
      <c r="D215" s="55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21.75" customHeight="1" x14ac:dyDescent="0.6">
      <c r="A216" s="1"/>
      <c r="B216" s="6"/>
      <c r="C216" s="1"/>
      <c r="D216" s="55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21.75" customHeight="1" x14ac:dyDescent="0.6">
      <c r="A217" s="1"/>
      <c r="B217" s="6"/>
      <c r="C217" s="1"/>
      <c r="D217" s="55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21.75" customHeight="1" x14ac:dyDescent="0.6">
      <c r="A218" s="1"/>
      <c r="B218" s="6"/>
      <c r="C218" s="1"/>
      <c r="D218" s="55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21.75" customHeight="1" x14ac:dyDescent="0.6">
      <c r="A219" s="1"/>
      <c r="B219" s="6"/>
      <c r="C219" s="1"/>
      <c r="D219" s="55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21.75" customHeight="1" x14ac:dyDescent="0.6">
      <c r="A220" s="1"/>
      <c r="B220" s="6"/>
      <c r="C220" s="1"/>
      <c r="D220" s="55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21.75" customHeight="1" x14ac:dyDescent="0.6">
      <c r="A221" s="1"/>
      <c r="B221" s="6"/>
      <c r="C221" s="1"/>
      <c r="D221" s="55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21.75" customHeight="1" x14ac:dyDescent="0.6">
      <c r="A222" s="1"/>
      <c r="B222" s="6"/>
      <c r="C222" s="1"/>
      <c r="D222" s="55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21.75" customHeight="1" x14ac:dyDescent="0.6">
      <c r="A223" s="1"/>
      <c r="B223" s="6"/>
      <c r="C223" s="1"/>
      <c r="D223" s="55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21.75" customHeight="1" x14ac:dyDescent="0.6">
      <c r="A224" s="1"/>
      <c r="B224" s="6"/>
      <c r="C224" s="1"/>
      <c r="D224" s="55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21.75" customHeight="1" x14ac:dyDescent="0.6">
      <c r="A225" s="1"/>
      <c r="B225" s="6"/>
      <c r="C225" s="1"/>
      <c r="D225" s="55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21.75" customHeight="1" x14ac:dyDescent="0.6">
      <c r="A226" s="1"/>
      <c r="B226" s="6"/>
      <c r="C226" s="1"/>
      <c r="D226" s="55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21.75" customHeight="1" x14ac:dyDescent="0.6">
      <c r="A227" s="1"/>
      <c r="B227" s="6"/>
      <c r="C227" s="1"/>
      <c r="D227" s="55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21.75" customHeight="1" x14ac:dyDescent="0.6">
      <c r="A228" s="1"/>
      <c r="B228" s="6"/>
      <c r="C228" s="1"/>
      <c r="D228" s="55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21.75" customHeight="1" x14ac:dyDescent="0.6">
      <c r="A229" s="1"/>
      <c r="B229" s="6"/>
      <c r="C229" s="1"/>
      <c r="D229" s="55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21.75" customHeight="1" x14ac:dyDescent="0.6">
      <c r="A230" s="1"/>
      <c r="B230" s="6"/>
      <c r="C230" s="1"/>
      <c r="D230" s="55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21.75" customHeight="1" x14ac:dyDescent="0.6">
      <c r="A231" s="1"/>
      <c r="B231" s="6"/>
      <c r="C231" s="1"/>
      <c r="D231" s="55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21.75" customHeight="1" x14ac:dyDescent="0.6">
      <c r="A232" s="1"/>
      <c r="B232" s="6"/>
      <c r="C232" s="1"/>
      <c r="D232" s="55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21.75" customHeight="1" x14ac:dyDescent="0.6">
      <c r="A233" s="1"/>
      <c r="B233" s="6"/>
      <c r="C233" s="1"/>
      <c r="D233" s="55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21.75" customHeight="1" x14ac:dyDescent="0.6">
      <c r="A234" s="1"/>
      <c r="B234" s="6"/>
      <c r="C234" s="1"/>
      <c r="D234" s="55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21.75" customHeight="1" x14ac:dyDescent="0.6">
      <c r="A235" s="1"/>
      <c r="B235" s="6"/>
      <c r="C235" s="1"/>
      <c r="D235" s="55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21.75" customHeight="1" x14ac:dyDescent="0.6">
      <c r="A236" s="1"/>
      <c r="B236" s="6"/>
      <c r="C236" s="1"/>
      <c r="D236" s="55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21.75" customHeight="1" x14ac:dyDescent="0.6">
      <c r="A237" s="1"/>
      <c r="B237" s="6"/>
      <c r="C237" s="1"/>
      <c r="D237" s="55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21.75" customHeight="1" x14ac:dyDescent="0.6">
      <c r="A238" s="1"/>
      <c r="B238" s="6"/>
      <c r="C238" s="1"/>
      <c r="D238" s="55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21.75" customHeight="1" x14ac:dyDescent="0.6">
      <c r="A239" s="1"/>
      <c r="B239" s="6"/>
      <c r="C239" s="1"/>
      <c r="D239" s="55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21.75" customHeight="1" x14ac:dyDescent="0.6">
      <c r="A240" s="1"/>
      <c r="B240" s="6"/>
      <c r="C240" s="1"/>
      <c r="D240" s="55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21.75" customHeight="1" x14ac:dyDescent="0.6">
      <c r="A241" s="1"/>
      <c r="B241" s="6"/>
      <c r="C241" s="1"/>
      <c r="D241" s="55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21.75" customHeight="1" x14ac:dyDescent="0.6">
      <c r="A242" s="1"/>
      <c r="B242" s="6"/>
      <c r="C242" s="1"/>
      <c r="D242" s="55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21.75" customHeight="1" x14ac:dyDescent="0.6">
      <c r="A243" s="1"/>
      <c r="B243" s="6"/>
      <c r="C243" s="1"/>
      <c r="D243" s="55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21.75" customHeight="1" x14ac:dyDescent="0.6">
      <c r="A244" s="1"/>
      <c r="B244" s="6"/>
      <c r="C244" s="1"/>
      <c r="D244" s="55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21.75" customHeight="1" x14ac:dyDescent="0.6">
      <c r="A245" s="1"/>
      <c r="B245" s="6"/>
      <c r="C245" s="1"/>
      <c r="D245" s="55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21.75" customHeight="1" x14ac:dyDescent="0.6">
      <c r="A246" s="1"/>
      <c r="B246" s="6"/>
      <c r="C246" s="1"/>
      <c r="D246" s="55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21.75" customHeight="1" x14ac:dyDescent="0.6">
      <c r="A247" s="1"/>
      <c r="B247" s="6"/>
      <c r="C247" s="1"/>
      <c r="D247" s="55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21.75" customHeight="1" x14ac:dyDescent="0.6">
      <c r="A248" s="1"/>
      <c r="B248" s="6"/>
      <c r="C248" s="1"/>
      <c r="D248" s="55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21.75" customHeight="1" x14ac:dyDescent="0.6">
      <c r="A249" s="1"/>
      <c r="B249" s="6"/>
      <c r="C249" s="1"/>
      <c r="D249" s="55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21.75" customHeight="1" x14ac:dyDescent="0.6">
      <c r="A250" s="1"/>
      <c r="B250" s="6"/>
      <c r="C250" s="1"/>
      <c r="D250" s="55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21.75" customHeight="1" x14ac:dyDescent="0.6">
      <c r="A251" s="1"/>
      <c r="B251" s="6"/>
      <c r="C251" s="1"/>
      <c r="D251" s="55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21.75" customHeight="1" x14ac:dyDescent="0.6">
      <c r="A252" s="1"/>
      <c r="B252" s="6"/>
      <c r="C252" s="1"/>
      <c r="D252" s="55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21.75" customHeight="1" x14ac:dyDescent="0.6">
      <c r="A253" s="1"/>
      <c r="B253" s="6"/>
      <c r="C253" s="1"/>
      <c r="D253" s="55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21.75" customHeight="1" x14ac:dyDescent="0.6">
      <c r="A254" s="1"/>
      <c r="B254" s="6"/>
      <c r="C254" s="1"/>
      <c r="D254" s="55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21.75" customHeight="1" x14ac:dyDescent="0.6">
      <c r="A255" s="1"/>
      <c r="B255" s="6"/>
      <c r="C255" s="1"/>
      <c r="D255" s="55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21.75" customHeight="1" x14ac:dyDescent="0.6">
      <c r="A256" s="1"/>
      <c r="B256" s="6"/>
      <c r="C256" s="1"/>
      <c r="D256" s="55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21.75" customHeight="1" x14ac:dyDescent="0.6">
      <c r="A257" s="1"/>
      <c r="B257" s="6"/>
      <c r="C257" s="1"/>
      <c r="D257" s="55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21.75" customHeight="1" x14ac:dyDescent="0.6">
      <c r="A258" s="1"/>
      <c r="B258" s="6"/>
      <c r="C258" s="1"/>
      <c r="D258" s="55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21.75" customHeight="1" x14ac:dyDescent="0.6">
      <c r="A259" s="1"/>
      <c r="B259" s="6"/>
      <c r="C259" s="1"/>
      <c r="D259" s="55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21.75" customHeight="1" x14ac:dyDescent="0.6">
      <c r="A260" s="1"/>
      <c r="B260" s="6"/>
      <c r="C260" s="1"/>
      <c r="D260" s="55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21.75" customHeight="1" x14ac:dyDescent="0.6">
      <c r="A261" s="1"/>
      <c r="B261" s="6"/>
      <c r="C261" s="1"/>
      <c r="D261" s="55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21.75" customHeight="1" x14ac:dyDescent="0.6">
      <c r="A262" s="1"/>
      <c r="B262" s="6"/>
      <c r="C262" s="1"/>
      <c r="D262" s="55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21.75" customHeight="1" x14ac:dyDescent="0.6">
      <c r="A263" s="1"/>
      <c r="B263" s="6"/>
      <c r="C263" s="1"/>
      <c r="D263" s="55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21.75" customHeight="1" x14ac:dyDescent="0.6">
      <c r="A264" s="1"/>
      <c r="B264" s="6"/>
      <c r="C264" s="1"/>
      <c r="D264" s="55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21.75" customHeight="1" x14ac:dyDescent="0.6">
      <c r="A265" s="1"/>
      <c r="B265" s="6"/>
      <c r="C265" s="1"/>
      <c r="D265" s="55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21.75" customHeight="1" x14ac:dyDescent="0.6">
      <c r="A266" s="1"/>
      <c r="B266" s="6"/>
      <c r="C266" s="1"/>
      <c r="D266" s="55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21.75" customHeight="1" x14ac:dyDescent="0.6">
      <c r="A267" s="1"/>
      <c r="B267" s="6"/>
      <c r="C267" s="1"/>
      <c r="D267" s="55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21.75" customHeight="1" x14ac:dyDescent="0.6">
      <c r="A268" s="1"/>
      <c r="B268" s="6"/>
      <c r="C268" s="1"/>
      <c r="D268" s="55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21.75" customHeight="1" x14ac:dyDescent="0.6">
      <c r="A269" s="1"/>
      <c r="B269" s="6"/>
      <c r="C269" s="1"/>
      <c r="D269" s="55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21.75" customHeight="1" x14ac:dyDescent="0.6">
      <c r="A270" s="1"/>
      <c r="B270" s="6"/>
      <c r="C270" s="1"/>
      <c r="D270" s="55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21.75" customHeight="1" x14ac:dyDescent="0.6">
      <c r="A271" s="1"/>
      <c r="B271" s="6"/>
      <c r="C271" s="1"/>
      <c r="D271" s="55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21.75" customHeight="1" x14ac:dyDescent="0.6">
      <c r="A272" s="1"/>
      <c r="B272" s="6"/>
      <c r="C272" s="1"/>
      <c r="D272" s="55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21.75" customHeight="1" x14ac:dyDescent="0.6">
      <c r="A273" s="1"/>
      <c r="B273" s="6"/>
      <c r="C273" s="1"/>
      <c r="D273" s="55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21.75" customHeight="1" x14ac:dyDescent="0.6">
      <c r="A274" s="1"/>
      <c r="B274" s="6"/>
      <c r="C274" s="1"/>
      <c r="D274" s="55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21.75" customHeight="1" x14ac:dyDescent="0.6">
      <c r="A275" s="1"/>
      <c r="B275" s="6"/>
      <c r="C275" s="1"/>
      <c r="D275" s="55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21.75" customHeight="1" x14ac:dyDescent="0.6">
      <c r="A276" s="1"/>
      <c r="B276" s="6"/>
      <c r="C276" s="1"/>
      <c r="D276" s="55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21.75" customHeight="1" x14ac:dyDescent="0.6">
      <c r="A277" s="1"/>
      <c r="B277" s="6"/>
      <c r="C277" s="1"/>
      <c r="D277" s="55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21.75" customHeight="1" x14ac:dyDescent="0.6">
      <c r="A278" s="1"/>
      <c r="B278" s="6"/>
      <c r="C278" s="1"/>
      <c r="D278" s="55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21.75" customHeight="1" x14ac:dyDescent="0.6">
      <c r="A279" s="1"/>
      <c r="B279" s="6"/>
      <c r="C279" s="1"/>
      <c r="D279" s="55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21.75" customHeight="1" x14ac:dyDescent="0.6">
      <c r="A280" s="1"/>
      <c r="B280" s="6"/>
      <c r="C280" s="1"/>
      <c r="D280" s="55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21.75" customHeight="1" x14ac:dyDescent="0.6">
      <c r="A281" s="1"/>
      <c r="B281" s="6"/>
      <c r="C281" s="1"/>
      <c r="D281" s="55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21.75" customHeight="1" x14ac:dyDescent="0.6">
      <c r="A282" s="1"/>
      <c r="B282" s="6"/>
      <c r="C282" s="1"/>
      <c r="D282" s="55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21.75" customHeight="1" x14ac:dyDescent="0.6">
      <c r="A283" s="1"/>
      <c r="B283" s="6"/>
      <c r="C283" s="1"/>
      <c r="D283" s="55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21.75" customHeight="1" x14ac:dyDescent="0.6">
      <c r="A284" s="1"/>
      <c r="B284" s="6"/>
      <c r="C284" s="1"/>
      <c r="D284" s="55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21.75" customHeight="1" x14ac:dyDescent="0.6">
      <c r="A285" s="1"/>
      <c r="B285" s="6"/>
      <c r="C285" s="1"/>
      <c r="D285" s="55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21.75" customHeight="1" x14ac:dyDescent="0.6">
      <c r="A286" s="1"/>
      <c r="B286" s="6"/>
      <c r="C286" s="1"/>
      <c r="D286" s="55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21.75" customHeight="1" x14ac:dyDescent="0.6">
      <c r="A287" s="1"/>
      <c r="B287" s="6"/>
      <c r="C287" s="1"/>
      <c r="D287" s="55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21.75" customHeight="1" x14ac:dyDescent="0.6">
      <c r="A288" s="1"/>
      <c r="B288" s="6"/>
      <c r="C288" s="1"/>
      <c r="D288" s="55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21.75" customHeight="1" x14ac:dyDescent="0.6">
      <c r="A289" s="1"/>
      <c r="B289" s="6"/>
      <c r="C289" s="1"/>
      <c r="D289" s="55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21.75" customHeight="1" x14ac:dyDescent="0.6">
      <c r="A290" s="1"/>
      <c r="B290" s="6"/>
      <c r="C290" s="1"/>
      <c r="D290" s="55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21.75" customHeight="1" x14ac:dyDescent="0.6">
      <c r="A291" s="1"/>
      <c r="B291" s="6"/>
      <c r="C291" s="1"/>
      <c r="D291" s="55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21.75" customHeight="1" x14ac:dyDescent="0.6">
      <c r="A292" s="1"/>
      <c r="B292" s="6"/>
      <c r="C292" s="1"/>
      <c r="D292" s="55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21.75" customHeight="1" x14ac:dyDescent="0.6">
      <c r="A293" s="1"/>
      <c r="B293" s="6"/>
      <c r="C293" s="1"/>
      <c r="D293" s="55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21.75" customHeight="1" x14ac:dyDescent="0.6">
      <c r="A294" s="1"/>
      <c r="B294" s="6"/>
      <c r="C294" s="1"/>
      <c r="D294" s="55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21.75" customHeight="1" x14ac:dyDescent="0.6">
      <c r="A295" s="1"/>
      <c r="B295" s="6"/>
      <c r="C295" s="1"/>
      <c r="D295" s="55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21.75" customHeight="1" x14ac:dyDescent="0.6">
      <c r="A296" s="1"/>
      <c r="B296" s="6"/>
      <c r="C296" s="1"/>
      <c r="D296" s="55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21.75" customHeight="1" x14ac:dyDescent="0.6">
      <c r="A297" s="1"/>
      <c r="B297" s="6"/>
      <c r="C297" s="1"/>
      <c r="D297" s="55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21.75" customHeight="1" x14ac:dyDescent="0.6">
      <c r="A298" s="1"/>
      <c r="B298" s="6"/>
      <c r="C298" s="1"/>
      <c r="D298" s="55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21.75" customHeight="1" x14ac:dyDescent="0.6">
      <c r="A299" s="1"/>
      <c r="B299" s="6"/>
      <c r="C299" s="1"/>
      <c r="D299" s="55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21.75" customHeight="1" x14ac:dyDescent="0.6">
      <c r="A300" s="1"/>
      <c r="B300" s="6"/>
      <c r="C300" s="1"/>
      <c r="D300" s="55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21.75" customHeight="1" x14ac:dyDescent="0.6">
      <c r="A301" s="1"/>
      <c r="B301" s="6"/>
      <c r="C301" s="1"/>
      <c r="D301" s="55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21.75" customHeight="1" x14ac:dyDescent="0.6">
      <c r="A302" s="1"/>
      <c r="B302" s="6"/>
      <c r="C302" s="1"/>
      <c r="D302" s="55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21.75" customHeight="1" x14ac:dyDescent="0.6">
      <c r="A303" s="1"/>
      <c r="B303" s="6"/>
      <c r="C303" s="1"/>
      <c r="D303" s="55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21.75" customHeight="1" x14ac:dyDescent="0.6">
      <c r="A304" s="1"/>
      <c r="B304" s="6"/>
      <c r="C304" s="1"/>
      <c r="D304" s="55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21.75" customHeight="1" x14ac:dyDescent="0.6">
      <c r="A305" s="1"/>
      <c r="B305" s="6"/>
      <c r="C305" s="1"/>
      <c r="D305" s="55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21.75" customHeight="1" x14ac:dyDescent="0.6">
      <c r="A306" s="1"/>
      <c r="B306" s="6"/>
      <c r="C306" s="1"/>
      <c r="D306" s="55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21.75" customHeight="1" x14ac:dyDescent="0.6">
      <c r="A307" s="1"/>
      <c r="B307" s="6"/>
      <c r="C307" s="1"/>
      <c r="D307" s="55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21.75" customHeight="1" x14ac:dyDescent="0.6">
      <c r="A308" s="1"/>
      <c r="B308" s="6"/>
      <c r="C308" s="1"/>
      <c r="D308" s="55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21.75" customHeight="1" x14ac:dyDescent="0.6">
      <c r="A309" s="1"/>
      <c r="B309" s="6"/>
      <c r="C309" s="1"/>
      <c r="D309" s="55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21.75" customHeight="1" x14ac:dyDescent="0.6">
      <c r="A310" s="1"/>
      <c r="B310" s="6"/>
      <c r="C310" s="1"/>
      <c r="D310" s="55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21.75" customHeight="1" x14ac:dyDescent="0.6">
      <c r="A311" s="1"/>
      <c r="B311" s="6"/>
      <c r="C311" s="1"/>
      <c r="D311" s="55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21.75" customHeight="1" x14ac:dyDescent="0.6">
      <c r="A312" s="1"/>
      <c r="B312" s="6"/>
      <c r="C312" s="1"/>
      <c r="D312" s="55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21.75" customHeight="1" x14ac:dyDescent="0.6">
      <c r="A313" s="1"/>
      <c r="B313" s="6"/>
      <c r="C313" s="1"/>
      <c r="D313" s="55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21.75" customHeight="1" x14ac:dyDescent="0.6">
      <c r="A314" s="1"/>
      <c r="B314" s="6"/>
      <c r="C314" s="1"/>
      <c r="D314" s="55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21.75" customHeight="1" x14ac:dyDescent="0.6">
      <c r="A315" s="1"/>
      <c r="B315" s="6"/>
      <c r="C315" s="1"/>
      <c r="D315" s="55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21.75" customHeight="1" x14ac:dyDescent="0.6">
      <c r="A316" s="1"/>
      <c r="B316" s="6"/>
      <c r="C316" s="1"/>
      <c r="D316" s="55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21.75" customHeight="1" x14ac:dyDescent="0.6">
      <c r="A317" s="1"/>
      <c r="B317" s="6"/>
      <c r="C317" s="1"/>
      <c r="D317" s="55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21.75" customHeight="1" x14ac:dyDescent="0.6">
      <c r="A318" s="1"/>
      <c r="B318" s="6"/>
      <c r="C318" s="1"/>
      <c r="D318" s="55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21.75" customHeight="1" x14ac:dyDescent="0.6">
      <c r="A319" s="1"/>
      <c r="B319" s="6"/>
      <c r="C319" s="1"/>
      <c r="D319" s="55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21.75" customHeight="1" x14ac:dyDescent="0.6">
      <c r="A320" s="1"/>
      <c r="B320" s="6"/>
      <c r="C320" s="1"/>
      <c r="D320" s="55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21.75" customHeight="1" x14ac:dyDescent="0.6">
      <c r="A321" s="1"/>
      <c r="B321" s="6"/>
      <c r="C321" s="1"/>
      <c r="D321" s="55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21.75" customHeight="1" x14ac:dyDescent="0.6">
      <c r="A322" s="1"/>
      <c r="B322" s="6"/>
      <c r="C322" s="1"/>
      <c r="D322" s="55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21.75" customHeight="1" x14ac:dyDescent="0.6">
      <c r="A323" s="1"/>
      <c r="B323" s="6"/>
      <c r="C323" s="1"/>
      <c r="D323" s="55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21.75" customHeight="1" x14ac:dyDescent="0.6">
      <c r="A324" s="1"/>
      <c r="B324" s="6"/>
      <c r="C324" s="1"/>
      <c r="D324" s="55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21.75" customHeight="1" x14ac:dyDescent="0.6">
      <c r="A325" s="1"/>
      <c r="B325" s="6"/>
      <c r="C325" s="1"/>
      <c r="D325" s="55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21.75" customHeight="1" x14ac:dyDescent="0.6">
      <c r="A326" s="1"/>
      <c r="B326" s="6"/>
      <c r="C326" s="1"/>
      <c r="D326" s="55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21.75" customHeight="1" x14ac:dyDescent="0.6">
      <c r="A327" s="1"/>
      <c r="B327" s="6"/>
      <c r="C327" s="1"/>
      <c r="D327" s="55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21.75" customHeight="1" x14ac:dyDescent="0.6">
      <c r="A328" s="1"/>
      <c r="B328" s="6"/>
      <c r="C328" s="1"/>
      <c r="D328" s="55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21.75" customHeight="1" x14ac:dyDescent="0.6">
      <c r="A329" s="1"/>
      <c r="B329" s="6"/>
      <c r="C329" s="1"/>
      <c r="D329" s="55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21.75" customHeight="1" x14ac:dyDescent="0.6">
      <c r="A330" s="1"/>
      <c r="B330" s="6"/>
      <c r="C330" s="1"/>
      <c r="D330" s="55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21.75" customHeight="1" x14ac:dyDescent="0.6">
      <c r="A331" s="1"/>
      <c r="B331" s="6"/>
      <c r="C331" s="1"/>
      <c r="D331" s="55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21.75" customHeight="1" x14ac:dyDescent="0.6">
      <c r="A332" s="1"/>
      <c r="B332" s="6"/>
      <c r="C332" s="1"/>
      <c r="D332" s="55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21.75" customHeight="1" x14ac:dyDescent="0.6">
      <c r="A333" s="1"/>
      <c r="B333" s="6"/>
      <c r="C333" s="1"/>
      <c r="D333" s="55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21.75" customHeight="1" x14ac:dyDescent="0.6">
      <c r="A334" s="1"/>
      <c r="B334" s="6"/>
      <c r="C334" s="1"/>
      <c r="D334" s="55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21.75" customHeight="1" x14ac:dyDescent="0.6">
      <c r="A335" s="1"/>
      <c r="B335" s="6"/>
      <c r="C335" s="1"/>
      <c r="D335" s="55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21.75" customHeight="1" x14ac:dyDescent="0.6">
      <c r="A336" s="1"/>
      <c r="B336" s="6"/>
      <c r="C336" s="1"/>
      <c r="D336" s="55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21.75" customHeight="1" x14ac:dyDescent="0.6">
      <c r="A337" s="1"/>
      <c r="B337" s="6"/>
      <c r="C337" s="1"/>
      <c r="D337" s="55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21.75" customHeight="1" x14ac:dyDescent="0.6">
      <c r="A338" s="1"/>
      <c r="B338" s="6"/>
      <c r="C338" s="1"/>
      <c r="D338" s="55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21.75" customHeight="1" x14ac:dyDescent="0.6">
      <c r="A339" s="1"/>
      <c r="B339" s="6"/>
      <c r="C339" s="1"/>
      <c r="D339" s="55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21.75" customHeight="1" x14ac:dyDescent="0.6">
      <c r="A340" s="1"/>
      <c r="B340" s="6"/>
      <c r="C340" s="1"/>
      <c r="D340" s="55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21.75" customHeight="1" x14ac:dyDescent="0.6">
      <c r="A341" s="1"/>
      <c r="B341" s="6"/>
      <c r="C341" s="1"/>
      <c r="D341" s="55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21.75" customHeight="1" x14ac:dyDescent="0.6">
      <c r="A342" s="1"/>
      <c r="B342" s="6"/>
      <c r="C342" s="1"/>
      <c r="D342" s="55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21.75" customHeight="1" x14ac:dyDescent="0.6">
      <c r="A343" s="1"/>
      <c r="B343" s="6"/>
      <c r="C343" s="1"/>
      <c r="D343" s="55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21.75" customHeight="1" x14ac:dyDescent="0.6">
      <c r="A344" s="1"/>
      <c r="B344" s="6"/>
      <c r="C344" s="1"/>
      <c r="D344" s="55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21.75" customHeight="1" x14ac:dyDescent="0.6">
      <c r="A345" s="1"/>
      <c r="B345" s="6"/>
      <c r="C345" s="1"/>
      <c r="D345" s="55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21.75" customHeight="1" x14ac:dyDescent="0.6">
      <c r="A346" s="1"/>
      <c r="B346" s="6"/>
      <c r="C346" s="1"/>
      <c r="D346" s="55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21.75" customHeight="1" x14ac:dyDescent="0.6">
      <c r="A347" s="1"/>
      <c r="B347" s="6"/>
      <c r="C347" s="1"/>
      <c r="D347" s="55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21.75" customHeight="1" x14ac:dyDescent="0.6">
      <c r="A348" s="1"/>
      <c r="B348" s="6"/>
      <c r="C348" s="1"/>
      <c r="D348" s="55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21.75" customHeight="1" x14ac:dyDescent="0.6">
      <c r="A349" s="1"/>
      <c r="B349" s="6"/>
      <c r="C349" s="1"/>
      <c r="D349" s="55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21.75" customHeight="1" x14ac:dyDescent="0.6">
      <c r="A350" s="1"/>
      <c r="B350" s="6"/>
      <c r="C350" s="1"/>
      <c r="D350" s="55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21.75" customHeight="1" x14ac:dyDescent="0.6">
      <c r="A351" s="1"/>
      <c r="B351" s="6"/>
      <c r="C351" s="1"/>
      <c r="D351" s="55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21.75" customHeight="1" x14ac:dyDescent="0.6">
      <c r="A352" s="1"/>
      <c r="B352" s="6"/>
      <c r="C352" s="1"/>
      <c r="D352" s="55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21.75" customHeight="1" x14ac:dyDescent="0.6">
      <c r="A353" s="1"/>
      <c r="B353" s="6"/>
      <c r="C353" s="1"/>
      <c r="D353" s="55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21.75" customHeight="1" x14ac:dyDescent="0.6">
      <c r="A354" s="1"/>
      <c r="B354" s="6"/>
      <c r="C354" s="1"/>
      <c r="D354" s="55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21.75" customHeight="1" x14ac:dyDescent="0.6">
      <c r="A355" s="1"/>
      <c r="B355" s="6"/>
      <c r="C355" s="1"/>
      <c r="D355" s="55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21.75" customHeight="1" x14ac:dyDescent="0.6">
      <c r="A356" s="1"/>
      <c r="B356" s="6"/>
      <c r="C356" s="1"/>
      <c r="D356" s="55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21.75" customHeight="1" x14ac:dyDescent="0.6">
      <c r="A357" s="1"/>
      <c r="B357" s="6"/>
      <c r="C357" s="1"/>
      <c r="D357" s="55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21.75" customHeight="1" x14ac:dyDescent="0.6">
      <c r="A358" s="1"/>
      <c r="B358" s="6"/>
      <c r="C358" s="1"/>
      <c r="D358" s="55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21.75" customHeight="1" x14ac:dyDescent="0.6">
      <c r="A359" s="1"/>
      <c r="B359" s="6"/>
      <c r="C359" s="1"/>
      <c r="D359" s="55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21.75" customHeight="1" x14ac:dyDescent="0.6">
      <c r="A360" s="1"/>
      <c r="B360" s="6"/>
      <c r="C360" s="1"/>
      <c r="D360" s="55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21.75" customHeight="1" x14ac:dyDescent="0.6">
      <c r="A361" s="1"/>
      <c r="B361" s="6"/>
      <c r="C361" s="1"/>
      <c r="D361" s="55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21.75" customHeight="1" x14ac:dyDescent="0.6">
      <c r="A362" s="1"/>
      <c r="B362" s="6"/>
      <c r="C362" s="1"/>
      <c r="D362" s="55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21.75" customHeight="1" x14ac:dyDescent="0.6">
      <c r="A363" s="1"/>
      <c r="B363" s="6"/>
      <c r="C363" s="1"/>
      <c r="D363" s="55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21.75" customHeight="1" x14ac:dyDescent="0.6">
      <c r="A364" s="1"/>
      <c r="B364" s="6"/>
      <c r="C364" s="1"/>
      <c r="D364" s="55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21.75" customHeight="1" x14ac:dyDescent="0.6">
      <c r="A365" s="1"/>
      <c r="B365" s="6"/>
      <c r="C365" s="1"/>
      <c r="D365" s="55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21.75" customHeight="1" x14ac:dyDescent="0.6">
      <c r="A366" s="1"/>
      <c r="B366" s="6"/>
      <c r="C366" s="1"/>
      <c r="D366" s="55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21.75" customHeight="1" x14ac:dyDescent="0.6">
      <c r="A367" s="1"/>
      <c r="B367" s="6"/>
      <c r="C367" s="1"/>
      <c r="D367" s="55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21.75" customHeight="1" x14ac:dyDescent="0.6">
      <c r="A368" s="1"/>
      <c r="B368" s="6"/>
      <c r="C368" s="1"/>
      <c r="D368" s="55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21.75" customHeight="1" x14ac:dyDescent="0.6">
      <c r="A369" s="1"/>
      <c r="B369" s="6"/>
      <c r="C369" s="1"/>
      <c r="D369" s="55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21.75" customHeight="1" x14ac:dyDescent="0.6">
      <c r="A370" s="1"/>
      <c r="B370" s="6"/>
      <c r="C370" s="1"/>
      <c r="D370" s="55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21.75" customHeight="1" x14ac:dyDescent="0.6">
      <c r="A371" s="1"/>
      <c r="B371" s="6"/>
      <c r="C371" s="1"/>
      <c r="D371" s="55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21.75" customHeight="1" x14ac:dyDescent="0.6">
      <c r="A372" s="1"/>
      <c r="B372" s="6"/>
      <c r="C372" s="1"/>
      <c r="D372" s="55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21.75" customHeight="1" x14ac:dyDescent="0.6">
      <c r="A373" s="1"/>
      <c r="B373" s="6"/>
      <c r="C373" s="1"/>
      <c r="D373" s="55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21.75" customHeight="1" x14ac:dyDescent="0.6">
      <c r="A374" s="1"/>
      <c r="B374" s="6"/>
      <c r="C374" s="1"/>
      <c r="D374" s="55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21.75" customHeight="1" x14ac:dyDescent="0.6">
      <c r="A375" s="1"/>
      <c r="B375" s="6"/>
      <c r="C375" s="1"/>
      <c r="D375" s="55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21.75" customHeight="1" x14ac:dyDescent="0.6">
      <c r="A376" s="1"/>
      <c r="B376" s="6"/>
      <c r="C376" s="1"/>
      <c r="D376" s="55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21.75" customHeight="1" x14ac:dyDescent="0.6">
      <c r="A377" s="1"/>
      <c r="B377" s="6"/>
      <c r="C377" s="1"/>
      <c r="D377" s="55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21.75" customHeight="1" x14ac:dyDescent="0.6">
      <c r="A378" s="1"/>
      <c r="B378" s="6"/>
      <c r="C378" s="1"/>
      <c r="D378" s="55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21.75" customHeight="1" x14ac:dyDescent="0.6">
      <c r="A379" s="1"/>
      <c r="B379" s="6"/>
      <c r="C379" s="1"/>
      <c r="D379" s="55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21.75" customHeight="1" x14ac:dyDescent="0.6">
      <c r="A380" s="1"/>
      <c r="B380" s="6"/>
      <c r="C380" s="1"/>
      <c r="D380" s="55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21.75" customHeight="1" x14ac:dyDescent="0.6">
      <c r="A381" s="1"/>
      <c r="B381" s="6"/>
      <c r="C381" s="1"/>
      <c r="D381" s="55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21.75" customHeight="1" x14ac:dyDescent="0.6">
      <c r="A382" s="1"/>
      <c r="B382" s="6"/>
      <c r="C382" s="1"/>
      <c r="D382" s="55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21.75" customHeight="1" x14ac:dyDescent="0.6">
      <c r="A383" s="1"/>
      <c r="B383" s="6"/>
      <c r="C383" s="1"/>
      <c r="D383" s="55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21.75" customHeight="1" x14ac:dyDescent="0.6">
      <c r="A384" s="1"/>
      <c r="B384" s="6"/>
      <c r="C384" s="1"/>
      <c r="D384" s="55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21.75" customHeight="1" x14ac:dyDescent="0.6">
      <c r="A385" s="1"/>
      <c r="B385" s="6"/>
      <c r="C385" s="1"/>
      <c r="D385" s="55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21.75" customHeight="1" x14ac:dyDescent="0.6">
      <c r="A386" s="1"/>
      <c r="B386" s="6"/>
      <c r="C386" s="1"/>
      <c r="D386" s="55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21.75" customHeight="1" x14ac:dyDescent="0.6">
      <c r="A387" s="1"/>
      <c r="B387" s="6"/>
      <c r="C387" s="1"/>
      <c r="D387" s="55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21.75" customHeight="1" x14ac:dyDescent="0.6">
      <c r="A388" s="1"/>
      <c r="B388" s="6"/>
      <c r="C388" s="1"/>
      <c r="D388" s="55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21.75" customHeight="1" x14ac:dyDescent="0.6">
      <c r="A389" s="1"/>
      <c r="B389" s="6"/>
      <c r="C389" s="1"/>
      <c r="D389" s="55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21.75" customHeight="1" x14ac:dyDescent="0.6">
      <c r="A390" s="1"/>
      <c r="B390" s="6"/>
      <c r="C390" s="1"/>
      <c r="D390" s="55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21.75" customHeight="1" x14ac:dyDescent="0.6">
      <c r="A391" s="1"/>
      <c r="B391" s="6"/>
      <c r="C391" s="1"/>
      <c r="D391" s="55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21.75" customHeight="1" x14ac:dyDescent="0.6">
      <c r="A392" s="1"/>
      <c r="B392" s="6"/>
      <c r="C392" s="1"/>
      <c r="D392" s="55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21.75" customHeight="1" x14ac:dyDescent="0.6">
      <c r="A393" s="1"/>
      <c r="B393" s="6"/>
      <c r="C393" s="1"/>
      <c r="D393" s="55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21.75" customHeight="1" x14ac:dyDescent="0.6">
      <c r="A394" s="1"/>
      <c r="B394" s="6"/>
      <c r="C394" s="1"/>
      <c r="D394" s="55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21.75" customHeight="1" x14ac:dyDescent="0.6">
      <c r="A395" s="1"/>
      <c r="B395" s="6"/>
      <c r="C395" s="1"/>
      <c r="D395" s="55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21.75" customHeight="1" x14ac:dyDescent="0.6">
      <c r="A396" s="1"/>
      <c r="B396" s="6"/>
      <c r="C396" s="1"/>
      <c r="D396" s="55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21.75" customHeight="1" x14ac:dyDescent="0.6">
      <c r="A397" s="1"/>
      <c r="B397" s="6"/>
      <c r="C397" s="1"/>
      <c r="D397" s="55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21.75" customHeight="1" x14ac:dyDescent="0.6">
      <c r="A398" s="1"/>
      <c r="B398" s="6"/>
      <c r="C398" s="1"/>
      <c r="D398" s="55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21.75" customHeight="1" x14ac:dyDescent="0.6">
      <c r="A399" s="1"/>
      <c r="B399" s="6"/>
      <c r="C399" s="1"/>
      <c r="D399" s="55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21.75" customHeight="1" x14ac:dyDescent="0.6">
      <c r="A400" s="1"/>
      <c r="B400" s="6"/>
      <c r="C400" s="1"/>
      <c r="D400" s="55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21.75" customHeight="1" x14ac:dyDescent="0.6">
      <c r="A401" s="1"/>
      <c r="B401" s="6"/>
      <c r="C401" s="1"/>
      <c r="D401" s="55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21.75" customHeight="1" x14ac:dyDescent="0.6">
      <c r="A402" s="1"/>
      <c r="B402" s="6"/>
      <c r="C402" s="1"/>
      <c r="D402" s="55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21.75" customHeight="1" x14ac:dyDescent="0.6">
      <c r="A403" s="1"/>
      <c r="B403" s="6"/>
      <c r="C403" s="1"/>
      <c r="D403" s="55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21.75" customHeight="1" x14ac:dyDescent="0.6">
      <c r="A404" s="1"/>
      <c r="B404" s="6"/>
      <c r="C404" s="1"/>
      <c r="D404" s="55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21.75" customHeight="1" x14ac:dyDescent="0.6">
      <c r="A405" s="1"/>
      <c r="B405" s="6"/>
      <c r="C405" s="1"/>
      <c r="D405" s="55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21.75" customHeight="1" x14ac:dyDescent="0.6">
      <c r="A406" s="1"/>
      <c r="B406" s="6"/>
      <c r="C406" s="1"/>
      <c r="D406" s="55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21.75" customHeight="1" x14ac:dyDescent="0.6">
      <c r="A407" s="1"/>
      <c r="B407" s="6"/>
      <c r="C407" s="1"/>
      <c r="D407" s="55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21.75" customHeight="1" x14ac:dyDescent="0.6">
      <c r="A408" s="1"/>
      <c r="B408" s="6"/>
      <c r="C408" s="1"/>
      <c r="D408" s="55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21.75" customHeight="1" x14ac:dyDescent="0.6">
      <c r="A409" s="1"/>
      <c r="B409" s="6"/>
      <c r="C409" s="1"/>
      <c r="D409" s="55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21.75" customHeight="1" x14ac:dyDescent="0.6">
      <c r="A410" s="1"/>
      <c r="B410" s="6"/>
      <c r="C410" s="1"/>
      <c r="D410" s="55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21.75" customHeight="1" x14ac:dyDescent="0.6">
      <c r="A411" s="1"/>
      <c r="B411" s="6"/>
      <c r="C411" s="1"/>
      <c r="D411" s="55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21.75" customHeight="1" x14ac:dyDescent="0.6">
      <c r="A412" s="1"/>
      <c r="B412" s="6"/>
      <c r="C412" s="1"/>
      <c r="D412" s="55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21.75" customHeight="1" x14ac:dyDescent="0.6">
      <c r="A413" s="1"/>
      <c r="B413" s="6"/>
      <c r="C413" s="1"/>
      <c r="D413" s="55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21.75" customHeight="1" x14ac:dyDescent="0.6">
      <c r="A414" s="1"/>
      <c r="B414" s="6"/>
      <c r="C414" s="1"/>
      <c r="D414" s="55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21.75" customHeight="1" x14ac:dyDescent="0.6">
      <c r="A415" s="1"/>
      <c r="B415" s="6"/>
      <c r="C415" s="1"/>
      <c r="D415" s="55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21.75" customHeight="1" x14ac:dyDescent="0.6">
      <c r="A416" s="1"/>
      <c r="B416" s="6"/>
      <c r="C416" s="1"/>
      <c r="D416" s="55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21.75" customHeight="1" x14ac:dyDescent="0.6">
      <c r="A417" s="1"/>
      <c r="B417" s="6"/>
      <c r="C417" s="1"/>
      <c r="D417" s="55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21.75" customHeight="1" x14ac:dyDescent="0.6">
      <c r="A418" s="1"/>
      <c r="B418" s="6"/>
      <c r="C418" s="1"/>
      <c r="D418" s="55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21.75" customHeight="1" x14ac:dyDescent="0.6">
      <c r="A419" s="1"/>
      <c r="B419" s="6"/>
      <c r="C419" s="1"/>
      <c r="D419" s="55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21.75" customHeight="1" x14ac:dyDescent="0.6">
      <c r="A420" s="1"/>
      <c r="B420" s="6"/>
      <c r="C420" s="1"/>
      <c r="D420" s="55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21.75" customHeight="1" x14ac:dyDescent="0.6">
      <c r="A421" s="1"/>
      <c r="B421" s="6"/>
      <c r="C421" s="1"/>
      <c r="D421" s="55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21.75" customHeight="1" x14ac:dyDescent="0.6">
      <c r="A422" s="1"/>
      <c r="B422" s="6"/>
      <c r="C422" s="1"/>
      <c r="D422" s="55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21.75" customHeight="1" x14ac:dyDescent="0.6">
      <c r="A423" s="1"/>
      <c r="B423" s="6"/>
      <c r="C423" s="1"/>
      <c r="D423" s="55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21.75" customHeight="1" x14ac:dyDescent="0.6">
      <c r="A424" s="1"/>
      <c r="B424" s="6"/>
      <c r="C424" s="1"/>
      <c r="D424" s="55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21.75" customHeight="1" x14ac:dyDescent="0.6">
      <c r="A425" s="1"/>
      <c r="B425" s="6"/>
      <c r="C425" s="1"/>
      <c r="D425" s="55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21.75" customHeight="1" x14ac:dyDescent="0.6">
      <c r="A426" s="1"/>
      <c r="B426" s="6"/>
      <c r="C426" s="1"/>
      <c r="D426" s="55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21.75" customHeight="1" x14ac:dyDescent="0.6">
      <c r="A427" s="1"/>
      <c r="B427" s="6"/>
      <c r="C427" s="1"/>
      <c r="D427" s="55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21.75" customHeight="1" x14ac:dyDescent="0.6">
      <c r="A428" s="1"/>
      <c r="B428" s="6"/>
      <c r="C428" s="1"/>
      <c r="D428" s="55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21.75" customHeight="1" x14ac:dyDescent="0.6">
      <c r="A429" s="1"/>
      <c r="B429" s="6"/>
      <c r="C429" s="1"/>
      <c r="D429" s="55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21.75" customHeight="1" x14ac:dyDescent="0.6">
      <c r="A430" s="1"/>
      <c r="B430" s="6"/>
      <c r="C430" s="1"/>
      <c r="D430" s="55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21.75" customHeight="1" x14ac:dyDescent="0.6">
      <c r="A431" s="1"/>
      <c r="B431" s="6"/>
      <c r="C431" s="1"/>
      <c r="D431" s="55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21.75" customHeight="1" x14ac:dyDescent="0.6">
      <c r="A432" s="1"/>
      <c r="B432" s="6"/>
      <c r="C432" s="1"/>
      <c r="D432" s="55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21.75" customHeight="1" x14ac:dyDescent="0.6">
      <c r="A433" s="1"/>
      <c r="B433" s="6"/>
      <c r="C433" s="1"/>
      <c r="D433" s="55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21.75" customHeight="1" x14ac:dyDescent="0.6">
      <c r="A434" s="1"/>
      <c r="B434" s="6"/>
      <c r="C434" s="1"/>
      <c r="D434" s="55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21.75" customHeight="1" x14ac:dyDescent="0.6">
      <c r="A435" s="1"/>
      <c r="B435" s="6"/>
      <c r="C435" s="1"/>
      <c r="D435" s="55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21.75" customHeight="1" x14ac:dyDescent="0.6">
      <c r="A436" s="1"/>
      <c r="B436" s="6"/>
      <c r="C436" s="1"/>
      <c r="D436" s="55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21.75" customHeight="1" x14ac:dyDescent="0.6">
      <c r="A437" s="1"/>
      <c r="B437" s="6"/>
      <c r="C437" s="1"/>
      <c r="D437" s="55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21.75" customHeight="1" x14ac:dyDescent="0.6">
      <c r="A438" s="1"/>
      <c r="B438" s="6"/>
      <c r="C438" s="1"/>
      <c r="D438" s="55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21.75" customHeight="1" x14ac:dyDescent="0.6">
      <c r="A439" s="1"/>
      <c r="B439" s="6"/>
      <c r="C439" s="1"/>
      <c r="D439" s="55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21.75" customHeight="1" x14ac:dyDescent="0.6">
      <c r="A440" s="1"/>
      <c r="B440" s="6"/>
      <c r="C440" s="1"/>
      <c r="D440" s="55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21.75" customHeight="1" x14ac:dyDescent="0.6">
      <c r="A441" s="1"/>
      <c r="B441" s="6"/>
      <c r="C441" s="1"/>
      <c r="D441" s="55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21.75" customHeight="1" x14ac:dyDescent="0.6">
      <c r="A442" s="1"/>
      <c r="B442" s="6"/>
      <c r="C442" s="1"/>
      <c r="D442" s="55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21.75" customHeight="1" x14ac:dyDescent="0.6">
      <c r="A443" s="1"/>
      <c r="B443" s="6"/>
      <c r="C443" s="1"/>
      <c r="D443" s="55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21.75" customHeight="1" x14ac:dyDescent="0.6">
      <c r="A444" s="1"/>
      <c r="B444" s="6"/>
      <c r="C444" s="1"/>
      <c r="D444" s="55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21.75" customHeight="1" x14ac:dyDescent="0.6">
      <c r="A445" s="1"/>
      <c r="B445" s="6"/>
      <c r="C445" s="1"/>
      <c r="D445" s="55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21.75" customHeight="1" x14ac:dyDescent="0.6">
      <c r="A446" s="1"/>
      <c r="B446" s="6"/>
      <c r="C446" s="1"/>
      <c r="D446" s="55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21.75" customHeight="1" x14ac:dyDescent="0.6">
      <c r="A447" s="1"/>
      <c r="B447" s="6"/>
      <c r="C447" s="1"/>
      <c r="D447" s="55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21.75" customHeight="1" x14ac:dyDescent="0.6">
      <c r="A448" s="1"/>
      <c r="B448" s="6"/>
      <c r="C448" s="1"/>
      <c r="D448" s="55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21.75" customHeight="1" x14ac:dyDescent="0.6">
      <c r="A449" s="1"/>
      <c r="B449" s="6"/>
      <c r="C449" s="1"/>
      <c r="D449" s="55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21.75" customHeight="1" x14ac:dyDescent="0.6">
      <c r="A450" s="1"/>
      <c r="B450" s="6"/>
      <c r="C450" s="1"/>
      <c r="D450" s="55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21.75" customHeight="1" x14ac:dyDescent="0.6">
      <c r="A451" s="1"/>
      <c r="B451" s="6"/>
      <c r="C451" s="1"/>
      <c r="D451" s="55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21.75" customHeight="1" x14ac:dyDescent="0.6">
      <c r="A452" s="1"/>
      <c r="B452" s="6"/>
      <c r="C452" s="1"/>
      <c r="D452" s="55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21.75" customHeight="1" x14ac:dyDescent="0.6">
      <c r="A453" s="1"/>
      <c r="B453" s="6"/>
      <c r="C453" s="1"/>
      <c r="D453" s="55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21.75" customHeight="1" x14ac:dyDescent="0.6">
      <c r="A454" s="1"/>
      <c r="B454" s="6"/>
      <c r="C454" s="1"/>
      <c r="D454" s="55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21.75" customHeight="1" x14ac:dyDescent="0.6">
      <c r="A455" s="1"/>
      <c r="B455" s="6"/>
      <c r="C455" s="1"/>
      <c r="D455" s="55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21.75" customHeight="1" x14ac:dyDescent="0.6">
      <c r="A456" s="1"/>
      <c r="B456" s="6"/>
      <c r="C456" s="1"/>
      <c r="D456" s="55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21.75" customHeight="1" x14ac:dyDescent="0.6">
      <c r="A457" s="1"/>
      <c r="B457" s="6"/>
      <c r="C457" s="1"/>
      <c r="D457" s="55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21.75" customHeight="1" x14ac:dyDescent="0.6">
      <c r="A458" s="1"/>
      <c r="B458" s="6"/>
      <c r="C458" s="1"/>
      <c r="D458" s="55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21.75" customHeight="1" x14ac:dyDescent="0.6">
      <c r="A459" s="1"/>
      <c r="B459" s="6"/>
      <c r="C459" s="1"/>
      <c r="D459" s="55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21.75" customHeight="1" x14ac:dyDescent="0.6">
      <c r="A460" s="1"/>
      <c r="B460" s="6"/>
      <c r="C460" s="1"/>
      <c r="D460" s="55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21.75" customHeight="1" x14ac:dyDescent="0.6">
      <c r="A461" s="1"/>
      <c r="B461" s="6"/>
      <c r="C461" s="1"/>
      <c r="D461" s="55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21.75" customHeight="1" x14ac:dyDescent="0.6">
      <c r="A462" s="1"/>
      <c r="B462" s="6"/>
      <c r="C462" s="1"/>
      <c r="D462" s="55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21.75" customHeight="1" x14ac:dyDescent="0.6">
      <c r="A463" s="1"/>
      <c r="B463" s="6"/>
      <c r="C463" s="1"/>
      <c r="D463" s="55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21.75" customHeight="1" x14ac:dyDescent="0.6">
      <c r="A464" s="1"/>
      <c r="B464" s="6"/>
      <c r="C464" s="1"/>
      <c r="D464" s="55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21.75" customHeight="1" x14ac:dyDescent="0.6">
      <c r="A465" s="1"/>
      <c r="B465" s="6"/>
      <c r="C465" s="1"/>
      <c r="D465" s="55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21.75" customHeight="1" x14ac:dyDescent="0.6">
      <c r="A466" s="1"/>
      <c r="B466" s="6"/>
      <c r="C466" s="1"/>
      <c r="D466" s="55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21.75" customHeight="1" x14ac:dyDescent="0.6">
      <c r="A467" s="1"/>
      <c r="B467" s="6"/>
      <c r="C467" s="1"/>
      <c r="D467" s="55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21.75" customHeight="1" x14ac:dyDescent="0.6">
      <c r="A468" s="1"/>
      <c r="B468" s="6"/>
      <c r="C468" s="1"/>
      <c r="D468" s="55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21.75" customHeight="1" x14ac:dyDescent="0.6">
      <c r="A469" s="1"/>
      <c r="B469" s="6"/>
      <c r="C469" s="1"/>
      <c r="D469" s="55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21.75" customHeight="1" x14ac:dyDescent="0.6">
      <c r="A470" s="1"/>
      <c r="B470" s="6"/>
      <c r="C470" s="1"/>
      <c r="D470" s="55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21.75" customHeight="1" x14ac:dyDescent="0.6">
      <c r="A471" s="1"/>
      <c r="B471" s="6"/>
      <c r="C471" s="1"/>
      <c r="D471" s="55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21.75" customHeight="1" x14ac:dyDescent="0.6">
      <c r="A472" s="1"/>
      <c r="B472" s="6"/>
      <c r="C472" s="1"/>
      <c r="D472" s="55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21.75" customHeight="1" x14ac:dyDescent="0.6">
      <c r="A473" s="1"/>
      <c r="B473" s="6"/>
      <c r="C473" s="1"/>
      <c r="D473" s="55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21.75" customHeight="1" x14ac:dyDescent="0.6">
      <c r="A474" s="1"/>
      <c r="B474" s="6"/>
      <c r="C474" s="1"/>
      <c r="D474" s="55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21.75" customHeight="1" x14ac:dyDescent="0.6">
      <c r="A475" s="1"/>
      <c r="B475" s="6"/>
      <c r="C475" s="1"/>
      <c r="D475" s="55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21.75" customHeight="1" x14ac:dyDescent="0.6">
      <c r="A476" s="1"/>
      <c r="B476" s="6"/>
      <c r="C476" s="1"/>
      <c r="D476" s="55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21.75" customHeight="1" x14ac:dyDescent="0.6">
      <c r="A477" s="1"/>
      <c r="B477" s="6"/>
      <c r="C477" s="1"/>
      <c r="D477" s="55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21.75" customHeight="1" x14ac:dyDescent="0.6">
      <c r="A478" s="1"/>
      <c r="B478" s="6"/>
      <c r="C478" s="1"/>
      <c r="D478" s="55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21.75" customHeight="1" x14ac:dyDescent="0.6">
      <c r="A479" s="1"/>
      <c r="B479" s="6"/>
      <c r="C479" s="1"/>
      <c r="D479" s="55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21.75" customHeight="1" x14ac:dyDescent="0.6">
      <c r="A480" s="1"/>
      <c r="B480" s="6"/>
      <c r="C480" s="1"/>
      <c r="D480" s="55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21.75" customHeight="1" x14ac:dyDescent="0.6">
      <c r="A481" s="1"/>
      <c r="B481" s="6"/>
      <c r="C481" s="1"/>
      <c r="D481" s="55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21.75" customHeight="1" x14ac:dyDescent="0.6">
      <c r="A482" s="1"/>
      <c r="B482" s="6"/>
      <c r="C482" s="1"/>
      <c r="D482" s="55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21.75" customHeight="1" x14ac:dyDescent="0.6">
      <c r="A483" s="1"/>
      <c r="B483" s="6"/>
      <c r="C483" s="1"/>
      <c r="D483" s="55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21.75" customHeight="1" x14ac:dyDescent="0.6">
      <c r="A484" s="1"/>
      <c r="B484" s="6"/>
      <c r="C484" s="1"/>
      <c r="D484" s="55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21.75" customHeight="1" x14ac:dyDescent="0.6">
      <c r="A485" s="1"/>
      <c r="B485" s="6"/>
      <c r="C485" s="1"/>
      <c r="D485" s="55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21.75" customHeight="1" x14ac:dyDescent="0.6">
      <c r="A486" s="1"/>
      <c r="B486" s="6"/>
      <c r="C486" s="1"/>
      <c r="D486" s="55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21.75" customHeight="1" x14ac:dyDescent="0.6">
      <c r="A487" s="1"/>
      <c r="B487" s="6"/>
      <c r="C487" s="1"/>
      <c r="D487" s="55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21.75" customHeight="1" x14ac:dyDescent="0.6">
      <c r="A488" s="1"/>
      <c r="B488" s="6"/>
      <c r="C488" s="1"/>
      <c r="D488" s="55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21.75" customHeight="1" x14ac:dyDescent="0.6">
      <c r="A489" s="1"/>
      <c r="B489" s="6"/>
      <c r="C489" s="1"/>
      <c r="D489" s="55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21.75" customHeight="1" x14ac:dyDescent="0.6">
      <c r="A490" s="1"/>
      <c r="B490" s="6"/>
      <c r="C490" s="1"/>
      <c r="D490" s="55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21.75" customHeight="1" x14ac:dyDescent="0.6">
      <c r="A491" s="1"/>
      <c r="B491" s="6"/>
      <c r="C491" s="1"/>
      <c r="D491" s="55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21.75" customHeight="1" x14ac:dyDescent="0.6">
      <c r="A492" s="1"/>
      <c r="B492" s="6"/>
      <c r="C492" s="1"/>
      <c r="D492" s="55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21.75" customHeight="1" x14ac:dyDescent="0.6">
      <c r="A493" s="1"/>
      <c r="B493" s="6"/>
      <c r="C493" s="1"/>
      <c r="D493" s="55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21.75" customHeight="1" x14ac:dyDescent="0.6">
      <c r="A494" s="1"/>
      <c r="B494" s="6"/>
      <c r="C494" s="1"/>
      <c r="D494" s="55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21.75" customHeight="1" x14ac:dyDescent="0.6">
      <c r="A495" s="1"/>
      <c r="B495" s="6"/>
      <c r="C495" s="1"/>
      <c r="D495" s="55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21.75" customHeight="1" x14ac:dyDescent="0.6">
      <c r="A496" s="1"/>
      <c r="B496" s="6"/>
      <c r="C496" s="1"/>
      <c r="D496" s="55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21.75" customHeight="1" x14ac:dyDescent="0.6">
      <c r="A497" s="1"/>
      <c r="B497" s="6"/>
      <c r="C497" s="1"/>
      <c r="D497" s="55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21.75" customHeight="1" x14ac:dyDescent="0.6">
      <c r="A498" s="1"/>
      <c r="B498" s="6"/>
      <c r="C498" s="1"/>
      <c r="D498" s="55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21.75" customHeight="1" x14ac:dyDescent="0.6">
      <c r="A499" s="1"/>
      <c r="B499" s="6"/>
      <c r="C499" s="1"/>
      <c r="D499" s="55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21.75" customHeight="1" x14ac:dyDescent="0.6">
      <c r="A500" s="1"/>
      <c r="B500" s="6"/>
      <c r="C500" s="1"/>
      <c r="D500" s="55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21.75" customHeight="1" x14ac:dyDescent="0.6">
      <c r="A501" s="1"/>
      <c r="B501" s="6"/>
      <c r="C501" s="1"/>
      <c r="D501" s="55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21.75" customHeight="1" x14ac:dyDescent="0.6">
      <c r="A502" s="1"/>
      <c r="B502" s="6"/>
      <c r="C502" s="1"/>
      <c r="D502" s="55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21.75" customHeight="1" x14ac:dyDescent="0.6">
      <c r="A503" s="1"/>
      <c r="B503" s="6"/>
      <c r="C503" s="1"/>
      <c r="D503" s="55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21.75" customHeight="1" x14ac:dyDescent="0.6">
      <c r="A504" s="1"/>
      <c r="B504" s="6"/>
      <c r="C504" s="1"/>
      <c r="D504" s="55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21.75" customHeight="1" x14ac:dyDescent="0.6">
      <c r="A505" s="1"/>
      <c r="B505" s="6"/>
      <c r="C505" s="1"/>
      <c r="D505" s="55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21.75" customHeight="1" x14ac:dyDescent="0.6">
      <c r="A506" s="1"/>
      <c r="B506" s="6"/>
      <c r="C506" s="1"/>
      <c r="D506" s="55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21.75" customHeight="1" x14ac:dyDescent="0.6">
      <c r="A507" s="1"/>
      <c r="B507" s="6"/>
      <c r="C507" s="1"/>
      <c r="D507" s="55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21.75" customHeight="1" x14ac:dyDescent="0.6">
      <c r="A508" s="1"/>
      <c r="B508" s="6"/>
      <c r="C508" s="1"/>
      <c r="D508" s="55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21.75" customHeight="1" x14ac:dyDescent="0.6">
      <c r="A509" s="1"/>
      <c r="B509" s="6"/>
      <c r="C509" s="1"/>
      <c r="D509" s="55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21.75" customHeight="1" x14ac:dyDescent="0.6">
      <c r="A510" s="1"/>
      <c r="B510" s="6"/>
      <c r="C510" s="1"/>
      <c r="D510" s="55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21.75" customHeight="1" x14ac:dyDescent="0.6">
      <c r="A511" s="1"/>
      <c r="B511" s="6"/>
      <c r="C511" s="1"/>
      <c r="D511" s="55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21.75" customHeight="1" x14ac:dyDescent="0.6">
      <c r="A512" s="1"/>
      <c r="B512" s="6"/>
      <c r="C512" s="1"/>
      <c r="D512" s="55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21.75" customHeight="1" x14ac:dyDescent="0.6">
      <c r="A513" s="1"/>
      <c r="B513" s="6"/>
      <c r="C513" s="1"/>
      <c r="D513" s="55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21.75" customHeight="1" x14ac:dyDescent="0.6">
      <c r="A514" s="1"/>
      <c r="B514" s="6"/>
      <c r="C514" s="1"/>
      <c r="D514" s="55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21.75" customHeight="1" x14ac:dyDescent="0.6">
      <c r="A515" s="1"/>
      <c r="B515" s="6"/>
      <c r="C515" s="1"/>
      <c r="D515" s="55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21.75" customHeight="1" x14ac:dyDescent="0.6">
      <c r="A516" s="1"/>
      <c r="B516" s="6"/>
      <c r="C516" s="1"/>
      <c r="D516" s="55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21.75" customHeight="1" x14ac:dyDescent="0.6">
      <c r="A517" s="1"/>
      <c r="B517" s="6"/>
      <c r="C517" s="1"/>
      <c r="D517" s="55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21.75" customHeight="1" x14ac:dyDescent="0.6">
      <c r="A518" s="1"/>
      <c r="B518" s="6"/>
      <c r="C518" s="1"/>
      <c r="D518" s="55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21.75" customHeight="1" x14ac:dyDescent="0.6">
      <c r="A519" s="1"/>
      <c r="B519" s="6"/>
      <c r="C519" s="1"/>
      <c r="D519" s="55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21.75" customHeight="1" x14ac:dyDescent="0.6">
      <c r="A520" s="1"/>
      <c r="B520" s="6"/>
      <c r="C520" s="1"/>
      <c r="D520" s="55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21.75" customHeight="1" x14ac:dyDescent="0.6">
      <c r="A521" s="1"/>
      <c r="B521" s="6"/>
      <c r="C521" s="1"/>
      <c r="D521" s="55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21.75" customHeight="1" x14ac:dyDescent="0.6">
      <c r="A522" s="1"/>
      <c r="B522" s="6"/>
      <c r="C522" s="1"/>
      <c r="D522" s="55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21.75" customHeight="1" x14ac:dyDescent="0.6">
      <c r="A523" s="1"/>
      <c r="B523" s="6"/>
      <c r="C523" s="1"/>
      <c r="D523" s="55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21.75" customHeight="1" x14ac:dyDescent="0.6">
      <c r="A524" s="1"/>
      <c r="B524" s="6"/>
      <c r="C524" s="1"/>
      <c r="D524" s="55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21.75" customHeight="1" x14ac:dyDescent="0.6">
      <c r="A525" s="1"/>
      <c r="B525" s="6"/>
      <c r="C525" s="1"/>
      <c r="D525" s="55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21.75" customHeight="1" x14ac:dyDescent="0.6">
      <c r="A526" s="1"/>
      <c r="B526" s="6"/>
      <c r="C526" s="1"/>
      <c r="D526" s="55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21.75" customHeight="1" x14ac:dyDescent="0.6">
      <c r="A527" s="1"/>
      <c r="B527" s="6"/>
      <c r="C527" s="1"/>
      <c r="D527" s="55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21.75" customHeight="1" x14ac:dyDescent="0.6">
      <c r="A528" s="1"/>
      <c r="B528" s="6"/>
      <c r="C528" s="1"/>
      <c r="D528" s="55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21.75" customHeight="1" x14ac:dyDescent="0.6">
      <c r="A529" s="1"/>
      <c r="B529" s="6"/>
      <c r="C529" s="1"/>
      <c r="D529" s="55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21.75" customHeight="1" x14ac:dyDescent="0.6">
      <c r="A530" s="1"/>
      <c r="B530" s="6"/>
      <c r="C530" s="1"/>
      <c r="D530" s="55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21.75" customHeight="1" x14ac:dyDescent="0.6">
      <c r="A531" s="1"/>
      <c r="B531" s="6"/>
      <c r="C531" s="1"/>
      <c r="D531" s="55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21.75" customHeight="1" x14ac:dyDescent="0.6">
      <c r="A532" s="1"/>
      <c r="B532" s="6"/>
      <c r="C532" s="1"/>
      <c r="D532" s="55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21.75" customHeight="1" x14ac:dyDescent="0.6">
      <c r="A533" s="1"/>
      <c r="B533" s="6"/>
      <c r="C533" s="1"/>
      <c r="D533" s="55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21.75" customHeight="1" x14ac:dyDescent="0.6">
      <c r="A534" s="1"/>
      <c r="B534" s="6"/>
      <c r="C534" s="1"/>
      <c r="D534" s="55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21.75" customHeight="1" x14ac:dyDescent="0.6">
      <c r="A535" s="1"/>
      <c r="B535" s="6"/>
      <c r="C535" s="1"/>
      <c r="D535" s="55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21.75" customHeight="1" x14ac:dyDescent="0.6">
      <c r="A536" s="1"/>
      <c r="B536" s="6"/>
      <c r="C536" s="1"/>
      <c r="D536" s="55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21.75" customHeight="1" x14ac:dyDescent="0.6">
      <c r="A537" s="1"/>
      <c r="B537" s="6"/>
      <c r="C537" s="1"/>
      <c r="D537" s="55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21.75" customHeight="1" x14ac:dyDescent="0.6">
      <c r="A538" s="1"/>
      <c r="B538" s="6"/>
      <c r="C538" s="1"/>
      <c r="D538" s="55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21.75" customHeight="1" x14ac:dyDescent="0.6">
      <c r="A539" s="1"/>
      <c r="B539" s="6"/>
      <c r="C539" s="1"/>
      <c r="D539" s="55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21.75" customHeight="1" x14ac:dyDescent="0.6">
      <c r="A540" s="1"/>
      <c r="B540" s="6"/>
      <c r="C540" s="1"/>
      <c r="D540" s="55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21.75" customHeight="1" x14ac:dyDescent="0.6">
      <c r="A541" s="1"/>
      <c r="B541" s="6"/>
      <c r="C541" s="1"/>
      <c r="D541" s="55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21.75" customHeight="1" x14ac:dyDescent="0.6">
      <c r="A542" s="1"/>
      <c r="B542" s="6"/>
      <c r="C542" s="1"/>
      <c r="D542" s="55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21.75" customHeight="1" x14ac:dyDescent="0.6">
      <c r="A543" s="1"/>
      <c r="B543" s="6"/>
      <c r="C543" s="1"/>
      <c r="D543" s="55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21.75" customHeight="1" x14ac:dyDescent="0.6">
      <c r="A544" s="1"/>
      <c r="B544" s="6"/>
      <c r="C544" s="1"/>
      <c r="D544" s="55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21.75" customHeight="1" x14ac:dyDescent="0.6">
      <c r="A545" s="1"/>
      <c r="B545" s="6"/>
      <c r="C545" s="1"/>
      <c r="D545" s="55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21.75" customHeight="1" x14ac:dyDescent="0.6">
      <c r="A546" s="1"/>
      <c r="B546" s="6"/>
      <c r="C546" s="1"/>
      <c r="D546" s="55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21.75" customHeight="1" x14ac:dyDescent="0.6">
      <c r="A547" s="1"/>
      <c r="B547" s="6"/>
      <c r="C547" s="1"/>
      <c r="D547" s="55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21.75" customHeight="1" x14ac:dyDescent="0.6">
      <c r="A548" s="1"/>
      <c r="B548" s="6"/>
      <c r="C548" s="1"/>
      <c r="D548" s="55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21.75" customHeight="1" x14ac:dyDescent="0.6">
      <c r="A549" s="1"/>
      <c r="B549" s="6"/>
      <c r="C549" s="1"/>
      <c r="D549" s="55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21.75" customHeight="1" x14ac:dyDescent="0.6">
      <c r="A550" s="1"/>
      <c r="B550" s="6"/>
      <c r="C550" s="1"/>
      <c r="D550" s="55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21.75" customHeight="1" x14ac:dyDescent="0.6">
      <c r="A551" s="1"/>
      <c r="B551" s="6"/>
      <c r="C551" s="1"/>
      <c r="D551" s="55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21.75" customHeight="1" x14ac:dyDescent="0.6">
      <c r="A552" s="1"/>
      <c r="B552" s="6"/>
      <c r="C552" s="1"/>
      <c r="D552" s="55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21.75" customHeight="1" x14ac:dyDescent="0.6">
      <c r="A553" s="1"/>
      <c r="B553" s="6"/>
      <c r="C553" s="1"/>
      <c r="D553" s="55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21.75" customHeight="1" x14ac:dyDescent="0.6">
      <c r="A554" s="1"/>
      <c r="B554" s="6"/>
      <c r="C554" s="1"/>
      <c r="D554" s="55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21.75" customHeight="1" x14ac:dyDescent="0.6">
      <c r="A555" s="1"/>
      <c r="B555" s="6"/>
      <c r="C555" s="1"/>
      <c r="D555" s="55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21.75" customHeight="1" x14ac:dyDescent="0.6">
      <c r="A556" s="1"/>
      <c r="B556" s="6"/>
      <c r="C556" s="1"/>
      <c r="D556" s="55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21.75" customHeight="1" x14ac:dyDescent="0.6">
      <c r="A557" s="1"/>
      <c r="B557" s="6"/>
      <c r="C557" s="1"/>
      <c r="D557" s="55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21.75" customHeight="1" x14ac:dyDescent="0.6">
      <c r="A558" s="1"/>
      <c r="B558" s="6"/>
      <c r="C558" s="1"/>
      <c r="D558" s="55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21.75" customHeight="1" x14ac:dyDescent="0.6">
      <c r="A559" s="1"/>
      <c r="B559" s="6"/>
      <c r="C559" s="1"/>
      <c r="D559" s="55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21.75" customHeight="1" x14ac:dyDescent="0.6">
      <c r="A560" s="1"/>
      <c r="B560" s="6"/>
      <c r="C560" s="1"/>
      <c r="D560" s="55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21.75" customHeight="1" x14ac:dyDescent="0.6">
      <c r="A561" s="1"/>
      <c r="B561" s="6"/>
      <c r="C561" s="1"/>
      <c r="D561" s="55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21.75" customHeight="1" x14ac:dyDescent="0.6">
      <c r="A562" s="1"/>
      <c r="B562" s="6"/>
      <c r="C562" s="1"/>
      <c r="D562" s="55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21.75" customHeight="1" x14ac:dyDescent="0.6">
      <c r="A563" s="1"/>
      <c r="B563" s="6"/>
      <c r="C563" s="1"/>
      <c r="D563" s="55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21.75" customHeight="1" x14ac:dyDescent="0.6">
      <c r="A564" s="1"/>
      <c r="B564" s="6"/>
      <c r="C564" s="1"/>
      <c r="D564" s="55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21.75" customHeight="1" x14ac:dyDescent="0.6">
      <c r="A565" s="1"/>
      <c r="B565" s="6"/>
      <c r="C565" s="1"/>
      <c r="D565" s="55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21.75" customHeight="1" x14ac:dyDescent="0.6">
      <c r="A566" s="1"/>
      <c r="B566" s="6"/>
      <c r="C566" s="1"/>
      <c r="D566" s="55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21.75" customHeight="1" x14ac:dyDescent="0.6">
      <c r="A567" s="1"/>
      <c r="B567" s="6"/>
      <c r="C567" s="1"/>
      <c r="D567" s="55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21.75" customHeight="1" x14ac:dyDescent="0.6">
      <c r="A568" s="1"/>
      <c r="B568" s="6"/>
      <c r="C568" s="1"/>
      <c r="D568" s="55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21.75" customHeight="1" x14ac:dyDescent="0.6">
      <c r="A569" s="1"/>
      <c r="B569" s="6"/>
      <c r="C569" s="1"/>
      <c r="D569" s="55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21.75" customHeight="1" x14ac:dyDescent="0.6">
      <c r="A570" s="1"/>
      <c r="B570" s="6"/>
      <c r="C570" s="1"/>
      <c r="D570" s="55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21.75" customHeight="1" x14ac:dyDescent="0.6">
      <c r="A571" s="1"/>
      <c r="B571" s="6"/>
      <c r="C571" s="1"/>
      <c r="D571" s="55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21.75" customHeight="1" x14ac:dyDescent="0.6">
      <c r="A572" s="1"/>
      <c r="B572" s="6"/>
      <c r="C572" s="1"/>
      <c r="D572" s="55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21.75" customHeight="1" x14ac:dyDescent="0.6">
      <c r="A573" s="1"/>
      <c r="B573" s="6"/>
      <c r="C573" s="1"/>
      <c r="D573" s="55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21.75" customHeight="1" x14ac:dyDescent="0.6">
      <c r="A574" s="1"/>
      <c r="B574" s="6"/>
      <c r="C574" s="1"/>
      <c r="D574" s="55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21.75" customHeight="1" x14ac:dyDescent="0.6">
      <c r="A575" s="1"/>
      <c r="B575" s="6"/>
      <c r="C575" s="1"/>
      <c r="D575" s="55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21.75" customHeight="1" x14ac:dyDescent="0.6">
      <c r="A576" s="1"/>
      <c r="B576" s="6"/>
      <c r="C576" s="1"/>
      <c r="D576" s="55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21.75" customHeight="1" x14ac:dyDescent="0.6">
      <c r="A577" s="1"/>
      <c r="B577" s="6"/>
      <c r="C577" s="1"/>
      <c r="D577" s="55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21.75" customHeight="1" x14ac:dyDescent="0.6">
      <c r="A578" s="1"/>
      <c r="B578" s="6"/>
      <c r="C578" s="1"/>
      <c r="D578" s="55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21.75" customHeight="1" x14ac:dyDescent="0.6">
      <c r="A579" s="1"/>
      <c r="B579" s="6"/>
      <c r="C579" s="1"/>
      <c r="D579" s="55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21.75" customHeight="1" x14ac:dyDescent="0.6">
      <c r="A580" s="1"/>
      <c r="B580" s="6"/>
      <c r="C580" s="1"/>
      <c r="D580" s="55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21.75" customHeight="1" x14ac:dyDescent="0.6">
      <c r="A581" s="1"/>
      <c r="B581" s="6"/>
      <c r="C581" s="1"/>
      <c r="D581" s="55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21.75" customHeight="1" x14ac:dyDescent="0.6">
      <c r="A582" s="1"/>
      <c r="B582" s="6"/>
      <c r="C582" s="1"/>
      <c r="D582" s="55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21.75" customHeight="1" x14ac:dyDescent="0.6">
      <c r="A583" s="1"/>
      <c r="B583" s="6"/>
      <c r="C583" s="1"/>
      <c r="D583" s="55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21.75" customHeight="1" x14ac:dyDescent="0.6">
      <c r="A584" s="1"/>
      <c r="B584" s="6"/>
      <c r="C584" s="1"/>
      <c r="D584" s="55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21.75" customHeight="1" x14ac:dyDescent="0.6">
      <c r="A585" s="1"/>
      <c r="B585" s="6"/>
      <c r="C585" s="1"/>
      <c r="D585" s="55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21.75" customHeight="1" x14ac:dyDescent="0.6">
      <c r="A586" s="1"/>
      <c r="B586" s="6"/>
      <c r="C586" s="1"/>
      <c r="D586" s="55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21.75" customHeight="1" x14ac:dyDescent="0.6">
      <c r="A587" s="1"/>
      <c r="B587" s="6"/>
      <c r="C587" s="1"/>
      <c r="D587" s="55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21.75" customHeight="1" x14ac:dyDescent="0.6">
      <c r="A588" s="1"/>
      <c r="B588" s="6"/>
      <c r="C588" s="1"/>
      <c r="D588" s="55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21.75" customHeight="1" x14ac:dyDescent="0.6">
      <c r="A589" s="1"/>
      <c r="B589" s="6"/>
      <c r="C589" s="1"/>
      <c r="D589" s="55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21.75" customHeight="1" x14ac:dyDescent="0.6">
      <c r="A590" s="1"/>
      <c r="B590" s="6"/>
      <c r="C590" s="1"/>
      <c r="D590" s="55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21.75" customHeight="1" x14ac:dyDescent="0.6">
      <c r="A591" s="1"/>
      <c r="B591" s="6"/>
      <c r="C591" s="1"/>
      <c r="D591" s="55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21.75" customHeight="1" x14ac:dyDescent="0.6">
      <c r="A592" s="1"/>
      <c r="B592" s="6"/>
      <c r="C592" s="1"/>
      <c r="D592" s="55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21.75" customHeight="1" x14ac:dyDescent="0.6">
      <c r="A593" s="1"/>
      <c r="B593" s="6"/>
      <c r="C593" s="1"/>
      <c r="D593" s="55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21.75" customHeight="1" x14ac:dyDescent="0.6">
      <c r="A594" s="1"/>
      <c r="B594" s="6"/>
      <c r="C594" s="1"/>
      <c r="D594" s="55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21.75" customHeight="1" x14ac:dyDescent="0.6">
      <c r="A595" s="1"/>
      <c r="B595" s="6"/>
      <c r="C595" s="1"/>
      <c r="D595" s="55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21.75" customHeight="1" x14ac:dyDescent="0.6">
      <c r="A596" s="1"/>
      <c r="B596" s="6"/>
      <c r="C596" s="1"/>
      <c r="D596" s="55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21.75" customHeight="1" x14ac:dyDescent="0.6">
      <c r="A597" s="1"/>
      <c r="B597" s="6"/>
      <c r="C597" s="1"/>
      <c r="D597" s="55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21.75" customHeight="1" x14ac:dyDescent="0.6">
      <c r="A598" s="1"/>
      <c r="B598" s="6"/>
      <c r="C598" s="1"/>
      <c r="D598" s="55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21.75" customHeight="1" x14ac:dyDescent="0.6">
      <c r="A599" s="1"/>
      <c r="B599" s="6"/>
      <c r="C599" s="1"/>
      <c r="D599" s="55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21.75" customHeight="1" x14ac:dyDescent="0.6">
      <c r="A600" s="1"/>
      <c r="B600" s="6"/>
      <c r="C600" s="1"/>
      <c r="D600" s="55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21.75" customHeight="1" x14ac:dyDescent="0.6">
      <c r="A601" s="1"/>
      <c r="B601" s="6"/>
      <c r="C601" s="1"/>
      <c r="D601" s="55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21.75" customHeight="1" x14ac:dyDescent="0.6">
      <c r="A602" s="1"/>
      <c r="B602" s="6"/>
      <c r="C602" s="1"/>
      <c r="D602" s="55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21.75" customHeight="1" x14ac:dyDescent="0.6">
      <c r="A603" s="1"/>
      <c r="B603" s="6"/>
      <c r="C603" s="1"/>
      <c r="D603" s="55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21.75" customHeight="1" x14ac:dyDescent="0.6">
      <c r="A604" s="1"/>
      <c r="B604" s="6"/>
      <c r="C604" s="1"/>
      <c r="D604" s="55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21.75" customHeight="1" x14ac:dyDescent="0.6">
      <c r="A605" s="1"/>
      <c r="B605" s="6"/>
      <c r="C605" s="1"/>
      <c r="D605" s="55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21.75" customHeight="1" x14ac:dyDescent="0.6">
      <c r="A606" s="1"/>
      <c r="B606" s="6"/>
      <c r="C606" s="1"/>
      <c r="D606" s="55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21.75" customHeight="1" x14ac:dyDescent="0.6">
      <c r="A607" s="1"/>
      <c r="B607" s="6"/>
      <c r="C607" s="1"/>
      <c r="D607" s="55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21.75" customHeight="1" x14ac:dyDescent="0.6">
      <c r="A608" s="1"/>
      <c r="B608" s="6"/>
      <c r="C608" s="1"/>
      <c r="D608" s="55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21.75" customHeight="1" x14ac:dyDescent="0.6">
      <c r="A609" s="1"/>
      <c r="B609" s="6"/>
      <c r="C609" s="1"/>
      <c r="D609" s="55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21.75" customHeight="1" x14ac:dyDescent="0.6">
      <c r="A610" s="1"/>
      <c r="B610" s="6"/>
      <c r="C610" s="1"/>
      <c r="D610" s="55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21.75" customHeight="1" x14ac:dyDescent="0.6">
      <c r="A611" s="1"/>
      <c r="B611" s="6"/>
      <c r="C611" s="1"/>
      <c r="D611" s="55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21.75" customHeight="1" x14ac:dyDescent="0.6">
      <c r="A612" s="1"/>
      <c r="B612" s="6"/>
      <c r="C612" s="1"/>
      <c r="D612" s="55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21.75" customHeight="1" x14ac:dyDescent="0.6">
      <c r="A613" s="1"/>
      <c r="B613" s="6"/>
      <c r="C613" s="1"/>
      <c r="D613" s="55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21.75" customHeight="1" x14ac:dyDescent="0.6">
      <c r="A614" s="1"/>
      <c r="B614" s="6"/>
      <c r="C614" s="1"/>
      <c r="D614" s="55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21.75" customHeight="1" x14ac:dyDescent="0.6">
      <c r="A615" s="1"/>
      <c r="B615" s="6"/>
      <c r="C615" s="1"/>
      <c r="D615" s="55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21.75" customHeight="1" x14ac:dyDescent="0.6">
      <c r="A616" s="1"/>
      <c r="B616" s="6"/>
      <c r="C616" s="1"/>
      <c r="D616" s="55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21.75" customHeight="1" x14ac:dyDescent="0.6">
      <c r="A617" s="1"/>
      <c r="B617" s="6"/>
      <c r="C617" s="1"/>
      <c r="D617" s="55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21.75" customHeight="1" x14ac:dyDescent="0.6">
      <c r="A618" s="1"/>
      <c r="B618" s="6"/>
      <c r="C618" s="1"/>
      <c r="D618" s="55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21.75" customHeight="1" x14ac:dyDescent="0.6">
      <c r="A619" s="1"/>
      <c r="B619" s="6"/>
      <c r="C619" s="1"/>
      <c r="D619" s="55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21.75" customHeight="1" x14ac:dyDescent="0.6">
      <c r="A620" s="1"/>
      <c r="B620" s="6"/>
      <c r="C620" s="1"/>
      <c r="D620" s="55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21.75" customHeight="1" x14ac:dyDescent="0.6">
      <c r="A621" s="1"/>
      <c r="B621" s="6"/>
      <c r="C621" s="1"/>
      <c r="D621" s="55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21.75" customHeight="1" x14ac:dyDescent="0.6">
      <c r="A622" s="1"/>
      <c r="B622" s="6"/>
      <c r="C622" s="1"/>
      <c r="D622" s="55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21.75" customHeight="1" x14ac:dyDescent="0.6">
      <c r="A623" s="1"/>
      <c r="B623" s="6"/>
      <c r="C623" s="1"/>
      <c r="D623" s="55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21.75" customHeight="1" x14ac:dyDescent="0.6">
      <c r="A624" s="1"/>
      <c r="B624" s="6"/>
      <c r="C624" s="1"/>
      <c r="D624" s="55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21.75" customHeight="1" x14ac:dyDescent="0.6">
      <c r="A625" s="1"/>
      <c r="B625" s="6"/>
      <c r="C625" s="1"/>
      <c r="D625" s="55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21.75" customHeight="1" x14ac:dyDescent="0.6">
      <c r="A626" s="1"/>
      <c r="B626" s="6"/>
      <c r="C626" s="1"/>
      <c r="D626" s="55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21.75" customHeight="1" x14ac:dyDescent="0.6">
      <c r="A627" s="1"/>
      <c r="B627" s="6"/>
      <c r="C627" s="1"/>
      <c r="D627" s="55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21.75" customHeight="1" x14ac:dyDescent="0.6">
      <c r="A628" s="1"/>
      <c r="B628" s="6"/>
      <c r="C628" s="1"/>
      <c r="D628" s="55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21.75" customHeight="1" x14ac:dyDescent="0.6">
      <c r="A629" s="1"/>
      <c r="B629" s="6"/>
      <c r="C629" s="1"/>
      <c r="D629" s="55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21.75" customHeight="1" x14ac:dyDescent="0.6">
      <c r="A630" s="1"/>
      <c r="B630" s="6"/>
      <c r="C630" s="1"/>
      <c r="D630" s="55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21.75" customHeight="1" x14ac:dyDescent="0.6">
      <c r="A631" s="1"/>
      <c r="B631" s="6"/>
      <c r="C631" s="1"/>
      <c r="D631" s="55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21.75" customHeight="1" x14ac:dyDescent="0.6">
      <c r="A632" s="1"/>
      <c r="B632" s="6"/>
      <c r="C632" s="1"/>
      <c r="D632" s="55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21.75" customHeight="1" x14ac:dyDescent="0.6">
      <c r="A633" s="1"/>
      <c r="B633" s="6"/>
      <c r="C633" s="1"/>
      <c r="D633" s="55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21.75" customHeight="1" x14ac:dyDescent="0.6">
      <c r="A634" s="1"/>
      <c r="B634" s="6"/>
      <c r="C634" s="1"/>
      <c r="D634" s="55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21.75" customHeight="1" x14ac:dyDescent="0.6">
      <c r="A635" s="1"/>
      <c r="B635" s="6"/>
      <c r="C635" s="1"/>
      <c r="D635" s="55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21.75" customHeight="1" x14ac:dyDescent="0.6">
      <c r="A636" s="1"/>
      <c r="B636" s="6"/>
      <c r="C636" s="1"/>
      <c r="D636" s="55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21.75" customHeight="1" x14ac:dyDescent="0.6">
      <c r="A637" s="1"/>
      <c r="B637" s="6"/>
      <c r="C637" s="1"/>
      <c r="D637" s="55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21.75" customHeight="1" x14ac:dyDescent="0.6">
      <c r="A638" s="1"/>
      <c r="B638" s="6"/>
      <c r="C638" s="1"/>
      <c r="D638" s="55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21.75" customHeight="1" x14ac:dyDescent="0.6">
      <c r="A639" s="1"/>
      <c r="B639" s="6"/>
      <c r="C639" s="1"/>
      <c r="D639" s="55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21.75" customHeight="1" x14ac:dyDescent="0.6">
      <c r="A640" s="1"/>
      <c r="B640" s="6"/>
      <c r="C640" s="1"/>
      <c r="D640" s="55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21.75" customHeight="1" x14ac:dyDescent="0.6">
      <c r="A641" s="1"/>
      <c r="B641" s="6"/>
      <c r="C641" s="1"/>
      <c r="D641" s="55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21.75" customHeight="1" x14ac:dyDescent="0.6">
      <c r="A642" s="1"/>
      <c r="B642" s="6"/>
      <c r="C642" s="1"/>
      <c r="D642" s="55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21.75" customHeight="1" x14ac:dyDescent="0.6">
      <c r="A643" s="1"/>
      <c r="B643" s="6"/>
      <c r="C643" s="1"/>
      <c r="D643" s="55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21.75" customHeight="1" x14ac:dyDescent="0.6">
      <c r="A644" s="1"/>
      <c r="B644" s="6"/>
      <c r="C644" s="1"/>
      <c r="D644" s="55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21.75" customHeight="1" x14ac:dyDescent="0.6">
      <c r="A645" s="1"/>
      <c r="B645" s="6"/>
      <c r="C645" s="1"/>
      <c r="D645" s="55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21.75" customHeight="1" x14ac:dyDescent="0.6">
      <c r="A646" s="1"/>
      <c r="B646" s="6"/>
      <c r="C646" s="1"/>
      <c r="D646" s="55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21.75" customHeight="1" x14ac:dyDescent="0.6">
      <c r="A647" s="1"/>
      <c r="B647" s="6"/>
      <c r="C647" s="1"/>
      <c r="D647" s="55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21.75" customHeight="1" x14ac:dyDescent="0.6">
      <c r="A648" s="1"/>
      <c r="B648" s="6"/>
      <c r="C648" s="1"/>
      <c r="D648" s="55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21.75" customHeight="1" x14ac:dyDescent="0.6">
      <c r="A649" s="1"/>
      <c r="B649" s="6"/>
      <c r="C649" s="1"/>
      <c r="D649" s="55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21.75" customHeight="1" x14ac:dyDescent="0.6">
      <c r="A650" s="1"/>
      <c r="B650" s="6"/>
      <c r="C650" s="1"/>
      <c r="D650" s="55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21.75" customHeight="1" x14ac:dyDescent="0.6">
      <c r="A651" s="1"/>
      <c r="B651" s="6"/>
      <c r="C651" s="1"/>
      <c r="D651" s="55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21.75" customHeight="1" x14ac:dyDescent="0.6">
      <c r="A652" s="1"/>
      <c r="B652" s="6"/>
      <c r="C652" s="1"/>
      <c r="D652" s="55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21.75" customHeight="1" x14ac:dyDescent="0.6">
      <c r="A653" s="1"/>
      <c r="B653" s="6"/>
      <c r="C653" s="1"/>
      <c r="D653" s="55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21.75" customHeight="1" x14ac:dyDescent="0.6">
      <c r="A654" s="1"/>
      <c r="B654" s="6"/>
      <c r="C654" s="1"/>
      <c r="D654" s="55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21.75" customHeight="1" x14ac:dyDescent="0.6">
      <c r="A655" s="1"/>
      <c r="B655" s="6"/>
      <c r="C655" s="1"/>
      <c r="D655" s="55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21.75" customHeight="1" x14ac:dyDescent="0.6">
      <c r="A656" s="1"/>
      <c r="B656" s="6"/>
      <c r="C656" s="1"/>
      <c r="D656" s="55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21.75" customHeight="1" x14ac:dyDescent="0.6">
      <c r="A657" s="1"/>
      <c r="B657" s="6"/>
      <c r="C657" s="1"/>
      <c r="D657" s="55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21.75" customHeight="1" x14ac:dyDescent="0.6">
      <c r="A658" s="1"/>
      <c r="B658" s="6"/>
      <c r="C658" s="1"/>
      <c r="D658" s="55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21.75" customHeight="1" x14ac:dyDescent="0.6">
      <c r="A659" s="1"/>
      <c r="B659" s="6"/>
      <c r="C659" s="1"/>
      <c r="D659" s="55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21.75" customHeight="1" x14ac:dyDescent="0.6">
      <c r="A660" s="1"/>
      <c r="B660" s="6"/>
      <c r="C660" s="1"/>
      <c r="D660" s="55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21.75" customHeight="1" x14ac:dyDescent="0.6">
      <c r="A661" s="1"/>
      <c r="B661" s="6"/>
      <c r="C661" s="1"/>
      <c r="D661" s="55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21.75" customHeight="1" x14ac:dyDescent="0.6">
      <c r="A662" s="1"/>
      <c r="B662" s="6"/>
      <c r="C662" s="1"/>
      <c r="D662" s="55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21.75" customHeight="1" x14ac:dyDescent="0.6">
      <c r="A663" s="1"/>
      <c r="B663" s="6"/>
      <c r="C663" s="1"/>
      <c r="D663" s="55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21.75" customHeight="1" x14ac:dyDescent="0.6">
      <c r="A664" s="1"/>
      <c r="B664" s="6"/>
      <c r="C664" s="1"/>
      <c r="D664" s="55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21.75" customHeight="1" x14ac:dyDescent="0.6">
      <c r="A665" s="1"/>
      <c r="B665" s="6"/>
      <c r="C665" s="1"/>
      <c r="D665" s="55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21.75" customHeight="1" x14ac:dyDescent="0.6">
      <c r="A666" s="1"/>
      <c r="B666" s="6"/>
      <c r="C666" s="1"/>
      <c r="D666" s="55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21.75" customHeight="1" x14ac:dyDescent="0.6">
      <c r="A667" s="1"/>
      <c r="B667" s="6"/>
      <c r="C667" s="1"/>
      <c r="D667" s="55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21.75" customHeight="1" x14ac:dyDescent="0.6">
      <c r="A668" s="1"/>
      <c r="B668" s="6"/>
      <c r="C668" s="1"/>
      <c r="D668" s="55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21.75" customHeight="1" x14ac:dyDescent="0.6">
      <c r="A669" s="1"/>
      <c r="B669" s="6"/>
      <c r="C669" s="1"/>
      <c r="D669" s="55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21.75" customHeight="1" x14ac:dyDescent="0.6">
      <c r="A670" s="1"/>
      <c r="B670" s="6"/>
      <c r="C670" s="1"/>
      <c r="D670" s="55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21.75" customHeight="1" x14ac:dyDescent="0.6">
      <c r="A671" s="1"/>
      <c r="B671" s="6"/>
      <c r="C671" s="1"/>
      <c r="D671" s="55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21.75" customHeight="1" x14ac:dyDescent="0.6">
      <c r="A672" s="1"/>
      <c r="B672" s="6"/>
      <c r="C672" s="1"/>
      <c r="D672" s="55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21.75" customHeight="1" x14ac:dyDescent="0.6">
      <c r="A673" s="1"/>
      <c r="B673" s="6"/>
      <c r="C673" s="1"/>
      <c r="D673" s="55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21.75" customHeight="1" x14ac:dyDescent="0.6">
      <c r="A674" s="1"/>
      <c r="B674" s="6"/>
      <c r="C674" s="1"/>
      <c r="D674" s="55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21.75" customHeight="1" x14ac:dyDescent="0.6">
      <c r="A675" s="1"/>
      <c r="B675" s="6"/>
      <c r="C675" s="1"/>
      <c r="D675" s="55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21.75" customHeight="1" x14ac:dyDescent="0.6">
      <c r="A676" s="1"/>
      <c r="B676" s="6"/>
      <c r="C676" s="1"/>
      <c r="D676" s="55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21.75" customHeight="1" x14ac:dyDescent="0.6">
      <c r="A677" s="1"/>
      <c r="B677" s="6"/>
      <c r="C677" s="1"/>
      <c r="D677" s="55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21.75" customHeight="1" x14ac:dyDescent="0.6">
      <c r="A678" s="1"/>
      <c r="B678" s="6"/>
      <c r="C678" s="1"/>
      <c r="D678" s="55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21.75" customHeight="1" x14ac:dyDescent="0.6">
      <c r="A679" s="1"/>
      <c r="B679" s="6"/>
      <c r="C679" s="1"/>
      <c r="D679" s="55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21.75" customHeight="1" x14ac:dyDescent="0.6">
      <c r="A680" s="1"/>
      <c r="B680" s="6"/>
      <c r="C680" s="1"/>
      <c r="D680" s="55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21.75" customHeight="1" x14ac:dyDescent="0.6">
      <c r="A681" s="1"/>
      <c r="B681" s="6"/>
      <c r="C681" s="1"/>
      <c r="D681" s="55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21.75" customHeight="1" x14ac:dyDescent="0.6">
      <c r="A682" s="1"/>
      <c r="B682" s="6"/>
      <c r="C682" s="1"/>
      <c r="D682" s="55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21.75" customHeight="1" x14ac:dyDescent="0.6">
      <c r="A683" s="1"/>
      <c r="B683" s="6"/>
      <c r="C683" s="1"/>
      <c r="D683" s="55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21.75" customHeight="1" x14ac:dyDescent="0.6">
      <c r="A684" s="1"/>
      <c r="B684" s="6"/>
      <c r="C684" s="1"/>
      <c r="D684" s="55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21.75" customHeight="1" x14ac:dyDescent="0.6">
      <c r="A685" s="1"/>
      <c r="B685" s="6"/>
      <c r="C685" s="1"/>
      <c r="D685" s="55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21.75" customHeight="1" x14ac:dyDescent="0.6">
      <c r="A686" s="1"/>
      <c r="B686" s="6"/>
      <c r="C686" s="1"/>
      <c r="D686" s="55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21.75" customHeight="1" x14ac:dyDescent="0.6">
      <c r="A687" s="1"/>
      <c r="B687" s="6"/>
      <c r="C687" s="1"/>
      <c r="D687" s="55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21.75" customHeight="1" x14ac:dyDescent="0.6">
      <c r="A688" s="1"/>
      <c r="B688" s="6"/>
      <c r="C688" s="1"/>
      <c r="D688" s="55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21.75" customHeight="1" x14ac:dyDescent="0.6">
      <c r="A689" s="1"/>
      <c r="B689" s="6"/>
      <c r="C689" s="1"/>
      <c r="D689" s="55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21.75" customHeight="1" x14ac:dyDescent="0.6">
      <c r="A690" s="1"/>
      <c r="B690" s="6"/>
      <c r="C690" s="1"/>
      <c r="D690" s="55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21.75" customHeight="1" x14ac:dyDescent="0.6">
      <c r="A691" s="1"/>
      <c r="B691" s="6"/>
      <c r="C691" s="1"/>
      <c r="D691" s="55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21.75" customHeight="1" x14ac:dyDescent="0.6">
      <c r="A692" s="1"/>
      <c r="B692" s="6"/>
      <c r="C692" s="1"/>
      <c r="D692" s="55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21.75" customHeight="1" x14ac:dyDescent="0.6">
      <c r="A693" s="1"/>
      <c r="B693" s="6"/>
      <c r="C693" s="1"/>
      <c r="D693" s="55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21.75" customHeight="1" x14ac:dyDescent="0.6">
      <c r="A694" s="1"/>
      <c r="B694" s="6"/>
      <c r="C694" s="1"/>
      <c r="D694" s="55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21.75" customHeight="1" x14ac:dyDescent="0.6">
      <c r="A695" s="1"/>
      <c r="B695" s="6"/>
      <c r="C695" s="1"/>
      <c r="D695" s="55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21.75" customHeight="1" x14ac:dyDescent="0.6">
      <c r="A696" s="1"/>
      <c r="B696" s="6"/>
      <c r="C696" s="1"/>
      <c r="D696" s="55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21.75" customHeight="1" x14ac:dyDescent="0.6">
      <c r="A697" s="1"/>
      <c r="B697" s="6"/>
      <c r="C697" s="1"/>
      <c r="D697" s="55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21.75" customHeight="1" x14ac:dyDescent="0.6">
      <c r="A698" s="1"/>
      <c r="B698" s="6"/>
      <c r="C698" s="1"/>
      <c r="D698" s="55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21.75" customHeight="1" x14ac:dyDescent="0.6">
      <c r="A699" s="1"/>
      <c r="B699" s="6"/>
      <c r="C699" s="1"/>
      <c r="D699" s="55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21.75" customHeight="1" x14ac:dyDescent="0.6">
      <c r="A700" s="1"/>
      <c r="B700" s="6"/>
      <c r="C700" s="1"/>
      <c r="D700" s="55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21.75" customHeight="1" x14ac:dyDescent="0.6">
      <c r="A701" s="1"/>
      <c r="B701" s="6"/>
      <c r="C701" s="1"/>
      <c r="D701" s="55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21.75" customHeight="1" x14ac:dyDescent="0.6">
      <c r="A702" s="1"/>
      <c r="B702" s="6"/>
      <c r="C702" s="1"/>
      <c r="D702" s="55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21.75" customHeight="1" x14ac:dyDescent="0.6">
      <c r="A703" s="1"/>
      <c r="B703" s="6"/>
      <c r="C703" s="1"/>
      <c r="D703" s="55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21.75" customHeight="1" x14ac:dyDescent="0.6">
      <c r="A704" s="1"/>
      <c r="B704" s="6"/>
      <c r="C704" s="1"/>
      <c r="D704" s="55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21.75" customHeight="1" x14ac:dyDescent="0.6">
      <c r="A705" s="1"/>
      <c r="B705" s="6"/>
      <c r="C705" s="1"/>
      <c r="D705" s="55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21.75" customHeight="1" x14ac:dyDescent="0.6">
      <c r="A706" s="1"/>
      <c r="B706" s="6"/>
      <c r="C706" s="1"/>
      <c r="D706" s="55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21.75" customHeight="1" x14ac:dyDescent="0.6">
      <c r="A707" s="1"/>
      <c r="B707" s="6"/>
      <c r="C707" s="1"/>
      <c r="D707" s="55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21.75" customHeight="1" x14ac:dyDescent="0.6">
      <c r="A708" s="1"/>
      <c r="B708" s="6"/>
      <c r="C708" s="1"/>
      <c r="D708" s="55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21.75" customHeight="1" x14ac:dyDescent="0.6">
      <c r="A709" s="1"/>
      <c r="B709" s="6"/>
      <c r="C709" s="1"/>
      <c r="D709" s="55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21.75" customHeight="1" x14ac:dyDescent="0.6">
      <c r="A710" s="1"/>
      <c r="B710" s="6"/>
      <c r="C710" s="1"/>
      <c r="D710" s="55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21.75" customHeight="1" x14ac:dyDescent="0.6">
      <c r="A711" s="1"/>
      <c r="B711" s="6"/>
      <c r="C711" s="1"/>
      <c r="D711" s="55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21.75" customHeight="1" x14ac:dyDescent="0.6">
      <c r="A712" s="1"/>
      <c r="B712" s="6"/>
      <c r="C712" s="1"/>
      <c r="D712" s="55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21.75" customHeight="1" x14ac:dyDescent="0.6">
      <c r="A713" s="1"/>
      <c r="B713" s="6"/>
      <c r="C713" s="1"/>
      <c r="D713" s="55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21.75" customHeight="1" x14ac:dyDescent="0.6">
      <c r="A714" s="1"/>
      <c r="B714" s="6"/>
      <c r="C714" s="1"/>
      <c r="D714" s="55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21.75" customHeight="1" x14ac:dyDescent="0.6">
      <c r="A715" s="1"/>
      <c r="B715" s="6"/>
      <c r="C715" s="1"/>
      <c r="D715" s="55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21.75" customHeight="1" x14ac:dyDescent="0.6">
      <c r="A716" s="1"/>
      <c r="B716" s="6"/>
      <c r="C716" s="1"/>
      <c r="D716" s="55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21.75" customHeight="1" x14ac:dyDescent="0.6">
      <c r="A717" s="1"/>
      <c r="B717" s="6"/>
      <c r="C717" s="1"/>
      <c r="D717" s="55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21.75" customHeight="1" x14ac:dyDescent="0.6">
      <c r="A718" s="1"/>
      <c r="B718" s="6"/>
      <c r="C718" s="1"/>
      <c r="D718" s="55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21.75" customHeight="1" x14ac:dyDescent="0.6">
      <c r="A719" s="1"/>
      <c r="B719" s="6"/>
      <c r="C719" s="1"/>
      <c r="D719" s="55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21.75" customHeight="1" x14ac:dyDescent="0.6">
      <c r="A720" s="1"/>
      <c r="B720" s="6"/>
      <c r="C720" s="1"/>
      <c r="D720" s="55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21.75" customHeight="1" x14ac:dyDescent="0.6">
      <c r="A721" s="1"/>
      <c r="B721" s="6"/>
      <c r="C721" s="1"/>
      <c r="D721" s="55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21.75" customHeight="1" x14ac:dyDescent="0.6">
      <c r="A722" s="1"/>
      <c r="B722" s="6"/>
      <c r="C722" s="1"/>
      <c r="D722" s="55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21.75" customHeight="1" x14ac:dyDescent="0.6">
      <c r="A723" s="1"/>
      <c r="B723" s="6"/>
      <c r="C723" s="1"/>
      <c r="D723" s="55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21.75" customHeight="1" x14ac:dyDescent="0.6">
      <c r="A724" s="1"/>
      <c r="B724" s="6"/>
      <c r="C724" s="1"/>
      <c r="D724" s="55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21.75" customHeight="1" x14ac:dyDescent="0.6">
      <c r="A725" s="1"/>
      <c r="B725" s="6"/>
      <c r="C725" s="1"/>
      <c r="D725" s="55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21.75" customHeight="1" x14ac:dyDescent="0.6">
      <c r="A726" s="1"/>
      <c r="B726" s="6"/>
      <c r="C726" s="1"/>
      <c r="D726" s="55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21.75" customHeight="1" x14ac:dyDescent="0.6">
      <c r="A727" s="1"/>
      <c r="B727" s="6"/>
      <c r="C727" s="1"/>
      <c r="D727" s="55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21.75" customHeight="1" x14ac:dyDescent="0.6">
      <c r="A728" s="1"/>
      <c r="B728" s="6"/>
      <c r="C728" s="1"/>
      <c r="D728" s="55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21.75" customHeight="1" x14ac:dyDescent="0.6">
      <c r="A729" s="1"/>
      <c r="B729" s="6"/>
      <c r="C729" s="1"/>
      <c r="D729" s="55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21.75" customHeight="1" x14ac:dyDescent="0.6">
      <c r="A730" s="1"/>
      <c r="B730" s="6"/>
      <c r="C730" s="1"/>
      <c r="D730" s="55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21.75" customHeight="1" x14ac:dyDescent="0.6">
      <c r="A731" s="1"/>
      <c r="B731" s="6"/>
      <c r="C731" s="1"/>
      <c r="D731" s="55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21.75" customHeight="1" x14ac:dyDescent="0.6">
      <c r="A732" s="1"/>
      <c r="B732" s="6"/>
      <c r="C732" s="1"/>
      <c r="D732" s="55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21.75" customHeight="1" x14ac:dyDescent="0.6">
      <c r="A733" s="1"/>
      <c r="B733" s="6"/>
      <c r="C733" s="1"/>
      <c r="D733" s="55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21.75" customHeight="1" x14ac:dyDescent="0.6">
      <c r="A734" s="1"/>
      <c r="B734" s="6"/>
      <c r="C734" s="1"/>
      <c r="D734" s="55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21.75" customHeight="1" x14ac:dyDescent="0.6">
      <c r="A735" s="1"/>
      <c r="B735" s="6"/>
      <c r="C735" s="1"/>
      <c r="D735" s="55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21.75" customHeight="1" x14ac:dyDescent="0.6">
      <c r="A736" s="1"/>
      <c r="B736" s="6"/>
      <c r="C736" s="1"/>
      <c r="D736" s="55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21.75" customHeight="1" x14ac:dyDescent="0.6">
      <c r="A737" s="1"/>
      <c r="B737" s="6"/>
      <c r="C737" s="1"/>
      <c r="D737" s="55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21.75" customHeight="1" x14ac:dyDescent="0.6">
      <c r="A738" s="1"/>
      <c r="B738" s="6"/>
      <c r="C738" s="1"/>
      <c r="D738" s="55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21.75" customHeight="1" x14ac:dyDescent="0.6">
      <c r="A739" s="1"/>
      <c r="B739" s="6"/>
      <c r="C739" s="1"/>
      <c r="D739" s="55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21.75" customHeight="1" x14ac:dyDescent="0.6">
      <c r="A740" s="1"/>
      <c r="B740" s="6"/>
      <c r="C740" s="1"/>
      <c r="D740" s="55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21.75" customHeight="1" x14ac:dyDescent="0.6">
      <c r="A741" s="1"/>
      <c r="B741" s="6"/>
      <c r="C741" s="1"/>
      <c r="D741" s="55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21.75" customHeight="1" x14ac:dyDescent="0.6">
      <c r="A742" s="1"/>
      <c r="B742" s="6"/>
      <c r="C742" s="1"/>
      <c r="D742" s="55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21.75" customHeight="1" x14ac:dyDescent="0.6">
      <c r="A743" s="1"/>
      <c r="B743" s="6"/>
      <c r="C743" s="1"/>
      <c r="D743" s="55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21.75" customHeight="1" x14ac:dyDescent="0.6">
      <c r="A744" s="1"/>
      <c r="B744" s="6"/>
      <c r="C744" s="1"/>
      <c r="D744" s="55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21.75" customHeight="1" x14ac:dyDescent="0.6">
      <c r="A745" s="1"/>
      <c r="B745" s="6"/>
      <c r="C745" s="1"/>
      <c r="D745" s="55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21.75" customHeight="1" x14ac:dyDescent="0.6">
      <c r="A746" s="1"/>
      <c r="B746" s="6"/>
      <c r="C746" s="1"/>
      <c r="D746" s="55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21.75" customHeight="1" x14ac:dyDescent="0.6">
      <c r="A747" s="1"/>
      <c r="B747" s="6"/>
      <c r="C747" s="1"/>
      <c r="D747" s="55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21.75" customHeight="1" x14ac:dyDescent="0.6">
      <c r="A748" s="1"/>
      <c r="B748" s="6"/>
      <c r="C748" s="1"/>
      <c r="D748" s="55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21.75" customHeight="1" x14ac:dyDescent="0.6">
      <c r="A749" s="1"/>
      <c r="B749" s="6"/>
      <c r="C749" s="1"/>
      <c r="D749" s="55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21.75" customHeight="1" x14ac:dyDescent="0.6">
      <c r="A750" s="1"/>
      <c r="B750" s="6"/>
      <c r="C750" s="1"/>
      <c r="D750" s="55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21.75" customHeight="1" x14ac:dyDescent="0.6">
      <c r="A751" s="1"/>
      <c r="B751" s="6"/>
      <c r="C751" s="1"/>
      <c r="D751" s="55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21.75" customHeight="1" x14ac:dyDescent="0.6">
      <c r="A752" s="1"/>
      <c r="B752" s="6"/>
      <c r="C752" s="1"/>
      <c r="D752" s="55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21.75" customHeight="1" x14ac:dyDescent="0.6">
      <c r="A753" s="1"/>
      <c r="B753" s="6"/>
      <c r="C753" s="1"/>
      <c r="D753" s="55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21.75" customHeight="1" x14ac:dyDescent="0.6">
      <c r="A754" s="1"/>
      <c r="B754" s="6"/>
      <c r="C754" s="1"/>
      <c r="D754" s="55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21.75" customHeight="1" x14ac:dyDescent="0.6">
      <c r="A755" s="1"/>
      <c r="B755" s="6"/>
      <c r="C755" s="1"/>
      <c r="D755" s="55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21.75" customHeight="1" x14ac:dyDescent="0.6">
      <c r="A756" s="1"/>
      <c r="B756" s="6"/>
      <c r="C756" s="1"/>
      <c r="D756" s="55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21.75" customHeight="1" x14ac:dyDescent="0.6">
      <c r="A757" s="1"/>
      <c r="B757" s="6"/>
      <c r="C757" s="1"/>
      <c r="D757" s="55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21.75" customHeight="1" x14ac:dyDescent="0.6">
      <c r="A758" s="1"/>
      <c r="B758" s="6"/>
      <c r="C758" s="1"/>
      <c r="D758" s="55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21.75" customHeight="1" x14ac:dyDescent="0.6">
      <c r="A759" s="1"/>
      <c r="B759" s="6"/>
      <c r="C759" s="1"/>
      <c r="D759" s="55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21.75" customHeight="1" x14ac:dyDescent="0.6">
      <c r="A760" s="1"/>
      <c r="B760" s="6"/>
      <c r="C760" s="1"/>
      <c r="D760" s="55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21.75" customHeight="1" x14ac:dyDescent="0.6">
      <c r="A761" s="1"/>
      <c r="B761" s="6"/>
      <c r="C761" s="1"/>
      <c r="D761" s="55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21.75" customHeight="1" x14ac:dyDescent="0.6">
      <c r="A762" s="1"/>
      <c r="B762" s="6"/>
      <c r="C762" s="1"/>
      <c r="D762" s="55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21.75" customHeight="1" x14ac:dyDescent="0.6">
      <c r="A763" s="1"/>
      <c r="B763" s="6"/>
      <c r="C763" s="1"/>
      <c r="D763" s="55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21.75" customHeight="1" x14ac:dyDescent="0.6">
      <c r="A764" s="1"/>
      <c r="B764" s="6"/>
      <c r="C764" s="1"/>
      <c r="D764" s="55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21.75" customHeight="1" x14ac:dyDescent="0.6">
      <c r="A765" s="1"/>
      <c r="B765" s="6"/>
      <c r="C765" s="1"/>
      <c r="D765" s="55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21.75" customHeight="1" x14ac:dyDescent="0.6">
      <c r="A766" s="1"/>
      <c r="B766" s="6"/>
      <c r="C766" s="1"/>
      <c r="D766" s="55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21.75" customHeight="1" x14ac:dyDescent="0.6">
      <c r="A767" s="1"/>
      <c r="B767" s="6"/>
      <c r="C767" s="1"/>
      <c r="D767" s="55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21.75" customHeight="1" x14ac:dyDescent="0.6">
      <c r="A768" s="1"/>
      <c r="B768" s="6"/>
      <c r="C768" s="1"/>
      <c r="D768" s="55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21.75" customHeight="1" x14ac:dyDescent="0.6">
      <c r="A769" s="1"/>
      <c r="B769" s="6"/>
      <c r="C769" s="1"/>
      <c r="D769" s="55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21.75" customHeight="1" x14ac:dyDescent="0.6">
      <c r="A770" s="1"/>
      <c r="B770" s="6"/>
      <c r="C770" s="1"/>
      <c r="D770" s="55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21.75" customHeight="1" x14ac:dyDescent="0.6">
      <c r="A771" s="1"/>
      <c r="B771" s="6"/>
      <c r="C771" s="1"/>
      <c r="D771" s="55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21.75" customHeight="1" x14ac:dyDescent="0.6">
      <c r="A772" s="1"/>
      <c r="B772" s="6"/>
      <c r="C772" s="1"/>
      <c r="D772" s="55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21.75" customHeight="1" x14ac:dyDescent="0.6">
      <c r="A773" s="1"/>
      <c r="B773" s="6"/>
      <c r="C773" s="1"/>
      <c r="D773" s="55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21.75" customHeight="1" x14ac:dyDescent="0.6">
      <c r="A774" s="1"/>
      <c r="B774" s="6"/>
      <c r="C774" s="1"/>
      <c r="D774" s="55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21.75" customHeight="1" x14ac:dyDescent="0.6">
      <c r="A775" s="1"/>
      <c r="B775" s="6"/>
      <c r="C775" s="1"/>
      <c r="D775" s="55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21.75" customHeight="1" x14ac:dyDescent="0.6">
      <c r="A776" s="1"/>
      <c r="B776" s="6"/>
      <c r="C776" s="1"/>
      <c r="D776" s="55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21.75" customHeight="1" x14ac:dyDescent="0.6">
      <c r="A777" s="1"/>
      <c r="B777" s="6"/>
      <c r="C777" s="1"/>
      <c r="D777" s="55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21.75" customHeight="1" x14ac:dyDescent="0.6">
      <c r="A778" s="1"/>
      <c r="B778" s="6"/>
      <c r="C778" s="1"/>
      <c r="D778" s="55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21.75" customHeight="1" x14ac:dyDescent="0.6">
      <c r="A779" s="1"/>
      <c r="B779" s="6"/>
      <c r="C779" s="1"/>
      <c r="D779" s="55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21.75" customHeight="1" x14ac:dyDescent="0.6">
      <c r="A780" s="1"/>
      <c r="B780" s="6"/>
      <c r="C780" s="1"/>
      <c r="D780" s="55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21.75" customHeight="1" x14ac:dyDescent="0.6">
      <c r="A781" s="1"/>
      <c r="B781" s="6"/>
      <c r="C781" s="1"/>
      <c r="D781" s="55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21.75" customHeight="1" x14ac:dyDescent="0.6">
      <c r="A782" s="1"/>
      <c r="B782" s="6"/>
      <c r="C782" s="1"/>
      <c r="D782" s="55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21.75" customHeight="1" x14ac:dyDescent="0.6">
      <c r="A783" s="1"/>
      <c r="B783" s="6"/>
      <c r="C783" s="1"/>
      <c r="D783" s="55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21.75" customHeight="1" x14ac:dyDescent="0.6">
      <c r="A784" s="1"/>
      <c r="B784" s="6"/>
      <c r="C784" s="1"/>
      <c r="D784" s="55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21.75" customHeight="1" x14ac:dyDescent="0.6">
      <c r="A785" s="1"/>
      <c r="B785" s="6"/>
      <c r="C785" s="1"/>
      <c r="D785" s="55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21.75" customHeight="1" x14ac:dyDescent="0.6">
      <c r="A786" s="1"/>
      <c r="B786" s="6"/>
      <c r="C786" s="1"/>
      <c r="D786" s="55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21.75" customHeight="1" x14ac:dyDescent="0.6">
      <c r="A787" s="1"/>
      <c r="B787" s="6"/>
      <c r="C787" s="1"/>
      <c r="D787" s="55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21.75" customHeight="1" x14ac:dyDescent="0.6">
      <c r="A788" s="1"/>
      <c r="B788" s="6"/>
      <c r="C788" s="1"/>
      <c r="D788" s="55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21.75" customHeight="1" x14ac:dyDescent="0.6">
      <c r="A789" s="1"/>
      <c r="B789" s="6"/>
      <c r="C789" s="1"/>
      <c r="D789" s="55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21.75" customHeight="1" x14ac:dyDescent="0.6">
      <c r="A790" s="1"/>
      <c r="B790" s="6"/>
      <c r="C790" s="1"/>
      <c r="D790" s="55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21.75" customHeight="1" x14ac:dyDescent="0.6">
      <c r="A791" s="1"/>
      <c r="B791" s="6"/>
      <c r="C791" s="1"/>
      <c r="D791" s="55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21.75" customHeight="1" x14ac:dyDescent="0.6">
      <c r="A792" s="1"/>
      <c r="B792" s="6"/>
      <c r="C792" s="1"/>
      <c r="D792" s="55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21.75" customHeight="1" x14ac:dyDescent="0.6">
      <c r="A793" s="1"/>
      <c r="B793" s="6"/>
      <c r="C793" s="1"/>
      <c r="D793" s="55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21.75" customHeight="1" x14ac:dyDescent="0.6">
      <c r="A794" s="1"/>
      <c r="B794" s="6"/>
      <c r="C794" s="1"/>
      <c r="D794" s="55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21.75" customHeight="1" x14ac:dyDescent="0.6">
      <c r="A795" s="1"/>
      <c r="B795" s="6"/>
      <c r="C795" s="1"/>
      <c r="D795" s="55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21.75" customHeight="1" x14ac:dyDescent="0.6">
      <c r="A796" s="1"/>
      <c r="B796" s="6"/>
      <c r="C796" s="1"/>
      <c r="D796" s="55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21.75" customHeight="1" x14ac:dyDescent="0.6">
      <c r="A797" s="1"/>
      <c r="B797" s="6"/>
      <c r="C797" s="1"/>
      <c r="D797" s="55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21.75" customHeight="1" x14ac:dyDescent="0.6">
      <c r="A798" s="1"/>
      <c r="B798" s="6"/>
      <c r="C798" s="1"/>
      <c r="D798" s="55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21.75" customHeight="1" x14ac:dyDescent="0.6">
      <c r="A799" s="1"/>
      <c r="B799" s="6"/>
      <c r="C799" s="1"/>
      <c r="D799" s="55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21.75" customHeight="1" x14ac:dyDescent="0.6">
      <c r="A800" s="1"/>
      <c r="B800" s="6"/>
      <c r="C800" s="1"/>
      <c r="D800" s="55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21.75" customHeight="1" x14ac:dyDescent="0.6">
      <c r="A801" s="1"/>
      <c r="B801" s="6"/>
      <c r="C801" s="1"/>
      <c r="D801" s="55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21.75" customHeight="1" x14ac:dyDescent="0.6">
      <c r="A802" s="1"/>
      <c r="B802" s="6"/>
      <c r="C802" s="1"/>
      <c r="D802" s="55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21.75" customHeight="1" x14ac:dyDescent="0.6">
      <c r="A803" s="1"/>
      <c r="B803" s="6"/>
      <c r="C803" s="1"/>
      <c r="D803" s="55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21.75" customHeight="1" x14ac:dyDescent="0.6">
      <c r="A804" s="1"/>
      <c r="B804" s="6"/>
      <c r="C804" s="1"/>
      <c r="D804" s="55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21.75" customHeight="1" x14ac:dyDescent="0.6">
      <c r="A805" s="1"/>
      <c r="B805" s="6"/>
      <c r="C805" s="1"/>
      <c r="D805" s="55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21.75" customHeight="1" x14ac:dyDescent="0.6">
      <c r="A806" s="1"/>
      <c r="B806" s="6"/>
      <c r="C806" s="1"/>
      <c r="D806" s="55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21.75" customHeight="1" x14ac:dyDescent="0.6">
      <c r="A807" s="1"/>
      <c r="B807" s="6"/>
      <c r="C807" s="1"/>
      <c r="D807" s="55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21.75" customHeight="1" x14ac:dyDescent="0.6">
      <c r="A808" s="1"/>
      <c r="B808" s="6"/>
      <c r="C808" s="1"/>
      <c r="D808" s="55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21.75" customHeight="1" x14ac:dyDescent="0.6">
      <c r="A809" s="1"/>
      <c r="B809" s="6"/>
      <c r="C809" s="1"/>
      <c r="D809" s="55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21.75" customHeight="1" x14ac:dyDescent="0.6">
      <c r="A810" s="1"/>
      <c r="B810" s="6"/>
      <c r="C810" s="1"/>
      <c r="D810" s="55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21.75" customHeight="1" x14ac:dyDescent="0.6">
      <c r="A811" s="1"/>
      <c r="B811" s="6"/>
      <c r="C811" s="1"/>
      <c r="D811" s="55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21.75" customHeight="1" x14ac:dyDescent="0.6">
      <c r="A812" s="1"/>
      <c r="B812" s="6"/>
      <c r="C812" s="1"/>
      <c r="D812" s="55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21.75" customHeight="1" x14ac:dyDescent="0.6">
      <c r="A813" s="1"/>
      <c r="B813" s="6"/>
      <c r="C813" s="1"/>
      <c r="D813" s="55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21.75" customHeight="1" x14ac:dyDescent="0.6">
      <c r="A814" s="1"/>
      <c r="B814" s="6"/>
      <c r="C814" s="1"/>
      <c r="D814" s="55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21.75" customHeight="1" x14ac:dyDescent="0.6">
      <c r="A815" s="1"/>
      <c r="B815" s="6"/>
      <c r="C815" s="1"/>
      <c r="D815" s="55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21.75" customHeight="1" x14ac:dyDescent="0.6">
      <c r="A816" s="1"/>
      <c r="B816" s="6"/>
      <c r="C816" s="1"/>
      <c r="D816" s="55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21.75" customHeight="1" x14ac:dyDescent="0.6">
      <c r="A817" s="1"/>
      <c r="B817" s="6"/>
      <c r="C817" s="1"/>
      <c r="D817" s="55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21.75" customHeight="1" x14ac:dyDescent="0.6">
      <c r="A818" s="1"/>
      <c r="B818" s="6"/>
      <c r="C818" s="1"/>
      <c r="D818" s="55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21.75" customHeight="1" x14ac:dyDescent="0.6">
      <c r="A819" s="1"/>
      <c r="B819" s="6"/>
      <c r="C819" s="1"/>
      <c r="D819" s="55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21.75" customHeight="1" x14ac:dyDescent="0.6">
      <c r="A820" s="1"/>
      <c r="B820" s="6"/>
      <c r="C820" s="1"/>
      <c r="D820" s="55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21.75" customHeight="1" x14ac:dyDescent="0.6">
      <c r="A821" s="1"/>
      <c r="B821" s="6"/>
      <c r="C821" s="1"/>
      <c r="D821" s="55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21.75" customHeight="1" x14ac:dyDescent="0.6">
      <c r="A822" s="1"/>
      <c r="B822" s="6"/>
      <c r="C822" s="1"/>
      <c r="D822" s="55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21.75" customHeight="1" x14ac:dyDescent="0.6">
      <c r="A823" s="1"/>
      <c r="B823" s="6"/>
      <c r="C823" s="1"/>
      <c r="D823" s="55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21.75" customHeight="1" x14ac:dyDescent="0.6">
      <c r="A824" s="1"/>
      <c r="B824" s="6"/>
      <c r="C824" s="1"/>
      <c r="D824" s="55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21.75" customHeight="1" x14ac:dyDescent="0.6">
      <c r="A825" s="1"/>
      <c r="B825" s="6"/>
      <c r="C825" s="1"/>
      <c r="D825" s="55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21.75" customHeight="1" x14ac:dyDescent="0.6">
      <c r="A826" s="1"/>
      <c r="B826" s="6"/>
      <c r="C826" s="1"/>
      <c r="D826" s="55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21.75" customHeight="1" x14ac:dyDescent="0.6">
      <c r="A827" s="1"/>
      <c r="B827" s="6"/>
      <c r="C827" s="1"/>
      <c r="D827" s="55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21.75" customHeight="1" x14ac:dyDescent="0.6">
      <c r="A828" s="1"/>
      <c r="B828" s="6"/>
      <c r="C828" s="1"/>
      <c r="D828" s="55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21.75" customHeight="1" x14ac:dyDescent="0.6">
      <c r="A829" s="1"/>
      <c r="B829" s="6"/>
      <c r="C829" s="1"/>
      <c r="D829" s="55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21.75" customHeight="1" x14ac:dyDescent="0.6">
      <c r="A830" s="1"/>
      <c r="B830" s="6"/>
      <c r="C830" s="1"/>
      <c r="D830" s="55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21.75" customHeight="1" x14ac:dyDescent="0.6">
      <c r="A831" s="1"/>
      <c r="B831" s="6"/>
      <c r="C831" s="1"/>
      <c r="D831" s="55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21.75" customHeight="1" x14ac:dyDescent="0.6">
      <c r="A832" s="1"/>
      <c r="B832" s="6"/>
      <c r="C832" s="1"/>
      <c r="D832" s="55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21.75" customHeight="1" x14ac:dyDescent="0.6">
      <c r="A833" s="1"/>
      <c r="B833" s="6"/>
      <c r="C833" s="1"/>
      <c r="D833" s="55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21.75" customHeight="1" x14ac:dyDescent="0.6">
      <c r="A834" s="1"/>
      <c r="B834" s="6"/>
      <c r="C834" s="1"/>
      <c r="D834" s="55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21.75" customHeight="1" x14ac:dyDescent="0.6">
      <c r="A835" s="1"/>
      <c r="B835" s="6"/>
      <c r="C835" s="1"/>
      <c r="D835" s="55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21.75" customHeight="1" x14ac:dyDescent="0.6">
      <c r="A836" s="1"/>
      <c r="B836" s="6"/>
      <c r="C836" s="1"/>
      <c r="D836" s="55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21.75" customHeight="1" x14ac:dyDescent="0.6">
      <c r="A837" s="1"/>
      <c r="B837" s="6"/>
      <c r="C837" s="1"/>
      <c r="D837" s="55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21.75" customHeight="1" x14ac:dyDescent="0.6">
      <c r="A838" s="1"/>
      <c r="B838" s="6"/>
      <c r="C838" s="1"/>
      <c r="D838" s="55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21.75" customHeight="1" x14ac:dyDescent="0.6">
      <c r="A839" s="1"/>
      <c r="B839" s="6"/>
      <c r="C839" s="1"/>
      <c r="D839" s="55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21.75" customHeight="1" x14ac:dyDescent="0.6">
      <c r="A840" s="1"/>
      <c r="B840" s="6"/>
      <c r="C840" s="1"/>
      <c r="D840" s="55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21.75" customHeight="1" x14ac:dyDescent="0.6">
      <c r="A841" s="1"/>
      <c r="B841" s="6"/>
      <c r="C841" s="1"/>
      <c r="D841" s="55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21.75" customHeight="1" x14ac:dyDescent="0.6">
      <c r="A842" s="1"/>
      <c r="B842" s="6"/>
      <c r="C842" s="1"/>
      <c r="D842" s="55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21.75" customHeight="1" x14ac:dyDescent="0.6">
      <c r="A843" s="1"/>
      <c r="B843" s="6"/>
      <c r="C843" s="1"/>
      <c r="D843" s="55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21.75" customHeight="1" x14ac:dyDescent="0.6">
      <c r="A844" s="1"/>
      <c r="B844" s="6"/>
      <c r="C844" s="1"/>
      <c r="D844" s="55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21.75" customHeight="1" x14ac:dyDescent="0.6">
      <c r="A845" s="1"/>
      <c r="B845" s="6"/>
      <c r="C845" s="1"/>
      <c r="D845" s="55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21.75" customHeight="1" x14ac:dyDescent="0.6">
      <c r="A846" s="1"/>
      <c r="B846" s="6"/>
      <c r="C846" s="1"/>
      <c r="D846" s="55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21.75" customHeight="1" x14ac:dyDescent="0.6">
      <c r="A847" s="1"/>
      <c r="B847" s="6"/>
      <c r="C847" s="1"/>
      <c r="D847" s="55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21.75" customHeight="1" x14ac:dyDescent="0.6">
      <c r="A848" s="1"/>
      <c r="B848" s="6"/>
      <c r="C848" s="1"/>
      <c r="D848" s="55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21.75" customHeight="1" x14ac:dyDescent="0.6">
      <c r="A849" s="1"/>
      <c r="B849" s="6"/>
      <c r="C849" s="1"/>
      <c r="D849" s="55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21.75" customHeight="1" x14ac:dyDescent="0.6">
      <c r="A850" s="1"/>
      <c r="B850" s="6"/>
      <c r="C850" s="1"/>
      <c r="D850" s="55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21.75" customHeight="1" x14ac:dyDescent="0.6">
      <c r="A851" s="1"/>
      <c r="B851" s="6"/>
      <c r="C851" s="1"/>
      <c r="D851" s="55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21.75" customHeight="1" x14ac:dyDescent="0.6">
      <c r="A852" s="1"/>
      <c r="B852" s="6"/>
      <c r="C852" s="1"/>
      <c r="D852" s="55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21.75" customHeight="1" x14ac:dyDescent="0.6">
      <c r="A853" s="1"/>
      <c r="B853" s="6"/>
      <c r="C853" s="1"/>
      <c r="D853" s="55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21.75" customHeight="1" x14ac:dyDescent="0.6">
      <c r="A854" s="1"/>
      <c r="B854" s="6"/>
      <c r="C854" s="1"/>
      <c r="D854" s="55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21.75" customHeight="1" x14ac:dyDescent="0.6">
      <c r="A855" s="1"/>
      <c r="B855" s="6"/>
      <c r="C855" s="1"/>
      <c r="D855" s="55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21.75" customHeight="1" x14ac:dyDescent="0.6">
      <c r="A856" s="1"/>
      <c r="B856" s="6"/>
      <c r="C856" s="1"/>
      <c r="D856" s="55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21.75" customHeight="1" x14ac:dyDescent="0.6">
      <c r="A857" s="1"/>
      <c r="B857" s="6"/>
      <c r="C857" s="1"/>
      <c r="D857" s="55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21.75" customHeight="1" x14ac:dyDescent="0.6">
      <c r="A858" s="1"/>
      <c r="B858" s="6"/>
      <c r="C858" s="1"/>
      <c r="D858" s="55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21.75" customHeight="1" x14ac:dyDescent="0.6">
      <c r="A859" s="1"/>
      <c r="B859" s="6"/>
      <c r="C859" s="1"/>
      <c r="D859" s="55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21.75" customHeight="1" x14ac:dyDescent="0.6">
      <c r="A860" s="1"/>
      <c r="B860" s="6"/>
      <c r="C860" s="1"/>
      <c r="D860" s="55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21.75" customHeight="1" x14ac:dyDescent="0.6">
      <c r="A861" s="1"/>
      <c r="B861" s="6"/>
      <c r="C861" s="1"/>
      <c r="D861" s="55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21.75" customHeight="1" x14ac:dyDescent="0.6">
      <c r="A862" s="1"/>
      <c r="B862" s="6"/>
      <c r="C862" s="1"/>
      <c r="D862" s="55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21.75" customHeight="1" x14ac:dyDescent="0.6">
      <c r="A863" s="1"/>
      <c r="B863" s="6"/>
      <c r="C863" s="1"/>
      <c r="D863" s="55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21.75" customHeight="1" x14ac:dyDescent="0.6">
      <c r="A864" s="1"/>
      <c r="B864" s="6"/>
      <c r="C864" s="1"/>
      <c r="D864" s="55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21.75" customHeight="1" x14ac:dyDescent="0.6">
      <c r="A865" s="1"/>
      <c r="B865" s="6"/>
      <c r="C865" s="1"/>
      <c r="D865" s="55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21.75" customHeight="1" x14ac:dyDescent="0.6">
      <c r="A866" s="1"/>
      <c r="B866" s="6"/>
      <c r="C866" s="1"/>
      <c r="D866" s="55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21.75" customHeight="1" x14ac:dyDescent="0.6">
      <c r="A867" s="1"/>
      <c r="B867" s="6"/>
      <c r="C867" s="1"/>
      <c r="D867" s="55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21.75" customHeight="1" x14ac:dyDescent="0.6">
      <c r="A868" s="1"/>
      <c r="B868" s="6"/>
      <c r="C868" s="1"/>
      <c r="D868" s="55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21.75" customHeight="1" x14ac:dyDescent="0.6">
      <c r="A869" s="1"/>
      <c r="B869" s="6"/>
      <c r="C869" s="1"/>
      <c r="D869" s="55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21.75" customHeight="1" x14ac:dyDescent="0.6">
      <c r="A870" s="1"/>
      <c r="B870" s="6"/>
      <c r="C870" s="1"/>
      <c r="D870" s="55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21.75" customHeight="1" x14ac:dyDescent="0.6">
      <c r="A871" s="1"/>
      <c r="B871" s="6"/>
      <c r="C871" s="1"/>
      <c r="D871" s="55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21.75" customHeight="1" x14ac:dyDescent="0.6">
      <c r="A872" s="1"/>
      <c r="B872" s="6"/>
      <c r="C872" s="1"/>
      <c r="D872" s="55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21.75" customHeight="1" x14ac:dyDescent="0.6">
      <c r="A873" s="1"/>
      <c r="B873" s="6"/>
      <c r="C873" s="1"/>
      <c r="D873" s="55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21.75" customHeight="1" x14ac:dyDescent="0.6">
      <c r="A874" s="1"/>
      <c r="B874" s="6"/>
      <c r="C874" s="1"/>
      <c r="D874" s="55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21.75" customHeight="1" x14ac:dyDescent="0.6">
      <c r="A875" s="1"/>
      <c r="B875" s="6"/>
      <c r="C875" s="1"/>
      <c r="D875" s="55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21.75" customHeight="1" x14ac:dyDescent="0.6">
      <c r="A876" s="1"/>
      <c r="B876" s="6"/>
      <c r="C876" s="1"/>
      <c r="D876" s="55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21.75" customHeight="1" x14ac:dyDescent="0.6">
      <c r="A877" s="1"/>
      <c r="B877" s="6"/>
      <c r="C877" s="1"/>
      <c r="D877" s="55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21.75" customHeight="1" x14ac:dyDescent="0.6">
      <c r="A878" s="1"/>
      <c r="B878" s="6"/>
      <c r="C878" s="1"/>
      <c r="D878" s="55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21.75" customHeight="1" x14ac:dyDescent="0.6">
      <c r="A879" s="1"/>
      <c r="B879" s="6"/>
      <c r="C879" s="1"/>
      <c r="D879" s="55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21.75" customHeight="1" x14ac:dyDescent="0.6">
      <c r="A880" s="1"/>
      <c r="B880" s="6"/>
      <c r="C880" s="1"/>
      <c r="D880" s="55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21.75" customHeight="1" x14ac:dyDescent="0.6">
      <c r="A881" s="1"/>
      <c r="B881" s="6"/>
      <c r="C881" s="1"/>
      <c r="D881" s="55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21.75" customHeight="1" x14ac:dyDescent="0.6">
      <c r="A882" s="1"/>
      <c r="B882" s="6"/>
      <c r="C882" s="1"/>
      <c r="D882" s="55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21.75" customHeight="1" x14ac:dyDescent="0.6">
      <c r="A883" s="1"/>
      <c r="B883" s="6"/>
      <c r="C883" s="1"/>
      <c r="D883" s="55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21.75" customHeight="1" x14ac:dyDescent="0.6">
      <c r="A884" s="1"/>
      <c r="B884" s="6"/>
      <c r="C884" s="1"/>
      <c r="D884" s="55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21.75" customHeight="1" x14ac:dyDescent="0.6">
      <c r="A885" s="1"/>
      <c r="B885" s="6"/>
      <c r="C885" s="1"/>
      <c r="D885" s="55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21.75" customHeight="1" x14ac:dyDescent="0.6">
      <c r="A886" s="1"/>
      <c r="B886" s="6"/>
      <c r="C886" s="1"/>
      <c r="D886" s="55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21.75" customHeight="1" x14ac:dyDescent="0.6">
      <c r="A887" s="1"/>
      <c r="B887" s="6"/>
      <c r="C887" s="1"/>
      <c r="D887" s="55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21.75" customHeight="1" x14ac:dyDescent="0.6">
      <c r="A888" s="1"/>
      <c r="B888" s="6"/>
      <c r="C888" s="1"/>
      <c r="D888" s="55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21.75" customHeight="1" x14ac:dyDescent="0.6">
      <c r="A889" s="1"/>
      <c r="B889" s="6"/>
      <c r="C889" s="1"/>
      <c r="D889" s="55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21.75" customHeight="1" x14ac:dyDescent="0.6">
      <c r="A890" s="1"/>
      <c r="B890" s="6"/>
      <c r="C890" s="1"/>
      <c r="D890" s="55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21.75" customHeight="1" x14ac:dyDescent="0.6">
      <c r="A891" s="1"/>
      <c r="B891" s="6"/>
      <c r="C891" s="1"/>
      <c r="D891" s="55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21.75" customHeight="1" x14ac:dyDescent="0.6">
      <c r="A892" s="1"/>
      <c r="B892" s="6"/>
      <c r="C892" s="1"/>
      <c r="D892" s="55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21.75" customHeight="1" x14ac:dyDescent="0.6">
      <c r="A893" s="1"/>
      <c r="B893" s="6"/>
      <c r="C893" s="1"/>
      <c r="D893" s="55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21.75" customHeight="1" x14ac:dyDescent="0.6">
      <c r="A894" s="1"/>
      <c r="B894" s="6"/>
      <c r="C894" s="1"/>
      <c r="D894" s="55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21.75" customHeight="1" x14ac:dyDescent="0.6">
      <c r="A895" s="1"/>
      <c r="B895" s="6"/>
      <c r="C895" s="1"/>
      <c r="D895" s="55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21.75" customHeight="1" x14ac:dyDescent="0.6">
      <c r="A896" s="1"/>
      <c r="B896" s="6"/>
      <c r="C896" s="1"/>
      <c r="D896" s="55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21.75" customHeight="1" x14ac:dyDescent="0.6">
      <c r="A897" s="1"/>
      <c r="B897" s="6"/>
      <c r="C897" s="1"/>
      <c r="D897" s="55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21.75" customHeight="1" x14ac:dyDescent="0.6">
      <c r="A898" s="1"/>
      <c r="B898" s="6"/>
      <c r="C898" s="1"/>
      <c r="D898" s="55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21.75" customHeight="1" x14ac:dyDescent="0.6">
      <c r="A899" s="1"/>
      <c r="B899" s="6"/>
      <c r="C899" s="1"/>
      <c r="D899" s="55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21.75" customHeight="1" x14ac:dyDescent="0.6">
      <c r="A900" s="1"/>
      <c r="B900" s="6"/>
      <c r="C900" s="1"/>
      <c r="D900" s="55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21.75" customHeight="1" x14ac:dyDescent="0.6">
      <c r="A901" s="1"/>
      <c r="B901" s="6"/>
      <c r="C901" s="1"/>
      <c r="D901" s="55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21.75" customHeight="1" x14ac:dyDescent="0.6">
      <c r="A902" s="1"/>
      <c r="B902" s="6"/>
      <c r="C902" s="1"/>
      <c r="D902" s="55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21.75" customHeight="1" x14ac:dyDescent="0.6">
      <c r="A903" s="1"/>
      <c r="B903" s="6"/>
      <c r="C903" s="1"/>
      <c r="D903" s="55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21.75" customHeight="1" x14ac:dyDescent="0.6">
      <c r="A904" s="1"/>
      <c r="B904" s="6"/>
      <c r="C904" s="1"/>
      <c r="D904" s="55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21.75" customHeight="1" x14ac:dyDescent="0.6">
      <c r="A905" s="1"/>
      <c r="B905" s="6"/>
      <c r="C905" s="1"/>
      <c r="D905" s="55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21.75" customHeight="1" x14ac:dyDescent="0.6">
      <c r="A906" s="1"/>
      <c r="B906" s="6"/>
      <c r="C906" s="1"/>
      <c r="D906" s="55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21.75" customHeight="1" x14ac:dyDescent="0.6">
      <c r="A907" s="1"/>
      <c r="B907" s="6"/>
      <c r="C907" s="1"/>
      <c r="D907" s="55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21.75" customHeight="1" x14ac:dyDescent="0.6">
      <c r="A908" s="1"/>
      <c r="B908" s="6"/>
      <c r="C908" s="1"/>
      <c r="D908" s="55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21.75" customHeight="1" x14ac:dyDescent="0.6">
      <c r="A909" s="1"/>
      <c r="B909" s="6"/>
      <c r="C909" s="1"/>
      <c r="D909" s="55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21.75" customHeight="1" x14ac:dyDescent="0.6">
      <c r="A910" s="1"/>
      <c r="B910" s="6"/>
      <c r="C910" s="1"/>
      <c r="D910" s="55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21.75" customHeight="1" x14ac:dyDescent="0.6">
      <c r="A911" s="1"/>
      <c r="B911" s="6"/>
      <c r="C911" s="1"/>
      <c r="D911" s="55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21.75" customHeight="1" x14ac:dyDescent="0.6">
      <c r="A912" s="1"/>
      <c r="B912" s="6"/>
      <c r="C912" s="1"/>
      <c r="D912" s="55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21.75" customHeight="1" x14ac:dyDescent="0.6">
      <c r="A913" s="1"/>
      <c r="B913" s="6"/>
      <c r="C913" s="1"/>
      <c r="D913" s="55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21.75" customHeight="1" x14ac:dyDescent="0.6">
      <c r="A914" s="1"/>
      <c r="B914" s="6"/>
      <c r="C914" s="1"/>
      <c r="D914" s="55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21.75" customHeight="1" x14ac:dyDescent="0.6">
      <c r="A915" s="1"/>
      <c r="B915" s="6"/>
      <c r="C915" s="1"/>
      <c r="D915" s="55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21.75" customHeight="1" x14ac:dyDescent="0.6">
      <c r="A916" s="1"/>
      <c r="B916" s="6"/>
      <c r="C916" s="1"/>
      <c r="D916" s="55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21.75" customHeight="1" x14ac:dyDescent="0.6">
      <c r="A917" s="1"/>
      <c r="B917" s="6"/>
      <c r="C917" s="1"/>
      <c r="D917" s="55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21.75" customHeight="1" x14ac:dyDescent="0.6">
      <c r="A918" s="1"/>
      <c r="B918" s="6"/>
      <c r="C918" s="1"/>
      <c r="D918" s="55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21.75" customHeight="1" x14ac:dyDescent="0.6">
      <c r="A919" s="1"/>
      <c r="B919" s="6"/>
      <c r="C919" s="1"/>
      <c r="D919" s="55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21.75" customHeight="1" x14ac:dyDescent="0.6">
      <c r="A920" s="1"/>
      <c r="B920" s="6"/>
      <c r="C920" s="1"/>
      <c r="D920" s="55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21.75" customHeight="1" x14ac:dyDescent="0.6">
      <c r="A921" s="1"/>
      <c r="B921" s="6"/>
      <c r="C921" s="1"/>
      <c r="D921" s="55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21.75" customHeight="1" x14ac:dyDescent="0.6">
      <c r="A922" s="1"/>
      <c r="B922" s="6"/>
      <c r="C922" s="1"/>
      <c r="D922" s="55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21.75" customHeight="1" x14ac:dyDescent="0.6">
      <c r="A923" s="1"/>
      <c r="B923" s="6"/>
      <c r="C923" s="1"/>
      <c r="D923" s="55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21.75" customHeight="1" x14ac:dyDescent="0.6">
      <c r="A924" s="1"/>
      <c r="B924" s="6"/>
      <c r="C924" s="1"/>
      <c r="D924" s="55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21.75" customHeight="1" x14ac:dyDescent="0.6">
      <c r="A925" s="1"/>
      <c r="B925" s="6"/>
      <c r="C925" s="1"/>
      <c r="D925" s="55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21.75" customHeight="1" x14ac:dyDescent="0.6">
      <c r="A926" s="1"/>
      <c r="B926" s="6"/>
      <c r="C926" s="1"/>
      <c r="D926" s="55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21.75" customHeight="1" x14ac:dyDescent="0.6">
      <c r="A927" s="1"/>
      <c r="B927" s="6"/>
      <c r="C927" s="1"/>
      <c r="D927" s="55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21.75" customHeight="1" x14ac:dyDescent="0.6">
      <c r="A928" s="1"/>
      <c r="B928" s="6"/>
      <c r="C928" s="1"/>
      <c r="D928" s="55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21.75" customHeight="1" x14ac:dyDescent="0.6">
      <c r="A929" s="1"/>
      <c r="B929" s="6"/>
      <c r="C929" s="1"/>
      <c r="D929" s="55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21.75" customHeight="1" x14ac:dyDescent="0.6">
      <c r="A930" s="1"/>
      <c r="B930" s="6"/>
      <c r="C930" s="1"/>
      <c r="D930" s="55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21.75" customHeight="1" x14ac:dyDescent="0.6">
      <c r="A931" s="1"/>
      <c r="B931" s="6"/>
      <c r="C931" s="1"/>
      <c r="D931" s="55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21.75" customHeight="1" x14ac:dyDescent="0.6">
      <c r="A932" s="1"/>
      <c r="B932" s="6"/>
      <c r="C932" s="1"/>
      <c r="D932" s="55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21.75" customHeight="1" x14ac:dyDescent="0.6">
      <c r="A933" s="1"/>
      <c r="B933" s="6"/>
      <c r="C933" s="1"/>
      <c r="D933" s="55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21.75" customHeight="1" x14ac:dyDescent="0.6">
      <c r="A934" s="1"/>
      <c r="B934" s="6"/>
      <c r="C934" s="1"/>
      <c r="D934" s="55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21.75" customHeight="1" x14ac:dyDescent="0.6">
      <c r="A935" s="1"/>
      <c r="B935" s="6"/>
      <c r="C935" s="1"/>
      <c r="D935" s="55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21.75" customHeight="1" x14ac:dyDescent="0.6">
      <c r="A936" s="1"/>
      <c r="B936" s="6"/>
      <c r="C936" s="1"/>
      <c r="D936" s="55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21.75" customHeight="1" x14ac:dyDescent="0.6">
      <c r="A937" s="1"/>
      <c r="B937" s="6"/>
      <c r="C937" s="1"/>
      <c r="D937" s="55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21.75" customHeight="1" x14ac:dyDescent="0.6">
      <c r="A938" s="1"/>
      <c r="B938" s="6"/>
      <c r="C938" s="1"/>
      <c r="D938" s="55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21.75" customHeight="1" x14ac:dyDescent="0.6">
      <c r="A939" s="1"/>
      <c r="B939" s="6"/>
      <c r="C939" s="1"/>
      <c r="D939" s="55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21.75" customHeight="1" x14ac:dyDescent="0.6">
      <c r="A940" s="1"/>
      <c r="B940" s="6"/>
      <c r="C940" s="1"/>
      <c r="D940" s="55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21.75" customHeight="1" x14ac:dyDescent="0.6">
      <c r="A941" s="1"/>
      <c r="B941" s="6"/>
      <c r="C941" s="1"/>
      <c r="D941" s="55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21.75" customHeight="1" x14ac:dyDescent="0.6">
      <c r="A942" s="1"/>
      <c r="B942" s="6"/>
      <c r="C942" s="1"/>
      <c r="D942" s="55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21.75" customHeight="1" x14ac:dyDescent="0.6">
      <c r="A943" s="1"/>
      <c r="B943" s="6"/>
      <c r="C943" s="1"/>
      <c r="D943" s="55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21.75" customHeight="1" x14ac:dyDescent="0.6">
      <c r="A944" s="1"/>
      <c r="B944" s="6"/>
      <c r="C944" s="1"/>
      <c r="D944" s="55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21.75" customHeight="1" x14ac:dyDescent="0.6">
      <c r="A945" s="1"/>
      <c r="B945" s="6"/>
      <c r="C945" s="1"/>
      <c r="D945" s="55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21.75" customHeight="1" x14ac:dyDescent="0.6">
      <c r="A946" s="1"/>
      <c r="B946" s="6"/>
      <c r="C946" s="1"/>
      <c r="D946" s="55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21.75" customHeight="1" x14ac:dyDescent="0.6">
      <c r="A947" s="1"/>
      <c r="B947" s="6"/>
      <c r="C947" s="1"/>
      <c r="D947" s="55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21.75" customHeight="1" x14ac:dyDescent="0.6">
      <c r="A948" s="1"/>
      <c r="B948" s="6"/>
      <c r="C948" s="1"/>
      <c r="D948" s="55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21.75" customHeight="1" x14ac:dyDescent="0.6">
      <c r="A949" s="1"/>
      <c r="B949" s="6"/>
      <c r="C949" s="1"/>
      <c r="D949" s="55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21.75" customHeight="1" x14ac:dyDescent="0.6">
      <c r="A950" s="1"/>
      <c r="B950" s="6"/>
      <c r="C950" s="1"/>
      <c r="D950" s="55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21.75" customHeight="1" x14ac:dyDescent="0.6">
      <c r="A951" s="1"/>
      <c r="B951" s="6"/>
      <c r="C951" s="1"/>
      <c r="D951" s="55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21.75" customHeight="1" x14ac:dyDescent="0.6">
      <c r="A952" s="1"/>
      <c r="B952" s="6"/>
      <c r="C952" s="1"/>
      <c r="D952" s="55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21.75" customHeight="1" x14ac:dyDescent="0.6">
      <c r="A953" s="1"/>
      <c r="B953" s="6"/>
      <c r="C953" s="1"/>
      <c r="D953" s="55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21.75" customHeight="1" x14ac:dyDescent="0.6">
      <c r="A954" s="1"/>
      <c r="B954" s="6"/>
      <c r="C954" s="1"/>
      <c r="D954" s="55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21.75" customHeight="1" x14ac:dyDescent="0.6">
      <c r="A955" s="1"/>
      <c r="B955" s="6"/>
      <c r="C955" s="1"/>
      <c r="D955" s="55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21.75" customHeight="1" x14ac:dyDescent="0.6">
      <c r="A956" s="1"/>
      <c r="B956" s="6"/>
      <c r="C956" s="1"/>
      <c r="D956" s="55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21.75" customHeight="1" x14ac:dyDescent="0.6">
      <c r="A957" s="1"/>
      <c r="B957" s="6"/>
      <c r="C957" s="1"/>
      <c r="D957" s="55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21.75" customHeight="1" x14ac:dyDescent="0.6">
      <c r="A958" s="1"/>
      <c r="B958" s="6"/>
      <c r="C958" s="1"/>
      <c r="D958" s="55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21.75" customHeight="1" x14ac:dyDescent="0.6">
      <c r="A959" s="1"/>
      <c r="B959" s="6"/>
      <c r="C959" s="1"/>
      <c r="D959" s="55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21.75" customHeight="1" x14ac:dyDescent="0.6">
      <c r="A960" s="1"/>
      <c r="B960" s="6"/>
      <c r="C960" s="1"/>
      <c r="D960" s="55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21.75" customHeight="1" x14ac:dyDescent="0.6">
      <c r="A961" s="1"/>
      <c r="B961" s="6"/>
      <c r="C961" s="1"/>
      <c r="D961" s="55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21.75" customHeight="1" x14ac:dyDescent="0.6">
      <c r="A962" s="1"/>
      <c r="B962" s="6"/>
      <c r="C962" s="1"/>
      <c r="D962" s="55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21.75" customHeight="1" x14ac:dyDescent="0.6">
      <c r="A963" s="1"/>
      <c r="B963" s="6"/>
      <c r="C963" s="1"/>
      <c r="D963" s="55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21.75" customHeight="1" x14ac:dyDescent="0.6">
      <c r="A964" s="1"/>
      <c r="B964" s="6"/>
      <c r="C964" s="1"/>
      <c r="D964" s="55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21.75" customHeight="1" x14ac:dyDescent="0.6">
      <c r="A965" s="1"/>
      <c r="B965" s="6"/>
      <c r="C965" s="1"/>
      <c r="D965" s="55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21.75" customHeight="1" x14ac:dyDescent="0.6">
      <c r="A966" s="1"/>
      <c r="B966" s="6"/>
      <c r="C966" s="1"/>
      <c r="D966" s="55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21.75" customHeight="1" x14ac:dyDescent="0.6">
      <c r="A967" s="1"/>
      <c r="B967" s="6"/>
      <c r="C967" s="1"/>
      <c r="D967" s="55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21.75" customHeight="1" x14ac:dyDescent="0.6">
      <c r="A968" s="1"/>
      <c r="B968" s="6"/>
      <c r="C968" s="1"/>
      <c r="D968" s="55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21.75" customHeight="1" x14ac:dyDescent="0.6">
      <c r="A969" s="1"/>
      <c r="B969" s="6"/>
      <c r="C969" s="1"/>
      <c r="D969" s="55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21.75" customHeight="1" x14ac:dyDescent="0.6">
      <c r="A970" s="1"/>
      <c r="B970" s="6"/>
      <c r="C970" s="1"/>
      <c r="D970" s="55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21.75" customHeight="1" x14ac:dyDescent="0.6">
      <c r="A971" s="1"/>
      <c r="B971" s="6"/>
      <c r="C971" s="1"/>
      <c r="D971" s="55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21.75" customHeight="1" x14ac:dyDescent="0.6">
      <c r="A972" s="1"/>
      <c r="B972" s="6"/>
      <c r="C972" s="1"/>
      <c r="D972" s="55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21.75" customHeight="1" x14ac:dyDescent="0.6">
      <c r="A973" s="1"/>
      <c r="B973" s="6"/>
      <c r="C973" s="1"/>
      <c r="D973" s="55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21.75" customHeight="1" x14ac:dyDescent="0.6">
      <c r="A974" s="1"/>
      <c r="B974" s="6"/>
      <c r="C974" s="1"/>
      <c r="D974" s="55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21.75" customHeight="1" x14ac:dyDescent="0.6">
      <c r="A975" s="1"/>
      <c r="B975" s="6"/>
      <c r="C975" s="1"/>
      <c r="D975" s="55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21.75" customHeight="1" x14ac:dyDescent="0.6">
      <c r="A976" s="1"/>
      <c r="B976" s="6"/>
      <c r="C976" s="1"/>
      <c r="D976" s="55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21.75" customHeight="1" x14ac:dyDescent="0.6">
      <c r="A977" s="1"/>
      <c r="B977" s="6"/>
      <c r="C977" s="1"/>
      <c r="D977" s="55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21.75" customHeight="1" x14ac:dyDescent="0.6">
      <c r="A978" s="1"/>
      <c r="B978" s="6"/>
      <c r="C978" s="1"/>
      <c r="D978" s="55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21.75" customHeight="1" x14ac:dyDescent="0.6">
      <c r="A979" s="1"/>
      <c r="B979" s="6"/>
      <c r="C979" s="1"/>
      <c r="D979" s="55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21.75" customHeight="1" x14ac:dyDescent="0.6">
      <c r="A980" s="1"/>
      <c r="B980" s="6"/>
      <c r="C980" s="1"/>
      <c r="D980" s="55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21.75" customHeight="1" x14ac:dyDescent="0.6">
      <c r="A981" s="1"/>
      <c r="B981" s="6"/>
      <c r="C981" s="1"/>
      <c r="D981" s="55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21.75" customHeight="1" x14ac:dyDescent="0.6">
      <c r="A982" s="1"/>
      <c r="B982" s="6"/>
      <c r="C982" s="1"/>
      <c r="D982" s="55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21.75" customHeight="1" x14ac:dyDescent="0.6">
      <c r="A983" s="1"/>
      <c r="B983" s="6"/>
      <c r="C983" s="1"/>
      <c r="D983" s="55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21.75" customHeight="1" x14ac:dyDescent="0.6">
      <c r="A984" s="1"/>
      <c r="B984" s="6"/>
      <c r="C984" s="1"/>
      <c r="D984" s="55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21.75" customHeight="1" x14ac:dyDescent="0.6">
      <c r="A985" s="1"/>
      <c r="B985" s="6"/>
      <c r="C985" s="1"/>
      <c r="D985" s="55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21.75" customHeight="1" x14ac:dyDescent="0.6">
      <c r="A986" s="1"/>
      <c r="B986" s="6"/>
      <c r="C986" s="1"/>
      <c r="D986" s="55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21.75" customHeight="1" x14ac:dyDescent="0.6">
      <c r="A987" s="1"/>
      <c r="B987" s="6"/>
      <c r="C987" s="1"/>
      <c r="D987" s="55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21.75" customHeight="1" x14ac:dyDescent="0.6">
      <c r="A988" s="1"/>
      <c r="B988" s="6"/>
      <c r="C988" s="1"/>
      <c r="D988" s="55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21.75" customHeight="1" x14ac:dyDescent="0.6">
      <c r="A989" s="1"/>
      <c r="B989" s="6"/>
      <c r="C989" s="1"/>
      <c r="D989" s="55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21.75" customHeight="1" x14ac:dyDescent="0.6">
      <c r="A990" s="1"/>
      <c r="B990" s="6"/>
      <c r="C990" s="1"/>
      <c r="D990" s="55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21.75" customHeight="1" x14ac:dyDescent="0.6">
      <c r="A991" s="1"/>
      <c r="B991" s="6"/>
      <c r="C991" s="1"/>
      <c r="D991" s="55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21.75" customHeight="1" x14ac:dyDescent="0.6">
      <c r="A992" s="1"/>
      <c r="B992" s="6"/>
      <c r="C992" s="1"/>
      <c r="D992" s="55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21.75" customHeight="1" x14ac:dyDescent="0.6">
      <c r="A993" s="1"/>
      <c r="B993" s="6"/>
      <c r="C993" s="1"/>
      <c r="D993" s="55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21.75" customHeight="1" x14ac:dyDescent="0.6">
      <c r="A994" s="1"/>
      <c r="B994" s="6"/>
      <c r="C994" s="1"/>
      <c r="D994" s="55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21.75" customHeight="1" x14ac:dyDescent="0.6">
      <c r="A995" s="1"/>
      <c r="B995" s="6"/>
      <c r="C995" s="1"/>
      <c r="D995" s="55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21.75" customHeight="1" x14ac:dyDescent="0.6">
      <c r="A996" s="1"/>
      <c r="B996" s="6"/>
      <c r="C996" s="1"/>
      <c r="D996" s="55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21.75" customHeight="1" x14ac:dyDescent="0.6">
      <c r="A997" s="1"/>
      <c r="B997" s="6"/>
      <c r="C997" s="1"/>
      <c r="D997" s="55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21.75" customHeight="1" x14ac:dyDescent="0.6">
      <c r="A998" s="1"/>
      <c r="B998" s="6"/>
      <c r="C998" s="1"/>
      <c r="D998" s="55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21.75" customHeight="1" x14ac:dyDescent="0.6">
      <c r="A999" s="1"/>
      <c r="B999" s="6"/>
      <c r="C999" s="1"/>
      <c r="D999" s="55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21.75" customHeight="1" x14ac:dyDescent="0.6">
      <c r="A1000" s="1"/>
      <c r="B1000" s="6"/>
      <c r="C1000" s="1"/>
      <c r="D1000" s="55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spans="1:23" ht="21.75" customHeight="1" x14ac:dyDescent="0.6">
      <c r="A1001" s="1"/>
      <c r="B1001" s="6"/>
      <c r="C1001" s="1"/>
      <c r="D1001" s="55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 spans="1:23" ht="21.75" customHeight="1" x14ac:dyDescent="0.6">
      <c r="A1002" s="1"/>
      <c r="B1002" s="6"/>
      <c r="C1002" s="1"/>
      <c r="D1002" s="55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</sheetData>
  <mergeCells count="2">
    <mergeCell ref="A1:A2"/>
    <mergeCell ref="B1:C1"/>
  </mergeCells>
  <pageMargins left="0.511811024" right="0.511811024" top="0.78740157499999996" bottom="0.78740157499999996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2AC39-609C-4B8F-B31B-E3A08EF53EB4}">
  <dimension ref="A1:Q998"/>
  <sheetViews>
    <sheetView zoomScale="85" zoomScaleNormal="85" workbookViewId="0">
      <selection activeCell="C27" sqref="C27"/>
    </sheetView>
  </sheetViews>
  <sheetFormatPr defaultColWidth="14.42578125" defaultRowHeight="15" customHeight="1" x14ac:dyDescent="0.25"/>
  <cols>
    <col min="1" max="1" width="64.42578125" customWidth="1"/>
    <col min="2" max="2" width="23" bestFit="1" customWidth="1"/>
    <col min="3" max="3" width="13.42578125" style="28" customWidth="1"/>
    <col min="4" max="4" width="16.5703125" style="28" bestFit="1" customWidth="1"/>
    <col min="5" max="5" width="17.7109375" customWidth="1"/>
    <col min="6" max="6" width="19.28515625" bestFit="1" customWidth="1"/>
    <col min="7" max="7" width="23.5703125" customWidth="1"/>
    <col min="8" max="17" width="9.140625" customWidth="1"/>
  </cols>
  <sheetData>
    <row r="1" spans="1:17" ht="22.5" customHeight="1" thickBot="1" x14ac:dyDescent="0.3">
      <c r="A1" s="59" t="s">
        <v>0</v>
      </c>
      <c r="B1" s="60" t="s">
        <v>32</v>
      </c>
      <c r="C1" s="60" t="s">
        <v>33</v>
      </c>
      <c r="D1" s="60" t="s">
        <v>63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22.5" customHeight="1" thickBot="1" x14ac:dyDescent="0.3">
      <c r="A2" s="57" t="s">
        <v>34</v>
      </c>
      <c r="B2" s="91">
        <f>ORÇAMENTO_COMPARATIVO!J3</f>
        <v>8753722.8527303897</v>
      </c>
      <c r="C2" s="58">
        <f>B2/B$18</f>
        <v>0.12134433388766717</v>
      </c>
      <c r="D2" s="94">
        <f>B2/'AREAS PRIVATIVAS'!G$2</f>
        <v>1108.0156920356021</v>
      </c>
      <c r="E2" s="9"/>
      <c r="F2" s="31" t="s">
        <v>61</v>
      </c>
      <c r="G2" s="87">
        <v>7900.36</v>
      </c>
      <c r="H2" s="33" t="s">
        <v>62</v>
      </c>
      <c r="I2" s="9"/>
      <c r="J2" s="9"/>
      <c r="K2" s="9"/>
      <c r="L2" s="9"/>
      <c r="M2" s="9"/>
      <c r="N2" s="9"/>
      <c r="O2" s="9"/>
      <c r="P2" s="9"/>
      <c r="Q2" s="9"/>
    </row>
    <row r="3" spans="1:17" ht="19.5" customHeight="1" x14ac:dyDescent="0.25">
      <c r="A3" s="2" t="s">
        <v>3</v>
      </c>
      <c r="B3" s="92">
        <f>ORÇAMENTO_COMPARATIVO!J4</f>
        <v>1428510.0333333334</v>
      </c>
      <c r="C3" s="12">
        <f>B3/B$18</f>
        <v>1.9802043240678482E-2</v>
      </c>
      <c r="D3" s="95">
        <f>B3/'AREAS PRIVATIVAS'!G$2</f>
        <v>180.81581514428879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 ht="19.5" customHeight="1" x14ac:dyDescent="0.25">
      <c r="A4" s="10" t="s">
        <v>4</v>
      </c>
      <c r="B4" s="91">
        <f>ORÇAMENTO_COMPARATIVO!J5</f>
        <v>4472521.2797970148</v>
      </c>
      <c r="C4" s="11">
        <f>B4/B$18</f>
        <v>6.199820632042357E-2</v>
      </c>
      <c r="D4" s="94">
        <f>B4/'AREAS PRIVATIVAS'!G$2</f>
        <v>566.11613645416344</v>
      </c>
      <c r="E4" s="9"/>
      <c r="F4" s="13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1:17" ht="19.5" customHeight="1" x14ac:dyDescent="0.25">
      <c r="A5" s="2" t="s">
        <v>5</v>
      </c>
      <c r="B5" s="92">
        <f>ORÇAMENTO_COMPARATIVO!J6</f>
        <v>16569702.13624531</v>
      </c>
      <c r="C5" s="12">
        <f t="shared" ref="C5:C16" si="0">B5/B$18</f>
        <v>0.22968964202614672</v>
      </c>
      <c r="D5" s="95">
        <f>B5/'AREAS PRIVATIVAS'!G$2</f>
        <v>2097.3350753947047</v>
      </c>
      <c r="E5" s="9"/>
      <c r="F5" s="13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 ht="19.5" customHeight="1" x14ac:dyDescent="0.25">
      <c r="A6" s="10" t="s">
        <v>6</v>
      </c>
      <c r="B6" s="91">
        <f>ORÇAMENTO_COMPARATIVO!J7</f>
        <v>4429172.1571696931</v>
      </c>
      <c r="C6" s="11">
        <f t="shared" si="0"/>
        <v>6.1397299654959922E-2</v>
      </c>
      <c r="D6" s="94">
        <f>B6/'AREAS PRIVATIVAS'!G$2</f>
        <v>560.62915578146988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1:17" ht="19.5" customHeight="1" x14ac:dyDescent="0.25">
      <c r="A7" s="2" t="s">
        <v>7</v>
      </c>
      <c r="B7" s="92">
        <f>ORÇAMENTO_COMPARATIVO!J8</f>
        <v>1649879.2174833333</v>
      </c>
      <c r="C7" s="12">
        <f t="shared" si="0"/>
        <v>2.2870668629653361E-2</v>
      </c>
      <c r="D7" s="95">
        <f>B7/'AREAS PRIVATIVAS'!G$2</f>
        <v>208.83595399239192</v>
      </c>
      <c r="E7" s="9"/>
      <c r="F7" s="15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1:17" ht="19.5" customHeight="1" x14ac:dyDescent="0.25">
      <c r="A8" s="10" t="s">
        <v>39</v>
      </c>
      <c r="B8" s="91">
        <f>ORÇAMENTO_COMPARATIVO!J9</f>
        <v>2108723.0697037145</v>
      </c>
      <c r="C8" s="11">
        <f t="shared" si="0"/>
        <v>2.9231174044645643E-2</v>
      </c>
      <c r="D8" s="94">
        <f>B8/'AREAS PRIVATIVAS'!G$2</f>
        <v>266.91480764214725</v>
      </c>
      <c r="E8" s="27"/>
      <c r="F8" s="16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ht="19.5" customHeight="1" x14ac:dyDescent="0.25">
      <c r="A9" s="2" t="s">
        <v>8</v>
      </c>
      <c r="B9" s="92">
        <f>ORÇAMENTO_COMPARATIVO!J10</f>
        <v>1898258.4656083335</v>
      </c>
      <c r="C9" s="12">
        <f t="shared" si="0"/>
        <v>2.6313708228039422E-2</v>
      </c>
      <c r="D9" s="95">
        <f>B9/'AREAS PRIVATIVAS'!G$2</f>
        <v>240.27493248514418</v>
      </c>
      <c r="E9" s="9"/>
      <c r="F9" s="15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1:17" ht="19.5" customHeight="1" x14ac:dyDescent="0.25">
      <c r="A10" s="10" t="s">
        <v>35</v>
      </c>
      <c r="B10" s="91">
        <f>ORÇAMENTO_COMPARATIVO!J11</f>
        <v>736663.29528736509</v>
      </c>
      <c r="C10" s="11">
        <f t="shared" si="0"/>
        <v>1.0211645761466782E-2</v>
      </c>
      <c r="D10" s="94">
        <f>B10/'AREAS PRIVATIVAS'!G$2</f>
        <v>93.24426928486362</v>
      </c>
      <c r="E10" s="9"/>
      <c r="F10" s="14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17" ht="19.5" customHeight="1" x14ac:dyDescent="0.25">
      <c r="A11" s="2" t="s">
        <v>36</v>
      </c>
      <c r="B11" s="92">
        <f>ORÇAMENTO_COMPARATIVO!J12</f>
        <v>1214123.3285218002</v>
      </c>
      <c r="C11" s="12">
        <f t="shared" si="0"/>
        <v>1.6830209161922703E-2</v>
      </c>
      <c r="D11" s="95">
        <f>B11/'AREAS PRIVATIVAS'!G$2</f>
        <v>153.67949416505076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7" ht="19.5" customHeight="1" x14ac:dyDescent="0.25">
      <c r="A12" s="10" t="s">
        <v>9</v>
      </c>
      <c r="B12" s="91">
        <f>ORÇAMENTO_COMPARATIVO!J13</f>
        <v>2370480.0312116882</v>
      </c>
      <c r="C12" s="11">
        <f t="shared" si="0"/>
        <v>3.2859655853929526E-2</v>
      </c>
      <c r="D12" s="94">
        <f>B12/'AREAS PRIVATIVAS'!G$2</f>
        <v>300.04709041254932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7" ht="19.5" customHeight="1" x14ac:dyDescent="0.25">
      <c r="A13" s="2" t="s">
        <v>10</v>
      </c>
      <c r="B13" s="92">
        <f>ORÇAMENTO_COMPARATIVO!J14</f>
        <v>7112920.8864441477</v>
      </c>
      <c r="C13" s="12">
        <f t="shared" si="0"/>
        <v>9.8599494350226677E-2</v>
      </c>
      <c r="D13" s="95">
        <f>B13/'AREAS PRIVATIVAS'!G$2</f>
        <v>900.32870482410272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 ht="19.5" customHeight="1" x14ac:dyDescent="0.25">
      <c r="A14" s="10" t="s">
        <v>11</v>
      </c>
      <c r="B14" s="91">
        <f>ORÇAMENTO_COMPARATIVO!J15</f>
        <v>8730804.6296780538</v>
      </c>
      <c r="C14" s="11">
        <f t="shared" si="0"/>
        <v>0.12102664088356353</v>
      </c>
      <c r="D14" s="94">
        <f>B14/'AREAS PRIVATIVAS'!G$2</f>
        <v>1105.1147833362093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7" ht="19.5" customHeight="1" x14ac:dyDescent="0.25">
      <c r="A15" s="2" t="s">
        <v>12</v>
      </c>
      <c r="B15" s="92">
        <f>ORÇAMENTO_COMPARATIVO!J16</f>
        <v>6911114.4359607538</v>
      </c>
      <c r="C15" s="12">
        <f t="shared" si="0"/>
        <v>9.5802048084206989E-2</v>
      </c>
      <c r="D15" s="95">
        <f>B15/'AREAS PRIVATIVAS'!G$2</f>
        <v>874.7847485381368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7" ht="19.5" customHeight="1" x14ac:dyDescent="0.25">
      <c r="A16" s="10" t="s">
        <v>13</v>
      </c>
      <c r="B16" s="91">
        <f>ORÇAMENTO_COMPARATIVO!J17</f>
        <v>1932915.8613456555</v>
      </c>
      <c r="C16" s="11">
        <f t="shared" si="0"/>
        <v>2.6794129949263428E-2</v>
      </c>
      <c r="D16" s="94">
        <f>B16/'AREAS PRIVATIVAS'!G$2</f>
        <v>244.66174469842585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7" ht="19.5" customHeight="1" x14ac:dyDescent="0.25">
      <c r="A17" s="2" t="s">
        <v>37</v>
      </c>
      <c r="B17" s="92">
        <f>ORÇAMENTO_COMPARATIVO!J18</f>
        <v>1820015.3354999991</v>
      </c>
      <c r="C17" s="12">
        <v>0.03</v>
      </c>
      <c r="D17" s="95">
        <f>B17/'AREAS PRIVATIVAS'!G$2</f>
        <v>230.37119011032399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7" ht="19.5" customHeight="1" x14ac:dyDescent="0.25">
      <c r="A18" s="59" t="s">
        <v>14</v>
      </c>
      <c r="B18" s="93">
        <f>SUM(B2:B17)</f>
        <v>72139527.016020596</v>
      </c>
      <c r="C18" s="61">
        <f>SUM(C2:C17)</f>
        <v>1.0047709000767939</v>
      </c>
      <c r="D18" s="88">
        <f>SUM(D2:D17)</f>
        <v>9131.1695942995739</v>
      </c>
      <c r="E18" s="14"/>
      <c r="F18" s="104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1:17" ht="22.5" customHeight="1" x14ac:dyDescent="0.25">
      <c r="A19" s="9"/>
      <c r="B19" s="9"/>
      <c r="C19" s="15"/>
      <c r="D19" s="96"/>
      <c r="E19" s="9"/>
      <c r="F19" s="14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1:17" ht="22.5" customHeight="1" x14ac:dyDescent="0.25">
      <c r="A20" s="9"/>
      <c r="B20" s="14"/>
      <c r="C20" s="15"/>
      <c r="D20" s="15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7" ht="15" customHeight="1" x14ac:dyDescent="0.25">
      <c r="A21" s="9"/>
      <c r="B21" s="9"/>
      <c r="C21" s="15"/>
      <c r="D21" s="15"/>
      <c r="E21" s="9"/>
      <c r="F21" s="14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7" ht="19.5" customHeight="1" x14ac:dyDescent="0.25">
      <c r="A22" s="9"/>
      <c r="B22" s="9"/>
      <c r="C22" s="15"/>
      <c r="D22" s="15"/>
      <c r="E22" s="16"/>
      <c r="F22" s="9"/>
      <c r="G22" s="14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1:17" ht="19.5" customHeight="1" x14ac:dyDescent="0.45">
      <c r="A23" s="9"/>
      <c r="B23" s="9"/>
      <c r="C23" s="15"/>
      <c r="D23" s="15"/>
      <c r="E23" s="17"/>
      <c r="F23" s="14"/>
      <c r="G23" s="14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 ht="19.5" customHeight="1" x14ac:dyDescent="0.25">
      <c r="A24" s="9"/>
      <c r="B24" s="9"/>
      <c r="C24" s="15"/>
      <c r="D24" s="15"/>
      <c r="E24" s="18"/>
      <c r="F24" s="1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 ht="19.5" customHeight="1" x14ac:dyDescent="0.25">
      <c r="A25" s="9"/>
      <c r="B25" s="9"/>
      <c r="C25" s="15"/>
      <c r="D25" s="15"/>
      <c r="E25" s="9"/>
      <c r="F25" s="1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 ht="19.5" customHeight="1" x14ac:dyDescent="0.25">
      <c r="A26" s="9"/>
      <c r="B26" s="9"/>
      <c r="C26" s="15"/>
      <c r="D26" s="15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 ht="19.5" customHeight="1" x14ac:dyDescent="0.25">
      <c r="A27" s="9"/>
      <c r="B27" s="9"/>
      <c r="C27" s="15"/>
      <c r="D27" s="15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 ht="19.5" customHeight="1" x14ac:dyDescent="0.25">
      <c r="A28" s="9"/>
      <c r="B28" s="9"/>
      <c r="C28" s="15"/>
      <c r="D28" s="15"/>
      <c r="E28" s="9"/>
      <c r="F28" s="14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 ht="19.5" customHeight="1" x14ac:dyDescent="0.25">
      <c r="A29" s="9"/>
      <c r="B29" s="9"/>
      <c r="C29" s="15"/>
      <c r="D29" s="15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 ht="19.5" customHeight="1" x14ac:dyDescent="0.25">
      <c r="A30" s="9"/>
      <c r="B30" s="9"/>
      <c r="C30" s="15"/>
      <c r="D30" s="15"/>
      <c r="E30" s="9"/>
      <c r="F30" s="14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 ht="19.5" customHeight="1" x14ac:dyDescent="0.25">
      <c r="A31" s="9"/>
      <c r="B31" s="9"/>
      <c r="C31" s="15"/>
      <c r="D31" s="15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 ht="19.5" customHeight="1" x14ac:dyDescent="0.25">
      <c r="A32" s="9"/>
      <c r="B32" s="9"/>
      <c r="C32" s="15"/>
      <c r="D32" s="15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 ht="19.5" customHeight="1" x14ac:dyDescent="0.25">
      <c r="A33" s="9"/>
      <c r="B33" s="9"/>
      <c r="C33" s="15"/>
      <c r="D33" s="15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 ht="19.5" customHeight="1" x14ac:dyDescent="0.25">
      <c r="A34" s="9"/>
      <c r="B34" s="9"/>
      <c r="C34" s="15"/>
      <c r="D34" s="15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 ht="19.5" customHeight="1" x14ac:dyDescent="0.25">
      <c r="A35" s="9"/>
      <c r="B35" s="9"/>
      <c r="C35" s="15"/>
      <c r="D35" s="15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 ht="19.5" customHeight="1" x14ac:dyDescent="0.25">
      <c r="A36" s="9"/>
      <c r="B36" s="9"/>
      <c r="C36" s="15"/>
      <c r="D36" s="15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 ht="19.5" customHeight="1" x14ac:dyDescent="0.25">
      <c r="A37" s="9"/>
      <c r="B37" s="9"/>
      <c r="C37" s="15"/>
      <c r="D37" s="15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 ht="19.5" customHeight="1" x14ac:dyDescent="0.25">
      <c r="A38" s="9"/>
      <c r="B38" s="9"/>
      <c r="C38" s="15"/>
      <c r="D38" s="15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 ht="19.5" customHeight="1" x14ac:dyDescent="0.25">
      <c r="A39" s="9"/>
      <c r="B39" s="9"/>
      <c r="C39" s="15"/>
      <c r="D39" s="15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7" ht="19.5" customHeight="1" x14ac:dyDescent="0.25">
      <c r="A40" s="9"/>
      <c r="B40" s="9"/>
      <c r="C40" s="15"/>
      <c r="D40" s="15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1:17" ht="19.5" customHeight="1" x14ac:dyDescent="0.25">
      <c r="A41" s="9"/>
      <c r="B41" s="9"/>
      <c r="C41" s="15"/>
      <c r="D41" s="15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7" ht="19.5" customHeight="1" x14ac:dyDescent="0.25">
      <c r="A42" s="9"/>
      <c r="B42" s="9"/>
      <c r="C42" s="15"/>
      <c r="D42" s="15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1:17" ht="19.5" customHeight="1" x14ac:dyDescent="0.25">
      <c r="A43" s="9"/>
      <c r="B43" s="9"/>
      <c r="C43" s="15"/>
      <c r="D43" s="15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1:17" ht="19.5" customHeight="1" x14ac:dyDescent="0.25">
      <c r="A44" s="9"/>
      <c r="B44" s="9"/>
      <c r="C44" s="15"/>
      <c r="D44" s="15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1:17" ht="19.5" customHeight="1" x14ac:dyDescent="0.25">
      <c r="A45" s="9"/>
      <c r="B45" s="9"/>
      <c r="C45" s="15"/>
      <c r="D45" s="15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7" ht="19.5" customHeight="1" x14ac:dyDescent="0.25">
      <c r="A46" s="9"/>
      <c r="B46" s="9"/>
      <c r="C46" s="15"/>
      <c r="D46" s="15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1:17" ht="19.5" customHeight="1" x14ac:dyDescent="0.25">
      <c r="A47" s="9"/>
      <c r="B47" s="9"/>
      <c r="C47" s="15"/>
      <c r="D47" s="15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7" ht="19.5" customHeight="1" x14ac:dyDescent="0.25">
      <c r="A48" s="9"/>
      <c r="B48" s="9"/>
      <c r="C48" s="15"/>
      <c r="D48" s="15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1:17" ht="19.5" customHeight="1" x14ac:dyDescent="0.25">
      <c r="A49" s="9"/>
      <c r="B49" s="9"/>
      <c r="C49" s="15"/>
      <c r="D49" s="15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1:17" ht="19.5" customHeight="1" x14ac:dyDescent="0.25">
      <c r="A50" s="9"/>
      <c r="B50" s="9"/>
      <c r="C50" s="15"/>
      <c r="D50" s="15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7" ht="19.5" customHeight="1" x14ac:dyDescent="0.25">
      <c r="A51" s="9"/>
      <c r="B51" s="9"/>
      <c r="C51" s="15"/>
      <c r="D51" s="15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1:17" ht="19.5" customHeight="1" x14ac:dyDescent="0.25">
      <c r="A52" s="9"/>
      <c r="B52" s="9"/>
      <c r="C52" s="15"/>
      <c r="D52" s="15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1:17" ht="19.5" customHeight="1" x14ac:dyDescent="0.25">
      <c r="A53" s="9"/>
      <c r="B53" s="9"/>
      <c r="C53" s="15"/>
      <c r="D53" s="15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7" ht="19.5" customHeight="1" x14ac:dyDescent="0.25">
      <c r="A54" s="9"/>
      <c r="B54" s="9"/>
      <c r="C54" s="15"/>
      <c r="D54" s="15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1:17" ht="19.5" customHeight="1" x14ac:dyDescent="0.25">
      <c r="A55" s="9"/>
      <c r="B55" s="9"/>
      <c r="C55" s="15"/>
      <c r="D55" s="15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1:17" ht="19.5" customHeight="1" x14ac:dyDescent="0.25">
      <c r="A56" s="9"/>
      <c r="B56" s="9"/>
      <c r="C56" s="15"/>
      <c r="D56" s="15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1:17" ht="19.5" customHeight="1" x14ac:dyDescent="0.25">
      <c r="A57" s="9"/>
      <c r="B57" s="9"/>
      <c r="C57" s="15"/>
      <c r="D57" s="15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1:17" ht="19.5" customHeight="1" x14ac:dyDescent="0.25">
      <c r="A58" s="9"/>
      <c r="B58" s="9"/>
      <c r="C58" s="15"/>
      <c r="D58" s="15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1:17" ht="19.5" customHeight="1" x14ac:dyDescent="0.25">
      <c r="A59" s="9"/>
      <c r="B59" s="9"/>
      <c r="C59" s="15"/>
      <c r="D59" s="15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1:17" ht="19.5" customHeight="1" x14ac:dyDescent="0.25">
      <c r="A60" s="9"/>
      <c r="B60" s="9"/>
      <c r="C60" s="15"/>
      <c r="D60" s="15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1:17" ht="19.5" customHeight="1" x14ac:dyDescent="0.25">
      <c r="A61" s="9"/>
      <c r="B61" s="9"/>
      <c r="C61" s="15"/>
      <c r="D61" s="15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1:17" ht="19.5" customHeight="1" x14ac:dyDescent="0.25">
      <c r="A62" s="9"/>
      <c r="B62" s="9"/>
      <c r="C62" s="15"/>
      <c r="D62" s="15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7" ht="19.5" customHeight="1" x14ac:dyDescent="0.25">
      <c r="A63" s="9"/>
      <c r="B63" s="9"/>
      <c r="C63" s="15"/>
      <c r="D63" s="15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1:17" ht="19.5" customHeight="1" x14ac:dyDescent="0.25">
      <c r="A64" s="9"/>
      <c r="B64" s="9"/>
      <c r="C64" s="15"/>
      <c r="D64" s="15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1:17" ht="19.5" customHeight="1" x14ac:dyDescent="0.25">
      <c r="A65" s="9"/>
      <c r="B65" s="9"/>
      <c r="C65" s="15"/>
      <c r="D65" s="15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1:17" ht="19.5" customHeight="1" x14ac:dyDescent="0.25">
      <c r="A66" s="9"/>
      <c r="B66" s="9"/>
      <c r="C66" s="15"/>
      <c r="D66" s="15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 ht="19.5" customHeight="1" x14ac:dyDescent="0.25">
      <c r="A67" s="9"/>
      <c r="B67" s="9"/>
      <c r="C67" s="15"/>
      <c r="D67" s="15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17" ht="19.5" customHeight="1" x14ac:dyDescent="0.25">
      <c r="A68" s="9"/>
      <c r="B68" s="9"/>
      <c r="C68" s="15"/>
      <c r="D68" s="15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17" ht="19.5" customHeight="1" x14ac:dyDescent="0.25">
      <c r="A69" s="9"/>
      <c r="B69" s="9"/>
      <c r="C69" s="15"/>
      <c r="D69" s="15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1:17" ht="19.5" customHeight="1" x14ac:dyDescent="0.25">
      <c r="A70" s="9"/>
      <c r="B70" s="9"/>
      <c r="C70" s="15"/>
      <c r="D70" s="15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1:17" ht="19.5" customHeight="1" x14ac:dyDescent="0.25">
      <c r="A71" s="9"/>
      <c r="B71" s="9"/>
      <c r="C71" s="15"/>
      <c r="D71" s="15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7" ht="19.5" customHeight="1" x14ac:dyDescent="0.25">
      <c r="A72" s="9"/>
      <c r="B72" s="9"/>
      <c r="C72" s="15"/>
      <c r="D72" s="15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7" ht="19.5" customHeight="1" x14ac:dyDescent="0.25">
      <c r="A73" s="9"/>
      <c r="B73" s="9"/>
      <c r="C73" s="15"/>
      <c r="D73" s="15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1:17" ht="19.5" customHeight="1" x14ac:dyDescent="0.25">
      <c r="A74" s="9"/>
      <c r="B74" s="9"/>
      <c r="C74" s="15"/>
      <c r="D74" s="15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1:17" ht="19.5" customHeight="1" x14ac:dyDescent="0.25">
      <c r="A75" s="9"/>
      <c r="B75" s="9"/>
      <c r="C75" s="15"/>
      <c r="D75" s="15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17" ht="19.5" customHeight="1" x14ac:dyDescent="0.25">
      <c r="A76" s="9"/>
      <c r="B76" s="9"/>
      <c r="C76" s="15"/>
      <c r="D76" s="15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1:17" ht="19.5" customHeight="1" x14ac:dyDescent="0.25">
      <c r="A77" s="9"/>
      <c r="B77" s="9"/>
      <c r="C77" s="15"/>
      <c r="D77" s="15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1:17" ht="19.5" customHeight="1" x14ac:dyDescent="0.25">
      <c r="A78" s="9"/>
      <c r="B78" s="9"/>
      <c r="C78" s="15"/>
      <c r="D78" s="15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1:17" ht="19.5" customHeight="1" x14ac:dyDescent="0.25">
      <c r="A79" s="9"/>
      <c r="B79" s="9"/>
      <c r="C79" s="15"/>
      <c r="D79" s="15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1:17" ht="19.5" customHeight="1" x14ac:dyDescent="0.25">
      <c r="A80" s="9"/>
      <c r="B80" s="9"/>
      <c r="C80" s="15"/>
      <c r="D80" s="15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1:17" ht="19.5" customHeight="1" x14ac:dyDescent="0.25">
      <c r="A81" s="9"/>
      <c r="B81" s="9"/>
      <c r="C81" s="15"/>
      <c r="D81" s="15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17" ht="19.5" customHeight="1" x14ac:dyDescent="0.25">
      <c r="A82" s="9"/>
      <c r="B82" s="9"/>
      <c r="C82" s="15"/>
      <c r="D82" s="15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1:17" ht="19.5" customHeight="1" x14ac:dyDescent="0.25">
      <c r="A83" s="9"/>
      <c r="B83" s="9"/>
      <c r="C83" s="15"/>
      <c r="D83" s="15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1:17" ht="19.5" customHeight="1" x14ac:dyDescent="0.25">
      <c r="A84" s="9"/>
      <c r="B84" s="9"/>
      <c r="C84" s="15"/>
      <c r="D84" s="15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1:17" ht="19.5" customHeight="1" x14ac:dyDescent="0.25">
      <c r="A85" s="9"/>
      <c r="B85" s="9"/>
      <c r="C85" s="15"/>
      <c r="D85" s="15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17" ht="19.5" customHeight="1" x14ac:dyDescent="0.25">
      <c r="A86" s="9"/>
      <c r="B86" s="9"/>
      <c r="C86" s="15"/>
      <c r="D86" s="15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17" ht="19.5" customHeight="1" x14ac:dyDescent="0.25">
      <c r="A87" s="9"/>
      <c r="B87" s="9"/>
      <c r="C87" s="15"/>
      <c r="D87" s="15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17" ht="19.5" customHeight="1" x14ac:dyDescent="0.25">
      <c r="A88" s="9"/>
      <c r="B88" s="9"/>
      <c r="C88" s="15"/>
      <c r="D88" s="15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17" ht="19.5" customHeight="1" x14ac:dyDescent="0.25">
      <c r="A89" s="9"/>
      <c r="B89" s="9"/>
      <c r="C89" s="15"/>
      <c r="D89" s="15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17" ht="19.5" customHeight="1" x14ac:dyDescent="0.25">
      <c r="A90" s="9"/>
      <c r="B90" s="9"/>
      <c r="C90" s="15"/>
      <c r="D90" s="15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1:17" ht="19.5" customHeight="1" x14ac:dyDescent="0.25">
      <c r="A91" s="9"/>
      <c r="B91" s="9"/>
      <c r="C91" s="15"/>
      <c r="D91" s="15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7" ht="19.5" customHeight="1" x14ac:dyDescent="0.25">
      <c r="A92" s="9"/>
      <c r="B92" s="9"/>
      <c r="C92" s="15"/>
      <c r="D92" s="15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17" ht="19.5" customHeight="1" x14ac:dyDescent="0.25">
      <c r="A93" s="9"/>
      <c r="B93" s="9"/>
      <c r="C93" s="15"/>
      <c r="D93" s="15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spans="1:17" ht="19.5" customHeight="1" x14ac:dyDescent="0.25">
      <c r="A94" s="9"/>
      <c r="B94" s="9"/>
      <c r="C94" s="15"/>
      <c r="D94" s="15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1:17" ht="19.5" customHeight="1" x14ac:dyDescent="0.25">
      <c r="A95" s="9"/>
      <c r="B95" s="9"/>
      <c r="C95" s="15"/>
      <c r="D95" s="15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1:17" ht="19.5" customHeight="1" x14ac:dyDescent="0.25">
      <c r="A96" s="9"/>
      <c r="B96" s="9"/>
      <c r="C96" s="15"/>
      <c r="D96" s="15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spans="1:17" ht="19.5" customHeight="1" x14ac:dyDescent="0.25">
      <c r="A97" s="9"/>
      <c r="B97" s="9"/>
      <c r="C97" s="15"/>
      <c r="D97" s="15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1:17" ht="19.5" customHeight="1" x14ac:dyDescent="0.25">
      <c r="A98" s="9"/>
      <c r="B98" s="9"/>
      <c r="C98" s="15"/>
      <c r="D98" s="15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spans="1:17" ht="19.5" customHeight="1" x14ac:dyDescent="0.25">
      <c r="A99" s="9"/>
      <c r="B99" s="9"/>
      <c r="C99" s="15"/>
      <c r="D99" s="15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spans="1:17" ht="19.5" customHeight="1" x14ac:dyDescent="0.25">
      <c r="A100" s="9"/>
      <c r="B100" s="9"/>
      <c r="C100" s="15"/>
      <c r="D100" s="15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 spans="1:17" ht="19.5" customHeight="1" x14ac:dyDescent="0.25">
      <c r="A101" s="9"/>
      <c r="B101" s="9"/>
      <c r="C101" s="15"/>
      <c r="D101" s="15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 spans="1:17" ht="19.5" customHeight="1" x14ac:dyDescent="0.25">
      <c r="A102" s="9"/>
      <c r="B102" s="9"/>
      <c r="C102" s="15"/>
      <c r="D102" s="15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</row>
    <row r="103" spans="1:17" ht="19.5" customHeight="1" x14ac:dyDescent="0.25">
      <c r="A103" s="9"/>
      <c r="B103" s="9"/>
      <c r="C103" s="15"/>
      <c r="D103" s="15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  <row r="104" spans="1:17" ht="19.5" customHeight="1" x14ac:dyDescent="0.25">
      <c r="A104" s="9"/>
      <c r="B104" s="9"/>
      <c r="C104" s="15"/>
      <c r="D104" s="15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</row>
    <row r="105" spans="1:17" ht="19.5" customHeight="1" x14ac:dyDescent="0.25">
      <c r="A105" s="9"/>
      <c r="B105" s="9"/>
      <c r="C105" s="15"/>
      <c r="D105" s="15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pans="1:17" ht="19.5" customHeight="1" x14ac:dyDescent="0.25">
      <c r="A106" s="9"/>
      <c r="B106" s="9"/>
      <c r="C106" s="15"/>
      <c r="D106" s="15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</row>
    <row r="107" spans="1:17" ht="19.5" customHeight="1" x14ac:dyDescent="0.25">
      <c r="A107" s="9"/>
      <c r="B107" s="9"/>
      <c r="C107" s="15"/>
      <c r="D107" s="15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spans="1:17" ht="19.5" customHeight="1" x14ac:dyDescent="0.25">
      <c r="A108" s="9"/>
      <c r="B108" s="9"/>
      <c r="C108" s="15"/>
      <c r="D108" s="15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</row>
    <row r="109" spans="1:17" ht="19.5" customHeight="1" x14ac:dyDescent="0.25">
      <c r="A109" s="9"/>
      <c r="B109" s="9"/>
      <c r="C109" s="15"/>
      <c r="D109" s="15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spans="1:17" ht="19.5" customHeight="1" x14ac:dyDescent="0.25">
      <c r="A110" s="9"/>
      <c r="B110" s="9"/>
      <c r="C110" s="15"/>
      <c r="D110" s="15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</row>
    <row r="111" spans="1:17" ht="19.5" customHeight="1" x14ac:dyDescent="0.25">
      <c r="A111" s="9"/>
      <c r="B111" s="9"/>
      <c r="C111" s="15"/>
      <c r="D111" s="15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</row>
    <row r="112" spans="1:17" ht="19.5" customHeight="1" x14ac:dyDescent="0.25">
      <c r="A112" s="9"/>
      <c r="B112" s="9"/>
      <c r="C112" s="15"/>
      <c r="D112" s="15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</row>
    <row r="113" spans="1:17" ht="19.5" customHeight="1" x14ac:dyDescent="0.25">
      <c r="A113" s="9"/>
      <c r="B113" s="9"/>
      <c r="C113" s="15"/>
      <c r="D113" s="15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</row>
    <row r="114" spans="1:17" ht="19.5" customHeight="1" x14ac:dyDescent="0.25">
      <c r="A114" s="9"/>
      <c r="B114" s="9"/>
      <c r="C114" s="15"/>
      <c r="D114" s="15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spans="1:17" ht="19.5" customHeight="1" x14ac:dyDescent="0.25">
      <c r="A115" s="9"/>
      <c r="B115" s="9"/>
      <c r="C115" s="15"/>
      <c r="D115" s="15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</row>
    <row r="116" spans="1:17" ht="19.5" customHeight="1" x14ac:dyDescent="0.25">
      <c r="A116" s="9"/>
      <c r="B116" s="9"/>
      <c r="C116" s="15"/>
      <c r="D116" s="15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</row>
    <row r="117" spans="1:17" ht="19.5" customHeight="1" x14ac:dyDescent="0.25">
      <c r="A117" s="9"/>
      <c r="B117" s="9"/>
      <c r="C117" s="15"/>
      <c r="D117" s="15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 spans="1:17" ht="19.5" customHeight="1" x14ac:dyDescent="0.25">
      <c r="A118" s="9"/>
      <c r="B118" s="9"/>
      <c r="C118" s="15"/>
      <c r="D118" s="15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</row>
    <row r="119" spans="1:17" ht="19.5" customHeight="1" x14ac:dyDescent="0.25">
      <c r="A119" s="9"/>
      <c r="B119" s="9"/>
      <c r="C119" s="15"/>
      <c r="D119" s="15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</row>
    <row r="120" spans="1:17" ht="19.5" customHeight="1" x14ac:dyDescent="0.25">
      <c r="A120" s="9"/>
      <c r="B120" s="9"/>
      <c r="C120" s="15"/>
      <c r="D120" s="15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</row>
    <row r="121" spans="1:17" ht="19.5" customHeight="1" x14ac:dyDescent="0.25">
      <c r="A121" s="9"/>
      <c r="B121" s="9"/>
      <c r="C121" s="15"/>
      <c r="D121" s="15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</row>
    <row r="122" spans="1:17" ht="19.5" customHeight="1" x14ac:dyDescent="0.25">
      <c r="A122" s="9"/>
      <c r="B122" s="9"/>
      <c r="C122" s="15"/>
      <c r="D122" s="15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spans="1:17" ht="19.5" customHeight="1" x14ac:dyDescent="0.25">
      <c r="A123" s="9"/>
      <c r="B123" s="9"/>
      <c r="C123" s="15"/>
      <c r="D123" s="15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</row>
    <row r="124" spans="1:17" ht="19.5" customHeight="1" x14ac:dyDescent="0.25">
      <c r="A124" s="9"/>
      <c r="B124" s="9"/>
      <c r="C124" s="15"/>
      <c r="D124" s="15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</row>
    <row r="125" spans="1:17" ht="19.5" customHeight="1" x14ac:dyDescent="0.25">
      <c r="A125" s="9"/>
      <c r="B125" s="9"/>
      <c r="C125" s="15"/>
      <c r="D125" s="15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</row>
    <row r="126" spans="1:17" ht="19.5" customHeight="1" x14ac:dyDescent="0.25">
      <c r="A126" s="9"/>
      <c r="B126" s="9"/>
      <c r="C126" s="15"/>
      <c r="D126" s="15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 spans="1:17" ht="19.5" customHeight="1" x14ac:dyDescent="0.25">
      <c r="A127" s="9"/>
      <c r="B127" s="9"/>
      <c r="C127" s="15"/>
      <c r="D127" s="15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</row>
    <row r="128" spans="1:17" ht="19.5" customHeight="1" x14ac:dyDescent="0.25">
      <c r="A128" s="9"/>
      <c r="B128" s="9"/>
      <c r="C128" s="15"/>
      <c r="D128" s="15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</row>
    <row r="129" spans="1:17" ht="19.5" customHeight="1" x14ac:dyDescent="0.25">
      <c r="A129" s="9"/>
      <c r="B129" s="9"/>
      <c r="C129" s="15"/>
      <c r="D129" s="15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 spans="1:17" ht="19.5" customHeight="1" x14ac:dyDescent="0.25">
      <c r="A130" s="9"/>
      <c r="B130" s="9"/>
      <c r="C130" s="15"/>
      <c r="D130" s="15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</row>
    <row r="131" spans="1:17" ht="19.5" customHeight="1" x14ac:dyDescent="0.25">
      <c r="A131" s="9"/>
      <c r="B131" s="9"/>
      <c r="C131" s="15"/>
      <c r="D131" s="15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spans="1:17" ht="19.5" customHeight="1" x14ac:dyDescent="0.25">
      <c r="A132" s="9"/>
      <c r="B132" s="9"/>
      <c r="C132" s="15"/>
      <c r="D132" s="15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</row>
    <row r="133" spans="1:17" ht="19.5" customHeight="1" x14ac:dyDescent="0.25">
      <c r="A133" s="9"/>
      <c r="B133" s="9"/>
      <c r="C133" s="15"/>
      <c r="D133" s="15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</row>
    <row r="134" spans="1:17" ht="19.5" customHeight="1" x14ac:dyDescent="0.25">
      <c r="A134" s="9"/>
      <c r="B134" s="9"/>
      <c r="C134" s="15"/>
      <c r="D134" s="15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</row>
    <row r="135" spans="1:17" ht="19.5" customHeight="1" x14ac:dyDescent="0.25">
      <c r="A135" s="9"/>
      <c r="B135" s="9"/>
      <c r="C135" s="15"/>
      <c r="D135" s="15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</row>
    <row r="136" spans="1:17" ht="19.5" customHeight="1" x14ac:dyDescent="0.25">
      <c r="A136" s="9"/>
      <c r="B136" s="9"/>
      <c r="C136" s="15"/>
      <c r="D136" s="15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</row>
    <row r="137" spans="1:17" ht="19.5" customHeight="1" x14ac:dyDescent="0.25">
      <c r="A137" s="9"/>
      <c r="B137" s="9"/>
      <c r="C137" s="15"/>
      <c r="D137" s="15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</row>
    <row r="138" spans="1:17" ht="19.5" customHeight="1" x14ac:dyDescent="0.25">
      <c r="A138" s="9"/>
      <c r="B138" s="9"/>
      <c r="C138" s="15"/>
      <c r="D138" s="15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</row>
    <row r="139" spans="1:17" ht="19.5" customHeight="1" x14ac:dyDescent="0.25">
      <c r="A139" s="9"/>
      <c r="B139" s="9"/>
      <c r="C139" s="15"/>
      <c r="D139" s="15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</row>
    <row r="140" spans="1:17" ht="19.5" customHeight="1" x14ac:dyDescent="0.25">
      <c r="A140" s="9"/>
      <c r="B140" s="9"/>
      <c r="C140" s="15"/>
      <c r="D140" s="15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</row>
    <row r="141" spans="1:17" ht="19.5" customHeight="1" x14ac:dyDescent="0.25">
      <c r="A141" s="9"/>
      <c r="B141" s="9"/>
      <c r="C141" s="15"/>
      <c r="D141" s="15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</row>
    <row r="142" spans="1:17" ht="19.5" customHeight="1" x14ac:dyDescent="0.25">
      <c r="A142" s="9"/>
      <c r="B142" s="9"/>
      <c r="C142" s="15"/>
      <c r="D142" s="15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</row>
    <row r="143" spans="1:17" ht="19.5" customHeight="1" x14ac:dyDescent="0.25">
      <c r="A143" s="9"/>
      <c r="B143" s="9"/>
      <c r="C143" s="15"/>
      <c r="D143" s="15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</row>
    <row r="144" spans="1:17" ht="19.5" customHeight="1" x14ac:dyDescent="0.25">
      <c r="A144" s="9"/>
      <c r="B144" s="9"/>
      <c r="C144" s="15"/>
      <c r="D144" s="15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</row>
    <row r="145" spans="1:17" ht="19.5" customHeight="1" x14ac:dyDescent="0.25">
      <c r="A145" s="9"/>
      <c r="B145" s="9"/>
      <c r="C145" s="15"/>
      <c r="D145" s="15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</row>
    <row r="146" spans="1:17" ht="19.5" customHeight="1" x14ac:dyDescent="0.25">
      <c r="A146" s="9"/>
      <c r="B146" s="9"/>
      <c r="C146" s="15"/>
      <c r="D146" s="15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</row>
    <row r="147" spans="1:17" ht="19.5" customHeight="1" x14ac:dyDescent="0.25">
      <c r="A147" s="9"/>
      <c r="B147" s="9"/>
      <c r="C147" s="15"/>
      <c r="D147" s="15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</row>
    <row r="148" spans="1:17" ht="19.5" customHeight="1" x14ac:dyDescent="0.25">
      <c r="A148" s="9"/>
      <c r="B148" s="9"/>
      <c r="C148" s="15"/>
      <c r="D148" s="15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</row>
    <row r="149" spans="1:17" ht="19.5" customHeight="1" x14ac:dyDescent="0.25">
      <c r="A149" s="9"/>
      <c r="B149" s="9"/>
      <c r="C149" s="15"/>
      <c r="D149" s="15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</row>
    <row r="150" spans="1:17" ht="19.5" customHeight="1" x14ac:dyDescent="0.25">
      <c r="A150" s="9"/>
      <c r="B150" s="9"/>
      <c r="C150" s="15"/>
      <c r="D150" s="15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</row>
    <row r="151" spans="1:17" ht="19.5" customHeight="1" x14ac:dyDescent="0.25">
      <c r="A151" s="9"/>
      <c r="B151" s="9"/>
      <c r="C151" s="15"/>
      <c r="D151" s="15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</row>
    <row r="152" spans="1:17" ht="19.5" customHeight="1" x14ac:dyDescent="0.25">
      <c r="A152" s="9"/>
      <c r="B152" s="9"/>
      <c r="C152" s="15"/>
      <c r="D152" s="15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</row>
    <row r="153" spans="1:17" ht="19.5" customHeight="1" x14ac:dyDescent="0.25">
      <c r="A153" s="9"/>
      <c r="B153" s="9"/>
      <c r="C153" s="15"/>
      <c r="D153" s="15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</row>
    <row r="154" spans="1:17" ht="19.5" customHeight="1" x14ac:dyDescent="0.25">
      <c r="A154" s="9"/>
      <c r="B154" s="9"/>
      <c r="C154" s="15"/>
      <c r="D154" s="15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</row>
    <row r="155" spans="1:17" ht="19.5" customHeight="1" x14ac:dyDescent="0.25">
      <c r="A155" s="9"/>
      <c r="B155" s="9"/>
      <c r="C155" s="15"/>
      <c r="D155" s="15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</row>
    <row r="156" spans="1:17" ht="19.5" customHeight="1" x14ac:dyDescent="0.25">
      <c r="A156" s="9"/>
      <c r="B156" s="9"/>
      <c r="C156" s="15"/>
      <c r="D156" s="15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</row>
    <row r="157" spans="1:17" ht="19.5" customHeight="1" x14ac:dyDescent="0.25">
      <c r="A157" s="9"/>
      <c r="B157" s="9"/>
      <c r="C157" s="15"/>
      <c r="D157" s="15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</row>
    <row r="158" spans="1:17" ht="19.5" customHeight="1" x14ac:dyDescent="0.25">
      <c r="A158" s="9"/>
      <c r="B158" s="9"/>
      <c r="C158" s="15"/>
      <c r="D158" s="15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</row>
    <row r="159" spans="1:17" ht="19.5" customHeight="1" x14ac:dyDescent="0.25">
      <c r="A159" s="9"/>
      <c r="B159" s="9"/>
      <c r="C159" s="15"/>
      <c r="D159" s="15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</row>
    <row r="160" spans="1:17" ht="19.5" customHeight="1" x14ac:dyDescent="0.25">
      <c r="A160" s="9"/>
      <c r="B160" s="9"/>
      <c r="C160" s="15"/>
      <c r="D160" s="15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</row>
    <row r="161" spans="1:17" ht="19.5" customHeight="1" x14ac:dyDescent="0.25">
      <c r="A161" s="9"/>
      <c r="B161" s="9"/>
      <c r="C161" s="15"/>
      <c r="D161" s="15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</row>
    <row r="162" spans="1:17" ht="19.5" customHeight="1" x14ac:dyDescent="0.25">
      <c r="A162" s="9"/>
      <c r="B162" s="9"/>
      <c r="C162" s="15"/>
      <c r="D162" s="15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</row>
    <row r="163" spans="1:17" ht="19.5" customHeight="1" x14ac:dyDescent="0.25">
      <c r="A163" s="9"/>
      <c r="B163" s="9"/>
      <c r="C163" s="15"/>
      <c r="D163" s="15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</row>
    <row r="164" spans="1:17" ht="19.5" customHeight="1" x14ac:dyDescent="0.25">
      <c r="A164" s="9"/>
      <c r="B164" s="9"/>
      <c r="C164" s="15"/>
      <c r="D164" s="15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</row>
    <row r="165" spans="1:17" ht="19.5" customHeight="1" x14ac:dyDescent="0.25">
      <c r="A165" s="9"/>
      <c r="B165" s="9"/>
      <c r="C165" s="15"/>
      <c r="D165" s="15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</row>
    <row r="166" spans="1:17" ht="19.5" customHeight="1" x14ac:dyDescent="0.25">
      <c r="A166" s="9"/>
      <c r="B166" s="9"/>
      <c r="C166" s="15"/>
      <c r="D166" s="15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</row>
    <row r="167" spans="1:17" ht="19.5" customHeight="1" x14ac:dyDescent="0.25">
      <c r="A167" s="9"/>
      <c r="B167" s="9"/>
      <c r="C167" s="15"/>
      <c r="D167" s="15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</row>
    <row r="168" spans="1:17" ht="19.5" customHeight="1" x14ac:dyDescent="0.25">
      <c r="A168" s="9"/>
      <c r="B168" s="9"/>
      <c r="C168" s="15"/>
      <c r="D168" s="15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</row>
    <row r="169" spans="1:17" ht="19.5" customHeight="1" x14ac:dyDescent="0.25">
      <c r="A169" s="9"/>
      <c r="B169" s="9"/>
      <c r="C169" s="15"/>
      <c r="D169" s="15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</row>
    <row r="170" spans="1:17" ht="19.5" customHeight="1" x14ac:dyDescent="0.25">
      <c r="A170" s="9"/>
      <c r="B170" s="9"/>
      <c r="C170" s="15"/>
      <c r="D170" s="15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</row>
    <row r="171" spans="1:17" ht="19.5" customHeight="1" x14ac:dyDescent="0.25">
      <c r="A171" s="9"/>
      <c r="B171" s="9"/>
      <c r="C171" s="15"/>
      <c r="D171" s="15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</row>
    <row r="172" spans="1:17" ht="19.5" customHeight="1" x14ac:dyDescent="0.25">
      <c r="A172" s="9"/>
      <c r="B172" s="9"/>
      <c r="C172" s="15"/>
      <c r="D172" s="15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</row>
    <row r="173" spans="1:17" ht="19.5" customHeight="1" x14ac:dyDescent="0.25">
      <c r="A173" s="9"/>
      <c r="B173" s="9"/>
      <c r="C173" s="15"/>
      <c r="D173" s="15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</row>
    <row r="174" spans="1:17" ht="19.5" customHeight="1" x14ac:dyDescent="0.25">
      <c r="A174" s="9"/>
      <c r="B174" s="9"/>
      <c r="C174" s="15"/>
      <c r="D174" s="15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</row>
    <row r="175" spans="1:17" ht="19.5" customHeight="1" x14ac:dyDescent="0.25">
      <c r="A175" s="9"/>
      <c r="B175" s="9"/>
      <c r="C175" s="15"/>
      <c r="D175" s="15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</row>
    <row r="176" spans="1:17" ht="19.5" customHeight="1" x14ac:dyDescent="0.25">
      <c r="A176" s="9"/>
      <c r="B176" s="9"/>
      <c r="C176" s="15"/>
      <c r="D176" s="15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</row>
    <row r="177" spans="1:17" ht="19.5" customHeight="1" x14ac:dyDescent="0.25">
      <c r="A177" s="9"/>
      <c r="B177" s="9"/>
      <c r="C177" s="15"/>
      <c r="D177" s="15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</row>
    <row r="178" spans="1:17" ht="19.5" customHeight="1" x14ac:dyDescent="0.25">
      <c r="A178" s="9"/>
      <c r="B178" s="9"/>
      <c r="C178" s="15"/>
      <c r="D178" s="15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</row>
    <row r="179" spans="1:17" ht="19.5" customHeight="1" x14ac:dyDescent="0.25">
      <c r="A179" s="9"/>
      <c r="B179" s="9"/>
      <c r="C179" s="15"/>
      <c r="D179" s="15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</row>
    <row r="180" spans="1:17" ht="19.5" customHeight="1" x14ac:dyDescent="0.25">
      <c r="A180" s="9"/>
      <c r="B180" s="9"/>
      <c r="C180" s="15"/>
      <c r="D180" s="15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</row>
    <row r="181" spans="1:17" ht="19.5" customHeight="1" x14ac:dyDescent="0.25">
      <c r="A181" s="9"/>
      <c r="B181" s="9"/>
      <c r="C181" s="15"/>
      <c r="D181" s="15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</row>
    <row r="182" spans="1:17" ht="19.5" customHeight="1" x14ac:dyDescent="0.25">
      <c r="A182" s="9"/>
      <c r="B182" s="9"/>
      <c r="C182" s="15"/>
      <c r="D182" s="15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</row>
    <row r="183" spans="1:17" ht="19.5" customHeight="1" x14ac:dyDescent="0.25">
      <c r="A183" s="9"/>
      <c r="B183" s="9"/>
      <c r="C183" s="15"/>
      <c r="D183" s="15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</row>
    <row r="184" spans="1:17" ht="19.5" customHeight="1" x14ac:dyDescent="0.25">
      <c r="A184" s="9"/>
      <c r="B184" s="9"/>
      <c r="C184" s="15"/>
      <c r="D184" s="15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</row>
    <row r="185" spans="1:17" ht="19.5" customHeight="1" x14ac:dyDescent="0.25">
      <c r="A185" s="9"/>
      <c r="B185" s="9"/>
      <c r="C185" s="15"/>
      <c r="D185" s="15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</row>
    <row r="186" spans="1:17" ht="19.5" customHeight="1" x14ac:dyDescent="0.25">
      <c r="A186" s="9"/>
      <c r="B186" s="9"/>
      <c r="C186" s="15"/>
      <c r="D186" s="15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</row>
    <row r="187" spans="1:17" ht="19.5" customHeight="1" x14ac:dyDescent="0.25">
      <c r="A187" s="9"/>
      <c r="B187" s="9"/>
      <c r="C187" s="15"/>
      <c r="D187" s="15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</row>
    <row r="188" spans="1:17" ht="19.5" customHeight="1" x14ac:dyDescent="0.25">
      <c r="A188" s="9"/>
      <c r="B188" s="9"/>
      <c r="C188" s="15"/>
      <c r="D188" s="15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</row>
    <row r="189" spans="1:17" ht="19.5" customHeight="1" x14ac:dyDescent="0.25">
      <c r="A189" s="9"/>
      <c r="B189" s="9"/>
      <c r="C189" s="15"/>
      <c r="D189" s="15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</row>
    <row r="190" spans="1:17" ht="19.5" customHeight="1" x14ac:dyDescent="0.25">
      <c r="A190" s="9"/>
      <c r="B190" s="9"/>
      <c r="C190" s="15"/>
      <c r="D190" s="15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</row>
    <row r="191" spans="1:17" ht="19.5" customHeight="1" x14ac:dyDescent="0.25">
      <c r="A191" s="9"/>
      <c r="B191" s="9"/>
      <c r="C191" s="15"/>
      <c r="D191" s="15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</row>
    <row r="192" spans="1:17" ht="19.5" customHeight="1" x14ac:dyDescent="0.25">
      <c r="A192" s="9"/>
      <c r="B192" s="9"/>
      <c r="C192" s="15"/>
      <c r="D192" s="15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</row>
    <row r="193" spans="1:17" ht="19.5" customHeight="1" x14ac:dyDescent="0.25">
      <c r="A193" s="9"/>
      <c r="B193" s="9"/>
      <c r="C193" s="15"/>
      <c r="D193" s="15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</row>
    <row r="194" spans="1:17" ht="19.5" customHeight="1" x14ac:dyDescent="0.25">
      <c r="A194" s="9"/>
      <c r="B194" s="9"/>
      <c r="C194" s="15"/>
      <c r="D194" s="15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</row>
    <row r="195" spans="1:17" ht="19.5" customHeight="1" x14ac:dyDescent="0.25">
      <c r="A195" s="9"/>
      <c r="B195" s="9"/>
      <c r="C195" s="15"/>
      <c r="D195" s="15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</row>
    <row r="196" spans="1:17" ht="19.5" customHeight="1" x14ac:dyDescent="0.25">
      <c r="A196" s="9"/>
      <c r="B196" s="9"/>
      <c r="C196" s="15"/>
      <c r="D196" s="15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</row>
    <row r="197" spans="1:17" ht="19.5" customHeight="1" x14ac:dyDescent="0.25">
      <c r="A197" s="9"/>
      <c r="B197" s="9"/>
      <c r="C197" s="15"/>
      <c r="D197" s="15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</row>
    <row r="198" spans="1:17" ht="19.5" customHeight="1" x14ac:dyDescent="0.25">
      <c r="A198" s="9"/>
      <c r="B198" s="9"/>
      <c r="C198" s="15"/>
      <c r="D198" s="15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</row>
    <row r="199" spans="1:17" ht="19.5" customHeight="1" x14ac:dyDescent="0.25">
      <c r="A199" s="9"/>
      <c r="B199" s="9"/>
      <c r="C199" s="15"/>
      <c r="D199" s="15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</row>
    <row r="200" spans="1:17" ht="19.5" customHeight="1" x14ac:dyDescent="0.25">
      <c r="A200" s="9"/>
      <c r="B200" s="9"/>
      <c r="C200" s="15"/>
      <c r="D200" s="15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</row>
    <row r="201" spans="1:17" ht="19.5" customHeight="1" x14ac:dyDescent="0.25">
      <c r="A201" s="9"/>
      <c r="B201" s="9"/>
      <c r="C201" s="15"/>
      <c r="D201" s="15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</row>
    <row r="202" spans="1:17" ht="19.5" customHeight="1" x14ac:dyDescent="0.25">
      <c r="A202" s="9"/>
      <c r="B202" s="9"/>
      <c r="C202" s="15"/>
      <c r="D202" s="15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</row>
    <row r="203" spans="1:17" ht="19.5" customHeight="1" x14ac:dyDescent="0.25">
      <c r="A203" s="9"/>
      <c r="B203" s="9"/>
      <c r="C203" s="15"/>
      <c r="D203" s="15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</row>
    <row r="204" spans="1:17" ht="19.5" customHeight="1" x14ac:dyDescent="0.25">
      <c r="A204" s="9"/>
      <c r="B204" s="9"/>
      <c r="C204" s="15"/>
      <c r="D204" s="15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</row>
    <row r="205" spans="1:17" ht="19.5" customHeight="1" x14ac:dyDescent="0.25">
      <c r="A205" s="9"/>
      <c r="B205" s="9"/>
      <c r="C205" s="15"/>
      <c r="D205" s="15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</row>
    <row r="206" spans="1:17" ht="19.5" customHeight="1" x14ac:dyDescent="0.25">
      <c r="A206" s="9"/>
      <c r="B206" s="9"/>
      <c r="C206" s="15"/>
      <c r="D206" s="15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</row>
    <row r="207" spans="1:17" ht="19.5" customHeight="1" x14ac:dyDescent="0.25">
      <c r="A207" s="9"/>
      <c r="B207" s="9"/>
      <c r="C207" s="15"/>
      <c r="D207" s="15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</row>
    <row r="208" spans="1:17" ht="19.5" customHeight="1" x14ac:dyDescent="0.25">
      <c r="A208" s="9"/>
      <c r="B208" s="9"/>
      <c r="C208" s="15"/>
      <c r="D208" s="15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</row>
    <row r="209" spans="1:17" ht="19.5" customHeight="1" x14ac:dyDescent="0.25">
      <c r="A209" s="9"/>
      <c r="B209" s="9"/>
      <c r="C209" s="15"/>
      <c r="D209" s="15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</row>
    <row r="210" spans="1:17" ht="19.5" customHeight="1" x14ac:dyDescent="0.25">
      <c r="A210" s="9"/>
      <c r="B210" s="9"/>
      <c r="C210" s="15"/>
      <c r="D210" s="15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</row>
    <row r="211" spans="1:17" ht="19.5" customHeight="1" x14ac:dyDescent="0.25">
      <c r="A211" s="9"/>
      <c r="B211" s="9"/>
      <c r="C211" s="15"/>
      <c r="D211" s="15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</row>
    <row r="212" spans="1:17" ht="19.5" customHeight="1" x14ac:dyDescent="0.25">
      <c r="A212" s="9"/>
      <c r="B212" s="9"/>
      <c r="C212" s="15"/>
      <c r="D212" s="15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</row>
    <row r="213" spans="1:17" ht="19.5" customHeight="1" x14ac:dyDescent="0.25">
      <c r="A213" s="9"/>
      <c r="B213" s="9"/>
      <c r="C213" s="15"/>
      <c r="D213" s="15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</row>
    <row r="214" spans="1:17" ht="19.5" customHeight="1" x14ac:dyDescent="0.25">
      <c r="A214" s="9"/>
      <c r="B214" s="9"/>
      <c r="C214" s="15"/>
      <c r="D214" s="15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</row>
    <row r="215" spans="1:17" ht="19.5" customHeight="1" x14ac:dyDescent="0.25">
      <c r="A215" s="9"/>
      <c r="B215" s="9"/>
      <c r="C215" s="15"/>
      <c r="D215" s="15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</row>
    <row r="216" spans="1:17" ht="19.5" customHeight="1" x14ac:dyDescent="0.25">
      <c r="A216" s="9"/>
      <c r="B216" s="9"/>
      <c r="C216" s="15"/>
      <c r="D216" s="15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</row>
    <row r="217" spans="1:17" ht="19.5" customHeight="1" x14ac:dyDescent="0.25">
      <c r="A217" s="9"/>
      <c r="B217" s="9"/>
      <c r="C217" s="15"/>
      <c r="D217" s="15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</row>
    <row r="218" spans="1:17" ht="19.5" customHeight="1" x14ac:dyDescent="0.25">
      <c r="A218" s="9"/>
      <c r="B218" s="9"/>
      <c r="C218" s="15"/>
      <c r="D218" s="15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</row>
    <row r="219" spans="1:17" ht="19.5" customHeight="1" x14ac:dyDescent="0.25">
      <c r="A219" s="9"/>
      <c r="B219" s="9"/>
      <c r="C219" s="15"/>
      <c r="D219" s="15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</row>
    <row r="220" spans="1:17" ht="19.5" customHeight="1" x14ac:dyDescent="0.25">
      <c r="A220" s="9"/>
      <c r="B220" s="9"/>
      <c r="C220" s="15"/>
      <c r="D220" s="15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</row>
    <row r="221" spans="1:17" ht="19.5" customHeight="1" x14ac:dyDescent="0.25">
      <c r="A221" s="9"/>
      <c r="B221" s="9"/>
      <c r="C221" s="15"/>
      <c r="D221" s="15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</row>
    <row r="222" spans="1:17" ht="19.5" customHeight="1" x14ac:dyDescent="0.25">
      <c r="A222" s="9"/>
      <c r="B222" s="9"/>
      <c r="C222" s="15"/>
      <c r="D222" s="15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</row>
    <row r="223" spans="1:17" ht="19.5" customHeight="1" x14ac:dyDescent="0.25">
      <c r="A223" s="9"/>
      <c r="B223" s="9"/>
      <c r="C223" s="15"/>
      <c r="D223" s="15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</row>
    <row r="224" spans="1:17" ht="19.5" customHeight="1" x14ac:dyDescent="0.25">
      <c r="A224" s="9"/>
      <c r="B224" s="9"/>
      <c r="C224" s="15"/>
      <c r="D224" s="15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</row>
    <row r="225" spans="1:17" ht="19.5" customHeight="1" x14ac:dyDescent="0.25">
      <c r="A225" s="9"/>
      <c r="B225" s="9"/>
      <c r="C225" s="15"/>
      <c r="D225" s="15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</row>
    <row r="226" spans="1:17" ht="19.5" customHeight="1" x14ac:dyDescent="0.25">
      <c r="A226" s="9"/>
      <c r="B226" s="9"/>
      <c r="C226" s="15"/>
      <c r="D226" s="15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</row>
    <row r="227" spans="1:17" ht="19.5" customHeight="1" x14ac:dyDescent="0.25">
      <c r="A227" s="9"/>
      <c r="B227" s="9"/>
      <c r="C227" s="15"/>
      <c r="D227" s="15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</row>
    <row r="228" spans="1:17" ht="19.5" customHeight="1" x14ac:dyDescent="0.25">
      <c r="A228" s="9"/>
      <c r="B228" s="9"/>
      <c r="C228" s="15"/>
      <c r="D228" s="15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</row>
    <row r="229" spans="1:17" ht="19.5" customHeight="1" x14ac:dyDescent="0.25">
      <c r="A229" s="9"/>
      <c r="B229" s="9"/>
      <c r="C229" s="15"/>
      <c r="D229" s="15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</row>
    <row r="230" spans="1:17" ht="19.5" customHeight="1" x14ac:dyDescent="0.25">
      <c r="A230" s="9"/>
      <c r="B230" s="9"/>
      <c r="C230" s="15"/>
      <c r="D230" s="15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</row>
    <row r="231" spans="1:17" ht="19.5" customHeight="1" x14ac:dyDescent="0.25">
      <c r="A231" s="9"/>
      <c r="B231" s="9"/>
      <c r="C231" s="15"/>
      <c r="D231" s="15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</row>
    <row r="232" spans="1:17" ht="19.5" customHeight="1" x14ac:dyDescent="0.25">
      <c r="A232" s="9"/>
      <c r="B232" s="9"/>
      <c r="C232" s="15"/>
      <c r="D232" s="15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</row>
    <row r="233" spans="1:17" ht="19.5" customHeight="1" x14ac:dyDescent="0.25">
      <c r="A233" s="9"/>
      <c r="B233" s="9"/>
      <c r="C233" s="15"/>
      <c r="D233" s="15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</row>
    <row r="234" spans="1:17" ht="19.5" customHeight="1" x14ac:dyDescent="0.25">
      <c r="A234" s="9"/>
      <c r="B234" s="9"/>
      <c r="C234" s="15"/>
      <c r="D234" s="15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</row>
    <row r="235" spans="1:17" ht="19.5" customHeight="1" x14ac:dyDescent="0.25">
      <c r="A235" s="9"/>
      <c r="B235" s="9"/>
      <c r="C235" s="15"/>
      <c r="D235" s="15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</row>
    <row r="236" spans="1:17" ht="19.5" customHeight="1" x14ac:dyDescent="0.25">
      <c r="A236" s="9"/>
      <c r="B236" s="9"/>
      <c r="C236" s="15"/>
      <c r="D236" s="15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</row>
    <row r="237" spans="1:17" ht="19.5" customHeight="1" x14ac:dyDescent="0.25">
      <c r="A237" s="9"/>
      <c r="B237" s="9"/>
      <c r="C237" s="15"/>
      <c r="D237" s="15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</row>
    <row r="238" spans="1:17" ht="19.5" customHeight="1" x14ac:dyDescent="0.25">
      <c r="A238" s="9"/>
      <c r="B238" s="9"/>
      <c r="C238" s="15"/>
      <c r="D238" s="15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</row>
    <row r="239" spans="1:17" ht="19.5" customHeight="1" x14ac:dyDescent="0.25">
      <c r="A239" s="9"/>
      <c r="B239" s="9"/>
      <c r="C239" s="15"/>
      <c r="D239" s="15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</row>
    <row r="240" spans="1:17" ht="19.5" customHeight="1" x14ac:dyDescent="0.25">
      <c r="A240" s="9"/>
      <c r="B240" s="9"/>
      <c r="C240" s="15"/>
      <c r="D240" s="15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</row>
    <row r="241" spans="1:17" ht="19.5" customHeight="1" x14ac:dyDescent="0.25">
      <c r="A241" s="9"/>
      <c r="B241" s="9"/>
      <c r="C241" s="15"/>
      <c r="D241" s="15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</row>
    <row r="242" spans="1:17" ht="19.5" customHeight="1" x14ac:dyDescent="0.25">
      <c r="A242" s="9"/>
      <c r="B242" s="9"/>
      <c r="C242" s="15"/>
      <c r="D242" s="15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</row>
    <row r="243" spans="1:17" ht="19.5" customHeight="1" x14ac:dyDescent="0.25">
      <c r="A243" s="9"/>
      <c r="B243" s="9"/>
      <c r="C243" s="15"/>
      <c r="D243" s="15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</row>
    <row r="244" spans="1:17" ht="19.5" customHeight="1" x14ac:dyDescent="0.25">
      <c r="A244" s="9"/>
      <c r="B244" s="9"/>
      <c r="C244" s="15"/>
      <c r="D244" s="15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</row>
    <row r="245" spans="1:17" ht="19.5" customHeight="1" x14ac:dyDescent="0.25">
      <c r="A245" s="9"/>
      <c r="B245" s="9"/>
      <c r="C245" s="15"/>
      <c r="D245" s="15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</row>
    <row r="246" spans="1:17" ht="19.5" customHeight="1" x14ac:dyDescent="0.25">
      <c r="A246" s="9"/>
      <c r="B246" s="9"/>
      <c r="C246" s="15"/>
      <c r="D246" s="15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</row>
    <row r="247" spans="1:17" ht="19.5" customHeight="1" x14ac:dyDescent="0.25">
      <c r="A247" s="9"/>
      <c r="B247" s="9"/>
      <c r="C247" s="15"/>
      <c r="D247" s="15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</row>
    <row r="248" spans="1:17" ht="19.5" customHeight="1" x14ac:dyDescent="0.25">
      <c r="A248" s="9"/>
      <c r="B248" s="9"/>
      <c r="C248" s="15"/>
      <c r="D248" s="15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</row>
    <row r="249" spans="1:17" ht="19.5" customHeight="1" x14ac:dyDescent="0.25">
      <c r="A249" s="9"/>
      <c r="B249" s="9"/>
      <c r="C249" s="15"/>
      <c r="D249" s="15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</row>
    <row r="250" spans="1:17" ht="19.5" customHeight="1" x14ac:dyDescent="0.25">
      <c r="A250" s="9"/>
      <c r="B250" s="9"/>
      <c r="C250" s="15"/>
      <c r="D250" s="15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</row>
    <row r="251" spans="1:17" ht="19.5" customHeight="1" x14ac:dyDescent="0.25">
      <c r="A251" s="9"/>
      <c r="B251" s="9"/>
      <c r="C251" s="15"/>
      <c r="D251" s="15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</row>
    <row r="252" spans="1:17" ht="19.5" customHeight="1" x14ac:dyDescent="0.25">
      <c r="A252" s="9"/>
      <c r="B252" s="9"/>
      <c r="C252" s="15"/>
      <c r="D252" s="15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</row>
    <row r="253" spans="1:17" ht="19.5" customHeight="1" x14ac:dyDescent="0.25">
      <c r="A253" s="9"/>
      <c r="B253" s="9"/>
      <c r="C253" s="15"/>
      <c r="D253" s="15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</row>
    <row r="254" spans="1:17" ht="19.5" customHeight="1" x14ac:dyDescent="0.25">
      <c r="A254" s="9"/>
      <c r="B254" s="9"/>
      <c r="C254" s="15"/>
      <c r="D254" s="15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</row>
    <row r="255" spans="1:17" ht="19.5" customHeight="1" x14ac:dyDescent="0.25">
      <c r="A255" s="9"/>
      <c r="B255" s="9"/>
      <c r="C255" s="15"/>
      <c r="D255" s="15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</row>
    <row r="256" spans="1:17" ht="19.5" customHeight="1" x14ac:dyDescent="0.25">
      <c r="A256" s="9"/>
      <c r="B256" s="9"/>
      <c r="C256" s="15"/>
      <c r="D256" s="15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</row>
    <row r="257" spans="1:17" ht="19.5" customHeight="1" x14ac:dyDescent="0.25">
      <c r="A257" s="9"/>
      <c r="B257" s="9"/>
      <c r="C257" s="15"/>
      <c r="D257" s="15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</row>
    <row r="258" spans="1:17" ht="19.5" customHeight="1" x14ac:dyDescent="0.25">
      <c r="A258" s="9"/>
      <c r="B258" s="9"/>
      <c r="C258" s="15"/>
      <c r="D258" s="15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</row>
    <row r="259" spans="1:17" ht="19.5" customHeight="1" x14ac:dyDescent="0.25">
      <c r="A259" s="9"/>
      <c r="B259" s="9"/>
      <c r="C259" s="15"/>
      <c r="D259" s="15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</row>
    <row r="260" spans="1:17" ht="19.5" customHeight="1" x14ac:dyDescent="0.25">
      <c r="A260" s="9"/>
      <c r="B260" s="9"/>
      <c r="C260" s="15"/>
      <c r="D260" s="15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</row>
    <row r="261" spans="1:17" ht="19.5" customHeight="1" x14ac:dyDescent="0.25">
      <c r="A261" s="9"/>
      <c r="B261" s="9"/>
      <c r="C261" s="15"/>
      <c r="D261" s="15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</row>
    <row r="262" spans="1:17" ht="19.5" customHeight="1" x14ac:dyDescent="0.25">
      <c r="A262" s="9"/>
      <c r="B262" s="9"/>
      <c r="C262" s="15"/>
      <c r="D262" s="15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</row>
    <row r="263" spans="1:17" ht="19.5" customHeight="1" x14ac:dyDescent="0.25">
      <c r="A263" s="9"/>
      <c r="B263" s="9"/>
      <c r="C263" s="15"/>
      <c r="D263" s="15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</row>
    <row r="264" spans="1:17" ht="19.5" customHeight="1" x14ac:dyDescent="0.25">
      <c r="A264" s="9"/>
      <c r="B264" s="9"/>
      <c r="C264" s="15"/>
      <c r="D264" s="15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</row>
    <row r="265" spans="1:17" ht="19.5" customHeight="1" x14ac:dyDescent="0.25">
      <c r="A265" s="9"/>
      <c r="B265" s="9"/>
      <c r="C265" s="15"/>
      <c r="D265" s="15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</row>
    <row r="266" spans="1:17" ht="19.5" customHeight="1" x14ac:dyDescent="0.25">
      <c r="A266" s="9"/>
      <c r="B266" s="9"/>
      <c r="C266" s="15"/>
      <c r="D266" s="15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</row>
    <row r="267" spans="1:17" ht="19.5" customHeight="1" x14ac:dyDescent="0.25">
      <c r="A267" s="9"/>
      <c r="B267" s="9"/>
      <c r="C267" s="15"/>
      <c r="D267" s="15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</row>
    <row r="268" spans="1:17" ht="19.5" customHeight="1" x14ac:dyDescent="0.25">
      <c r="A268" s="9"/>
      <c r="B268" s="9"/>
      <c r="C268" s="15"/>
      <c r="D268" s="15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</row>
    <row r="269" spans="1:17" ht="19.5" customHeight="1" x14ac:dyDescent="0.25">
      <c r="A269" s="9"/>
      <c r="B269" s="9"/>
      <c r="C269" s="15"/>
      <c r="D269" s="15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</row>
    <row r="270" spans="1:17" ht="19.5" customHeight="1" x14ac:dyDescent="0.25">
      <c r="A270" s="9"/>
      <c r="B270" s="9"/>
      <c r="C270" s="15"/>
      <c r="D270" s="15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</row>
    <row r="271" spans="1:17" ht="19.5" customHeight="1" x14ac:dyDescent="0.25">
      <c r="A271" s="9"/>
      <c r="B271" s="9"/>
      <c r="C271" s="15"/>
      <c r="D271" s="15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</row>
    <row r="272" spans="1:17" ht="19.5" customHeight="1" x14ac:dyDescent="0.25">
      <c r="A272" s="9"/>
      <c r="B272" s="9"/>
      <c r="C272" s="15"/>
      <c r="D272" s="15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</row>
    <row r="273" spans="1:17" ht="19.5" customHeight="1" x14ac:dyDescent="0.25">
      <c r="A273" s="9"/>
      <c r="B273" s="9"/>
      <c r="C273" s="15"/>
      <c r="D273" s="15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</row>
    <row r="274" spans="1:17" ht="19.5" customHeight="1" x14ac:dyDescent="0.25">
      <c r="A274" s="9"/>
      <c r="B274" s="9"/>
      <c r="C274" s="15"/>
      <c r="D274" s="15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</row>
    <row r="275" spans="1:17" ht="19.5" customHeight="1" x14ac:dyDescent="0.25">
      <c r="A275" s="9"/>
      <c r="B275" s="9"/>
      <c r="C275" s="15"/>
      <c r="D275" s="15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</row>
    <row r="276" spans="1:17" ht="19.5" customHeight="1" x14ac:dyDescent="0.25">
      <c r="A276" s="9"/>
      <c r="B276" s="9"/>
      <c r="C276" s="15"/>
      <c r="D276" s="15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</row>
    <row r="277" spans="1:17" ht="19.5" customHeight="1" x14ac:dyDescent="0.25">
      <c r="A277" s="9"/>
      <c r="B277" s="9"/>
      <c r="C277" s="15"/>
      <c r="D277" s="15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</row>
    <row r="278" spans="1:17" ht="19.5" customHeight="1" x14ac:dyDescent="0.25">
      <c r="A278" s="9"/>
      <c r="B278" s="9"/>
      <c r="C278" s="15"/>
      <c r="D278" s="15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</row>
    <row r="279" spans="1:17" ht="19.5" customHeight="1" x14ac:dyDescent="0.25">
      <c r="A279" s="9"/>
      <c r="B279" s="9"/>
      <c r="C279" s="15"/>
      <c r="D279" s="15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</row>
    <row r="280" spans="1:17" ht="19.5" customHeight="1" x14ac:dyDescent="0.25">
      <c r="A280" s="9"/>
      <c r="B280" s="9"/>
      <c r="C280" s="15"/>
      <c r="D280" s="15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</row>
    <row r="281" spans="1:17" ht="19.5" customHeight="1" x14ac:dyDescent="0.25">
      <c r="A281" s="9"/>
      <c r="B281" s="9"/>
      <c r="C281" s="15"/>
      <c r="D281" s="15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</row>
    <row r="282" spans="1:17" ht="19.5" customHeight="1" x14ac:dyDescent="0.25">
      <c r="A282" s="9"/>
      <c r="B282" s="9"/>
      <c r="C282" s="15"/>
      <c r="D282" s="15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</row>
    <row r="283" spans="1:17" ht="19.5" customHeight="1" x14ac:dyDescent="0.25">
      <c r="A283" s="9"/>
      <c r="B283" s="9"/>
      <c r="C283" s="15"/>
      <c r="D283" s="15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</row>
    <row r="284" spans="1:17" ht="19.5" customHeight="1" x14ac:dyDescent="0.25">
      <c r="A284" s="9"/>
      <c r="B284" s="9"/>
      <c r="C284" s="15"/>
      <c r="D284" s="15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</row>
    <row r="285" spans="1:17" ht="19.5" customHeight="1" x14ac:dyDescent="0.25">
      <c r="A285" s="9"/>
      <c r="B285" s="9"/>
      <c r="C285" s="15"/>
      <c r="D285" s="15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</row>
    <row r="286" spans="1:17" ht="19.5" customHeight="1" x14ac:dyDescent="0.25">
      <c r="A286" s="9"/>
      <c r="B286" s="9"/>
      <c r="C286" s="15"/>
      <c r="D286" s="15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</row>
    <row r="287" spans="1:17" ht="19.5" customHeight="1" x14ac:dyDescent="0.25">
      <c r="A287" s="9"/>
      <c r="B287" s="9"/>
      <c r="C287" s="15"/>
      <c r="D287" s="15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</row>
    <row r="288" spans="1:17" ht="19.5" customHeight="1" x14ac:dyDescent="0.25">
      <c r="A288" s="9"/>
      <c r="B288" s="9"/>
      <c r="C288" s="15"/>
      <c r="D288" s="15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</row>
    <row r="289" spans="1:17" ht="19.5" customHeight="1" x14ac:dyDescent="0.25">
      <c r="A289" s="9"/>
      <c r="B289" s="9"/>
      <c r="C289" s="15"/>
      <c r="D289" s="15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</row>
    <row r="290" spans="1:17" ht="19.5" customHeight="1" x14ac:dyDescent="0.25">
      <c r="A290" s="9"/>
      <c r="B290" s="9"/>
      <c r="C290" s="15"/>
      <c r="D290" s="15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</row>
    <row r="291" spans="1:17" ht="19.5" customHeight="1" x14ac:dyDescent="0.25">
      <c r="A291" s="9"/>
      <c r="B291" s="9"/>
      <c r="C291" s="15"/>
      <c r="D291" s="15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</row>
    <row r="292" spans="1:17" ht="19.5" customHeight="1" x14ac:dyDescent="0.25">
      <c r="A292" s="9"/>
      <c r="B292" s="9"/>
      <c r="C292" s="15"/>
      <c r="D292" s="15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</row>
    <row r="293" spans="1:17" ht="19.5" customHeight="1" x14ac:dyDescent="0.25">
      <c r="A293" s="9"/>
      <c r="B293" s="9"/>
      <c r="C293" s="15"/>
      <c r="D293" s="15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</row>
    <row r="294" spans="1:17" ht="19.5" customHeight="1" x14ac:dyDescent="0.25">
      <c r="A294" s="9"/>
      <c r="B294" s="9"/>
      <c r="C294" s="15"/>
      <c r="D294" s="15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</row>
    <row r="295" spans="1:17" ht="19.5" customHeight="1" x14ac:dyDescent="0.25">
      <c r="A295" s="9"/>
      <c r="B295" s="9"/>
      <c r="C295" s="15"/>
      <c r="D295" s="15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</row>
    <row r="296" spans="1:17" ht="19.5" customHeight="1" x14ac:dyDescent="0.25">
      <c r="A296" s="9"/>
      <c r="B296" s="9"/>
      <c r="C296" s="15"/>
      <c r="D296" s="15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</row>
    <row r="297" spans="1:17" ht="19.5" customHeight="1" x14ac:dyDescent="0.25">
      <c r="A297" s="9"/>
      <c r="B297" s="9"/>
      <c r="C297" s="15"/>
      <c r="D297" s="15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</row>
    <row r="298" spans="1:17" ht="19.5" customHeight="1" x14ac:dyDescent="0.25">
      <c r="A298" s="9"/>
      <c r="B298" s="9"/>
      <c r="C298" s="15"/>
      <c r="D298" s="15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</row>
    <row r="299" spans="1:17" ht="19.5" customHeight="1" x14ac:dyDescent="0.25">
      <c r="A299" s="9"/>
      <c r="B299" s="9"/>
      <c r="C299" s="15"/>
      <c r="D299" s="15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</row>
    <row r="300" spans="1:17" ht="19.5" customHeight="1" x14ac:dyDescent="0.25">
      <c r="A300" s="9"/>
      <c r="B300" s="9"/>
      <c r="C300" s="15"/>
      <c r="D300" s="15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</row>
    <row r="301" spans="1:17" ht="19.5" customHeight="1" x14ac:dyDescent="0.25">
      <c r="A301" s="9"/>
      <c r="B301" s="9"/>
      <c r="C301" s="15"/>
      <c r="D301" s="15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</row>
    <row r="302" spans="1:17" ht="19.5" customHeight="1" x14ac:dyDescent="0.25">
      <c r="A302" s="9"/>
      <c r="B302" s="9"/>
      <c r="C302" s="15"/>
      <c r="D302" s="15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</row>
    <row r="303" spans="1:17" ht="19.5" customHeight="1" x14ac:dyDescent="0.25">
      <c r="A303" s="9"/>
      <c r="B303" s="9"/>
      <c r="C303" s="15"/>
      <c r="D303" s="15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</row>
    <row r="304" spans="1:17" ht="19.5" customHeight="1" x14ac:dyDescent="0.25">
      <c r="A304" s="9"/>
      <c r="B304" s="9"/>
      <c r="C304" s="15"/>
      <c r="D304" s="15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</row>
    <row r="305" spans="1:17" ht="19.5" customHeight="1" x14ac:dyDescent="0.25">
      <c r="A305" s="9"/>
      <c r="B305" s="9"/>
      <c r="C305" s="15"/>
      <c r="D305" s="15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</row>
    <row r="306" spans="1:17" ht="19.5" customHeight="1" x14ac:dyDescent="0.25">
      <c r="A306" s="9"/>
      <c r="B306" s="9"/>
      <c r="C306" s="15"/>
      <c r="D306" s="15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</row>
    <row r="307" spans="1:17" ht="19.5" customHeight="1" x14ac:dyDescent="0.25">
      <c r="A307" s="9"/>
      <c r="B307" s="9"/>
      <c r="C307" s="15"/>
      <c r="D307" s="15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</row>
    <row r="308" spans="1:17" ht="19.5" customHeight="1" x14ac:dyDescent="0.25">
      <c r="A308" s="9"/>
      <c r="B308" s="9"/>
      <c r="C308" s="15"/>
      <c r="D308" s="15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</row>
    <row r="309" spans="1:17" ht="19.5" customHeight="1" x14ac:dyDescent="0.25">
      <c r="A309" s="9"/>
      <c r="B309" s="9"/>
      <c r="C309" s="15"/>
      <c r="D309" s="15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</row>
    <row r="310" spans="1:17" ht="19.5" customHeight="1" x14ac:dyDescent="0.25">
      <c r="A310" s="9"/>
      <c r="B310" s="9"/>
      <c r="C310" s="15"/>
      <c r="D310" s="15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</row>
    <row r="311" spans="1:17" ht="19.5" customHeight="1" x14ac:dyDescent="0.25">
      <c r="A311" s="9"/>
      <c r="B311" s="9"/>
      <c r="C311" s="15"/>
      <c r="D311" s="15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</row>
    <row r="312" spans="1:17" ht="19.5" customHeight="1" x14ac:dyDescent="0.25">
      <c r="A312" s="9"/>
      <c r="B312" s="9"/>
      <c r="C312" s="15"/>
      <c r="D312" s="15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</row>
    <row r="313" spans="1:17" ht="19.5" customHeight="1" x14ac:dyDescent="0.25">
      <c r="A313" s="9"/>
      <c r="B313" s="9"/>
      <c r="C313" s="15"/>
      <c r="D313" s="15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</row>
    <row r="314" spans="1:17" ht="19.5" customHeight="1" x14ac:dyDescent="0.25">
      <c r="A314" s="9"/>
      <c r="B314" s="9"/>
      <c r="C314" s="15"/>
      <c r="D314" s="15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</row>
    <row r="315" spans="1:17" ht="19.5" customHeight="1" x14ac:dyDescent="0.25">
      <c r="A315" s="9"/>
      <c r="B315" s="9"/>
      <c r="C315" s="15"/>
      <c r="D315" s="15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</row>
    <row r="316" spans="1:17" ht="19.5" customHeight="1" x14ac:dyDescent="0.25">
      <c r="A316" s="9"/>
      <c r="B316" s="9"/>
      <c r="C316" s="15"/>
      <c r="D316" s="15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</row>
    <row r="317" spans="1:17" ht="19.5" customHeight="1" x14ac:dyDescent="0.25">
      <c r="A317" s="9"/>
      <c r="B317" s="9"/>
      <c r="C317" s="15"/>
      <c r="D317" s="15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</row>
    <row r="318" spans="1:17" ht="19.5" customHeight="1" x14ac:dyDescent="0.25">
      <c r="A318" s="9"/>
      <c r="B318" s="9"/>
      <c r="C318" s="15"/>
      <c r="D318" s="15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</row>
    <row r="319" spans="1:17" ht="19.5" customHeight="1" x14ac:dyDescent="0.25">
      <c r="A319" s="9"/>
      <c r="B319" s="9"/>
      <c r="C319" s="15"/>
      <c r="D319" s="15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</row>
    <row r="320" spans="1:17" ht="19.5" customHeight="1" x14ac:dyDescent="0.25">
      <c r="A320" s="9"/>
      <c r="B320" s="9"/>
      <c r="C320" s="15"/>
      <c r="D320" s="15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</row>
    <row r="321" spans="1:17" ht="19.5" customHeight="1" x14ac:dyDescent="0.25">
      <c r="A321" s="9"/>
      <c r="B321" s="9"/>
      <c r="C321" s="15"/>
      <c r="D321" s="15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</row>
    <row r="322" spans="1:17" ht="19.5" customHeight="1" x14ac:dyDescent="0.25">
      <c r="A322" s="9"/>
      <c r="B322" s="9"/>
      <c r="C322" s="15"/>
      <c r="D322" s="15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</row>
    <row r="323" spans="1:17" ht="19.5" customHeight="1" x14ac:dyDescent="0.25">
      <c r="A323" s="9"/>
      <c r="B323" s="9"/>
      <c r="C323" s="15"/>
      <c r="D323" s="15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</row>
    <row r="324" spans="1:17" ht="19.5" customHeight="1" x14ac:dyDescent="0.25">
      <c r="A324" s="9"/>
      <c r="B324" s="9"/>
      <c r="C324" s="15"/>
      <c r="D324" s="15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</row>
    <row r="325" spans="1:17" ht="19.5" customHeight="1" x14ac:dyDescent="0.25">
      <c r="A325" s="9"/>
      <c r="B325" s="9"/>
      <c r="C325" s="15"/>
      <c r="D325" s="15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</row>
    <row r="326" spans="1:17" ht="19.5" customHeight="1" x14ac:dyDescent="0.25">
      <c r="A326" s="9"/>
      <c r="B326" s="9"/>
      <c r="C326" s="15"/>
      <c r="D326" s="15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</row>
    <row r="327" spans="1:17" ht="19.5" customHeight="1" x14ac:dyDescent="0.25">
      <c r="A327" s="9"/>
      <c r="B327" s="9"/>
      <c r="C327" s="15"/>
      <c r="D327" s="15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</row>
    <row r="328" spans="1:17" ht="19.5" customHeight="1" x14ac:dyDescent="0.25">
      <c r="A328" s="9"/>
      <c r="B328" s="9"/>
      <c r="C328" s="15"/>
      <c r="D328" s="15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</row>
    <row r="329" spans="1:17" ht="19.5" customHeight="1" x14ac:dyDescent="0.25">
      <c r="A329" s="9"/>
      <c r="B329" s="9"/>
      <c r="C329" s="15"/>
      <c r="D329" s="15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</row>
    <row r="330" spans="1:17" ht="19.5" customHeight="1" x14ac:dyDescent="0.25">
      <c r="A330" s="9"/>
      <c r="B330" s="9"/>
      <c r="C330" s="15"/>
      <c r="D330" s="15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</row>
    <row r="331" spans="1:17" ht="19.5" customHeight="1" x14ac:dyDescent="0.25">
      <c r="A331" s="9"/>
      <c r="B331" s="9"/>
      <c r="C331" s="15"/>
      <c r="D331" s="15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</row>
    <row r="332" spans="1:17" ht="19.5" customHeight="1" x14ac:dyDescent="0.25">
      <c r="A332" s="9"/>
      <c r="B332" s="9"/>
      <c r="C332" s="15"/>
      <c r="D332" s="15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</row>
    <row r="333" spans="1:17" ht="19.5" customHeight="1" x14ac:dyDescent="0.25">
      <c r="A333" s="9"/>
      <c r="B333" s="9"/>
      <c r="C333" s="15"/>
      <c r="D333" s="15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</row>
    <row r="334" spans="1:17" ht="19.5" customHeight="1" x14ac:dyDescent="0.25">
      <c r="A334" s="9"/>
      <c r="B334" s="9"/>
      <c r="C334" s="15"/>
      <c r="D334" s="15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</row>
    <row r="335" spans="1:17" ht="19.5" customHeight="1" x14ac:dyDescent="0.25">
      <c r="A335" s="9"/>
      <c r="B335" s="9"/>
      <c r="C335" s="15"/>
      <c r="D335" s="15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</row>
    <row r="336" spans="1:17" ht="19.5" customHeight="1" x14ac:dyDescent="0.25">
      <c r="A336" s="9"/>
      <c r="B336" s="9"/>
      <c r="C336" s="15"/>
      <c r="D336" s="15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</row>
    <row r="337" spans="1:17" ht="19.5" customHeight="1" x14ac:dyDescent="0.25">
      <c r="A337" s="9"/>
      <c r="B337" s="9"/>
      <c r="C337" s="15"/>
      <c r="D337" s="15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</row>
    <row r="338" spans="1:17" ht="19.5" customHeight="1" x14ac:dyDescent="0.25">
      <c r="A338" s="9"/>
      <c r="B338" s="9"/>
      <c r="C338" s="15"/>
      <c r="D338" s="15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</row>
    <row r="339" spans="1:17" ht="19.5" customHeight="1" x14ac:dyDescent="0.25">
      <c r="A339" s="9"/>
      <c r="B339" s="9"/>
      <c r="C339" s="15"/>
      <c r="D339" s="15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</row>
    <row r="340" spans="1:17" ht="19.5" customHeight="1" x14ac:dyDescent="0.25">
      <c r="A340" s="9"/>
      <c r="B340" s="9"/>
      <c r="C340" s="15"/>
      <c r="D340" s="15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</row>
    <row r="341" spans="1:17" ht="19.5" customHeight="1" x14ac:dyDescent="0.25">
      <c r="A341" s="9"/>
      <c r="B341" s="9"/>
      <c r="C341" s="15"/>
      <c r="D341" s="15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</row>
    <row r="342" spans="1:17" ht="19.5" customHeight="1" x14ac:dyDescent="0.25">
      <c r="A342" s="9"/>
      <c r="B342" s="9"/>
      <c r="C342" s="15"/>
      <c r="D342" s="15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</row>
    <row r="343" spans="1:17" ht="19.5" customHeight="1" x14ac:dyDescent="0.25">
      <c r="A343" s="9"/>
      <c r="B343" s="9"/>
      <c r="C343" s="15"/>
      <c r="D343" s="15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</row>
    <row r="344" spans="1:17" ht="19.5" customHeight="1" x14ac:dyDescent="0.25">
      <c r="A344" s="9"/>
      <c r="B344" s="9"/>
      <c r="C344" s="15"/>
      <c r="D344" s="15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</row>
    <row r="345" spans="1:17" ht="19.5" customHeight="1" x14ac:dyDescent="0.25">
      <c r="A345" s="9"/>
      <c r="B345" s="9"/>
      <c r="C345" s="15"/>
      <c r="D345" s="15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</row>
    <row r="346" spans="1:17" ht="19.5" customHeight="1" x14ac:dyDescent="0.25">
      <c r="A346" s="9"/>
      <c r="B346" s="9"/>
      <c r="C346" s="15"/>
      <c r="D346" s="15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</row>
    <row r="347" spans="1:17" ht="19.5" customHeight="1" x14ac:dyDescent="0.25">
      <c r="A347" s="9"/>
      <c r="B347" s="9"/>
      <c r="C347" s="15"/>
      <c r="D347" s="15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</row>
    <row r="348" spans="1:17" ht="19.5" customHeight="1" x14ac:dyDescent="0.25">
      <c r="A348" s="9"/>
      <c r="B348" s="9"/>
      <c r="C348" s="15"/>
      <c r="D348" s="15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</row>
    <row r="349" spans="1:17" ht="19.5" customHeight="1" x14ac:dyDescent="0.25">
      <c r="A349" s="9"/>
      <c r="B349" s="9"/>
      <c r="C349" s="15"/>
      <c r="D349" s="15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</row>
    <row r="350" spans="1:17" ht="19.5" customHeight="1" x14ac:dyDescent="0.25">
      <c r="A350" s="9"/>
      <c r="B350" s="9"/>
      <c r="C350" s="15"/>
      <c r="D350" s="15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</row>
    <row r="351" spans="1:17" ht="19.5" customHeight="1" x14ac:dyDescent="0.25">
      <c r="A351" s="9"/>
      <c r="B351" s="9"/>
      <c r="C351" s="15"/>
      <c r="D351" s="15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</row>
    <row r="352" spans="1:17" ht="19.5" customHeight="1" x14ac:dyDescent="0.25">
      <c r="A352" s="9"/>
      <c r="B352" s="9"/>
      <c r="C352" s="15"/>
      <c r="D352" s="15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</row>
    <row r="353" spans="1:17" ht="19.5" customHeight="1" x14ac:dyDescent="0.25">
      <c r="A353" s="9"/>
      <c r="B353" s="9"/>
      <c r="C353" s="15"/>
      <c r="D353" s="15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</row>
    <row r="354" spans="1:17" ht="19.5" customHeight="1" x14ac:dyDescent="0.25">
      <c r="A354" s="9"/>
      <c r="B354" s="9"/>
      <c r="C354" s="15"/>
      <c r="D354" s="15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</row>
    <row r="355" spans="1:17" ht="19.5" customHeight="1" x14ac:dyDescent="0.25">
      <c r="A355" s="9"/>
      <c r="B355" s="9"/>
      <c r="C355" s="15"/>
      <c r="D355" s="15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</row>
    <row r="356" spans="1:17" ht="19.5" customHeight="1" x14ac:dyDescent="0.25">
      <c r="A356" s="9"/>
      <c r="B356" s="9"/>
      <c r="C356" s="15"/>
      <c r="D356" s="15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</row>
    <row r="357" spans="1:17" ht="19.5" customHeight="1" x14ac:dyDescent="0.25">
      <c r="A357" s="9"/>
      <c r="B357" s="9"/>
      <c r="C357" s="15"/>
      <c r="D357" s="15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</row>
    <row r="358" spans="1:17" ht="19.5" customHeight="1" x14ac:dyDescent="0.25">
      <c r="A358" s="9"/>
      <c r="B358" s="9"/>
      <c r="C358" s="15"/>
      <c r="D358" s="15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</row>
    <row r="359" spans="1:17" ht="19.5" customHeight="1" x14ac:dyDescent="0.25">
      <c r="A359" s="9"/>
      <c r="B359" s="9"/>
      <c r="C359" s="15"/>
      <c r="D359" s="15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</row>
    <row r="360" spans="1:17" ht="19.5" customHeight="1" x14ac:dyDescent="0.25">
      <c r="A360" s="9"/>
      <c r="B360" s="9"/>
      <c r="C360" s="15"/>
      <c r="D360" s="15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</row>
    <row r="361" spans="1:17" ht="19.5" customHeight="1" x14ac:dyDescent="0.25">
      <c r="A361" s="9"/>
      <c r="B361" s="9"/>
      <c r="C361" s="15"/>
      <c r="D361" s="15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</row>
    <row r="362" spans="1:17" ht="19.5" customHeight="1" x14ac:dyDescent="0.25">
      <c r="A362" s="9"/>
      <c r="B362" s="9"/>
      <c r="C362" s="15"/>
      <c r="D362" s="15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</row>
    <row r="363" spans="1:17" ht="19.5" customHeight="1" x14ac:dyDescent="0.25">
      <c r="A363" s="9"/>
      <c r="B363" s="9"/>
      <c r="C363" s="15"/>
      <c r="D363" s="15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</row>
    <row r="364" spans="1:17" ht="19.5" customHeight="1" x14ac:dyDescent="0.25">
      <c r="A364" s="9"/>
      <c r="B364" s="9"/>
      <c r="C364" s="15"/>
      <c r="D364" s="15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</row>
    <row r="365" spans="1:17" ht="19.5" customHeight="1" x14ac:dyDescent="0.25">
      <c r="A365" s="9"/>
      <c r="B365" s="9"/>
      <c r="C365" s="15"/>
      <c r="D365" s="15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</row>
    <row r="366" spans="1:17" ht="19.5" customHeight="1" x14ac:dyDescent="0.25">
      <c r="A366" s="9"/>
      <c r="B366" s="9"/>
      <c r="C366" s="15"/>
      <c r="D366" s="15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</row>
    <row r="367" spans="1:17" ht="19.5" customHeight="1" x14ac:dyDescent="0.25">
      <c r="A367" s="9"/>
      <c r="B367" s="9"/>
      <c r="C367" s="15"/>
      <c r="D367" s="15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</row>
    <row r="368" spans="1:17" ht="19.5" customHeight="1" x14ac:dyDescent="0.25">
      <c r="A368" s="9"/>
      <c r="B368" s="9"/>
      <c r="C368" s="15"/>
      <c r="D368" s="15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</row>
    <row r="369" spans="1:17" ht="19.5" customHeight="1" x14ac:dyDescent="0.25">
      <c r="A369" s="9"/>
      <c r="B369" s="9"/>
      <c r="C369" s="15"/>
      <c r="D369" s="15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</row>
    <row r="370" spans="1:17" ht="19.5" customHeight="1" x14ac:dyDescent="0.25">
      <c r="A370" s="9"/>
      <c r="B370" s="9"/>
      <c r="C370" s="15"/>
      <c r="D370" s="15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</row>
    <row r="371" spans="1:17" ht="19.5" customHeight="1" x14ac:dyDescent="0.25">
      <c r="A371" s="9"/>
      <c r="B371" s="9"/>
      <c r="C371" s="15"/>
      <c r="D371" s="15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</row>
    <row r="372" spans="1:17" ht="19.5" customHeight="1" x14ac:dyDescent="0.25">
      <c r="A372" s="9"/>
      <c r="B372" s="9"/>
      <c r="C372" s="15"/>
      <c r="D372" s="15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</row>
    <row r="373" spans="1:17" ht="19.5" customHeight="1" x14ac:dyDescent="0.25">
      <c r="A373" s="9"/>
      <c r="B373" s="9"/>
      <c r="C373" s="15"/>
      <c r="D373" s="15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</row>
    <row r="374" spans="1:17" ht="19.5" customHeight="1" x14ac:dyDescent="0.25">
      <c r="A374" s="9"/>
      <c r="B374" s="9"/>
      <c r="C374" s="15"/>
      <c r="D374" s="15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</row>
    <row r="375" spans="1:17" ht="19.5" customHeight="1" x14ac:dyDescent="0.25">
      <c r="A375" s="9"/>
      <c r="B375" s="9"/>
      <c r="C375" s="15"/>
      <c r="D375" s="15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</row>
    <row r="376" spans="1:17" ht="19.5" customHeight="1" x14ac:dyDescent="0.25">
      <c r="A376" s="9"/>
      <c r="B376" s="9"/>
      <c r="C376" s="15"/>
      <c r="D376" s="15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</row>
    <row r="377" spans="1:17" ht="19.5" customHeight="1" x14ac:dyDescent="0.25">
      <c r="A377" s="9"/>
      <c r="B377" s="9"/>
      <c r="C377" s="15"/>
      <c r="D377" s="15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</row>
    <row r="378" spans="1:17" ht="19.5" customHeight="1" x14ac:dyDescent="0.25">
      <c r="A378" s="9"/>
      <c r="B378" s="9"/>
      <c r="C378" s="15"/>
      <c r="D378" s="15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</row>
    <row r="379" spans="1:17" ht="19.5" customHeight="1" x14ac:dyDescent="0.25">
      <c r="A379" s="9"/>
      <c r="B379" s="9"/>
      <c r="C379" s="15"/>
      <c r="D379" s="15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</row>
    <row r="380" spans="1:17" ht="19.5" customHeight="1" x14ac:dyDescent="0.25">
      <c r="A380" s="9"/>
      <c r="B380" s="9"/>
      <c r="C380" s="15"/>
      <c r="D380" s="15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</row>
    <row r="381" spans="1:17" ht="19.5" customHeight="1" x14ac:dyDescent="0.25">
      <c r="A381" s="9"/>
      <c r="B381" s="9"/>
      <c r="C381" s="15"/>
      <c r="D381" s="15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</row>
    <row r="382" spans="1:17" ht="19.5" customHeight="1" x14ac:dyDescent="0.25">
      <c r="A382" s="9"/>
      <c r="B382" s="9"/>
      <c r="C382" s="15"/>
      <c r="D382" s="15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</row>
    <row r="383" spans="1:17" ht="19.5" customHeight="1" x14ac:dyDescent="0.25">
      <c r="A383" s="9"/>
      <c r="B383" s="9"/>
      <c r="C383" s="15"/>
      <c r="D383" s="15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</row>
    <row r="384" spans="1:17" ht="19.5" customHeight="1" x14ac:dyDescent="0.25">
      <c r="A384" s="9"/>
      <c r="B384" s="9"/>
      <c r="C384" s="15"/>
      <c r="D384" s="15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</row>
    <row r="385" spans="1:17" ht="19.5" customHeight="1" x14ac:dyDescent="0.25">
      <c r="A385" s="9"/>
      <c r="B385" s="9"/>
      <c r="C385" s="15"/>
      <c r="D385" s="15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</row>
    <row r="386" spans="1:17" ht="19.5" customHeight="1" x14ac:dyDescent="0.25">
      <c r="A386" s="9"/>
      <c r="B386" s="9"/>
      <c r="C386" s="15"/>
      <c r="D386" s="15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</row>
    <row r="387" spans="1:17" ht="19.5" customHeight="1" x14ac:dyDescent="0.25">
      <c r="A387" s="9"/>
      <c r="B387" s="9"/>
      <c r="C387" s="15"/>
      <c r="D387" s="15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</row>
    <row r="388" spans="1:17" ht="19.5" customHeight="1" x14ac:dyDescent="0.25">
      <c r="A388" s="9"/>
      <c r="B388" s="9"/>
      <c r="C388" s="15"/>
      <c r="D388" s="15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</row>
    <row r="389" spans="1:17" ht="19.5" customHeight="1" x14ac:dyDescent="0.25">
      <c r="A389" s="9"/>
      <c r="B389" s="9"/>
      <c r="C389" s="15"/>
      <c r="D389" s="15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</row>
    <row r="390" spans="1:17" ht="19.5" customHeight="1" x14ac:dyDescent="0.25">
      <c r="A390" s="9"/>
      <c r="B390" s="9"/>
      <c r="C390" s="15"/>
      <c r="D390" s="15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</row>
    <row r="391" spans="1:17" ht="19.5" customHeight="1" x14ac:dyDescent="0.25">
      <c r="A391" s="9"/>
      <c r="B391" s="9"/>
      <c r="C391" s="15"/>
      <c r="D391" s="15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</row>
    <row r="392" spans="1:17" ht="19.5" customHeight="1" x14ac:dyDescent="0.25">
      <c r="A392" s="9"/>
      <c r="B392" s="9"/>
      <c r="C392" s="15"/>
      <c r="D392" s="15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</row>
    <row r="393" spans="1:17" ht="19.5" customHeight="1" x14ac:dyDescent="0.25">
      <c r="A393" s="9"/>
      <c r="B393" s="9"/>
      <c r="C393" s="15"/>
      <c r="D393" s="15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</row>
    <row r="394" spans="1:17" ht="19.5" customHeight="1" x14ac:dyDescent="0.25">
      <c r="A394" s="9"/>
      <c r="B394" s="9"/>
      <c r="C394" s="15"/>
      <c r="D394" s="15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</row>
    <row r="395" spans="1:17" ht="19.5" customHeight="1" x14ac:dyDescent="0.25">
      <c r="A395" s="9"/>
      <c r="B395" s="9"/>
      <c r="C395" s="15"/>
      <c r="D395" s="15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</row>
    <row r="396" spans="1:17" ht="19.5" customHeight="1" x14ac:dyDescent="0.25">
      <c r="A396" s="9"/>
      <c r="B396" s="9"/>
      <c r="C396" s="15"/>
      <c r="D396" s="15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</row>
    <row r="397" spans="1:17" ht="19.5" customHeight="1" x14ac:dyDescent="0.25">
      <c r="A397" s="9"/>
      <c r="B397" s="9"/>
      <c r="C397" s="15"/>
      <c r="D397" s="15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</row>
    <row r="398" spans="1:17" ht="19.5" customHeight="1" x14ac:dyDescent="0.25">
      <c r="A398" s="9"/>
      <c r="B398" s="9"/>
      <c r="C398" s="15"/>
      <c r="D398" s="15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</row>
    <row r="399" spans="1:17" ht="19.5" customHeight="1" x14ac:dyDescent="0.25">
      <c r="A399" s="9"/>
      <c r="B399" s="9"/>
      <c r="C399" s="15"/>
      <c r="D399" s="15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</row>
    <row r="400" spans="1:17" ht="19.5" customHeight="1" x14ac:dyDescent="0.25">
      <c r="A400" s="9"/>
      <c r="B400" s="9"/>
      <c r="C400" s="15"/>
      <c r="D400" s="15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</row>
    <row r="401" spans="1:17" ht="19.5" customHeight="1" x14ac:dyDescent="0.25">
      <c r="A401" s="9"/>
      <c r="B401" s="9"/>
      <c r="C401" s="15"/>
      <c r="D401" s="15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</row>
    <row r="402" spans="1:17" ht="19.5" customHeight="1" x14ac:dyDescent="0.25">
      <c r="A402" s="9"/>
      <c r="B402" s="9"/>
      <c r="C402" s="15"/>
      <c r="D402" s="15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</row>
    <row r="403" spans="1:17" ht="19.5" customHeight="1" x14ac:dyDescent="0.25">
      <c r="A403" s="9"/>
      <c r="B403" s="9"/>
      <c r="C403" s="15"/>
      <c r="D403" s="15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</row>
    <row r="404" spans="1:17" ht="19.5" customHeight="1" x14ac:dyDescent="0.25">
      <c r="A404" s="9"/>
      <c r="B404" s="9"/>
      <c r="C404" s="15"/>
      <c r="D404" s="15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</row>
    <row r="405" spans="1:17" ht="19.5" customHeight="1" x14ac:dyDescent="0.25">
      <c r="A405" s="9"/>
      <c r="B405" s="9"/>
      <c r="C405" s="15"/>
      <c r="D405" s="15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</row>
    <row r="406" spans="1:17" ht="19.5" customHeight="1" x14ac:dyDescent="0.25">
      <c r="A406" s="9"/>
      <c r="B406" s="9"/>
      <c r="C406" s="15"/>
      <c r="D406" s="15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</row>
    <row r="407" spans="1:17" ht="19.5" customHeight="1" x14ac:dyDescent="0.25">
      <c r="A407" s="9"/>
      <c r="B407" s="9"/>
      <c r="C407" s="15"/>
      <c r="D407" s="15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</row>
    <row r="408" spans="1:17" ht="19.5" customHeight="1" x14ac:dyDescent="0.25">
      <c r="A408" s="9"/>
      <c r="B408" s="9"/>
      <c r="C408" s="15"/>
      <c r="D408" s="15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</row>
    <row r="409" spans="1:17" ht="19.5" customHeight="1" x14ac:dyDescent="0.25">
      <c r="A409" s="9"/>
      <c r="B409" s="9"/>
      <c r="C409" s="15"/>
      <c r="D409" s="15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</row>
    <row r="410" spans="1:17" ht="19.5" customHeight="1" x14ac:dyDescent="0.25">
      <c r="A410" s="9"/>
      <c r="B410" s="9"/>
      <c r="C410" s="15"/>
      <c r="D410" s="15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</row>
    <row r="411" spans="1:17" ht="19.5" customHeight="1" x14ac:dyDescent="0.25">
      <c r="A411" s="9"/>
      <c r="B411" s="9"/>
      <c r="C411" s="15"/>
      <c r="D411" s="15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</row>
    <row r="412" spans="1:17" ht="19.5" customHeight="1" x14ac:dyDescent="0.25">
      <c r="A412" s="9"/>
      <c r="B412" s="9"/>
      <c r="C412" s="15"/>
      <c r="D412" s="15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</row>
    <row r="413" spans="1:17" ht="19.5" customHeight="1" x14ac:dyDescent="0.25">
      <c r="A413" s="9"/>
      <c r="B413" s="9"/>
      <c r="C413" s="15"/>
      <c r="D413" s="15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</row>
    <row r="414" spans="1:17" ht="19.5" customHeight="1" x14ac:dyDescent="0.25">
      <c r="A414" s="9"/>
      <c r="B414" s="9"/>
      <c r="C414" s="15"/>
      <c r="D414" s="15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</row>
    <row r="415" spans="1:17" ht="19.5" customHeight="1" x14ac:dyDescent="0.25">
      <c r="A415" s="9"/>
      <c r="B415" s="9"/>
      <c r="C415" s="15"/>
      <c r="D415" s="15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</row>
    <row r="416" spans="1:17" ht="19.5" customHeight="1" x14ac:dyDescent="0.25">
      <c r="A416" s="9"/>
      <c r="B416" s="9"/>
      <c r="C416" s="15"/>
      <c r="D416" s="15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</row>
    <row r="417" spans="1:17" ht="19.5" customHeight="1" x14ac:dyDescent="0.25">
      <c r="A417" s="9"/>
      <c r="B417" s="9"/>
      <c r="C417" s="15"/>
      <c r="D417" s="15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</row>
    <row r="418" spans="1:17" ht="19.5" customHeight="1" x14ac:dyDescent="0.25">
      <c r="A418" s="9"/>
      <c r="B418" s="9"/>
      <c r="C418" s="15"/>
      <c r="D418" s="15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</row>
    <row r="419" spans="1:17" ht="19.5" customHeight="1" x14ac:dyDescent="0.25">
      <c r="A419" s="9"/>
      <c r="B419" s="9"/>
      <c r="C419" s="15"/>
      <c r="D419" s="15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</row>
    <row r="420" spans="1:17" ht="19.5" customHeight="1" x14ac:dyDescent="0.25">
      <c r="A420" s="9"/>
      <c r="B420" s="9"/>
      <c r="C420" s="15"/>
      <c r="D420" s="15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</row>
    <row r="421" spans="1:17" ht="19.5" customHeight="1" x14ac:dyDescent="0.25">
      <c r="A421" s="9"/>
      <c r="B421" s="9"/>
      <c r="C421" s="15"/>
      <c r="D421" s="15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</row>
    <row r="422" spans="1:17" ht="19.5" customHeight="1" x14ac:dyDescent="0.25">
      <c r="A422" s="9"/>
      <c r="B422" s="9"/>
      <c r="C422" s="15"/>
      <c r="D422" s="15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</row>
    <row r="423" spans="1:17" ht="19.5" customHeight="1" x14ac:dyDescent="0.25">
      <c r="A423" s="9"/>
      <c r="B423" s="9"/>
      <c r="C423" s="15"/>
      <c r="D423" s="15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</row>
    <row r="424" spans="1:17" ht="19.5" customHeight="1" x14ac:dyDescent="0.25">
      <c r="A424" s="9"/>
      <c r="B424" s="9"/>
      <c r="C424" s="15"/>
      <c r="D424" s="15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</row>
    <row r="425" spans="1:17" ht="19.5" customHeight="1" x14ac:dyDescent="0.25">
      <c r="A425" s="9"/>
      <c r="B425" s="9"/>
      <c r="C425" s="15"/>
      <c r="D425" s="15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</row>
    <row r="426" spans="1:17" ht="19.5" customHeight="1" x14ac:dyDescent="0.25">
      <c r="A426" s="9"/>
      <c r="B426" s="9"/>
      <c r="C426" s="15"/>
      <c r="D426" s="15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</row>
    <row r="427" spans="1:17" ht="19.5" customHeight="1" x14ac:dyDescent="0.25">
      <c r="A427" s="9"/>
      <c r="B427" s="9"/>
      <c r="C427" s="15"/>
      <c r="D427" s="15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</row>
    <row r="428" spans="1:17" ht="19.5" customHeight="1" x14ac:dyDescent="0.25">
      <c r="A428" s="9"/>
      <c r="B428" s="9"/>
      <c r="C428" s="15"/>
      <c r="D428" s="15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</row>
    <row r="429" spans="1:17" ht="19.5" customHeight="1" x14ac:dyDescent="0.25">
      <c r="A429" s="9"/>
      <c r="B429" s="9"/>
      <c r="C429" s="15"/>
      <c r="D429" s="15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</row>
    <row r="430" spans="1:17" ht="19.5" customHeight="1" x14ac:dyDescent="0.25">
      <c r="A430" s="9"/>
      <c r="B430" s="9"/>
      <c r="C430" s="15"/>
      <c r="D430" s="15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</row>
    <row r="431" spans="1:17" ht="19.5" customHeight="1" x14ac:dyDescent="0.25">
      <c r="A431" s="9"/>
      <c r="B431" s="9"/>
      <c r="C431" s="15"/>
      <c r="D431" s="15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</row>
    <row r="432" spans="1:17" ht="19.5" customHeight="1" x14ac:dyDescent="0.25">
      <c r="A432" s="9"/>
      <c r="B432" s="9"/>
      <c r="C432" s="15"/>
      <c r="D432" s="15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</row>
    <row r="433" spans="1:17" ht="19.5" customHeight="1" x14ac:dyDescent="0.25">
      <c r="A433" s="9"/>
      <c r="B433" s="9"/>
      <c r="C433" s="15"/>
      <c r="D433" s="15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</row>
    <row r="434" spans="1:17" ht="19.5" customHeight="1" x14ac:dyDescent="0.25">
      <c r="A434" s="9"/>
      <c r="B434" s="9"/>
      <c r="C434" s="15"/>
      <c r="D434" s="15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</row>
    <row r="435" spans="1:17" ht="19.5" customHeight="1" x14ac:dyDescent="0.25">
      <c r="A435" s="9"/>
      <c r="B435" s="9"/>
      <c r="C435" s="15"/>
      <c r="D435" s="15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</row>
    <row r="436" spans="1:17" ht="19.5" customHeight="1" x14ac:dyDescent="0.25">
      <c r="A436" s="9"/>
      <c r="B436" s="9"/>
      <c r="C436" s="15"/>
      <c r="D436" s="15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</row>
    <row r="437" spans="1:17" ht="19.5" customHeight="1" x14ac:dyDescent="0.25">
      <c r="A437" s="9"/>
      <c r="B437" s="9"/>
      <c r="C437" s="15"/>
      <c r="D437" s="15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</row>
    <row r="438" spans="1:17" ht="19.5" customHeight="1" x14ac:dyDescent="0.25">
      <c r="A438" s="9"/>
      <c r="B438" s="9"/>
      <c r="C438" s="15"/>
      <c r="D438" s="15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</row>
    <row r="439" spans="1:17" ht="19.5" customHeight="1" x14ac:dyDescent="0.25">
      <c r="A439" s="9"/>
      <c r="B439" s="9"/>
      <c r="C439" s="15"/>
      <c r="D439" s="15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</row>
    <row r="440" spans="1:17" ht="19.5" customHeight="1" x14ac:dyDescent="0.25">
      <c r="A440" s="9"/>
      <c r="B440" s="9"/>
      <c r="C440" s="15"/>
      <c r="D440" s="15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</row>
    <row r="441" spans="1:17" ht="19.5" customHeight="1" x14ac:dyDescent="0.25">
      <c r="A441" s="9"/>
      <c r="B441" s="9"/>
      <c r="C441" s="15"/>
      <c r="D441" s="15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</row>
    <row r="442" spans="1:17" ht="19.5" customHeight="1" x14ac:dyDescent="0.25">
      <c r="A442" s="9"/>
      <c r="B442" s="9"/>
      <c r="C442" s="15"/>
      <c r="D442" s="15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</row>
    <row r="443" spans="1:17" ht="19.5" customHeight="1" x14ac:dyDescent="0.25">
      <c r="A443" s="9"/>
      <c r="B443" s="9"/>
      <c r="C443" s="15"/>
      <c r="D443" s="15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</row>
    <row r="444" spans="1:17" ht="19.5" customHeight="1" x14ac:dyDescent="0.25">
      <c r="A444" s="9"/>
      <c r="B444" s="9"/>
      <c r="C444" s="15"/>
      <c r="D444" s="15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</row>
    <row r="445" spans="1:17" ht="19.5" customHeight="1" x14ac:dyDescent="0.25">
      <c r="A445" s="9"/>
      <c r="B445" s="9"/>
      <c r="C445" s="15"/>
      <c r="D445" s="15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</row>
    <row r="446" spans="1:17" ht="19.5" customHeight="1" x14ac:dyDescent="0.25">
      <c r="A446" s="9"/>
      <c r="B446" s="9"/>
      <c r="C446" s="15"/>
      <c r="D446" s="15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</row>
    <row r="447" spans="1:17" ht="19.5" customHeight="1" x14ac:dyDescent="0.25">
      <c r="A447" s="9"/>
      <c r="B447" s="9"/>
      <c r="C447" s="15"/>
      <c r="D447" s="15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</row>
    <row r="448" spans="1:17" ht="19.5" customHeight="1" x14ac:dyDescent="0.25">
      <c r="A448" s="9"/>
      <c r="B448" s="9"/>
      <c r="C448" s="15"/>
      <c r="D448" s="15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</row>
    <row r="449" spans="1:17" ht="19.5" customHeight="1" x14ac:dyDescent="0.25">
      <c r="A449" s="9"/>
      <c r="B449" s="9"/>
      <c r="C449" s="15"/>
      <c r="D449" s="15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</row>
    <row r="450" spans="1:17" ht="19.5" customHeight="1" x14ac:dyDescent="0.25">
      <c r="A450" s="9"/>
      <c r="B450" s="9"/>
      <c r="C450" s="15"/>
      <c r="D450" s="15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</row>
    <row r="451" spans="1:17" ht="19.5" customHeight="1" x14ac:dyDescent="0.25">
      <c r="A451" s="9"/>
      <c r="B451" s="9"/>
      <c r="C451" s="15"/>
      <c r="D451" s="15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</row>
    <row r="452" spans="1:17" ht="19.5" customHeight="1" x14ac:dyDescent="0.25">
      <c r="A452" s="9"/>
      <c r="B452" s="9"/>
      <c r="C452" s="15"/>
      <c r="D452" s="15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</row>
    <row r="453" spans="1:17" ht="19.5" customHeight="1" x14ac:dyDescent="0.25">
      <c r="A453" s="9"/>
      <c r="B453" s="9"/>
      <c r="C453" s="15"/>
      <c r="D453" s="15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</row>
    <row r="454" spans="1:17" ht="19.5" customHeight="1" x14ac:dyDescent="0.25">
      <c r="A454" s="9"/>
      <c r="B454" s="9"/>
      <c r="C454" s="15"/>
      <c r="D454" s="15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</row>
    <row r="455" spans="1:17" ht="19.5" customHeight="1" x14ac:dyDescent="0.25">
      <c r="A455" s="9"/>
      <c r="B455" s="9"/>
      <c r="C455" s="15"/>
      <c r="D455" s="15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</row>
    <row r="456" spans="1:17" ht="19.5" customHeight="1" x14ac:dyDescent="0.25">
      <c r="A456" s="9"/>
      <c r="B456" s="9"/>
      <c r="C456" s="15"/>
      <c r="D456" s="15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</row>
    <row r="457" spans="1:17" ht="19.5" customHeight="1" x14ac:dyDescent="0.25">
      <c r="A457" s="9"/>
      <c r="B457" s="9"/>
      <c r="C457" s="15"/>
      <c r="D457" s="15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</row>
    <row r="458" spans="1:17" ht="19.5" customHeight="1" x14ac:dyDescent="0.25">
      <c r="A458" s="9"/>
      <c r="B458" s="9"/>
      <c r="C458" s="15"/>
      <c r="D458" s="15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</row>
    <row r="459" spans="1:17" ht="19.5" customHeight="1" x14ac:dyDescent="0.25">
      <c r="A459" s="9"/>
      <c r="B459" s="9"/>
      <c r="C459" s="15"/>
      <c r="D459" s="15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</row>
    <row r="460" spans="1:17" ht="19.5" customHeight="1" x14ac:dyDescent="0.25">
      <c r="A460" s="9"/>
      <c r="B460" s="9"/>
      <c r="C460" s="15"/>
      <c r="D460" s="15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</row>
    <row r="461" spans="1:17" ht="19.5" customHeight="1" x14ac:dyDescent="0.25">
      <c r="A461" s="9"/>
      <c r="B461" s="9"/>
      <c r="C461" s="15"/>
      <c r="D461" s="15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</row>
    <row r="462" spans="1:17" ht="19.5" customHeight="1" x14ac:dyDescent="0.25">
      <c r="A462" s="9"/>
      <c r="B462" s="9"/>
      <c r="C462" s="15"/>
      <c r="D462" s="15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</row>
    <row r="463" spans="1:17" ht="19.5" customHeight="1" x14ac:dyDescent="0.25">
      <c r="A463" s="9"/>
      <c r="B463" s="9"/>
      <c r="C463" s="15"/>
      <c r="D463" s="15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</row>
    <row r="464" spans="1:17" ht="19.5" customHeight="1" x14ac:dyDescent="0.25">
      <c r="A464" s="9"/>
      <c r="B464" s="9"/>
      <c r="C464" s="15"/>
      <c r="D464" s="15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</row>
    <row r="465" spans="1:17" ht="19.5" customHeight="1" x14ac:dyDescent="0.25">
      <c r="A465" s="9"/>
      <c r="B465" s="9"/>
      <c r="C465" s="15"/>
      <c r="D465" s="15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</row>
    <row r="466" spans="1:17" ht="19.5" customHeight="1" x14ac:dyDescent="0.25">
      <c r="A466" s="9"/>
      <c r="B466" s="9"/>
      <c r="C466" s="15"/>
      <c r="D466" s="15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</row>
    <row r="467" spans="1:17" ht="19.5" customHeight="1" x14ac:dyDescent="0.25">
      <c r="A467" s="9"/>
      <c r="B467" s="9"/>
      <c r="C467" s="15"/>
      <c r="D467" s="15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</row>
    <row r="468" spans="1:17" ht="19.5" customHeight="1" x14ac:dyDescent="0.25">
      <c r="A468" s="9"/>
      <c r="B468" s="9"/>
      <c r="C468" s="15"/>
      <c r="D468" s="15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</row>
    <row r="469" spans="1:17" ht="19.5" customHeight="1" x14ac:dyDescent="0.25">
      <c r="A469" s="9"/>
      <c r="B469" s="9"/>
      <c r="C469" s="15"/>
      <c r="D469" s="15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</row>
    <row r="470" spans="1:17" ht="19.5" customHeight="1" x14ac:dyDescent="0.25">
      <c r="A470" s="9"/>
      <c r="B470" s="9"/>
      <c r="C470" s="15"/>
      <c r="D470" s="15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</row>
    <row r="471" spans="1:17" ht="19.5" customHeight="1" x14ac:dyDescent="0.25">
      <c r="A471" s="9"/>
      <c r="B471" s="9"/>
      <c r="C471" s="15"/>
      <c r="D471" s="15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</row>
    <row r="472" spans="1:17" ht="19.5" customHeight="1" x14ac:dyDescent="0.25">
      <c r="A472" s="9"/>
      <c r="B472" s="9"/>
      <c r="C472" s="15"/>
      <c r="D472" s="15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</row>
    <row r="473" spans="1:17" ht="19.5" customHeight="1" x14ac:dyDescent="0.25">
      <c r="A473" s="9"/>
      <c r="B473" s="9"/>
      <c r="C473" s="15"/>
      <c r="D473" s="15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</row>
    <row r="474" spans="1:17" ht="19.5" customHeight="1" x14ac:dyDescent="0.25">
      <c r="A474" s="9"/>
      <c r="B474" s="9"/>
      <c r="C474" s="15"/>
      <c r="D474" s="15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</row>
    <row r="475" spans="1:17" ht="19.5" customHeight="1" x14ac:dyDescent="0.25">
      <c r="A475" s="9"/>
      <c r="B475" s="9"/>
      <c r="C475" s="15"/>
      <c r="D475" s="15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</row>
    <row r="476" spans="1:17" ht="19.5" customHeight="1" x14ac:dyDescent="0.25">
      <c r="A476" s="9"/>
      <c r="B476" s="9"/>
      <c r="C476" s="15"/>
      <c r="D476" s="15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</row>
    <row r="477" spans="1:17" ht="19.5" customHeight="1" x14ac:dyDescent="0.25">
      <c r="A477" s="9"/>
      <c r="B477" s="9"/>
      <c r="C477" s="15"/>
      <c r="D477" s="15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</row>
    <row r="478" spans="1:17" ht="19.5" customHeight="1" x14ac:dyDescent="0.25">
      <c r="A478" s="9"/>
      <c r="B478" s="9"/>
      <c r="C478" s="15"/>
      <c r="D478" s="15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</row>
    <row r="479" spans="1:17" ht="19.5" customHeight="1" x14ac:dyDescent="0.25">
      <c r="A479" s="9"/>
      <c r="B479" s="9"/>
      <c r="C479" s="15"/>
      <c r="D479" s="15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</row>
    <row r="480" spans="1:17" ht="19.5" customHeight="1" x14ac:dyDescent="0.25">
      <c r="A480" s="9"/>
      <c r="B480" s="9"/>
      <c r="C480" s="15"/>
      <c r="D480" s="15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</row>
    <row r="481" spans="1:17" ht="19.5" customHeight="1" x14ac:dyDescent="0.25">
      <c r="A481" s="9"/>
      <c r="B481" s="9"/>
      <c r="C481" s="15"/>
      <c r="D481" s="15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</row>
    <row r="482" spans="1:17" ht="19.5" customHeight="1" x14ac:dyDescent="0.25">
      <c r="A482" s="9"/>
      <c r="B482" s="9"/>
      <c r="C482" s="15"/>
      <c r="D482" s="15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</row>
    <row r="483" spans="1:17" ht="19.5" customHeight="1" x14ac:dyDescent="0.25">
      <c r="A483" s="9"/>
      <c r="B483" s="9"/>
      <c r="C483" s="15"/>
      <c r="D483" s="15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</row>
    <row r="484" spans="1:17" ht="19.5" customHeight="1" x14ac:dyDescent="0.25">
      <c r="A484" s="9"/>
      <c r="B484" s="9"/>
      <c r="C484" s="15"/>
      <c r="D484" s="15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</row>
    <row r="485" spans="1:17" ht="19.5" customHeight="1" x14ac:dyDescent="0.25">
      <c r="A485" s="9"/>
      <c r="B485" s="9"/>
      <c r="C485" s="15"/>
      <c r="D485" s="15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</row>
    <row r="486" spans="1:17" ht="19.5" customHeight="1" x14ac:dyDescent="0.25">
      <c r="A486" s="9"/>
      <c r="B486" s="9"/>
      <c r="C486" s="15"/>
      <c r="D486" s="15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</row>
    <row r="487" spans="1:17" ht="19.5" customHeight="1" x14ac:dyDescent="0.25">
      <c r="A487" s="9"/>
      <c r="B487" s="9"/>
      <c r="C487" s="15"/>
      <c r="D487" s="15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</row>
    <row r="488" spans="1:17" ht="19.5" customHeight="1" x14ac:dyDescent="0.25">
      <c r="A488" s="9"/>
      <c r="B488" s="9"/>
      <c r="C488" s="15"/>
      <c r="D488" s="15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</row>
    <row r="489" spans="1:17" ht="19.5" customHeight="1" x14ac:dyDescent="0.25">
      <c r="A489" s="9"/>
      <c r="B489" s="9"/>
      <c r="C489" s="15"/>
      <c r="D489" s="15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</row>
    <row r="490" spans="1:17" ht="19.5" customHeight="1" x14ac:dyDescent="0.25">
      <c r="A490" s="9"/>
      <c r="B490" s="9"/>
      <c r="C490" s="15"/>
      <c r="D490" s="15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</row>
    <row r="491" spans="1:17" ht="19.5" customHeight="1" x14ac:dyDescent="0.25">
      <c r="A491" s="9"/>
      <c r="B491" s="9"/>
      <c r="C491" s="15"/>
      <c r="D491" s="15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</row>
    <row r="492" spans="1:17" ht="19.5" customHeight="1" x14ac:dyDescent="0.25">
      <c r="A492" s="9"/>
      <c r="B492" s="9"/>
      <c r="C492" s="15"/>
      <c r="D492" s="15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</row>
    <row r="493" spans="1:17" ht="19.5" customHeight="1" x14ac:dyDescent="0.25">
      <c r="A493" s="9"/>
      <c r="B493" s="9"/>
      <c r="C493" s="15"/>
      <c r="D493" s="15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</row>
    <row r="494" spans="1:17" ht="19.5" customHeight="1" x14ac:dyDescent="0.25">
      <c r="A494" s="9"/>
      <c r="B494" s="9"/>
      <c r="C494" s="15"/>
      <c r="D494" s="15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</row>
    <row r="495" spans="1:17" ht="19.5" customHeight="1" x14ac:dyDescent="0.25">
      <c r="A495" s="9"/>
      <c r="B495" s="9"/>
      <c r="C495" s="15"/>
      <c r="D495" s="15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</row>
    <row r="496" spans="1:17" ht="19.5" customHeight="1" x14ac:dyDescent="0.25">
      <c r="A496" s="9"/>
      <c r="B496" s="9"/>
      <c r="C496" s="15"/>
      <c r="D496" s="15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</row>
    <row r="497" spans="1:17" ht="19.5" customHeight="1" x14ac:dyDescent="0.25">
      <c r="A497" s="9"/>
      <c r="B497" s="9"/>
      <c r="C497" s="15"/>
      <c r="D497" s="15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</row>
    <row r="498" spans="1:17" ht="19.5" customHeight="1" x14ac:dyDescent="0.25">
      <c r="A498" s="9"/>
      <c r="B498" s="9"/>
      <c r="C498" s="15"/>
      <c r="D498" s="15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</row>
    <row r="499" spans="1:17" ht="19.5" customHeight="1" x14ac:dyDescent="0.25">
      <c r="A499" s="9"/>
      <c r="B499" s="9"/>
      <c r="C499" s="15"/>
      <c r="D499" s="15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</row>
    <row r="500" spans="1:17" ht="19.5" customHeight="1" x14ac:dyDescent="0.25">
      <c r="A500" s="9"/>
      <c r="B500" s="9"/>
      <c r="C500" s="15"/>
      <c r="D500" s="15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</row>
    <row r="501" spans="1:17" ht="19.5" customHeight="1" x14ac:dyDescent="0.25">
      <c r="A501" s="9"/>
      <c r="B501" s="9"/>
      <c r="C501" s="15"/>
      <c r="D501" s="15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</row>
    <row r="502" spans="1:17" ht="19.5" customHeight="1" x14ac:dyDescent="0.25">
      <c r="A502" s="9"/>
      <c r="B502" s="9"/>
      <c r="C502" s="15"/>
      <c r="D502" s="15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</row>
    <row r="503" spans="1:17" ht="19.5" customHeight="1" x14ac:dyDescent="0.25">
      <c r="A503" s="9"/>
      <c r="B503" s="9"/>
      <c r="C503" s="15"/>
      <c r="D503" s="15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</row>
    <row r="504" spans="1:17" ht="19.5" customHeight="1" x14ac:dyDescent="0.25">
      <c r="A504" s="9"/>
      <c r="B504" s="9"/>
      <c r="C504" s="15"/>
      <c r="D504" s="15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</row>
    <row r="505" spans="1:17" ht="19.5" customHeight="1" x14ac:dyDescent="0.25">
      <c r="A505" s="9"/>
      <c r="B505" s="9"/>
      <c r="C505" s="15"/>
      <c r="D505" s="15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</row>
    <row r="506" spans="1:17" ht="19.5" customHeight="1" x14ac:dyDescent="0.25">
      <c r="A506" s="9"/>
      <c r="B506" s="9"/>
      <c r="C506" s="15"/>
      <c r="D506" s="15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</row>
    <row r="507" spans="1:17" ht="19.5" customHeight="1" x14ac:dyDescent="0.25">
      <c r="A507" s="9"/>
      <c r="B507" s="9"/>
      <c r="C507" s="15"/>
      <c r="D507" s="15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</row>
    <row r="508" spans="1:17" ht="19.5" customHeight="1" x14ac:dyDescent="0.25">
      <c r="A508" s="9"/>
      <c r="B508" s="9"/>
      <c r="C508" s="15"/>
      <c r="D508" s="15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</row>
    <row r="509" spans="1:17" ht="19.5" customHeight="1" x14ac:dyDescent="0.25">
      <c r="A509" s="9"/>
      <c r="B509" s="9"/>
      <c r="C509" s="15"/>
      <c r="D509" s="15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</row>
    <row r="510" spans="1:17" ht="19.5" customHeight="1" x14ac:dyDescent="0.25">
      <c r="A510" s="9"/>
      <c r="B510" s="9"/>
      <c r="C510" s="15"/>
      <c r="D510" s="15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</row>
    <row r="511" spans="1:17" ht="19.5" customHeight="1" x14ac:dyDescent="0.25">
      <c r="A511" s="9"/>
      <c r="B511" s="9"/>
      <c r="C511" s="15"/>
      <c r="D511" s="15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</row>
    <row r="512" spans="1:17" ht="19.5" customHeight="1" x14ac:dyDescent="0.25">
      <c r="A512" s="9"/>
      <c r="B512" s="9"/>
      <c r="C512" s="15"/>
      <c r="D512" s="15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</row>
    <row r="513" spans="1:17" ht="19.5" customHeight="1" x14ac:dyDescent="0.25">
      <c r="A513" s="9"/>
      <c r="B513" s="9"/>
      <c r="C513" s="15"/>
      <c r="D513" s="15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</row>
    <row r="514" spans="1:17" ht="19.5" customHeight="1" x14ac:dyDescent="0.25">
      <c r="A514" s="9"/>
      <c r="B514" s="9"/>
      <c r="C514" s="15"/>
      <c r="D514" s="15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</row>
    <row r="515" spans="1:17" ht="19.5" customHeight="1" x14ac:dyDescent="0.25">
      <c r="A515" s="9"/>
      <c r="B515" s="9"/>
      <c r="C515" s="15"/>
      <c r="D515" s="15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</row>
    <row r="516" spans="1:17" ht="19.5" customHeight="1" x14ac:dyDescent="0.25">
      <c r="A516" s="9"/>
      <c r="B516" s="9"/>
      <c r="C516" s="15"/>
      <c r="D516" s="15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</row>
    <row r="517" spans="1:17" ht="19.5" customHeight="1" x14ac:dyDescent="0.25">
      <c r="A517" s="9"/>
      <c r="B517" s="9"/>
      <c r="C517" s="15"/>
      <c r="D517" s="15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</row>
    <row r="518" spans="1:17" ht="19.5" customHeight="1" x14ac:dyDescent="0.25">
      <c r="A518" s="9"/>
      <c r="B518" s="9"/>
      <c r="C518" s="15"/>
      <c r="D518" s="15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</row>
    <row r="519" spans="1:17" ht="19.5" customHeight="1" x14ac:dyDescent="0.25">
      <c r="A519" s="9"/>
      <c r="B519" s="9"/>
      <c r="C519" s="15"/>
      <c r="D519" s="15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</row>
    <row r="520" spans="1:17" ht="19.5" customHeight="1" x14ac:dyDescent="0.25">
      <c r="A520" s="9"/>
      <c r="B520" s="9"/>
      <c r="C520" s="15"/>
      <c r="D520" s="15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</row>
    <row r="521" spans="1:17" ht="19.5" customHeight="1" x14ac:dyDescent="0.25">
      <c r="A521" s="9"/>
      <c r="B521" s="9"/>
      <c r="C521" s="15"/>
      <c r="D521" s="15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</row>
    <row r="522" spans="1:17" ht="19.5" customHeight="1" x14ac:dyDescent="0.25">
      <c r="A522" s="9"/>
      <c r="B522" s="9"/>
      <c r="C522" s="15"/>
      <c r="D522" s="15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</row>
    <row r="523" spans="1:17" ht="19.5" customHeight="1" x14ac:dyDescent="0.25">
      <c r="A523" s="9"/>
      <c r="B523" s="9"/>
      <c r="C523" s="15"/>
      <c r="D523" s="15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</row>
    <row r="524" spans="1:17" ht="19.5" customHeight="1" x14ac:dyDescent="0.25">
      <c r="A524" s="9"/>
      <c r="B524" s="9"/>
      <c r="C524" s="15"/>
      <c r="D524" s="15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</row>
    <row r="525" spans="1:17" ht="19.5" customHeight="1" x14ac:dyDescent="0.25">
      <c r="A525" s="9"/>
      <c r="B525" s="9"/>
      <c r="C525" s="15"/>
      <c r="D525" s="15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</row>
    <row r="526" spans="1:17" ht="19.5" customHeight="1" x14ac:dyDescent="0.25">
      <c r="A526" s="9"/>
      <c r="B526" s="9"/>
      <c r="C526" s="15"/>
      <c r="D526" s="15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</row>
    <row r="527" spans="1:17" ht="19.5" customHeight="1" x14ac:dyDescent="0.25">
      <c r="A527" s="9"/>
      <c r="B527" s="9"/>
      <c r="C527" s="15"/>
      <c r="D527" s="15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</row>
    <row r="528" spans="1:17" ht="19.5" customHeight="1" x14ac:dyDescent="0.25">
      <c r="A528" s="9"/>
      <c r="B528" s="9"/>
      <c r="C528" s="15"/>
      <c r="D528" s="15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</row>
    <row r="529" spans="1:17" ht="19.5" customHeight="1" x14ac:dyDescent="0.25">
      <c r="A529" s="9"/>
      <c r="B529" s="9"/>
      <c r="C529" s="15"/>
      <c r="D529" s="15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</row>
    <row r="530" spans="1:17" ht="19.5" customHeight="1" x14ac:dyDescent="0.25">
      <c r="A530" s="9"/>
      <c r="B530" s="9"/>
      <c r="C530" s="15"/>
      <c r="D530" s="15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</row>
    <row r="531" spans="1:17" ht="19.5" customHeight="1" x14ac:dyDescent="0.25">
      <c r="A531" s="9"/>
      <c r="B531" s="9"/>
      <c r="C531" s="15"/>
      <c r="D531" s="15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</row>
    <row r="532" spans="1:17" ht="19.5" customHeight="1" x14ac:dyDescent="0.25">
      <c r="A532" s="9"/>
      <c r="B532" s="9"/>
      <c r="C532" s="15"/>
      <c r="D532" s="15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</row>
    <row r="533" spans="1:17" ht="19.5" customHeight="1" x14ac:dyDescent="0.25">
      <c r="A533" s="9"/>
      <c r="B533" s="9"/>
      <c r="C533" s="15"/>
      <c r="D533" s="15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</row>
    <row r="534" spans="1:17" ht="19.5" customHeight="1" x14ac:dyDescent="0.25">
      <c r="A534" s="9"/>
      <c r="B534" s="9"/>
      <c r="C534" s="15"/>
      <c r="D534" s="15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</row>
    <row r="535" spans="1:17" ht="19.5" customHeight="1" x14ac:dyDescent="0.25">
      <c r="A535" s="9"/>
      <c r="B535" s="9"/>
      <c r="C535" s="15"/>
      <c r="D535" s="15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</row>
    <row r="536" spans="1:17" ht="19.5" customHeight="1" x14ac:dyDescent="0.25">
      <c r="A536" s="9"/>
      <c r="B536" s="9"/>
      <c r="C536" s="15"/>
      <c r="D536" s="15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</row>
    <row r="537" spans="1:17" ht="19.5" customHeight="1" x14ac:dyDescent="0.25">
      <c r="A537" s="9"/>
      <c r="B537" s="9"/>
      <c r="C537" s="15"/>
      <c r="D537" s="15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</row>
    <row r="538" spans="1:17" ht="19.5" customHeight="1" x14ac:dyDescent="0.25">
      <c r="A538" s="9"/>
      <c r="B538" s="9"/>
      <c r="C538" s="15"/>
      <c r="D538" s="15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</row>
    <row r="539" spans="1:17" ht="19.5" customHeight="1" x14ac:dyDescent="0.25">
      <c r="A539" s="9"/>
      <c r="B539" s="9"/>
      <c r="C539" s="15"/>
      <c r="D539" s="15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</row>
    <row r="540" spans="1:17" ht="19.5" customHeight="1" x14ac:dyDescent="0.25">
      <c r="A540" s="9"/>
      <c r="B540" s="9"/>
      <c r="C540" s="15"/>
      <c r="D540" s="15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</row>
    <row r="541" spans="1:17" ht="19.5" customHeight="1" x14ac:dyDescent="0.25">
      <c r="A541" s="9"/>
      <c r="B541" s="9"/>
      <c r="C541" s="15"/>
      <c r="D541" s="15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</row>
    <row r="542" spans="1:17" ht="19.5" customHeight="1" x14ac:dyDescent="0.25">
      <c r="A542" s="9"/>
      <c r="B542" s="9"/>
      <c r="C542" s="15"/>
      <c r="D542" s="15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</row>
    <row r="543" spans="1:17" ht="19.5" customHeight="1" x14ac:dyDescent="0.25">
      <c r="A543" s="9"/>
      <c r="B543" s="9"/>
      <c r="C543" s="15"/>
      <c r="D543" s="15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</row>
    <row r="544" spans="1:17" ht="19.5" customHeight="1" x14ac:dyDescent="0.25">
      <c r="A544" s="9"/>
      <c r="B544" s="9"/>
      <c r="C544" s="15"/>
      <c r="D544" s="15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</row>
    <row r="545" spans="1:17" ht="19.5" customHeight="1" x14ac:dyDescent="0.25">
      <c r="A545" s="9"/>
      <c r="B545" s="9"/>
      <c r="C545" s="15"/>
      <c r="D545" s="15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</row>
    <row r="546" spans="1:17" ht="19.5" customHeight="1" x14ac:dyDescent="0.25">
      <c r="A546" s="9"/>
      <c r="B546" s="9"/>
      <c r="C546" s="15"/>
      <c r="D546" s="15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</row>
    <row r="547" spans="1:17" ht="19.5" customHeight="1" x14ac:dyDescent="0.25">
      <c r="A547" s="9"/>
      <c r="B547" s="9"/>
      <c r="C547" s="15"/>
      <c r="D547" s="15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</row>
    <row r="548" spans="1:17" ht="19.5" customHeight="1" x14ac:dyDescent="0.25">
      <c r="A548" s="9"/>
      <c r="B548" s="9"/>
      <c r="C548" s="15"/>
      <c r="D548" s="15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</row>
    <row r="549" spans="1:17" ht="19.5" customHeight="1" x14ac:dyDescent="0.25">
      <c r="A549" s="9"/>
      <c r="B549" s="9"/>
      <c r="C549" s="15"/>
      <c r="D549" s="15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</row>
    <row r="550" spans="1:17" ht="19.5" customHeight="1" x14ac:dyDescent="0.25">
      <c r="A550" s="9"/>
      <c r="B550" s="9"/>
      <c r="C550" s="15"/>
      <c r="D550" s="15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</row>
    <row r="551" spans="1:17" ht="19.5" customHeight="1" x14ac:dyDescent="0.25">
      <c r="A551" s="9"/>
      <c r="B551" s="9"/>
      <c r="C551" s="15"/>
      <c r="D551" s="15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</row>
    <row r="552" spans="1:17" ht="19.5" customHeight="1" x14ac:dyDescent="0.25">
      <c r="A552" s="9"/>
      <c r="B552" s="9"/>
      <c r="C552" s="15"/>
      <c r="D552" s="15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</row>
    <row r="553" spans="1:17" ht="19.5" customHeight="1" x14ac:dyDescent="0.25">
      <c r="A553" s="9"/>
      <c r="B553" s="9"/>
      <c r="C553" s="15"/>
      <c r="D553" s="15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</row>
    <row r="554" spans="1:17" ht="19.5" customHeight="1" x14ac:dyDescent="0.25">
      <c r="A554" s="9"/>
      <c r="B554" s="9"/>
      <c r="C554" s="15"/>
      <c r="D554" s="15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</row>
    <row r="555" spans="1:17" ht="19.5" customHeight="1" x14ac:dyDescent="0.25">
      <c r="A555" s="9"/>
      <c r="B555" s="9"/>
      <c r="C555" s="15"/>
      <c r="D555" s="15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</row>
    <row r="556" spans="1:17" ht="19.5" customHeight="1" x14ac:dyDescent="0.25">
      <c r="A556" s="9"/>
      <c r="B556" s="9"/>
      <c r="C556" s="15"/>
      <c r="D556" s="15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</row>
    <row r="557" spans="1:17" ht="19.5" customHeight="1" x14ac:dyDescent="0.25">
      <c r="A557" s="9"/>
      <c r="B557" s="9"/>
      <c r="C557" s="15"/>
      <c r="D557" s="15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</row>
    <row r="558" spans="1:17" ht="19.5" customHeight="1" x14ac:dyDescent="0.25">
      <c r="A558" s="9"/>
      <c r="B558" s="9"/>
      <c r="C558" s="15"/>
      <c r="D558" s="15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</row>
    <row r="559" spans="1:17" ht="19.5" customHeight="1" x14ac:dyDescent="0.25">
      <c r="A559" s="9"/>
      <c r="B559" s="9"/>
      <c r="C559" s="15"/>
      <c r="D559" s="15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</row>
    <row r="560" spans="1:17" ht="19.5" customHeight="1" x14ac:dyDescent="0.25">
      <c r="A560" s="9"/>
      <c r="B560" s="9"/>
      <c r="C560" s="15"/>
      <c r="D560" s="15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</row>
    <row r="561" spans="1:17" ht="19.5" customHeight="1" x14ac:dyDescent="0.25">
      <c r="A561" s="9"/>
      <c r="B561" s="9"/>
      <c r="C561" s="15"/>
      <c r="D561" s="15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</row>
    <row r="562" spans="1:17" ht="19.5" customHeight="1" x14ac:dyDescent="0.25">
      <c r="A562" s="9"/>
      <c r="B562" s="9"/>
      <c r="C562" s="15"/>
      <c r="D562" s="15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</row>
    <row r="563" spans="1:17" ht="19.5" customHeight="1" x14ac:dyDescent="0.25">
      <c r="A563" s="9"/>
      <c r="B563" s="9"/>
      <c r="C563" s="15"/>
      <c r="D563" s="15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</row>
    <row r="564" spans="1:17" ht="19.5" customHeight="1" x14ac:dyDescent="0.25">
      <c r="A564" s="9"/>
      <c r="B564" s="9"/>
      <c r="C564" s="15"/>
      <c r="D564" s="15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</row>
    <row r="565" spans="1:17" ht="19.5" customHeight="1" x14ac:dyDescent="0.25">
      <c r="A565" s="9"/>
      <c r="B565" s="9"/>
      <c r="C565" s="15"/>
      <c r="D565" s="15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</row>
    <row r="566" spans="1:17" ht="19.5" customHeight="1" x14ac:dyDescent="0.25">
      <c r="A566" s="9"/>
      <c r="B566" s="9"/>
      <c r="C566" s="15"/>
      <c r="D566" s="15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</row>
    <row r="567" spans="1:17" ht="19.5" customHeight="1" x14ac:dyDescent="0.25">
      <c r="A567" s="9"/>
      <c r="B567" s="9"/>
      <c r="C567" s="15"/>
      <c r="D567" s="15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</row>
    <row r="568" spans="1:17" ht="19.5" customHeight="1" x14ac:dyDescent="0.25">
      <c r="A568" s="9"/>
      <c r="B568" s="9"/>
      <c r="C568" s="15"/>
      <c r="D568" s="15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</row>
    <row r="569" spans="1:17" ht="19.5" customHeight="1" x14ac:dyDescent="0.25">
      <c r="A569" s="9"/>
      <c r="B569" s="9"/>
      <c r="C569" s="15"/>
      <c r="D569" s="15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</row>
    <row r="570" spans="1:17" ht="19.5" customHeight="1" x14ac:dyDescent="0.25">
      <c r="A570" s="9"/>
      <c r="B570" s="9"/>
      <c r="C570" s="15"/>
      <c r="D570" s="15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</row>
    <row r="571" spans="1:17" ht="19.5" customHeight="1" x14ac:dyDescent="0.25">
      <c r="A571" s="9"/>
      <c r="B571" s="9"/>
      <c r="C571" s="15"/>
      <c r="D571" s="15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</row>
    <row r="572" spans="1:17" ht="19.5" customHeight="1" x14ac:dyDescent="0.25">
      <c r="A572" s="9"/>
      <c r="B572" s="9"/>
      <c r="C572" s="15"/>
      <c r="D572" s="15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</row>
    <row r="573" spans="1:17" ht="19.5" customHeight="1" x14ac:dyDescent="0.25">
      <c r="A573" s="9"/>
      <c r="B573" s="9"/>
      <c r="C573" s="15"/>
      <c r="D573" s="15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</row>
    <row r="574" spans="1:17" ht="19.5" customHeight="1" x14ac:dyDescent="0.25">
      <c r="A574" s="9"/>
      <c r="B574" s="9"/>
      <c r="C574" s="15"/>
      <c r="D574" s="15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</row>
    <row r="575" spans="1:17" ht="19.5" customHeight="1" x14ac:dyDescent="0.25">
      <c r="A575" s="9"/>
      <c r="B575" s="9"/>
      <c r="C575" s="15"/>
      <c r="D575" s="15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</row>
    <row r="576" spans="1:17" ht="19.5" customHeight="1" x14ac:dyDescent="0.25">
      <c r="A576" s="9"/>
      <c r="B576" s="9"/>
      <c r="C576" s="15"/>
      <c r="D576" s="15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</row>
    <row r="577" spans="1:17" ht="19.5" customHeight="1" x14ac:dyDescent="0.25">
      <c r="A577" s="9"/>
      <c r="B577" s="9"/>
      <c r="C577" s="15"/>
      <c r="D577" s="15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</row>
    <row r="578" spans="1:17" ht="19.5" customHeight="1" x14ac:dyDescent="0.25">
      <c r="A578" s="9"/>
      <c r="B578" s="9"/>
      <c r="C578" s="15"/>
      <c r="D578" s="15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</row>
    <row r="579" spans="1:17" ht="19.5" customHeight="1" x14ac:dyDescent="0.25">
      <c r="A579" s="9"/>
      <c r="B579" s="9"/>
      <c r="C579" s="15"/>
      <c r="D579" s="15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</row>
    <row r="580" spans="1:17" ht="19.5" customHeight="1" x14ac:dyDescent="0.25">
      <c r="A580" s="9"/>
      <c r="B580" s="9"/>
      <c r="C580" s="15"/>
      <c r="D580" s="15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</row>
    <row r="581" spans="1:17" ht="19.5" customHeight="1" x14ac:dyDescent="0.25">
      <c r="A581" s="9"/>
      <c r="B581" s="9"/>
      <c r="C581" s="15"/>
      <c r="D581" s="15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</row>
    <row r="582" spans="1:17" ht="19.5" customHeight="1" x14ac:dyDescent="0.25">
      <c r="A582" s="9"/>
      <c r="B582" s="9"/>
      <c r="C582" s="15"/>
      <c r="D582" s="15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</row>
    <row r="583" spans="1:17" ht="19.5" customHeight="1" x14ac:dyDescent="0.25">
      <c r="A583" s="9"/>
      <c r="B583" s="9"/>
      <c r="C583" s="15"/>
      <c r="D583" s="15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</row>
    <row r="584" spans="1:17" ht="19.5" customHeight="1" x14ac:dyDescent="0.25">
      <c r="A584" s="9"/>
      <c r="B584" s="9"/>
      <c r="C584" s="15"/>
      <c r="D584" s="15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</row>
    <row r="585" spans="1:17" ht="19.5" customHeight="1" x14ac:dyDescent="0.25">
      <c r="A585" s="9"/>
      <c r="B585" s="9"/>
      <c r="C585" s="15"/>
      <c r="D585" s="15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</row>
    <row r="586" spans="1:17" ht="19.5" customHeight="1" x14ac:dyDescent="0.25">
      <c r="A586" s="9"/>
      <c r="B586" s="9"/>
      <c r="C586" s="15"/>
      <c r="D586" s="15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</row>
    <row r="587" spans="1:17" ht="19.5" customHeight="1" x14ac:dyDescent="0.25">
      <c r="A587" s="9"/>
      <c r="B587" s="9"/>
      <c r="C587" s="15"/>
      <c r="D587" s="15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</row>
    <row r="588" spans="1:17" ht="19.5" customHeight="1" x14ac:dyDescent="0.25">
      <c r="A588" s="9"/>
      <c r="B588" s="9"/>
      <c r="C588" s="15"/>
      <c r="D588" s="15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</row>
    <row r="589" spans="1:17" ht="19.5" customHeight="1" x14ac:dyDescent="0.25">
      <c r="A589" s="9"/>
      <c r="B589" s="9"/>
      <c r="C589" s="15"/>
      <c r="D589" s="15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</row>
    <row r="590" spans="1:17" ht="19.5" customHeight="1" x14ac:dyDescent="0.25">
      <c r="A590" s="9"/>
      <c r="B590" s="9"/>
      <c r="C590" s="15"/>
      <c r="D590" s="15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</row>
    <row r="591" spans="1:17" ht="19.5" customHeight="1" x14ac:dyDescent="0.25">
      <c r="A591" s="9"/>
      <c r="B591" s="9"/>
      <c r="C591" s="15"/>
      <c r="D591" s="15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</row>
    <row r="592" spans="1:17" ht="19.5" customHeight="1" x14ac:dyDescent="0.25">
      <c r="A592" s="9"/>
      <c r="B592" s="9"/>
      <c r="C592" s="15"/>
      <c r="D592" s="15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</row>
    <row r="593" spans="1:17" ht="19.5" customHeight="1" x14ac:dyDescent="0.25">
      <c r="A593" s="9"/>
      <c r="B593" s="9"/>
      <c r="C593" s="15"/>
      <c r="D593" s="15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</row>
    <row r="594" spans="1:17" ht="19.5" customHeight="1" x14ac:dyDescent="0.25">
      <c r="A594" s="9"/>
      <c r="B594" s="9"/>
      <c r="C594" s="15"/>
      <c r="D594" s="15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</row>
    <row r="595" spans="1:17" ht="19.5" customHeight="1" x14ac:dyDescent="0.25">
      <c r="A595" s="9"/>
      <c r="B595" s="9"/>
      <c r="C595" s="15"/>
      <c r="D595" s="15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</row>
    <row r="596" spans="1:17" ht="19.5" customHeight="1" x14ac:dyDescent="0.25">
      <c r="A596" s="9"/>
      <c r="B596" s="9"/>
      <c r="C596" s="15"/>
      <c r="D596" s="15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</row>
    <row r="597" spans="1:17" ht="19.5" customHeight="1" x14ac:dyDescent="0.25">
      <c r="A597" s="9"/>
      <c r="B597" s="9"/>
      <c r="C597" s="15"/>
      <c r="D597" s="15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</row>
    <row r="598" spans="1:17" ht="19.5" customHeight="1" x14ac:dyDescent="0.25">
      <c r="A598" s="9"/>
      <c r="B598" s="9"/>
      <c r="C598" s="15"/>
      <c r="D598" s="15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</row>
    <row r="599" spans="1:17" ht="19.5" customHeight="1" x14ac:dyDescent="0.25">
      <c r="A599" s="9"/>
      <c r="B599" s="9"/>
      <c r="C599" s="15"/>
      <c r="D599" s="15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</row>
    <row r="600" spans="1:17" ht="19.5" customHeight="1" x14ac:dyDescent="0.25">
      <c r="A600" s="9"/>
      <c r="B600" s="9"/>
      <c r="C600" s="15"/>
      <c r="D600" s="15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</row>
    <row r="601" spans="1:17" ht="19.5" customHeight="1" x14ac:dyDescent="0.25">
      <c r="A601" s="9"/>
      <c r="B601" s="9"/>
      <c r="C601" s="15"/>
      <c r="D601" s="15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</row>
    <row r="602" spans="1:17" ht="19.5" customHeight="1" x14ac:dyDescent="0.25">
      <c r="A602" s="9"/>
      <c r="B602" s="9"/>
      <c r="C602" s="15"/>
      <c r="D602" s="15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</row>
    <row r="603" spans="1:17" ht="19.5" customHeight="1" x14ac:dyDescent="0.25">
      <c r="A603" s="9"/>
      <c r="B603" s="9"/>
      <c r="C603" s="15"/>
      <c r="D603" s="15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</row>
    <row r="604" spans="1:17" ht="19.5" customHeight="1" x14ac:dyDescent="0.25">
      <c r="A604" s="9"/>
      <c r="B604" s="9"/>
      <c r="C604" s="15"/>
      <c r="D604" s="15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</row>
    <row r="605" spans="1:17" ht="19.5" customHeight="1" x14ac:dyDescent="0.25">
      <c r="A605" s="9"/>
      <c r="B605" s="9"/>
      <c r="C605" s="15"/>
      <c r="D605" s="15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</row>
    <row r="606" spans="1:17" ht="19.5" customHeight="1" x14ac:dyDescent="0.25">
      <c r="A606" s="9"/>
      <c r="B606" s="9"/>
      <c r="C606" s="15"/>
      <c r="D606" s="15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</row>
    <row r="607" spans="1:17" ht="19.5" customHeight="1" x14ac:dyDescent="0.25">
      <c r="A607" s="9"/>
      <c r="B607" s="9"/>
      <c r="C607" s="15"/>
      <c r="D607" s="15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</row>
    <row r="608" spans="1:17" ht="19.5" customHeight="1" x14ac:dyDescent="0.25">
      <c r="A608" s="9"/>
      <c r="B608" s="9"/>
      <c r="C608" s="15"/>
      <c r="D608" s="15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</row>
    <row r="609" spans="1:17" ht="19.5" customHeight="1" x14ac:dyDescent="0.25">
      <c r="A609" s="9"/>
      <c r="B609" s="9"/>
      <c r="C609" s="15"/>
      <c r="D609" s="15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</row>
    <row r="610" spans="1:17" ht="19.5" customHeight="1" x14ac:dyDescent="0.25">
      <c r="A610" s="9"/>
      <c r="B610" s="9"/>
      <c r="C610" s="15"/>
      <c r="D610" s="15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</row>
    <row r="611" spans="1:17" ht="19.5" customHeight="1" x14ac:dyDescent="0.25">
      <c r="A611" s="9"/>
      <c r="B611" s="9"/>
      <c r="C611" s="15"/>
      <c r="D611" s="15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</row>
    <row r="612" spans="1:17" ht="19.5" customHeight="1" x14ac:dyDescent="0.25">
      <c r="A612" s="9"/>
      <c r="B612" s="9"/>
      <c r="C612" s="15"/>
      <c r="D612" s="15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</row>
    <row r="613" spans="1:17" ht="19.5" customHeight="1" x14ac:dyDescent="0.25">
      <c r="A613" s="9"/>
      <c r="B613" s="9"/>
      <c r="C613" s="15"/>
      <c r="D613" s="15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</row>
    <row r="614" spans="1:17" ht="19.5" customHeight="1" x14ac:dyDescent="0.25">
      <c r="A614" s="9"/>
      <c r="B614" s="9"/>
      <c r="C614" s="15"/>
      <c r="D614" s="15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</row>
    <row r="615" spans="1:17" ht="19.5" customHeight="1" x14ac:dyDescent="0.25">
      <c r="A615" s="9"/>
      <c r="B615" s="9"/>
      <c r="C615" s="15"/>
      <c r="D615" s="15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</row>
    <row r="616" spans="1:17" ht="19.5" customHeight="1" x14ac:dyDescent="0.25">
      <c r="A616" s="9"/>
      <c r="B616" s="9"/>
      <c r="C616" s="15"/>
      <c r="D616" s="15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</row>
    <row r="617" spans="1:17" ht="19.5" customHeight="1" x14ac:dyDescent="0.25">
      <c r="A617" s="9"/>
      <c r="B617" s="9"/>
      <c r="C617" s="15"/>
      <c r="D617" s="15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</row>
    <row r="618" spans="1:17" ht="19.5" customHeight="1" x14ac:dyDescent="0.25">
      <c r="A618" s="9"/>
      <c r="B618" s="9"/>
      <c r="C618" s="15"/>
      <c r="D618" s="15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</row>
    <row r="619" spans="1:17" ht="19.5" customHeight="1" x14ac:dyDescent="0.25">
      <c r="A619" s="9"/>
      <c r="B619" s="9"/>
      <c r="C619" s="15"/>
      <c r="D619" s="15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</row>
    <row r="620" spans="1:17" ht="19.5" customHeight="1" x14ac:dyDescent="0.25">
      <c r="A620" s="9"/>
      <c r="B620" s="9"/>
      <c r="C620" s="15"/>
      <c r="D620" s="15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</row>
    <row r="621" spans="1:17" ht="19.5" customHeight="1" x14ac:dyDescent="0.25">
      <c r="A621" s="9"/>
      <c r="B621" s="9"/>
      <c r="C621" s="15"/>
      <c r="D621" s="15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</row>
    <row r="622" spans="1:17" ht="19.5" customHeight="1" x14ac:dyDescent="0.25">
      <c r="A622" s="9"/>
      <c r="B622" s="9"/>
      <c r="C622" s="15"/>
      <c r="D622" s="15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</row>
    <row r="623" spans="1:17" ht="19.5" customHeight="1" x14ac:dyDescent="0.25">
      <c r="A623" s="9"/>
      <c r="B623" s="9"/>
      <c r="C623" s="15"/>
      <c r="D623" s="15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</row>
    <row r="624" spans="1:17" ht="19.5" customHeight="1" x14ac:dyDescent="0.25">
      <c r="A624" s="9"/>
      <c r="B624" s="9"/>
      <c r="C624" s="15"/>
      <c r="D624" s="15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</row>
    <row r="625" spans="1:17" ht="19.5" customHeight="1" x14ac:dyDescent="0.25">
      <c r="A625" s="9"/>
      <c r="B625" s="9"/>
      <c r="C625" s="15"/>
      <c r="D625" s="15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</row>
    <row r="626" spans="1:17" ht="19.5" customHeight="1" x14ac:dyDescent="0.25">
      <c r="A626" s="9"/>
      <c r="B626" s="9"/>
      <c r="C626" s="15"/>
      <c r="D626" s="15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</row>
    <row r="627" spans="1:17" ht="19.5" customHeight="1" x14ac:dyDescent="0.25">
      <c r="A627" s="9"/>
      <c r="B627" s="9"/>
      <c r="C627" s="15"/>
      <c r="D627" s="15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</row>
    <row r="628" spans="1:17" ht="19.5" customHeight="1" x14ac:dyDescent="0.25">
      <c r="A628" s="9"/>
      <c r="B628" s="9"/>
      <c r="C628" s="15"/>
      <c r="D628" s="15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</row>
    <row r="629" spans="1:17" ht="19.5" customHeight="1" x14ac:dyDescent="0.25">
      <c r="A629" s="9"/>
      <c r="B629" s="9"/>
      <c r="C629" s="15"/>
      <c r="D629" s="15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</row>
    <row r="630" spans="1:17" ht="19.5" customHeight="1" x14ac:dyDescent="0.25">
      <c r="A630" s="9"/>
      <c r="B630" s="9"/>
      <c r="C630" s="15"/>
      <c r="D630" s="15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</row>
    <row r="631" spans="1:17" ht="19.5" customHeight="1" x14ac:dyDescent="0.25">
      <c r="A631" s="9"/>
      <c r="B631" s="9"/>
      <c r="C631" s="15"/>
      <c r="D631" s="15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</row>
    <row r="632" spans="1:17" ht="19.5" customHeight="1" x14ac:dyDescent="0.25">
      <c r="A632" s="9"/>
      <c r="B632" s="9"/>
      <c r="C632" s="15"/>
      <c r="D632" s="15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</row>
    <row r="633" spans="1:17" ht="19.5" customHeight="1" x14ac:dyDescent="0.25">
      <c r="A633" s="9"/>
      <c r="B633" s="9"/>
      <c r="C633" s="15"/>
      <c r="D633" s="15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</row>
    <row r="634" spans="1:17" ht="19.5" customHeight="1" x14ac:dyDescent="0.25">
      <c r="A634" s="9"/>
      <c r="B634" s="9"/>
      <c r="C634" s="15"/>
      <c r="D634" s="15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</row>
    <row r="635" spans="1:17" ht="19.5" customHeight="1" x14ac:dyDescent="0.25">
      <c r="A635" s="9"/>
      <c r="B635" s="9"/>
      <c r="C635" s="15"/>
      <c r="D635" s="15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</row>
    <row r="636" spans="1:17" ht="19.5" customHeight="1" x14ac:dyDescent="0.25">
      <c r="A636" s="9"/>
      <c r="B636" s="9"/>
      <c r="C636" s="15"/>
      <c r="D636" s="15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</row>
    <row r="637" spans="1:17" ht="19.5" customHeight="1" x14ac:dyDescent="0.25">
      <c r="A637" s="9"/>
      <c r="B637" s="9"/>
      <c r="C637" s="15"/>
      <c r="D637" s="15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</row>
    <row r="638" spans="1:17" ht="19.5" customHeight="1" x14ac:dyDescent="0.25">
      <c r="A638" s="9"/>
      <c r="B638" s="9"/>
      <c r="C638" s="15"/>
      <c r="D638" s="15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</row>
    <row r="639" spans="1:17" ht="19.5" customHeight="1" x14ac:dyDescent="0.25">
      <c r="A639" s="9"/>
      <c r="B639" s="9"/>
      <c r="C639" s="15"/>
      <c r="D639" s="15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</row>
    <row r="640" spans="1:17" ht="19.5" customHeight="1" x14ac:dyDescent="0.25">
      <c r="A640" s="9"/>
      <c r="B640" s="9"/>
      <c r="C640" s="15"/>
      <c r="D640" s="15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</row>
    <row r="641" spans="1:17" ht="19.5" customHeight="1" x14ac:dyDescent="0.25">
      <c r="A641" s="9"/>
      <c r="B641" s="9"/>
      <c r="C641" s="15"/>
      <c r="D641" s="15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</row>
    <row r="642" spans="1:17" ht="19.5" customHeight="1" x14ac:dyDescent="0.25">
      <c r="A642" s="9"/>
      <c r="B642" s="9"/>
      <c r="C642" s="15"/>
      <c r="D642" s="15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</row>
    <row r="643" spans="1:17" ht="19.5" customHeight="1" x14ac:dyDescent="0.25">
      <c r="A643" s="9"/>
      <c r="B643" s="9"/>
      <c r="C643" s="15"/>
      <c r="D643" s="15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</row>
    <row r="644" spans="1:17" ht="19.5" customHeight="1" x14ac:dyDescent="0.25">
      <c r="A644" s="9"/>
      <c r="B644" s="9"/>
      <c r="C644" s="15"/>
      <c r="D644" s="15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</row>
    <row r="645" spans="1:17" ht="19.5" customHeight="1" x14ac:dyDescent="0.25">
      <c r="A645" s="9"/>
      <c r="B645" s="9"/>
      <c r="C645" s="15"/>
      <c r="D645" s="15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</row>
    <row r="646" spans="1:17" ht="19.5" customHeight="1" x14ac:dyDescent="0.25">
      <c r="A646" s="9"/>
      <c r="B646" s="9"/>
      <c r="C646" s="15"/>
      <c r="D646" s="15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</row>
    <row r="647" spans="1:17" ht="19.5" customHeight="1" x14ac:dyDescent="0.25">
      <c r="A647" s="9"/>
      <c r="B647" s="9"/>
      <c r="C647" s="15"/>
      <c r="D647" s="15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</row>
    <row r="648" spans="1:17" ht="19.5" customHeight="1" x14ac:dyDescent="0.25">
      <c r="A648" s="9"/>
      <c r="B648" s="9"/>
      <c r="C648" s="15"/>
      <c r="D648" s="15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</row>
    <row r="649" spans="1:17" ht="19.5" customHeight="1" x14ac:dyDescent="0.25">
      <c r="A649" s="9"/>
      <c r="B649" s="9"/>
      <c r="C649" s="15"/>
      <c r="D649" s="15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</row>
    <row r="650" spans="1:17" ht="19.5" customHeight="1" x14ac:dyDescent="0.25">
      <c r="A650" s="9"/>
      <c r="B650" s="9"/>
      <c r="C650" s="15"/>
      <c r="D650" s="15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</row>
    <row r="651" spans="1:17" ht="19.5" customHeight="1" x14ac:dyDescent="0.25">
      <c r="A651" s="9"/>
      <c r="B651" s="9"/>
      <c r="C651" s="15"/>
      <c r="D651" s="15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</row>
    <row r="652" spans="1:17" ht="19.5" customHeight="1" x14ac:dyDescent="0.25">
      <c r="A652" s="9"/>
      <c r="B652" s="9"/>
      <c r="C652" s="15"/>
      <c r="D652" s="15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</row>
    <row r="653" spans="1:17" ht="19.5" customHeight="1" x14ac:dyDescent="0.25">
      <c r="A653" s="9"/>
      <c r="B653" s="9"/>
      <c r="C653" s="15"/>
      <c r="D653" s="15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</row>
    <row r="654" spans="1:17" ht="19.5" customHeight="1" x14ac:dyDescent="0.25">
      <c r="A654" s="9"/>
      <c r="B654" s="9"/>
      <c r="C654" s="15"/>
      <c r="D654" s="15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</row>
    <row r="655" spans="1:17" ht="19.5" customHeight="1" x14ac:dyDescent="0.25">
      <c r="A655" s="9"/>
      <c r="B655" s="9"/>
      <c r="C655" s="15"/>
      <c r="D655" s="15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</row>
    <row r="656" spans="1:17" ht="19.5" customHeight="1" x14ac:dyDescent="0.25">
      <c r="A656" s="9"/>
      <c r="B656" s="9"/>
      <c r="C656" s="15"/>
      <c r="D656" s="15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</row>
    <row r="657" spans="1:17" ht="19.5" customHeight="1" x14ac:dyDescent="0.25">
      <c r="A657" s="9"/>
      <c r="B657" s="9"/>
      <c r="C657" s="15"/>
      <c r="D657" s="15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</row>
    <row r="658" spans="1:17" ht="19.5" customHeight="1" x14ac:dyDescent="0.25">
      <c r="A658" s="9"/>
      <c r="B658" s="9"/>
      <c r="C658" s="15"/>
      <c r="D658" s="15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</row>
    <row r="659" spans="1:17" ht="19.5" customHeight="1" x14ac:dyDescent="0.25">
      <c r="A659" s="9"/>
      <c r="B659" s="9"/>
      <c r="C659" s="15"/>
      <c r="D659" s="15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</row>
    <row r="660" spans="1:17" ht="19.5" customHeight="1" x14ac:dyDescent="0.25">
      <c r="A660" s="9"/>
      <c r="B660" s="9"/>
      <c r="C660" s="15"/>
      <c r="D660" s="15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</row>
    <row r="661" spans="1:17" ht="19.5" customHeight="1" x14ac:dyDescent="0.25">
      <c r="A661" s="9"/>
      <c r="B661" s="9"/>
      <c r="C661" s="15"/>
      <c r="D661" s="15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</row>
    <row r="662" spans="1:17" ht="19.5" customHeight="1" x14ac:dyDescent="0.25">
      <c r="A662" s="9"/>
      <c r="B662" s="9"/>
      <c r="C662" s="15"/>
      <c r="D662" s="15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</row>
    <row r="663" spans="1:17" ht="19.5" customHeight="1" x14ac:dyDescent="0.25">
      <c r="A663" s="9"/>
      <c r="B663" s="9"/>
      <c r="C663" s="15"/>
      <c r="D663" s="15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</row>
    <row r="664" spans="1:17" ht="19.5" customHeight="1" x14ac:dyDescent="0.25">
      <c r="A664" s="9"/>
      <c r="B664" s="9"/>
      <c r="C664" s="15"/>
      <c r="D664" s="15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</row>
    <row r="665" spans="1:17" ht="19.5" customHeight="1" x14ac:dyDescent="0.25">
      <c r="A665" s="9"/>
      <c r="B665" s="9"/>
      <c r="C665" s="15"/>
      <c r="D665" s="15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</row>
    <row r="666" spans="1:17" ht="19.5" customHeight="1" x14ac:dyDescent="0.25">
      <c r="A666" s="9"/>
      <c r="B666" s="9"/>
      <c r="C666" s="15"/>
      <c r="D666" s="15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</row>
    <row r="667" spans="1:17" ht="19.5" customHeight="1" x14ac:dyDescent="0.25">
      <c r="A667" s="9"/>
      <c r="B667" s="9"/>
      <c r="C667" s="15"/>
      <c r="D667" s="15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</row>
    <row r="668" spans="1:17" ht="19.5" customHeight="1" x14ac:dyDescent="0.25">
      <c r="A668" s="9"/>
      <c r="B668" s="9"/>
      <c r="C668" s="15"/>
      <c r="D668" s="15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</row>
    <row r="669" spans="1:17" ht="19.5" customHeight="1" x14ac:dyDescent="0.25">
      <c r="A669" s="9"/>
      <c r="B669" s="9"/>
      <c r="C669" s="15"/>
      <c r="D669" s="15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</row>
    <row r="670" spans="1:17" ht="19.5" customHeight="1" x14ac:dyDescent="0.25">
      <c r="A670" s="9"/>
      <c r="B670" s="9"/>
      <c r="C670" s="15"/>
      <c r="D670" s="15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</row>
    <row r="671" spans="1:17" ht="19.5" customHeight="1" x14ac:dyDescent="0.25">
      <c r="A671" s="9"/>
      <c r="B671" s="9"/>
      <c r="C671" s="15"/>
      <c r="D671" s="15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</row>
    <row r="672" spans="1:17" ht="19.5" customHeight="1" x14ac:dyDescent="0.25">
      <c r="A672" s="9"/>
      <c r="B672" s="9"/>
      <c r="C672" s="15"/>
      <c r="D672" s="15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</row>
    <row r="673" spans="1:17" ht="19.5" customHeight="1" x14ac:dyDescent="0.25">
      <c r="A673" s="9"/>
      <c r="B673" s="9"/>
      <c r="C673" s="15"/>
      <c r="D673" s="15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</row>
    <row r="674" spans="1:17" ht="19.5" customHeight="1" x14ac:dyDescent="0.25">
      <c r="A674" s="9"/>
      <c r="B674" s="9"/>
      <c r="C674" s="15"/>
      <c r="D674" s="15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</row>
    <row r="675" spans="1:17" ht="19.5" customHeight="1" x14ac:dyDescent="0.25">
      <c r="A675" s="9"/>
      <c r="B675" s="9"/>
      <c r="C675" s="15"/>
      <c r="D675" s="15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</row>
    <row r="676" spans="1:17" ht="19.5" customHeight="1" x14ac:dyDescent="0.25">
      <c r="A676" s="9"/>
      <c r="B676" s="9"/>
      <c r="C676" s="15"/>
      <c r="D676" s="15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</row>
    <row r="677" spans="1:17" ht="19.5" customHeight="1" x14ac:dyDescent="0.25">
      <c r="A677" s="9"/>
      <c r="B677" s="9"/>
      <c r="C677" s="15"/>
      <c r="D677" s="15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</row>
    <row r="678" spans="1:17" ht="19.5" customHeight="1" x14ac:dyDescent="0.25">
      <c r="A678" s="9"/>
      <c r="B678" s="9"/>
      <c r="C678" s="15"/>
      <c r="D678" s="15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</row>
    <row r="679" spans="1:17" ht="19.5" customHeight="1" x14ac:dyDescent="0.25">
      <c r="A679" s="9"/>
      <c r="B679" s="9"/>
      <c r="C679" s="15"/>
      <c r="D679" s="15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</row>
    <row r="680" spans="1:17" ht="19.5" customHeight="1" x14ac:dyDescent="0.25">
      <c r="A680" s="9"/>
      <c r="B680" s="9"/>
      <c r="C680" s="15"/>
      <c r="D680" s="15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</row>
    <row r="681" spans="1:17" ht="19.5" customHeight="1" x14ac:dyDescent="0.25">
      <c r="A681" s="9"/>
      <c r="B681" s="9"/>
      <c r="C681" s="15"/>
      <c r="D681" s="15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</row>
    <row r="682" spans="1:17" ht="19.5" customHeight="1" x14ac:dyDescent="0.25">
      <c r="A682" s="9"/>
      <c r="B682" s="9"/>
      <c r="C682" s="15"/>
      <c r="D682" s="15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</row>
    <row r="683" spans="1:17" ht="19.5" customHeight="1" x14ac:dyDescent="0.25">
      <c r="A683" s="9"/>
      <c r="B683" s="9"/>
      <c r="C683" s="15"/>
      <c r="D683" s="15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</row>
    <row r="684" spans="1:17" ht="19.5" customHeight="1" x14ac:dyDescent="0.25">
      <c r="A684" s="9"/>
      <c r="B684" s="9"/>
      <c r="C684" s="15"/>
      <c r="D684" s="15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</row>
    <row r="685" spans="1:17" ht="19.5" customHeight="1" x14ac:dyDescent="0.25">
      <c r="A685" s="9"/>
      <c r="B685" s="9"/>
      <c r="C685" s="15"/>
      <c r="D685" s="15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</row>
    <row r="686" spans="1:17" ht="19.5" customHeight="1" x14ac:dyDescent="0.25">
      <c r="A686" s="9"/>
      <c r="B686" s="9"/>
      <c r="C686" s="15"/>
      <c r="D686" s="15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</row>
    <row r="687" spans="1:17" ht="19.5" customHeight="1" x14ac:dyDescent="0.25">
      <c r="A687" s="9"/>
      <c r="B687" s="9"/>
      <c r="C687" s="15"/>
      <c r="D687" s="15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</row>
    <row r="688" spans="1:17" ht="19.5" customHeight="1" x14ac:dyDescent="0.25">
      <c r="A688" s="9"/>
      <c r="B688" s="9"/>
      <c r="C688" s="15"/>
      <c r="D688" s="15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</row>
    <row r="689" spans="1:17" ht="19.5" customHeight="1" x14ac:dyDescent="0.25">
      <c r="A689" s="9"/>
      <c r="B689" s="9"/>
      <c r="C689" s="15"/>
      <c r="D689" s="15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</row>
    <row r="690" spans="1:17" ht="19.5" customHeight="1" x14ac:dyDescent="0.25">
      <c r="A690" s="9"/>
      <c r="B690" s="9"/>
      <c r="C690" s="15"/>
      <c r="D690" s="15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</row>
    <row r="691" spans="1:17" ht="19.5" customHeight="1" x14ac:dyDescent="0.25">
      <c r="A691" s="9"/>
      <c r="B691" s="9"/>
      <c r="C691" s="15"/>
      <c r="D691" s="15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</row>
    <row r="692" spans="1:17" ht="19.5" customHeight="1" x14ac:dyDescent="0.25">
      <c r="A692" s="9"/>
      <c r="B692" s="9"/>
      <c r="C692" s="15"/>
      <c r="D692" s="15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</row>
    <row r="693" spans="1:17" ht="19.5" customHeight="1" x14ac:dyDescent="0.25">
      <c r="A693" s="9"/>
      <c r="B693" s="9"/>
      <c r="C693" s="15"/>
      <c r="D693" s="15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</row>
    <row r="694" spans="1:17" ht="19.5" customHeight="1" x14ac:dyDescent="0.25">
      <c r="A694" s="9"/>
      <c r="B694" s="9"/>
      <c r="C694" s="15"/>
      <c r="D694" s="15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</row>
    <row r="695" spans="1:17" ht="19.5" customHeight="1" x14ac:dyDescent="0.25">
      <c r="A695" s="9"/>
      <c r="B695" s="9"/>
      <c r="C695" s="15"/>
      <c r="D695" s="15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</row>
    <row r="696" spans="1:17" ht="19.5" customHeight="1" x14ac:dyDescent="0.25">
      <c r="A696" s="9"/>
      <c r="B696" s="9"/>
      <c r="C696" s="15"/>
      <c r="D696" s="15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</row>
    <row r="697" spans="1:17" ht="19.5" customHeight="1" x14ac:dyDescent="0.25">
      <c r="A697" s="9"/>
      <c r="B697" s="9"/>
      <c r="C697" s="15"/>
      <c r="D697" s="15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</row>
    <row r="698" spans="1:17" ht="19.5" customHeight="1" x14ac:dyDescent="0.25">
      <c r="A698" s="9"/>
      <c r="B698" s="9"/>
      <c r="C698" s="15"/>
      <c r="D698" s="15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</row>
    <row r="699" spans="1:17" ht="19.5" customHeight="1" x14ac:dyDescent="0.25">
      <c r="A699" s="9"/>
      <c r="B699" s="9"/>
      <c r="C699" s="15"/>
      <c r="D699" s="15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</row>
    <row r="700" spans="1:17" ht="19.5" customHeight="1" x14ac:dyDescent="0.25">
      <c r="A700" s="9"/>
      <c r="B700" s="9"/>
      <c r="C700" s="15"/>
      <c r="D700" s="15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</row>
    <row r="701" spans="1:17" ht="19.5" customHeight="1" x14ac:dyDescent="0.25">
      <c r="A701" s="9"/>
      <c r="B701" s="9"/>
      <c r="C701" s="15"/>
      <c r="D701" s="15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</row>
    <row r="702" spans="1:17" ht="19.5" customHeight="1" x14ac:dyDescent="0.25">
      <c r="A702" s="9"/>
      <c r="B702" s="9"/>
      <c r="C702" s="15"/>
      <c r="D702" s="15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</row>
    <row r="703" spans="1:17" ht="19.5" customHeight="1" x14ac:dyDescent="0.25">
      <c r="A703" s="9"/>
      <c r="B703" s="9"/>
      <c r="C703" s="15"/>
      <c r="D703" s="15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</row>
    <row r="704" spans="1:17" ht="19.5" customHeight="1" x14ac:dyDescent="0.25">
      <c r="A704" s="9"/>
      <c r="B704" s="9"/>
      <c r="C704" s="15"/>
      <c r="D704" s="15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</row>
    <row r="705" spans="1:17" ht="19.5" customHeight="1" x14ac:dyDescent="0.25">
      <c r="A705" s="9"/>
      <c r="B705" s="9"/>
      <c r="C705" s="15"/>
      <c r="D705" s="15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</row>
    <row r="706" spans="1:17" ht="19.5" customHeight="1" x14ac:dyDescent="0.25">
      <c r="A706" s="9"/>
      <c r="B706" s="9"/>
      <c r="C706" s="15"/>
      <c r="D706" s="15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</row>
    <row r="707" spans="1:17" ht="19.5" customHeight="1" x14ac:dyDescent="0.25">
      <c r="A707" s="9"/>
      <c r="B707" s="9"/>
      <c r="C707" s="15"/>
      <c r="D707" s="15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</row>
    <row r="708" spans="1:17" ht="19.5" customHeight="1" x14ac:dyDescent="0.25">
      <c r="A708" s="9"/>
      <c r="B708" s="9"/>
      <c r="C708" s="15"/>
      <c r="D708" s="15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</row>
    <row r="709" spans="1:17" ht="19.5" customHeight="1" x14ac:dyDescent="0.25">
      <c r="A709" s="9"/>
      <c r="B709" s="9"/>
      <c r="C709" s="15"/>
      <c r="D709" s="15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</row>
    <row r="710" spans="1:17" ht="19.5" customHeight="1" x14ac:dyDescent="0.25">
      <c r="A710" s="9"/>
      <c r="B710" s="9"/>
      <c r="C710" s="15"/>
      <c r="D710" s="15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</row>
    <row r="711" spans="1:17" ht="19.5" customHeight="1" x14ac:dyDescent="0.25">
      <c r="A711" s="9"/>
      <c r="B711" s="9"/>
      <c r="C711" s="15"/>
      <c r="D711" s="15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</row>
    <row r="712" spans="1:17" ht="19.5" customHeight="1" x14ac:dyDescent="0.25">
      <c r="A712" s="9"/>
      <c r="B712" s="9"/>
      <c r="C712" s="15"/>
      <c r="D712" s="15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</row>
    <row r="713" spans="1:17" ht="19.5" customHeight="1" x14ac:dyDescent="0.25">
      <c r="A713" s="9"/>
      <c r="B713" s="9"/>
      <c r="C713" s="15"/>
      <c r="D713" s="15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</row>
    <row r="714" spans="1:17" ht="19.5" customHeight="1" x14ac:dyDescent="0.25">
      <c r="A714" s="9"/>
      <c r="B714" s="9"/>
      <c r="C714" s="15"/>
      <c r="D714" s="15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</row>
    <row r="715" spans="1:17" ht="19.5" customHeight="1" x14ac:dyDescent="0.25">
      <c r="A715" s="9"/>
      <c r="B715" s="9"/>
      <c r="C715" s="15"/>
      <c r="D715" s="15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</row>
    <row r="716" spans="1:17" ht="19.5" customHeight="1" x14ac:dyDescent="0.25">
      <c r="A716" s="9"/>
      <c r="B716" s="9"/>
      <c r="C716" s="15"/>
      <c r="D716" s="15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</row>
    <row r="717" spans="1:17" ht="19.5" customHeight="1" x14ac:dyDescent="0.25">
      <c r="A717" s="9"/>
      <c r="B717" s="9"/>
      <c r="C717" s="15"/>
      <c r="D717" s="15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</row>
    <row r="718" spans="1:17" ht="19.5" customHeight="1" x14ac:dyDescent="0.25">
      <c r="A718" s="9"/>
      <c r="B718" s="9"/>
      <c r="C718" s="15"/>
      <c r="D718" s="15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</row>
    <row r="719" spans="1:17" ht="19.5" customHeight="1" x14ac:dyDescent="0.25">
      <c r="A719" s="9"/>
      <c r="B719" s="9"/>
      <c r="C719" s="15"/>
      <c r="D719" s="15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</row>
    <row r="720" spans="1:17" ht="19.5" customHeight="1" x14ac:dyDescent="0.25">
      <c r="A720" s="9"/>
      <c r="B720" s="9"/>
      <c r="C720" s="15"/>
      <c r="D720" s="15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</row>
    <row r="721" spans="1:17" ht="19.5" customHeight="1" x14ac:dyDescent="0.25">
      <c r="A721" s="9"/>
      <c r="B721" s="9"/>
      <c r="C721" s="15"/>
      <c r="D721" s="15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</row>
    <row r="722" spans="1:17" ht="19.5" customHeight="1" x14ac:dyDescent="0.25">
      <c r="A722" s="9"/>
      <c r="B722" s="9"/>
      <c r="C722" s="15"/>
      <c r="D722" s="15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</row>
    <row r="723" spans="1:17" ht="19.5" customHeight="1" x14ac:dyDescent="0.25">
      <c r="A723" s="9"/>
      <c r="B723" s="9"/>
      <c r="C723" s="15"/>
      <c r="D723" s="15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</row>
    <row r="724" spans="1:17" ht="19.5" customHeight="1" x14ac:dyDescent="0.25">
      <c r="A724" s="9"/>
      <c r="B724" s="9"/>
      <c r="C724" s="15"/>
      <c r="D724" s="15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</row>
    <row r="725" spans="1:17" ht="19.5" customHeight="1" x14ac:dyDescent="0.25">
      <c r="A725" s="9"/>
      <c r="B725" s="9"/>
      <c r="C725" s="15"/>
      <c r="D725" s="15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</row>
    <row r="726" spans="1:17" ht="19.5" customHeight="1" x14ac:dyDescent="0.25">
      <c r="A726" s="9"/>
      <c r="B726" s="9"/>
      <c r="C726" s="15"/>
      <c r="D726" s="15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</row>
    <row r="727" spans="1:17" ht="19.5" customHeight="1" x14ac:dyDescent="0.25">
      <c r="A727" s="9"/>
      <c r="B727" s="9"/>
      <c r="C727" s="15"/>
      <c r="D727" s="15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</row>
    <row r="728" spans="1:17" ht="19.5" customHeight="1" x14ac:dyDescent="0.25">
      <c r="A728" s="9"/>
      <c r="B728" s="9"/>
      <c r="C728" s="15"/>
      <c r="D728" s="15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</row>
    <row r="729" spans="1:17" ht="19.5" customHeight="1" x14ac:dyDescent="0.25">
      <c r="A729" s="9"/>
      <c r="B729" s="9"/>
      <c r="C729" s="15"/>
      <c r="D729" s="15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</row>
    <row r="730" spans="1:17" ht="19.5" customHeight="1" x14ac:dyDescent="0.25">
      <c r="A730" s="9"/>
      <c r="B730" s="9"/>
      <c r="C730" s="15"/>
      <c r="D730" s="15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</row>
    <row r="731" spans="1:17" ht="19.5" customHeight="1" x14ac:dyDescent="0.25">
      <c r="A731" s="9"/>
      <c r="B731" s="9"/>
      <c r="C731" s="15"/>
      <c r="D731" s="15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</row>
    <row r="732" spans="1:17" ht="19.5" customHeight="1" x14ac:dyDescent="0.25">
      <c r="A732" s="9"/>
      <c r="B732" s="9"/>
      <c r="C732" s="15"/>
      <c r="D732" s="15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</row>
    <row r="733" spans="1:17" ht="19.5" customHeight="1" x14ac:dyDescent="0.25">
      <c r="A733" s="9"/>
      <c r="B733" s="9"/>
      <c r="C733" s="15"/>
      <c r="D733" s="15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</row>
    <row r="734" spans="1:17" ht="19.5" customHeight="1" x14ac:dyDescent="0.25">
      <c r="A734" s="9"/>
      <c r="B734" s="9"/>
      <c r="C734" s="15"/>
      <c r="D734" s="15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</row>
    <row r="735" spans="1:17" ht="19.5" customHeight="1" x14ac:dyDescent="0.25">
      <c r="A735" s="9"/>
      <c r="B735" s="9"/>
      <c r="C735" s="15"/>
      <c r="D735" s="15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</row>
    <row r="736" spans="1:17" ht="19.5" customHeight="1" x14ac:dyDescent="0.25">
      <c r="A736" s="9"/>
      <c r="B736" s="9"/>
      <c r="C736" s="15"/>
      <c r="D736" s="15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</row>
    <row r="737" spans="1:17" ht="19.5" customHeight="1" x14ac:dyDescent="0.25">
      <c r="A737" s="9"/>
      <c r="B737" s="9"/>
      <c r="C737" s="15"/>
      <c r="D737" s="15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</row>
    <row r="738" spans="1:17" ht="19.5" customHeight="1" x14ac:dyDescent="0.25">
      <c r="A738" s="9"/>
      <c r="B738" s="9"/>
      <c r="C738" s="15"/>
      <c r="D738" s="15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</row>
    <row r="739" spans="1:17" ht="19.5" customHeight="1" x14ac:dyDescent="0.25">
      <c r="A739" s="9"/>
      <c r="B739" s="9"/>
      <c r="C739" s="15"/>
      <c r="D739" s="15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</row>
    <row r="740" spans="1:17" ht="19.5" customHeight="1" x14ac:dyDescent="0.25">
      <c r="A740" s="9"/>
      <c r="B740" s="9"/>
      <c r="C740" s="15"/>
      <c r="D740" s="15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</row>
    <row r="741" spans="1:17" ht="19.5" customHeight="1" x14ac:dyDescent="0.25">
      <c r="A741" s="9"/>
      <c r="B741" s="9"/>
      <c r="C741" s="15"/>
      <c r="D741" s="15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</row>
    <row r="742" spans="1:17" ht="19.5" customHeight="1" x14ac:dyDescent="0.25">
      <c r="A742" s="9"/>
      <c r="B742" s="9"/>
      <c r="C742" s="15"/>
      <c r="D742" s="15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</row>
    <row r="743" spans="1:17" ht="19.5" customHeight="1" x14ac:dyDescent="0.25">
      <c r="A743" s="9"/>
      <c r="B743" s="9"/>
      <c r="C743" s="15"/>
      <c r="D743" s="15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</row>
    <row r="744" spans="1:17" ht="19.5" customHeight="1" x14ac:dyDescent="0.25">
      <c r="A744" s="9"/>
      <c r="B744" s="9"/>
      <c r="C744" s="15"/>
      <c r="D744" s="15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</row>
    <row r="745" spans="1:17" ht="19.5" customHeight="1" x14ac:dyDescent="0.25">
      <c r="A745" s="9"/>
      <c r="B745" s="9"/>
      <c r="C745" s="15"/>
      <c r="D745" s="15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</row>
    <row r="746" spans="1:17" ht="19.5" customHeight="1" x14ac:dyDescent="0.25">
      <c r="A746" s="9"/>
      <c r="B746" s="9"/>
      <c r="C746" s="15"/>
      <c r="D746" s="15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</row>
    <row r="747" spans="1:17" ht="19.5" customHeight="1" x14ac:dyDescent="0.25">
      <c r="A747" s="9"/>
      <c r="B747" s="9"/>
      <c r="C747" s="15"/>
      <c r="D747" s="15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</row>
    <row r="748" spans="1:17" ht="19.5" customHeight="1" x14ac:dyDescent="0.25">
      <c r="A748" s="9"/>
      <c r="B748" s="9"/>
      <c r="C748" s="15"/>
      <c r="D748" s="15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</row>
    <row r="749" spans="1:17" ht="19.5" customHeight="1" x14ac:dyDescent="0.25">
      <c r="A749" s="9"/>
      <c r="B749" s="9"/>
      <c r="C749" s="15"/>
      <c r="D749" s="15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</row>
    <row r="750" spans="1:17" ht="19.5" customHeight="1" x14ac:dyDescent="0.25">
      <c r="A750" s="9"/>
      <c r="B750" s="9"/>
      <c r="C750" s="15"/>
      <c r="D750" s="15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</row>
    <row r="751" spans="1:17" ht="19.5" customHeight="1" x14ac:dyDescent="0.25">
      <c r="A751" s="9"/>
      <c r="B751" s="9"/>
      <c r="C751" s="15"/>
      <c r="D751" s="15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</row>
    <row r="752" spans="1:17" ht="19.5" customHeight="1" x14ac:dyDescent="0.25">
      <c r="A752" s="9"/>
      <c r="B752" s="9"/>
      <c r="C752" s="15"/>
      <c r="D752" s="15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</row>
    <row r="753" spans="1:17" ht="19.5" customHeight="1" x14ac:dyDescent="0.25">
      <c r="A753" s="9"/>
      <c r="B753" s="9"/>
      <c r="C753" s="15"/>
      <c r="D753" s="15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</row>
    <row r="754" spans="1:17" ht="19.5" customHeight="1" x14ac:dyDescent="0.25">
      <c r="A754" s="9"/>
      <c r="B754" s="9"/>
      <c r="C754" s="15"/>
      <c r="D754" s="15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</row>
    <row r="755" spans="1:17" ht="19.5" customHeight="1" x14ac:dyDescent="0.25">
      <c r="A755" s="9"/>
      <c r="B755" s="9"/>
      <c r="C755" s="15"/>
      <c r="D755" s="15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</row>
    <row r="756" spans="1:17" ht="19.5" customHeight="1" x14ac:dyDescent="0.25">
      <c r="A756" s="9"/>
      <c r="B756" s="9"/>
      <c r="C756" s="15"/>
      <c r="D756" s="15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</row>
    <row r="757" spans="1:17" ht="19.5" customHeight="1" x14ac:dyDescent="0.25">
      <c r="A757" s="9"/>
      <c r="B757" s="9"/>
      <c r="C757" s="15"/>
      <c r="D757" s="15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</row>
    <row r="758" spans="1:17" ht="19.5" customHeight="1" x14ac:dyDescent="0.25">
      <c r="A758" s="9"/>
      <c r="B758" s="9"/>
      <c r="C758" s="15"/>
      <c r="D758" s="15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</row>
    <row r="759" spans="1:17" ht="19.5" customHeight="1" x14ac:dyDescent="0.25">
      <c r="A759" s="9"/>
      <c r="B759" s="9"/>
      <c r="C759" s="15"/>
      <c r="D759" s="15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</row>
    <row r="760" spans="1:17" ht="19.5" customHeight="1" x14ac:dyDescent="0.25">
      <c r="A760" s="9"/>
      <c r="B760" s="9"/>
      <c r="C760" s="15"/>
      <c r="D760" s="15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</row>
    <row r="761" spans="1:17" ht="19.5" customHeight="1" x14ac:dyDescent="0.25">
      <c r="A761" s="9"/>
      <c r="B761" s="9"/>
      <c r="C761" s="15"/>
      <c r="D761" s="15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</row>
    <row r="762" spans="1:17" ht="19.5" customHeight="1" x14ac:dyDescent="0.25">
      <c r="A762" s="9"/>
      <c r="B762" s="9"/>
      <c r="C762" s="15"/>
      <c r="D762" s="15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</row>
    <row r="763" spans="1:17" ht="19.5" customHeight="1" x14ac:dyDescent="0.25">
      <c r="A763" s="9"/>
      <c r="B763" s="9"/>
      <c r="C763" s="15"/>
      <c r="D763" s="15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</row>
    <row r="764" spans="1:17" ht="19.5" customHeight="1" x14ac:dyDescent="0.25">
      <c r="A764" s="9"/>
      <c r="B764" s="9"/>
      <c r="C764" s="15"/>
      <c r="D764" s="15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</row>
    <row r="765" spans="1:17" ht="19.5" customHeight="1" x14ac:dyDescent="0.25">
      <c r="A765" s="9"/>
      <c r="B765" s="9"/>
      <c r="C765" s="15"/>
      <c r="D765" s="15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</row>
    <row r="766" spans="1:17" ht="19.5" customHeight="1" x14ac:dyDescent="0.25">
      <c r="A766" s="9"/>
      <c r="B766" s="9"/>
      <c r="C766" s="15"/>
      <c r="D766" s="15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</row>
    <row r="767" spans="1:17" ht="19.5" customHeight="1" x14ac:dyDescent="0.25">
      <c r="A767" s="9"/>
      <c r="B767" s="9"/>
      <c r="C767" s="15"/>
      <c r="D767" s="15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</row>
    <row r="768" spans="1:17" ht="19.5" customHeight="1" x14ac:dyDescent="0.25">
      <c r="A768" s="9"/>
      <c r="B768" s="9"/>
      <c r="C768" s="15"/>
      <c r="D768" s="15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</row>
    <row r="769" spans="1:17" ht="19.5" customHeight="1" x14ac:dyDescent="0.25">
      <c r="A769" s="9"/>
      <c r="B769" s="9"/>
      <c r="C769" s="15"/>
      <c r="D769" s="15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</row>
    <row r="770" spans="1:17" ht="19.5" customHeight="1" x14ac:dyDescent="0.25">
      <c r="A770" s="9"/>
      <c r="B770" s="9"/>
      <c r="C770" s="15"/>
      <c r="D770" s="15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</row>
    <row r="771" spans="1:17" ht="19.5" customHeight="1" x14ac:dyDescent="0.25">
      <c r="A771" s="9"/>
      <c r="B771" s="9"/>
      <c r="C771" s="15"/>
      <c r="D771" s="15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</row>
    <row r="772" spans="1:17" ht="19.5" customHeight="1" x14ac:dyDescent="0.25">
      <c r="A772" s="9"/>
      <c r="B772" s="9"/>
      <c r="C772" s="15"/>
      <c r="D772" s="15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</row>
    <row r="773" spans="1:17" ht="19.5" customHeight="1" x14ac:dyDescent="0.25">
      <c r="A773" s="9"/>
      <c r="B773" s="9"/>
      <c r="C773" s="15"/>
      <c r="D773" s="15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</row>
    <row r="774" spans="1:17" ht="19.5" customHeight="1" x14ac:dyDescent="0.25">
      <c r="A774" s="9"/>
      <c r="B774" s="9"/>
      <c r="C774" s="15"/>
      <c r="D774" s="15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</row>
    <row r="775" spans="1:17" ht="19.5" customHeight="1" x14ac:dyDescent="0.25">
      <c r="A775" s="9"/>
      <c r="B775" s="9"/>
      <c r="C775" s="15"/>
      <c r="D775" s="15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</row>
    <row r="776" spans="1:17" ht="19.5" customHeight="1" x14ac:dyDescent="0.25">
      <c r="A776" s="9"/>
      <c r="B776" s="9"/>
      <c r="C776" s="15"/>
      <c r="D776" s="15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</row>
    <row r="777" spans="1:17" ht="19.5" customHeight="1" x14ac:dyDescent="0.25">
      <c r="A777" s="9"/>
      <c r="B777" s="9"/>
      <c r="C777" s="15"/>
      <c r="D777" s="15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</row>
    <row r="778" spans="1:17" ht="19.5" customHeight="1" x14ac:dyDescent="0.25">
      <c r="A778" s="9"/>
      <c r="B778" s="9"/>
      <c r="C778" s="15"/>
      <c r="D778" s="15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</row>
    <row r="779" spans="1:17" ht="19.5" customHeight="1" x14ac:dyDescent="0.25">
      <c r="A779" s="9"/>
      <c r="B779" s="9"/>
      <c r="C779" s="15"/>
      <c r="D779" s="15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</row>
    <row r="780" spans="1:17" ht="19.5" customHeight="1" x14ac:dyDescent="0.25">
      <c r="A780" s="9"/>
      <c r="B780" s="9"/>
      <c r="C780" s="15"/>
      <c r="D780" s="15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</row>
    <row r="781" spans="1:17" ht="19.5" customHeight="1" x14ac:dyDescent="0.25">
      <c r="A781" s="9"/>
      <c r="B781" s="9"/>
      <c r="C781" s="15"/>
      <c r="D781" s="15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</row>
    <row r="782" spans="1:17" ht="19.5" customHeight="1" x14ac:dyDescent="0.25">
      <c r="A782" s="9"/>
      <c r="B782" s="9"/>
      <c r="C782" s="15"/>
      <c r="D782" s="15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</row>
    <row r="783" spans="1:17" ht="19.5" customHeight="1" x14ac:dyDescent="0.25">
      <c r="A783" s="9"/>
      <c r="B783" s="9"/>
      <c r="C783" s="15"/>
      <c r="D783" s="15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</row>
    <row r="784" spans="1:17" ht="19.5" customHeight="1" x14ac:dyDescent="0.25">
      <c r="A784" s="9"/>
      <c r="B784" s="9"/>
      <c r="C784" s="15"/>
      <c r="D784" s="15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</row>
    <row r="785" spans="1:17" ht="19.5" customHeight="1" x14ac:dyDescent="0.25">
      <c r="A785" s="9"/>
      <c r="B785" s="9"/>
      <c r="C785" s="15"/>
      <c r="D785" s="15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</row>
    <row r="786" spans="1:17" ht="19.5" customHeight="1" x14ac:dyDescent="0.25">
      <c r="A786" s="9"/>
      <c r="B786" s="9"/>
      <c r="C786" s="15"/>
      <c r="D786" s="15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</row>
    <row r="787" spans="1:17" ht="19.5" customHeight="1" x14ac:dyDescent="0.25">
      <c r="A787" s="9"/>
      <c r="B787" s="9"/>
      <c r="C787" s="15"/>
      <c r="D787" s="15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</row>
    <row r="788" spans="1:17" ht="19.5" customHeight="1" x14ac:dyDescent="0.25">
      <c r="A788" s="9"/>
      <c r="B788" s="9"/>
      <c r="C788" s="15"/>
      <c r="D788" s="15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</row>
    <row r="789" spans="1:17" ht="19.5" customHeight="1" x14ac:dyDescent="0.25">
      <c r="A789" s="9"/>
      <c r="B789" s="9"/>
      <c r="C789" s="15"/>
      <c r="D789" s="15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</row>
    <row r="790" spans="1:17" ht="19.5" customHeight="1" x14ac:dyDescent="0.25">
      <c r="A790" s="9"/>
      <c r="B790" s="9"/>
      <c r="C790" s="15"/>
      <c r="D790" s="15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</row>
    <row r="791" spans="1:17" ht="19.5" customHeight="1" x14ac:dyDescent="0.25">
      <c r="A791" s="9"/>
      <c r="B791" s="9"/>
      <c r="C791" s="15"/>
      <c r="D791" s="15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</row>
    <row r="792" spans="1:17" ht="19.5" customHeight="1" x14ac:dyDescent="0.25">
      <c r="A792" s="9"/>
      <c r="B792" s="9"/>
      <c r="C792" s="15"/>
      <c r="D792" s="15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</row>
    <row r="793" spans="1:17" ht="19.5" customHeight="1" x14ac:dyDescent="0.25">
      <c r="A793" s="9"/>
      <c r="B793" s="9"/>
      <c r="C793" s="15"/>
      <c r="D793" s="15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</row>
    <row r="794" spans="1:17" ht="19.5" customHeight="1" x14ac:dyDescent="0.25">
      <c r="A794" s="9"/>
      <c r="B794" s="9"/>
      <c r="C794" s="15"/>
      <c r="D794" s="15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</row>
    <row r="795" spans="1:17" ht="19.5" customHeight="1" x14ac:dyDescent="0.25">
      <c r="A795" s="9"/>
      <c r="B795" s="9"/>
      <c r="C795" s="15"/>
      <c r="D795" s="15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</row>
    <row r="796" spans="1:17" ht="19.5" customHeight="1" x14ac:dyDescent="0.25">
      <c r="A796" s="9"/>
      <c r="B796" s="9"/>
      <c r="C796" s="15"/>
      <c r="D796" s="15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</row>
    <row r="797" spans="1:17" ht="19.5" customHeight="1" x14ac:dyDescent="0.25">
      <c r="A797" s="9"/>
      <c r="B797" s="9"/>
      <c r="C797" s="15"/>
      <c r="D797" s="15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</row>
    <row r="798" spans="1:17" ht="19.5" customHeight="1" x14ac:dyDescent="0.25">
      <c r="A798" s="9"/>
      <c r="B798" s="9"/>
      <c r="C798" s="15"/>
      <c r="D798" s="15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</row>
    <row r="799" spans="1:17" ht="19.5" customHeight="1" x14ac:dyDescent="0.25">
      <c r="A799" s="9"/>
      <c r="B799" s="9"/>
      <c r="C799" s="15"/>
      <c r="D799" s="15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</row>
    <row r="800" spans="1:17" ht="19.5" customHeight="1" x14ac:dyDescent="0.25">
      <c r="A800" s="9"/>
      <c r="B800" s="9"/>
      <c r="C800" s="15"/>
      <c r="D800" s="15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</row>
    <row r="801" spans="1:17" ht="19.5" customHeight="1" x14ac:dyDescent="0.25">
      <c r="A801" s="9"/>
      <c r="B801" s="9"/>
      <c r="C801" s="15"/>
      <c r="D801" s="15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</row>
    <row r="802" spans="1:17" ht="19.5" customHeight="1" x14ac:dyDescent="0.25">
      <c r="A802" s="9"/>
      <c r="B802" s="9"/>
      <c r="C802" s="15"/>
      <c r="D802" s="15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</row>
    <row r="803" spans="1:17" ht="19.5" customHeight="1" x14ac:dyDescent="0.25">
      <c r="A803" s="9"/>
      <c r="B803" s="9"/>
      <c r="C803" s="15"/>
      <c r="D803" s="15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</row>
    <row r="804" spans="1:17" ht="19.5" customHeight="1" x14ac:dyDescent="0.25">
      <c r="A804" s="9"/>
      <c r="B804" s="9"/>
      <c r="C804" s="15"/>
      <c r="D804" s="15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</row>
    <row r="805" spans="1:17" ht="19.5" customHeight="1" x14ac:dyDescent="0.25">
      <c r="A805" s="9"/>
      <c r="B805" s="9"/>
      <c r="C805" s="15"/>
      <c r="D805" s="15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</row>
    <row r="806" spans="1:17" ht="19.5" customHeight="1" x14ac:dyDescent="0.25">
      <c r="A806" s="9"/>
      <c r="B806" s="9"/>
      <c r="C806" s="15"/>
      <c r="D806" s="15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</row>
    <row r="807" spans="1:17" ht="19.5" customHeight="1" x14ac:dyDescent="0.25">
      <c r="A807" s="9"/>
      <c r="B807" s="9"/>
      <c r="C807" s="15"/>
      <c r="D807" s="15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</row>
    <row r="808" spans="1:17" ht="19.5" customHeight="1" x14ac:dyDescent="0.25">
      <c r="A808" s="9"/>
      <c r="B808" s="9"/>
      <c r="C808" s="15"/>
      <c r="D808" s="15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</row>
    <row r="809" spans="1:17" ht="19.5" customHeight="1" x14ac:dyDescent="0.25">
      <c r="A809" s="9"/>
      <c r="B809" s="9"/>
      <c r="C809" s="15"/>
      <c r="D809" s="15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</row>
    <row r="810" spans="1:17" ht="19.5" customHeight="1" x14ac:dyDescent="0.25">
      <c r="A810" s="9"/>
      <c r="B810" s="9"/>
      <c r="C810" s="15"/>
      <c r="D810" s="15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</row>
    <row r="811" spans="1:17" ht="19.5" customHeight="1" x14ac:dyDescent="0.25">
      <c r="A811" s="9"/>
      <c r="B811" s="9"/>
      <c r="C811" s="15"/>
      <c r="D811" s="15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</row>
    <row r="812" spans="1:17" ht="19.5" customHeight="1" x14ac:dyDescent="0.25">
      <c r="A812" s="9"/>
      <c r="B812" s="9"/>
      <c r="C812" s="15"/>
      <c r="D812" s="15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</row>
    <row r="813" spans="1:17" ht="19.5" customHeight="1" x14ac:dyDescent="0.25">
      <c r="A813" s="9"/>
      <c r="B813" s="9"/>
      <c r="C813" s="15"/>
      <c r="D813" s="15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</row>
    <row r="814" spans="1:17" ht="19.5" customHeight="1" x14ac:dyDescent="0.25">
      <c r="A814" s="9"/>
      <c r="B814" s="9"/>
      <c r="C814" s="15"/>
      <c r="D814" s="15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</row>
    <row r="815" spans="1:17" ht="19.5" customHeight="1" x14ac:dyDescent="0.25">
      <c r="A815" s="9"/>
      <c r="B815" s="9"/>
      <c r="C815" s="15"/>
      <c r="D815" s="15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</row>
    <row r="816" spans="1:17" ht="19.5" customHeight="1" x14ac:dyDescent="0.25">
      <c r="A816" s="9"/>
      <c r="B816" s="9"/>
      <c r="C816" s="15"/>
      <c r="D816" s="15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</row>
    <row r="817" spans="1:17" ht="19.5" customHeight="1" x14ac:dyDescent="0.25">
      <c r="A817" s="9"/>
      <c r="B817" s="9"/>
      <c r="C817" s="15"/>
      <c r="D817" s="15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</row>
    <row r="818" spans="1:17" ht="19.5" customHeight="1" x14ac:dyDescent="0.25">
      <c r="A818" s="9"/>
      <c r="B818" s="9"/>
      <c r="C818" s="15"/>
      <c r="D818" s="15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</row>
    <row r="819" spans="1:17" ht="19.5" customHeight="1" x14ac:dyDescent="0.25">
      <c r="A819" s="9"/>
      <c r="B819" s="9"/>
      <c r="C819" s="15"/>
      <c r="D819" s="15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</row>
    <row r="820" spans="1:17" ht="19.5" customHeight="1" x14ac:dyDescent="0.25">
      <c r="A820" s="9"/>
      <c r="B820" s="9"/>
      <c r="C820" s="15"/>
      <c r="D820" s="15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</row>
    <row r="821" spans="1:17" ht="19.5" customHeight="1" x14ac:dyDescent="0.25">
      <c r="A821" s="9"/>
      <c r="B821" s="9"/>
      <c r="C821" s="15"/>
      <c r="D821" s="15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</row>
    <row r="822" spans="1:17" ht="19.5" customHeight="1" x14ac:dyDescent="0.25">
      <c r="A822" s="9"/>
      <c r="B822" s="9"/>
      <c r="C822" s="15"/>
      <c r="D822" s="15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</row>
    <row r="823" spans="1:17" ht="19.5" customHeight="1" x14ac:dyDescent="0.25">
      <c r="A823" s="9"/>
      <c r="B823" s="9"/>
      <c r="C823" s="15"/>
      <c r="D823" s="15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</row>
    <row r="824" spans="1:17" ht="19.5" customHeight="1" x14ac:dyDescent="0.25">
      <c r="A824" s="9"/>
      <c r="B824" s="9"/>
      <c r="C824" s="15"/>
      <c r="D824" s="15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</row>
    <row r="825" spans="1:17" ht="19.5" customHeight="1" x14ac:dyDescent="0.25">
      <c r="A825" s="9"/>
      <c r="B825" s="9"/>
      <c r="C825" s="15"/>
      <c r="D825" s="15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</row>
    <row r="826" spans="1:17" ht="19.5" customHeight="1" x14ac:dyDescent="0.25">
      <c r="A826" s="9"/>
      <c r="B826" s="9"/>
      <c r="C826" s="15"/>
      <c r="D826" s="15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</row>
    <row r="827" spans="1:17" ht="19.5" customHeight="1" x14ac:dyDescent="0.25">
      <c r="A827" s="9"/>
      <c r="B827" s="9"/>
      <c r="C827" s="15"/>
      <c r="D827" s="15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</row>
    <row r="828" spans="1:17" ht="19.5" customHeight="1" x14ac:dyDescent="0.25">
      <c r="A828" s="9"/>
      <c r="B828" s="9"/>
      <c r="C828" s="15"/>
      <c r="D828" s="15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</row>
    <row r="829" spans="1:17" ht="19.5" customHeight="1" x14ac:dyDescent="0.25">
      <c r="A829" s="9"/>
      <c r="B829" s="9"/>
      <c r="C829" s="15"/>
      <c r="D829" s="15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</row>
    <row r="830" spans="1:17" ht="19.5" customHeight="1" x14ac:dyDescent="0.25">
      <c r="A830" s="9"/>
      <c r="B830" s="9"/>
      <c r="C830" s="15"/>
      <c r="D830" s="15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</row>
    <row r="831" spans="1:17" ht="19.5" customHeight="1" x14ac:dyDescent="0.25">
      <c r="A831" s="9"/>
      <c r="B831" s="9"/>
      <c r="C831" s="15"/>
      <c r="D831" s="15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</row>
    <row r="832" spans="1:17" ht="19.5" customHeight="1" x14ac:dyDescent="0.25">
      <c r="A832" s="9"/>
      <c r="B832" s="9"/>
      <c r="C832" s="15"/>
      <c r="D832" s="15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</row>
    <row r="833" spans="1:17" ht="19.5" customHeight="1" x14ac:dyDescent="0.25">
      <c r="A833" s="9"/>
      <c r="B833" s="9"/>
      <c r="C833" s="15"/>
      <c r="D833" s="15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</row>
    <row r="834" spans="1:17" ht="19.5" customHeight="1" x14ac:dyDescent="0.25">
      <c r="A834" s="9"/>
      <c r="B834" s="9"/>
      <c r="C834" s="15"/>
      <c r="D834" s="15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</row>
    <row r="835" spans="1:17" ht="19.5" customHeight="1" x14ac:dyDescent="0.25">
      <c r="A835" s="9"/>
      <c r="B835" s="9"/>
      <c r="C835" s="15"/>
      <c r="D835" s="15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</row>
    <row r="836" spans="1:17" ht="19.5" customHeight="1" x14ac:dyDescent="0.25">
      <c r="A836" s="9"/>
      <c r="B836" s="9"/>
      <c r="C836" s="15"/>
      <c r="D836" s="15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</row>
    <row r="837" spans="1:17" ht="19.5" customHeight="1" x14ac:dyDescent="0.25">
      <c r="A837" s="9"/>
      <c r="B837" s="9"/>
      <c r="C837" s="15"/>
      <c r="D837" s="15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</row>
    <row r="838" spans="1:17" ht="19.5" customHeight="1" x14ac:dyDescent="0.25">
      <c r="A838" s="9"/>
      <c r="B838" s="9"/>
      <c r="C838" s="15"/>
      <c r="D838" s="15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</row>
    <row r="839" spans="1:17" ht="19.5" customHeight="1" x14ac:dyDescent="0.25">
      <c r="A839" s="9"/>
      <c r="B839" s="9"/>
      <c r="C839" s="15"/>
      <c r="D839" s="15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</row>
    <row r="840" spans="1:17" ht="19.5" customHeight="1" x14ac:dyDescent="0.25">
      <c r="A840" s="9"/>
      <c r="B840" s="9"/>
      <c r="C840" s="15"/>
      <c r="D840" s="15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</row>
    <row r="841" spans="1:17" ht="19.5" customHeight="1" x14ac:dyDescent="0.25">
      <c r="A841" s="9"/>
      <c r="B841" s="9"/>
      <c r="C841" s="15"/>
      <c r="D841" s="15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</row>
    <row r="842" spans="1:17" ht="19.5" customHeight="1" x14ac:dyDescent="0.25">
      <c r="A842" s="9"/>
      <c r="B842" s="9"/>
      <c r="C842" s="15"/>
      <c r="D842" s="15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</row>
    <row r="843" spans="1:17" ht="19.5" customHeight="1" x14ac:dyDescent="0.25">
      <c r="A843" s="9"/>
      <c r="B843" s="9"/>
      <c r="C843" s="15"/>
      <c r="D843" s="15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</row>
    <row r="844" spans="1:17" ht="19.5" customHeight="1" x14ac:dyDescent="0.25">
      <c r="A844" s="9"/>
      <c r="B844" s="9"/>
      <c r="C844" s="15"/>
      <c r="D844" s="15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</row>
    <row r="845" spans="1:17" ht="19.5" customHeight="1" x14ac:dyDescent="0.25">
      <c r="A845" s="9"/>
      <c r="B845" s="9"/>
      <c r="C845" s="15"/>
      <c r="D845" s="15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</row>
    <row r="846" spans="1:17" ht="19.5" customHeight="1" x14ac:dyDescent="0.25">
      <c r="A846" s="9"/>
      <c r="B846" s="9"/>
      <c r="C846" s="15"/>
      <c r="D846" s="15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</row>
    <row r="847" spans="1:17" ht="19.5" customHeight="1" x14ac:dyDescent="0.25">
      <c r="A847" s="9"/>
      <c r="B847" s="9"/>
      <c r="C847" s="15"/>
      <c r="D847" s="15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</row>
    <row r="848" spans="1:17" ht="19.5" customHeight="1" x14ac:dyDescent="0.25">
      <c r="A848" s="9"/>
      <c r="B848" s="9"/>
      <c r="C848" s="15"/>
      <c r="D848" s="15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</row>
    <row r="849" spans="1:17" ht="19.5" customHeight="1" x14ac:dyDescent="0.25">
      <c r="A849" s="9"/>
      <c r="B849" s="9"/>
      <c r="C849" s="15"/>
      <c r="D849" s="15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</row>
    <row r="850" spans="1:17" ht="19.5" customHeight="1" x14ac:dyDescent="0.25">
      <c r="A850" s="9"/>
      <c r="B850" s="9"/>
      <c r="C850" s="15"/>
      <c r="D850" s="15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</row>
    <row r="851" spans="1:17" ht="19.5" customHeight="1" x14ac:dyDescent="0.25">
      <c r="A851" s="9"/>
      <c r="B851" s="9"/>
      <c r="C851" s="15"/>
      <c r="D851" s="15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</row>
    <row r="852" spans="1:17" ht="19.5" customHeight="1" x14ac:dyDescent="0.25">
      <c r="A852" s="9"/>
      <c r="B852" s="9"/>
      <c r="C852" s="15"/>
      <c r="D852" s="15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</row>
    <row r="853" spans="1:17" ht="19.5" customHeight="1" x14ac:dyDescent="0.25">
      <c r="A853" s="9"/>
      <c r="B853" s="9"/>
      <c r="C853" s="15"/>
      <c r="D853" s="15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</row>
    <row r="854" spans="1:17" ht="19.5" customHeight="1" x14ac:dyDescent="0.25">
      <c r="A854" s="9"/>
      <c r="B854" s="9"/>
      <c r="C854" s="15"/>
      <c r="D854" s="15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</row>
    <row r="855" spans="1:17" ht="19.5" customHeight="1" x14ac:dyDescent="0.25">
      <c r="A855" s="9"/>
      <c r="B855" s="9"/>
      <c r="C855" s="15"/>
      <c r="D855" s="15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</row>
    <row r="856" spans="1:17" ht="19.5" customHeight="1" x14ac:dyDescent="0.25">
      <c r="A856" s="9"/>
      <c r="B856" s="9"/>
      <c r="C856" s="15"/>
      <c r="D856" s="15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</row>
    <row r="857" spans="1:17" ht="19.5" customHeight="1" x14ac:dyDescent="0.25">
      <c r="A857" s="9"/>
      <c r="B857" s="9"/>
      <c r="C857" s="15"/>
      <c r="D857" s="15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</row>
    <row r="858" spans="1:17" ht="19.5" customHeight="1" x14ac:dyDescent="0.25">
      <c r="A858" s="9"/>
      <c r="B858" s="9"/>
      <c r="C858" s="15"/>
      <c r="D858" s="15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</row>
    <row r="859" spans="1:17" ht="19.5" customHeight="1" x14ac:dyDescent="0.25">
      <c r="A859" s="9"/>
      <c r="B859" s="9"/>
      <c r="C859" s="15"/>
      <c r="D859" s="15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</row>
    <row r="860" spans="1:17" ht="19.5" customHeight="1" x14ac:dyDescent="0.25">
      <c r="A860" s="9"/>
      <c r="B860" s="9"/>
      <c r="C860" s="15"/>
      <c r="D860" s="15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</row>
    <row r="861" spans="1:17" ht="19.5" customHeight="1" x14ac:dyDescent="0.25">
      <c r="A861" s="9"/>
      <c r="B861" s="9"/>
      <c r="C861" s="15"/>
      <c r="D861" s="15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</row>
    <row r="862" spans="1:17" ht="19.5" customHeight="1" x14ac:dyDescent="0.25">
      <c r="A862" s="9"/>
      <c r="B862" s="9"/>
      <c r="C862" s="15"/>
      <c r="D862" s="15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</row>
    <row r="863" spans="1:17" ht="19.5" customHeight="1" x14ac:dyDescent="0.25">
      <c r="A863" s="9"/>
      <c r="B863" s="9"/>
      <c r="C863" s="15"/>
      <c r="D863" s="15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</row>
    <row r="864" spans="1:17" ht="19.5" customHeight="1" x14ac:dyDescent="0.25">
      <c r="A864" s="9"/>
      <c r="B864" s="9"/>
      <c r="C864" s="15"/>
      <c r="D864" s="15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</row>
    <row r="865" spans="1:17" ht="19.5" customHeight="1" x14ac:dyDescent="0.25">
      <c r="A865" s="9"/>
      <c r="B865" s="9"/>
      <c r="C865" s="15"/>
      <c r="D865" s="15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</row>
    <row r="866" spans="1:17" ht="19.5" customHeight="1" x14ac:dyDescent="0.25">
      <c r="A866" s="9"/>
      <c r="B866" s="9"/>
      <c r="C866" s="15"/>
      <c r="D866" s="15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</row>
    <row r="867" spans="1:17" ht="19.5" customHeight="1" x14ac:dyDescent="0.25">
      <c r="A867" s="9"/>
      <c r="B867" s="9"/>
      <c r="C867" s="15"/>
      <c r="D867" s="15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</row>
    <row r="868" spans="1:17" ht="19.5" customHeight="1" x14ac:dyDescent="0.25">
      <c r="A868" s="9"/>
      <c r="B868" s="9"/>
      <c r="C868" s="15"/>
      <c r="D868" s="15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</row>
    <row r="869" spans="1:17" ht="19.5" customHeight="1" x14ac:dyDescent="0.25">
      <c r="A869" s="9"/>
      <c r="B869" s="9"/>
      <c r="C869" s="15"/>
      <c r="D869" s="15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</row>
    <row r="870" spans="1:17" ht="19.5" customHeight="1" x14ac:dyDescent="0.25">
      <c r="A870" s="9"/>
      <c r="B870" s="9"/>
      <c r="C870" s="15"/>
      <c r="D870" s="15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</row>
    <row r="871" spans="1:17" ht="19.5" customHeight="1" x14ac:dyDescent="0.25">
      <c r="A871" s="9"/>
      <c r="B871" s="9"/>
      <c r="C871" s="15"/>
      <c r="D871" s="15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</row>
    <row r="872" spans="1:17" ht="19.5" customHeight="1" x14ac:dyDescent="0.25">
      <c r="A872" s="9"/>
      <c r="B872" s="9"/>
      <c r="C872" s="15"/>
      <c r="D872" s="15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</row>
    <row r="873" spans="1:17" ht="19.5" customHeight="1" x14ac:dyDescent="0.25">
      <c r="A873" s="9"/>
      <c r="B873" s="9"/>
      <c r="C873" s="15"/>
      <c r="D873" s="15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</row>
    <row r="874" spans="1:17" ht="19.5" customHeight="1" x14ac:dyDescent="0.25">
      <c r="A874" s="9"/>
      <c r="B874" s="9"/>
      <c r="C874" s="15"/>
      <c r="D874" s="15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</row>
    <row r="875" spans="1:17" ht="19.5" customHeight="1" x14ac:dyDescent="0.25">
      <c r="A875" s="9"/>
      <c r="B875" s="9"/>
      <c r="C875" s="15"/>
      <c r="D875" s="15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</row>
    <row r="876" spans="1:17" ht="19.5" customHeight="1" x14ac:dyDescent="0.25">
      <c r="A876" s="9"/>
      <c r="B876" s="9"/>
      <c r="C876" s="15"/>
      <c r="D876" s="15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</row>
    <row r="877" spans="1:17" ht="19.5" customHeight="1" x14ac:dyDescent="0.25">
      <c r="A877" s="9"/>
      <c r="B877" s="9"/>
      <c r="C877" s="15"/>
      <c r="D877" s="15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</row>
    <row r="878" spans="1:17" ht="19.5" customHeight="1" x14ac:dyDescent="0.25">
      <c r="A878" s="9"/>
      <c r="B878" s="9"/>
      <c r="C878" s="15"/>
      <c r="D878" s="15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</row>
    <row r="879" spans="1:17" ht="19.5" customHeight="1" x14ac:dyDescent="0.25">
      <c r="A879" s="9"/>
      <c r="B879" s="9"/>
      <c r="C879" s="15"/>
      <c r="D879" s="15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</row>
    <row r="880" spans="1:17" ht="19.5" customHeight="1" x14ac:dyDescent="0.25">
      <c r="A880" s="9"/>
      <c r="B880" s="9"/>
      <c r="C880" s="15"/>
      <c r="D880" s="15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</row>
    <row r="881" spans="1:17" ht="19.5" customHeight="1" x14ac:dyDescent="0.25">
      <c r="A881" s="9"/>
      <c r="B881" s="9"/>
      <c r="C881" s="15"/>
      <c r="D881" s="15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</row>
    <row r="882" spans="1:17" ht="19.5" customHeight="1" x14ac:dyDescent="0.25">
      <c r="A882" s="9"/>
      <c r="B882" s="9"/>
      <c r="C882" s="15"/>
      <c r="D882" s="15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</row>
    <row r="883" spans="1:17" ht="19.5" customHeight="1" x14ac:dyDescent="0.25">
      <c r="A883" s="9"/>
      <c r="B883" s="9"/>
      <c r="C883" s="15"/>
      <c r="D883" s="15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</row>
    <row r="884" spans="1:17" ht="19.5" customHeight="1" x14ac:dyDescent="0.25">
      <c r="A884" s="9"/>
      <c r="B884" s="9"/>
      <c r="C884" s="15"/>
      <c r="D884" s="15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</row>
    <row r="885" spans="1:17" ht="19.5" customHeight="1" x14ac:dyDescent="0.25">
      <c r="A885" s="9"/>
      <c r="B885" s="9"/>
      <c r="C885" s="15"/>
      <c r="D885" s="15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</row>
    <row r="886" spans="1:17" ht="19.5" customHeight="1" x14ac:dyDescent="0.25">
      <c r="A886" s="9"/>
      <c r="B886" s="9"/>
      <c r="C886" s="15"/>
      <c r="D886" s="15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</row>
    <row r="887" spans="1:17" ht="19.5" customHeight="1" x14ac:dyDescent="0.25">
      <c r="A887" s="9"/>
      <c r="B887" s="9"/>
      <c r="C887" s="15"/>
      <c r="D887" s="15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</row>
    <row r="888" spans="1:17" ht="19.5" customHeight="1" x14ac:dyDescent="0.25">
      <c r="A888" s="9"/>
      <c r="B888" s="9"/>
      <c r="C888" s="15"/>
      <c r="D888" s="15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</row>
    <row r="889" spans="1:17" ht="19.5" customHeight="1" x14ac:dyDescent="0.25">
      <c r="A889" s="9"/>
      <c r="B889" s="9"/>
      <c r="C889" s="15"/>
      <c r="D889" s="15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</row>
    <row r="890" spans="1:17" ht="19.5" customHeight="1" x14ac:dyDescent="0.25">
      <c r="A890" s="9"/>
      <c r="B890" s="9"/>
      <c r="C890" s="15"/>
      <c r="D890" s="15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</row>
    <row r="891" spans="1:17" ht="19.5" customHeight="1" x14ac:dyDescent="0.25">
      <c r="A891" s="9"/>
      <c r="B891" s="9"/>
      <c r="C891" s="15"/>
      <c r="D891" s="15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</row>
    <row r="892" spans="1:17" ht="19.5" customHeight="1" x14ac:dyDescent="0.25">
      <c r="A892" s="9"/>
      <c r="B892" s="9"/>
      <c r="C892" s="15"/>
      <c r="D892" s="15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</row>
    <row r="893" spans="1:17" ht="19.5" customHeight="1" x14ac:dyDescent="0.25">
      <c r="A893" s="9"/>
      <c r="B893" s="9"/>
      <c r="C893" s="15"/>
      <c r="D893" s="15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</row>
    <row r="894" spans="1:17" ht="19.5" customHeight="1" x14ac:dyDescent="0.25">
      <c r="A894" s="9"/>
      <c r="B894" s="9"/>
      <c r="C894" s="15"/>
      <c r="D894" s="15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</row>
    <row r="895" spans="1:17" ht="19.5" customHeight="1" x14ac:dyDescent="0.25">
      <c r="A895" s="9"/>
      <c r="B895" s="9"/>
      <c r="C895" s="15"/>
      <c r="D895" s="15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</row>
    <row r="896" spans="1:17" ht="19.5" customHeight="1" x14ac:dyDescent="0.25">
      <c r="A896" s="9"/>
      <c r="B896" s="9"/>
      <c r="C896" s="15"/>
      <c r="D896" s="15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</row>
    <row r="897" spans="1:17" ht="19.5" customHeight="1" x14ac:dyDescent="0.25">
      <c r="A897" s="9"/>
      <c r="B897" s="9"/>
      <c r="C897" s="15"/>
      <c r="D897" s="15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</row>
    <row r="898" spans="1:17" ht="19.5" customHeight="1" x14ac:dyDescent="0.25">
      <c r="A898" s="9"/>
      <c r="B898" s="9"/>
      <c r="C898" s="15"/>
      <c r="D898" s="15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</row>
    <row r="899" spans="1:17" ht="19.5" customHeight="1" x14ac:dyDescent="0.25">
      <c r="A899" s="9"/>
      <c r="B899" s="9"/>
      <c r="C899" s="15"/>
      <c r="D899" s="15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</row>
    <row r="900" spans="1:17" ht="19.5" customHeight="1" x14ac:dyDescent="0.25">
      <c r="A900" s="9"/>
      <c r="B900" s="9"/>
      <c r="C900" s="15"/>
      <c r="D900" s="15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</row>
    <row r="901" spans="1:17" ht="19.5" customHeight="1" x14ac:dyDescent="0.25">
      <c r="A901" s="9"/>
      <c r="B901" s="9"/>
      <c r="C901" s="15"/>
      <c r="D901" s="15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</row>
    <row r="902" spans="1:17" ht="19.5" customHeight="1" x14ac:dyDescent="0.25">
      <c r="A902" s="9"/>
      <c r="B902" s="9"/>
      <c r="C902" s="15"/>
      <c r="D902" s="15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</row>
    <row r="903" spans="1:17" ht="19.5" customHeight="1" x14ac:dyDescent="0.25">
      <c r="A903" s="9"/>
      <c r="B903" s="9"/>
      <c r="C903" s="15"/>
      <c r="D903" s="15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</row>
    <row r="904" spans="1:17" ht="19.5" customHeight="1" x14ac:dyDescent="0.25">
      <c r="A904" s="9"/>
      <c r="B904" s="9"/>
      <c r="C904" s="15"/>
      <c r="D904" s="15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</row>
    <row r="905" spans="1:17" ht="19.5" customHeight="1" x14ac:dyDescent="0.25">
      <c r="A905" s="9"/>
      <c r="B905" s="9"/>
      <c r="C905" s="15"/>
      <c r="D905" s="15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</row>
    <row r="906" spans="1:17" ht="19.5" customHeight="1" x14ac:dyDescent="0.25">
      <c r="A906" s="9"/>
      <c r="B906" s="9"/>
      <c r="C906" s="15"/>
      <c r="D906" s="15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</row>
    <row r="907" spans="1:17" ht="19.5" customHeight="1" x14ac:dyDescent="0.25">
      <c r="A907" s="9"/>
      <c r="B907" s="9"/>
      <c r="C907" s="15"/>
      <c r="D907" s="15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</row>
    <row r="908" spans="1:17" ht="19.5" customHeight="1" x14ac:dyDescent="0.25">
      <c r="A908" s="9"/>
      <c r="B908" s="9"/>
      <c r="C908" s="15"/>
      <c r="D908" s="15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</row>
    <row r="909" spans="1:17" ht="19.5" customHeight="1" x14ac:dyDescent="0.25">
      <c r="A909" s="9"/>
      <c r="B909" s="9"/>
      <c r="C909" s="15"/>
      <c r="D909" s="15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</row>
    <row r="910" spans="1:17" ht="19.5" customHeight="1" x14ac:dyDescent="0.25">
      <c r="A910" s="9"/>
      <c r="B910" s="9"/>
      <c r="C910" s="15"/>
      <c r="D910" s="15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</row>
    <row r="911" spans="1:17" ht="19.5" customHeight="1" x14ac:dyDescent="0.25">
      <c r="A911" s="9"/>
      <c r="B911" s="9"/>
      <c r="C911" s="15"/>
      <c r="D911" s="15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</row>
    <row r="912" spans="1:17" ht="19.5" customHeight="1" x14ac:dyDescent="0.25">
      <c r="A912" s="9"/>
      <c r="B912" s="9"/>
      <c r="C912" s="15"/>
      <c r="D912" s="15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</row>
    <row r="913" spans="1:17" ht="19.5" customHeight="1" x14ac:dyDescent="0.25">
      <c r="A913" s="9"/>
      <c r="B913" s="9"/>
      <c r="C913" s="15"/>
      <c r="D913" s="15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</row>
    <row r="914" spans="1:17" ht="19.5" customHeight="1" x14ac:dyDescent="0.25">
      <c r="A914" s="9"/>
      <c r="B914" s="9"/>
      <c r="C914" s="15"/>
      <c r="D914" s="15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</row>
    <row r="915" spans="1:17" ht="19.5" customHeight="1" x14ac:dyDescent="0.25">
      <c r="A915" s="9"/>
      <c r="B915" s="9"/>
      <c r="C915" s="15"/>
      <c r="D915" s="15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</row>
    <row r="916" spans="1:17" ht="19.5" customHeight="1" x14ac:dyDescent="0.25">
      <c r="A916" s="9"/>
      <c r="B916" s="9"/>
      <c r="C916" s="15"/>
      <c r="D916" s="15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</row>
    <row r="917" spans="1:17" ht="19.5" customHeight="1" x14ac:dyDescent="0.25">
      <c r="A917" s="9"/>
      <c r="B917" s="9"/>
      <c r="C917" s="15"/>
      <c r="D917" s="15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</row>
    <row r="918" spans="1:17" ht="19.5" customHeight="1" x14ac:dyDescent="0.25">
      <c r="A918" s="9"/>
      <c r="B918" s="9"/>
      <c r="C918" s="15"/>
      <c r="D918" s="15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</row>
    <row r="919" spans="1:17" ht="19.5" customHeight="1" x14ac:dyDescent="0.25">
      <c r="A919" s="9"/>
      <c r="B919" s="9"/>
      <c r="C919" s="15"/>
      <c r="D919" s="15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</row>
    <row r="920" spans="1:17" ht="19.5" customHeight="1" x14ac:dyDescent="0.25">
      <c r="A920" s="9"/>
      <c r="B920" s="9"/>
      <c r="C920" s="15"/>
      <c r="D920" s="15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</row>
    <row r="921" spans="1:17" ht="19.5" customHeight="1" x14ac:dyDescent="0.25">
      <c r="A921" s="9"/>
      <c r="B921" s="9"/>
      <c r="C921" s="15"/>
      <c r="D921" s="15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</row>
    <row r="922" spans="1:17" ht="19.5" customHeight="1" x14ac:dyDescent="0.25">
      <c r="A922" s="9"/>
      <c r="B922" s="9"/>
      <c r="C922" s="15"/>
      <c r="D922" s="15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</row>
    <row r="923" spans="1:17" ht="19.5" customHeight="1" x14ac:dyDescent="0.25">
      <c r="A923" s="9"/>
      <c r="B923" s="9"/>
      <c r="C923" s="15"/>
      <c r="D923" s="15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</row>
    <row r="924" spans="1:17" ht="19.5" customHeight="1" x14ac:dyDescent="0.25">
      <c r="A924" s="9"/>
      <c r="B924" s="9"/>
      <c r="C924" s="15"/>
      <c r="D924" s="15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</row>
    <row r="925" spans="1:17" ht="19.5" customHeight="1" x14ac:dyDescent="0.25">
      <c r="A925" s="9"/>
      <c r="B925" s="9"/>
      <c r="C925" s="15"/>
      <c r="D925" s="15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</row>
    <row r="926" spans="1:17" ht="19.5" customHeight="1" x14ac:dyDescent="0.25">
      <c r="A926" s="9"/>
      <c r="B926" s="9"/>
      <c r="C926" s="15"/>
      <c r="D926" s="15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</row>
    <row r="927" spans="1:17" ht="19.5" customHeight="1" x14ac:dyDescent="0.25">
      <c r="A927" s="9"/>
      <c r="B927" s="9"/>
      <c r="C927" s="15"/>
      <c r="D927" s="15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</row>
    <row r="928" spans="1:17" ht="19.5" customHeight="1" x14ac:dyDescent="0.25">
      <c r="A928" s="9"/>
      <c r="B928" s="9"/>
      <c r="C928" s="15"/>
      <c r="D928" s="15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</row>
    <row r="929" spans="1:17" ht="19.5" customHeight="1" x14ac:dyDescent="0.25">
      <c r="A929" s="9"/>
      <c r="B929" s="9"/>
      <c r="C929" s="15"/>
      <c r="D929" s="15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</row>
    <row r="930" spans="1:17" ht="19.5" customHeight="1" x14ac:dyDescent="0.25">
      <c r="A930" s="9"/>
      <c r="B930" s="9"/>
      <c r="C930" s="15"/>
      <c r="D930" s="15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</row>
    <row r="931" spans="1:17" ht="19.5" customHeight="1" x14ac:dyDescent="0.25">
      <c r="A931" s="9"/>
      <c r="B931" s="9"/>
      <c r="C931" s="15"/>
      <c r="D931" s="15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</row>
    <row r="932" spans="1:17" ht="19.5" customHeight="1" x14ac:dyDescent="0.25">
      <c r="A932" s="9"/>
      <c r="B932" s="9"/>
      <c r="C932" s="15"/>
      <c r="D932" s="15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</row>
    <row r="933" spans="1:17" ht="19.5" customHeight="1" x14ac:dyDescent="0.25">
      <c r="A933" s="9"/>
      <c r="B933" s="9"/>
      <c r="C933" s="15"/>
      <c r="D933" s="15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</row>
    <row r="934" spans="1:17" ht="19.5" customHeight="1" x14ac:dyDescent="0.25">
      <c r="A934" s="9"/>
      <c r="B934" s="9"/>
      <c r="C934" s="15"/>
      <c r="D934" s="15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</row>
    <row r="935" spans="1:17" ht="19.5" customHeight="1" x14ac:dyDescent="0.25">
      <c r="A935" s="9"/>
      <c r="B935" s="9"/>
      <c r="C935" s="15"/>
      <c r="D935" s="15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</row>
    <row r="936" spans="1:17" ht="19.5" customHeight="1" x14ac:dyDescent="0.25">
      <c r="A936" s="9"/>
      <c r="B936" s="9"/>
      <c r="C936" s="15"/>
      <c r="D936" s="15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</row>
    <row r="937" spans="1:17" ht="19.5" customHeight="1" x14ac:dyDescent="0.25">
      <c r="A937" s="9"/>
      <c r="B937" s="9"/>
      <c r="C937" s="15"/>
      <c r="D937" s="15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</row>
    <row r="938" spans="1:17" ht="19.5" customHeight="1" x14ac:dyDescent="0.25">
      <c r="A938" s="9"/>
      <c r="B938" s="9"/>
      <c r="C938" s="15"/>
      <c r="D938" s="15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</row>
    <row r="939" spans="1:17" ht="19.5" customHeight="1" x14ac:dyDescent="0.25">
      <c r="A939" s="9"/>
      <c r="B939" s="9"/>
      <c r="C939" s="15"/>
      <c r="D939" s="15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</row>
    <row r="940" spans="1:17" ht="19.5" customHeight="1" x14ac:dyDescent="0.25">
      <c r="A940" s="9"/>
      <c r="B940" s="9"/>
      <c r="C940" s="15"/>
      <c r="D940" s="15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</row>
    <row r="941" spans="1:17" ht="19.5" customHeight="1" x14ac:dyDescent="0.25">
      <c r="A941" s="9"/>
      <c r="B941" s="9"/>
      <c r="C941" s="15"/>
      <c r="D941" s="15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</row>
    <row r="942" spans="1:17" ht="19.5" customHeight="1" x14ac:dyDescent="0.25">
      <c r="A942" s="9"/>
      <c r="B942" s="9"/>
      <c r="C942" s="15"/>
      <c r="D942" s="15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</row>
    <row r="943" spans="1:17" ht="19.5" customHeight="1" x14ac:dyDescent="0.25">
      <c r="A943" s="9"/>
      <c r="B943" s="9"/>
      <c r="C943" s="15"/>
      <c r="D943" s="15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</row>
    <row r="944" spans="1:17" ht="19.5" customHeight="1" x14ac:dyDescent="0.25">
      <c r="A944" s="9"/>
      <c r="B944" s="9"/>
      <c r="C944" s="15"/>
      <c r="D944" s="15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</row>
    <row r="945" spans="1:17" ht="19.5" customHeight="1" x14ac:dyDescent="0.25">
      <c r="A945" s="9"/>
      <c r="B945" s="9"/>
      <c r="C945" s="15"/>
      <c r="D945" s="15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</row>
    <row r="946" spans="1:17" ht="19.5" customHeight="1" x14ac:dyDescent="0.25">
      <c r="A946" s="9"/>
      <c r="B946" s="9"/>
      <c r="C946" s="15"/>
      <c r="D946" s="15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</row>
    <row r="947" spans="1:17" ht="19.5" customHeight="1" x14ac:dyDescent="0.25">
      <c r="A947" s="9"/>
      <c r="B947" s="9"/>
      <c r="C947" s="15"/>
      <c r="D947" s="15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</row>
    <row r="948" spans="1:17" ht="19.5" customHeight="1" x14ac:dyDescent="0.25">
      <c r="A948" s="9"/>
      <c r="B948" s="9"/>
      <c r="C948" s="15"/>
      <c r="D948" s="15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</row>
    <row r="949" spans="1:17" ht="19.5" customHeight="1" x14ac:dyDescent="0.25">
      <c r="A949" s="9"/>
      <c r="B949" s="9"/>
      <c r="C949" s="15"/>
      <c r="D949" s="15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</row>
    <row r="950" spans="1:17" ht="19.5" customHeight="1" x14ac:dyDescent="0.25">
      <c r="A950" s="9"/>
      <c r="B950" s="9"/>
      <c r="C950" s="15"/>
      <c r="D950" s="15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</row>
    <row r="951" spans="1:17" ht="19.5" customHeight="1" x14ac:dyDescent="0.25">
      <c r="A951" s="9"/>
      <c r="B951" s="9"/>
      <c r="C951" s="15"/>
      <c r="D951" s="15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</row>
    <row r="952" spans="1:17" ht="19.5" customHeight="1" x14ac:dyDescent="0.25">
      <c r="A952" s="9"/>
      <c r="B952" s="9"/>
      <c r="C952" s="15"/>
      <c r="D952" s="15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</row>
    <row r="953" spans="1:17" ht="19.5" customHeight="1" x14ac:dyDescent="0.25">
      <c r="A953" s="9"/>
      <c r="B953" s="9"/>
      <c r="C953" s="15"/>
      <c r="D953" s="15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</row>
    <row r="954" spans="1:17" ht="19.5" customHeight="1" x14ac:dyDescent="0.25">
      <c r="A954" s="9"/>
      <c r="B954" s="9"/>
      <c r="C954" s="15"/>
      <c r="D954" s="15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</row>
    <row r="955" spans="1:17" ht="19.5" customHeight="1" x14ac:dyDescent="0.25">
      <c r="A955" s="9"/>
      <c r="B955" s="9"/>
      <c r="C955" s="15"/>
      <c r="D955" s="15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</row>
    <row r="956" spans="1:17" ht="19.5" customHeight="1" x14ac:dyDescent="0.25">
      <c r="A956" s="9"/>
      <c r="B956" s="9"/>
      <c r="C956" s="15"/>
      <c r="D956" s="15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</row>
    <row r="957" spans="1:17" ht="19.5" customHeight="1" x14ac:dyDescent="0.25">
      <c r="A957" s="9"/>
      <c r="B957" s="9"/>
      <c r="C957" s="15"/>
      <c r="D957" s="15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</row>
    <row r="958" spans="1:17" ht="19.5" customHeight="1" x14ac:dyDescent="0.25">
      <c r="A958" s="9"/>
      <c r="B958" s="9"/>
      <c r="C958" s="15"/>
      <c r="D958" s="15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</row>
    <row r="959" spans="1:17" ht="19.5" customHeight="1" x14ac:dyDescent="0.25">
      <c r="A959" s="9"/>
      <c r="B959" s="9"/>
      <c r="C959" s="15"/>
      <c r="D959" s="15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</row>
    <row r="960" spans="1:17" ht="19.5" customHeight="1" x14ac:dyDescent="0.25">
      <c r="A960" s="9"/>
      <c r="B960" s="9"/>
      <c r="C960" s="15"/>
      <c r="D960" s="15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</row>
    <row r="961" spans="1:17" ht="19.5" customHeight="1" x14ac:dyDescent="0.25">
      <c r="A961" s="9"/>
      <c r="B961" s="9"/>
      <c r="C961" s="15"/>
      <c r="D961" s="15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</row>
    <row r="962" spans="1:17" ht="19.5" customHeight="1" x14ac:dyDescent="0.25">
      <c r="A962" s="9"/>
      <c r="B962" s="9"/>
      <c r="C962" s="15"/>
      <c r="D962" s="15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</row>
    <row r="963" spans="1:17" ht="19.5" customHeight="1" x14ac:dyDescent="0.25">
      <c r="A963" s="9"/>
      <c r="B963" s="9"/>
      <c r="C963" s="15"/>
      <c r="D963" s="15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</row>
    <row r="964" spans="1:17" ht="19.5" customHeight="1" x14ac:dyDescent="0.25">
      <c r="A964" s="9"/>
      <c r="B964" s="9"/>
      <c r="C964" s="15"/>
      <c r="D964" s="15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</row>
    <row r="965" spans="1:17" ht="19.5" customHeight="1" x14ac:dyDescent="0.25">
      <c r="A965" s="9"/>
      <c r="B965" s="9"/>
      <c r="C965" s="15"/>
      <c r="D965" s="15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</row>
    <row r="966" spans="1:17" ht="19.5" customHeight="1" x14ac:dyDescent="0.25">
      <c r="A966" s="9"/>
      <c r="B966" s="9"/>
      <c r="C966" s="15"/>
      <c r="D966" s="15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</row>
    <row r="967" spans="1:17" ht="19.5" customHeight="1" x14ac:dyDescent="0.25">
      <c r="A967" s="9"/>
      <c r="B967" s="9"/>
      <c r="C967" s="15"/>
      <c r="D967" s="15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</row>
    <row r="968" spans="1:17" ht="19.5" customHeight="1" x14ac:dyDescent="0.25">
      <c r="A968" s="9"/>
      <c r="B968" s="9"/>
      <c r="C968" s="15"/>
      <c r="D968" s="15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</row>
    <row r="969" spans="1:17" ht="19.5" customHeight="1" x14ac:dyDescent="0.25">
      <c r="A969" s="9"/>
      <c r="B969" s="9"/>
      <c r="C969" s="15"/>
      <c r="D969" s="15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</row>
    <row r="970" spans="1:17" ht="19.5" customHeight="1" x14ac:dyDescent="0.25">
      <c r="A970" s="9"/>
      <c r="B970" s="9"/>
      <c r="C970" s="15"/>
      <c r="D970" s="15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</row>
    <row r="971" spans="1:17" ht="19.5" customHeight="1" x14ac:dyDescent="0.25">
      <c r="A971" s="9"/>
      <c r="B971" s="9"/>
      <c r="C971" s="15"/>
      <c r="D971" s="15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</row>
    <row r="972" spans="1:17" ht="19.5" customHeight="1" x14ac:dyDescent="0.25">
      <c r="A972" s="9"/>
      <c r="B972" s="9"/>
      <c r="C972" s="15"/>
      <c r="D972" s="15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</row>
    <row r="973" spans="1:17" ht="19.5" customHeight="1" x14ac:dyDescent="0.25">
      <c r="A973" s="9"/>
      <c r="B973" s="9"/>
      <c r="C973" s="15"/>
      <c r="D973" s="15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</row>
    <row r="974" spans="1:17" ht="19.5" customHeight="1" x14ac:dyDescent="0.25">
      <c r="A974" s="9"/>
      <c r="B974" s="9"/>
      <c r="C974" s="15"/>
      <c r="D974" s="15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</row>
    <row r="975" spans="1:17" ht="19.5" customHeight="1" x14ac:dyDescent="0.25">
      <c r="A975" s="9"/>
      <c r="B975" s="9"/>
      <c r="C975" s="15"/>
      <c r="D975" s="15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</row>
    <row r="976" spans="1:17" ht="19.5" customHeight="1" x14ac:dyDescent="0.25">
      <c r="A976" s="9"/>
      <c r="B976" s="9"/>
      <c r="C976" s="15"/>
      <c r="D976" s="15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</row>
    <row r="977" spans="1:17" ht="19.5" customHeight="1" x14ac:dyDescent="0.25">
      <c r="A977" s="9"/>
      <c r="B977" s="9"/>
      <c r="C977" s="15"/>
      <c r="D977" s="15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</row>
    <row r="978" spans="1:17" ht="19.5" customHeight="1" x14ac:dyDescent="0.25">
      <c r="A978" s="9"/>
      <c r="B978" s="9"/>
      <c r="C978" s="15"/>
      <c r="D978" s="15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</row>
    <row r="979" spans="1:17" ht="19.5" customHeight="1" x14ac:dyDescent="0.25">
      <c r="A979" s="9"/>
      <c r="B979" s="9"/>
      <c r="C979" s="15"/>
      <c r="D979" s="15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</row>
    <row r="980" spans="1:17" ht="19.5" customHeight="1" x14ac:dyDescent="0.25">
      <c r="A980" s="9"/>
      <c r="B980" s="9"/>
      <c r="C980" s="15"/>
      <c r="D980" s="15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</row>
    <row r="981" spans="1:17" ht="19.5" customHeight="1" x14ac:dyDescent="0.25">
      <c r="A981" s="9"/>
      <c r="B981" s="9"/>
      <c r="C981" s="15"/>
      <c r="D981" s="15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</row>
    <row r="982" spans="1:17" ht="19.5" customHeight="1" x14ac:dyDescent="0.25">
      <c r="A982" s="9"/>
      <c r="B982" s="9"/>
      <c r="C982" s="15"/>
      <c r="D982" s="15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</row>
    <row r="983" spans="1:17" ht="19.5" customHeight="1" x14ac:dyDescent="0.25">
      <c r="A983" s="9"/>
      <c r="B983" s="9"/>
      <c r="C983" s="15"/>
      <c r="D983" s="15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</row>
    <row r="984" spans="1:17" ht="19.5" customHeight="1" x14ac:dyDescent="0.25">
      <c r="A984" s="9"/>
      <c r="B984" s="9"/>
      <c r="C984" s="15"/>
      <c r="D984" s="15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</row>
    <row r="985" spans="1:17" ht="19.5" customHeight="1" x14ac:dyDescent="0.25">
      <c r="A985" s="9"/>
      <c r="B985" s="9"/>
      <c r="C985" s="15"/>
      <c r="D985" s="15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</row>
    <row r="986" spans="1:17" ht="19.5" customHeight="1" x14ac:dyDescent="0.25">
      <c r="A986" s="9"/>
      <c r="B986" s="9"/>
      <c r="C986" s="15"/>
      <c r="D986" s="15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</row>
    <row r="987" spans="1:17" ht="19.5" customHeight="1" x14ac:dyDescent="0.25">
      <c r="A987" s="9"/>
      <c r="B987" s="9"/>
      <c r="C987" s="15"/>
      <c r="D987" s="15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</row>
    <row r="988" spans="1:17" ht="19.5" customHeight="1" x14ac:dyDescent="0.25">
      <c r="A988" s="9"/>
      <c r="B988" s="9"/>
      <c r="C988" s="15"/>
      <c r="D988" s="15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</row>
    <row r="989" spans="1:17" ht="19.5" customHeight="1" x14ac:dyDescent="0.25">
      <c r="A989" s="9"/>
      <c r="B989" s="9"/>
      <c r="C989" s="15"/>
      <c r="D989" s="15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</row>
    <row r="990" spans="1:17" ht="19.5" customHeight="1" x14ac:dyDescent="0.25">
      <c r="A990" s="9"/>
      <c r="B990" s="9"/>
      <c r="C990" s="15"/>
      <c r="D990" s="15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</row>
    <row r="991" spans="1:17" ht="19.5" customHeight="1" x14ac:dyDescent="0.25">
      <c r="A991" s="9"/>
      <c r="B991" s="9"/>
      <c r="C991" s="15"/>
      <c r="D991" s="15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</row>
    <row r="992" spans="1:17" ht="19.5" customHeight="1" x14ac:dyDescent="0.25">
      <c r="A992" s="9"/>
      <c r="B992" s="9"/>
      <c r="C992" s="15"/>
      <c r="D992" s="15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</row>
    <row r="993" spans="1:17" ht="19.5" customHeight="1" x14ac:dyDescent="0.25">
      <c r="A993" s="9"/>
      <c r="B993" s="9"/>
      <c r="C993" s="15"/>
      <c r="D993" s="15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</row>
    <row r="994" spans="1:17" ht="19.5" customHeight="1" x14ac:dyDescent="0.25">
      <c r="A994" s="9"/>
      <c r="B994" s="9"/>
      <c r="C994" s="15"/>
      <c r="D994" s="15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</row>
    <row r="995" spans="1:17" ht="19.5" customHeight="1" x14ac:dyDescent="0.25">
      <c r="A995" s="9"/>
      <c r="B995" s="9"/>
      <c r="C995" s="15"/>
      <c r="D995" s="15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</row>
    <row r="996" spans="1:17" ht="19.5" customHeight="1" x14ac:dyDescent="0.25">
      <c r="A996" s="9"/>
      <c r="B996" s="9"/>
      <c r="C996" s="15"/>
      <c r="D996" s="15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</row>
    <row r="997" spans="1:17" ht="19.5" customHeight="1" x14ac:dyDescent="0.25">
      <c r="A997" s="9"/>
      <c r="B997" s="9"/>
      <c r="C997" s="15"/>
      <c r="D997" s="15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</row>
    <row r="998" spans="1:17" ht="19.5" customHeight="1" x14ac:dyDescent="0.25">
      <c r="A998" s="9"/>
      <c r="B998" s="9"/>
      <c r="C998" s="15"/>
      <c r="D998" s="15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</row>
  </sheetData>
  <pageMargins left="0.511811024" right="0.511811024" top="0.78740157499999996" bottom="0.78740157499999996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B7F2-49FB-420E-996E-055F168B20BB}">
  <dimension ref="B1:S29"/>
  <sheetViews>
    <sheetView zoomScale="81" zoomScaleNormal="81" workbookViewId="0">
      <selection activeCell="R10" sqref="R10"/>
    </sheetView>
  </sheetViews>
  <sheetFormatPr defaultRowHeight="15" x14ac:dyDescent="0.25"/>
  <cols>
    <col min="2" max="2" width="66.140625" customWidth="1"/>
    <col min="3" max="3" width="16.85546875" hidden="1" customWidth="1"/>
    <col min="4" max="4" width="12.85546875" bestFit="1" customWidth="1"/>
    <col min="5" max="5" width="18.85546875" hidden="1" customWidth="1"/>
    <col min="6" max="6" width="12.85546875" bestFit="1" customWidth="1"/>
    <col min="7" max="7" width="17.85546875" hidden="1" customWidth="1"/>
    <col min="8" max="8" width="12.85546875" bestFit="1" customWidth="1"/>
    <col min="9" max="9" width="21.28515625" hidden="1" customWidth="1"/>
    <col min="10" max="10" width="12.85546875" bestFit="1" customWidth="1"/>
    <col min="11" max="11" width="17" hidden="1" customWidth="1"/>
    <col min="12" max="12" width="12.85546875" bestFit="1" customWidth="1"/>
    <col min="13" max="13" width="21.28515625" hidden="1" customWidth="1"/>
    <col min="14" max="14" width="12.85546875" bestFit="1" customWidth="1"/>
    <col min="15" max="15" width="21.28515625" hidden="1" customWidth="1"/>
    <col min="16" max="16" width="12.85546875" bestFit="1" customWidth="1"/>
    <col min="18" max="19" width="17" style="53" customWidth="1"/>
  </cols>
  <sheetData>
    <row r="1" spans="2:19" ht="13.9" customHeight="1" x14ac:dyDescent="0.25"/>
    <row r="2" spans="2:19" ht="13.9" customHeight="1" thickBot="1" x14ac:dyDescent="0.3"/>
    <row r="3" spans="2:19" ht="13.9" customHeight="1" x14ac:dyDescent="0.25">
      <c r="C3" s="51" t="s">
        <v>41</v>
      </c>
      <c r="D3" s="79">
        <v>44958</v>
      </c>
      <c r="E3" s="51" t="s">
        <v>41</v>
      </c>
      <c r="F3" s="73"/>
      <c r="G3" s="51" t="s">
        <v>41</v>
      </c>
      <c r="H3" s="79">
        <v>44958</v>
      </c>
      <c r="I3" s="51" t="s">
        <v>41</v>
      </c>
      <c r="J3" s="79">
        <v>44378</v>
      </c>
      <c r="K3" s="51" t="s">
        <v>41</v>
      </c>
      <c r="L3" s="79">
        <v>44713</v>
      </c>
      <c r="M3" s="51" t="s">
        <v>41</v>
      </c>
      <c r="N3" s="79">
        <v>45839</v>
      </c>
      <c r="O3" s="51" t="s">
        <v>41</v>
      </c>
      <c r="P3" s="79">
        <v>44805</v>
      </c>
    </row>
    <row r="4" spans="2:19" ht="13.9" customHeight="1" thickBot="1" x14ac:dyDescent="0.3">
      <c r="C4" s="52" t="s">
        <v>43</v>
      </c>
      <c r="D4" s="45">
        <v>2662.47</v>
      </c>
      <c r="E4" s="52" t="s">
        <v>43</v>
      </c>
      <c r="F4" s="45">
        <v>2643.16</v>
      </c>
      <c r="G4" s="52" t="s">
        <v>43</v>
      </c>
      <c r="H4" s="45">
        <v>2662.47</v>
      </c>
      <c r="I4" s="52" t="s">
        <v>43</v>
      </c>
      <c r="J4" s="45">
        <v>2307.92</v>
      </c>
      <c r="K4" s="52" t="s">
        <v>43</v>
      </c>
      <c r="L4" s="45">
        <v>2544.17</v>
      </c>
      <c r="M4" s="52" t="s">
        <v>43</v>
      </c>
      <c r="N4" s="45">
        <v>2965.54</v>
      </c>
      <c r="O4" s="52" t="s">
        <v>43</v>
      </c>
      <c r="P4" s="45">
        <v>2623.42</v>
      </c>
    </row>
    <row r="5" spans="2:19" ht="13.9" customHeight="1" thickBot="1" x14ac:dyDescent="0.3">
      <c r="C5" s="84" t="s">
        <v>56</v>
      </c>
      <c r="D5" s="21"/>
      <c r="E5" s="84"/>
      <c r="F5" s="21"/>
      <c r="G5" s="84"/>
      <c r="H5" s="21"/>
      <c r="I5" s="84"/>
      <c r="J5" s="21"/>
      <c r="K5" s="84"/>
      <c r="L5" s="21"/>
      <c r="M5" s="84" t="s">
        <v>59</v>
      </c>
      <c r="N5" s="45">
        <v>16727.830000000002</v>
      </c>
      <c r="O5" s="84" t="s">
        <v>59</v>
      </c>
      <c r="P5" s="45">
        <v>8275</v>
      </c>
    </row>
    <row r="6" spans="2:19" ht="13.9" customHeight="1" thickBot="1" x14ac:dyDescent="0.3">
      <c r="C6" s="84" t="s">
        <v>57</v>
      </c>
      <c r="D6" s="21"/>
      <c r="E6" s="84"/>
      <c r="F6" s="21"/>
      <c r="G6" s="84"/>
      <c r="H6" s="21"/>
      <c r="I6" s="84"/>
      <c r="J6" s="21"/>
      <c r="K6" s="84"/>
      <c r="L6" s="21"/>
      <c r="M6" s="84" t="s">
        <v>60</v>
      </c>
      <c r="N6" s="45">
        <v>43</v>
      </c>
      <c r="O6" s="84" t="s">
        <v>60</v>
      </c>
      <c r="P6" s="45">
        <v>20</v>
      </c>
      <c r="Q6" s="85" t="s">
        <v>58</v>
      </c>
    </row>
    <row r="7" spans="2:19" ht="13.9" customHeight="1" thickBot="1" x14ac:dyDescent="0.3"/>
    <row r="8" spans="2:19" ht="19.149999999999999" customHeight="1" thickBot="1" x14ac:dyDescent="0.3">
      <c r="C8" s="168" t="s">
        <v>49</v>
      </c>
      <c r="D8" s="169"/>
      <c r="E8" s="168" t="s">
        <v>51</v>
      </c>
      <c r="F8" s="170"/>
      <c r="G8" s="168" t="s">
        <v>52</v>
      </c>
      <c r="H8" s="169"/>
      <c r="I8" s="170" t="s">
        <v>54</v>
      </c>
      <c r="J8" s="169"/>
      <c r="K8" s="170" t="s">
        <v>53</v>
      </c>
      <c r="L8" s="169"/>
      <c r="M8" s="170" t="s">
        <v>69</v>
      </c>
      <c r="N8" s="169"/>
      <c r="O8" s="170" t="s">
        <v>55</v>
      </c>
      <c r="P8" s="169"/>
      <c r="R8" s="171" t="s">
        <v>46</v>
      </c>
      <c r="S8" s="171"/>
    </row>
    <row r="9" spans="2:19" ht="19.149999999999999" customHeight="1" thickBot="1" x14ac:dyDescent="0.3">
      <c r="B9" s="21"/>
      <c r="C9" s="48" t="s">
        <v>44</v>
      </c>
      <c r="D9" s="48" t="s">
        <v>45</v>
      </c>
      <c r="E9" s="48" t="s">
        <v>44</v>
      </c>
      <c r="F9" s="48" t="s">
        <v>45</v>
      </c>
      <c r="G9" s="49" t="s">
        <v>44</v>
      </c>
      <c r="H9" s="50" t="s">
        <v>45</v>
      </c>
      <c r="I9" s="48" t="s">
        <v>44</v>
      </c>
      <c r="J9" s="48" t="s">
        <v>45</v>
      </c>
      <c r="K9" s="48" t="s">
        <v>44</v>
      </c>
      <c r="L9" s="48" t="s">
        <v>45</v>
      </c>
      <c r="M9" s="48" t="s">
        <v>44</v>
      </c>
      <c r="N9" s="48" t="s">
        <v>45</v>
      </c>
      <c r="O9" s="48" t="s">
        <v>44</v>
      </c>
      <c r="P9" s="48" t="s">
        <v>45</v>
      </c>
      <c r="R9" s="54" t="s">
        <v>47</v>
      </c>
      <c r="S9" s="54" t="s">
        <v>48</v>
      </c>
    </row>
    <row r="10" spans="2:19" ht="19.149999999999999" customHeight="1" x14ac:dyDescent="0.25">
      <c r="B10" s="36" t="s">
        <v>40</v>
      </c>
      <c r="C10" s="39">
        <v>438.31354270607579</v>
      </c>
      <c r="D10" s="65">
        <f>(ORÇAMENTO_COMPARATIVO!$J$20/CÁLCULO_MÉDIAS!D$4)*C10</f>
        <v>493.77791063251408</v>
      </c>
      <c r="E10" s="40">
        <v>400.33</v>
      </c>
      <c r="F10" s="65">
        <f>(ORÇAMENTO_COMPARATIVO!$J$20/CÁLCULO_MÉDIAS!F$4)*E10</f>
        <v>454.2826750556153</v>
      </c>
      <c r="G10" s="74">
        <v>192.53760160553878</v>
      </c>
      <c r="H10" s="65">
        <f>(ORÇAMENTO_COMPARATIVO!$J$20/CÁLCULO_MÉDIAS!H$4)*G10</f>
        <v>216.90138536908248</v>
      </c>
      <c r="I10" s="41">
        <v>376.08377740233686</v>
      </c>
      <c r="J10" s="66">
        <f>(ORÇAMENTO_COMPARATIVO!$J$20/CÁLCULO_MÉDIAS!J$4)*I10</f>
        <v>488.75964516318641</v>
      </c>
      <c r="K10" s="41">
        <v>441.31552262605879</v>
      </c>
      <c r="L10" s="66">
        <f>(ORÇAMENTO_COMPARATIVO!$J$20/CÁLCULO_MÉDIAS!L$4)*K10</f>
        <v>520.27692813536373</v>
      </c>
      <c r="M10" s="41">
        <v>640.87429859503538</v>
      </c>
      <c r="N10" s="66">
        <f>(ORÇAMENTO_COMPARATIVO!$J$20/CÁLCULO_MÉDIAS!N$4)*M10</f>
        <v>648.18736342115676</v>
      </c>
      <c r="O10" s="41">
        <v>275.54996481903225</v>
      </c>
      <c r="P10" s="66">
        <f>(ORÇAMENTO_COMPARATIVO!$J$20/CÁLCULO_MÉDIAS!P$4)*O10</f>
        <v>315.0387865758853</v>
      </c>
      <c r="R10" s="81">
        <v>530</v>
      </c>
      <c r="S10" s="81">
        <v>650</v>
      </c>
    </row>
    <row r="11" spans="2:19" ht="19.149999999999999" customHeight="1" x14ac:dyDescent="0.25">
      <c r="B11" s="37" t="s">
        <v>3</v>
      </c>
      <c r="C11" s="22">
        <v>19.587790125287146</v>
      </c>
      <c r="D11" s="65">
        <f>(ORÇAMENTO_COMPARATIVO!$J$20/CÁLCULO_MÉDIAS!D$4)*C11</f>
        <v>22.06643678463373</v>
      </c>
      <c r="E11" s="25">
        <v>73.599999999999994</v>
      </c>
      <c r="F11" s="65">
        <f>(ORÇAMENTO_COMPARATIVO!$J$20/CÁLCULO_MÉDIAS!F$4)*E11</f>
        <v>83.519108945353295</v>
      </c>
      <c r="G11" s="83">
        <v>131.35298076496832</v>
      </c>
      <c r="H11" s="66">
        <f>(ORÇAMENTO_COMPARATIVO!$J$20/CÁLCULO_MÉDIAS!H$4)*G11</f>
        <v>147.97443856525359</v>
      </c>
      <c r="I11" s="42">
        <v>19.639225618614503</v>
      </c>
      <c r="J11" s="66">
        <f>(ORÇAMENTO_COMPARATIVO!$J$20/CÁLCULO_MÉDIAS!J$4)*I11</f>
        <v>25.523198609986469</v>
      </c>
      <c r="K11" s="43">
        <v>23.672459184407625</v>
      </c>
      <c r="L11" s="66">
        <f>(ORÇAMENTO_COMPARATIVO!$J$20/CÁLCULO_MÉDIAS!L$4)*K11</f>
        <v>27.908001677768603</v>
      </c>
      <c r="M11" s="43">
        <v>20.474933773608431</v>
      </c>
      <c r="N11" s="66">
        <f>(ORÇAMENTO_COMPARATIVO!$J$20/CÁLCULO_MÉDIAS!N$4)*M11</f>
        <v>20.70857478296892</v>
      </c>
      <c r="O11" s="43">
        <v>11.35406777676801</v>
      </c>
      <c r="P11" s="66">
        <f>(ORÇAMENTO_COMPARATIVO!$J$20/CÁLCULO_MÉDIAS!P$4)*O11</f>
        <v>12.981209188114155</v>
      </c>
      <c r="R11" s="81">
        <v>16</v>
      </c>
      <c r="S11" s="81">
        <v>27</v>
      </c>
    </row>
    <row r="12" spans="2:19" ht="19.149999999999999" customHeight="1" x14ac:dyDescent="0.25">
      <c r="B12" s="38" t="s">
        <v>4</v>
      </c>
      <c r="C12" s="76">
        <v>195.59039548493175</v>
      </c>
      <c r="D12" s="65">
        <f>(ORÇAMENTO_COMPARATIVO!$J$20/CÁLCULO_MÉDIAS!D$4)*C12</f>
        <v>220.34048098554899</v>
      </c>
      <c r="E12" s="77">
        <v>475.12</v>
      </c>
      <c r="F12" s="65">
        <f>(ORÇAMENTO_COMPARATIVO!$J$20/CÁLCULO_MÉDIAS!F$4)*E12</f>
        <v>539.15216089831881</v>
      </c>
      <c r="G12" s="75">
        <v>99.325700576150922</v>
      </c>
      <c r="H12" s="66">
        <f>(ORÇAMENTO_COMPARATIVO!$J$20/CÁLCULO_MÉDIAS!H$4)*G12</f>
        <v>111.89441375643504</v>
      </c>
      <c r="I12" s="42">
        <v>175.47896577537259</v>
      </c>
      <c r="J12" s="66">
        <f>(ORÇAMENTO_COMPARATIVO!$J$20/CÁLCULO_MÉDIAS!J$4)*I12</f>
        <v>228.05300892896506</v>
      </c>
      <c r="K12" s="43">
        <v>194.20762909091977</v>
      </c>
      <c r="L12" s="66">
        <f>(ORÇAMENTO_COMPARATIVO!$J$20/CÁLCULO_MÉDIAS!L$4)*K12</f>
        <v>228.95580033673969</v>
      </c>
      <c r="M12" s="43">
        <v>378.99946600064806</v>
      </c>
      <c r="N12" s="66">
        <f>(ORÇAMENTO_COMPARATIVO!$J$20/CÁLCULO_MÉDIAS!N$4)*M12</f>
        <v>383.32425741450925</v>
      </c>
      <c r="O12" s="43">
        <v>177.84796028835117</v>
      </c>
      <c r="P12" s="66">
        <f>(ORÇAMENTO_COMPARATIVO!$J$20/CÁLCULO_MÉDIAS!P$4)*O12</f>
        <v>203.33519418532862</v>
      </c>
      <c r="R12" s="81">
        <v>220</v>
      </c>
      <c r="S12" s="81">
        <v>370</v>
      </c>
    </row>
    <row r="13" spans="2:19" ht="19.149999999999999" customHeight="1" x14ac:dyDescent="0.25">
      <c r="B13" s="37" t="s">
        <v>5</v>
      </c>
      <c r="C13" s="22">
        <v>633.19430419073103</v>
      </c>
      <c r="D13" s="65">
        <f>(ORÇAMENTO_COMPARATIVO!$J$20/CÁLCULO_MÉDIAS!D$4)*C13</f>
        <v>713.31896025254559</v>
      </c>
      <c r="E13" s="25">
        <v>724.14</v>
      </c>
      <c r="F13" s="65">
        <f>(ORÇAMENTO_COMPARATIVO!$J$20/CÁLCULO_MÉDIAS!F$4)*E13</f>
        <v>821.73271130011062</v>
      </c>
      <c r="G13" s="76">
        <v>670.83520323794403</v>
      </c>
      <c r="H13" s="66">
        <f>(ORÇAMENTO_COMPARATIVO!$J$20/CÁLCULO_MÉDIAS!H$4)*G13</f>
        <v>755.72295345593557</v>
      </c>
      <c r="I13" s="42">
        <v>462.68058099315624</v>
      </c>
      <c r="J13" s="66">
        <f>(ORÇAMENTO_COMPARATIVO!$J$20/CÁLCULO_MÉDIAS!J$4)*I13</f>
        <v>601.30112006449656</v>
      </c>
      <c r="K13" s="80">
        <v>472.22890209396945</v>
      </c>
      <c r="L13" s="66">
        <f>(ORÇAMENTO_COMPARATIVO!$J$20/CÁLCULO_MÉDIAS!L$4)*K13</f>
        <v>556.72141577119851</v>
      </c>
      <c r="M13" s="42">
        <v>1062.4018246180171</v>
      </c>
      <c r="N13" s="66">
        <f>(ORÇAMENTO_COMPARATIVO!$J$20/CÁLCULO_MÉDIAS!N$4)*M13</f>
        <v>1074.5249717497618</v>
      </c>
      <c r="O13" s="42">
        <v>698.9</v>
      </c>
      <c r="P13" s="66">
        <f>(ORÇAMENTO_COMPARATIVO!$J$20/CÁLCULO_MÉDIAS!P$4)*O13</f>
        <v>799.05874088022506</v>
      </c>
      <c r="R13" s="81">
        <v>730</v>
      </c>
      <c r="S13" s="81">
        <v>810</v>
      </c>
    </row>
    <row r="14" spans="2:19" ht="19.149999999999999" customHeight="1" x14ac:dyDescent="0.25">
      <c r="B14" s="38" t="s">
        <v>6</v>
      </c>
      <c r="C14" s="22">
        <v>119.11837394906888</v>
      </c>
      <c r="D14" s="65">
        <f>(ORÇAMENTO_COMPARATIVO!$J$20/CÁLCULO_MÉDIAS!D$4)*C14</f>
        <v>134.19165979536231</v>
      </c>
      <c r="E14" s="25">
        <v>168.14</v>
      </c>
      <c r="F14" s="65">
        <f>(ORÇAMENTO_COMPARATIVO!$J$20/CÁLCULO_MÉDIAS!F$4)*E14</f>
        <v>190.80031220206118</v>
      </c>
      <c r="G14" s="22">
        <v>151.38701853650412</v>
      </c>
      <c r="H14" s="66">
        <f>(ORÇAMENTO_COMPARATIVO!$J$20/CÁLCULO_MÉDIAS!H$4)*G14</f>
        <v>170.54359134864234</v>
      </c>
      <c r="I14" s="42">
        <v>57.004853938036476</v>
      </c>
      <c r="J14" s="66">
        <f>(ORÇAMENTO_COMPARATIVO!$J$20/CÁLCULO_MÉDIAS!J$4)*I14</f>
        <v>74.083685225080529</v>
      </c>
      <c r="K14" s="42">
        <v>56.465242691075993</v>
      </c>
      <c r="L14" s="66">
        <f>(ORÇAMENTO_COMPARATIVO!$J$20/CÁLCULO_MÉDIAS!L$4)*K14</f>
        <v>66.568161570476633</v>
      </c>
      <c r="M14" s="42">
        <v>176.753481354629</v>
      </c>
      <c r="N14" s="66">
        <f>(ORÇAMENTO_COMPARATIVO!$J$20/CÁLCULO_MÉDIAS!N$4)*M14</f>
        <v>178.77042862529157</v>
      </c>
      <c r="O14" s="42">
        <v>100.27283051704558</v>
      </c>
      <c r="P14" s="66">
        <f>(ORÇAMENTO_COMPARATIVO!$J$20/CÁLCULO_MÉDIAS!P$4)*O14</f>
        <v>114.64284117534218</v>
      </c>
      <c r="R14" s="81">
        <v>100</v>
      </c>
      <c r="S14" s="81">
        <v>170</v>
      </c>
    </row>
    <row r="15" spans="2:19" ht="19.149999999999999" customHeight="1" x14ac:dyDescent="0.25">
      <c r="B15" s="37" t="s">
        <v>7</v>
      </c>
      <c r="C15" s="22">
        <v>298.34419233018099</v>
      </c>
      <c r="D15" s="65">
        <f>(ORÇAMENTO_COMPARATIVO!$J$20/CÁLCULO_MÉDIAS!D$4)*C15</f>
        <v>336.09678366002186</v>
      </c>
      <c r="E15" s="25">
        <v>325.69</v>
      </c>
      <c r="F15" s="65">
        <f>(ORÇAMENTO_COMPARATIVO!$J$20/CÁLCULO_MÉDIAS!F$4)*E15</f>
        <v>369.5834047882081</v>
      </c>
      <c r="G15" s="22">
        <v>301.6524254355387</v>
      </c>
      <c r="H15" s="66">
        <f>(ORÇAMENTO_COMPARATIVO!$J$20/CÁLCULO_MÉDIAS!H$4)*G15</f>
        <v>339.82364188247988</v>
      </c>
      <c r="I15" s="42">
        <f>163.356244433727+44.67</f>
        <v>208.02624443372702</v>
      </c>
      <c r="J15" s="66">
        <f>(ORÇAMENTO_COMPARATIVO!$J$20/CÁLCULO_MÉDIAS!J$4)*I15</f>
        <v>270.3515533595758</v>
      </c>
      <c r="K15" s="42">
        <f>206.000001468319+48.36</f>
        <v>254.36000146831901</v>
      </c>
      <c r="L15" s="66">
        <f>(ORÇAMENTO_COMPARATIVO!$J$20/CÁLCULO_MÉDIAS!L$4)*K15</f>
        <v>299.87080313188454</v>
      </c>
      <c r="M15" s="42">
        <v>591.33991106907013</v>
      </c>
      <c r="N15" s="66">
        <f>(ORÇAMENTO_COMPARATIVO!$J$20/CÁLCULO_MÉDIAS!N$4)*M15</f>
        <v>598.08773527328833</v>
      </c>
      <c r="O15" s="42">
        <v>217.23158249182632</v>
      </c>
      <c r="P15" s="66">
        <f>(ORÇAMENTO_COMPARATIVO!$J$20/CÁLCULO_MÉDIAS!P$4)*O15</f>
        <v>248.36284845519745</v>
      </c>
      <c r="R15" s="81">
        <v>480</v>
      </c>
      <c r="S15" s="81">
        <v>600</v>
      </c>
    </row>
    <row r="16" spans="2:19" ht="19.149999999999999" customHeight="1" x14ac:dyDescent="0.25">
      <c r="B16" s="38" t="s">
        <v>39</v>
      </c>
      <c r="C16" s="22">
        <v>234.95756961924101</v>
      </c>
      <c r="D16" s="65">
        <f>(ORÇAMENTO_COMPARATIVO!$J$20/CÁLCULO_MÉDIAS!D$4)*C16</f>
        <v>264.68919280388479</v>
      </c>
      <c r="E16" s="25">
        <v>126.03</v>
      </c>
      <c r="F16" s="65">
        <f>(ORÇAMENTO_COMPARATIVO!$J$20/CÁLCULO_MÉDIAS!F$4)*E16</f>
        <v>143.01512636389779</v>
      </c>
      <c r="G16" s="22">
        <v>121.62815025865672</v>
      </c>
      <c r="H16" s="66">
        <f>(ORÇAMENTO_COMPARATIVO!$J$20/CÁLCULO_MÉDIAS!H$4)*G16</f>
        <v>137.0190241853654</v>
      </c>
      <c r="I16" s="78">
        <v>193.52137596790277</v>
      </c>
      <c r="J16" s="66">
        <f>(ORÇAMENTO_COMPARATIVO!$J$20/CÁLCULO_MÉDIAS!J$4)*I16</f>
        <v>251.50098125178005</v>
      </c>
      <c r="K16" s="78">
        <v>221.95224733536841</v>
      </c>
      <c r="L16" s="66">
        <f>(ORÇAMENTO_COMPARATIVO!$J$20/CÁLCULO_MÉDIAS!L$4)*K16</f>
        <v>261.66456314348386</v>
      </c>
      <c r="M16" s="78">
        <v>335.79660541743908</v>
      </c>
      <c r="N16" s="66">
        <f>(ORÇAMENTO_COMPARATIVO!$J$20/CÁLCULO_MÉDIAS!N$4)*M16</f>
        <v>339.62840573958147</v>
      </c>
      <c r="O16" s="78">
        <v>207.78739592045602</v>
      </c>
      <c r="P16" s="66">
        <f>(ORÇAMENTO_COMPARATIVO!$J$20/CÁLCULO_MÉDIAS!P$4)*O16</f>
        <v>237.56522385889315</v>
      </c>
      <c r="R16" s="81">
        <v>230</v>
      </c>
      <c r="S16" s="81">
        <v>265</v>
      </c>
    </row>
    <row r="17" spans="2:19" ht="19.149999999999999" customHeight="1" x14ac:dyDescent="0.25">
      <c r="B17" s="37" t="s">
        <v>8</v>
      </c>
      <c r="C17" s="22">
        <v>40.385539920806394</v>
      </c>
      <c r="D17" s="65">
        <f>(ORÇAMENTO_COMPARATIVO!$J$20/CÁLCULO_MÉDIAS!D$4)*C17</f>
        <v>45.495942011616393</v>
      </c>
      <c r="E17" s="25">
        <v>88.82</v>
      </c>
      <c r="F17" s="65">
        <f>(ORÇAMENTO_COMPARATIVO!$J$20/CÁLCULO_MÉDIAS!F$4)*E17</f>
        <v>100.79031598541141</v>
      </c>
      <c r="G17" s="75">
        <v>61.191657834322697</v>
      </c>
      <c r="H17" s="66">
        <f>(ORÇAMENTO_COMPARATIVO!$J$20/CÁLCULO_MÉDIAS!H$4)*G17</f>
        <v>68.934874261535654</v>
      </c>
      <c r="I17" s="42">
        <v>67.011431386530873</v>
      </c>
      <c r="J17" s="66">
        <f>(ORÇAMENTO_COMPARATIVO!$J$20/CÁLCULO_MÉDIAS!J$4)*I17</f>
        <v>87.088264355841176</v>
      </c>
      <c r="K17" s="42">
        <v>77.826886679558513</v>
      </c>
      <c r="L17" s="66">
        <f>(ORÇAMENTO_COMPARATIVO!$J$20/CÁLCULO_MÉDIAS!L$4)*K17</f>
        <v>91.751890545417254</v>
      </c>
      <c r="M17" s="43">
        <v>46.008199112795857</v>
      </c>
      <c r="N17" s="66">
        <f>(ORÇAMENTO_COMPARATIVO!$J$20/CÁLCULO_MÉDIAS!N$4)*M17</f>
        <v>46.533202133485858</v>
      </c>
      <c r="O17" s="43">
        <v>52.877814024835473</v>
      </c>
      <c r="P17" s="66">
        <f>(ORÇAMENTO_COMPARATIVO!$J$20/CÁLCULO_MÉDIAS!P$4)*O17</f>
        <v>60.455686786641493</v>
      </c>
      <c r="R17" s="81">
        <v>65</v>
      </c>
      <c r="S17" s="81">
        <v>100</v>
      </c>
    </row>
    <row r="18" spans="2:19" ht="19.149999999999999" customHeight="1" x14ac:dyDescent="0.25">
      <c r="B18" s="38" t="s">
        <v>35</v>
      </c>
      <c r="C18" s="22">
        <v>171.46501171912092</v>
      </c>
      <c r="D18" s="65">
        <f>(ORÇAMENTO_COMPARATIVO!$J$20/CÁLCULO_MÉDIAS!D$4)*C18</f>
        <v>193.16226167810228</v>
      </c>
      <c r="E18" s="25">
        <v>208.78</v>
      </c>
      <c r="F18" s="65">
        <f>(ORÇAMENTO_COMPARATIVO!$J$20/CÁLCULO_MÉDIAS!F$4)*E18</f>
        <v>236.91738540232151</v>
      </c>
      <c r="G18" s="22">
        <v>161.73710209114981</v>
      </c>
      <c r="H18" s="66">
        <f>(ORÇAMENTO_COMPARATIVO!$J$20/CÁLCULO_MÉDIAS!H$4)*G18</f>
        <v>182.20337854328986</v>
      </c>
      <c r="I18" s="42">
        <v>50.803601175241802</v>
      </c>
      <c r="J18" s="66">
        <f>(ORÇAMENTO_COMPARATIVO!$J$20/CÁLCULO_MÉDIAS!J$4)*I18</f>
        <v>66.024517874534979</v>
      </c>
      <c r="K18" s="42">
        <v>58.908294679840424</v>
      </c>
      <c r="L18" s="66">
        <f>(ORÇAMENTO_COMPARATIVO!$J$20/CÁLCULO_MÉDIAS!L$4)*K18</f>
        <v>69.448331242338284</v>
      </c>
      <c r="M18" s="42">
        <v>242.30050714882023</v>
      </c>
      <c r="N18" s="66">
        <f>(ORÇAMENTO_COMPARATIVO!$J$20/CÁLCULO_MÉDIAS!N$4)*M18</f>
        <v>245.06541646109255</v>
      </c>
      <c r="O18" s="42">
        <v>183.80825226021125</v>
      </c>
      <c r="P18" s="66">
        <f>(ORÇAMENTO_COMPARATIVO!$J$20/CÁLCULO_MÉDIAS!P$4)*O18</f>
        <v>210.14965032828616</v>
      </c>
      <c r="R18" s="81">
        <v>160</v>
      </c>
      <c r="S18" s="81">
        <v>210</v>
      </c>
    </row>
    <row r="19" spans="2:19" ht="19.149999999999999" customHeight="1" x14ac:dyDescent="0.25">
      <c r="B19" s="37" t="s">
        <v>36</v>
      </c>
      <c r="C19" s="22">
        <v>82.252956433522513</v>
      </c>
      <c r="D19" s="65">
        <f>(ORÇAMENTO_COMPARATIVO!$J$20/CÁLCULO_MÉDIAS!D$4)*C19</f>
        <v>92.661277861376391</v>
      </c>
      <c r="E19" s="25">
        <v>69.87</v>
      </c>
      <c r="F19" s="65">
        <f>(ORÇAMENTO_COMPARATIVO!$J$20/CÁLCULO_MÉDIAS!F$4)*E19</f>
        <v>79.286414972986904</v>
      </c>
      <c r="G19" s="22">
        <v>38.140863460693716</v>
      </c>
      <c r="H19" s="66">
        <f>(ORÇAMENTO_COMPARATIVO!$J$20/CÁLCULO_MÉDIAS!H$4)*G19</f>
        <v>42.967223310210265</v>
      </c>
      <c r="I19" s="42">
        <v>40.34869205528252</v>
      </c>
      <c r="J19" s="66">
        <f>(ORÇAMENTO_COMPARATIVO!$J$20/CÁLCULO_MÉDIAS!J$4)*I19</f>
        <v>52.437285511097997</v>
      </c>
      <c r="K19" s="42">
        <v>43.752635265200404</v>
      </c>
      <c r="L19" s="66">
        <f>(ORÇAMENTO_COMPARATIVO!$J$20/CÁLCULO_MÉDIAS!L$4)*K19</f>
        <v>51.580978928977544</v>
      </c>
      <c r="M19" s="42">
        <v>59.184930659465898</v>
      </c>
      <c r="N19" s="66">
        <f>(ORÇAMENTO_COMPARATIVO!$J$20/CÁLCULO_MÉDIAS!N$4)*M19</f>
        <v>59.86029435495351</v>
      </c>
      <c r="O19" s="42">
        <v>55.024017195829465</v>
      </c>
      <c r="P19" s="66">
        <f>(ORÇAMENTO_COMPARATIVO!$J$20/CÁLCULO_MÉDIAS!P$4)*O19</f>
        <v>62.909460435929816</v>
      </c>
      <c r="R19" s="81">
        <v>55</v>
      </c>
      <c r="S19" s="81">
        <v>90</v>
      </c>
    </row>
    <row r="20" spans="2:19" ht="19.149999999999999" customHeight="1" x14ac:dyDescent="0.25">
      <c r="B20" s="38" t="s">
        <v>9</v>
      </c>
      <c r="C20" s="22">
        <v>171.08275181950387</v>
      </c>
      <c r="D20" s="65">
        <f>(ORÇAMENTO_COMPARATIVO!$J$20/CÁLCULO_MÉDIAS!D$4)*C20</f>
        <v>192.73163046058119</v>
      </c>
      <c r="E20" s="25">
        <v>169.91</v>
      </c>
      <c r="F20" s="65">
        <f>(ORÇAMENTO_COMPARATIVO!$J$20/CÁLCULO_MÉDIAS!F$4)*E20</f>
        <v>192.80885599055679</v>
      </c>
      <c r="G20" s="22">
        <v>233.49803908530504</v>
      </c>
      <c r="H20" s="66">
        <f>(ORÇAMENTO_COMPARATIVO!$J$20/CÁLCULO_MÉDIAS!H$4)*G20</f>
        <v>263.04497270267171</v>
      </c>
      <c r="I20" s="42">
        <v>142.87753755477507</v>
      </c>
      <c r="J20" s="66">
        <f>(ORÇAMENTO_COMPARATIVO!$J$20/CÁLCULO_MÉDIAS!J$4)*I20</f>
        <v>185.68409155908404</v>
      </c>
      <c r="K20" s="42">
        <v>211.45216584367398</v>
      </c>
      <c r="L20" s="66">
        <f>(ORÇAMENTO_COMPARATIVO!$J$20/CÁLCULO_MÉDIAS!L$4)*K20</f>
        <v>249.28577775392324</v>
      </c>
      <c r="M20" s="42">
        <v>201.06524950818286</v>
      </c>
      <c r="N20" s="66">
        <f>(ORÇAMENTO_COMPARATIVO!$J$20/CÁLCULO_MÉDIAS!N$4)*M20</f>
        <v>203.35962019391192</v>
      </c>
      <c r="O20" s="42">
        <v>163.81515207471159</v>
      </c>
      <c r="P20" s="66">
        <f>(ORÇAMENTO_COMPARATIVO!$J$20/CÁLCULO_MÉDIAS!P$4)*O20</f>
        <v>187.29135663746121</v>
      </c>
      <c r="R20" s="81">
        <v>200</v>
      </c>
      <c r="S20" s="81">
        <v>280</v>
      </c>
    </row>
    <row r="21" spans="2:19" ht="19.149999999999999" customHeight="1" x14ac:dyDescent="0.25">
      <c r="B21" s="37" t="s">
        <v>10</v>
      </c>
      <c r="C21" s="22">
        <v>131.71984554415201</v>
      </c>
      <c r="D21" s="65">
        <f>(ORÇAMENTO_COMPARATIVO!$J$20/CÁLCULO_MÉDIAS!D$4)*C21</f>
        <v>148.38772655775227</v>
      </c>
      <c r="E21" s="25">
        <v>91.97</v>
      </c>
      <c r="F21" s="65">
        <f>(ORÇAMENTO_COMPARATIVO!$J$20/CÁLCULO_MÉDIAS!F$4)*E21</f>
        <v>104.36484306663239</v>
      </c>
      <c r="G21" s="22">
        <v>60.245256527538778</v>
      </c>
      <c r="H21" s="66">
        <f>(ORÇAMENTO_COMPARATIVO!$J$20/CÁLCULO_MÉDIAS!H$4)*G21</f>
        <v>67.868714961509156</v>
      </c>
      <c r="I21" s="42">
        <v>33.009395720959958</v>
      </c>
      <c r="J21" s="66">
        <f>(ORÇAMENTO_COMPARATIVO!$J$20/CÁLCULO_MÉDIAS!J$4)*I21</f>
        <v>42.899113200428474</v>
      </c>
      <c r="K21" s="42">
        <v>34.336877854962403</v>
      </c>
      <c r="L21" s="66">
        <f>(ORÇAMENTO_COMPARATIVO!$J$20/CÁLCULO_MÉDIAS!L$4)*K21</f>
        <v>40.480527913078582</v>
      </c>
      <c r="M21" s="42">
        <v>139.3520090805668</v>
      </c>
      <c r="N21" s="66">
        <f>(ORÇAMENTO_COMPARATIVO!$J$20/CÁLCULO_MÉDIAS!N$4)*M21</f>
        <v>140.94216533787116</v>
      </c>
      <c r="O21" s="42">
        <v>108.33293385133236</v>
      </c>
      <c r="P21" s="66">
        <f>(ORÇAMENTO_COMPARATIVO!$J$20/CÁLCULO_MÉDIAS!P$4)*O21</f>
        <v>123.85803078996473</v>
      </c>
      <c r="R21" s="81">
        <v>100</v>
      </c>
      <c r="S21" s="81">
        <v>150</v>
      </c>
    </row>
    <row r="22" spans="2:19" ht="19.149999999999999" customHeight="1" x14ac:dyDescent="0.25">
      <c r="B22" s="38" t="s">
        <v>11</v>
      </c>
      <c r="C22" s="22">
        <v>323.47431538511512</v>
      </c>
      <c r="D22" s="65">
        <f>(ORÇAMENTO_COMPARATIVO!$J$20/CÁLCULO_MÉDIAS!D$4)*C22</f>
        <v>364.40688236104319</v>
      </c>
      <c r="E22" s="25">
        <v>334.99</v>
      </c>
      <c r="F22" s="65">
        <f>(ORÇAMENTO_COMPARATIVO!$J$20/CÁLCULO_MÉDIAS!F$4)*E22</f>
        <v>380.13677045657477</v>
      </c>
      <c r="G22" s="22">
        <v>393.73192727790519</v>
      </c>
      <c r="H22" s="66">
        <f>(ORÇAMENTO_COMPARATIVO!$J$20/CÁLCULO_MÉDIAS!H$4)*G22</f>
        <v>443.55492007001146</v>
      </c>
      <c r="I22" s="44">
        <v>544.38783275587105</v>
      </c>
      <c r="J22" s="66">
        <f>(ORÇAMENTO_COMPARATIVO!$J$20/CÁLCULO_MÉDIAS!J$4)*I22</f>
        <v>707.48811822390053</v>
      </c>
      <c r="K22" s="44">
        <v>549.13097697529258</v>
      </c>
      <c r="L22" s="66">
        <f>(ORÇAMENTO_COMPARATIVO!$J$20/CÁLCULO_MÉDIAS!L$4)*K22</f>
        <v>647.38302460926479</v>
      </c>
      <c r="M22" s="44">
        <v>747.75539426213663</v>
      </c>
      <c r="N22" s="66">
        <f>(ORÇAMENTO_COMPARATIVO!$J$20/CÁLCULO_MÉDIAS!N$4)*M22</f>
        <v>756.28808731022593</v>
      </c>
      <c r="O22" s="44">
        <v>309.45411448357601</v>
      </c>
      <c r="P22" s="66">
        <f>(ORÇAMENTO_COMPARATIVO!$J$20/CÁLCULO_MÉDIAS!P$4)*O22</f>
        <v>353.8017099434129</v>
      </c>
      <c r="R22" s="81">
        <v>630</v>
      </c>
      <c r="S22" s="81">
        <v>700</v>
      </c>
    </row>
    <row r="23" spans="2:19" ht="19.149999999999999" customHeight="1" x14ac:dyDescent="0.25">
      <c r="B23" s="37" t="s">
        <v>38</v>
      </c>
      <c r="C23" s="22">
        <v>5.0049675079668363</v>
      </c>
      <c r="D23" s="65">
        <f>(ORÇAMENTO_COMPARATIVO!$J$20/CÁLCULO_MÉDIAS!D$4)*C23</f>
        <v>5.6382980630938837</v>
      </c>
      <c r="E23" s="25">
        <v>42.32</v>
      </c>
      <c r="F23" s="65">
        <f>(ORÇAMENTO_COMPARATIVO!$J$20/CÁLCULO_MÉDIAS!F$4)*E23</f>
        <v>48.02348764357815</v>
      </c>
      <c r="G23" s="22">
        <v>18.057175826109617</v>
      </c>
      <c r="H23" s="66">
        <f>(ORÇAMENTO_COMPARATIVO!$J$20/CÁLCULO_MÉDIAS!H$4)*G23</f>
        <v>20.342137950593496</v>
      </c>
      <c r="I23" s="44">
        <v>0</v>
      </c>
      <c r="J23" s="66">
        <f>(ORÇAMENTO_COMPARATIVO!$J$20/CÁLCULO_MÉDIAS!J$4)*I23</f>
        <v>0</v>
      </c>
      <c r="K23" s="44">
        <v>0</v>
      </c>
      <c r="L23" s="66">
        <f>(ORÇAMENTO_COMPARATIVO!$J$20/CÁLCULO_MÉDIAS!L$4)*K23</f>
        <v>0</v>
      </c>
      <c r="M23" s="44">
        <v>405.19419958594386</v>
      </c>
      <c r="N23" s="66">
        <f>(ORÇAMENTO_COMPARATIVO!$J$20/CÁLCULO_MÉDIAS!N$4)*M23</f>
        <v>409.8179010750448</v>
      </c>
      <c r="O23" s="44">
        <v>0.59741266007943783</v>
      </c>
      <c r="P23" s="66">
        <f>(ORÇAMENTO_COMPARATIVO!$J$20/CÁLCULO_MÉDIAS!P$4)*O23</f>
        <v>0.68302734003288246</v>
      </c>
      <c r="R23" s="81"/>
      <c r="S23" s="81"/>
    </row>
    <row r="24" spans="2:19" ht="19.149999999999999" customHeight="1" x14ac:dyDescent="0.25">
      <c r="B24" s="38" t="s">
        <v>12</v>
      </c>
      <c r="C24" s="22">
        <v>165.68145313767593</v>
      </c>
      <c r="D24" s="65">
        <f>(ORÇAMENTO_COMPARATIVO!$J$20/CÁLCULO_MÉDIAS!D$4)*C24</f>
        <v>186.64684932115009</v>
      </c>
      <c r="E24" s="25">
        <v>128.59</v>
      </c>
      <c r="F24" s="65">
        <f>(ORÇAMENTO_COMPARATIVO!$J$20/CÁLCULO_MÉDIAS!F$4)*E24</f>
        <v>145.92013884895354</v>
      </c>
      <c r="G24" s="22">
        <v>152.18185211902374</v>
      </c>
      <c r="H24" s="66">
        <f>(ORÇAMENTO_COMPARATIVO!$J$20/CÁLCULO_MÉDIAS!H$4)*G24</f>
        <v>171.43900348501862</v>
      </c>
      <c r="I24" s="44">
        <v>33.346302811171306</v>
      </c>
      <c r="J24" s="66">
        <f>(ORÇAMENTO_COMPARATIVO!$J$20/CÁLCULO_MÉDIAS!J$4)*I24</f>
        <v>43.336958701242239</v>
      </c>
      <c r="K24" s="44">
        <v>35.477946585498003</v>
      </c>
      <c r="L24" s="66">
        <f>(ORÇAMENTO_COMPARATIVO!$J$20/CÁLCULO_MÉDIAS!L$4)*K24</f>
        <v>41.825759846869907</v>
      </c>
      <c r="M24" s="44">
        <v>198.23787819698964</v>
      </c>
      <c r="N24" s="66">
        <f>(ORÇAMENTO_COMPARATIVO!$J$20/CÁLCULO_MÉDIAS!N$4)*M24</f>
        <v>200.49998553601935</v>
      </c>
      <c r="O24" s="44">
        <v>112.08422190923432</v>
      </c>
      <c r="P24" s="66">
        <f>(ORÇAMENTO_COMPARATIVO!$J$20/CÁLCULO_MÉDIAS!P$4)*O24</f>
        <v>128.14691262173775</v>
      </c>
      <c r="R24" s="81">
        <v>170</v>
      </c>
      <c r="S24" s="81">
        <v>200</v>
      </c>
    </row>
    <row r="25" spans="2:19" ht="19.149999999999999" customHeight="1" thickBot="1" x14ac:dyDescent="0.3">
      <c r="B25" s="37" t="s">
        <v>13</v>
      </c>
      <c r="C25" s="23">
        <v>142.84171607243701</v>
      </c>
      <c r="D25" s="65">
        <f>(ORÇAMENTO_COMPARATIVO!$J$20/CÁLCULO_MÉDIAS!D$4)*C25</f>
        <v>160.91696295295202</v>
      </c>
      <c r="E25" s="25">
        <v>206.87</v>
      </c>
      <c r="F25" s="65">
        <f>(ORÇAMENTO_COMPARATIVO!$J$20/CÁLCULO_MÉDIAS!F$4)*E25</f>
        <v>234.74997374354945</v>
      </c>
      <c r="G25" s="23">
        <v>152.50969542853997</v>
      </c>
      <c r="H25" s="66">
        <f>(ORÇAMENTO_COMPARATIVO!$J$20/CÁLCULO_MÉDIAS!H$4)*G25</f>
        <v>171.80833221574488</v>
      </c>
      <c r="I25" s="42">
        <v>143.24654484233949</v>
      </c>
      <c r="J25" s="66">
        <f>(ORÇAMENTO_COMPARATIVO!$J$20/CÁLCULO_MÉDIAS!J$4)*I25</f>
        <v>186.16365457607552</v>
      </c>
      <c r="K25" s="42">
        <f>147.331110298641+157.55</f>
        <v>304.88111029864103</v>
      </c>
      <c r="L25" s="66">
        <f>(ORÇAMENTO_COMPARATIVO!$J$20/CÁLCULO_MÉDIAS!L$4)*K25</f>
        <v>359.43128981457136</v>
      </c>
      <c r="M25" s="42">
        <v>92.097291795766324</v>
      </c>
      <c r="N25" s="66">
        <f>(ORÇAMENTO_COMPARATIVO!$J$20/CÁLCULO_MÉDIAS!N$4)*M25</f>
        <v>93.148220919760178</v>
      </c>
      <c r="O25" s="42">
        <v>167.97572090811553</v>
      </c>
      <c r="P25" s="66">
        <f>(ORÇAMENTO_COMPARATIVO!$J$20/CÁLCULO_MÉDIAS!P$4)*O25</f>
        <v>192.0481729106981</v>
      </c>
      <c r="R25" s="82">
        <v>190</v>
      </c>
      <c r="S25" s="82">
        <v>250</v>
      </c>
    </row>
    <row r="26" spans="2:19" ht="19.149999999999999" customHeight="1" thickBot="1" x14ac:dyDescent="0.3">
      <c r="B26" s="46" t="s">
        <v>14</v>
      </c>
      <c r="C26" s="47">
        <f>SUM(C10:C25)</f>
        <v>3173.0147259458172</v>
      </c>
      <c r="D26" s="67">
        <f t="shared" ref="D26:L26" si="0">SUM(D10:D25)</f>
        <v>3574.5292561821784</v>
      </c>
      <c r="E26" s="47">
        <f t="shared" si="0"/>
        <v>3635.1700000000005</v>
      </c>
      <c r="F26" s="67">
        <f t="shared" si="0"/>
        <v>4125.0836856641299</v>
      </c>
      <c r="G26" s="47">
        <f t="shared" si="0"/>
        <v>2940.0126500658903</v>
      </c>
      <c r="H26" s="67">
        <f t="shared" si="0"/>
        <v>3312.0430060637796</v>
      </c>
      <c r="I26" s="47">
        <f>SUM(I10:I25)</f>
        <v>2547.4663624313184</v>
      </c>
      <c r="J26" s="67">
        <f>SUM(J10:J25)</f>
        <v>3310.6951966052757</v>
      </c>
      <c r="K26" s="47">
        <f t="shared" si="0"/>
        <v>2979.9688986727861</v>
      </c>
      <c r="L26" s="67">
        <f t="shared" si="0"/>
        <v>3513.1532544213565</v>
      </c>
      <c r="M26" s="47">
        <f>SUM(M10:M25)</f>
        <v>5337.8361801791161</v>
      </c>
      <c r="N26" s="67">
        <f>SUM(N10:N25)</f>
        <v>5398.7466303289229</v>
      </c>
      <c r="O26" s="47">
        <f>SUM(O10:O25)</f>
        <v>2842.9134411814048</v>
      </c>
      <c r="P26" s="67">
        <f>SUM(P10:P25)</f>
        <v>3250.3288521131508</v>
      </c>
      <c r="R26" s="86">
        <f>SUM(R10:R25)</f>
        <v>3876</v>
      </c>
      <c r="S26" s="86">
        <f>SUM(S10:S25)</f>
        <v>4872</v>
      </c>
    </row>
    <row r="28" spans="2:19" x14ac:dyDescent="0.25">
      <c r="B28" s="24"/>
      <c r="C28" s="26"/>
      <c r="E28" s="24"/>
      <c r="F28" s="26"/>
      <c r="K28" s="24"/>
      <c r="L28" s="26"/>
      <c r="M28" s="26"/>
      <c r="N28" s="26"/>
      <c r="O28" s="26"/>
      <c r="P28" s="26"/>
    </row>
    <row r="29" spans="2:19" x14ac:dyDescent="0.25">
      <c r="C29" s="26"/>
      <c r="F29" s="26"/>
      <c r="L29" s="26"/>
      <c r="M29" s="26"/>
      <c r="N29" s="26"/>
      <c r="O29" s="26"/>
      <c r="P29" s="26"/>
    </row>
  </sheetData>
  <mergeCells count="8">
    <mergeCell ref="C8:D8"/>
    <mergeCell ref="E8:F8"/>
    <mergeCell ref="G8:H8"/>
    <mergeCell ref="K8:L8"/>
    <mergeCell ref="R8:S8"/>
    <mergeCell ref="I8:J8"/>
    <mergeCell ref="O8:P8"/>
    <mergeCell ref="M8:N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Versões</vt:lpstr>
      <vt:lpstr>ORÇAMENTO_COMPARATIVO</vt:lpstr>
      <vt:lpstr>ORÇAMENTO_EXECUTIVO</vt:lpstr>
      <vt:lpstr>ANÁLISE_CUSTOS</vt:lpstr>
      <vt:lpstr>AREAS PRIVATIVAS</vt:lpstr>
      <vt:lpstr>CÁLCULO_MÉDIAS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valquiria vansquelhe de oliveira</cp:lastModifiedBy>
  <dcterms:created xsi:type="dcterms:W3CDTF">2021-06-30T18:49:34Z</dcterms:created>
  <dcterms:modified xsi:type="dcterms:W3CDTF">2025-11-14T01:00:06Z</dcterms:modified>
</cp:coreProperties>
</file>